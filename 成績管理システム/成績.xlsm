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91ACF3AB-208B-4D6A-9FE1-FAB1AAEA420E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Template (3)" sheetId="6297" state="hidden" r:id="rId36"/>
    <sheet name="Template" sheetId="2228" state="hidden" r:id="rId37"/>
  </sheets>
  <definedNames>
    <definedName name="アガリ数" localSheetId="35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5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5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5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5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5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5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5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5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5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5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5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5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5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5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5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5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5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5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5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5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5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5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5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5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5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5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5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5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5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5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5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5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5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5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5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5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5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5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5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5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5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5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5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5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5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5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5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5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5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5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5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5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5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5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5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5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5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5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5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5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5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4" i="6298" l="1"/>
  <c r="O38" i="6287"/>
  <c r="O18" i="6304"/>
  <c r="O19" i="6304"/>
  <c r="O21" i="6277" l="1"/>
  <c r="O29" i="6277"/>
  <c r="O26" i="6299"/>
  <c r="O21" i="6302"/>
  <c r="O25" i="6295" l="1"/>
  <c r="O21" i="6299"/>
  <c r="O18" i="6299"/>
  <c r="O18" i="6303"/>
  <c r="O21" i="6303"/>
  <c r="O43" i="6272"/>
  <c r="O20" i="6304"/>
  <c r="O22" i="6304"/>
  <c r="O21" i="6304"/>
  <c r="C32" i="6304"/>
  <c r="B27" i="6304"/>
  <c r="C18" i="6304"/>
  <c r="B17" i="6304"/>
  <c r="C17" i="6304" s="1"/>
  <c r="H18" i="6304"/>
  <c r="B16" i="6304"/>
  <c r="O15" i="6304"/>
  <c r="H17" i="6304"/>
  <c r="B15" i="6304"/>
  <c r="C15" i="6304" s="1"/>
  <c r="O14" i="6304"/>
  <c r="H16" i="6304"/>
  <c r="C14" i="6304"/>
  <c r="O13" i="6304"/>
  <c r="H15" i="6304"/>
  <c r="C13" i="6304"/>
  <c r="O12" i="6304"/>
  <c r="H14" i="6304"/>
  <c r="C12" i="6304"/>
  <c r="H13" i="6304"/>
  <c r="B11" i="6304"/>
  <c r="C11" i="6304" s="1"/>
  <c r="H5" i="6304"/>
  <c r="C10" i="6304"/>
  <c r="O9" i="6304"/>
  <c r="H9" i="6304"/>
  <c r="C9" i="6304"/>
  <c r="O8" i="6304"/>
  <c r="H12" i="6304"/>
  <c r="C8" i="6304"/>
  <c r="O7" i="6304"/>
  <c r="H8" i="6304"/>
  <c r="C7" i="6304"/>
  <c r="O6" i="6304"/>
  <c r="H4" i="6304"/>
  <c r="B6" i="6304"/>
  <c r="O5" i="6304"/>
  <c r="H7" i="6304"/>
  <c r="B5" i="6304"/>
  <c r="O4" i="6304"/>
  <c r="H2" i="6304"/>
  <c r="O3" i="6304"/>
  <c r="H11" i="6304"/>
  <c r="O2" i="6304"/>
  <c r="H6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23" i="6304"/>
  <c r="C22" i="6304"/>
  <c r="H22" i="6304"/>
  <c r="C21" i="6304"/>
  <c r="H21" i="6304"/>
  <c r="C20" i="6304"/>
  <c r="H20" i="6304"/>
  <c r="C19" i="6304"/>
  <c r="H10" i="6304"/>
  <c r="H19" i="6304"/>
  <c r="O22" i="6302" l="1"/>
  <c r="O19" i="6302"/>
  <c r="O19" i="6295"/>
  <c r="O18" i="6295"/>
  <c r="O20" i="6303"/>
  <c r="O19" i="6303"/>
  <c r="O22" i="6303"/>
  <c r="C32" i="6303"/>
  <c r="B27" i="6303"/>
  <c r="C18" i="6303"/>
  <c r="B17" i="6303"/>
  <c r="C17" i="6303" s="1"/>
  <c r="H17" i="6303"/>
  <c r="B16" i="6303"/>
  <c r="O15" i="6303"/>
  <c r="H16" i="6303"/>
  <c r="B15" i="6303"/>
  <c r="C15" i="6303" s="1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3" i="6303"/>
  <c r="C10" i="6303"/>
  <c r="O9" i="6303"/>
  <c r="H11" i="6303"/>
  <c r="C9" i="6303"/>
  <c r="O8" i="6303"/>
  <c r="H10" i="6303"/>
  <c r="C8" i="6303"/>
  <c r="O7" i="6303"/>
  <c r="H6" i="6303"/>
  <c r="C7" i="6303"/>
  <c r="O6" i="6303"/>
  <c r="H8" i="6303"/>
  <c r="B6" i="6303"/>
  <c r="O5" i="6303"/>
  <c r="H7" i="6303"/>
  <c r="B5" i="6303"/>
  <c r="O4" i="6303"/>
  <c r="H2" i="6303"/>
  <c r="O3" i="6303"/>
  <c r="H9" i="6303"/>
  <c r="O2" i="6303"/>
  <c r="H5" i="6303"/>
  <c r="O28" i="6287"/>
  <c r="O32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19" i="6298" l="1"/>
  <c r="O19" i="6287"/>
  <c r="O20" i="6302"/>
  <c r="O18" i="6302"/>
  <c r="O23" i="6302"/>
  <c r="C32" i="6302"/>
  <c r="B27" i="6302"/>
  <c r="C18" i="6302"/>
  <c r="B17" i="6302"/>
  <c r="C17" i="6302" s="1"/>
  <c r="H17" i="6302"/>
  <c r="B16" i="6302"/>
  <c r="O15" i="6302"/>
  <c r="H16" i="6302"/>
  <c r="B15" i="6302"/>
  <c r="C15" i="6302" s="1"/>
  <c r="O14" i="6302"/>
  <c r="H15" i="6302"/>
  <c r="C14" i="6302"/>
  <c r="O13" i="6302"/>
  <c r="H14" i="6302"/>
  <c r="C13" i="6302"/>
  <c r="O12" i="6302"/>
  <c r="H13" i="6302"/>
  <c r="C12" i="6302"/>
  <c r="H12" i="6302"/>
  <c r="B11" i="6302"/>
  <c r="C11" i="6302" s="1"/>
  <c r="H2" i="6302"/>
  <c r="C10" i="6302"/>
  <c r="O9" i="6302"/>
  <c r="H9" i="6302"/>
  <c r="C9" i="6302"/>
  <c r="O8" i="6302"/>
  <c r="H11" i="6302"/>
  <c r="C8" i="6302"/>
  <c r="O7" i="6302"/>
  <c r="H6" i="6302"/>
  <c r="C7" i="6302"/>
  <c r="O6" i="6302"/>
  <c r="H5" i="6302"/>
  <c r="B6" i="6302"/>
  <c r="O5" i="6302"/>
  <c r="H8" i="6302"/>
  <c r="B5" i="6302"/>
  <c r="O4" i="6302"/>
  <c r="H4" i="6302"/>
  <c r="O3" i="6302"/>
  <c r="H10" i="6302"/>
  <c r="O2" i="6302"/>
  <c r="H3" i="6302"/>
  <c r="O19" i="6299"/>
  <c r="O26" i="6272"/>
  <c r="B26" i="6302" l="1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21" i="6302"/>
  <c r="C20" i="6302"/>
  <c r="H20" i="6302"/>
  <c r="C19" i="6302"/>
  <c r="H19" i="6302"/>
  <c r="H18" i="6302"/>
  <c r="O18" i="6287" l="1"/>
  <c r="O23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1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0" i="6295" l="1"/>
  <c r="O21" i="6295"/>
  <c r="O30" i="6295"/>
  <c r="O25" i="6298"/>
  <c r="O20" i="6298"/>
  <c r="O25" i="6299"/>
  <c r="O22" i="6299"/>
  <c r="O48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4" i="6287"/>
  <c r="O22" i="6287"/>
  <c r="O20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10" i="6299"/>
  <c r="C10" i="6299"/>
  <c r="O9" i="6299"/>
  <c r="H8" i="6299"/>
  <c r="C9" i="6299"/>
  <c r="O8" i="6299"/>
  <c r="H11" i="6299"/>
  <c r="C8" i="6299"/>
  <c r="O7" i="6299"/>
  <c r="H4" i="6299"/>
  <c r="C7" i="6299"/>
  <c r="O6" i="6299"/>
  <c r="H9" i="6299"/>
  <c r="B6" i="6299"/>
  <c r="O5" i="6299"/>
  <c r="H7" i="6299"/>
  <c r="B5" i="6299"/>
  <c r="O4" i="6299"/>
  <c r="H3" i="6299"/>
  <c r="O3" i="6299"/>
  <c r="H6" i="6299"/>
  <c r="O2" i="6299"/>
  <c r="H2" i="6299"/>
  <c r="O27" i="6272"/>
  <c r="O18" i="6298"/>
  <c r="O22" i="6298"/>
  <c r="O21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6" i="6298"/>
  <c r="C10" i="6298"/>
  <c r="O9" i="6298"/>
  <c r="H10" i="6298"/>
  <c r="C9" i="6298"/>
  <c r="O8" i="6298"/>
  <c r="H12" i="6298"/>
  <c r="C8" i="6298"/>
  <c r="O7" i="6298"/>
  <c r="H7" i="6298"/>
  <c r="C7" i="6298"/>
  <c r="O6" i="6298"/>
  <c r="H8" i="6298"/>
  <c r="B6" i="6298"/>
  <c r="O5" i="6298"/>
  <c r="H4" i="6298"/>
  <c r="B5" i="6298"/>
  <c r="O4" i="6298"/>
  <c r="H2" i="6298"/>
  <c r="O3" i="6298"/>
  <c r="H9" i="6298"/>
  <c r="O2" i="6298"/>
  <c r="H3" i="6298"/>
  <c r="O35" i="6272"/>
  <c r="B26" i="6299" l="1"/>
  <c r="C16" i="6299"/>
  <c r="B26" i="6298"/>
  <c r="C16" i="6298"/>
  <c r="C47" i="6299"/>
  <c r="C46" i="6299"/>
  <c r="C45" i="6299"/>
  <c r="C44" i="6299"/>
  <c r="C43" i="6299"/>
  <c r="H5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1" i="6298"/>
  <c r="H19" i="6298"/>
  <c r="O31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2" i="6295"/>
  <c r="O26" i="6277"/>
  <c r="O20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4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8" i="6295" l="1"/>
  <c r="O28" i="6275"/>
  <c r="O31" i="6287" l="1"/>
  <c r="O21" i="6274"/>
  <c r="O24" i="6274"/>
  <c r="O22" i="6293"/>
  <c r="O27" i="6295" l="1"/>
  <c r="O26" i="6295"/>
  <c r="O29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32" i="6277"/>
  <c r="O22" i="6277"/>
  <c r="O31" i="6272"/>
  <c r="O29" i="6272"/>
  <c r="B25" i="6294" l="1"/>
  <c r="C37" i="6294"/>
  <c r="H31" i="6294"/>
  <c r="H12" i="6295"/>
  <c r="H8" i="6295"/>
  <c r="H16" i="6295"/>
  <c r="C21" i="6295"/>
  <c r="C35" i="6295"/>
  <c r="C41" i="6295"/>
  <c r="C47" i="6295"/>
  <c r="H13" i="6295"/>
  <c r="C23" i="6295"/>
  <c r="H10" i="6295"/>
  <c r="C36" i="6295"/>
  <c r="C42" i="6295"/>
  <c r="C19" i="6295"/>
  <c r="B24" i="6295"/>
  <c r="C37" i="6295"/>
  <c r="C43" i="6295"/>
  <c r="H7" i="6295"/>
  <c r="H6" i="6295"/>
  <c r="H15" i="6295"/>
  <c r="H11" i="6295"/>
  <c r="H4" i="6295"/>
  <c r="H9" i="6295"/>
  <c r="H18" i="6295"/>
  <c r="C17" i="6295"/>
  <c r="C20" i="6295"/>
  <c r="H28" i="6295"/>
  <c r="H34" i="6295"/>
  <c r="H38" i="6295"/>
  <c r="C45" i="6295"/>
  <c r="C16" i="6295"/>
  <c r="C38" i="6295"/>
  <c r="H31" i="6295"/>
  <c r="H3" i="6295"/>
  <c r="H14" i="6295"/>
  <c r="H17" i="6295"/>
  <c r="H19" i="6295"/>
  <c r="C22" i="6295"/>
  <c r="C39" i="6295"/>
  <c r="H24" i="6295"/>
  <c r="H33" i="6295"/>
  <c r="C40" i="6295"/>
  <c r="H42" i="6295"/>
  <c r="H21" i="6295"/>
  <c r="H25" i="6295"/>
  <c r="H29" i="6295"/>
  <c r="H35" i="6295"/>
  <c r="H39" i="6295"/>
  <c r="H2" i="6295"/>
  <c r="H22" i="6295"/>
  <c r="H26" i="6295"/>
  <c r="H30" i="6295"/>
  <c r="H36" i="6295"/>
  <c r="H40" i="6295"/>
  <c r="C44" i="6295"/>
  <c r="B25" i="6295"/>
  <c r="H5" i="6295"/>
  <c r="H20" i="6295"/>
  <c r="H23" i="6295"/>
  <c r="H27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29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4" i="6277"/>
  <c r="O25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5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0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4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5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3" i="6272"/>
  <c r="O23" i="6278"/>
  <c r="O18" i="6278"/>
  <c r="O18" i="6275"/>
  <c r="O26" i="6275"/>
  <c r="O22" i="6275"/>
  <c r="O21" i="6282"/>
  <c r="O22" i="6282"/>
  <c r="O4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7" i="6277"/>
  <c r="O36" i="6277"/>
  <c r="O27" i="6277"/>
  <c r="O3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5" i="6272"/>
  <c r="O38" i="6277"/>
  <c r="O39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2" i="6272"/>
  <c r="O44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9" i="6272"/>
  <c r="O46" i="6272"/>
  <c r="O3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4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3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3" i="6272"/>
  <c r="H14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<sst xmlns="http://schemas.openxmlformats.org/spreadsheetml/2006/main" count="6505" uniqueCount="252">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</sst>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全体!$L$2:$L$271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-44.609665427509292</c:v>
                </c:pt>
                <c:pt idx="1">
                  <c:v>-7.4349442379182156</c:v>
                </c:pt>
                <c:pt idx="2">
                  <c:v>8.3018867924528301</c:v>
                </c:pt>
                <c:pt idx="3">
                  <c:v>-4.0816326530612246</c:v>
                </c:pt>
                <c:pt idx="4">
                  <c:v>23.80952380952381</c:v>
                </c:pt>
                <c:pt idx="5">
                  <c:v>-66.666666666666671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42</c:v>
                </c:pt>
                <c:pt idx="1">
                  <c:v>82</c:v>
                </c:pt>
                <c:pt idx="2">
                  <c:v>93</c:v>
                </c:pt>
                <c:pt idx="3">
                  <c:v>89</c:v>
                </c:pt>
                <c:pt idx="4">
                  <c:v>45</c:v>
                </c:pt>
                <c:pt idx="5">
                  <c:v>51</c:v>
                </c:pt>
                <c:pt idx="6">
                  <c:v>13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佐藤成浩!$L$2:$L$38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747.22222222222217</c:v>
                </c:pt>
                <c:pt idx="1">
                  <c:v>1983.3333333333333</c:v>
                </c:pt>
                <c:pt idx="2">
                  <c:v>1634.2857142857142</c:v>
                </c:pt>
                <c:pt idx="3">
                  <c:v>1545.1612903225807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11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柳澤颯吾!$L$2:$L$36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885.29411764705878</c:v>
                </c:pt>
                <c:pt idx="1">
                  <c:v>811.76470588235293</c:v>
                </c:pt>
                <c:pt idx="2">
                  <c:v>-70.588235294117652</c:v>
                </c:pt>
                <c:pt idx="3">
                  <c:v>793.33333333333337</c:v>
                </c:pt>
                <c:pt idx="4">
                  <c:v>-231.57894736842104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18</c:v>
                </c:pt>
                <c:pt idx="3">
                  <c:v>4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関谷洸佑!$L$2:$L$25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182.60869565217391</c:v>
                </c:pt>
                <c:pt idx="1">
                  <c:v>1104.3478260869565</c:v>
                </c:pt>
                <c:pt idx="2">
                  <c:v>-3204.5454545454545</c:v>
                </c:pt>
                <c:pt idx="3">
                  <c:v>-1257.8947368421052</c:v>
                </c:pt>
                <c:pt idx="4">
                  <c:v>-2955.5555555555557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伊藤仁城!$L$2:$L$14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116.66666666666667</c:v>
                </c:pt>
                <c:pt idx="1">
                  <c:v>-3641.6666666666665</c:v>
                </c:pt>
                <c:pt idx="2">
                  <c:v>-1691.6666666666667</c:v>
                </c:pt>
                <c:pt idx="3">
                  <c:v>-2408.3333333333335</c:v>
                </c:pt>
                <c:pt idx="4">
                  <c:v>-3971.4285714285716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西沢武留!$L$2:$L$14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-1108.3333333333333</c:v>
                </c:pt>
                <c:pt idx="1">
                  <c:v>-1058.3333333333333</c:v>
                </c:pt>
                <c:pt idx="2">
                  <c:v>2400</c:v>
                </c:pt>
                <c:pt idx="3">
                  <c:v>490.90909090909093</c:v>
                </c:pt>
                <c:pt idx="4">
                  <c:v>5200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中村季暉!$L$2:$L$10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-875</c:v>
                </c:pt>
                <c:pt idx="1">
                  <c:v>-3450</c:v>
                </c:pt>
                <c:pt idx="2">
                  <c:v>-642.85714285714289</c:v>
                </c:pt>
                <c:pt idx="3">
                  <c:v>-1885.7142857142858</c:v>
                </c:pt>
                <c:pt idx="4">
                  <c:v>-8300</c:v>
                </c:pt>
                <c:pt idx="5">
                  <c:v>-3850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吉澤諒!$L$2:$L$6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-1150</c:v>
                </c:pt>
                <c:pt idx="2">
                  <c:v>4400</c:v>
                </c:pt>
                <c:pt idx="3">
                  <c:v>-75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塩入悠!$L$2:$L$6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-2150</c:v>
                </c:pt>
                <c:pt idx="1">
                  <c:v>-1450</c:v>
                </c:pt>
                <c:pt idx="2">
                  <c:v>-2375</c:v>
                </c:pt>
                <c:pt idx="3">
                  <c:v>4600</c:v>
                </c:pt>
                <c:pt idx="4">
                  <c:v>1250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8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2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269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23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12</v>
      </c>
    </row>
    <row r="27" spans="1:2">
      <c r="A27" t="s">
        <v>227</v>
      </c>
      <c r="B27">
        <v>12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8</v>
      </c>
    </row>
    <row r="31" spans="1:2">
      <c r="A31" t="s">
        <v>241</v>
      </c>
      <c r="B31">
        <v>4</v>
      </c>
    </row>
    <row r="32" spans="1:2">
      <c r="A32" t="s">
        <v>244</v>
      </c>
      <c r="B32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4"/>
  <sheetViews>
    <sheetView showGridLines="0" tabSelected="1" zoomScale="130" zoomScaleNormal="130" workbookViewId="0">
      <selection activeCell="F2" sqref="F2:G2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0.66064135524018852</v>
      </c>
      <c r="C2" s="111"/>
      <c r="D2" s="112"/>
      <c r="E2" s="113"/>
      <c r="F2" s="112"/>
      <c r="G2" s="113"/>
      <c r="H2" s="110">
        <v>0.83765545778607198</v>
      </c>
      <c r="I2" s="111"/>
      <c r="J2" s="110">
        <v>0.74991394326876026</v>
      </c>
      <c r="K2" s="111"/>
      <c r="L2" s="110">
        <v>0.66329528159116125</v>
      </c>
      <c r="M2" s="111"/>
      <c r="N2" s="110">
        <v>0.66803313233267569</v>
      </c>
      <c r="O2" s="111"/>
      <c r="P2" s="110">
        <v>0.44136712190595712</v>
      </c>
      <c r="Q2" s="111"/>
      <c r="R2" s="110">
        <v>0.49196380401355166</v>
      </c>
      <c r="S2" s="111"/>
      <c r="T2" s="110">
        <v>4.4956621514519637E-2</v>
      </c>
      <c r="U2" s="111"/>
      <c r="V2" s="110">
        <v>0.57460096029278573</v>
      </c>
      <c r="W2" s="111"/>
      <c r="X2" s="110">
        <v>-0.12610889921957549</v>
      </c>
      <c r="Y2" s="111"/>
      <c r="Z2" s="110">
        <v>0.24017849744578759</v>
      </c>
      <c r="AA2" s="111"/>
      <c r="AB2" s="110">
        <v>0.27244954145187195</v>
      </c>
      <c r="AC2" s="111"/>
      <c r="AD2" s="110">
        <v>0.32023285906922938</v>
      </c>
      <c r="AE2" s="111"/>
      <c r="AF2" s="110">
        <v>-0.29703261634923955</v>
      </c>
      <c r="AG2" s="111"/>
      <c r="AH2" s="110">
        <v>0.69441661612239247</v>
      </c>
      <c r="AI2" s="111"/>
    </row>
    <row r="3" spans="1:35">
      <c r="A3" s="36">
        <v>1</v>
      </c>
      <c r="B3" s="37" t="s">
        <v>114</v>
      </c>
      <c r="C3" s="106">
        <v>67.25</v>
      </c>
      <c r="D3" s="37" t="s">
        <v>169</v>
      </c>
      <c r="E3" s="38">
        <v>672.80000000000007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227</v>
      </c>
      <c r="Y3" s="42">
        <v>0.38750000000000001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36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244</v>
      </c>
      <c r="U4" s="51">
        <v>9485.7142857142862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34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216</v>
      </c>
      <c r="U5" s="51">
        <v>8680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23</v>
      </c>
      <c r="D6" s="45" t="s">
        <v>205</v>
      </c>
      <c r="E6" s="46">
        <v>141.1</v>
      </c>
      <c r="F6" s="47" t="s">
        <v>169</v>
      </c>
      <c r="G6" s="59">
        <v>18.68888888888889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241</v>
      </c>
      <c r="O6" s="49">
        <v>0.75</v>
      </c>
      <c r="P6" s="47" t="s">
        <v>167</v>
      </c>
      <c r="Q6" s="50">
        <v>0.2857142857142857</v>
      </c>
      <c r="R6" s="47" t="s">
        <v>169</v>
      </c>
      <c r="S6" s="50">
        <v>8.455882352941177E-2</v>
      </c>
      <c r="T6" s="47" t="s">
        <v>167</v>
      </c>
      <c r="U6" s="51">
        <v>8600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196</v>
      </c>
      <c r="AE6" s="50">
        <v>0.5</v>
      </c>
      <c r="AF6" s="47" t="s">
        <v>244</v>
      </c>
      <c r="AG6" s="50">
        <v>0.5714285714285714</v>
      </c>
      <c r="AH6" s="47" t="s">
        <v>168</v>
      </c>
      <c r="AI6" s="54">
        <v>65600</v>
      </c>
    </row>
    <row r="7" spans="1:35">
      <c r="A7" s="44">
        <v>5</v>
      </c>
      <c r="B7" s="45" t="s">
        <v>168</v>
      </c>
      <c r="C7" s="107">
        <v>18</v>
      </c>
      <c r="D7" s="45" t="s">
        <v>231</v>
      </c>
      <c r="E7" s="46">
        <v>112.5</v>
      </c>
      <c r="F7" s="47" t="s">
        <v>167</v>
      </c>
      <c r="G7" s="59">
        <v>14</v>
      </c>
      <c r="H7" s="47" t="s">
        <v>169</v>
      </c>
      <c r="I7" s="48">
        <v>2.0555555555555554</v>
      </c>
      <c r="J7" s="47" t="s">
        <v>244</v>
      </c>
      <c r="K7" s="49">
        <v>0.5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162</v>
      </c>
      <c r="Q7" s="50">
        <v>0.26923076923076922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180</v>
      </c>
      <c r="AA7" s="50">
        <v>0.2857142857142857</v>
      </c>
      <c r="AB7" s="47" t="s">
        <v>166</v>
      </c>
      <c r="AC7" s="50">
        <v>0.75</v>
      </c>
      <c r="AD7" s="47" t="s">
        <v>241</v>
      </c>
      <c r="AE7" s="50">
        <v>0.5</v>
      </c>
      <c r="AF7" s="47" t="s">
        <v>216</v>
      </c>
      <c r="AG7" s="50">
        <v>0.55000000000000004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195</v>
      </c>
      <c r="E8" s="46">
        <v>107.19999999999997</v>
      </c>
      <c r="F8" s="47" t="s">
        <v>244</v>
      </c>
      <c r="G8" s="59">
        <v>11.499999999999998</v>
      </c>
      <c r="H8" s="47" t="s">
        <v>191</v>
      </c>
      <c r="I8" s="48">
        <v>2.1428571428571428</v>
      </c>
      <c r="J8" s="47" t="s">
        <v>169</v>
      </c>
      <c r="K8" s="49">
        <v>0.3888888888888889</v>
      </c>
      <c r="L8" s="47" t="s">
        <v>231</v>
      </c>
      <c r="M8" s="49">
        <v>0</v>
      </c>
      <c r="N8" s="47" t="s">
        <v>169</v>
      </c>
      <c r="O8" s="49">
        <v>0.66666666666666663</v>
      </c>
      <c r="P8" s="47" t="s">
        <v>195</v>
      </c>
      <c r="Q8" s="50">
        <v>0.26778242677824265</v>
      </c>
      <c r="R8" s="47" t="s">
        <v>177</v>
      </c>
      <c r="S8" s="50">
        <v>0.10526315789473684</v>
      </c>
      <c r="T8" s="47" t="s">
        <v>205</v>
      </c>
      <c r="U8" s="51">
        <v>8333.3333333333339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195</v>
      </c>
      <c r="AA8" s="50">
        <v>0.28451882845188287</v>
      </c>
      <c r="AB8" s="47" t="s">
        <v>175</v>
      </c>
      <c r="AC8" s="50">
        <v>0.75</v>
      </c>
      <c r="AD8" s="47" t="s">
        <v>179</v>
      </c>
      <c r="AE8" s="50">
        <v>0.45454545454545453</v>
      </c>
      <c r="AF8" s="47" t="s">
        <v>167</v>
      </c>
      <c r="AG8" s="50">
        <v>0.5</v>
      </c>
      <c r="AH8" s="47" t="s">
        <v>227</v>
      </c>
      <c r="AI8" s="54">
        <v>64500</v>
      </c>
    </row>
    <row r="9" spans="1:35">
      <c r="A9" s="44">
        <v>7</v>
      </c>
      <c r="B9" s="45" t="s">
        <v>164</v>
      </c>
      <c r="C9" s="107">
        <v>15</v>
      </c>
      <c r="D9" s="45" t="s">
        <v>191</v>
      </c>
      <c r="E9" s="46">
        <v>79.299999999999983</v>
      </c>
      <c r="F9" s="47" t="s">
        <v>168</v>
      </c>
      <c r="G9" s="59">
        <v>8.5777777777777757</v>
      </c>
      <c r="H9" s="47" t="s">
        <v>244</v>
      </c>
      <c r="I9" s="48">
        <v>2.25</v>
      </c>
      <c r="J9" s="47" t="s">
        <v>168</v>
      </c>
      <c r="K9" s="49">
        <v>0.3888888888888889</v>
      </c>
      <c r="L9" s="47" t="s">
        <v>191</v>
      </c>
      <c r="M9" s="49">
        <v>7.1428571428571425E-2</v>
      </c>
      <c r="N9" s="47" t="s">
        <v>162</v>
      </c>
      <c r="O9" s="49">
        <v>0.66666666666666663</v>
      </c>
      <c r="P9" s="47" t="s">
        <v>227</v>
      </c>
      <c r="Q9" s="50">
        <v>0.25</v>
      </c>
      <c r="R9" s="47" t="s">
        <v>179</v>
      </c>
      <c r="S9" s="50">
        <v>0.10687022900763359</v>
      </c>
      <c r="T9" s="47" t="s">
        <v>231</v>
      </c>
      <c r="U9" s="51">
        <v>7975</v>
      </c>
      <c r="V9" s="47" t="s">
        <v>241</v>
      </c>
      <c r="W9" s="51">
        <v>-4533.333333333333</v>
      </c>
      <c r="X9" s="47" t="s">
        <v>195</v>
      </c>
      <c r="Y9" s="50">
        <v>0.26359832635983266</v>
      </c>
      <c r="Z9" s="47" t="s">
        <v>244</v>
      </c>
      <c r="AA9" s="50">
        <v>0.27586206896551724</v>
      </c>
      <c r="AB9" s="47" t="s">
        <v>177</v>
      </c>
      <c r="AC9" s="50">
        <v>0.75</v>
      </c>
      <c r="AD9" s="47" t="s">
        <v>161</v>
      </c>
      <c r="AE9" s="50">
        <v>0.3888888888888889</v>
      </c>
      <c r="AF9" s="47" t="s">
        <v>203</v>
      </c>
      <c r="AG9" s="50">
        <v>0.5</v>
      </c>
      <c r="AH9" s="47" t="s">
        <v>216</v>
      </c>
      <c r="AI9" s="54">
        <v>62700</v>
      </c>
    </row>
    <row r="10" spans="1:35">
      <c r="A10" s="44">
        <v>8</v>
      </c>
      <c r="B10" s="45" t="s">
        <v>191</v>
      </c>
      <c r="C10" s="107">
        <v>14</v>
      </c>
      <c r="D10" s="45" t="s">
        <v>244</v>
      </c>
      <c r="E10" s="46">
        <v>45.999999999999993</v>
      </c>
      <c r="F10" s="47" t="s">
        <v>191</v>
      </c>
      <c r="G10" s="59">
        <v>5.6642857142857128</v>
      </c>
      <c r="H10" s="47" t="s">
        <v>168</v>
      </c>
      <c r="I10" s="48">
        <v>2.3333333333333335</v>
      </c>
      <c r="J10" s="47" t="s">
        <v>163</v>
      </c>
      <c r="K10" s="49">
        <v>0.375</v>
      </c>
      <c r="L10" s="47" t="s">
        <v>169</v>
      </c>
      <c r="M10" s="49">
        <v>0.1111111111111111</v>
      </c>
      <c r="N10" s="47" t="s">
        <v>164</v>
      </c>
      <c r="O10" s="49">
        <v>0.6</v>
      </c>
      <c r="P10" s="47" t="s">
        <v>179</v>
      </c>
      <c r="Q10" s="50">
        <v>0.24427480916030533</v>
      </c>
      <c r="R10" s="47" t="s">
        <v>205</v>
      </c>
      <c r="S10" s="50">
        <v>0.10714285714285714</v>
      </c>
      <c r="T10" s="47" t="s">
        <v>169</v>
      </c>
      <c r="U10" s="51">
        <v>7942.8571428571431</v>
      </c>
      <c r="V10" s="47" t="s">
        <v>202</v>
      </c>
      <c r="W10" s="51">
        <v>-4800</v>
      </c>
      <c r="X10" s="47" t="s">
        <v>162</v>
      </c>
      <c r="Y10" s="50">
        <v>0.25641025641025639</v>
      </c>
      <c r="Z10" s="47" t="s">
        <v>164</v>
      </c>
      <c r="AA10" s="50">
        <v>0.256198347107438</v>
      </c>
      <c r="AB10" s="47" t="s">
        <v>244</v>
      </c>
      <c r="AC10" s="50">
        <v>0.75</v>
      </c>
      <c r="AD10" s="47" t="s">
        <v>168</v>
      </c>
      <c r="AE10" s="50">
        <v>0.38297872340425532</v>
      </c>
      <c r="AF10" s="47" t="s">
        <v>213</v>
      </c>
      <c r="AG10" s="50">
        <v>0.5</v>
      </c>
      <c r="AH10" s="47" t="s">
        <v>244</v>
      </c>
      <c r="AI10" s="54">
        <v>61100</v>
      </c>
    </row>
    <row r="11" spans="1:35">
      <c r="A11" s="44">
        <v>9</v>
      </c>
      <c r="B11" s="45" t="s">
        <v>228</v>
      </c>
      <c r="C11" s="107">
        <v>12</v>
      </c>
      <c r="D11" s="45" t="s">
        <v>164</v>
      </c>
      <c r="E11" s="46">
        <v>22.499999999999993</v>
      </c>
      <c r="F11" s="47" t="s">
        <v>195</v>
      </c>
      <c r="G11" s="59">
        <v>3.1529411764705877</v>
      </c>
      <c r="H11" s="47" t="s">
        <v>179</v>
      </c>
      <c r="I11" s="48">
        <v>2.4375</v>
      </c>
      <c r="J11" s="47" t="s">
        <v>161</v>
      </c>
      <c r="K11" s="49">
        <v>0.3</v>
      </c>
      <c r="L11" s="47" t="s">
        <v>195</v>
      </c>
      <c r="M11" s="49">
        <v>0.14705882352941177</v>
      </c>
      <c r="N11" s="47" t="s">
        <v>227</v>
      </c>
      <c r="O11" s="49">
        <v>0.58333333333333337</v>
      </c>
      <c r="P11" s="47" t="s">
        <v>244</v>
      </c>
      <c r="Q11" s="50">
        <v>0.2413793103448276</v>
      </c>
      <c r="R11" s="47" t="s">
        <v>166</v>
      </c>
      <c r="S11" s="50">
        <v>0.11428571428571428</v>
      </c>
      <c r="T11" s="47" t="s">
        <v>162</v>
      </c>
      <c r="U11" s="51">
        <v>7942.8571428571431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179</v>
      </c>
      <c r="AA11" s="50">
        <v>0.25190839694656486</v>
      </c>
      <c r="AB11" s="47" t="s">
        <v>168</v>
      </c>
      <c r="AC11" s="50">
        <v>0.7142857142857143</v>
      </c>
      <c r="AD11" s="47" t="s">
        <v>216</v>
      </c>
      <c r="AE11" s="50">
        <v>0.36842105263157893</v>
      </c>
      <c r="AF11" s="47" t="s">
        <v>223</v>
      </c>
      <c r="AG11" s="50">
        <v>0.5</v>
      </c>
      <c r="AH11" s="47" t="s">
        <v>205</v>
      </c>
      <c r="AI11" s="54">
        <v>57200</v>
      </c>
    </row>
    <row r="12" spans="1:35">
      <c r="A12" s="44">
        <v>10</v>
      </c>
      <c r="B12" s="45" t="s">
        <v>227</v>
      </c>
      <c r="C12" s="107">
        <v>12</v>
      </c>
      <c r="D12" s="45" t="s">
        <v>163</v>
      </c>
      <c r="E12" s="46">
        <v>20.300000000000004</v>
      </c>
      <c r="F12" s="47" t="s">
        <v>163</v>
      </c>
      <c r="G12" s="59">
        <v>2.5375000000000005</v>
      </c>
      <c r="H12" s="47" t="s">
        <v>195</v>
      </c>
      <c r="I12" s="48">
        <v>2.4411764705882355</v>
      </c>
      <c r="J12" s="47" t="s">
        <v>195</v>
      </c>
      <c r="K12" s="49">
        <v>0.26470588235294118</v>
      </c>
      <c r="L12" s="47" t="s">
        <v>179</v>
      </c>
      <c r="M12" s="49">
        <v>0.1875</v>
      </c>
      <c r="N12" s="47" t="s">
        <v>168</v>
      </c>
      <c r="O12" s="49">
        <v>0.55555555555555558</v>
      </c>
      <c r="P12" s="47" t="s">
        <v>169</v>
      </c>
      <c r="Q12" s="50">
        <v>0.23161764705882354</v>
      </c>
      <c r="R12" s="47" t="s">
        <v>241</v>
      </c>
      <c r="S12" s="50">
        <v>0.11538461538461539</v>
      </c>
      <c r="T12" s="47" t="s">
        <v>164</v>
      </c>
      <c r="U12" s="51">
        <v>7355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196</v>
      </c>
      <c r="AA12" s="50">
        <v>0.25</v>
      </c>
      <c r="AB12" s="47" t="s">
        <v>169</v>
      </c>
      <c r="AC12" s="50">
        <v>0.67391304347826086</v>
      </c>
      <c r="AD12" s="47" t="s">
        <v>195</v>
      </c>
      <c r="AE12" s="50">
        <v>0.36764705882352944</v>
      </c>
      <c r="AF12" s="47" t="s">
        <v>161</v>
      </c>
      <c r="AG12" s="50">
        <v>0.4375</v>
      </c>
      <c r="AH12" s="47" t="s">
        <v>161</v>
      </c>
      <c r="AI12" s="54">
        <v>54900</v>
      </c>
    </row>
    <row r="13" spans="1:35">
      <c r="A13" s="44">
        <v>11</v>
      </c>
      <c r="B13" s="45" t="s">
        <v>161</v>
      </c>
      <c r="C13" s="107">
        <v>10</v>
      </c>
      <c r="D13" s="45" t="s">
        <v>167</v>
      </c>
      <c r="E13" s="46">
        <v>14</v>
      </c>
      <c r="F13" s="47" t="s">
        <v>177</v>
      </c>
      <c r="G13" s="59">
        <v>1.9499999999999993</v>
      </c>
      <c r="H13" s="47" t="s">
        <v>164</v>
      </c>
      <c r="I13" s="48">
        <v>2.4666666666666668</v>
      </c>
      <c r="J13" s="47" t="s">
        <v>114</v>
      </c>
      <c r="K13" s="49">
        <v>0.25650557620817843</v>
      </c>
      <c r="L13" s="47" t="s">
        <v>162</v>
      </c>
      <c r="M13" s="49">
        <v>0.22222222222222221</v>
      </c>
      <c r="N13" s="47" t="s">
        <v>213</v>
      </c>
      <c r="O13" s="49">
        <v>0.55555555555555558</v>
      </c>
      <c r="P13" s="47" t="s">
        <v>241</v>
      </c>
      <c r="Q13" s="50">
        <v>0.23076923076923078</v>
      </c>
      <c r="R13" s="47" t="s">
        <v>163</v>
      </c>
      <c r="S13" s="50">
        <v>0.11594202898550725</v>
      </c>
      <c r="T13" s="47" t="s">
        <v>227</v>
      </c>
      <c r="U13" s="51">
        <v>7325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191</v>
      </c>
      <c r="AA13" s="50">
        <v>0.24347826086956523</v>
      </c>
      <c r="AB13" s="47" t="s">
        <v>241</v>
      </c>
      <c r="AC13" s="50">
        <v>0.66666666666666663</v>
      </c>
      <c r="AD13" s="47" t="s">
        <v>169</v>
      </c>
      <c r="AE13" s="50">
        <v>0.36</v>
      </c>
      <c r="AF13" s="47" t="s">
        <v>162</v>
      </c>
      <c r="AG13" s="50">
        <v>0.42857142857142855</v>
      </c>
      <c r="AH13" s="47" t="s">
        <v>179</v>
      </c>
      <c r="AI13" s="54">
        <v>53200</v>
      </c>
    </row>
    <row r="14" spans="1:35">
      <c r="A14" s="44">
        <v>12</v>
      </c>
      <c r="B14" s="45" t="s">
        <v>162</v>
      </c>
      <c r="C14" s="107">
        <v>9</v>
      </c>
      <c r="D14" s="45" t="s">
        <v>177</v>
      </c>
      <c r="E14" s="46">
        <v>3.8999999999999986</v>
      </c>
      <c r="F14" s="47" t="s">
        <v>164</v>
      </c>
      <c r="G14" s="59">
        <v>1.4999999999999996</v>
      </c>
      <c r="H14" s="47" t="s">
        <v>114</v>
      </c>
      <c r="I14" s="48">
        <v>2.486988847583643</v>
      </c>
      <c r="J14" s="47" t="s">
        <v>179</v>
      </c>
      <c r="K14" s="49">
        <v>0.25</v>
      </c>
      <c r="L14" s="47" t="s">
        <v>213</v>
      </c>
      <c r="M14" s="49">
        <v>0.22222222222222221</v>
      </c>
      <c r="N14" s="47" t="s">
        <v>114</v>
      </c>
      <c r="O14" s="49">
        <v>0.5018587360594795</v>
      </c>
      <c r="P14" s="47" t="s">
        <v>163</v>
      </c>
      <c r="Q14" s="50">
        <v>0.21739130434782608</v>
      </c>
      <c r="R14" s="47" t="s">
        <v>213</v>
      </c>
      <c r="S14" s="50">
        <v>0.12244897959183673</v>
      </c>
      <c r="T14" s="47" t="s">
        <v>228</v>
      </c>
      <c r="U14" s="51">
        <v>7321.4285714285716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161</v>
      </c>
      <c r="AA14" s="50">
        <v>0.23376623376623376</v>
      </c>
      <c r="AB14" s="47" t="s">
        <v>228</v>
      </c>
      <c r="AC14" s="50">
        <v>0.6470588235294118</v>
      </c>
      <c r="AD14" s="47" t="s">
        <v>191</v>
      </c>
      <c r="AE14" s="50">
        <v>0.35714285714285715</v>
      </c>
      <c r="AF14" s="47" t="s">
        <v>205</v>
      </c>
      <c r="AG14" s="50">
        <v>0.41666666666666669</v>
      </c>
      <c r="AH14" s="47" t="s">
        <v>191</v>
      </c>
      <c r="AI14" s="54">
        <v>52500</v>
      </c>
    </row>
    <row r="15" spans="1:35">
      <c r="A15" s="44">
        <v>13</v>
      </c>
      <c r="B15" s="45" t="s">
        <v>213</v>
      </c>
      <c r="C15" s="107">
        <v>9</v>
      </c>
      <c r="D15" s="45" t="s">
        <v>161</v>
      </c>
      <c r="E15" s="46">
        <v>-0.69999999999998863</v>
      </c>
      <c r="F15" s="47" t="s">
        <v>161</v>
      </c>
      <c r="G15" s="59">
        <v>-6.9999999999998869E-2</v>
      </c>
      <c r="H15" s="47" t="s">
        <v>161</v>
      </c>
      <c r="I15" s="48">
        <v>2.5</v>
      </c>
      <c r="J15" s="47" t="s">
        <v>216</v>
      </c>
      <c r="K15" s="49">
        <v>0.21739130434782608</v>
      </c>
      <c r="L15" s="47" t="s">
        <v>114</v>
      </c>
      <c r="M15" s="49">
        <v>0.24535315985130113</v>
      </c>
      <c r="N15" s="47" t="s">
        <v>161</v>
      </c>
      <c r="O15" s="49">
        <v>0.5</v>
      </c>
      <c r="P15" s="47" t="s">
        <v>177</v>
      </c>
      <c r="Q15" s="50">
        <v>0.21052631578947367</v>
      </c>
      <c r="R15" s="47" t="s">
        <v>195</v>
      </c>
      <c r="S15" s="50">
        <v>0.12552301255230125</v>
      </c>
      <c r="T15" s="47" t="s">
        <v>213</v>
      </c>
      <c r="U15" s="51">
        <v>7300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241</v>
      </c>
      <c r="AA15" s="50">
        <v>0.23076923076923078</v>
      </c>
      <c r="AB15" s="47" t="s">
        <v>227</v>
      </c>
      <c r="AC15" s="50">
        <v>0.54838709677419351</v>
      </c>
      <c r="AD15" s="47" t="s">
        <v>114</v>
      </c>
      <c r="AE15" s="50">
        <v>0.34285714285714286</v>
      </c>
      <c r="AF15" s="47" t="s">
        <v>168</v>
      </c>
      <c r="AG15" s="50">
        <v>0.39534883720930231</v>
      </c>
      <c r="AH15" s="47" t="s">
        <v>164</v>
      </c>
      <c r="AI15" s="54">
        <v>52000</v>
      </c>
    </row>
    <row r="16" spans="1:35">
      <c r="A16" s="44">
        <v>14</v>
      </c>
      <c r="B16" s="45" t="s">
        <v>163</v>
      </c>
      <c r="C16" s="107">
        <v>8</v>
      </c>
      <c r="D16" s="45" t="s">
        <v>175</v>
      </c>
      <c r="E16" s="46">
        <v>-2.2000000000000011</v>
      </c>
      <c r="F16" s="47" t="s">
        <v>114</v>
      </c>
      <c r="G16" s="59">
        <v>-0.11152416356877337</v>
      </c>
      <c r="H16" s="47" t="s">
        <v>227</v>
      </c>
      <c r="I16" s="48">
        <v>2.5</v>
      </c>
      <c r="J16" s="47" t="s">
        <v>191</v>
      </c>
      <c r="K16" s="49">
        <v>0.21428571428571427</v>
      </c>
      <c r="L16" s="47" t="s">
        <v>227</v>
      </c>
      <c r="M16" s="49">
        <v>0.25</v>
      </c>
      <c r="N16" s="47" t="s">
        <v>179</v>
      </c>
      <c r="O16" s="49">
        <v>0.5</v>
      </c>
      <c r="P16" s="47" t="s">
        <v>114</v>
      </c>
      <c r="Q16" s="50">
        <v>0.20931397095643464</v>
      </c>
      <c r="R16" s="47" t="s">
        <v>216</v>
      </c>
      <c r="S16" s="50">
        <v>0.12582781456953643</v>
      </c>
      <c r="T16" s="47" t="s">
        <v>223</v>
      </c>
      <c r="U16" s="51">
        <v>7200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205</v>
      </c>
      <c r="AA16" s="50">
        <v>0.21428571428571427</v>
      </c>
      <c r="AB16" s="47" t="s">
        <v>195</v>
      </c>
      <c r="AC16" s="50">
        <v>0.53968253968253965</v>
      </c>
      <c r="AD16" s="47" t="s">
        <v>177</v>
      </c>
      <c r="AE16" s="50">
        <v>0.33333333333333331</v>
      </c>
      <c r="AF16" s="47" t="s">
        <v>195</v>
      </c>
      <c r="AG16" s="50">
        <v>0.390625</v>
      </c>
      <c r="AH16" s="47" t="s">
        <v>228</v>
      </c>
      <c r="AI16" s="54">
        <v>42500</v>
      </c>
    </row>
    <row r="17" spans="1:35">
      <c r="A17" s="44">
        <v>15</v>
      </c>
      <c r="B17" s="45" t="s">
        <v>238</v>
      </c>
      <c r="C17" s="107">
        <v>8</v>
      </c>
      <c r="D17" s="45" t="s">
        <v>241</v>
      </c>
      <c r="E17" s="46">
        <v>-9.3000000000000025</v>
      </c>
      <c r="F17" s="47" t="s">
        <v>227</v>
      </c>
      <c r="G17" s="59">
        <v>-0.90833333333333421</v>
      </c>
      <c r="H17" s="47" t="s">
        <v>163</v>
      </c>
      <c r="I17" s="48">
        <v>2.5</v>
      </c>
      <c r="J17" s="47" t="s">
        <v>164</v>
      </c>
      <c r="K17" s="49">
        <v>0.2</v>
      </c>
      <c r="L17" s="47" t="s">
        <v>223</v>
      </c>
      <c r="M17" s="49">
        <v>0.25</v>
      </c>
      <c r="N17" s="47" t="s">
        <v>163</v>
      </c>
      <c r="O17" s="49">
        <v>0.5</v>
      </c>
      <c r="P17" s="47" t="s">
        <v>161</v>
      </c>
      <c r="Q17" s="50">
        <v>0.20779220779220781</v>
      </c>
      <c r="R17" s="47" t="s">
        <v>162</v>
      </c>
      <c r="S17" s="50">
        <v>0.12820512820512819</v>
      </c>
      <c r="T17" s="47" t="s">
        <v>161</v>
      </c>
      <c r="U17" s="51">
        <v>7025</v>
      </c>
      <c r="V17" s="47" t="s">
        <v>177</v>
      </c>
      <c r="W17" s="51">
        <v>-5950</v>
      </c>
      <c r="X17" s="47" t="s">
        <v>228</v>
      </c>
      <c r="Y17" s="50">
        <v>0.2</v>
      </c>
      <c r="Z17" s="47" t="s">
        <v>114</v>
      </c>
      <c r="AA17" s="50">
        <v>0.21031547320981472</v>
      </c>
      <c r="AB17" s="47" t="s">
        <v>161</v>
      </c>
      <c r="AC17" s="50">
        <v>0.53846153846153844</v>
      </c>
      <c r="AD17" s="47" t="s">
        <v>205</v>
      </c>
      <c r="AE17" s="50">
        <v>0.33333333333333331</v>
      </c>
      <c r="AF17" s="47" t="s">
        <v>179</v>
      </c>
      <c r="AG17" s="50">
        <v>0.375</v>
      </c>
      <c r="AH17" s="47" t="s">
        <v>177</v>
      </c>
      <c r="AI17" s="54">
        <v>42500</v>
      </c>
    </row>
    <row r="18" spans="1:35">
      <c r="A18" s="44">
        <v>16</v>
      </c>
      <c r="B18" s="45" t="s">
        <v>203</v>
      </c>
      <c r="C18" s="107">
        <v>5</v>
      </c>
      <c r="D18" s="45" t="s">
        <v>227</v>
      </c>
      <c r="E18" s="46">
        <v>-10.900000000000011</v>
      </c>
      <c r="F18" s="47" t="s">
        <v>175</v>
      </c>
      <c r="G18" s="59">
        <v>-1.1000000000000005</v>
      </c>
      <c r="H18" s="47" t="s">
        <v>175</v>
      </c>
      <c r="I18" s="48">
        <v>2.5</v>
      </c>
      <c r="J18" s="47" t="s">
        <v>228</v>
      </c>
      <c r="K18" s="49">
        <v>0.16666666666666666</v>
      </c>
      <c r="L18" s="47" t="s">
        <v>238</v>
      </c>
      <c r="M18" s="49">
        <v>0.25</v>
      </c>
      <c r="N18" s="47" t="s">
        <v>175</v>
      </c>
      <c r="O18" s="49">
        <v>0.5</v>
      </c>
      <c r="P18" s="47" t="s">
        <v>166</v>
      </c>
      <c r="Q18" s="50">
        <v>0.2</v>
      </c>
      <c r="R18" s="47" t="s">
        <v>191</v>
      </c>
      <c r="S18" s="50">
        <v>0.13043478260869565</v>
      </c>
      <c r="T18" s="47" t="s">
        <v>114</v>
      </c>
      <c r="U18" s="51">
        <v>6859.8086124401916</v>
      </c>
      <c r="V18" s="47" t="s">
        <v>213</v>
      </c>
      <c r="W18" s="51">
        <v>-5966.666666666667</v>
      </c>
      <c r="X18" s="47" t="s">
        <v>114</v>
      </c>
      <c r="Y18" s="50">
        <v>0.19929894842263396</v>
      </c>
      <c r="Z18" s="47" t="s">
        <v>235</v>
      </c>
      <c r="AA18" s="50">
        <v>0.2</v>
      </c>
      <c r="AB18" s="47" t="s">
        <v>114</v>
      </c>
      <c r="AC18" s="50">
        <v>0.53768844221105527</v>
      </c>
      <c r="AD18" s="47" t="s">
        <v>163</v>
      </c>
      <c r="AE18" s="50">
        <v>0.31818181818181818</v>
      </c>
      <c r="AF18" s="47" t="s">
        <v>114</v>
      </c>
      <c r="AG18" s="50">
        <v>0.35885167464114831</v>
      </c>
      <c r="AH18" s="47" t="s">
        <v>163</v>
      </c>
      <c r="AI18" s="54">
        <v>41700</v>
      </c>
    </row>
    <row r="19" spans="1:35">
      <c r="A19" s="44">
        <v>17</v>
      </c>
      <c r="B19" s="45" t="s">
        <v>166</v>
      </c>
      <c r="C19" s="107">
        <v>4</v>
      </c>
      <c r="D19" s="45" t="s">
        <v>215</v>
      </c>
      <c r="E19" s="46">
        <v>-14.4</v>
      </c>
      <c r="F19" s="47" t="s">
        <v>179</v>
      </c>
      <c r="G19" s="59">
        <v>-2.1625000000000001</v>
      </c>
      <c r="H19" s="47" t="s">
        <v>177</v>
      </c>
      <c r="I19" s="48">
        <v>2.5</v>
      </c>
      <c r="J19" s="47" t="s">
        <v>227</v>
      </c>
      <c r="K19" s="49">
        <v>0.16666666666666666</v>
      </c>
      <c r="L19" s="47" t="s">
        <v>241</v>
      </c>
      <c r="M19" s="49">
        <v>0.25</v>
      </c>
      <c r="N19" s="47" t="s">
        <v>177</v>
      </c>
      <c r="O19" s="49">
        <v>0.5</v>
      </c>
      <c r="P19" s="47" t="s">
        <v>175</v>
      </c>
      <c r="Q19" s="50">
        <v>0.2</v>
      </c>
      <c r="R19" s="47" t="s">
        <v>175</v>
      </c>
      <c r="S19" s="50">
        <v>0.13333333333333333</v>
      </c>
      <c r="T19" s="47" t="s">
        <v>191</v>
      </c>
      <c r="U19" s="51">
        <v>6733.333333333333</v>
      </c>
      <c r="V19" s="47" t="s">
        <v>227</v>
      </c>
      <c r="W19" s="51">
        <v>-6000</v>
      </c>
      <c r="X19" s="47" t="s">
        <v>168</v>
      </c>
      <c r="Y19" s="50">
        <v>0.19718309859154928</v>
      </c>
      <c r="Z19" s="47" t="s">
        <v>169</v>
      </c>
      <c r="AA19" s="50">
        <v>0.18382352941176472</v>
      </c>
      <c r="AB19" s="47" t="s">
        <v>216</v>
      </c>
      <c r="AC19" s="50">
        <v>0.52</v>
      </c>
      <c r="AD19" s="47" t="s">
        <v>238</v>
      </c>
      <c r="AE19" s="50">
        <v>0.3</v>
      </c>
      <c r="AF19" s="47" t="s">
        <v>175</v>
      </c>
      <c r="AG19" s="50">
        <v>0.33333333333333331</v>
      </c>
      <c r="AH19" s="47" t="s">
        <v>231</v>
      </c>
      <c r="AI19" s="54">
        <v>41300</v>
      </c>
    </row>
    <row r="20" spans="1:35">
      <c r="A20" s="44">
        <v>18</v>
      </c>
      <c r="B20" s="45" t="s">
        <v>205</v>
      </c>
      <c r="C20" s="107">
        <v>4</v>
      </c>
      <c r="D20" s="45" t="s">
        <v>196</v>
      </c>
      <c r="E20" s="46">
        <v>-27.1</v>
      </c>
      <c r="F20" s="47" t="s">
        <v>241</v>
      </c>
      <c r="G20" s="59">
        <v>-2.3250000000000006</v>
      </c>
      <c r="H20" s="47" t="s">
        <v>241</v>
      </c>
      <c r="I20" s="48">
        <v>2.5</v>
      </c>
      <c r="J20" s="47" t="s">
        <v>166</v>
      </c>
      <c r="K20" s="49">
        <v>0</v>
      </c>
      <c r="L20" s="47" t="s">
        <v>244</v>
      </c>
      <c r="M20" s="49">
        <v>0.25</v>
      </c>
      <c r="N20" s="47" t="s">
        <v>223</v>
      </c>
      <c r="O20" s="49">
        <v>0.5</v>
      </c>
      <c r="P20" s="47" t="s">
        <v>191</v>
      </c>
      <c r="Q20" s="50">
        <v>0.18260869565217391</v>
      </c>
      <c r="R20" s="47" t="s">
        <v>199</v>
      </c>
      <c r="S20" s="50">
        <v>0.13333333333333333</v>
      </c>
      <c r="T20" s="47" t="s">
        <v>195</v>
      </c>
      <c r="U20" s="51">
        <v>6479.6875</v>
      </c>
      <c r="V20" s="47" t="s">
        <v>208</v>
      </c>
      <c r="W20" s="51">
        <v>-6340</v>
      </c>
      <c r="X20" s="47" t="s">
        <v>179</v>
      </c>
      <c r="Y20" s="50">
        <v>0.19083969465648856</v>
      </c>
      <c r="Z20" s="47" t="s">
        <v>238</v>
      </c>
      <c r="AA20" s="50">
        <v>0.17857142857142858</v>
      </c>
      <c r="AB20" s="47" t="s">
        <v>163</v>
      </c>
      <c r="AC20" s="50">
        <v>0.5</v>
      </c>
      <c r="AD20" s="47" t="s">
        <v>244</v>
      </c>
      <c r="AE20" s="50">
        <v>0.25</v>
      </c>
      <c r="AF20" s="47" t="s">
        <v>238</v>
      </c>
      <c r="AG20" s="50">
        <v>0.33333333333333331</v>
      </c>
      <c r="AH20" s="47" t="s">
        <v>213</v>
      </c>
      <c r="AI20" s="54">
        <v>34800</v>
      </c>
    </row>
    <row r="21" spans="1:35">
      <c r="A21" s="44">
        <v>19</v>
      </c>
      <c r="B21" s="45" t="s">
        <v>223</v>
      </c>
      <c r="C21" s="107">
        <v>4</v>
      </c>
      <c r="D21" s="45" t="s">
        <v>114</v>
      </c>
      <c r="E21" s="46">
        <v>-30.000000000000036</v>
      </c>
      <c r="F21" s="47" t="s">
        <v>216</v>
      </c>
      <c r="G21" s="59">
        <v>-7.7739130434782604</v>
      </c>
      <c r="H21" s="47" t="s">
        <v>213</v>
      </c>
      <c r="I21" s="48">
        <v>2.6666666666666665</v>
      </c>
      <c r="J21" s="47" t="s">
        <v>167</v>
      </c>
      <c r="K21" s="49">
        <v>0</v>
      </c>
      <c r="L21" s="47" t="s">
        <v>164</v>
      </c>
      <c r="M21" s="49">
        <v>0.26666666666666666</v>
      </c>
      <c r="N21" s="47" t="s">
        <v>244</v>
      </c>
      <c r="O21" s="49">
        <v>0.5</v>
      </c>
      <c r="P21" s="47" t="s">
        <v>215</v>
      </c>
      <c r="Q21" s="50">
        <v>0.16666666666666666</v>
      </c>
      <c r="R21" s="47" t="s">
        <v>114</v>
      </c>
      <c r="S21" s="50">
        <v>0.1342013019529294</v>
      </c>
      <c r="T21" s="47" t="s">
        <v>203</v>
      </c>
      <c r="U21" s="51">
        <v>6275</v>
      </c>
      <c r="V21" s="47" t="s">
        <v>114</v>
      </c>
      <c r="W21" s="51">
        <v>-6474.626865671642</v>
      </c>
      <c r="X21" s="47" t="s">
        <v>169</v>
      </c>
      <c r="Y21" s="50">
        <v>0.16911764705882354</v>
      </c>
      <c r="Z21" s="47" t="s">
        <v>202</v>
      </c>
      <c r="AA21" s="50">
        <v>0.17647058823529413</v>
      </c>
      <c r="AB21" s="47" t="s">
        <v>167</v>
      </c>
      <c r="AC21" s="50">
        <v>0.5</v>
      </c>
      <c r="AD21" s="47" t="s">
        <v>164</v>
      </c>
      <c r="AE21" s="50">
        <v>0.22580645161290322</v>
      </c>
      <c r="AF21" s="47" t="s">
        <v>241</v>
      </c>
      <c r="AG21" s="50">
        <v>0.33333333333333331</v>
      </c>
      <c r="AH21" s="47" t="s">
        <v>167</v>
      </c>
      <c r="AI21" s="54">
        <v>34000</v>
      </c>
    </row>
    <row r="22" spans="1:35">
      <c r="A22" s="44">
        <v>20</v>
      </c>
      <c r="B22" s="45" t="s">
        <v>241</v>
      </c>
      <c r="C22" s="107">
        <v>4</v>
      </c>
      <c r="D22" s="45" t="s">
        <v>179</v>
      </c>
      <c r="E22" s="46">
        <v>-34.6</v>
      </c>
      <c r="F22" s="47" t="s">
        <v>213</v>
      </c>
      <c r="G22" s="59">
        <v>-11.033333333333335</v>
      </c>
      <c r="H22" s="47" t="s">
        <v>216</v>
      </c>
      <c r="I22" s="48">
        <v>2.6956521739130435</v>
      </c>
      <c r="J22" s="47" t="s">
        <v>175</v>
      </c>
      <c r="K22" s="49">
        <v>0</v>
      </c>
      <c r="L22" s="47" t="s">
        <v>168</v>
      </c>
      <c r="M22" s="49">
        <v>0.27777777777777779</v>
      </c>
      <c r="N22" s="47" t="s">
        <v>195</v>
      </c>
      <c r="O22" s="49">
        <v>0.44117647058823528</v>
      </c>
      <c r="P22" s="47" t="s">
        <v>164</v>
      </c>
      <c r="Q22" s="50">
        <v>0.16528925619834711</v>
      </c>
      <c r="R22" s="47" t="s">
        <v>227</v>
      </c>
      <c r="S22" s="50">
        <v>0.15</v>
      </c>
      <c r="T22" s="47" t="s">
        <v>163</v>
      </c>
      <c r="U22" s="51">
        <v>5993.333333333333</v>
      </c>
      <c r="V22" s="47" t="s">
        <v>161</v>
      </c>
      <c r="W22" s="51">
        <v>-6514.2857142857147</v>
      </c>
      <c r="X22" s="47" t="s">
        <v>161</v>
      </c>
      <c r="Y22" s="50">
        <v>0.16883116883116883</v>
      </c>
      <c r="Z22" s="47" t="s">
        <v>166</v>
      </c>
      <c r="AA22" s="50">
        <v>0.17142857142857143</v>
      </c>
      <c r="AB22" s="47" t="s">
        <v>179</v>
      </c>
      <c r="AC22" s="50">
        <v>0.4</v>
      </c>
      <c r="AD22" s="47" t="s">
        <v>231</v>
      </c>
      <c r="AE22" s="50">
        <v>0.2</v>
      </c>
      <c r="AF22" s="47" t="s">
        <v>228</v>
      </c>
      <c r="AG22" s="50">
        <v>0.2857142857142857</v>
      </c>
      <c r="AH22" s="47" t="s">
        <v>241</v>
      </c>
      <c r="AI22" s="54">
        <v>34000</v>
      </c>
    </row>
    <row r="23" spans="1:35">
      <c r="A23" s="44">
        <v>21</v>
      </c>
      <c r="B23" s="45" t="s">
        <v>244</v>
      </c>
      <c r="C23" s="107">
        <v>4</v>
      </c>
      <c r="D23" s="45" t="s">
        <v>180</v>
      </c>
      <c r="E23" s="46">
        <v>-52.6</v>
      </c>
      <c r="F23" s="47" t="s">
        <v>215</v>
      </c>
      <c r="G23" s="59">
        <v>-14.4</v>
      </c>
      <c r="H23" s="47" t="s">
        <v>223</v>
      </c>
      <c r="I23" s="48">
        <v>2.75</v>
      </c>
      <c r="J23" s="47" t="s">
        <v>180</v>
      </c>
      <c r="K23" s="49">
        <v>0</v>
      </c>
      <c r="L23" s="47" t="s">
        <v>161</v>
      </c>
      <c r="M23" s="49">
        <v>0.3</v>
      </c>
      <c r="N23" s="47" t="s">
        <v>216</v>
      </c>
      <c r="O23" s="49">
        <v>0.39130434782608697</v>
      </c>
      <c r="P23" s="47" t="s">
        <v>228</v>
      </c>
      <c r="Q23" s="50">
        <v>0.16470588235294117</v>
      </c>
      <c r="R23" s="47" t="s">
        <v>238</v>
      </c>
      <c r="S23" s="50">
        <v>0.16071428571428573</v>
      </c>
      <c r="T23" s="47" t="s">
        <v>168</v>
      </c>
      <c r="U23" s="51">
        <v>5988.3720930232557</v>
      </c>
      <c r="V23" s="47" t="s">
        <v>180</v>
      </c>
      <c r="W23" s="51">
        <v>-6600</v>
      </c>
      <c r="X23" s="47" t="s">
        <v>216</v>
      </c>
      <c r="Y23" s="50">
        <v>0.16556291390728478</v>
      </c>
      <c r="Z23" s="47" t="s">
        <v>215</v>
      </c>
      <c r="AA23" s="50">
        <v>0.16666666666666666</v>
      </c>
      <c r="AB23" s="47" t="s">
        <v>213</v>
      </c>
      <c r="AC23" s="50">
        <v>0.4</v>
      </c>
      <c r="AD23" s="47" t="s">
        <v>227</v>
      </c>
      <c r="AE23" s="50">
        <v>0.18181818181818182</v>
      </c>
      <c r="AF23" s="47" t="s">
        <v>177</v>
      </c>
      <c r="AG23" s="50">
        <v>0.25</v>
      </c>
      <c r="AH23" s="47" t="s">
        <v>175</v>
      </c>
      <c r="AI23" s="54">
        <v>33600</v>
      </c>
    </row>
    <row r="24" spans="1:35">
      <c r="A24" s="44">
        <v>22</v>
      </c>
      <c r="B24" s="45" t="s">
        <v>208</v>
      </c>
      <c r="C24" s="107">
        <v>3</v>
      </c>
      <c r="D24" s="45" t="s">
        <v>235</v>
      </c>
      <c r="E24" s="46">
        <v>-70.800000000000011</v>
      </c>
      <c r="F24" s="47" t="s">
        <v>223</v>
      </c>
      <c r="G24" s="59">
        <v>-18.125</v>
      </c>
      <c r="H24" s="47" t="s">
        <v>228</v>
      </c>
      <c r="I24" s="48">
        <v>3</v>
      </c>
      <c r="J24" s="47" t="s">
        <v>199</v>
      </c>
      <c r="K24" s="49">
        <v>0</v>
      </c>
      <c r="L24" s="47" t="s">
        <v>216</v>
      </c>
      <c r="M24" s="49">
        <v>0.30434782608695654</v>
      </c>
      <c r="N24" s="47" t="s">
        <v>228</v>
      </c>
      <c r="O24" s="49">
        <v>0.33333333333333331</v>
      </c>
      <c r="P24" s="47" t="s">
        <v>216</v>
      </c>
      <c r="Q24" s="50">
        <v>0.13245033112582782</v>
      </c>
      <c r="R24" s="47" t="s">
        <v>215</v>
      </c>
      <c r="S24" s="50">
        <v>0.16666666666666666</v>
      </c>
      <c r="T24" s="47" t="s">
        <v>177</v>
      </c>
      <c r="U24" s="51">
        <v>5900</v>
      </c>
      <c r="V24" s="47" t="s">
        <v>195</v>
      </c>
      <c r="W24" s="51">
        <v>-7006.666666666667</v>
      </c>
      <c r="X24" s="47" t="s">
        <v>231</v>
      </c>
      <c r="Y24" s="50">
        <v>0.15384615384615385</v>
      </c>
      <c r="Z24" s="47" t="s">
        <v>177</v>
      </c>
      <c r="AA24" s="50">
        <v>0.15789473684210525</v>
      </c>
      <c r="AB24" s="47" t="s">
        <v>238</v>
      </c>
      <c r="AC24" s="50">
        <v>0.4</v>
      </c>
      <c r="AD24" s="47" t="s">
        <v>203</v>
      </c>
      <c r="AE24" s="50">
        <v>0.16666666666666666</v>
      </c>
      <c r="AF24" s="47" t="s">
        <v>231</v>
      </c>
      <c r="AG24" s="50">
        <v>0.25</v>
      </c>
      <c r="AH24" s="47" t="s">
        <v>238</v>
      </c>
      <c r="AI24" s="54">
        <v>30300</v>
      </c>
    </row>
    <row r="25" spans="1:35">
      <c r="A25" s="44">
        <v>23</v>
      </c>
      <c r="B25" s="45" t="s">
        <v>175</v>
      </c>
      <c r="C25" s="107">
        <v>2</v>
      </c>
      <c r="D25" s="45" t="s">
        <v>223</v>
      </c>
      <c r="E25" s="46">
        <v>-72.5</v>
      </c>
      <c r="F25" s="47" t="s">
        <v>228</v>
      </c>
      <c r="G25" s="59">
        <v>-21.991666666666664</v>
      </c>
      <c r="H25" s="47" t="s">
        <v>196</v>
      </c>
      <c r="I25" s="48">
        <v>3</v>
      </c>
      <c r="J25" s="47" t="s">
        <v>196</v>
      </c>
      <c r="K25" s="49">
        <v>0</v>
      </c>
      <c r="L25" s="47" t="s">
        <v>163</v>
      </c>
      <c r="M25" s="49">
        <v>0.375</v>
      </c>
      <c r="N25" s="47" t="s">
        <v>166</v>
      </c>
      <c r="O25" s="49">
        <v>0.25</v>
      </c>
      <c r="P25" s="47" t="s">
        <v>196</v>
      </c>
      <c r="Q25" s="50">
        <v>0.125</v>
      </c>
      <c r="R25" s="47" t="s">
        <v>244</v>
      </c>
      <c r="S25" s="50">
        <v>0.17241379310344829</v>
      </c>
      <c r="T25" s="47" t="s">
        <v>241</v>
      </c>
      <c r="U25" s="51">
        <v>5233.333333333333</v>
      </c>
      <c r="V25" s="47" t="s">
        <v>163</v>
      </c>
      <c r="W25" s="51">
        <v>-7212.5</v>
      </c>
      <c r="X25" s="47" t="s">
        <v>180</v>
      </c>
      <c r="Y25" s="50">
        <v>0.14285714285714285</v>
      </c>
      <c r="Z25" s="47" t="s">
        <v>228</v>
      </c>
      <c r="AA25" s="50">
        <v>0.15294117647058825</v>
      </c>
      <c r="AB25" s="47" t="s">
        <v>191</v>
      </c>
      <c r="AC25" s="50">
        <v>0.33333333333333331</v>
      </c>
      <c r="AD25" s="47" t="s">
        <v>228</v>
      </c>
      <c r="AE25" s="50">
        <v>0.15384615384615385</v>
      </c>
      <c r="AF25" s="47" t="s">
        <v>169</v>
      </c>
      <c r="AG25" s="50">
        <v>0.23809523809523808</v>
      </c>
      <c r="AH25" s="47" t="s">
        <v>215</v>
      </c>
      <c r="AI25" s="54">
        <v>25600</v>
      </c>
    </row>
    <row r="26" spans="1:35">
      <c r="A26" s="44">
        <v>24</v>
      </c>
      <c r="B26" s="45" t="s">
        <v>177</v>
      </c>
      <c r="C26" s="107">
        <v>2</v>
      </c>
      <c r="D26" s="45" t="s">
        <v>199</v>
      </c>
      <c r="E26" s="46">
        <v>-97.4</v>
      </c>
      <c r="F26" s="47" t="s">
        <v>238</v>
      </c>
      <c r="G26" s="59">
        <v>-26.187499999999996</v>
      </c>
      <c r="H26" s="47" t="s">
        <v>215</v>
      </c>
      <c r="I26" s="48">
        <v>3</v>
      </c>
      <c r="J26" s="47" t="s">
        <v>203</v>
      </c>
      <c r="K26" s="49">
        <v>0</v>
      </c>
      <c r="L26" s="47" t="s">
        <v>203</v>
      </c>
      <c r="M26" s="49">
        <v>0.4</v>
      </c>
      <c r="N26" s="47" t="s">
        <v>238</v>
      </c>
      <c r="O26" s="49">
        <v>0.25</v>
      </c>
      <c r="P26" s="47" t="s">
        <v>213</v>
      </c>
      <c r="Q26" s="50">
        <v>0.12244897959183673</v>
      </c>
      <c r="R26" s="47" t="s">
        <v>202</v>
      </c>
      <c r="S26" s="50">
        <v>0.17647058823529413</v>
      </c>
      <c r="T26" s="47" t="s">
        <v>238</v>
      </c>
      <c r="U26" s="51">
        <v>5100</v>
      </c>
      <c r="V26" s="47" t="s">
        <v>244</v>
      </c>
      <c r="W26" s="51">
        <v>-7440</v>
      </c>
      <c r="X26" s="47" t="s">
        <v>244</v>
      </c>
      <c r="Y26" s="50">
        <v>0.13793103448275862</v>
      </c>
      <c r="Z26" s="47" t="s">
        <v>167</v>
      </c>
      <c r="AA26" s="50">
        <v>0.14285714285714285</v>
      </c>
      <c r="AB26" s="47" t="s">
        <v>203</v>
      </c>
      <c r="AC26" s="50">
        <v>0.33333333333333331</v>
      </c>
      <c r="AD26" s="47" t="s">
        <v>167</v>
      </c>
      <c r="AE26" s="50">
        <v>0</v>
      </c>
      <c r="AF26" s="47" t="s">
        <v>164</v>
      </c>
      <c r="AG26" s="50">
        <v>0.2</v>
      </c>
      <c r="AH26" s="47" t="s">
        <v>203</v>
      </c>
      <c r="AI26" s="54">
        <v>25000</v>
      </c>
    </row>
    <row r="27" spans="1:35">
      <c r="A27" s="44">
        <v>25</v>
      </c>
      <c r="B27" s="45" t="s">
        <v>199</v>
      </c>
      <c r="C27" s="107">
        <v>2</v>
      </c>
      <c r="D27" s="45" t="s">
        <v>213</v>
      </c>
      <c r="E27" s="46">
        <v>-99.300000000000011</v>
      </c>
      <c r="F27" s="47" t="s">
        <v>196</v>
      </c>
      <c r="G27" s="59">
        <v>-27.1</v>
      </c>
      <c r="H27" s="47" t="s">
        <v>238</v>
      </c>
      <c r="I27" s="48">
        <v>3</v>
      </c>
      <c r="J27" s="47" t="s">
        <v>202</v>
      </c>
      <c r="K27" s="49">
        <v>0</v>
      </c>
      <c r="L27" s="47" t="s">
        <v>228</v>
      </c>
      <c r="M27" s="49">
        <v>0.5</v>
      </c>
      <c r="N27" s="47" t="s">
        <v>180</v>
      </c>
      <c r="O27" s="49">
        <v>0</v>
      </c>
      <c r="P27" s="47" t="s">
        <v>238</v>
      </c>
      <c r="Q27" s="50">
        <v>0.10714285714285714</v>
      </c>
      <c r="R27" s="47" t="s">
        <v>161</v>
      </c>
      <c r="S27" s="50">
        <v>0.18181818181818182</v>
      </c>
      <c r="T27" s="47" t="s">
        <v>179</v>
      </c>
      <c r="U27" s="51">
        <v>4909.375</v>
      </c>
      <c r="V27" s="47" t="s">
        <v>216</v>
      </c>
      <c r="W27" s="51">
        <v>-7663.1578947368425</v>
      </c>
      <c r="X27" s="47" t="s">
        <v>202</v>
      </c>
      <c r="Y27" s="50">
        <v>0.11764705882352941</v>
      </c>
      <c r="Z27" s="47" t="s">
        <v>203</v>
      </c>
      <c r="AA27" s="50">
        <v>0.13953488372093023</v>
      </c>
      <c r="AB27" s="47" t="s">
        <v>223</v>
      </c>
      <c r="AC27" s="50">
        <v>0.33333333333333331</v>
      </c>
      <c r="AD27" s="47" t="s">
        <v>175</v>
      </c>
      <c r="AE27" s="50">
        <v>0</v>
      </c>
      <c r="AF27" s="47" t="s">
        <v>227</v>
      </c>
      <c r="AG27" s="50">
        <v>0.2</v>
      </c>
      <c r="AH27" s="47" t="s">
        <v>166</v>
      </c>
      <c r="AI27" s="54">
        <v>23700</v>
      </c>
    </row>
    <row r="28" spans="1:35">
      <c r="A28" s="44">
        <v>26</v>
      </c>
      <c r="B28" s="45" t="s">
        <v>202</v>
      </c>
      <c r="C28" s="107">
        <v>2</v>
      </c>
      <c r="D28" s="45" t="s">
        <v>202</v>
      </c>
      <c r="E28" s="46">
        <v>-105.9</v>
      </c>
      <c r="F28" s="47" t="s">
        <v>166</v>
      </c>
      <c r="G28" s="59">
        <v>-31.999999999999996</v>
      </c>
      <c r="H28" s="47" t="s">
        <v>166</v>
      </c>
      <c r="I28" s="48">
        <v>3.25</v>
      </c>
      <c r="J28" s="47" t="s">
        <v>208</v>
      </c>
      <c r="K28" s="49">
        <v>0</v>
      </c>
      <c r="L28" s="47" t="s">
        <v>166</v>
      </c>
      <c r="M28" s="49">
        <v>0.5</v>
      </c>
      <c r="N28" s="47" t="s">
        <v>199</v>
      </c>
      <c r="O28" s="49">
        <v>0</v>
      </c>
      <c r="P28" s="47" t="s">
        <v>223</v>
      </c>
      <c r="Q28" s="50">
        <v>9.5238095238095233E-2</v>
      </c>
      <c r="R28" s="47" t="s">
        <v>223</v>
      </c>
      <c r="S28" s="50">
        <v>0.19047619047619047</v>
      </c>
      <c r="T28" s="47" t="s">
        <v>215</v>
      </c>
      <c r="U28" s="51">
        <v>3900</v>
      </c>
      <c r="V28" s="47" t="s">
        <v>238</v>
      </c>
      <c r="W28" s="51">
        <v>-7833.333333333333</v>
      </c>
      <c r="X28" s="47" t="s">
        <v>241</v>
      </c>
      <c r="Y28" s="50">
        <v>0.11538461538461539</v>
      </c>
      <c r="Z28" s="47" t="s">
        <v>227</v>
      </c>
      <c r="AA28" s="50">
        <v>0.13750000000000001</v>
      </c>
      <c r="AB28" s="47" t="s">
        <v>164</v>
      </c>
      <c r="AC28" s="50">
        <v>0.3125</v>
      </c>
      <c r="AD28" s="47" t="s">
        <v>180</v>
      </c>
      <c r="AE28" s="50">
        <v>0</v>
      </c>
      <c r="AF28" s="47" t="s">
        <v>191</v>
      </c>
      <c r="AG28" s="50">
        <v>0.14285714285714285</v>
      </c>
      <c r="AH28" s="47" t="s">
        <v>235</v>
      </c>
      <c r="AI28" s="54">
        <v>22900</v>
      </c>
    </row>
    <row r="29" spans="1:35">
      <c r="A29" s="44">
        <v>27</v>
      </c>
      <c r="B29" s="45" t="s">
        <v>231</v>
      </c>
      <c r="C29" s="107">
        <v>2</v>
      </c>
      <c r="D29" s="45" t="s">
        <v>166</v>
      </c>
      <c r="E29" s="46">
        <v>-127.99999999999999</v>
      </c>
      <c r="F29" s="47" t="s">
        <v>203</v>
      </c>
      <c r="G29" s="59">
        <v>-32.279999999999994</v>
      </c>
      <c r="H29" s="47" t="s">
        <v>203</v>
      </c>
      <c r="I29" s="48">
        <v>3.4</v>
      </c>
      <c r="J29" s="47" t="s">
        <v>213</v>
      </c>
      <c r="K29" s="49">
        <v>0</v>
      </c>
      <c r="L29" s="47" t="s">
        <v>177</v>
      </c>
      <c r="M29" s="49">
        <v>0.5</v>
      </c>
      <c r="N29" s="47" t="s">
        <v>196</v>
      </c>
      <c r="O29" s="49">
        <v>0</v>
      </c>
      <c r="P29" s="47" t="s">
        <v>203</v>
      </c>
      <c r="Q29" s="50">
        <v>9.3023255813953487E-2</v>
      </c>
      <c r="R29" s="47" t="s">
        <v>168</v>
      </c>
      <c r="S29" s="50">
        <v>0.19718309859154928</v>
      </c>
      <c r="T29" s="47" t="s">
        <v>166</v>
      </c>
      <c r="U29" s="51">
        <v>2928.5714285714284</v>
      </c>
      <c r="V29" s="47" t="s">
        <v>179</v>
      </c>
      <c r="W29" s="51">
        <v>-8157.1428571428569</v>
      </c>
      <c r="X29" s="47" t="s">
        <v>166</v>
      </c>
      <c r="Y29" s="50">
        <v>0.11428571428571428</v>
      </c>
      <c r="Z29" s="47" t="s">
        <v>216</v>
      </c>
      <c r="AA29" s="50">
        <v>0.12582781456953643</v>
      </c>
      <c r="AB29" s="47" t="s">
        <v>180</v>
      </c>
      <c r="AC29" s="50">
        <v>0</v>
      </c>
      <c r="AD29" s="47" t="s">
        <v>199</v>
      </c>
      <c r="AE29" s="50">
        <v>0</v>
      </c>
      <c r="AF29" s="47" t="s">
        <v>180</v>
      </c>
      <c r="AG29" s="50">
        <v>0</v>
      </c>
      <c r="AH29" s="47" t="s">
        <v>223</v>
      </c>
      <c r="AI29" s="54">
        <v>22100</v>
      </c>
    </row>
    <row r="30" spans="1:35">
      <c r="A30" s="44">
        <v>28</v>
      </c>
      <c r="B30" s="45" t="s">
        <v>235</v>
      </c>
      <c r="C30" s="107">
        <v>2</v>
      </c>
      <c r="D30" s="45" t="s">
        <v>208</v>
      </c>
      <c r="E30" s="46">
        <v>-132.69999999999999</v>
      </c>
      <c r="F30" s="47" t="s">
        <v>235</v>
      </c>
      <c r="G30" s="59">
        <v>-35.400000000000006</v>
      </c>
      <c r="H30" s="47" t="s">
        <v>235</v>
      </c>
      <c r="I30" s="48">
        <v>3.5</v>
      </c>
      <c r="J30" s="47" t="s">
        <v>215</v>
      </c>
      <c r="K30" s="49">
        <v>0</v>
      </c>
      <c r="L30" s="47" t="s">
        <v>235</v>
      </c>
      <c r="M30" s="49">
        <v>0.5</v>
      </c>
      <c r="N30" s="47" t="s">
        <v>203</v>
      </c>
      <c r="O30" s="49">
        <v>0</v>
      </c>
      <c r="P30" s="47" t="s">
        <v>235</v>
      </c>
      <c r="Q30" s="50">
        <v>6.6666666666666666E-2</v>
      </c>
      <c r="R30" s="47" t="s">
        <v>235</v>
      </c>
      <c r="S30" s="50">
        <v>0.2</v>
      </c>
      <c r="T30" s="47" t="s">
        <v>202</v>
      </c>
      <c r="U30" s="51">
        <v>1300</v>
      </c>
      <c r="V30" s="47" t="s">
        <v>228</v>
      </c>
      <c r="W30" s="51">
        <v>-8331.5789473684217</v>
      </c>
      <c r="X30" s="47" t="s">
        <v>191</v>
      </c>
      <c r="Y30" s="50">
        <v>0.10434782608695652</v>
      </c>
      <c r="Z30" s="47" t="s">
        <v>162</v>
      </c>
      <c r="AA30" s="50">
        <v>0.11538461538461539</v>
      </c>
      <c r="AB30" s="47" t="s">
        <v>199</v>
      </c>
      <c r="AC30" s="50">
        <v>0</v>
      </c>
      <c r="AD30" s="47" t="s">
        <v>202</v>
      </c>
      <c r="AE30" s="50">
        <v>0</v>
      </c>
      <c r="AF30" s="47" t="s">
        <v>199</v>
      </c>
      <c r="AG30" s="50">
        <v>0</v>
      </c>
      <c r="AH30" s="47" t="s">
        <v>199</v>
      </c>
      <c r="AI30" s="54">
        <v>14100</v>
      </c>
    </row>
    <row r="31" spans="1:35">
      <c r="A31" s="44">
        <v>29</v>
      </c>
      <c r="B31" s="45" t="s">
        <v>167</v>
      </c>
      <c r="C31" s="107">
        <v>1</v>
      </c>
      <c r="D31" s="45" t="s">
        <v>203</v>
      </c>
      <c r="E31" s="46">
        <v>-161.39999999999998</v>
      </c>
      <c r="F31" s="47" t="s">
        <v>208</v>
      </c>
      <c r="G31" s="59">
        <v>-44.233333333333327</v>
      </c>
      <c r="H31" s="47" t="s">
        <v>208</v>
      </c>
      <c r="I31" s="48">
        <v>3.6666666666666665</v>
      </c>
      <c r="J31" s="47" t="s">
        <v>223</v>
      </c>
      <c r="K31" s="49">
        <v>0</v>
      </c>
      <c r="L31" s="47" t="s">
        <v>208</v>
      </c>
      <c r="M31" s="49">
        <v>0.66666666666666663</v>
      </c>
      <c r="N31" s="47" t="s">
        <v>202</v>
      </c>
      <c r="O31" s="49">
        <v>0</v>
      </c>
      <c r="P31" s="47" t="s">
        <v>202</v>
      </c>
      <c r="Q31" s="50">
        <v>5.8823529411764705E-2</v>
      </c>
      <c r="R31" s="47" t="s">
        <v>208</v>
      </c>
      <c r="S31" s="50">
        <v>0.21739130434782608</v>
      </c>
      <c r="T31" s="47" t="s">
        <v>196</v>
      </c>
      <c r="U31" s="51">
        <v>1000</v>
      </c>
      <c r="V31" s="47" t="s">
        <v>205</v>
      </c>
      <c r="W31" s="51">
        <v>-9466.6666666666661</v>
      </c>
      <c r="X31" s="47" t="s">
        <v>238</v>
      </c>
      <c r="Y31" s="50">
        <v>8.9285714285714288E-2</v>
      </c>
      <c r="Z31" s="47" t="s">
        <v>213</v>
      </c>
      <c r="AA31" s="50">
        <v>4.0816326530612242E-2</v>
      </c>
      <c r="AB31" s="47" t="s">
        <v>196</v>
      </c>
      <c r="AC31" s="50">
        <v>0</v>
      </c>
      <c r="AD31" s="47" t="s">
        <v>208</v>
      </c>
      <c r="AE31" s="50">
        <v>0</v>
      </c>
      <c r="AF31" s="47" t="s">
        <v>196</v>
      </c>
      <c r="AG31" s="50">
        <v>0</v>
      </c>
      <c r="AH31" s="47" t="s">
        <v>202</v>
      </c>
      <c r="AI31" s="54">
        <v>13500</v>
      </c>
    </row>
    <row r="32" spans="1:35">
      <c r="A32" s="44">
        <v>30</v>
      </c>
      <c r="B32" s="45" t="s">
        <v>180</v>
      </c>
      <c r="C32" s="107">
        <v>1</v>
      </c>
      <c r="D32" s="45" t="s">
        <v>216</v>
      </c>
      <c r="E32" s="46">
        <v>-178.79999999999998</v>
      </c>
      <c r="F32" s="47" t="s">
        <v>199</v>
      </c>
      <c r="G32" s="59">
        <v>-48.7</v>
      </c>
      <c r="H32" s="47" t="s">
        <v>180</v>
      </c>
      <c r="I32" s="48">
        <v>4</v>
      </c>
      <c r="J32" s="47" t="s">
        <v>235</v>
      </c>
      <c r="K32" s="49">
        <v>0</v>
      </c>
      <c r="L32" s="47" t="s">
        <v>180</v>
      </c>
      <c r="M32" s="49">
        <v>1</v>
      </c>
      <c r="N32" s="47" t="s">
        <v>208</v>
      </c>
      <c r="O32" s="49">
        <v>0</v>
      </c>
      <c r="P32" s="47" t="s">
        <v>180</v>
      </c>
      <c r="Q32" s="50">
        <v>0</v>
      </c>
      <c r="R32" s="47" t="s">
        <v>228</v>
      </c>
      <c r="S32" s="50">
        <v>0.22352941176470589</v>
      </c>
      <c r="T32" s="47" t="s">
        <v>180</v>
      </c>
      <c r="U32" s="51">
        <v>0</v>
      </c>
      <c r="V32" s="47" t="s">
        <v>235</v>
      </c>
      <c r="W32" s="51">
        <v>-9533.3333333333339</v>
      </c>
      <c r="X32" s="47" t="s">
        <v>199</v>
      </c>
      <c r="Y32" s="50">
        <v>6.6666666666666666E-2</v>
      </c>
      <c r="Z32" s="47" t="s">
        <v>175</v>
      </c>
      <c r="AA32" s="50">
        <v>0</v>
      </c>
      <c r="AB32" s="47" t="s">
        <v>202</v>
      </c>
      <c r="AC32" s="50">
        <v>0</v>
      </c>
      <c r="AD32" s="47" t="s">
        <v>213</v>
      </c>
      <c r="AE32" s="50">
        <v>0</v>
      </c>
      <c r="AF32" s="47" t="s">
        <v>202</v>
      </c>
      <c r="AG32" s="50">
        <v>0</v>
      </c>
      <c r="AH32" s="47" t="s">
        <v>196</v>
      </c>
      <c r="AI32" s="54">
        <v>12900</v>
      </c>
    </row>
    <row r="33" spans="1:35">
      <c r="A33" s="44">
        <v>31</v>
      </c>
      <c r="B33" s="45" t="s">
        <v>196</v>
      </c>
      <c r="C33" s="107">
        <v>1</v>
      </c>
      <c r="D33" s="45" t="s">
        <v>238</v>
      </c>
      <c r="E33" s="46">
        <v>-209.49999999999997</v>
      </c>
      <c r="F33" s="47" t="s">
        <v>180</v>
      </c>
      <c r="G33" s="59">
        <v>-52.6</v>
      </c>
      <c r="H33" s="47" t="s">
        <v>199</v>
      </c>
      <c r="I33" s="48">
        <v>4</v>
      </c>
      <c r="J33" s="47" t="s">
        <v>238</v>
      </c>
      <c r="K33" s="49">
        <v>0</v>
      </c>
      <c r="L33" s="47" t="s">
        <v>199</v>
      </c>
      <c r="M33" s="49">
        <v>1</v>
      </c>
      <c r="N33" s="47" t="s">
        <v>215</v>
      </c>
      <c r="O33" s="49">
        <v>0</v>
      </c>
      <c r="P33" s="47" t="s">
        <v>199</v>
      </c>
      <c r="Q33" s="50">
        <v>0</v>
      </c>
      <c r="R33" s="47" t="s">
        <v>203</v>
      </c>
      <c r="S33" s="50">
        <v>0.23255813953488372</v>
      </c>
      <c r="T33" s="47" t="s">
        <v>199</v>
      </c>
      <c r="U33" s="51">
        <v>0</v>
      </c>
      <c r="V33" s="47" t="s">
        <v>199</v>
      </c>
      <c r="W33" s="51">
        <v>-10000</v>
      </c>
      <c r="X33" s="47" t="s">
        <v>235</v>
      </c>
      <c r="Y33" s="50">
        <v>6.6666666666666666E-2</v>
      </c>
      <c r="Z33" s="47" t="s">
        <v>208</v>
      </c>
      <c r="AA33" s="50">
        <v>0</v>
      </c>
      <c r="AB33" s="47" t="s">
        <v>208</v>
      </c>
      <c r="AC33" s="50">
        <v>0</v>
      </c>
      <c r="AD33" s="47" t="s">
        <v>223</v>
      </c>
      <c r="AE33" s="50">
        <v>0</v>
      </c>
      <c r="AF33" s="47" t="s">
        <v>208</v>
      </c>
      <c r="AG33" s="50">
        <v>0</v>
      </c>
      <c r="AH33" s="47" t="s">
        <v>208</v>
      </c>
      <c r="AI33" s="54">
        <v>10700</v>
      </c>
    </row>
    <row r="34" spans="1:35">
      <c r="A34" s="44">
        <v>32</v>
      </c>
      <c r="B34" s="45" t="s">
        <v>215</v>
      </c>
      <c r="C34" s="107">
        <v>1</v>
      </c>
      <c r="D34" s="45" t="s">
        <v>228</v>
      </c>
      <c r="E34" s="46">
        <v>-263.89999999999998</v>
      </c>
      <c r="F34" s="47" t="s">
        <v>202</v>
      </c>
      <c r="G34" s="59">
        <v>-52.95</v>
      </c>
      <c r="H34" s="47" t="s">
        <v>202</v>
      </c>
      <c r="I34" s="48">
        <v>4</v>
      </c>
      <c r="J34" s="47" t="s">
        <v>241</v>
      </c>
      <c r="K34" s="49">
        <v>0</v>
      </c>
      <c r="L34" s="47" t="s">
        <v>202</v>
      </c>
      <c r="M34" s="49">
        <v>1</v>
      </c>
      <c r="N34" s="47" t="s">
        <v>235</v>
      </c>
      <c r="O34" s="49">
        <v>0</v>
      </c>
      <c r="P34" s="47" t="s">
        <v>208</v>
      </c>
      <c r="Q34" s="50">
        <v>0</v>
      </c>
      <c r="R34" s="47" t="s">
        <v>180</v>
      </c>
      <c r="S34" s="50">
        <v>0.2857142857142857</v>
      </c>
      <c r="T34" s="47" t="s">
        <v>208</v>
      </c>
      <c r="U34" s="51">
        <v>0</v>
      </c>
      <c r="V34" s="47" t="s">
        <v>166</v>
      </c>
      <c r="W34" s="51">
        <v>-11400</v>
      </c>
      <c r="X34" s="47" t="s">
        <v>208</v>
      </c>
      <c r="Y34" s="50">
        <v>4.3478260869565216E-2</v>
      </c>
      <c r="Z34" s="47" t="s">
        <v>223</v>
      </c>
      <c r="AA34" s="50">
        <v>0</v>
      </c>
      <c r="AB34" s="47" t="s">
        <v>215</v>
      </c>
      <c r="AC34" s="50">
        <v>0</v>
      </c>
      <c r="AD34" s="47" t="s">
        <v>235</v>
      </c>
      <c r="AE34" s="50">
        <v>0</v>
      </c>
      <c r="AF34" s="47" t="s">
        <v>215</v>
      </c>
      <c r="AG34" s="50">
        <v>0</v>
      </c>
      <c r="AH34" s="47" t="s">
        <v>180</v>
      </c>
      <c r="AI34" s="54">
        <v>7400</v>
      </c>
    </row>
  </sheetData>
  <sortState xmlns:xlrd2="http://schemas.microsoft.com/office/spreadsheetml/2017/richdata2" ref="AH3:AI8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71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269</v>
      </c>
      <c r="C2" s="121"/>
      <c r="E2" s="32" t="s">
        <v>54</v>
      </c>
      <c r="F2" s="29" t="s">
        <v>20</v>
      </c>
      <c r="G2" s="12">
        <v>261</v>
      </c>
      <c r="H2" s="93">
        <f>IF(B$17=0,0,G2/B$17)</f>
        <v>0.62440191387559807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-44.609665427509292</v>
      </c>
      <c r="P2" s="79">
        <v>269</v>
      </c>
      <c r="Q2" s="63">
        <v>-12000</v>
      </c>
    </row>
    <row r="3" spans="1:17">
      <c r="A3" s="19" t="s">
        <v>8</v>
      </c>
      <c r="B3" s="122">
        <v>1997</v>
      </c>
      <c r="C3" s="123"/>
      <c r="E3" s="33" t="s">
        <v>184</v>
      </c>
      <c r="F3" s="30" t="s">
        <v>187</v>
      </c>
      <c r="G3" s="13">
        <v>214</v>
      </c>
      <c r="H3" s="94">
        <f>IF(B$17=0,0,G3/B$17)</f>
        <v>0.51196172248803828</v>
      </c>
      <c r="I3" s="56">
        <v>10</v>
      </c>
      <c r="K3" s="5">
        <v>1</v>
      </c>
      <c r="L3" s="61">
        <v>11.9</v>
      </c>
      <c r="N3" s="76" t="s">
        <v>104</v>
      </c>
      <c r="O3" s="83">
        <f t="shared" si="0"/>
        <v>-7.4349442379182156</v>
      </c>
      <c r="P3" s="80">
        <v>269</v>
      </c>
      <c r="Q3" s="64">
        <v>-2000</v>
      </c>
    </row>
    <row r="4" spans="1:17">
      <c r="A4" s="19" t="s">
        <v>6</v>
      </c>
      <c r="B4" s="124">
        <v>-30.000000000000036</v>
      </c>
      <c r="C4" s="125"/>
      <c r="E4" s="33" t="s">
        <v>181</v>
      </c>
      <c r="F4" s="30" t="s">
        <v>156</v>
      </c>
      <c r="G4" s="13">
        <v>212</v>
      </c>
      <c r="H4" s="94">
        <f>IF(B$17=0,0,G4/B$17)</f>
        <v>0.50717703349282295</v>
      </c>
      <c r="I4" s="56">
        <v>12</v>
      </c>
      <c r="K4" s="5">
        <v>2</v>
      </c>
      <c r="L4" s="61">
        <v>86.800000000000011</v>
      </c>
      <c r="N4" s="76" t="s">
        <v>105</v>
      </c>
      <c r="O4" s="83">
        <f t="shared" si="0"/>
        <v>8.3018867924528301</v>
      </c>
      <c r="P4" s="80">
        <v>265</v>
      </c>
      <c r="Q4" s="64">
        <v>2200</v>
      </c>
    </row>
    <row r="5" spans="1:17">
      <c r="A5" s="19" t="s">
        <v>7</v>
      </c>
      <c r="B5" s="126">
        <f>IF(B$2=0,0,B$4/B$2)</f>
        <v>-0.11152416356877337</v>
      </c>
      <c r="C5" s="127"/>
      <c r="E5" s="33" t="s">
        <v>60</v>
      </c>
      <c r="F5" s="30" t="s">
        <v>24</v>
      </c>
      <c r="G5" s="13">
        <v>167</v>
      </c>
      <c r="H5" s="94">
        <f>IF(B$17=0,0,G5/B$17)</f>
        <v>0.39952153110047844</v>
      </c>
      <c r="I5" s="56">
        <v>16</v>
      </c>
      <c r="K5" s="5">
        <v>3</v>
      </c>
      <c r="L5" s="61">
        <v>25.100000000000009</v>
      </c>
      <c r="N5" s="76" t="s">
        <v>157</v>
      </c>
      <c r="O5" s="83">
        <f>IF(P5=0,0,Q5/P5)</f>
        <v>-4.0816326530612246</v>
      </c>
      <c r="P5" s="80">
        <v>245</v>
      </c>
      <c r="Q5" s="64">
        <v>-1000</v>
      </c>
    </row>
    <row r="6" spans="1:17">
      <c r="A6" s="19" t="s">
        <v>1</v>
      </c>
      <c r="B6" s="128">
        <f>IF(B$2=0,0,(B$7*1+B$8*2+B$9*3+B$10*4)/B$2)</f>
        <v>2.486988847583643</v>
      </c>
      <c r="C6" s="129"/>
      <c r="E6" s="33" t="s">
        <v>55</v>
      </c>
      <c r="F6" s="30" t="s">
        <v>155</v>
      </c>
      <c r="G6" s="13">
        <v>108</v>
      </c>
      <c r="H6" s="94">
        <f>IF(B$17=0,0,G6/B$17)</f>
        <v>0.25837320574162681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23.80952380952381</v>
      </c>
      <c r="P6" s="80">
        <v>168</v>
      </c>
      <c r="Q6" s="64">
        <v>4000</v>
      </c>
    </row>
    <row r="7" spans="1:17">
      <c r="A7" s="19" t="s">
        <v>2</v>
      </c>
      <c r="B7" s="13">
        <v>69</v>
      </c>
      <c r="C7" s="6">
        <f t="shared" ref="C7:C12" si="2">IF(B$2=0,0,B7/B$2)</f>
        <v>0.25650557620817843</v>
      </c>
      <c r="E7" s="33" t="s">
        <v>57</v>
      </c>
      <c r="F7" s="30" t="s">
        <v>21</v>
      </c>
      <c r="G7" s="13">
        <v>107</v>
      </c>
      <c r="H7" s="94">
        <f>IF(B$17=0,0,G7/B$17)</f>
        <v>0.25598086124401914</v>
      </c>
      <c r="I7" s="56">
        <v>13</v>
      </c>
      <c r="K7" s="5">
        <v>5</v>
      </c>
      <c r="L7" s="61">
        <v>-14.199999999999992</v>
      </c>
      <c r="N7" s="76" t="s">
        <v>107</v>
      </c>
      <c r="O7" s="83">
        <f t="shared" si="0"/>
        <v>-66.666666666666671</v>
      </c>
      <c r="P7" s="80">
        <v>120</v>
      </c>
      <c r="Q7" s="64">
        <v>-8000</v>
      </c>
    </row>
    <row r="8" spans="1:17">
      <c r="A8" s="19" t="s">
        <v>3</v>
      </c>
      <c r="B8" s="13">
        <v>66</v>
      </c>
      <c r="C8" s="6">
        <f>IF(B$2=0,0,B8/B$2)</f>
        <v>0.24535315985130113</v>
      </c>
      <c r="E8" s="33" t="s">
        <v>56</v>
      </c>
      <c r="F8" s="30" t="s">
        <v>185</v>
      </c>
      <c r="G8" s="13">
        <v>102</v>
      </c>
      <c r="H8" s="94">
        <f>IF(B$17=0,0,G8/B$17)</f>
        <v>0.24401913875598086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68</v>
      </c>
      <c r="C9" s="7">
        <f>IF(B$2=0,0,B9/B$2)</f>
        <v>0.25278810408921931</v>
      </c>
      <c r="E9" s="33" t="s">
        <v>59</v>
      </c>
      <c r="F9" s="30" t="s">
        <v>23</v>
      </c>
      <c r="G9" s="13">
        <v>72</v>
      </c>
      <c r="H9" s="94">
        <f>IF(B$17=0,0,G9/B$17)</f>
        <v>0.17224880382775121</v>
      </c>
      <c r="I9" s="56">
        <v>12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66</v>
      </c>
      <c r="C10" s="7">
        <f>IF(B$2=0,0,B10/B$2)</f>
        <v>0.24535315985130113</v>
      </c>
      <c r="E10" s="33" t="s">
        <v>182</v>
      </c>
      <c r="F10" s="30" t="s">
        <v>19</v>
      </c>
      <c r="G10" s="13">
        <v>46</v>
      </c>
      <c r="H10" s="94">
        <f>IF(B$17=0,0,G10/B$17)</f>
        <v>0.11004784688995216</v>
      </c>
      <c r="I10" s="56">
        <v>10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135</v>
      </c>
      <c r="C11" s="7">
        <f>IF(B$2=0,0,B11/B$2)</f>
        <v>0.5018587360594795</v>
      </c>
      <c r="E11" s="33" t="s">
        <v>58</v>
      </c>
      <c r="F11" s="30" t="s">
        <v>22</v>
      </c>
      <c r="G11" s="13">
        <v>27</v>
      </c>
      <c r="H11" s="94">
        <f>IF(B$17=0,0,G11/B$17)</f>
        <v>6.4593301435406703E-2</v>
      </c>
      <c r="I11" s="56">
        <v>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16</v>
      </c>
      <c r="C12" s="9">
        <f t="shared" si="2"/>
        <v>5.9479553903345722E-2</v>
      </c>
      <c r="E12" s="33" t="s">
        <v>77</v>
      </c>
      <c r="F12" s="30" t="s">
        <v>41</v>
      </c>
      <c r="G12" s="13">
        <v>16</v>
      </c>
      <c r="H12" s="94">
        <f>IF(B$17=0,0,G12/B$17)</f>
        <v>3.8277511961722487E-2</v>
      </c>
      <c r="I12" s="56">
        <v>6</v>
      </c>
      <c r="K12" s="5">
        <v>10</v>
      </c>
      <c r="L12" s="61">
        <v>-38.499999999999993</v>
      </c>
      <c r="N12" s="75" t="s">
        <v>126</v>
      </c>
      <c r="O12" s="85">
        <f>IF(P12=0,0,Q12/P12)</f>
        <v>-3.4955882352941181</v>
      </c>
      <c r="P12" s="79">
        <v>68</v>
      </c>
      <c r="Q12" s="67">
        <v>-237.70000000000002</v>
      </c>
    </row>
    <row r="13" spans="1:17">
      <c r="A13" s="22" t="s">
        <v>97</v>
      </c>
      <c r="B13" s="15">
        <v>398</v>
      </c>
      <c r="C13" s="11">
        <f>IF(B$3=0,0,B13/B$3)</f>
        <v>0.19929894842263396</v>
      </c>
      <c r="E13" s="33" t="s">
        <v>183</v>
      </c>
      <c r="F13" s="30" t="s">
        <v>186</v>
      </c>
      <c r="G13" s="13">
        <v>15</v>
      </c>
      <c r="H13" s="94">
        <f>IF(B$17=0,0,G13/B$17)</f>
        <v>3.5885167464114832E-2</v>
      </c>
      <c r="I13" s="56">
        <v>9</v>
      </c>
      <c r="K13" s="5">
        <v>11</v>
      </c>
      <c r="L13" s="61">
        <v>18.100000000000009</v>
      </c>
      <c r="N13" s="76" t="s">
        <v>127</v>
      </c>
      <c r="O13" s="86">
        <f>IF(P13=0,0,Q13/P13)</f>
        <v>0.83088235294117496</v>
      </c>
      <c r="P13" s="80">
        <v>68</v>
      </c>
      <c r="Q13" s="68">
        <v>56.499999999999901</v>
      </c>
    </row>
    <row r="14" spans="1:17">
      <c r="A14" s="19" t="s">
        <v>94</v>
      </c>
      <c r="B14" s="13">
        <v>420</v>
      </c>
      <c r="C14" s="6">
        <f>IF(B$3=0,0,B14/B$3)</f>
        <v>0.21031547320981472</v>
      </c>
      <c r="E14" s="33" t="s">
        <v>71</v>
      </c>
      <c r="F14" s="30" t="s">
        <v>35</v>
      </c>
      <c r="G14" s="13">
        <v>13</v>
      </c>
      <c r="H14" s="94">
        <f>IF(B$17=0,0,G14/B$17)</f>
        <v>3.1100478468899521E-2</v>
      </c>
      <c r="I14" s="56">
        <v>6</v>
      </c>
      <c r="K14" s="5">
        <v>12</v>
      </c>
      <c r="L14" s="61">
        <v>7.1054273576010019E-15</v>
      </c>
      <c r="N14" s="76" t="s">
        <v>128</v>
      </c>
      <c r="O14" s="86">
        <f>IF(P14=0,0,Q14/P14)</f>
        <v>1.1661764705882376</v>
      </c>
      <c r="P14" s="80">
        <v>68</v>
      </c>
      <c r="Q14" s="68">
        <v>79.300000000000153</v>
      </c>
    </row>
    <row r="15" spans="1:17">
      <c r="A15" s="18" t="s">
        <v>99</v>
      </c>
      <c r="B15" s="12">
        <f>B21</f>
        <v>214</v>
      </c>
      <c r="C15" s="4">
        <f>IF(B$13=0,0,B15/B$13)</f>
        <v>0.53768844221105527</v>
      </c>
      <c r="E15" s="33" t="s">
        <v>74</v>
      </c>
      <c r="F15" s="30" t="s">
        <v>38</v>
      </c>
      <c r="G15" s="13">
        <v>8</v>
      </c>
      <c r="H15" s="94">
        <f>IF(B$17=0,0,G15/B$17)</f>
        <v>1.9138755980861243E-2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1.0573529411764711</v>
      </c>
      <c r="P15" s="81">
        <v>68</v>
      </c>
      <c r="Q15" s="69">
        <v>71.900000000000034</v>
      </c>
    </row>
    <row r="16" spans="1:17">
      <c r="A16" s="18" t="s">
        <v>100</v>
      </c>
      <c r="B16" s="12">
        <f>B22</f>
        <v>144</v>
      </c>
      <c r="C16" s="4">
        <f>IF(B$14=0,0,B16/B$14)</f>
        <v>0.34285714285714286</v>
      </c>
      <c r="E16" s="33" t="s">
        <v>67</v>
      </c>
      <c r="F16" s="30" t="s">
        <v>31</v>
      </c>
      <c r="G16" s="13">
        <v>6</v>
      </c>
      <c r="H16" s="94">
        <f>IF(B$17=0,0,G16/B$17)</f>
        <v>1.4354066985645933E-2</v>
      </c>
      <c r="I16" s="56">
        <v>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418</v>
      </c>
      <c r="C17" s="4">
        <f>IF(B$3=0,0,B17/B$3)</f>
        <v>0.20931397095643464</v>
      </c>
      <c r="E17" s="33" t="s">
        <v>62</v>
      </c>
      <c r="F17" s="30" t="s">
        <v>26</v>
      </c>
      <c r="G17" s="13">
        <v>4</v>
      </c>
      <c r="H17" s="94">
        <f>IF(B$17=0,0,G17/B$17)</f>
        <v>9.5693779904306216E-3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268</v>
      </c>
      <c r="C18" s="6">
        <f>IF(B$3=0,0,B18/B$3)</f>
        <v>0.1342013019529294</v>
      </c>
      <c r="E18" s="33" t="s">
        <v>66</v>
      </c>
      <c r="F18" s="30" t="s">
        <v>30</v>
      </c>
      <c r="G18" s="13">
        <v>4</v>
      </c>
      <c r="H18" s="94">
        <f>IF(B$17=0,0,G18/B$17)</f>
        <v>9.5693779904306216E-3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150</v>
      </c>
      <c r="C19" s="6">
        <f>IF(B$17=0,0,B19/B$17)</f>
        <v>0.35885167464114831</v>
      </c>
      <c r="E19" s="33" t="s">
        <v>78</v>
      </c>
      <c r="F19" s="30" t="s">
        <v>42</v>
      </c>
      <c r="G19" s="13">
        <v>4</v>
      </c>
      <c r="H19" s="94">
        <f>IF(B$17=0,0,G19/B$17)</f>
        <v>9.5693779904306216E-3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268</v>
      </c>
      <c r="C20" s="6">
        <f>IF(B$17=0,0,B20/B$17)</f>
        <v>0.64114832535885169</v>
      </c>
      <c r="E20" s="33" t="s">
        <v>69</v>
      </c>
      <c r="F20" s="30" t="s">
        <v>33</v>
      </c>
      <c r="G20" s="13">
        <v>2</v>
      </c>
      <c r="H20" s="94">
        <f>IF(B$17=0,0,G20/B$17)</f>
        <v>4.7846889952153108E-3</v>
      </c>
      <c r="I20" s="56">
        <v>3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214</v>
      </c>
      <c r="C21" s="6">
        <f>IF(B$17=0,0,B21/B$17)</f>
        <v>0.51196172248803828</v>
      </c>
      <c r="E21" s="33" t="s">
        <v>72</v>
      </c>
      <c r="F21" s="30" t="s">
        <v>36</v>
      </c>
      <c r="G21" s="13">
        <v>2</v>
      </c>
      <c r="H21" s="94">
        <f>IF(B$17=0,0,G21/B$17)</f>
        <v>4.7846889952153108E-3</v>
      </c>
      <c r="I21" s="56">
        <v>3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144</v>
      </c>
      <c r="C22" s="6">
        <f>IF(B$17=0,0,B22/B$17)</f>
        <v>0.34449760765550241</v>
      </c>
      <c r="E22" s="33" t="s">
        <v>75</v>
      </c>
      <c r="F22" s="30" t="s">
        <v>39</v>
      </c>
      <c r="G22" s="13">
        <v>2</v>
      </c>
      <c r="H22" s="94">
        <f>IF(B$17=0,0,G22/B$17)</f>
        <v>4.7846889952153108E-3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47.20000000000001</v>
      </c>
      <c r="P22" s="80">
        <v>6</v>
      </c>
      <c r="Q22" s="68">
        <v>283.20000000000005</v>
      </c>
    </row>
    <row r="23" spans="1:17">
      <c r="A23" s="19" t="s">
        <v>150</v>
      </c>
      <c r="B23" s="13">
        <v>60</v>
      </c>
      <c r="C23" s="6">
        <f>IF(B$17=0,0,B23/B$17)</f>
        <v>0.14354066985645933</v>
      </c>
      <c r="E23" s="33" t="s">
        <v>76</v>
      </c>
      <c r="F23" s="30" t="s">
        <v>40</v>
      </c>
      <c r="G23" s="13">
        <v>2</v>
      </c>
      <c r="H23" s="94">
        <f>IF(B$17=0,0,G23/B$17)</f>
        <v>4.7846889952153108E-3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6859.8086124401916</v>
      </c>
      <c r="C24" s="8">
        <v>2867400</v>
      </c>
      <c r="E24" s="33" t="s">
        <v>61</v>
      </c>
      <c r="F24" s="30" t="s">
        <v>25</v>
      </c>
      <c r="G24" s="13">
        <v>1</v>
      </c>
      <c r="H24" s="94">
        <f>IF(B$17=0,0,G24/B$17)</f>
        <v>2.3923444976076554E-3</v>
      </c>
      <c r="I24" s="56">
        <v>2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7863.1386861313867</v>
      </c>
      <c r="C25" s="98">
        <v>2154500</v>
      </c>
      <c r="E25" s="33" t="s">
        <v>80</v>
      </c>
      <c r="F25" s="30" t="s">
        <v>44</v>
      </c>
      <c r="G25" s="13">
        <v>1</v>
      </c>
      <c r="H25" s="94">
        <f>IF(B$17=0,0,G25/B$17)</f>
        <v>2.3923444976076554E-3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4950.6944444444443</v>
      </c>
      <c r="C26" s="98">
        <v>712900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238</v>
      </c>
      <c r="O26" s="86">
        <f>IF(P26=0,0,Q26/P26)</f>
        <v>34.916666666666657</v>
      </c>
      <c r="P26" s="80">
        <v>24</v>
      </c>
      <c r="Q26" s="68">
        <v>837.99999999999977</v>
      </c>
    </row>
    <row r="27" spans="1:17">
      <c r="A27" s="20" t="s">
        <v>132</v>
      </c>
      <c r="B27" s="97">
        <f>IF(B$18=0,0,C27/B$18)</f>
        <v>-6474.626865671642</v>
      </c>
      <c r="C27" s="98">
        <v>-1735200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228</v>
      </c>
      <c r="O27" s="86">
        <f>IF(P27=0,0,Q27/P27)</f>
        <v>29.322222222222226</v>
      </c>
      <c r="P27" s="80">
        <v>36</v>
      </c>
      <c r="Q27" s="68">
        <v>1055.6000000000001</v>
      </c>
    </row>
    <row r="28" spans="1:17">
      <c r="A28" s="19" t="s">
        <v>130</v>
      </c>
      <c r="B28" s="13">
        <v>5</v>
      </c>
      <c r="C28" s="96">
        <v>1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10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14.71111111111111</v>
      </c>
      <c r="P30" s="80">
        <v>27</v>
      </c>
      <c r="Q30" s="68">
        <v>397.2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216</v>
      </c>
      <c r="O31" s="86">
        <f>IF(P31=0,0,Q31/P31)</f>
        <v>10.36521739130434</v>
      </c>
      <c r="P31" s="80">
        <v>69</v>
      </c>
      <c r="Q31" s="68">
        <v>715.19999999999948</v>
      </c>
    </row>
    <row r="32" spans="1:17">
      <c r="A32" s="21" t="s">
        <v>112</v>
      </c>
      <c r="B32" s="26">
        <v>3</v>
      </c>
      <c r="C32" s="9">
        <f>IF(B$3=0,0,B32/B$3)</f>
        <v>1.5022533800701052E-3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3.0999999999999983</v>
      </c>
      <c r="P32" s="80">
        <v>12</v>
      </c>
      <c r="Q32" s="68">
        <v>37.199999999999982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179</v>
      </c>
      <c r="O33" s="86">
        <f>IF(P33=0,0,Q33/P33)</f>
        <v>2.4666666666666663</v>
      </c>
      <c r="P33" s="80">
        <v>48</v>
      </c>
      <c r="Q33" s="68">
        <v>118.39999999999998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175</v>
      </c>
      <c r="O34" s="86">
        <f>IF(P34=0,0,Q34/P34)</f>
        <v>1.4666666666666668</v>
      </c>
      <c r="P34" s="80">
        <v>6</v>
      </c>
      <c r="Q34" s="68">
        <v>8.8000000000000007</v>
      </c>
    </row>
    <row r="35" spans="1:17">
      <c r="A35" s="52" t="s">
        <v>139</v>
      </c>
      <c r="B35" s="99">
        <v>42</v>
      </c>
      <c r="C35" s="102">
        <f t="shared" ref="C35:C47" si="3">IF(B$17=0,0,B35/B$17)</f>
        <v>0.10047846889952153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227</v>
      </c>
      <c r="O35" s="86">
        <f>IF(P35=0,0,Q35/P35)</f>
        <v>1.2111111111111099</v>
      </c>
      <c r="P35" s="80">
        <v>36</v>
      </c>
      <c r="Q35" s="68">
        <v>43.599999999999959</v>
      </c>
    </row>
    <row r="36" spans="1:17">
      <c r="A36" s="19" t="s">
        <v>135</v>
      </c>
      <c r="B36" s="13">
        <v>82</v>
      </c>
      <c r="C36" s="6">
        <f t="shared" si="3"/>
        <v>0.19617224880382775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161</v>
      </c>
      <c r="O36" s="86">
        <f>IF(P36=0,0,Q36/P36)</f>
        <v>-0.57333333333333036</v>
      </c>
      <c r="P36" s="80">
        <v>30</v>
      </c>
      <c r="Q36" s="68">
        <v>-17.19999999999991</v>
      </c>
    </row>
    <row r="37" spans="1:17">
      <c r="A37" s="19" t="s">
        <v>136</v>
      </c>
      <c r="B37" s="100">
        <v>93</v>
      </c>
      <c r="C37" s="6">
        <f t="shared" si="3"/>
        <v>0.22248803827751196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164</v>
      </c>
      <c r="O37" s="86">
        <f>IF(P37=0,0,Q37/P37)</f>
        <v>-2.2222222222222197</v>
      </c>
      <c r="P37" s="80">
        <v>45</v>
      </c>
      <c r="Q37" s="68">
        <v>-99.999999999999886</v>
      </c>
    </row>
    <row r="38" spans="1:17">
      <c r="A38" s="19" t="s">
        <v>137</v>
      </c>
      <c r="B38" s="100">
        <v>89</v>
      </c>
      <c r="C38" s="6">
        <f t="shared" si="3"/>
        <v>0.21291866028708134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177</v>
      </c>
      <c r="O38" s="86">
        <f>IF(P38=0,0,Q38/P38)</f>
        <v>-2.6</v>
      </c>
      <c r="P38" s="80">
        <v>6</v>
      </c>
      <c r="Q38" s="68">
        <v>-15.600000000000001</v>
      </c>
    </row>
    <row r="39" spans="1:17">
      <c r="A39" s="19" t="s">
        <v>138</v>
      </c>
      <c r="B39" s="100">
        <v>45</v>
      </c>
      <c r="C39" s="6">
        <f t="shared" si="3"/>
        <v>0.1076555023923445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163</v>
      </c>
      <c r="O39" s="86">
        <f>IF(P39=0,0,Q39/P39)</f>
        <v>-3.7999999999999949</v>
      </c>
      <c r="P39" s="80">
        <v>24</v>
      </c>
      <c r="Q39" s="68">
        <v>-91.199999999999875</v>
      </c>
    </row>
    <row r="40" spans="1:17">
      <c r="A40" s="19" t="s">
        <v>140</v>
      </c>
      <c r="B40" s="100">
        <v>51</v>
      </c>
      <c r="C40" s="6">
        <f t="shared" si="3"/>
        <v>0.12200956937799043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195</v>
      </c>
      <c r="O40" s="86">
        <f>IF(P40=0,0,Q40/P40)</f>
        <v>-4.3019607843137262</v>
      </c>
      <c r="P40" s="80">
        <v>102</v>
      </c>
      <c r="Q40" s="68">
        <v>-438.80000000000007</v>
      </c>
    </row>
    <row r="41" spans="1:17">
      <c r="A41" s="19" t="s">
        <v>141</v>
      </c>
      <c r="B41" s="100">
        <v>13</v>
      </c>
      <c r="C41" s="6">
        <f t="shared" si="3"/>
        <v>3.1100478468899521E-2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191</v>
      </c>
      <c r="O41" s="86">
        <f>IF(P41=0,0,Q41/P41)</f>
        <v>-7.5523809523809531</v>
      </c>
      <c r="P41" s="80">
        <v>42</v>
      </c>
      <c r="Q41" s="68">
        <v>-317.20000000000005</v>
      </c>
    </row>
    <row r="42" spans="1:17">
      <c r="A42" s="19" t="s">
        <v>142</v>
      </c>
      <c r="B42" s="100">
        <v>1</v>
      </c>
      <c r="C42" s="6">
        <f t="shared" si="3"/>
        <v>2.3923444976076554E-3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168</v>
      </c>
      <c r="O42" s="86">
        <f>IF(P42=0,0,Q42/P42)</f>
        <v>-11.807407407407409</v>
      </c>
      <c r="P42" s="80">
        <v>54</v>
      </c>
      <c r="Q42" s="68">
        <v>-637.6</v>
      </c>
    </row>
    <row r="43" spans="1:17">
      <c r="A43" s="19" t="s">
        <v>143</v>
      </c>
      <c r="B43" s="100">
        <v>1</v>
      </c>
      <c r="C43" s="6">
        <f t="shared" si="3"/>
        <v>2.3923444976076554E-3</v>
      </c>
      <c r="K43" s="5">
        <v>41</v>
      </c>
      <c r="L43" s="61">
        <v>-66.399999999999991</v>
      </c>
      <c r="N43" s="76" t="s">
        <v>244</v>
      </c>
      <c r="O43" s="86">
        <f>IF(P43=0,0,Q43/P43)</f>
        <v>-15.33333333333333</v>
      </c>
      <c r="P43" s="80">
        <v>12</v>
      </c>
      <c r="Q43" s="68">
        <v>-183.99999999999997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167</v>
      </c>
      <c r="O44" s="86">
        <f>IF(P44=0,0,Q44/P44)</f>
        <v>-18.666666666666664</v>
      </c>
      <c r="P44" s="80">
        <v>3</v>
      </c>
      <c r="Q44" s="68">
        <v>-55.999999999999993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169</v>
      </c>
      <c r="O45" s="86">
        <f>IF(P45=0,0,Q45/P45)</f>
        <v>-25.011111111111116</v>
      </c>
      <c r="P45" s="80">
        <v>108</v>
      </c>
      <c r="Q45" s="68">
        <v>-2701.2000000000007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162</v>
      </c>
      <c r="O46" s="86">
        <f>IF(P46=0,0,Q46/P46)</f>
        <v>-39.703703703703681</v>
      </c>
      <c r="P46" s="80">
        <v>27</v>
      </c>
      <c r="Q46" s="68">
        <v>-1071.9999999999993</v>
      </c>
    </row>
    <row r="47" spans="1:17">
      <c r="A47" s="21" t="s">
        <v>147</v>
      </c>
      <c r="B47" s="101">
        <v>1</v>
      </c>
      <c r="C47" s="9">
        <f t="shared" si="3"/>
        <v>2.3923444976076554E-3</v>
      </c>
      <c r="K47" s="5">
        <v>45</v>
      </c>
      <c r="L47" s="61">
        <v>-52.099999999999987</v>
      </c>
      <c r="N47" s="76" t="s">
        <v>205</v>
      </c>
      <c r="O47" s="86">
        <f>IF(P47=0,0,Q47/P47)</f>
        <v>-47.866666666666667</v>
      </c>
      <c r="P47" s="80">
        <v>12</v>
      </c>
      <c r="Q47" s="68">
        <v>-574.4</v>
      </c>
    </row>
    <row r="48" spans="1:17">
      <c r="K48" s="5">
        <v>46</v>
      </c>
      <c r="L48" s="61">
        <v>-44.199999999999989</v>
      </c>
      <c r="N48" s="76" t="s">
        <v>231</v>
      </c>
      <c r="O48" s="86">
        <f>IF(P48=0,0,Q48/P48)</f>
        <v>-75</v>
      </c>
      <c r="P48" s="80">
        <v>6</v>
      </c>
      <c r="Q48" s="68">
        <v>-450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7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19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12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13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4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6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15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3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4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55</v>
      </c>
      <c r="H2" s="93">
        <f>IF(B$17=0,0,G2/B$17)</f>
        <v>0.87301587301587302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747.22222222222217</v>
      </c>
      <c r="P2" s="79">
        <v>36</v>
      </c>
      <c r="Q2" s="63">
        <v>26900</v>
      </c>
    </row>
    <row r="3" spans="1:17">
      <c r="A3" s="19" t="s">
        <v>8</v>
      </c>
      <c r="B3" s="122">
        <v>272</v>
      </c>
      <c r="C3" s="123"/>
      <c r="E3" s="33" t="s">
        <v>184</v>
      </c>
      <c r="F3" s="30" t="s">
        <v>187</v>
      </c>
      <c r="G3" s="13">
        <v>44</v>
      </c>
      <c r="H3" s="94">
        <f>IF(B$17=0,0,G3/B$17)</f>
        <v>0.69841269841269837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1983.3333333333333</v>
      </c>
      <c r="P3" s="80">
        <v>36</v>
      </c>
      <c r="Q3" s="64">
        <v>71400</v>
      </c>
    </row>
    <row r="4" spans="1:17">
      <c r="A4" s="19" t="s">
        <v>6</v>
      </c>
      <c r="B4" s="124">
        <v>672.80000000000007</v>
      </c>
      <c r="C4" s="125"/>
      <c r="E4" s="33" t="s">
        <v>181</v>
      </c>
      <c r="F4" s="30" t="s">
        <v>156</v>
      </c>
      <c r="G4" s="13">
        <v>31</v>
      </c>
      <c r="H4" s="94">
        <f>IF(B$17=0,0,G4/B$17)</f>
        <v>0.49206349206349204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1634.2857142857142</v>
      </c>
      <c r="P4" s="80">
        <v>35</v>
      </c>
      <c r="Q4" s="64">
        <v>57200</v>
      </c>
    </row>
    <row r="5" spans="1:17">
      <c r="A5" s="19" t="s">
        <v>7</v>
      </c>
      <c r="B5" s="126">
        <f>IF(B$2=0,0,B$4/B$2)</f>
        <v>18.68888888888889</v>
      </c>
      <c r="C5" s="127"/>
      <c r="E5" s="33" t="s">
        <v>57</v>
      </c>
      <c r="F5" s="30" t="s">
        <v>21</v>
      </c>
      <c r="G5" s="13">
        <v>22</v>
      </c>
      <c r="H5" s="94">
        <f>IF(B$17=0,0,G5/B$17)</f>
        <v>0.34920634920634919</v>
      </c>
      <c r="I5" s="56">
        <v>5</v>
      </c>
      <c r="K5" s="5">
        <v>3</v>
      </c>
      <c r="L5" s="61">
        <v>-32.299999999999997</v>
      </c>
      <c r="N5" s="76" t="s">
        <v>157</v>
      </c>
      <c r="O5" s="83">
        <f>IF(P5=0,0,Q5/P5)</f>
        <v>1545.1612903225807</v>
      </c>
      <c r="P5" s="80">
        <v>31</v>
      </c>
      <c r="Q5" s="64">
        <v>47900</v>
      </c>
    </row>
    <row r="6" spans="1:17">
      <c r="A6" s="19" t="s">
        <v>1</v>
      </c>
      <c r="B6" s="128">
        <f>IF(B$2=0,0,(B$7*1+B$8*2+B$9*3+B$10*4)/B$2)</f>
        <v>2.0555555555555554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0.33333333333333331</v>
      </c>
      <c r="I6" s="56">
        <v>19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14</v>
      </c>
      <c r="C7" s="6">
        <f t="shared" ref="C7:C12" si="2">IF(B$2=0,0,B7/B$2)</f>
        <v>0.3888888888888889</v>
      </c>
      <c r="E7" s="33" t="s">
        <v>55</v>
      </c>
      <c r="F7" s="30" t="s">
        <v>155</v>
      </c>
      <c r="G7" s="13">
        <v>16</v>
      </c>
      <c r="H7" s="94">
        <f>IF(B$17=0,0,G7/B$17)</f>
        <v>0.25396825396825395</v>
      </c>
      <c r="I7" s="56">
        <v>15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10</v>
      </c>
      <c r="C8" s="6">
        <f>IF(B$2=0,0,B8/B$2)</f>
        <v>0.27777777777777779</v>
      </c>
      <c r="E8" s="33" t="s">
        <v>59</v>
      </c>
      <c r="F8" s="30" t="s">
        <v>23</v>
      </c>
      <c r="G8" s="13">
        <v>15</v>
      </c>
      <c r="H8" s="94">
        <f>IF(B$17=0,0,G8/B$17)</f>
        <v>0.23809523809523808</v>
      </c>
      <c r="I8" s="56">
        <v>8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0.22222222222222221</v>
      </c>
      <c r="E9" s="33" t="s">
        <v>56</v>
      </c>
      <c r="F9" s="30" t="s">
        <v>185</v>
      </c>
      <c r="G9" s="13">
        <v>11</v>
      </c>
      <c r="H9" s="94">
        <f>IF(B$17=0,0,G9/B$17)</f>
        <v>0.17460317460317459</v>
      </c>
      <c r="I9" s="56">
        <v>22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0.1111111111111111</v>
      </c>
      <c r="E10" s="33" t="s">
        <v>58</v>
      </c>
      <c r="F10" s="30" t="s">
        <v>22</v>
      </c>
      <c r="G10" s="13">
        <v>8</v>
      </c>
      <c r="H10" s="94">
        <f>IF(B$17=0,0,G10/B$17)</f>
        <v>0.12698412698412698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0.66666666666666663</v>
      </c>
      <c r="E11" s="33" t="s">
        <v>182</v>
      </c>
      <c r="F11" s="30" t="s">
        <v>19</v>
      </c>
      <c r="G11" s="13">
        <v>6</v>
      </c>
      <c r="H11" s="94">
        <f>IF(B$17=0,0,G11/B$17)</f>
        <v>9.5238095238095233E-2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7.9365079365079361E-2</v>
      </c>
      <c r="I12" s="56">
        <v>3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46</v>
      </c>
      <c r="C13" s="11">
        <f>IF(B$3=0,0,B13/B$3)</f>
        <v>0.16911764705882354</v>
      </c>
      <c r="E13" s="33" t="s">
        <v>62</v>
      </c>
      <c r="F13" s="30" t="s">
        <v>26</v>
      </c>
      <c r="G13" s="13">
        <v>1</v>
      </c>
      <c r="H13" s="94">
        <f>IF(B$17=0,0,G13/B$17)</f>
        <v>1.5873015873015872E-2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50</v>
      </c>
      <c r="C14" s="6">
        <f>IF(B$3=0,0,B14/B$3)</f>
        <v>0.18382352941176472</v>
      </c>
      <c r="E14" s="33" t="s">
        <v>66</v>
      </c>
      <c r="F14" s="30" t="s">
        <v>30</v>
      </c>
      <c r="G14" s="13">
        <v>1</v>
      </c>
      <c r="H14" s="94">
        <f>IF(B$17=0,0,G14/B$17)</f>
        <v>1.5873015873015872E-2</v>
      </c>
      <c r="I14" s="56">
        <v>3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31</v>
      </c>
      <c r="C15" s="4">
        <f>IF(B$13=0,0,B15/B$13)</f>
        <v>0.67391304347826086</v>
      </c>
      <c r="E15" s="33" t="s">
        <v>183</v>
      </c>
      <c r="F15" s="30" t="s">
        <v>186</v>
      </c>
      <c r="G15" s="13">
        <v>1</v>
      </c>
      <c r="H15" s="94">
        <f>IF(B$17=0,0,G15/B$17)</f>
        <v>1.5873015873015872E-2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20.7</v>
      </c>
      <c r="P15" s="81">
        <v>12</v>
      </c>
      <c r="Q15" s="69">
        <v>248.39999999999998</v>
      </c>
    </row>
    <row r="16" spans="1:17">
      <c r="A16" s="18" t="s">
        <v>100</v>
      </c>
      <c r="B16" s="12">
        <f>B22</f>
        <v>18</v>
      </c>
      <c r="C16" s="4">
        <f>IF(B$14=0,0,B16/B$14)</f>
        <v>0.36</v>
      </c>
      <c r="E16" s="33" t="s">
        <v>71</v>
      </c>
      <c r="F16" s="30" t="s">
        <v>35</v>
      </c>
      <c r="G16" s="13">
        <v>1</v>
      </c>
      <c r="H16" s="94">
        <f>IF(B$17=0,0,G16/B$17)</f>
        <v>1.5873015873015872E-2</v>
      </c>
      <c r="I16" s="56">
        <v>7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0.23161764705882354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8.455882352941177E-2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15</v>
      </c>
      <c r="C19" s="6">
        <f>IF(B$17=0,0,B19/B$17)</f>
        <v>0.23809523809523808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48</v>
      </c>
      <c r="C20" s="6">
        <f>IF(B$17=0,0,B20/B$17)</f>
        <v>0.76190476190476186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31</v>
      </c>
      <c r="C21" s="6">
        <f>IF(B$17=0,0,B21/B$17)</f>
        <v>0.49206349206349204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0.22222222222222221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470.30000000000007</v>
      </c>
      <c r="N23" s="76" t="s">
        <v>166</v>
      </c>
      <c r="O23" s="86">
        <f t="shared" si="3"/>
        <v>53.75</v>
      </c>
      <c r="P23" s="80">
        <v>4</v>
      </c>
      <c r="Q23" s="68">
        <v>215</v>
      </c>
    </row>
    <row r="24" spans="1:17">
      <c r="A24" s="19" t="s">
        <v>5</v>
      </c>
      <c r="B24" s="16">
        <f>IF(B$17=0,0,C24/B$17)</f>
        <v>7942.8571428571431</v>
      </c>
      <c r="C24" s="8">
        <v>500400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196</v>
      </c>
      <c r="O24" s="86">
        <f t="shared" si="3"/>
        <v>49.7</v>
      </c>
      <c r="P24" s="80">
        <v>1</v>
      </c>
      <c r="Q24" s="68">
        <v>49.7</v>
      </c>
    </row>
    <row r="25" spans="1:17">
      <c r="A25" s="20" t="s">
        <v>133</v>
      </c>
      <c r="B25" s="97">
        <f>IF($B$17-B$16=0,0,C25/($B$17-B$16))</f>
        <v>8600</v>
      </c>
      <c r="C25" s="98">
        <v>387000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179</v>
      </c>
      <c r="O25" s="86">
        <f t="shared" si="3"/>
        <v>46.750000000000014</v>
      </c>
      <c r="P25" s="80">
        <v>8</v>
      </c>
      <c r="Q25" s="68">
        <v>374.00000000000011</v>
      </c>
    </row>
    <row r="26" spans="1:17">
      <c r="A26" s="20" t="s">
        <v>134</v>
      </c>
      <c r="B26" s="97">
        <f>IF(B$16=0,0,C26/B$16)</f>
        <v>6300</v>
      </c>
      <c r="C26" s="98">
        <v>113400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223</v>
      </c>
      <c r="O26" s="86">
        <f t="shared" si="3"/>
        <v>42.033333333333339</v>
      </c>
      <c r="P26" s="80">
        <v>3</v>
      </c>
      <c r="Q26" s="68">
        <v>126.10000000000001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161</v>
      </c>
      <c r="O27" s="86">
        <f t="shared" si="3"/>
        <v>40.43333333333333</v>
      </c>
      <c r="P27" s="80">
        <v>6</v>
      </c>
      <c r="Q27" s="68">
        <v>242.6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 t="shared" si="3"/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238</v>
      </c>
      <c r="O29" s="86">
        <f t="shared" si="3"/>
        <v>37.75</v>
      </c>
      <c r="P29" s="80">
        <v>2</v>
      </c>
      <c r="Q29" s="68">
        <v>75.5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235</v>
      </c>
      <c r="O31" s="86">
        <f t="shared" si="3"/>
        <v>36.950000000000003</v>
      </c>
      <c r="P31" s="80">
        <v>2</v>
      </c>
      <c r="Q31" s="68">
        <v>73.900000000000006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3.1746031746031744E-2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195</v>
      </c>
      <c r="O35" s="86">
        <f t="shared" si="3"/>
        <v>-4.2812500000000053</v>
      </c>
      <c r="P35" s="80">
        <v>16</v>
      </c>
      <c r="Q35" s="68">
        <v>-68.500000000000085</v>
      </c>
    </row>
    <row r="36" spans="1:17">
      <c r="A36" s="19" t="s">
        <v>135</v>
      </c>
      <c r="B36" s="13">
        <v>11</v>
      </c>
      <c r="C36" s="6">
        <f t="shared" si="4"/>
        <v>0.17460317460317459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164</v>
      </c>
      <c r="O36" s="86">
        <f t="shared" si="3"/>
        <v>-7.6999999999999975</v>
      </c>
      <c r="P36" s="80">
        <v>7</v>
      </c>
      <c r="Q36" s="68">
        <v>-53.899999999999984</v>
      </c>
    </row>
    <row r="37" spans="1:17">
      <c r="A37" s="19" t="s">
        <v>136</v>
      </c>
      <c r="B37" s="100">
        <v>11</v>
      </c>
      <c r="C37" s="6">
        <f t="shared" si="4"/>
        <v>0.17460317460317459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177</v>
      </c>
      <c r="O37" s="86">
        <f t="shared" si="3"/>
        <v>-10.999999999999996</v>
      </c>
      <c r="P37" s="80">
        <v>2</v>
      </c>
      <c r="Q37" s="68">
        <v>-21.999999999999993</v>
      </c>
    </row>
    <row r="38" spans="1:17">
      <c r="A38" s="19" t="s">
        <v>137</v>
      </c>
      <c r="B38" s="100">
        <v>20</v>
      </c>
      <c r="C38" s="6">
        <f t="shared" si="4"/>
        <v>0.31746031746031744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168</v>
      </c>
      <c r="O38" s="86">
        <f t="shared" si="3"/>
        <v>-14.5625</v>
      </c>
      <c r="P38" s="80">
        <v>8</v>
      </c>
      <c r="Q38" s="68">
        <v>-116.5</v>
      </c>
    </row>
    <row r="39" spans="1:17">
      <c r="A39" s="19" t="s">
        <v>138</v>
      </c>
      <c r="B39" s="100">
        <v>5</v>
      </c>
      <c r="C39" s="6">
        <f t="shared" si="4"/>
        <v>7.9365079365079361E-2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167</v>
      </c>
      <c r="O39" s="86">
        <f t="shared" si="3"/>
        <v>-28.2</v>
      </c>
      <c r="P39" s="80">
        <v>1</v>
      </c>
      <c r="Q39" s="68">
        <v>-28.2</v>
      </c>
    </row>
    <row r="40" spans="1:17">
      <c r="A40" s="19" t="s">
        <v>140</v>
      </c>
      <c r="B40" s="100">
        <v>10</v>
      </c>
      <c r="C40" s="6">
        <f t="shared" si="4"/>
        <v>0.15873015873015872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162</v>
      </c>
      <c r="O40" s="86">
        <f t="shared" si="3"/>
        <v>-38.020000000000003</v>
      </c>
      <c r="P40" s="80">
        <v>5</v>
      </c>
      <c r="Q40" s="68">
        <v>-190.10000000000002</v>
      </c>
    </row>
    <row r="41" spans="1:17">
      <c r="A41" s="19" t="s">
        <v>141</v>
      </c>
      <c r="B41" s="100">
        <v>4</v>
      </c>
      <c r="C41" s="6">
        <f t="shared" si="4"/>
        <v>6.3492063492063489E-2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13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16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5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5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2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10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19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16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17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13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181</v>
      </c>
      <c r="F2" s="29" t="s">
        <v>156</v>
      </c>
      <c r="G2" s="12">
        <v>34</v>
      </c>
      <c r="H2" s="93">
        <f>IF(B$17=0,0,G2/B$17)</f>
        <v>0.53125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885.29411764705878</v>
      </c>
      <c r="P2" s="79">
        <v>34</v>
      </c>
      <c r="Q2" s="63">
        <v>30100</v>
      </c>
    </row>
    <row r="3" spans="1:17">
      <c r="A3" s="19" t="s">
        <v>8</v>
      </c>
      <c r="B3" s="122">
        <v>239</v>
      </c>
      <c r="C3" s="123"/>
      <c r="E3" s="33" t="s">
        <v>184</v>
      </c>
      <c r="F3" s="30" t="s">
        <v>187</v>
      </c>
      <c r="G3" s="13">
        <v>32</v>
      </c>
      <c r="H3" s="94">
        <f>IF(B$17=0,0,G3/B$17)</f>
        <v>0.5</v>
      </c>
      <c r="I3" s="56">
        <v>11</v>
      </c>
      <c r="K3" s="5">
        <v>1</v>
      </c>
      <c r="L3" s="61">
        <v>-21.3</v>
      </c>
      <c r="N3" s="76" t="s">
        <v>104</v>
      </c>
      <c r="O3" s="83">
        <f t="shared" si="0"/>
        <v>811.76470588235293</v>
      </c>
      <c r="P3" s="80">
        <v>34</v>
      </c>
      <c r="Q3" s="64">
        <v>27600</v>
      </c>
    </row>
    <row r="4" spans="1:17">
      <c r="A4" s="19" t="s">
        <v>6</v>
      </c>
      <c r="B4" s="124">
        <v>107.19999999999997</v>
      </c>
      <c r="C4" s="125"/>
      <c r="E4" s="33" t="s">
        <v>54</v>
      </c>
      <c r="F4" s="30" t="s">
        <v>20</v>
      </c>
      <c r="G4" s="13">
        <v>29</v>
      </c>
      <c r="H4" s="94">
        <f>IF(B$17=0,0,G4/B$17)</f>
        <v>0.453125</v>
      </c>
      <c r="I4" s="56">
        <v>18</v>
      </c>
      <c r="K4" s="5">
        <v>2</v>
      </c>
      <c r="L4" s="61">
        <v>-12.200000000000001</v>
      </c>
      <c r="N4" s="76" t="s">
        <v>105</v>
      </c>
      <c r="O4" s="83">
        <f t="shared" si="0"/>
        <v>-70.588235294117652</v>
      </c>
      <c r="P4" s="80">
        <v>34</v>
      </c>
      <c r="Q4" s="64">
        <v>-2400</v>
      </c>
    </row>
    <row r="5" spans="1:17">
      <c r="A5" s="19" t="s">
        <v>7</v>
      </c>
      <c r="B5" s="126">
        <f>IF(B$2=0,0,B$4/B$2)</f>
        <v>3.1529411764705877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0.34375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793.33333333333337</v>
      </c>
      <c r="P5" s="80">
        <v>30</v>
      </c>
      <c r="Q5" s="64">
        <v>23800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55</v>
      </c>
      <c r="F6" s="30" t="s">
        <v>155</v>
      </c>
      <c r="G6" s="13">
        <v>17</v>
      </c>
      <c r="H6" s="94">
        <f>IF(B$17=0,0,G6/B$17)</f>
        <v>0.265625</v>
      </c>
      <c r="I6" s="56">
        <v>13</v>
      </c>
      <c r="K6" s="5">
        <v>4</v>
      </c>
      <c r="L6" s="61">
        <v>-96.4</v>
      </c>
      <c r="N6" s="76" t="s">
        <v>106</v>
      </c>
      <c r="O6" s="83">
        <f t="shared" ref="O6" si="1">IF(P6=0,0,Q6/P6)</f>
        <v>-231.57894736842104</v>
      </c>
      <c r="P6" s="80">
        <v>19</v>
      </c>
      <c r="Q6" s="64">
        <v>-4400</v>
      </c>
    </row>
    <row r="7" spans="1:17">
      <c r="A7" s="19" t="s">
        <v>2</v>
      </c>
      <c r="B7" s="13">
        <v>9</v>
      </c>
      <c r="C7" s="6">
        <f t="shared" ref="C7:C12" si="2">IF(B$2=0,0,B7/B$2)</f>
        <v>0.26470588235294118</v>
      </c>
      <c r="E7" s="33" t="s">
        <v>56</v>
      </c>
      <c r="F7" s="30" t="s">
        <v>185</v>
      </c>
      <c r="G7" s="13">
        <v>16</v>
      </c>
      <c r="H7" s="94">
        <f>IF(B$17=0,0,G7/B$17)</f>
        <v>0.25</v>
      </c>
      <c r="I7" s="56">
        <v>15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6</v>
      </c>
      <c r="C8" s="6">
        <f>IF(B$2=0,0,B8/B$2)</f>
        <v>0.17647058823529413</v>
      </c>
      <c r="E8" s="33" t="s">
        <v>59</v>
      </c>
      <c r="F8" s="30" t="s">
        <v>23</v>
      </c>
      <c r="G8" s="13">
        <v>14</v>
      </c>
      <c r="H8" s="94">
        <f>IF(B$17=0,0,G8/B$17)</f>
        <v>0.21875</v>
      </c>
      <c r="I8" s="56">
        <v>9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0.41176470588235292</v>
      </c>
      <c r="E9" s="33" t="s">
        <v>182</v>
      </c>
      <c r="F9" s="30" t="s">
        <v>19</v>
      </c>
      <c r="G9" s="13">
        <v>8</v>
      </c>
      <c r="H9" s="94">
        <f>IF(B$17=0,0,G9/B$17)</f>
        <v>0.125</v>
      </c>
      <c r="I9" s="56">
        <v>9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0.14705882352941177</v>
      </c>
      <c r="E10" s="33" t="s">
        <v>57</v>
      </c>
      <c r="F10" s="30" t="s">
        <v>21</v>
      </c>
      <c r="G10" s="13">
        <v>8</v>
      </c>
      <c r="H10" s="94">
        <f>IF(B$17=0,0,G10/B$17)</f>
        <v>0.125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77</v>
      </c>
      <c r="F11" s="30" t="s">
        <v>41</v>
      </c>
      <c r="G11" s="13">
        <v>5</v>
      </c>
      <c r="H11" s="94">
        <f>IF(B$17=0,0,G11/B$17)</f>
        <v>7.8125E-2</v>
      </c>
      <c r="I11" s="56">
        <v>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8.8235294117647065E-2</v>
      </c>
      <c r="E12" s="33" t="s">
        <v>58</v>
      </c>
      <c r="F12" s="30" t="s">
        <v>22</v>
      </c>
      <c r="G12" s="13">
        <v>4</v>
      </c>
      <c r="H12" s="94">
        <f>IF(B$17=0,0,G12/B$17)</f>
        <v>6.25E-2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-12.350000000000003</v>
      </c>
      <c r="P12" s="79">
        <v>4</v>
      </c>
      <c r="Q12" s="67">
        <v>-49.400000000000013</v>
      </c>
    </row>
    <row r="13" spans="1:17">
      <c r="A13" s="22" t="s">
        <v>97</v>
      </c>
      <c r="B13" s="15">
        <v>63</v>
      </c>
      <c r="C13" s="11">
        <f>IF(B$3=0,0,B13/B$3)</f>
        <v>0.26359832635983266</v>
      </c>
      <c r="E13" s="33" t="s">
        <v>71</v>
      </c>
      <c r="F13" s="30" t="s">
        <v>35</v>
      </c>
      <c r="G13" s="13">
        <v>3</v>
      </c>
      <c r="H13" s="94">
        <f>IF(B$17=0,0,G13/B$17)</f>
        <v>4.6875E-2</v>
      </c>
      <c r="I13" s="56">
        <v>4</v>
      </c>
      <c r="K13" s="5">
        <v>11</v>
      </c>
      <c r="L13" s="61">
        <v>-300.00000000000006</v>
      </c>
      <c r="N13" s="76" t="s">
        <v>127</v>
      </c>
      <c r="O13" s="86">
        <f>IF(P13=0,0,Q13/P13)</f>
        <v>2.5285714285714294</v>
      </c>
      <c r="P13" s="80">
        <v>7</v>
      </c>
      <c r="Q13" s="68">
        <v>17.700000000000006</v>
      </c>
    </row>
    <row r="14" spans="1:17">
      <c r="A14" s="19" t="s">
        <v>94</v>
      </c>
      <c r="B14" s="13">
        <v>68</v>
      </c>
      <c r="C14" s="6">
        <f>IF(B$3=0,0,B14/B$3)</f>
        <v>0.28451882845188287</v>
      </c>
      <c r="E14" s="33" t="s">
        <v>74</v>
      </c>
      <c r="F14" s="30" t="s">
        <v>38</v>
      </c>
      <c r="G14" s="13">
        <v>3</v>
      </c>
      <c r="H14" s="94">
        <f>IF(B$17=0,0,G14/B$17)</f>
        <v>4.6875E-2</v>
      </c>
      <c r="I14" s="56">
        <v>5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34</v>
      </c>
      <c r="C15" s="4">
        <f>IF(B$13=0,0,B15/B$13)</f>
        <v>0.53968253968253965</v>
      </c>
      <c r="E15" s="33" t="s">
        <v>78</v>
      </c>
      <c r="F15" s="30" t="s">
        <v>42</v>
      </c>
      <c r="G15" s="13">
        <v>2</v>
      </c>
      <c r="H15" s="94">
        <f>IF(B$17=0,0,G15/B$17)</f>
        <v>3.125E-2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25</v>
      </c>
      <c r="C16" s="4">
        <f>IF(B$14=0,0,B16/B$14)</f>
        <v>0.36764705882352944</v>
      </c>
      <c r="E16" s="33" t="s">
        <v>62</v>
      </c>
      <c r="F16" s="30" t="s">
        <v>26</v>
      </c>
      <c r="G16" s="13">
        <v>1</v>
      </c>
      <c r="H16" s="94">
        <f>IF(B$17=0,0,G16/B$17)</f>
        <v>1.5625E-2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0.26778242677824265</v>
      </c>
      <c r="E17" s="33" t="s">
        <v>66</v>
      </c>
      <c r="F17" s="30" t="s">
        <v>30</v>
      </c>
      <c r="G17" s="13">
        <v>1</v>
      </c>
      <c r="H17" s="94">
        <f>IF(B$17=0,0,G17/B$17)</f>
        <v>1.5625E-2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0.12552301255230125</v>
      </c>
      <c r="E18" s="33" t="s">
        <v>183</v>
      </c>
      <c r="F18" s="30" t="s">
        <v>186</v>
      </c>
      <c r="G18" s="13">
        <v>1</v>
      </c>
      <c r="H18" s="94">
        <f>IF(B$17=0,0,G18/B$17)</f>
        <v>1.5625E-2</v>
      </c>
      <c r="I18" s="56">
        <v>11</v>
      </c>
      <c r="K18" s="5">
        <v>16</v>
      </c>
      <c r="L18" s="61">
        <v>-275</v>
      </c>
      <c r="N18" s="75" t="s">
        <v>235</v>
      </c>
      <c r="O18" s="85">
        <f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25</v>
      </c>
      <c r="C19" s="6">
        <f>IF(B$17=0,0,B19/B$17)</f>
        <v>0.390625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>IF(P19=0,0,Q19/P19)</f>
        <v>66.066666666666649</v>
      </c>
      <c r="P19" s="80">
        <v>6</v>
      </c>
      <c r="Q19" s="68">
        <v>396.39999999999992</v>
      </c>
    </row>
    <row r="20" spans="1:17">
      <c r="A20" s="19" t="s">
        <v>11</v>
      </c>
      <c r="B20" s="13">
        <v>39</v>
      </c>
      <c r="C20" s="6">
        <f>IF(B$17=0,0,B20/B$17)</f>
        <v>0.609375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>IF(P20=0,0,Q20/P20)</f>
        <v>47.5</v>
      </c>
      <c r="P20" s="80">
        <v>2</v>
      </c>
      <c r="Q20" s="68">
        <v>95</v>
      </c>
    </row>
    <row r="21" spans="1:17">
      <c r="A21" s="19" t="s">
        <v>151</v>
      </c>
      <c r="B21" s="13">
        <v>34</v>
      </c>
      <c r="C21" s="6">
        <f>IF(B$17=0,0,B21/B$17)</f>
        <v>0.53125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>IF(P21=0,0,Q21/P21)</f>
        <v>45.5</v>
      </c>
      <c r="P21" s="80">
        <v>2</v>
      </c>
      <c r="Q21" s="68">
        <v>91</v>
      </c>
    </row>
    <row r="22" spans="1:17">
      <c r="A22" s="19" t="s">
        <v>149</v>
      </c>
      <c r="B22" s="13">
        <v>25</v>
      </c>
      <c r="C22" s="6">
        <f>IF(B$17=0,0,B22/B$17)</f>
        <v>0.390625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228</v>
      </c>
      <c r="O22" s="86">
        <f>IF(P22=0,0,Q22/P22)</f>
        <v>35.690000000000012</v>
      </c>
      <c r="P22" s="80">
        <v>10</v>
      </c>
      <c r="Q22" s="68">
        <v>356.90000000000009</v>
      </c>
    </row>
    <row r="23" spans="1:17">
      <c r="A23" s="19" t="s">
        <v>150</v>
      </c>
      <c r="B23" s="13">
        <v>5</v>
      </c>
      <c r="C23" s="6">
        <f>IF(B$17=0,0,B23/B$17)</f>
        <v>7.8125E-2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-205.40000000000003</v>
      </c>
      <c r="N23" s="76" t="s">
        <v>216</v>
      </c>
      <c r="O23" s="86">
        <f>IF(P23=0,0,Q23/P23)</f>
        <v>26.720000000000013</v>
      </c>
      <c r="P23" s="80">
        <v>15</v>
      </c>
      <c r="Q23" s="68">
        <v>400.80000000000018</v>
      </c>
    </row>
    <row r="24" spans="1:17">
      <c r="A24" s="19" t="s">
        <v>5</v>
      </c>
      <c r="B24" s="16">
        <f>IF(B$17=0,0,C24/B$17)</f>
        <v>6479.6875</v>
      </c>
      <c r="C24" s="8">
        <v>414700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227</v>
      </c>
      <c r="O24" s="86">
        <f>IF(P24=0,0,Q24/P24)</f>
        <v>24.916666666666661</v>
      </c>
      <c r="P24" s="80">
        <v>6</v>
      </c>
      <c r="Q24" s="68">
        <v>149.49999999999997</v>
      </c>
    </row>
    <row r="25" spans="1:17">
      <c r="A25" s="20" t="s">
        <v>133</v>
      </c>
      <c r="B25" s="97">
        <f>IF($B$17-B$16=0,0,C25/($B$17-B$16))</f>
        <v>7943.5897435897432</v>
      </c>
      <c r="C25" s="98">
        <v>309800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-280</v>
      </c>
      <c r="N25" s="76" t="s">
        <v>215</v>
      </c>
      <c r="O25" s="86">
        <f>IF(P25=0,0,Q25/P25)</f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4196</v>
      </c>
      <c r="C26" s="98">
        <v>104900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>IF(P26=0,0,Q26/P26)</f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-7006.666666666667</v>
      </c>
      <c r="C27" s="98">
        <v>-210200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>IF(P27=0,0,Q27/P27)</f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>IF(P28=0,0,Q28/P28)</f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>IF(P29=0,0,Q29/P29)</f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>IF(P30=0,0,Q30/P30)</f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>IF(P31=0,0,Q31/P31)</f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4.1841004184100415E-3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>IF(P32=0,0,Q32/P32)</f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163</v>
      </c>
      <c r="O33" s="86">
        <f>IF(P33=0,0,Q33/P33)</f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154.39999999999998</v>
      </c>
      <c r="N34" s="76" t="s">
        <v>179</v>
      </c>
      <c r="O34" s="86">
        <f>IF(P34=0,0,Q34/P34)</f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6</v>
      </c>
      <c r="C35" s="102">
        <f t="shared" ref="C35:C47" si="3">IF(B$17=0,0,B35/B$17)</f>
        <v>9.375E-2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162</v>
      </c>
      <c r="O35" s="86">
        <f>IF(P35=0,0,Q35/P35)</f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16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191</v>
      </c>
      <c r="O36" s="86">
        <f>IF(P36=0,0,Q36/P36)</f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18</v>
      </c>
      <c r="C37" s="6">
        <f t="shared" si="3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>IF(P37=0,0,Q37/P37)</f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4</v>
      </c>
      <c r="C38" s="6">
        <f t="shared" si="3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244</v>
      </c>
      <c r="O38" s="86">
        <f>IF(P38=0,0,Q38/P38)</f>
        <v>-92.85</v>
      </c>
      <c r="P38" s="80">
        <v>2</v>
      </c>
      <c r="Q38" s="68">
        <v>-185.7</v>
      </c>
    </row>
    <row r="39" spans="1:17">
      <c r="A39" s="19" t="s">
        <v>138</v>
      </c>
      <c r="B39" s="100">
        <v>10</v>
      </c>
      <c r="C39" s="6">
        <f t="shared" si="3"/>
        <v>0.15625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9.375E-2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19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10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9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3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7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19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184</v>
      </c>
      <c r="F2" s="29" t="s">
        <v>187</v>
      </c>
      <c r="G2" s="12">
        <v>18</v>
      </c>
      <c r="H2" s="93">
        <f>IF(B$17=0,0,G2/B$17)</f>
        <v>0.9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182.60869565217391</v>
      </c>
      <c r="P2" s="79">
        <v>23</v>
      </c>
      <c r="Q2" s="63">
        <v>4200</v>
      </c>
    </row>
    <row r="3" spans="1:17">
      <c r="A3" s="19" t="s">
        <v>8</v>
      </c>
      <c r="B3" s="122">
        <v>151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1104.3478260869565</v>
      </c>
      <c r="P3" s="80">
        <v>23</v>
      </c>
      <c r="Q3" s="64">
        <v>25400</v>
      </c>
    </row>
    <row r="4" spans="1:17">
      <c r="A4" s="19" t="s">
        <v>6</v>
      </c>
      <c r="B4" s="124">
        <v>-178.79999999999998</v>
      </c>
      <c r="C4" s="125"/>
      <c r="E4" s="33" t="s">
        <v>55</v>
      </c>
      <c r="F4" s="30" t="s">
        <v>155</v>
      </c>
      <c r="G4" s="13">
        <v>11</v>
      </c>
      <c r="H4" s="94">
        <f>IF(B$17=0,0,G4/B$17)</f>
        <v>0.55000000000000004</v>
      </c>
      <c r="I4" s="56">
        <v>3</v>
      </c>
      <c r="K4" s="5">
        <v>2</v>
      </c>
      <c r="L4" s="61">
        <v>-102</v>
      </c>
      <c r="N4" s="76" t="s">
        <v>105</v>
      </c>
      <c r="O4" s="83">
        <f t="shared" si="0"/>
        <v>-3204.5454545454545</v>
      </c>
      <c r="P4" s="80">
        <v>22</v>
      </c>
      <c r="Q4" s="64">
        <v>-70500</v>
      </c>
    </row>
    <row r="5" spans="1:17">
      <c r="A5" s="19" t="s">
        <v>7</v>
      </c>
      <c r="B5" s="126">
        <f>IF(B$2=0,0,B$4/B$2)</f>
        <v>-7.7739130434782604</v>
      </c>
      <c r="C5" s="127"/>
      <c r="E5" s="33" t="s">
        <v>54</v>
      </c>
      <c r="F5" s="30" t="s">
        <v>20</v>
      </c>
      <c r="G5" s="13">
        <v>10</v>
      </c>
      <c r="H5" s="94">
        <f>IF(B$17=0,0,G5/B$17)</f>
        <v>0.5</v>
      </c>
      <c r="I5" s="56">
        <v>16</v>
      </c>
      <c r="K5" s="5">
        <v>3</v>
      </c>
      <c r="L5" s="61">
        <v>-97.3</v>
      </c>
      <c r="N5" s="76" t="s">
        <v>157</v>
      </c>
      <c r="O5" s="83">
        <f>IF(P5=0,0,Q5/P5)</f>
        <v>-1257.8947368421052</v>
      </c>
      <c r="P5" s="80">
        <v>19</v>
      </c>
      <c r="Q5" s="64">
        <v>-23900</v>
      </c>
    </row>
    <row r="6" spans="1:17">
      <c r="A6" s="19" t="s">
        <v>1</v>
      </c>
      <c r="B6" s="128">
        <f>IF(B$2=0,0,(B$7*1+B$8*2+B$9*3+B$10*4)/B$2)</f>
        <v>2.6956521739130435</v>
      </c>
      <c r="C6" s="129"/>
      <c r="E6" s="33" t="s">
        <v>60</v>
      </c>
      <c r="F6" s="30" t="s">
        <v>24</v>
      </c>
      <c r="G6" s="13">
        <v>9</v>
      </c>
      <c r="H6" s="94">
        <f>IF(B$17=0,0,G6/B$17)</f>
        <v>0.45</v>
      </c>
      <c r="I6" s="56">
        <v>11</v>
      </c>
      <c r="K6" s="5">
        <v>4</v>
      </c>
      <c r="L6" s="61">
        <v>-144.4</v>
      </c>
      <c r="N6" s="76" t="s">
        <v>106</v>
      </c>
      <c r="O6" s="83">
        <f t="shared" ref="O6" si="1">IF(P6=0,0,Q6/P6)</f>
        <v>-2955.5555555555557</v>
      </c>
      <c r="P6" s="80">
        <v>9</v>
      </c>
      <c r="Q6" s="64">
        <v>-26600</v>
      </c>
    </row>
    <row r="7" spans="1:17">
      <c r="A7" s="19" t="s">
        <v>2</v>
      </c>
      <c r="B7" s="13">
        <v>5</v>
      </c>
      <c r="C7" s="6">
        <f t="shared" ref="C7:C12" si="2">IF(B$2=0,0,B7/B$2)</f>
        <v>0.21739130434782608</v>
      </c>
      <c r="E7" s="33" t="s">
        <v>56</v>
      </c>
      <c r="F7" s="30" t="s">
        <v>185</v>
      </c>
      <c r="G7" s="13">
        <v>7</v>
      </c>
      <c r="H7" s="94">
        <f>IF(B$17=0,0,G7/B$17)</f>
        <v>0.35</v>
      </c>
      <c r="I7" s="56">
        <v>9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0.17391304347826086</v>
      </c>
      <c r="E8" s="33" t="s">
        <v>57</v>
      </c>
      <c r="F8" s="30" t="s">
        <v>21</v>
      </c>
      <c r="G8" s="13">
        <v>5</v>
      </c>
      <c r="H8" s="94">
        <f>IF(B$17=0,0,G8/B$17)</f>
        <v>0.25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0.30434782608695654</v>
      </c>
      <c r="E9" s="33" t="s">
        <v>59</v>
      </c>
      <c r="F9" s="30" t="s">
        <v>23</v>
      </c>
      <c r="G9" s="13">
        <v>2</v>
      </c>
      <c r="H9" s="94">
        <f>IF(B$17=0,0,G9/B$17)</f>
        <v>0.1</v>
      </c>
      <c r="I9" s="56">
        <v>14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0.30434782608695654</v>
      </c>
      <c r="E10" s="33" t="s">
        <v>77</v>
      </c>
      <c r="F10" s="30" t="s">
        <v>41</v>
      </c>
      <c r="G10" s="13">
        <v>2</v>
      </c>
      <c r="H10" s="94">
        <f>IF(B$17=0,0,G10/B$17)</f>
        <v>0.1</v>
      </c>
      <c r="I10" s="56">
        <v>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0.39130434782608697</v>
      </c>
      <c r="E11" s="33" t="s">
        <v>182</v>
      </c>
      <c r="F11" s="30" t="s">
        <v>19</v>
      </c>
      <c r="G11" s="13">
        <v>1</v>
      </c>
      <c r="H11" s="94">
        <f>IF(B$17=0,0,G11/B$17)</f>
        <v>0.05</v>
      </c>
      <c r="I11" s="56">
        <v>16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4.3478260869565216E-2</v>
      </c>
      <c r="E12" s="33" t="s">
        <v>58</v>
      </c>
      <c r="F12" s="30" t="s">
        <v>22</v>
      </c>
      <c r="G12" s="13">
        <v>1</v>
      </c>
      <c r="H12" s="94">
        <f>IF(B$17=0,0,G12/B$17)</f>
        <v>0.05</v>
      </c>
      <c r="I12" s="56">
        <v>11</v>
      </c>
      <c r="K12" s="5">
        <v>10</v>
      </c>
      <c r="L12" s="61">
        <v>-213.49999999999997</v>
      </c>
      <c r="N12" s="75" t="s">
        <v>126</v>
      </c>
      <c r="O12" s="85">
        <f>IF(P12=0,0,Q12/P12)</f>
        <v>-20.762500000000003</v>
      </c>
      <c r="P12" s="79">
        <v>8</v>
      </c>
      <c r="Q12" s="67">
        <v>-166.10000000000002</v>
      </c>
    </row>
    <row r="13" spans="1:17">
      <c r="A13" s="22" t="s">
        <v>97</v>
      </c>
      <c r="B13" s="15">
        <v>25</v>
      </c>
      <c r="C13" s="11">
        <f>IF(B$3=0,0,B13/B$3)</f>
        <v>0.16556291390728478</v>
      </c>
      <c r="E13" s="33" t="s">
        <v>183</v>
      </c>
      <c r="F13" s="30" t="s">
        <v>186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19</v>
      </c>
      <c r="C14" s="6">
        <f>IF(B$3=0,0,B14/B$3)</f>
        <v>0.12582781456953643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-265.09999999999997</v>
      </c>
      <c r="N14" s="76" t="s">
        <v>128</v>
      </c>
      <c r="O14" s="86">
        <f>IF(P14=0,0,Q14/P14)</f>
        <v>21.662500000000001</v>
      </c>
      <c r="P14" s="80">
        <v>8</v>
      </c>
      <c r="Q14" s="68">
        <v>173.3</v>
      </c>
    </row>
    <row r="15" spans="1:17">
      <c r="A15" s="18" t="s">
        <v>99</v>
      </c>
      <c r="B15" s="12">
        <f>B21</f>
        <v>13</v>
      </c>
      <c r="C15" s="4">
        <f>IF(B$13=0,0,B15/B$13)</f>
        <v>0.52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7</v>
      </c>
      <c r="C16" s="4">
        <f>IF(B$14=0,0,B16/B$14)</f>
        <v>0.36842105263157893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0.13245033112582782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0.12582781456953643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238</v>
      </c>
      <c r="O18" s="85">
        <f>IF(P18=0,0,Q18/P18)</f>
        <v>56.57500000000001</v>
      </c>
      <c r="P18" s="79">
        <v>4</v>
      </c>
      <c r="Q18" s="67">
        <v>226.30000000000004</v>
      </c>
    </row>
    <row r="19" spans="1:17">
      <c r="A19" s="19" t="s">
        <v>12</v>
      </c>
      <c r="B19" s="13">
        <v>11</v>
      </c>
      <c r="C19" s="6">
        <f>IF(B$17=0,0,B19/B$17)</f>
        <v>0.55000000000000004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-213</v>
      </c>
      <c r="N19" s="76" t="s">
        <v>241</v>
      </c>
      <c r="O19" s="86">
        <f>IF(P19=0,0,Q19/P19)</f>
        <v>39.975000000000001</v>
      </c>
      <c r="P19" s="80">
        <v>4</v>
      </c>
      <c r="Q19" s="68">
        <v>159.9</v>
      </c>
    </row>
    <row r="20" spans="1:17">
      <c r="A20" s="19" t="s">
        <v>11</v>
      </c>
      <c r="B20" s="13">
        <v>9</v>
      </c>
      <c r="C20" s="6">
        <f>IF(B$17=0,0,B20/B$17)</f>
        <v>0.45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228</v>
      </c>
      <c r="O20" s="86">
        <f>IF(P20=0,0,Q20/P20)</f>
        <v>17.033333333333331</v>
      </c>
      <c r="P20" s="80">
        <v>6</v>
      </c>
      <c r="Q20" s="68">
        <v>102.19999999999999</v>
      </c>
    </row>
    <row r="21" spans="1:17">
      <c r="A21" s="19" t="s">
        <v>151</v>
      </c>
      <c r="B21" s="13">
        <v>13</v>
      </c>
      <c r="C21" s="6">
        <f>IF(B$17=0,0,B21/B$17)</f>
        <v>0.65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-181.79999999999998</v>
      </c>
      <c r="N21" s="76" t="s">
        <v>227</v>
      </c>
      <c r="O21" s="86">
        <f>IF(P21=0,0,Q21/P21)</f>
        <v>15.766666666666671</v>
      </c>
      <c r="P21" s="80">
        <v>6</v>
      </c>
      <c r="Q21" s="68">
        <v>94.600000000000023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223</v>
      </c>
      <c r="O22" s="86">
        <f>IF(P22=0,0,Q22/P22)</f>
        <v>3.2500000000000036</v>
      </c>
      <c r="P22" s="80">
        <v>4</v>
      </c>
      <c r="Q22" s="68">
        <v>13.000000000000014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-145.89999999999998</v>
      </c>
      <c r="N23" s="76" t="s">
        <v>235</v>
      </c>
      <c r="O23" s="86">
        <f>IF(P23=0,0,Q23/P23)</f>
        <v>-4.0999999999999979</v>
      </c>
      <c r="P23" s="80">
        <v>2</v>
      </c>
      <c r="Q23" s="68">
        <v>-8.1999999999999957</v>
      </c>
    </row>
    <row r="24" spans="1:17">
      <c r="A24" s="19" t="s">
        <v>5</v>
      </c>
      <c r="B24" s="16">
        <f>IF(B$17=0,0,C24/B$17)</f>
        <v>8680</v>
      </c>
      <c r="C24" s="8">
        <v>173600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K24" s="5">
        <v>22</v>
      </c>
      <c r="L24" s="61">
        <v>-172.49999999999997</v>
      </c>
      <c r="N24" s="76" t="s">
        <v>213</v>
      </c>
      <c r="O24" s="86">
        <f>IF(P24=0,0,Q24/P24)</f>
        <v>-9.2750000000000004</v>
      </c>
      <c r="P24" s="80">
        <v>4</v>
      </c>
      <c r="Q24" s="68">
        <v>-37.1</v>
      </c>
    </row>
    <row r="25" spans="1:17">
      <c r="A25" s="20" t="s">
        <v>133</v>
      </c>
      <c r="B25" s="97">
        <f>IF($B$17-B$16=0,0,C25/($B$17-B$16))</f>
        <v>9669.2307692307695</v>
      </c>
      <c r="C25" s="98">
        <v>125700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-178.79999999999998</v>
      </c>
      <c r="N25" s="76" t="s">
        <v>244</v>
      </c>
      <c r="O25" s="86">
        <f>IF(P25=0,0,Q25/P25)</f>
        <v>-11.925000000000001</v>
      </c>
      <c r="P25" s="80">
        <v>4</v>
      </c>
      <c r="Q25" s="68">
        <v>-47.7</v>
      </c>
    </row>
    <row r="26" spans="1:17">
      <c r="A26" s="20" t="s">
        <v>134</v>
      </c>
      <c r="B26" s="97">
        <f>IF(B$16=0,0,C26/B$16)</f>
        <v>6842.8571428571431</v>
      </c>
      <c r="C26" s="98">
        <v>47900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>IF(P26=0,0,Q26/P26)</f>
        <v>-26.72000000000001</v>
      </c>
      <c r="P26" s="80">
        <v>15</v>
      </c>
      <c r="Q26" s="68">
        <v>-400.80000000000013</v>
      </c>
    </row>
    <row r="27" spans="1:17">
      <c r="A27" s="20" t="s">
        <v>132</v>
      </c>
      <c r="B27" s="97">
        <f>IF(B$18=0,0,C27/B$18)</f>
        <v>-7663.1578947368425</v>
      </c>
      <c r="C27" s="98">
        <v>-145600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215</v>
      </c>
      <c r="O27" s="86">
        <f>IF(P27=0,0,Q27/P27)</f>
        <v>-33.200000000000003</v>
      </c>
      <c r="P27" s="80">
        <v>1</v>
      </c>
      <c r="Q27" s="68">
        <v>-33.200000000000003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>IF(P28=0,0,Q28/P28)</f>
        <v>-33.950000000000003</v>
      </c>
      <c r="P28" s="80">
        <v>2</v>
      </c>
      <c r="Q28" s="68">
        <v>-67.900000000000006</v>
      </c>
    </row>
    <row r="29" spans="1:17">
      <c r="A29" s="19" t="s">
        <v>131</v>
      </c>
      <c r="B29" s="13">
        <v>22</v>
      </c>
      <c r="C29" s="96">
        <v>22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-35.764285714285712</v>
      </c>
      <c r="P29" s="80">
        <v>14</v>
      </c>
      <c r="Q29" s="68">
        <v>-500.7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231</v>
      </c>
      <c r="O30" s="86">
        <f>IF(P30=0,0,Q30/P30)</f>
        <v>-63.85</v>
      </c>
      <c r="P30" s="80">
        <v>2</v>
      </c>
      <c r="Q30" s="68">
        <v>-127.7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161</v>
      </c>
      <c r="O31" s="86">
        <f>IF(P31=0,0,Q31/P31)</f>
        <v>-87.9</v>
      </c>
      <c r="P31" s="80">
        <v>1</v>
      </c>
      <c r="Q31" s="68">
        <v>-87.9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0.8571428571428571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116.66666666666667</v>
      </c>
      <c r="P2" s="79">
        <v>12</v>
      </c>
      <c r="Q2" s="63">
        <v>1400</v>
      </c>
    </row>
    <row r="3" spans="1:17">
      <c r="A3" s="19" t="s">
        <v>8</v>
      </c>
      <c r="B3" s="122">
        <v>85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0.7857142857142857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-3641.6666666666665</v>
      </c>
      <c r="P3" s="80">
        <v>12</v>
      </c>
      <c r="Q3" s="64">
        <v>-43700</v>
      </c>
    </row>
    <row r="4" spans="1:17">
      <c r="A4" s="19" t="s">
        <v>6</v>
      </c>
      <c r="B4" s="124">
        <v>-263.89999999999998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0.35714285714285715</v>
      </c>
      <c r="I4" s="56">
        <v>6</v>
      </c>
      <c r="K4" s="5">
        <v>2</v>
      </c>
      <c r="L4" s="61">
        <v>122.9</v>
      </c>
      <c r="N4" s="76" t="s">
        <v>105</v>
      </c>
      <c r="O4" s="83">
        <f t="shared" si="0"/>
        <v>-1691.6666666666667</v>
      </c>
      <c r="P4" s="80">
        <v>12</v>
      </c>
      <c r="Q4" s="64">
        <v>-20300</v>
      </c>
    </row>
    <row r="5" spans="1:17">
      <c r="A5" s="19" t="s">
        <v>7</v>
      </c>
      <c r="B5" s="126">
        <f>IF(B$2=0,0,B$4/B$2)</f>
        <v>-21.991666666666664</v>
      </c>
      <c r="C5" s="127"/>
      <c r="E5" s="33" t="s">
        <v>184</v>
      </c>
      <c r="F5" s="30" t="s">
        <v>187</v>
      </c>
      <c r="G5" s="13">
        <v>5</v>
      </c>
      <c r="H5" s="94">
        <f>IF(B$17=0,0,G5/B$17)</f>
        <v>0.35714285714285715</v>
      </c>
      <c r="I5" s="56">
        <v>18</v>
      </c>
      <c r="K5" s="5">
        <v>3</v>
      </c>
      <c r="L5" s="61">
        <v>69.800000000000011</v>
      </c>
      <c r="N5" s="76" t="s">
        <v>157</v>
      </c>
      <c r="O5" s="83">
        <f>IF(P5=0,0,Q5/P5)</f>
        <v>-2408.3333333333335</v>
      </c>
      <c r="P5" s="80">
        <v>12</v>
      </c>
      <c r="Q5" s="64">
        <v>-28900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0.2857142857142857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-3971.4285714285716</v>
      </c>
      <c r="P6" s="80">
        <v>7</v>
      </c>
      <c r="Q6" s="64">
        <v>-27800</v>
      </c>
    </row>
    <row r="7" spans="1:17">
      <c r="A7" s="19" t="s">
        <v>2</v>
      </c>
      <c r="B7" s="13">
        <v>2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18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56</v>
      </c>
      <c r="F8" s="30" t="s">
        <v>185</v>
      </c>
      <c r="G8" s="13">
        <v>2</v>
      </c>
      <c r="H8" s="94">
        <f>IF(B$17=0,0,G8/B$17)</f>
        <v>0.14285714285714285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1</v>
      </c>
      <c r="H9" s="94">
        <f>IF(B$17=0,0,G9/B$17)</f>
        <v>7.1428571428571425E-2</v>
      </c>
      <c r="I9" s="56">
        <v>12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0.5</v>
      </c>
      <c r="E10" s="33" t="s">
        <v>59</v>
      </c>
      <c r="F10" s="30" t="s">
        <v>23</v>
      </c>
      <c r="G10" s="13">
        <v>1</v>
      </c>
      <c r="H10" s="94">
        <f>IF(B$17=0,0,G10/B$17)</f>
        <v>7.1428571428571425E-2</v>
      </c>
      <c r="I10" s="56">
        <v>17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183</v>
      </c>
      <c r="F11" s="30" t="s">
        <v>186</v>
      </c>
      <c r="G11" s="13">
        <v>1</v>
      </c>
      <c r="H11" s="94">
        <f>IF(B$17=0,0,G11/B$17)</f>
        <v>7.1428571428571425E-2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17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K13" s="5">
        <v>11</v>
      </c>
      <c r="L13" s="61">
        <v>-198</v>
      </c>
      <c r="N13" s="76" t="s">
        <v>127</v>
      </c>
      <c r="O13" s="86">
        <f>IF(P13=0,0,Q13/P13)</f>
        <v>-51.65</v>
      </c>
      <c r="P13" s="80">
        <v>2</v>
      </c>
      <c r="Q13" s="68">
        <v>-103.3</v>
      </c>
    </row>
    <row r="14" spans="1:17">
      <c r="A14" s="19" t="s">
        <v>94</v>
      </c>
      <c r="B14" s="13">
        <v>13</v>
      </c>
      <c r="C14" s="6">
        <f>IF(B$3=0,0,B14/B$3)</f>
        <v>0.15294117647058825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-263.89999999999998</v>
      </c>
      <c r="N14" s="76" t="s">
        <v>128</v>
      </c>
      <c r="O14" s="86">
        <f>IF(P14=0,0,Q14/P14)</f>
        <v>-21.46</v>
      </c>
      <c r="P14" s="80">
        <v>5</v>
      </c>
      <c r="Q14" s="68">
        <v>-107.30000000000001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-28.424999999999997</v>
      </c>
      <c r="P15" s="81">
        <v>4</v>
      </c>
      <c r="Q15" s="69">
        <v>-113.69999999999999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0.16470588235294117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0.22352941176470589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4</v>
      </c>
      <c r="C19" s="6">
        <f>IF(B$17=0,0,B19/B$17)</f>
        <v>0.2857142857142857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238</v>
      </c>
      <c r="O19" s="86">
        <f>IF(P19=0,0,Q19/P19)</f>
        <v>-13.174999999999999</v>
      </c>
      <c r="P19" s="80">
        <v>4</v>
      </c>
      <c r="Q19" s="68">
        <v>-52.699999999999996</v>
      </c>
    </row>
    <row r="20" spans="1:17">
      <c r="A20" s="19" t="s">
        <v>11</v>
      </c>
      <c r="B20" s="13">
        <v>10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>IF(P20=0,0,Q20/P20)</f>
        <v>-17.033333333333335</v>
      </c>
      <c r="P20" s="80">
        <v>6</v>
      </c>
      <c r="Q20" s="68">
        <v>-102.2</v>
      </c>
    </row>
    <row r="21" spans="1:17">
      <c r="A21" s="19" t="s">
        <v>151</v>
      </c>
      <c r="B21" s="13">
        <v>11</v>
      </c>
      <c r="C21" s="6">
        <f>IF(B$17=0,0,B21/B$17)</f>
        <v>0.7857142857142857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227</v>
      </c>
      <c r="O21" s="86">
        <f>IF(P21=0,0,Q21/P21)</f>
        <v>-24.074999999999999</v>
      </c>
      <c r="P21" s="80">
        <v>8</v>
      </c>
      <c r="Q21" s="68">
        <v>-192.6</v>
      </c>
    </row>
    <row r="22" spans="1:17">
      <c r="A22" s="19" t="s">
        <v>149</v>
      </c>
      <c r="B22" s="13">
        <v>2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-35.690000000000005</v>
      </c>
      <c r="P22" s="80">
        <v>10</v>
      </c>
      <c r="Q22" s="68">
        <v>-356.90000000000003</v>
      </c>
    </row>
    <row r="23" spans="1:17">
      <c r="A23" s="19" t="s">
        <v>150</v>
      </c>
      <c r="B23" s="13">
        <v>1</v>
      </c>
      <c r="C23" s="6">
        <f>IF(B$17=0,0,B23/B$17)</f>
        <v>7.1428571428571425E-2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>IF(P23=0,0,Q23/P23)</f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7321.4285714285716</v>
      </c>
      <c r="C24" s="8">
        <v>102500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>IF(P24=0,0,Q24/P24)</f>
        <v>-98.45</v>
      </c>
      <c r="P24" s="80">
        <v>2</v>
      </c>
      <c r="Q24" s="68">
        <v>-196.9</v>
      </c>
    </row>
    <row r="25" spans="1:17">
      <c r="A25" s="20" t="s">
        <v>133</v>
      </c>
      <c r="B25" s="97">
        <f>IF($B$17-B$16=0,0,C25/($B$17-B$16))</f>
        <v>7216.666666666667</v>
      </c>
      <c r="C25" s="98">
        <v>86600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231</v>
      </c>
      <c r="O25" s="86">
        <f>IF(P25=0,0,Q25/P25)</f>
        <v>-103.69999999999999</v>
      </c>
      <c r="P25" s="80">
        <v>2</v>
      </c>
      <c r="Q25" s="68">
        <v>-207.39999999999998</v>
      </c>
    </row>
    <row r="26" spans="1:17">
      <c r="A26" s="20" t="s">
        <v>134</v>
      </c>
      <c r="B26" s="97">
        <f>IF(B$16=0,0,C26/B$16)</f>
        <v>7950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-8331.5789473684217</v>
      </c>
      <c r="C27" s="98">
        <v>-158300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0.35714285714285715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-1108.3333333333333</v>
      </c>
      <c r="P2" s="79">
        <v>12</v>
      </c>
      <c r="Q2" s="63">
        <v>-13300</v>
      </c>
    </row>
    <row r="3" spans="1:17">
      <c r="A3" s="19" t="s">
        <v>8</v>
      </c>
      <c r="B3" s="122">
        <v>80</v>
      </c>
      <c r="C3" s="123"/>
      <c r="E3" s="33" t="s">
        <v>54</v>
      </c>
      <c r="F3" s="30" t="s">
        <v>20</v>
      </c>
      <c r="G3" s="13">
        <v>11</v>
      </c>
      <c r="H3" s="94">
        <f>IF(B$17=0,0,G3/B$17)</f>
        <v>0.55000000000000004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-1058.3333333333333</v>
      </c>
      <c r="P3" s="80">
        <v>12</v>
      </c>
      <c r="Q3" s="64">
        <v>-12700</v>
      </c>
    </row>
    <row r="4" spans="1:17">
      <c r="A4" s="19" t="s">
        <v>6</v>
      </c>
      <c r="B4" s="124">
        <v>-10.900000000000011</v>
      </c>
      <c r="C4" s="125"/>
      <c r="E4" s="33" t="s">
        <v>57</v>
      </c>
      <c r="F4" s="30" t="s">
        <v>21</v>
      </c>
      <c r="G4" s="13">
        <v>11</v>
      </c>
      <c r="H4" s="94">
        <f>IF(B$17=0,0,G4/B$17)</f>
        <v>0.55000000000000004</v>
      </c>
      <c r="I4" s="56">
        <v>2</v>
      </c>
      <c r="K4" s="5">
        <v>2</v>
      </c>
      <c r="L4" s="61">
        <v>-62.100000000000009</v>
      </c>
      <c r="N4" s="76" t="s">
        <v>105</v>
      </c>
      <c r="O4" s="83">
        <f t="shared" si="0"/>
        <v>2400</v>
      </c>
      <c r="P4" s="80">
        <v>11</v>
      </c>
      <c r="Q4" s="64">
        <v>26400</v>
      </c>
    </row>
    <row r="5" spans="1:17">
      <c r="A5" s="19" t="s">
        <v>7</v>
      </c>
      <c r="B5" s="126">
        <f>IF(B$2=0,0,B$4/B$2)</f>
        <v>-0.90833333333333421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0.55000000000000004</v>
      </c>
      <c r="I5" s="56">
        <v>8</v>
      </c>
      <c r="K5" s="5">
        <v>3</v>
      </c>
      <c r="L5" s="61">
        <v>-49.70000000000001</v>
      </c>
      <c r="N5" s="76" t="s">
        <v>157</v>
      </c>
      <c r="O5" s="83">
        <f>IF(P5=0,0,Q5/P5)</f>
        <v>490.90909090909093</v>
      </c>
      <c r="P5" s="80">
        <v>11</v>
      </c>
      <c r="Q5" s="64">
        <v>5400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0.3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5200</v>
      </c>
      <c r="P6" s="80">
        <v>3</v>
      </c>
      <c r="Q6" s="64">
        <v>15600</v>
      </c>
    </row>
    <row r="7" spans="1:17">
      <c r="A7" s="19" t="s">
        <v>2</v>
      </c>
      <c r="B7" s="13">
        <v>2</v>
      </c>
      <c r="C7" s="6">
        <f t="shared" ref="C7:C12" si="2">IF(B$2=0,0,B7/B$2)</f>
        <v>0.16666666666666666</v>
      </c>
      <c r="E7" s="33" t="s">
        <v>55</v>
      </c>
      <c r="F7" s="30" t="s">
        <v>155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5</v>
      </c>
      <c r="C8" s="6">
        <f>IF(B$2=0,0,B8/B$2)</f>
        <v>0.41666666666666669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56</v>
      </c>
      <c r="F9" s="30" t="s">
        <v>185</v>
      </c>
      <c r="G9" s="13">
        <v>3</v>
      </c>
      <c r="H9" s="94">
        <f>IF(B$17=0,0,G9/B$17)</f>
        <v>0.15</v>
      </c>
      <c r="I9" s="56">
        <v>24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60</v>
      </c>
      <c r="F10" s="30" t="s">
        <v>24</v>
      </c>
      <c r="G10" s="13">
        <v>3</v>
      </c>
      <c r="H10" s="94">
        <f>IF(B$17=0,0,G10/B$17)</f>
        <v>0.15</v>
      </c>
      <c r="I10" s="56">
        <v>26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11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62</v>
      </c>
      <c r="F12" s="30" t="s">
        <v>26</v>
      </c>
      <c r="G12" s="13">
        <v>1</v>
      </c>
      <c r="H12" s="94">
        <f>IF(B$17=0,0,G12/B$17)</f>
        <v>0.05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31</v>
      </c>
      <c r="C13" s="11">
        <f>IF(B$3=0,0,B13/B$3)</f>
        <v>0.38750000000000001</v>
      </c>
      <c r="E13" s="33" t="s">
        <v>76</v>
      </c>
      <c r="F13" s="30" t="s">
        <v>40</v>
      </c>
      <c r="G13" s="13">
        <v>1</v>
      </c>
      <c r="H13" s="94">
        <f>IF(B$17=0,0,G13/B$17)</f>
        <v>0.05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11</v>
      </c>
      <c r="C14" s="6">
        <f>IF(B$3=0,0,B14/B$3)</f>
        <v>0.13750000000000001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0.54838709677419351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72.400000000000006</v>
      </c>
      <c r="P15" s="81">
        <v>1</v>
      </c>
      <c r="Q15" s="69">
        <v>72.400000000000006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244</v>
      </c>
      <c r="O18" s="85">
        <f t="shared" ref="O18:O26" si="3">IF(P18=0,0,Q18/P18)</f>
        <v>65.2</v>
      </c>
      <c r="P18" s="79">
        <v>2</v>
      </c>
      <c r="Q18" s="67">
        <v>130.4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238</v>
      </c>
      <c r="O19" s="86">
        <f t="shared" si="3"/>
        <v>28.466666666666669</v>
      </c>
      <c r="P19" s="80">
        <v>6</v>
      </c>
      <c r="Q19" s="68">
        <v>170.8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228</v>
      </c>
      <c r="O20" s="86">
        <f t="shared" si="3"/>
        <v>24.074999999999999</v>
      </c>
      <c r="P20" s="80">
        <v>8</v>
      </c>
      <c r="Q20" s="68">
        <v>192.6</v>
      </c>
    </row>
    <row r="21" spans="1:17">
      <c r="A21" s="19" t="s">
        <v>151</v>
      </c>
      <c r="B21" s="13">
        <v>17</v>
      </c>
      <c r="C21" s="6">
        <f>IF(B$17=0,0,B21/B$17)</f>
        <v>0.85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2</v>
      </c>
      <c r="C22" s="6">
        <f>IF(B$17=0,0,B22/B$17)</f>
        <v>0.1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216</v>
      </c>
      <c r="O22" s="86">
        <f t="shared" si="3"/>
        <v>-15.766666666666666</v>
      </c>
      <c r="P22" s="80">
        <v>6</v>
      </c>
      <c r="Q22" s="68">
        <v>-94.6</v>
      </c>
    </row>
    <row r="23" spans="1:17">
      <c r="A23" s="19" t="s">
        <v>150</v>
      </c>
      <c r="B23" s="13">
        <v>1</v>
      </c>
      <c r="C23" s="6">
        <f>IF(B$17=0,0,B23/B$17)</f>
        <v>0.05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7325</v>
      </c>
      <c r="C24" s="8">
        <v>146500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-6000</v>
      </c>
      <c r="C27" s="98">
        <v>-72000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14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0.05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-875</v>
      </c>
      <c r="P2" s="79">
        <v>8</v>
      </c>
      <c r="Q2" s="63">
        <v>-7000</v>
      </c>
    </row>
    <row r="3" spans="1:17">
      <c r="A3" s="19" t="s">
        <v>8</v>
      </c>
      <c r="B3" s="122">
        <v>56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0.33333333333333331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-3450</v>
      </c>
      <c r="P3" s="80">
        <v>8</v>
      </c>
      <c r="Q3" s="64">
        <v>-27600</v>
      </c>
    </row>
    <row r="4" spans="1:17">
      <c r="A4" s="19" t="s">
        <v>6</v>
      </c>
      <c r="B4" s="124">
        <v>-209.49999999999997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0.33333333333333331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-642.85714285714289</v>
      </c>
      <c r="P4" s="80">
        <v>7</v>
      </c>
      <c r="Q4" s="64">
        <v>-4500</v>
      </c>
    </row>
    <row r="5" spans="1:17">
      <c r="A5" s="19" t="s">
        <v>7</v>
      </c>
      <c r="B5" s="126">
        <f>IF(B$2=0,0,B$4/B$2)</f>
        <v>-26.187499999999996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0.33333333333333331</v>
      </c>
      <c r="I5" s="56">
        <v>10</v>
      </c>
      <c r="K5" s="5">
        <v>3</v>
      </c>
      <c r="L5" s="61">
        <v>-44.9</v>
      </c>
      <c r="N5" s="76" t="s">
        <v>157</v>
      </c>
      <c r="O5" s="83">
        <f>IF(P5=0,0,Q5/P5)</f>
        <v>-1885.7142857142858</v>
      </c>
      <c r="P5" s="80">
        <v>7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-8300</v>
      </c>
      <c r="P6" s="80">
        <v>2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2</v>
      </c>
      <c r="H7" s="94">
        <f>IF(B$17=0,0,G7/B$17)</f>
        <v>0.33333333333333331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-3850</v>
      </c>
      <c r="P7" s="80">
        <v>2</v>
      </c>
      <c r="Q7" s="64">
        <v>-7700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55</v>
      </c>
      <c r="F8" s="30" t="s">
        <v>155</v>
      </c>
      <c r="G8" s="13">
        <v>1</v>
      </c>
      <c r="H8" s="94">
        <f>IF(B$17=0,0,G8/B$17)</f>
        <v>0.16666666666666666</v>
      </c>
      <c r="I8" s="56">
        <v>18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13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18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5</v>
      </c>
      <c r="C13" s="11">
        <f>IF(B$3=0,0,B13/B$3)</f>
        <v>8.9285714285714288E-2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10</v>
      </c>
      <c r="C14" s="6">
        <f>IF(B$3=0,0,B14/B$3)</f>
        <v>0.17857142857142858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-49.55</v>
      </c>
      <c r="P14" s="80">
        <v>2</v>
      </c>
      <c r="Q14" s="68">
        <v>-99.1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-9.75</v>
      </c>
      <c r="P15" s="81">
        <v>2</v>
      </c>
      <c r="Q15" s="69">
        <v>-19.5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0.10714285714285714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0.16071428571428573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 t="shared" ref="O18:O23" si="3">IF(P18=0,0,Q18/P18)</f>
        <v>13.174999999999999</v>
      </c>
      <c r="P18" s="79">
        <v>4</v>
      </c>
      <c r="Q18" s="67">
        <v>52.699999999999996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241</v>
      </c>
      <c r="O19" s="86">
        <f t="shared" si="3"/>
        <v>-10.849999999999998</v>
      </c>
      <c r="P19" s="80">
        <v>2</v>
      </c>
      <c r="Q19" s="68">
        <v>-21.699999999999996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227</v>
      </c>
      <c r="O20" s="86">
        <f t="shared" si="3"/>
        <v>-28.466666666666669</v>
      </c>
      <c r="P20" s="80">
        <v>6</v>
      </c>
      <c r="Q20" s="68">
        <v>-170.8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-37.75</v>
      </c>
      <c r="P21" s="80">
        <v>2</v>
      </c>
      <c r="Q21" s="68">
        <v>-75.5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 t="shared" si="3"/>
        <v>-56.575000000000003</v>
      </c>
      <c r="P22" s="80">
        <v>4</v>
      </c>
      <c r="Q22" s="68">
        <v>-226.3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195</v>
      </c>
      <c r="O23" s="86">
        <f t="shared" si="3"/>
        <v>-66.066666666666649</v>
      </c>
      <c r="P23" s="80">
        <v>6</v>
      </c>
      <c r="Q23" s="68">
        <v>-396.39999999999992</v>
      </c>
    </row>
    <row r="24" spans="1:17">
      <c r="A24" s="19" t="s">
        <v>5</v>
      </c>
      <c r="B24" s="16">
        <f>IF(B$17=0,0,C24/B$17)</f>
        <v>5100</v>
      </c>
      <c r="C24" s="8">
        <v>30600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7266.666666666667</v>
      </c>
      <c r="C25" s="98">
        <v>21800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2933.3333333333335</v>
      </c>
      <c r="C26" s="98">
        <v>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-7833.333333333333</v>
      </c>
      <c r="C27" s="98">
        <v>-70500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26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0.66666666666666663</v>
      </c>
      <c r="I3" s="56">
        <v>6</v>
      </c>
      <c r="K3" s="5">
        <v>1</v>
      </c>
      <c r="L3" s="61">
        <v>-45.7</v>
      </c>
      <c r="N3" s="76" t="s">
        <v>104</v>
      </c>
      <c r="O3" s="83">
        <f t="shared" si="0"/>
        <v>-1150</v>
      </c>
      <c r="P3" s="80">
        <v>4</v>
      </c>
      <c r="Q3" s="64">
        <v>-4600</v>
      </c>
    </row>
    <row r="4" spans="1:17">
      <c r="A4" s="19" t="s">
        <v>6</v>
      </c>
      <c r="B4" s="124">
        <v>-9.3000000000000025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0.5</v>
      </c>
      <c r="I4" s="56">
        <v>11</v>
      </c>
      <c r="K4" s="5">
        <v>2</v>
      </c>
      <c r="L4" s="61">
        <v>-32.700000000000003</v>
      </c>
      <c r="N4" s="76" t="s">
        <v>105</v>
      </c>
      <c r="O4" s="83">
        <f t="shared" si="0"/>
        <v>4400</v>
      </c>
      <c r="P4" s="80">
        <v>4</v>
      </c>
      <c r="Q4" s="64">
        <v>17600</v>
      </c>
    </row>
    <row r="5" spans="1:17">
      <c r="A5" s="19" t="s">
        <v>7</v>
      </c>
      <c r="B5" s="126">
        <f>IF(B$2=0,0,B$4/B$2)</f>
        <v>-2.3250000000000006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0.33333333333333331</v>
      </c>
      <c r="I5" s="56">
        <v>23</v>
      </c>
      <c r="K5" s="5">
        <v>3</v>
      </c>
      <c r="L5" s="61">
        <v>-18.700000000000003</v>
      </c>
      <c r="N5" s="76" t="s">
        <v>157</v>
      </c>
      <c r="O5" s="83">
        <f>IF(P5=0,0,Q5/P5)</f>
        <v>-75</v>
      </c>
      <c r="P5" s="80">
        <v>4</v>
      </c>
      <c r="Q5" s="64">
        <v>-300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23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0.11538461538461539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6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0.11538461538461539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>IF(P19=0,0,Q19/P19)</f>
        <v>10.849999999999998</v>
      </c>
      <c r="P19" s="80">
        <v>2</v>
      </c>
      <c r="Q19" s="68">
        <v>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-0.20000000000000284</v>
      </c>
      <c r="P20" s="80">
        <v>2</v>
      </c>
      <c r="Q20" s="68">
        <v>-0.40000000000000568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-39.975000000000001</v>
      </c>
      <c r="P22" s="80">
        <v>4</v>
      </c>
      <c r="Q22" s="68">
        <v>-159.9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5233.333333333333</v>
      </c>
      <c r="C24" s="8">
        <v>31400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3866.6666666666665</v>
      </c>
      <c r="C26" s="98">
        <v>11600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1.1428571428571428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-2150</v>
      </c>
      <c r="P2" s="79">
        <v>4</v>
      </c>
      <c r="Q2" s="63">
        <v>-8600</v>
      </c>
    </row>
    <row r="3" spans="1:17">
      <c r="A3" s="19" t="s">
        <v>8</v>
      </c>
      <c r="B3" s="122">
        <v>29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-72.8</v>
      </c>
      <c r="N3" s="76" t="s">
        <v>104</v>
      </c>
      <c r="O3" s="83">
        <f t="shared" si="0"/>
        <v>-1450</v>
      </c>
      <c r="P3" s="80">
        <v>4</v>
      </c>
      <c r="Q3" s="64">
        <v>-5800</v>
      </c>
    </row>
    <row r="4" spans="1:17">
      <c r="A4" s="19" t="s">
        <v>6</v>
      </c>
      <c r="B4" s="124">
        <v>45.999999999999993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2</v>
      </c>
      <c r="K4" s="5">
        <v>2</v>
      </c>
      <c r="L4" s="61">
        <v>-92.5</v>
      </c>
      <c r="N4" s="76" t="s">
        <v>105</v>
      </c>
      <c r="O4" s="83">
        <f t="shared" si="0"/>
        <v>-2375</v>
      </c>
      <c r="P4" s="80">
        <v>4</v>
      </c>
      <c r="Q4" s="64">
        <v>-9500</v>
      </c>
    </row>
    <row r="5" spans="1:17">
      <c r="A5" s="19" t="s">
        <v>7</v>
      </c>
      <c r="B5" s="126">
        <f>IF(B$2=0,0,B$4/B$2)</f>
        <v>11.499999999999998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0.5714285714285714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4600</v>
      </c>
      <c r="P5" s="80">
        <v>4</v>
      </c>
      <c r="Q5" s="64">
        <v>18400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181</v>
      </c>
      <c r="F6" s="30" t="s">
        <v>156</v>
      </c>
      <c r="G6" s="13">
        <v>3</v>
      </c>
      <c r="H6" s="94">
        <f>IF(B$17=0,0,G6/B$17)</f>
        <v>0.42857142857142855</v>
      </c>
      <c r="I6" s="56">
        <v>20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1250</v>
      </c>
      <c r="P6" s="80">
        <v>2</v>
      </c>
      <c r="Q6" s="64">
        <v>2500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2</v>
      </c>
      <c r="H7" s="94">
        <f>IF(B$17=0,0,G7/B$17)</f>
        <v>0.2857142857142857</v>
      </c>
      <c r="I7" s="56">
        <v>12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2</v>
      </c>
      <c r="H8" s="94">
        <f>IF(B$17=0,0,G8/B$17)</f>
        <v>0.2857142857142857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59</v>
      </c>
      <c r="F9" s="30" t="s">
        <v>23</v>
      </c>
      <c r="G9" s="13">
        <v>2</v>
      </c>
      <c r="H9" s="94">
        <f>IF(B$17=0,0,G9/B$17)</f>
        <v>0.2857142857142857</v>
      </c>
      <c r="I9" s="56">
        <v>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183</v>
      </c>
      <c r="F10" s="30" t="s">
        <v>186</v>
      </c>
      <c r="G10" s="13">
        <v>1</v>
      </c>
      <c r="H10" s="94">
        <f>IF(B$17=0,0,G10/B$17)</f>
        <v>0.14285714285714285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4</v>
      </c>
      <c r="C13" s="11">
        <f>IF(B$3=0,0,B13/B$3)</f>
        <v>0.13793103448275862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8</v>
      </c>
      <c r="C14" s="6">
        <f>IF(B$3=0,0,B14/B$3)</f>
        <v>0.27586206896551724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18.850000000000001</v>
      </c>
      <c r="P15" s="81">
        <v>2</v>
      </c>
      <c r="Q15" s="69">
        <v>37.700000000000003</v>
      </c>
    </row>
    <row r="16" spans="1:17">
      <c r="A16" s="18" t="s">
        <v>100</v>
      </c>
      <c r="B16" s="12">
        <f>B22</f>
        <v>2</v>
      </c>
      <c r="C16" s="4">
        <f>IF(B$14=0,0,B16/B$14)</f>
        <v>0.25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0.2413793103448276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0.17241379310344829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228</v>
      </c>
      <c r="O18" s="85">
        <f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195</v>
      </c>
      <c r="O19" s="86">
        <f>IF(P19=0,0,Q19/P19)</f>
        <v>92.85</v>
      </c>
      <c r="P19" s="80">
        <v>2</v>
      </c>
      <c r="Q19" s="68">
        <v>185.7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>IF(P20=0,0,Q20/P20)</f>
        <v>11.925000000000001</v>
      </c>
      <c r="P20" s="80">
        <v>4</v>
      </c>
      <c r="Q20" s="68">
        <v>47.7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>IF(P21=0,0,Q21/P21)</f>
        <v>-57.95</v>
      </c>
      <c r="P21" s="80">
        <v>2</v>
      </c>
      <c r="Q21" s="68">
        <v>-115.9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>IF(P22=0,0,Q22/P22)</f>
        <v>-65.2</v>
      </c>
      <c r="P22" s="80">
        <v>2</v>
      </c>
      <c r="Q22" s="68">
        <v>-130.4</v>
      </c>
    </row>
    <row r="23" spans="1:17">
      <c r="A23" s="19" t="s">
        <v>150</v>
      </c>
      <c r="B23" s="13">
        <v>2</v>
      </c>
      <c r="C23" s="6">
        <f>IF(B$17=0,0,B23/B$17)</f>
        <v>0.2857142857142857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9485.7142857142862</v>
      </c>
      <c r="C24" s="8">
        <v>66400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9100</v>
      </c>
      <c r="C25" s="98">
        <v>45500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10450</v>
      </c>
      <c r="C26" s="98">
        <v>20900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-7440</v>
      </c>
      <c r="C27" s="98">
        <v>-37200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19</v>
      </c>
      <c r="C29" s="96">
        <v>19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0.2857142857142857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0.14285714285714285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1938</vt:i4>
      </vt:variant>
    </vt:vector>
  </HeadingPairs>
  <TitlesOfParts>
    <vt:vector size="197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2022-12-13T09:38:40Z</dcterms:modified>
</cp:coreProperties>
</file>