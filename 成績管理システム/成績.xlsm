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-club\成績管理システム\"/>
    </mc:Choice>
  </mc:AlternateContent>
  <xr:revisionPtr revIDLastSave="0" documentId="13_ncr:1_{CFC1A65C-14E1-405C-A6E0-C26B74EB06B4}" xr6:coauthVersionLast="41" xr6:coauthVersionMax="41" xr10:uidLastSave="{00000000-0000-0000-0000-000000000000}"/>
  <bookViews>
    <workbookView xWindow="-108" yWindow="-108" windowWidth="23256" windowHeight="12720" tabRatio="663" firstSheet="2" activeTab="2" xr2:uid="{4FDB0271-42AC-4C1F-BA12-2E989A379038}"/>
  </bookViews>
  <sheets>
    <sheet name="Cache" sheetId="2227" state="hidden" r:id="rId1"/>
    <sheet name="Players" sheetId="3285" state="hidden" r:id="rId2"/>
    <sheet name="ランキング" sheetId="3332" r:id="rId3"/>
    <sheet name="全体" sheetId="6178" r:id="rId4"/>
    <sheet name="松澤亮太" sheetId="6179" r:id="rId5"/>
    <sheet name="滝沢悠人" sheetId="6180" r:id="rId6"/>
    <sheet name="大池陸斗" sheetId="6181" r:id="rId7"/>
    <sheet name="百瀬成空" sheetId="6182" r:id="rId8"/>
    <sheet name="佐藤成浩" sheetId="6183" r:id="rId9"/>
    <sheet name="依田幸憲" sheetId="6184" r:id="rId10"/>
    <sheet name="保谷一貴" sheetId="6185" r:id="rId11"/>
    <sheet name="高野源太" sheetId="6186" r:id="rId12"/>
    <sheet name="矢ヶ崎健" sheetId="6187" r:id="rId13"/>
    <sheet name="小林郁斗" sheetId="6188" r:id="rId14"/>
    <sheet name="木角有希" sheetId="6189" r:id="rId15"/>
    <sheet name="福澤大地" sheetId="6190" r:id="rId16"/>
    <sheet name="高橋桜" sheetId="6191" r:id="rId17"/>
    <sheet name="Template" sheetId="2228" state="hidden" r:id="rId18"/>
  </sheets>
  <definedNames>
    <definedName name="アガリ数" localSheetId="9">依田幸憲!$B$17</definedName>
    <definedName name="アガリ数" localSheetId="16">高橋桜!$B$17</definedName>
    <definedName name="アガリ数" localSheetId="11">高野源太!$B$17</definedName>
    <definedName name="アガリ数" localSheetId="8">佐藤成浩!$B$17</definedName>
    <definedName name="アガリ数" localSheetId="13">小林郁斗!$B$17</definedName>
    <definedName name="アガリ数" localSheetId="4">松澤亮太!$B$17</definedName>
    <definedName name="アガリ数" localSheetId="3">全体!$B$17</definedName>
    <definedName name="アガリ数" localSheetId="6">大池陸斗!$B$17</definedName>
    <definedName name="アガリ数" localSheetId="5">滝沢悠人!$B$17</definedName>
    <definedName name="アガリ数" localSheetId="7">百瀬成空!$B$17</definedName>
    <definedName name="アガリ数" localSheetId="15">福澤大地!$B$17</definedName>
    <definedName name="アガリ数" localSheetId="10">保谷一貴!$B$17</definedName>
    <definedName name="アガリ数" localSheetId="14">木角有希!$B$17</definedName>
    <definedName name="アガリ数" localSheetId="12">矢ヶ崎健!$B$17</definedName>
    <definedName name="アガリ数">Template!$B$17</definedName>
    <definedName name="アガリ率" localSheetId="9">依田幸憲!$C$17</definedName>
    <definedName name="アガリ率" localSheetId="16">高橋桜!$C$17</definedName>
    <definedName name="アガリ率" localSheetId="11">高野源太!$C$17</definedName>
    <definedName name="アガリ率" localSheetId="8">佐藤成浩!$C$17</definedName>
    <definedName name="アガリ率" localSheetId="13">小林郁斗!$C$17</definedName>
    <definedName name="アガリ率" localSheetId="4">松澤亮太!$C$17</definedName>
    <definedName name="アガリ率" localSheetId="3">全体!$C$17</definedName>
    <definedName name="アガリ率" localSheetId="6">大池陸斗!$C$17</definedName>
    <definedName name="アガリ率" localSheetId="5">滝沢悠人!$C$17</definedName>
    <definedName name="アガリ率" localSheetId="7">百瀬成空!$C$17</definedName>
    <definedName name="アガリ率" localSheetId="15">福澤大地!$C$17</definedName>
    <definedName name="アガリ率" localSheetId="10">保谷一貴!$C$17</definedName>
    <definedName name="アガリ率" localSheetId="14">木角有希!$C$17</definedName>
    <definedName name="アガリ率" localSheetId="12">矢ヶ崎健!$C$17</definedName>
    <definedName name="アガリ率">Template!$C$17</definedName>
    <definedName name="ダマアガリ数" localSheetId="9">依田幸憲!$B$23</definedName>
    <definedName name="ダマアガリ数" localSheetId="16">高橋桜!$B$23</definedName>
    <definedName name="ダマアガリ数" localSheetId="11">高野源太!$B$23</definedName>
    <definedName name="ダマアガリ数" localSheetId="8">佐藤成浩!$B$23</definedName>
    <definedName name="ダマアガリ数" localSheetId="13">小林郁斗!$B$23</definedName>
    <definedName name="ダマアガリ数" localSheetId="4">松澤亮太!$B$23</definedName>
    <definedName name="ダマアガリ数" localSheetId="3">全体!$B$23</definedName>
    <definedName name="ダマアガリ数" localSheetId="6">大池陸斗!$B$23</definedName>
    <definedName name="ダマアガリ数" localSheetId="5">滝沢悠人!$B$23</definedName>
    <definedName name="ダマアガリ数" localSheetId="7">百瀬成空!$B$23</definedName>
    <definedName name="ダマアガリ数" localSheetId="15">福澤大地!$B$23</definedName>
    <definedName name="ダマアガリ数" localSheetId="10">保谷一貴!$B$23</definedName>
    <definedName name="ダマアガリ数" localSheetId="14">木角有希!$B$23</definedName>
    <definedName name="ダマアガリ数" localSheetId="12">矢ヶ崎健!$B$23</definedName>
    <definedName name="ダマアガリ数">Template!$B$23</definedName>
    <definedName name="ダマアガリ点" localSheetId="9">依田幸憲!#REF!</definedName>
    <definedName name="ダマアガリ点" localSheetId="16">高橋桜!#REF!</definedName>
    <definedName name="ダマアガリ点" localSheetId="11">高野源太!#REF!</definedName>
    <definedName name="ダマアガリ点" localSheetId="8">佐藤成浩!#REF!</definedName>
    <definedName name="ダマアガリ点" localSheetId="13">小林郁斗!#REF!</definedName>
    <definedName name="ダマアガリ点" localSheetId="4">松澤亮太!#REF!</definedName>
    <definedName name="ダマアガリ点" localSheetId="3">全体!#REF!</definedName>
    <definedName name="ダマアガリ点" localSheetId="6">大池陸斗!#REF!</definedName>
    <definedName name="ダマアガリ点" localSheetId="5">滝沢悠人!#REF!</definedName>
    <definedName name="ダマアガリ点" localSheetId="7">百瀬成空!#REF!</definedName>
    <definedName name="ダマアガリ点" localSheetId="15">福澤大地!#REF!</definedName>
    <definedName name="ダマアガリ点" localSheetId="10">保谷一貴!#REF!</definedName>
    <definedName name="ダマアガリ点" localSheetId="14">木角有希!#REF!</definedName>
    <definedName name="ダマアガリ点" localSheetId="12">矢ヶ崎健!#REF!</definedName>
    <definedName name="ダマアガリ点">Template!#REF!</definedName>
    <definedName name="ダマアガリ率" localSheetId="9">依田幸憲!$C$23</definedName>
    <definedName name="ダマアガリ率" localSheetId="16">高橋桜!$C$23</definedName>
    <definedName name="ダマアガリ率" localSheetId="11">高野源太!$C$23</definedName>
    <definedName name="ダマアガリ率" localSheetId="8">佐藤成浩!$C$23</definedName>
    <definedName name="ダマアガリ率" localSheetId="13">小林郁斗!$C$23</definedName>
    <definedName name="ダマアガリ率" localSheetId="4">松澤亮太!$C$23</definedName>
    <definedName name="ダマアガリ率" localSheetId="3">全体!$C$23</definedName>
    <definedName name="ダマアガリ率" localSheetId="6">大池陸斗!$C$23</definedName>
    <definedName name="ダマアガリ率" localSheetId="5">滝沢悠人!$C$23</definedName>
    <definedName name="ダマアガリ率" localSheetId="7">百瀬成空!$C$23</definedName>
    <definedName name="ダマアガリ率" localSheetId="15">福澤大地!$C$23</definedName>
    <definedName name="ダマアガリ率" localSheetId="10">保谷一貴!$C$23</definedName>
    <definedName name="ダマアガリ率" localSheetId="14">木角有希!$C$23</definedName>
    <definedName name="ダマアガリ率" localSheetId="12">矢ヶ崎健!$C$23</definedName>
    <definedName name="ダマアガリ率">Template!$C$23</definedName>
    <definedName name="チョンボ数" localSheetId="9">依田幸憲!$B$32</definedName>
    <definedName name="チョンボ数" localSheetId="16">高橋桜!$B$32</definedName>
    <definedName name="チョンボ数" localSheetId="11">高野源太!$B$32</definedName>
    <definedName name="チョンボ数" localSheetId="8">佐藤成浩!$B$32</definedName>
    <definedName name="チョンボ数" localSheetId="13">小林郁斗!$B$32</definedName>
    <definedName name="チョンボ数" localSheetId="4">松澤亮太!$B$32</definedName>
    <definedName name="チョンボ数" localSheetId="3">全体!$B$32</definedName>
    <definedName name="チョンボ数" localSheetId="6">大池陸斗!$B$32</definedName>
    <definedName name="チョンボ数" localSheetId="5">滝沢悠人!$B$32</definedName>
    <definedName name="チョンボ数" localSheetId="7">百瀬成空!$B$32</definedName>
    <definedName name="チョンボ数" localSheetId="15">福澤大地!$B$32</definedName>
    <definedName name="チョンボ数" localSheetId="10">保谷一貴!$B$32</definedName>
    <definedName name="チョンボ数" localSheetId="14">木角有希!$B$32</definedName>
    <definedName name="チョンボ数" localSheetId="12">矢ヶ崎健!$B$32</definedName>
    <definedName name="チョンボ数">Template!$B$32</definedName>
    <definedName name="チョンボ率" localSheetId="9">依田幸憲!$C$32</definedName>
    <definedName name="チョンボ率" localSheetId="16">高橋桜!$C$32</definedName>
    <definedName name="チョンボ率" localSheetId="11">高野源太!$C$32</definedName>
    <definedName name="チョンボ率" localSheetId="8">佐藤成浩!$C$32</definedName>
    <definedName name="チョンボ率" localSheetId="13">小林郁斗!$C$32</definedName>
    <definedName name="チョンボ率" localSheetId="4">松澤亮太!$C$32</definedName>
    <definedName name="チョンボ率" localSheetId="3">全体!$C$32</definedName>
    <definedName name="チョンボ率" localSheetId="6">大池陸斗!$C$32</definedName>
    <definedName name="チョンボ率" localSheetId="5">滝沢悠人!$C$32</definedName>
    <definedName name="チョンボ率" localSheetId="7">百瀬成空!$C$32</definedName>
    <definedName name="チョンボ率" localSheetId="15">福澤大地!$C$32</definedName>
    <definedName name="チョンボ率" localSheetId="10">保谷一貴!$C$32</definedName>
    <definedName name="チョンボ率" localSheetId="14">木角有希!$C$32</definedName>
    <definedName name="チョンボ率" localSheetId="12">矢ヶ崎健!$C$32</definedName>
    <definedName name="チョンボ率">Template!$C$32</definedName>
    <definedName name="ツモ数" localSheetId="9">依田幸憲!$B$19</definedName>
    <definedName name="ツモ数" localSheetId="16">高橋桜!$B$19</definedName>
    <definedName name="ツモ数" localSheetId="11">高野源太!$B$19</definedName>
    <definedName name="ツモ数" localSheetId="8">佐藤成浩!$B$19</definedName>
    <definedName name="ツモ数" localSheetId="13">小林郁斗!$B$19</definedName>
    <definedName name="ツモ数" localSheetId="4">松澤亮太!$B$19</definedName>
    <definedName name="ツモ数" localSheetId="3">全体!$B$19</definedName>
    <definedName name="ツモ数" localSheetId="6">大池陸斗!$B$19</definedName>
    <definedName name="ツモ数" localSheetId="5">滝沢悠人!$B$19</definedName>
    <definedName name="ツモ数" localSheetId="7">百瀬成空!$B$19</definedName>
    <definedName name="ツモ数" localSheetId="15">福澤大地!$B$19</definedName>
    <definedName name="ツモ数" localSheetId="10">保谷一貴!$B$19</definedName>
    <definedName name="ツモ数" localSheetId="14">木角有希!$B$19</definedName>
    <definedName name="ツモ数" localSheetId="12">矢ヶ崎健!$B$19</definedName>
    <definedName name="ツモ数">Template!$B$19</definedName>
    <definedName name="ツモ率" localSheetId="9">依田幸憲!$C$19</definedName>
    <definedName name="ツモ率" localSheetId="16">高橋桜!$C$19</definedName>
    <definedName name="ツモ率" localSheetId="11">高野源太!$C$19</definedName>
    <definedName name="ツモ率" localSheetId="8">佐藤成浩!$C$19</definedName>
    <definedName name="ツモ率" localSheetId="13">小林郁斗!$C$19</definedName>
    <definedName name="ツモ率" localSheetId="4">松澤亮太!$C$19</definedName>
    <definedName name="ツモ率" localSheetId="3">全体!$C$19</definedName>
    <definedName name="ツモ率" localSheetId="6">大池陸斗!$C$19</definedName>
    <definedName name="ツモ率" localSheetId="5">滝沢悠人!$C$19</definedName>
    <definedName name="ツモ率" localSheetId="7">百瀬成空!$C$19</definedName>
    <definedName name="ツモ率" localSheetId="15">福澤大地!$C$19</definedName>
    <definedName name="ツモ率" localSheetId="10">保谷一貴!$C$19</definedName>
    <definedName name="ツモ率" localSheetId="14">木角有希!$C$19</definedName>
    <definedName name="ツモ率" localSheetId="12">矢ヶ崎健!$C$19</definedName>
    <definedName name="ツモ率">Template!$C$19</definedName>
    <definedName name="トップ数" localSheetId="9">依田幸憲!$B$7</definedName>
    <definedName name="トップ数" localSheetId="16">高橋桜!$B$7</definedName>
    <definedName name="トップ数" localSheetId="11">高野源太!$B$7</definedName>
    <definedName name="トップ数" localSheetId="8">佐藤成浩!$B$7</definedName>
    <definedName name="トップ数" localSheetId="13">小林郁斗!$B$7</definedName>
    <definedName name="トップ数" localSheetId="4">松澤亮太!$B$7</definedName>
    <definedName name="トップ数" localSheetId="3">全体!$B$7</definedName>
    <definedName name="トップ数" localSheetId="6">大池陸斗!$B$7</definedName>
    <definedName name="トップ数" localSheetId="5">滝沢悠人!$B$7</definedName>
    <definedName name="トップ数" localSheetId="7">百瀬成空!$B$7</definedName>
    <definedName name="トップ数" localSheetId="15">福澤大地!$B$7</definedName>
    <definedName name="トップ数" localSheetId="10">保谷一貴!$B$7</definedName>
    <definedName name="トップ数" localSheetId="14">木角有希!$B$7</definedName>
    <definedName name="トップ数" localSheetId="12">矢ヶ崎健!$B$7</definedName>
    <definedName name="トップ数">Template!$B$7</definedName>
    <definedName name="トップ率" localSheetId="9">依田幸憲!$C$7</definedName>
    <definedName name="トップ率" localSheetId="16">高橋桜!$C$7</definedName>
    <definedName name="トップ率" localSheetId="11">高野源太!$C$7</definedName>
    <definedName name="トップ率" localSheetId="8">佐藤成浩!$C$7</definedName>
    <definedName name="トップ率" localSheetId="13">小林郁斗!$C$7</definedName>
    <definedName name="トップ率" localSheetId="4">松澤亮太!$C$7</definedName>
    <definedName name="トップ率" localSheetId="3">全体!$C$7</definedName>
    <definedName name="トップ率" localSheetId="6">大池陸斗!$C$7</definedName>
    <definedName name="トップ率" localSheetId="5">滝沢悠人!$C$7</definedName>
    <definedName name="トップ率" localSheetId="7">百瀬成空!$C$7</definedName>
    <definedName name="トップ率" localSheetId="15">福澤大地!$C$7</definedName>
    <definedName name="トップ率" localSheetId="10">保谷一貴!$C$7</definedName>
    <definedName name="トップ率" localSheetId="14">木角有希!$C$7</definedName>
    <definedName name="トップ率" localSheetId="12">矢ヶ崎健!$C$7</definedName>
    <definedName name="トップ率">Template!$C$7</definedName>
    <definedName name="ふっとばし数" localSheetId="9">依田幸憲!#REF!</definedName>
    <definedName name="ふっとばし数" localSheetId="16">高橋桜!#REF!</definedName>
    <definedName name="ふっとばし数" localSheetId="11">高野源太!#REF!</definedName>
    <definedName name="ふっとばし数" localSheetId="8">佐藤成浩!#REF!</definedName>
    <definedName name="ふっとばし数" localSheetId="13">小林郁斗!#REF!</definedName>
    <definedName name="ふっとばし数" localSheetId="4">松澤亮太!#REF!</definedName>
    <definedName name="ふっとばし数" localSheetId="3">全体!#REF!</definedName>
    <definedName name="ふっとばし数" localSheetId="6">大池陸斗!#REF!</definedName>
    <definedName name="ふっとばし数" localSheetId="5">滝沢悠人!#REF!</definedName>
    <definedName name="ふっとばし数" localSheetId="7">百瀬成空!#REF!</definedName>
    <definedName name="ふっとばし数" localSheetId="15">福澤大地!#REF!</definedName>
    <definedName name="ふっとばし数" localSheetId="10">保谷一貴!#REF!</definedName>
    <definedName name="ふっとばし数" localSheetId="14">木角有希!#REF!</definedName>
    <definedName name="ふっとばし数" localSheetId="12">矢ヶ崎健!#REF!</definedName>
    <definedName name="ふっとばし数">Template!#REF!</definedName>
    <definedName name="ふっとばし率" localSheetId="9">依田幸憲!#REF!</definedName>
    <definedName name="ふっとばし率" localSheetId="16">高橋桜!#REF!</definedName>
    <definedName name="ふっとばし率" localSheetId="11">高野源太!#REF!</definedName>
    <definedName name="ふっとばし率" localSheetId="8">佐藤成浩!#REF!</definedName>
    <definedName name="ふっとばし率" localSheetId="13">小林郁斗!#REF!</definedName>
    <definedName name="ふっとばし率" localSheetId="4">松澤亮太!#REF!</definedName>
    <definedName name="ふっとばし率" localSheetId="3">全体!#REF!</definedName>
    <definedName name="ふっとばし率" localSheetId="6">大池陸斗!#REF!</definedName>
    <definedName name="ふっとばし率" localSheetId="5">滝沢悠人!#REF!</definedName>
    <definedName name="ふっとばし率" localSheetId="7">百瀬成空!#REF!</definedName>
    <definedName name="ふっとばし率" localSheetId="15">福澤大地!#REF!</definedName>
    <definedName name="ふっとばし率" localSheetId="10">保谷一貴!#REF!</definedName>
    <definedName name="ふっとばし率" localSheetId="14">木角有希!#REF!</definedName>
    <definedName name="ふっとばし率" localSheetId="12">矢ヶ崎健!#REF!</definedName>
    <definedName name="ふっとばし率">Template!#REF!</definedName>
    <definedName name="ふっとび数" localSheetId="9">依田幸憲!$B$12</definedName>
    <definedName name="ふっとび数" localSheetId="16">高橋桜!$B$12</definedName>
    <definedName name="ふっとび数" localSheetId="11">高野源太!$B$12</definedName>
    <definedName name="ふっとび数" localSheetId="8">佐藤成浩!$B$12</definedName>
    <definedName name="ふっとび数" localSheetId="13">小林郁斗!$B$12</definedName>
    <definedName name="ふっとび数" localSheetId="4">松澤亮太!$B$12</definedName>
    <definedName name="ふっとび数" localSheetId="3">全体!$B$12</definedName>
    <definedName name="ふっとび数" localSheetId="6">大池陸斗!$B$12</definedName>
    <definedName name="ふっとび数" localSheetId="5">滝沢悠人!$B$12</definedName>
    <definedName name="ふっとび数" localSheetId="7">百瀬成空!$B$12</definedName>
    <definedName name="ふっとび数" localSheetId="15">福澤大地!$B$12</definedName>
    <definedName name="ふっとび数" localSheetId="10">保谷一貴!$B$12</definedName>
    <definedName name="ふっとび数" localSheetId="14">木角有希!$B$12</definedName>
    <definedName name="ふっとび数" localSheetId="12">矢ヶ崎健!$B$12</definedName>
    <definedName name="ふっとび数">Template!$B$12</definedName>
    <definedName name="ふっとび率" localSheetId="9">依田幸憲!$C$12</definedName>
    <definedName name="ふっとび率" localSheetId="16">高橋桜!$C$12</definedName>
    <definedName name="ふっとび率" localSheetId="11">高野源太!$C$12</definedName>
    <definedName name="ふっとび率" localSheetId="8">佐藤成浩!$C$12</definedName>
    <definedName name="ふっとび率" localSheetId="13">小林郁斗!$C$12</definedName>
    <definedName name="ふっとび率" localSheetId="4">松澤亮太!$C$12</definedName>
    <definedName name="ふっとび率" localSheetId="3">全体!$C$12</definedName>
    <definedName name="ふっとび率" localSheetId="6">大池陸斗!$C$12</definedName>
    <definedName name="ふっとび率" localSheetId="5">滝沢悠人!$C$12</definedName>
    <definedName name="ふっとび率" localSheetId="7">百瀬成空!$C$12</definedName>
    <definedName name="ふっとび率" localSheetId="15">福澤大地!$C$12</definedName>
    <definedName name="ふっとび率" localSheetId="10">保谷一貴!$C$12</definedName>
    <definedName name="ふっとび率" localSheetId="14">木角有希!$C$12</definedName>
    <definedName name="ふっとび率" localSheetId="12">矢ヶ崎健!$C$12</definedName>
    <definedName name="ふっとび率">Template!$C$12</definedName>
    <definedName name="ラス数" localSheetId="9">依田幸憲!$B$10</definedName>
    <definedName name="ラス数" localSheetId="16">高橋桜!$B$10</definedName>
    <definedName name="ラス数" localSheetId="11">高野源太!$B$10</definedName>
    <definedName name="ラス数" localSheetId="8">佐藤成浩!$B$10</definedName>
    <definedName name="ラス数" localSheetId="13">小林郁斗!$B$10</definedName>
    <definedName name="ラス数" localSheetId="4">松澤亮太!$B$10</definedName>
    <definedName name="ラス数" localSheetId="3">全体!$B$10</definedName>
    <definedName name="ラス数" localSheetId="6">大池陸斗!$B$10</definedName>
    <definedName name="ラス数" localSheetId="5">滝沢悠人!$B$10</definedName>
    <definedName name="ラス数" localSheetId="7">百瀬成空!$B$10</definedName>
    <definedName name="ラス数" localSheetId="15">福澤大地!$B$10</definedName>
    <definedName name="ラス数" localSheetId="10">保谷一貴!$B$10</definedName>
    <definedName name="ラス数" localSheetId="14">木角有希!$B$10</definedName>
    <definedName name="ラス数" localSheetId="12">矢ヶ崎健!$B$10</definedName>
    <definedName name="ラス数">Template!$B$10</definedName>
    <definedName name="ラス率" localSheetId="9">依田幸憲!$C$10</definedName>
    <definedName name="ラス率" localSheetId="16">高橋桜!$C$10</definedName>
    <definedName name="ラス率" localSheetId="11">高野源太!$C$10</definedName>
    <definedName name="ラス率" localSheetId="8">佐藤成浩!$C$10</definedName>
    <definedName name="ラス率" localSheetId="13">小林郁斗!$C$10</definedName>
    <definedName name="ラス率" localSheetId="4">松澤亮太!$C$10</definedName>
    <definedName name="ラス率" localSheetId="3">全体!$C$10</definedName>
    <definedName name="ラス率" localSheetId="6">大池陸斗!$C$10</definedName>
    <definedName name="ラス率" localSheetId="5">滝沢悠人!$C$10</definedName>
    <definedName name="ラス率" localSheetId="7">百瀬成空!$C$10</definedName>
    <definedName name="ラス率" localSheetId="15">福澤大地!$C$10</definedName>
    <definedName name="ラス率" localSheetId="10">保谷一貴!$C$10</definedName>
    <definedName name="ラス率" localSheetId="14">木角有希!$C$10</definedName>
    <definedName name="ラス率" localSheetId="12">矢ヶ崎健!$C$10</definedName>
    <definedName name="ラス率">Template!$C$10</definedName>
    <definedName name="リーチアガリ数" localSheetId="9">依田幸憲!$B$21</definedName>
    <definedName name="リーチアガリ数" localSheetId="16">高橋桜!$B$21</definedName>
    <definedName name="リーチアガリ数" localSheetId="11">高野源太!$B$21</definedName>
    <definedName name="リーチアガリ数" localSheetId="8">佐藤成浩!$B$21</definedName>
    <definedName name="リーチアガリ数" localSheetId="13">小林郁斗!$B$21</definedName>
    <definedName name="リーチアガリ数" localSheetId="4">松澤亮太!$B$21</definedName>
    <definedName name="リーチアガリ数" localSheetId="3">全体!$B$21</definedName>
    <definedName name="リーチアガリ数" localSheetId="6">大池陸斗!$B$21</definedName>
    <definedName name="リーチアガリ数" localSheetId="5">滝沢悠人!$B$21</definedName>
    <definedName name="リーチアガリ数" localSheetId="7">百瀬成空!$B$21</definedName>
    <definedName name="リーチアガリ数" localSheetId="15">福澤大地!$B$21</definedName>
    <definedName name="リーチアガリ数" localSheetId="10">保谷一貴!$B$21</definedName>
    <definedName name="リーチアガリ数" localSheetId="14">木角有希!$B$21</definedName>
    <definedName name="リーチアガリ数" localSheetId="12">矢ヶ崎健!$B$21</definedName>
    <definedName name="リーチアガリ数">Template!$B$21</definedName>
    <definedName name="リーチアガリ率" localSheetId="9">依田幸憲!$C$21</definedName>
    <definedName name="リーチアガリ率" localSheetId="16">高橋桜!$C$21</definedName>
    <definedName name="リーチアガリ率" localSheetId="11">高野源太!$C$21</definedName>
    <definedName name="リーチアガリ率" localSheetId="8">佐藤成浩!$C$21</definedName>
    <definedName name="リーチアガリ率" localSheetId="13">小林郁斗!$C$21</definedName>
    <definedName name="リーチアガリ率" localSheetId="4">松澤亮太!$C$21</definedName>
    <definedName name="リーチアガリ率" localSheetId="3">全体!$C$21</definedName>
    <definedName name="リーチアガリ率" localSheetId="6">大池陸斗!$C$21</definedName>
    <definedName name="リーチアガリ率" localSheetId="5">滝沢悠人!$C$21</definedName>
    <definedName name="リーチアガリ率" localSheetId="7">百瀬成空!$C$21</definedName>
    <definedName name="リーチアガリ率" localSheetId="15">福澤大地!$C$21</definedName>
    <definedName name="リーチアガリ率" localSheetId="10">保谷一貴!$C$21</definedName>
    <definedName name="リーチアガリ率" localSheetId="14">木角有希!$C$21</definedName>
    <definedName name="リーチアガリ率" localSheetId="12">矢ヶ崎健!$C$21</definedName>
    <definedName name="リーチアガリ率">Template!$C$21</definedName>
    <definedName name="リーチ数" localSheetId="9">依田幸憲!$B$13</definedName>
    <definedName name="リーチ数" localSheetId="16">高橋桜!$B$13</definedName>
    <definedName name="リーチ数" localSheetId="11">高野源太!$B$13</definedName>
    <definedName name="リーチ数" localSheetId="8">佐藤成浩!$B$13</definedName>
    <definedName name="リーチ数" localSheetId="13">小林郁斗!$B$13</definedName>
    <definedName name="リーチ数" localSheetId="4">松澤亮太!$B$13</definedName>
    <definedName name="リーチ数" localSheetId="3">全体!$B$13</definedName>
    <definedName name="リーチ数" localSheetId="6">大池陸斗!$B$13</definedName>
    <definedName name="リーチ数" localSheetId="5">滝沢悠人!$B$13</definedName>
    <definedName name="リーチ数" localSheetId="7">百瀬成空!$B$13</definedName>
    <definedName name="リーチ数" localSheetId="15">福澤大地!$B$13</definedName>
    <definedName name="リーチ数" localSheetId="10">保谷一貴!$B$13</definedName>
    <definedName name="リーチ数" localSheetId="14">木角有希!$B$13</definedName>
    <definedName name="リーチ数" localSheetId="12">矢ヶ崎健!$B$13</definedName>
    <definedName name="リーチ数">Template!$B$13</definedName>
    <definedName name="リーチ成功数" localSheetId="9">依田幸憲!$B$15</definedName>
    <definedName name="リーチ成功数" localSheetId="16">高橋桜!$B$15</definedName>
    <definedName name="リーチ成功数" localSheetId="11">高野源太!$B$15</definedName>
    <definedName name="リーチ成功数" localSheetId="8">佐藤成浩!$B$15</definedName>
    <definedName name="リーチ成功数" localSheetId="13">小林郁斗!$B$15</definedName>
    <definedName name="リーチ成功数" localSheetId="4">松澤亮太!$B$15</definedName>
    <definedName name="リーチ成功数" localSheetId="3">全体!$B$15</definedName>
    <definedName name="リーチ成功数" localSheetId="6">大池陸斗!$B$15</definedName>
    <definedName name="リーチ成功数" localSheetId="5">滝沢悠人!$B$15</definedName>
    <definedName name="リーチ成功数" localSheetId="7">百瀬成空!$B$15</definedName>
    <definedName name="リーチ成功数" localSheetId="15">福澤大地!$B$15</definedName>
    <definedName name="リーチ成功数" localSheetId="10">保谷一貴!$B$15</definedName>
    <definedName name="リーチ成功数" localSheetId="14">木角有希!$B$15</definedName>
    <definedName name="リーチ成功数" localSheetId="12">矢ヶ崎健!$B$15</definedName>
    <definedName name="リーチ成功数">Template!$B$15</definedName>
    <definedName name="リーチ成功率" localSheetId="9">依田幸憲!$C$15</definedName>
    <definedName name="リーチ成功率" localSheetId="16">高橋桜!$C$15</definedName>
    <definedName name="リーチ成功率" localSheetId="11">高野源太!$C$15</definedName>
    <definedName name="リーチ成功率" localSheetId="8">佐藤成浩!$C$15</definedName>
    <definedName name="リーチ成功率" localSheetId="13">小林郁斗!$C$15</definedName>
    <definedName name="リーチ成功率" localSheetId="4">松澤亮太!$C$15</definedName>
    <definedName name="リーチ成功率" localSheetId="3">全体!$C$15</definedName>
    <definedName name="リーチ成功率" localSheetId="6">大池陸斗!$C$15</definedName>
    <definedName name="リーチ成功率" localSheetId="5">滝沢悠人!$C$15</definedName>
    <definedName name="リーチ成功率" localSheetId="7">百瀬成空!$C$15</definedName>
    <definedName name="リーチ成功率" localSheetId="15">福澤大地!$C$15</definedName>
    <definedName name="リーチ成功率" localSheetId="10">保谷一貴!$C$15</definedName>
    <definedName name="リーチ成功率" localSheetId="14">木角有希!$C$15</definedName>
    <definedName name="リーチ成功率" localSheetId="12">矢ヶ崎健!$C$15</definedName>
    <definedName name="リーチ成功率">Template!$C$15</definedName>
    <definedName name="リーチ率" localSheetId="9">依田幸憲!$C$13</definedName>
    <definedName name="リーチ率" localSheetId="16">高橋桜!$C$13</definedName>
    <definedName name="リーチ率" localSheetId="11">高野源太!$C$13</definedName>
    <definedName name="リーチ率" localSheetId="8">佐藤成浩!$C$13</definedName>
    <definedName name="リーチ率" localSheetId="13">小林郁斗!$C$13</definedName>
    <definedName name="リーチ率" localSheetId="4">松澤亮太!$C$13</definedName>
    <definedName name="リーチ率" localSheetId="3">全体!$C$13</definedName>
    <definedName name="リーチ率" localSheetId="6">大池陸斗!$C$13</definedName>
    <definedName name="リーチ率" localSheetId="5">滝沢悠人!$C$13</definedName>
    <definedName name="リーチ率" localSheetId="7">百瀬成空!$C$13</definedName>
    <definedName name="リーチ率" localSheetId="15">福澤大地!$C$13</definedName>
    <definedName name="リーチ率" localSheetId="10">保谷一貴!$C$13</definedName>
    <definedName name="リーチ率" localSheetId="14">木角有希!$C$13</definedName>
    <definedName name="リーチ率" localSheetId="12">矢ヶ崎健!$C$13</definedName>
    <definedName name="リーチ率">Template!$C$13</definedName>
    <definedName name="ロン数" localSheetId="9">依田幸憲!$B$20</definedName>
    <definedName name="ロン数" localSheetId="16">高橋桜!$B$20</definedName>
    <definedName name="ロン数" localSheetId="11">高野源太!$B$20</definedName>
    <definedName name="ロン数" localSheetId="8">佐藤成浩!$B$20</definedName>
    <definedName name="ロン数" localSheetId="13">小林郁斗!$B$20</definedName>
    <definedName name="ロン数" localSheetId="4">松澤亮太!$B$20</definedName>
    <definedName name="ロン数" localSheetId="3">全体!$B$20</definedName>
    <definedName name="ロン数" localSheetId="6">大池陸斗!$B$20</definedName>
    <definedName name="ロン数" localSheetId="5">滝沢悠人!$B$20</definedName>
    <definedName name="ロン数" localSheetId="7">百瀬成空!$B$20</definedName>
    <definedName name="ロン数" localSheetId="15">福澤大地!$B$20</definedName>
    <definedName name="ロン数" localSheetId="10">保谷一貴!$B$20</definedName>
    <definedName name="ロン数" localSheetId="14">木角有希!$B$20</definedName>
    <definedName name="ロン数" localSheetId="12">矢ヶ崎健!$B$20</definedName>
    <definedName name="ロン数">Template!$B$20</definedName>
    <definedName name="ロン率" localSheetId="9">依田幸憲!$C$20</definedName>
    <definedName name="ロン率" localSheetId="16">高橋桜!$C$20</definedName>
    <definedName name="ロン率" localSheetId="11">高野源太!$C$20</definedName>
    <definedName name="ロン率" localSheetId="8">佐藤成浩!$C$20</definedName>
    <definedName name="ロン率" localSheetId="13">小林郁斗!$C$20</definedName>
    <definedName name="ロン率" localSheetId="4">松澤亮太!$C$20</definedName>
    <definedName name="ロン率" localSheetId="3">全体!$C$20</definedName>
    <definedName name="ロン率" localSheetId="6">大池陸斗!$C$20</definedName>
    <definedName name="ロン率" localSheetId="5">滝沢悠人!$C$20</definedName>
    <definedName name="ロン率" localSheetId="7">百瀬成空!$C$20</definedName>
    <definedName name="ロン率" localSheetId="15">福澤大地!$C$20</definedName>
    <definedName name="ロン率" localSheetId="10">保谷一貴!$C$20</definedName>
    <definedName name="ロン率" localSheetId="14">木角有希!$C$20</definedName>
    <definedName name="ロン率" localSheetId="12">矢ヶ崎健!$C$20</definedName>
    <definedName name="ロン率">Template!$C$20</definedName>
    <definedName name="逆転数" localSheetId="9">依田幸憲!#REF!</definedName>
    <definedName name="逆転数" localSheetId="16">高橋桜!#REF!</definedName>
    <definedName name="逆転数" localSheetId="11">高野源太!#REF!</definedName>
    <definedName name="逆転数" localSheetId="8">佐藤成浩!#REF!</definedName>
    <definedName name="逆転数" localSheetId="13">小林郁斗!#REF!</definedName>
    <definedName name="逆転数" localSheetId="4">松澤亮太!#REF!</definedName>
    <definedName name="逆転数" localSheetId="3">全体!#REF!</definedName>
    <definedName name="逆転数" localSheetId="6">大池陸斗!#REF!</definedName>
    <definedName name="逆転数" localSheetId="5">滝沢悠人!#REF!</definedName>
    <definedName name="逆転数" localSheetId="7">百瀬成空!#REF!</definedName>
    <definedName name="逆転数" localSheetId="15">福澤大地!#REF!</definedName>
    <definedName name="逆転数" localSheetId="10">保谷一貴!#REF!</definedName>
    <definedName name="逆転数" localSheetId="14">木角有希!#REF!</definedName>
    <definedName name="逆転数" localSheetId="12">矢ヶ崎健!#REF!</definedName>
    <definedName name="逆転数">Template!#REF!</definedName>
    <definedName name="逆転率" localSheetId="9">依田幸憲!#REF!</definedName>
    <definedName name="逆転率" localSheetId="16">高橋桜!#REF!</definedName>
    <definedName name="逆転率" localSheetId="11">高野源太!#REF!</definedName>
    <definedName name="逆転率" localSheetId="8">佐藤成浩!#REF!</definedName>
    <definedName name="逆転率" localSheetId="13">小林郁斗!#REF!</definedName>
    <definedName name="逆転率" localSheetId="4">松澤亮太!#REF!</definedName>
    <definedName name="逆転率" localSheetId="3">全体!#REF!</definedName>
    <definedName name="逆転率" localSheetId="6">大池陸斗!#REF!</definedName>
    <definedName name="逆転率" localSheetId="5">滝沢悠人!#REF!</definedName>
    <definedName name="逆転率" localSheetId="7">百瀬成空!#REF!</definedName>
    <definedName name="逆転率" localSheetId="15">福澤大地!#REF!</definedName>
    <definedName name="逆転率" localSheetId="10">保谷一貴!#REF!</definedName>
    <definedName name="逆転率" localSheetId="14">木角有希!#REF!</definedName>
    <definedName name="逆転率" localSheetId="12">矢ヶ崎健!#REF!</definedName>
    <definedName name="逆転率">Template!#REF!</definedName>
    <definedName name="現行連続アガリ" localSheetId="9">依田幸憲!$C$28</definedName>
    <definedName name="現行連続アガリ" localSheetId="16">高橋桜!$C$28</definedName>
    <definedName name="現行連続アガリ" localSheetId="11">高野源太!$C$28</definedName>
    <definedName name="現行連続アガリ" localSheetId="8">佐藤成浩!$C$28</definedName>
    <definedName name="現行連続アガリ" localSheetId="13">小林郁斗!$C$28</definedName>
    <definedName name="現行連続アガリ" localSheetId="4">松澤亮太!$C$28</definedName>
    <definedName name="現行連続アガリ" localSheetId="3">全体!$C$28</definedName>
    <definedName name="現行連続アガリ" localSheetId="6">大池陸斗!$C$28</definedName>
    <definedName name="現行連続アガリ" localSheetId="5">滝沢悠人!$C$28</definedName>
    <definedName name="現行連続アガリ" localSheetId="7">百瀬成空!$C$28</definedName>
    <definedName name="現行連続アガリ" localSheetId="15">福澤大地!$C$28</definedName>
    <definedName name="現行連続アガリ" localSheetId="10">保谷一貴!$C$28</definedName>
    <definedName name="現行連続アガリ" localSheetId="14">木角有希!$C$28</definedName>
    <definedName name="現行連続アガリ" localSheetId="12">矢ヶ崎健!$C$28</definedName>
    <definedName name="現行連続アガリ">Template!$C$28</definedName>
    <definedName name="現行連続無放銃" localSheetId="9">依田幸憲!$C$29</definedName>
    <definedName name="現行連続無放銃" localSheetId="16">高橋桜!$C$29</definedName>
    <definedName name="現行連続無放銃" localSheetId="11">高野源太!$C$29</definedName>
    <definedName name="現行連続無放銃" localSheetId="8">佐藤成浩!$C$29</definedName>
    <definedName name="現行連続無放銃" localSheetId="13">小林郁斗!$C$29</definedName>
    <definedName name="現行連続無放銃" localSheetId="4">松澤亮太!$C$29</definedName>
    <definedName name="現行連続無放銃" localSheetId="3">全体!$C$29</definedName>
    <definedName name="現行連続無放銃" localSheetId="6">大池陸斗!$C$29</definedName>
    <definedName name="現行連続無放銃" localSheetId="5">滝沢悠人!$C$29</definedName>
    <definedName name="現行連続無放銃" localSheetId="7">百瀬成空!$C$29</definedName>
    <definedName name="現行連続無放銃" localSheetId="15">福澤大地!$C$29</definedName>
    <definedName name="現行連続無放銃" localSheetId="10">保谷一貴!$C$29</definedName>
    <definedName name="現行連続無放銃" localSheetId="14">木角有希!$C$29</definedName>
    <definedName name="現行連続無放銃" localSheetId="12">矢ヶ崎健!$C$29</definedName>
    <definedName name="現行連続無放銃">Template!$C$29</definedName>
    <definedName name="最高点" localSheetId="9">依田幸憲!$B$31</definedName>
    <definedName name="最高点" localSheetId="16">高橋桜!$B$31</definedName>
    <definedName name="最高点" localSheetId="11">高野源太!$B$31</definedName>
    <definedName name="最高点" localSheetId="8">佐藤成浩!$B$31</definedName>
    <definedName name="最高点" localSheetId="13">小林郁斗!$B$31</definedName>
    <definedName name="最高点" localSheetId="4">松澤亮太!$B$31</definedName>
    <definedName name="最高点" localSheetId="3">全体!$B$31</definedName>
    <definedName name="最高点" localSheetId="6">大池陸斗!$B$31</definedName>
    <definedName name="最高点" localSheetId="5">滝沢悠人!$B$31</definedName>
    <definedName name="最高点" localSheetId="7">百瀬成空!$B$31</definedName>
    <definedName name="最高点" localSheetId="15">福澤大地!$B$31</definedName>
    <definedName name="最高点" localSheetId="10">保谷一貴!$B$31</definedName>
    <definedName name="最高点" localSheetId="14">木角有希!$B$31</definedName>
    <definedName name="最高点" localSheetId="12">矢ヶ崎健!$B$31</definedName>
    <definedName name="最高点">Template!$B$31</definedName>
    <definedName name="最大ドラ数" localSheetId="9">依田幸憲!$B$30</definedName>
    <definedName name="最大ドラ数" localSheetId="16">高橋桜!$B$30</definedName>
    <definedName name="最大ドラ数" localSheetId="11">高野源太!$B$30</definedName>
    <definedName name="最大ドラ数" localSheetId="8">佐藤成浩!$B$30</definedName>
    <definedName name="最大ドラ数" localSheetId="13">小林郁斗!$B$30</definedName>
    <definedName name="最大ドラ数" localSheetId="4">松澤亮太!$B$30</definedName>
    <definedName name="最大ドラ数" localSheetId="3">全体!$B$30</definedName>
    <definedName name="最大ドラ数" localSheetId="6">大池陸斗!$B$30</definedName>
    <definedName name="最大ドラ数" localSheetId="5">滝沢悠人!$B$30</definedName>
    <definedName name="最大ドラ数" localSheetId="7">百瀬成空!$B$30</definedName>
    <definedName name="最大ドラ数" localSheetId="15">福澤大地!$B$30</definedName>
    <definedName name="最大ドラ数" localSheetId="10">保谷一貴!$B$30</definedName>
    <definedName name="最大ドラ数" localSheetId="14">木角有希!$B$30</definedName>
    <definedName name="最大ドラ数" localSheetId="12">矢ヶ崎健!$B$30</definedName>
    <definedName name="最大ドラ数">Template!$B$30</definedName>
    <definedName name="最大点数" localSheetId="9">依田幸憲!$B$31</definedName>
    <definedName name="最大点数" localSheetId="16">高橋桜!$B$31</definedName>
    <definedName name="最大点数" localSheetId="11">高野源太!$B$31</definedName>
    <definedName name="最大点数" localSheetId="8">佐藤成浩!$B$31</definedName>
    <definedName name="最大点数" localSheetId="13">小林郁斗!$B$31</definedName>
    <definedName name="最大点数" localSheetId="4">松澤亮太!$B$31</definedName>
    <definedName name="最大点数" localSheetId="3">全体!$B$31</definedName>
    <definedName name="最大点数" localSheetId="6">大池陸斗!$B$31</definedName>
    <definedName name="最大点数" localSheetId="5">滝沢悠人!$B$31</definedName>
    <definedName name="最大点数" localSheetId="7">百瀬成空!$B$31</definedName>
    <definedName name="最大点数" localSheetId="15">福澤大地!$B$31</definedName>
    <definedName name="最大点数" localSheetId="10">保谷一貴!$B$31</definedName>
    <definedName name="最大点数" localSheetId="14">木角有希!$B$31</definedName>
    <definedName name="最大点数" localSheetId="12">矢ヶ崎健!$B$31</definedName>
    <definedName name="最大点数">Template!$B$31</definedName>
    <definedName name="三位数" localSheetId="9">依田幸憲!$B$9</definedName>
    <definedName name="三位数" localSheetId="16">高橋桜!$B$9</definedName>
    <definedName name="三位数" localSheetId="11">高野源太!$B$9</definedName>
    <definedName name="三位数" localSheetId="8">佐藤成浩!$B$9</definedName>
    <definedName name="三位数" localSheetId="13">小林郁斗!$B$9</definedName>
    <definedName name="三位数" localSheetId="4">松澤亮太!$B$9</definedName>
    <definedName name="三位数" localSheetId="3">全体!$B$9</definedName>
    <definedName name="三位数" localSheetId="6">大池陸斗!$B$9</definedName>
    <definedName name="三位数" localSheetId="5">滝沢悠人!$B$9</definedName>
    <definedName name="三位数" localSheetId="7">百瀬成空!$B$9</definedName>
    <definedName name="三位数" localSheetId="15">福澤大地!$B$9</definedName>
    <definedName name="三位数" localSheetId="10">保谷一貴!$B$9</definedName>
    <definedName name="三位数" localSheetId="14">木角有希!$B$9</definedName>
    <definedName name="三位数" localSheetId="12">矢ヶ崎健!$B$9</definedName>
    <definedName name="三位数">Template!$B$9</definedName>
    <definedName name="三位率" localSheetId="9">依田幸憲!$C$9</definedName>
    <definedName name="三位率" localSheetId="16">高橋桜!$C$9</definedName>
    <definedName name="三位率" localSheetId="11">高野源太!$C$9</definedName>
    <definedName name="三位率" localSheetId="8">佐藤成浩!$C$9</definedName>
    <definedName name="三位率" localSheetId="13">小林郁斗!$C$9</definedName>
    <definedName name="三位率" localSheetId="4">松澤亮太!$C$9</definedName>
    <definedName name="三位率" localSheetId="3">全体!$C$9</definedName>
    <definedName name="三位率" localSheetId="6">大池陸斗!$C$9</definedName>
    <definedName name="三位率" localSheetId="5">滝沢悠人!$C$9</definedName>
    <definedName name="三位率" localSheetId="7">百瀬成空!$C$9</definedName>
    <definedName name="三位率" localSheetId="15">福澤大地!$C$9</definedName>
    <definedName name="三位率" localSheetId="10">保谷一貴!$C$9</definedName>
    <definedName name="三位率" localSheetId="14">木角有希!$C$9</definedName>
    <definedName name="三位率" localSheetId="12">矢ヶ崎健!$C$9</definedName>
    <definedName name="三位率">Template!$C$9</definedName>
    <definedName name="総局数" localSheetId="9">依田幸憲!$B$3</definedName>
    <definedName name="総局数" localSheetId="16">高橋桜!$B$3</definedName>
    <definedName name="総局数" localSheetId="11">高野源太!$B$3</definedName>
    <definedName name="総局数" localSheetId="8">佐藤成浩!$B$3</definedName>
    <definedName name="総局数" localSheetId="13">小林郁斗!$B$3</definedName>
    <definedName name="総局数" localSheetId="4">松澤亮太!$B$3</definedName>
    <definedName name="総局数" localSheetId="3">全体!$B$3</definedName>
    <definedName name="総局数" localSheetId="6">大池陸斗!$B$3</definedName>
    <definedName name="総局数" localSheetId="5">滝沢悠人!$B$3</definedName>
    <definedName name="総局数" localSheetId="7">百瀬成空!$B$3</definedName>
    <definedName name="総局数" localSheetId="15">福澤大地!$B$3</definedName>
    <definedName name="総局数" localSheetId="10">保谷一貴!$B$3</definedName>
    <definedName name="総局数" localSheetId="14">木角有希!$B$3</definedName>
    <definedName name="総局数" localSheetId="12">矢ヶ崎健!$B$3</definedName>
    <definedName name="総局数">Template!$B$3</definedName>
    <definedName name="対戦数" localSheetId="9">依田幸憲!$B$2</definedName>
    <definedName name="対戦数" localSheetId="16">高橋桜!$B$2</definedName>
    <definedName name="対戦数" localSheetId="11">高野源太!$B$2</definedName>
    <definedName name="対戦数" localSheetId="8">佐藤成浩!$B$2</definedName>
    <definedName name="対戦数" localSheetId="13">小林郁斗!$B$2</definedName>
    <definedName name="対戦数" localSheetId="4">松澤亮太!$B$2</definedName>
    <definedName name="対戦数" localSheetId="3">全体!$B$2</definedName>
    <definedName name="対戦数" localSheetId="6">大池陸斗!$B$2</definedName>
    <definedName name="対戦数" localSheetId="5">滝沢悠人!$B$2</definedName>
    <definedName name="対戦数" localSheetId="7">百瀬成空!$B$2</definedName>
    <definedName name="対戦数" localSheetId="15">福澤大地!$B$2</definedName>
    <definedName name="対戦数" localSheetId="10">保谷一貴!$B$2</definedName>
    <definedName name="対戦数" localSheetId="14">木角有希!$B$2</definedName>
    <definedName name="対戦数" localSheetId="12">矢ヶ崎健!$B$2</definedName>
    <definedName name="対戦数">Template!$B$2</definedName>
    <definedName name="通算アガリ点" localSheetId="9">依田幸憲!$C$24</definedName>
    <definedName name="通算アガリ点" localSheetId="16">高橋桜!$C$24</definedName>
    <definedName name="通算アガリ点" localSheetId="11">高野源太!$C$24</definedName>
    <definedName name="通算アガリ点" localSheetId="8">佐藤成浩!$C$24</definedName>
    <definedName name="通算アガリ点" localSheetId="13">小林郁斗!$C$24</definedName>
    <definedName name="通算アガリ点" localSheetId="4">松澤亮太!$C$24</definedName>
    <definedName name="通算アガリ点" localSheetId="3">全体!$C$24</definedName>
    <definedName name="通算アガリ点" localSheetId="6">大池陸斗!$C$24</definedName>
    <definedName name="通算アガリ点" localSheetId="5">滝沢悠人!$C$24</definedName>
    <definedName name="通算アガリ点" localSheetId="7">百瀬成空!$C$24</definedName>
    <definedName name="通算アガリ点" localSheetId="15">福澤大地!$C$24</definedName>
    <definedName name="通算アガリ点" localSheetId="10">保谷一貴!$C$24</definedName>
    <definedName name="通算アガリ点" localSheetId="14">木角有希!$C$24</definedName>
    <definedName name="通算アガリ点" localSheetId="12">矢ヶ崎健!$C$24</definedName>
    <definedName name="通算アガリ点">Template!$C$24</definedName>
    <definedName name="通算スコア" localSheetId="9">依田幸憲!$B$4</definedName>
    <definedName name="通算スコア" localSheetId="16">高橋桜!$B$4</definedName>
    <definedName name="通算スコア" localSheetId="11">高野源太!$B$4</definedName>
    <definedName name="通算スコア" localSheetId="8">佐藤成浩!$B$4</definedName>
    <definedName name="通算スコア" localSheetId="13">小林郁斗!$B$4</definedName>
    <definedName name="通算スコア" localSheetId="4">松澤亮太!$B$4</definedName>
    <definedName name="通算スコア" localSheetId="3">全体!$B$4</definedName>
    <definedName name="通算スコア" localSheetId="6">大池陸斗!$B$4</definedName>
    <definedName name="通算スコア" localSheetId="5">滝沢悠人!$B$4</definedName>
    <definedName name="通算スコア" localSheetId="7">百瀬成空!$B$4</definedName>
    <definedName name="通算スコア" localSheetId="15">福澤大地!$B$4</definedName>
    <definedName name="通算スコア" localSheetId="10">保谷一貴!$B$4</definedName>
    <definedName name="通算スコア" localSheetId="14">木角有希!$B$4</definedName>
    <definedName name="通算スコア" localSheetId="12">矢ヶ崎健!$B$4</definedName>
    <definedName name="通算スコア">Template!$B$4</definedName>
    <definedName name="通算副露アガリ点" localSheetId="9">依田幸憲!$C$26</definedName>
    <definedName name="通算副露アガリ点" localSheetId="16">高橋桜!$C$26</definedName>
    <definedName name="通算副露アガリ点" localSheetId="11">高野源太!$C$26</definedName>
    <definedName name="通算副露アガリ点" localSheetId="8">佐藤成浩!$C$26</definedName>
    <definedName name="通算副露アガリ点" localSheetId="13">小林郁斗!$C$26</definedName>
    <definedName name="通算副露アガリ点" localSheetId="4">松澤亮太!$C$26</definedName>
    <definedName name="通算副露アガリ点" localSheetId="3">全体!$C$26</definedName>
    <definedName name="通算副露アガリ点" localSheetId="6">大池陸斗!$C$26</definedName>
    <definedName name="通算副露アガリ点" localSheetId="5">滝沢悠人!$C$26</definedName>
    <definedName name="通算副露アガリ点" localSheetId="7">百瀬成空!$C$26</definedName>
    <definedName name="通算副露アガリ点" localSheetId="15">福澤大地!$C$26</definedName>
    <definedName name="通算副露アガリ点" localSheetId="10">保谷一貴!$C$26</definedName>
    <definedName name="通算副露アガリ点" localSheetId="14">木角有希!$C$26</definedName>
    <definedName name="通算副露アガリ点" localSheetId="12">矢ヶ崎健!$C$26</definedName>
    <definedName name="通算副露アガリ点">Template!$C$26</definedName>
    <definedName name="通算放銃点" localSheetId="9">依田幸憲!$C$27</definedName>
    <definedName name="通算放銃点" localSheetId="16">高橋桜!$C$27</definedName>
    <definedName name="通算放銃点" localSheetId="11">高野源太!$C$27</definedName>
    <definedName name="通算放銃点" localSheetId="8">佐藤成浩!$C$27</definedName>
    <definedName name="通算放銃点" localSheetId="13">小林郁斗!$C$27</definedName>
    <definedName name="通算放銃点" localSheetId="4">松澤亮太!$C$27</definedName>
    <definedName name="通算放銃点" localSheetId="3">全体!$C$27</definedName>
    <definedName name="通算放銃点" localSheetId="6">大池陸斗!$C$27</definedName>
    <definedName name="通算放銃点" localSheetId="5">滝沢悠人!$C$27</definedName>
    <definedName name="通算放銃点" localSheetId="7">百瀬成空!$C$27</definedName>
    <definedName name="通算放銃点" localSheetId="15">福澤大地!$C$27</definedName>
    <definedName name="通算放銃点" localSheetId="10">保谷一貴!$C$27</definedName>
    <definedName name="通算放銃点" localSheetId="14">木角有希!$C$27</definedName>
    <definedName name="通算放銃点" localSheetId="12">矢ヶ崎健!$C$27</definedName>
    <definedName name="通算放銃点">Template!$C$27</definedName>
    <definedName name="通算門前アガリ点" localSheetId="9">依田幸憲!$C$25</definedName>
    <definedName name="通算門前アガリ点" localSheetId="16">高橋桜!$C$25</definedName>
    <definedName name="通算門前アガリ点" localSheetId="11">高野源太!$C$25</definedName>
    <definedName name="通算門前アガリ点" localSheetId="8">佐藤成浩!$C$25</definedName>
    <definedName name="通算門前アガリ点" localSheetId="13">小林郁斗!$C$25</definedName>
    <definedName name="通算門前アガリ点" localSheetId="4">松澤亮太!$C$25</definedName>
    <definedName name="通算門前アガリ点" localSheetId="3">全体!$C$25</definedName>
    <definedName name="通算門前アガリ点" localSheetId="6">大池陸斗!$C$25</definedName>
    <definedName name="通算門前アガリ点" localSheetId="5">滝沢悠人!$C$25</definedName>
    <definedName name="通算門前アガリ点" localSheetId="7">百瀬成空!$C$25</definedName>
    <definedName name="通算門前アガリ点" localSheetId="15">福澤大地!$C$25</definedName>
    <definedName name="通算門前アガリ点" localSheetId="10">保谷一貴!$C$25</definedName>
    <definedName name="通算門前アガリ点" localSheetId="14">木角有希!$C$25</definedName>
    <definedName name="通算門前アガリ点" localSheetId="12">矢ヶ崎健!$C$25</definedName>
    <definedName name="通算門前アガリ点">Template!$C$25</definedName>
    <definedName name="二位数" localSheetId="9">依田幸憲!$B$8</definedName>
    <definedName name="二位数" localSheetId="16">高橋桜!$B$8</definedName>
    <definedName name="二位数" localSheetId="11">高野源太!$B$8</definedName>
    <definedName name="二位数" localSheetId="8">佐藤成浩!$B$8</definedName>
    <definedName name="二位数" localSheetId="13">小林郁斗!$B$8</definedName>
    <definedName name="二位数" localSheetId="4">松澤亮太!$B$8</definedName>
    <definedName name="二位数" localSheetId="3">全体!$B$8</definedName>
    <definedName name="二位数" localSheetId="6">大池陸斗!$B$8</definedName>
    <definedName name="二位数" localSheetId="5">滝沢悠人!$B$8</definedName>
    <definedName name="二位数" localSheetId="7">百瀬成空!$B$8</definedName>
    <definedName name="二位数" localSheetId="15">福澤大地!$B$8</definedName>
    <definedName name="二位数" localSheetId="10">保谷一貴!$B$8</definedName>
    <definedName name="二位数" localSheetId="14">木角有希!$B$8</definedName>
    <definedName name="二位数" localSheetId="12">矢ヶ崎健!$B$8</definedName>
    <definedName name="二位数">Template!$B$8</definedName>
    <definedName name="二位率" localSheetId="9">依田幸憲!$C$8</definedName>
    <definedName name="二位率" localSheetId="16">高橋桜!$C$8</definedName>
    <definedName name="二位率" localSheetId="11">高野源太!$C$8</definedName>
    <definedName name="二位率" localSheetId="8">佐藤成浩!$C$8</definedName>
    <definedName name="二位率" localSheetId="13">小林郁斗!$C$8</definedName>
    <definedName name="二位率" localSheetId="4">松澤亮太!$C$8</definedName>
    <definedName name="二位率" localSheetId="3">全体!$C$8</definedName>
    <definedName name="二位率" localSheetId="6">大池陸斗!$C$8</definedName>
    <definedName name="二位率" localSheetId="5">滝沢悠人!$C$8</definedName>
    <definedName name="二位率" localSheetId="7">百瀬成空!$C$8</definedName>
    <definedName name="二位率" localSheetId="15">福澤大地!$C$8</definedName>
    <definedName name="二位率" localSheetId="10">保谷一貴!$C$8</definedName>
    <definedName name="二位率" localSheetId="14">木角有希!$C$8</definedName>
    <definedName name="二位率" localSheetId="12">矢ヶ崎健!$C$8</definedName>
    <definedName name="二位率">Template!$C$8</definedName>
    <definedName name="副露アガリ数" localSheetId="9">依田幸憲!$B$22</definedName>
    <definedName name="副露アガリ数" localSheetId="16">高橋桜!$B$22</definedName>
    <definedName name="副露アガリ数" localSheetId="11">高野源太!$B$22</definedName>
    <definedName name="副露アガリ数" localSheetId="8">佐藤成浩!$B$22</definedName>
    <definedName name="副露アガリ数" localSheetId="13">小林郁斗!$B$22</definedName>
    <definedName name="副露アガリ数" localSheetId="4">松澤亮太!$B$22</definedName>
    <definedName name="副露アガリ数" localSheetId="3">全体!$B$22</definedName>
    <definedName name="副露アガリ数" localSheetId="6">大池陸斗!$B$22</definedName>
    <definedName name="副露アガリ数" localSheetId="5">滝沢悠人!$B$22</definedName>
    <definedName name="副露アガリ数" localSheetId="7">百瀬成空!$B$22</definedName>
    <definedName name="副露アガリ数" localSheetId="15">福澤大地!$B$22</definedName>
    <definedName name="副露アガリ数" localSheetId="10">保谷一貴!$B$22</definedName>
    <definedName name="副露アガリ数" localSheetId="14">木角有希!$B$22</definedName>
    <definedName name="副露アガリ数" localSheetId="12">矢ヶ崎健!$B$22</definedName>
    <definedName name="副露アガリ数">Template!$B$22</definedName>
    <definedName name="副露アガリ点" localSheetId="9">依田幸憲!$B$26</definedName>
    <definedName name="副露アガリ点" localSheetId="16">高橋桜!$B$26</definedName>
    <definedName name="副露アガリ点" localSheetId="11">高野源太!$B$26</definedName>
    <definedName name="副露アガリ点" localSheetId="8">佐藤成浩!$B$26</definedName>
    <definedName name="副露アガリ点" localSheetId="13">小林郁斗!$B$26</definedName>
    <definedName name="副露アガリ点" localSheetId="4">松澤亮太!$B$26</definedName>
    <definedName name="副露アガリ点" localSheetId="3">全体!$B$26</definedName>
    <definedName name="副露アガリ点" localSheetId="6">大池陸斗!$B$26</definedName>
    <definedName name="副露アガリ点" localSheetId="5">滝沢悠人!$B$26</definedName>
    <definedName name="副露アガリ点" localSheetId="7">百瀬成空!$B$26</definedName>
    <definedName name="副露アガリ点" localSheetId="15">福澤大地!$B$26</definedName>
    <definedName name="副露アガリ点" localSheetId="10">保谷一貴!$B$26</definedName>
    <definedName name="副露アガリ点" localSheetId="14">木角有希!$B$26</definedName>
    <definedName name="副露アガリ点" localSheetId="12">矢ヶ崎健!$B$26</definedName>
    <definedName name="副露アガリ点">Template!$B$26</definedName>
    <definedName name="副露アガリ率" localSheetId="9">依田幸憲!$C$22</definedName>
    <definedName name="副露アガリ率" localSheetId="16">高橋桜!$C$22</definedName>
    <definedName name="副露アガリ率" localSheetId="11">高野源太!$C$22</definedName>
    <definedName name="副露アガリ率" localSheetId="8">佐藤成浩!$C$22</definedName>
    <definedName name="副露アガリ率" localSheetId="13">小林郁斗!$C$22</definedName>
    <definedName name="副露アガリ率" localSheetId="4">松澤亮太!$C$22</definedName>
    <definedName name="副露アガリ率" localSheetId="3">全体!$C$22</definedName>
    <definedName name="副露アガリ率" localSheetId="6">大池陸斗!$C$22</definedName>
    <definedName name="副露アガリ率" localSheetId="5">滝沢悠人!$C$22</definedName>
    <definedName name="副露アガリ率" localSheetId="7">百瀬成空!$C$22</definedName>
    <definedName name="副露アガリ率" localSheetId="15">福澤大地!$C$22</definedName>
    <definedName name="副露アガリ率" localSheetId="10">保谷一貴!$C$22</definedName>
    <definedName name="副露アガリ率" localSheetId="14">木角有希!$C$22</definedName>
    <definedName name="副露アガリ率" localSheetId="12">矢ヶ崎健!$C$22</definedName>
    <definedName name="副露アガリ率">Template!$C$22</definedName>
    <definedName name="副露数" localSheetId="9">依田幸憲!$B$14</definedName>
    <definedName name="副露数" localSheetId="16">高橋桜!$B$14</definedName>
    <definedName name="副露数" localSheetId="11">高野源太!$B$14</definedName>
    <definedName name="副露数" localSheetId="8">佐藤成浩!$B$14</definedName>
    <definedName name="副露数" localSheetId="13">小林郁斗!$B$14</definedName>
    <definedName name="副露数" localSheetId="4">松澤亮太!$B$14</definedName>
    <definedName name="副露数" localSheetId="3">全体!$B$14</definedName>
    <definedName name="副露数" localSheetId="6">大池陸斗!$B$14</definedName>
    <definedName name="副露数" localSheetId="5">滝沢悠人!$B$14</definedName>
    <definedName name="副露数" localSheetId="7">百瀬成空!$B$14</definedName>
    <definedName name="副露数" localSheetId="15">福澤大地!$B$14</definedName>
    <definedName name="副露数" localSheetId="10">保谷一貴!$B$14</definedName>
    <definedName name="副露数" localSheetId="14">木角有希!$B$14</definedName>
    <definedName name="副露数" localSheetId="12">矢ヶ崎健!$B$14</definedName>
    <definedName name="副露数">Template!$B$14</definedName>
    <definedName name="副露成功数" localSheetId="9">依田幸憲!$B$16</definedName>
    <definedName name="副露成功数" localSheetId="16">高橋桜!$B$16</definedName>
    <definedName name="副露成功数" localSheetId="11">高野源太!$B$16</definedName>
    <definedName name="副露成功数" localSheetId="8">佐藤成浩!$B$16</definedName>
    <definedName name="副露成功数" localSheetId="13">小林郁斗!$B$16</definedName>
    <definedName name="副露成功数" localSheetId="4">松澤亮太!$B$16</definedName>
    <definedName name="副露成功数" localSheetId="3">全体!$B$16</definedName>
    <definedName name="副露成功数" localSheetId="6">大池陸斗!$B$16</definedName>
    <definedName name="副露成功数" localSheetId="5">滝沢悠人!$B$16</definedName>
    <definedName name="副露成功数" localSheetId="7">百瀬成空!$B$16</definedName>
    <definedName name="副露成功数" localSheetId="15">福澤大地!$B$16</definedName>
    <definedName name="副露成功数" localSheetId="10">保谷一貴!$B$16</definedName>
    <definedName name="副露成功数" localSheetId="14">木角有希!$B$16</definedName>
    <definedName name="副露成功数" localSheetId="12">矢ヶ崎健!$B$16</definedName>
    <definedName name="副露成功数">Template!$B$16</definedName>
    <definedName name="副露成功率" localSheetId="9">依田幸憲!$C$16</definedName>
    <definedName name="副露成功率" localSheetId="16">高橋桜!$C$16</definedName>
    <definedName name="副露成功率" localSheetId="11">高野源太!$C$16</definedName>
    <definedName name="副露成功率" localSheetId="8">佐藤成浩!$C$16</definedName>
    <definedName name="副露成功率" localSheetId="13">小林郁斗!$C$16</definedName>
    <definedName name="副露成功率" localSheetId="4">松澤亮太!$C$16</definedName>
    <definedName name="副露成功率" localSheetId="3">全体!$C$16</definedName>
    <definedName name="副露成功率" localSheetId="6">大池陸斗!$C$16</definedName>
    <definedName name="副露成功率" localSheetId="5">滝沢悠人!$C$16</definedName>
    <definedName name="副露成功率" localSheetId="7">百瀬成空!$C$16</definedName>
    <definedName name="副露成功率" localSheetId="15">福澤大地!$C$16</definedName>
    <definedName name="副露成功率" localSheetId="10">保谷一貴!$C$16</definedName>
    <definedName name="副露成功率" localSheetId="14">木角有希!$C$16</definedName>
    <definedName name="副露成功率" localSheetId="12">矢ヶ崎健!$C$16</definedName>
    <definedName name="副露成功率">Template!$C$16</definedName>
    <definedName name="副露率" localSheetId="9">依田幸憲!$C$14</definedName>
    <definedName name="副露率" localSheetId="16">高橋桜!$C$14</definedName>
    <definedName name="副露率" localSheetId="11">高野源太!$C$14</definedName>
    <definedName name="副露率" localSheetId="8">佐藤成浩!$C$14</definedName>
    <definedName name="副露率" localSheetId="13">小林郁斗!$C$14</definedName>
    <definedName name="副露率" localSheetId="4">松澤亮太!$C$14</definedName>
    <definedName name="副露率" localSheetId="3">全体!$C$14</definedName>
    <definedName name="副露率" localSheetId="6">大池陸斗!$C$14</definedName>
    <definedName name="副露率" localSheetId="5">滝沢悠人!$C$14</definedName>
    <definedName name="副露率" localSheetId="7">百瀬成空!$C$14</definedName>
    <definedName name="副露率" localSheetId="15">福澤大地!$C$14</definedName>
    <definedName name="副露率" localSheetId="10">保谷一貴!$C$14</definedName>
    <definedName name="副露率" localSheetId="14">木角有希!$C$14</definedName>
    <definedName name="副露率" localSheetId="12">矢ヶ崎健!$C$14</definedName>
    <definedName name="副露率">Template!$C$14</definedName>
    <definedName name="平均アガリ点" localSheetId="9">依田幸憲!$B$24</definedName>
    <definedName name="平均アガリ点" localSheetId="16">高橋桜!$B$24</definedName>
    <definedName name="平均アガリ点" localSheetId="11">高野源太!$B$24</definedName>
    <definedName name="平均アガリ点" localSheetId="8">佐藤成浩!$B$24</definedName>
    <definedName name="平均アガリ点" localSheetId="13">小林郁斗!$B$24</definedName>
    <definedName name="平均アガリ点" localSheetId="4">松澤亮太!$B$24</definedName>
    <definedName name="平均アガリ点" localSheetId="3">全体!$B$24</definedName>
    <definedName name="平均アガリ点" localSheetId="6">大池陸斗!$B$24</definedName>
    <definedName name="平均アガリ点" localSheetId="5">滝沢悠人!$B$24</definedName>
    <definedName name="平均アガリ点" localSheetId="7">百瀬成空!$B$24</definedName>
    <definedName name="平均アガリ点" localSheetId="15">福澤大地!$B$24</definedName>
    <definedName name="平均アガリ点" localSheetId="10">保谷一貴!$B$24</definedName>
    <definedName name="平均アガリ点" localSheetId="14">木角有希!$B$24</definedName>
    <definedName name="平均アガリ点" localSheetId="12">矢ヶ崎健!$B$24</definedName>
    <definedName name="平均アガリ点">Template!$B$24</definedName>
    <definedName name="平均スコア" localSheetId="9">依田幸憲!$B$5</definedName>
    <definedName name="平均スコア" localSheetId="16">高橋桜!$B$5</definedName>
    <definedName name="平均スコア" localSheetId="11">高野源太!$B$5</definedName>
    <definedName name="平均スコア" localSheetId="8">佐藤成浩!$B$5</definedName>
    <definedName name="平均スコア" localSheetId="13">小林郁斗!$B$5</definedName>
    <definedName name="平均スコア" localSheetId="4">松澤亮太!$B$5</definedName>
    <definedName name="平均スコア" localSheetId="3">全体!$B$5</definedName>
    <definedName name="平均スコア" localSheetId="6">大池陸斗!$B$5</definedName>
    <definedName name="平均スコア" localSheetId="5">滝沢悠人!$B$5</definedName>
    <definedName name="平均スコア" localSheetId="7">百瀬成空!$B$5</definedName>
    <definedName name="平均スコア" localSheetId="15">福澤大地!$B$5</definedName>
    <definedName name="平均スコア" localSheetId="10">保谷一貴!$B$5</definedName>
    <definedName name="平均スコア" localSheetId="14">木角有希!$B$5</definedName>
    <definedName name="平均スコア" localSheetId="12">矢ヶ崎健!$B$5</definedName>
    <definedName name="平均スコア">Template!$B$5</definedName>
    <definedName name="平均順位" localSheetId="9">依田幸憲!$B$6</definedName>
    <definedName name="平均順位" localSheetId="16">高橋桜!$B$6</definedName>
    <definedName name="平均順位" localSheetId="11">高野源太!$B$6</definedName>
    <definedName name="平均順位" localSheetId="8">佐藤成浩!$B$6</definedName>
    <definedName name="平均順位" localSheetId="13">小林郁斗!$B$6</definedName>
    <definedName name="平均順位" localSheetId="4">松澤亮太!$B$6</definedName>
    <definedName name="平均順位" localSheetId="3">全体!$B$6</definedName>
    <definedName name="平均順位" localSheetId="6">大池陸斗!$B$6</definedName>
    <definedName name="平均順位" localSheetId="5">滝沢悠人!$B$6</definedName>
    <definedName name="平均順位" localSheetId="7">百瀬成空!$B$6</definedName>
    <definedName name="平均順位" localSheetId="15">福澤大地!$B$6</definedName>
    <definedName name="平均順位" localSheetId="10">保谷一貴!$B$6</definedName>
    <definedName name="平均順位" localSheetId="14">木角有希!$B$6</definedName>
    <definedName name="平均順位" localSheetId="12">矢ヶ崎健!$B$6</definedName>
    <definedName name="平均順位">Template!$B$6</definedName>
    <definedName name="平均放銃点" localSheetId="9">依田幸憲!$B$27</definedName>
    <definedName name="平均放銃点" localSheetId="16">高橋桜!$B$27</definedName>
    <definedName name="平均放銃点" localSheetId="11">高野源太!$B$27</definedName>
    <definedName name="平均放銃点" localSheetId="8">佐藤成浩!$B$27</definedName>
    <definedName name="平均放銃点" localSheetId="13">小林郁斗!$B$27</definedName>
    <definedName name="平均放銃点" localSheetId="4">松澤亮太!$B$27</definedName>
    <definedName name="平均放銃点" localSheetId="3">全体!$B$27</definedName>
    <definedName name="平均放銃点" localSheetId="6">大池陸斗!$B$27</definedName>
    <definedName name="平均放銃点" localSheetId="5">滝沢悠人!$B$27</definedName>
    <definedName name="平均放銃点" localSheetId="7">百瀬成空!$B$27</definedName>
    <definedName name="平均放銃点" localSheetId="15">福澤大地!$B$27</definedName>
    <definedName name="平均放銃点" localSheetId="10">保谷一貴!$B$27</definedName>
    <definedName name="平均放銃点" localSheetId="14">木角有希!$B$27</definedName>
    <definedName name="平均放銃点" localSheetId="12">矢ヶ崎健!$B$27</definedName>
    <definedName name="平均放銃点">Template!$B$27</definedName>
    <definedName name="放銃数" localSheetId="9">依田幸憲!$B$18</definedName>
    <definedName name="放銃数" localSheetId="16">高橋桜!$B$18</definedName>
    <definedName name="放銃数" localSheetId="11">高野源太!$B$18</definedName>
    <definedName name="放銃数" localSheetId="8">佐藤成浩!$B$18</definedName>
    <definedName name="放銃数" localSheetId="13">小林郁斗!$B$18</definedName>
    <definedName name="放銃数" localSheetId="4">松澤亮太!$B$18</definedName>
    <definedName name="放銃数" localSheetId="3">全体!$B$18</definedName>
    <definedName name="放銃数" localSheetId="6">大池陸斗!$B$18</definedName>
    <definedName name="放銃数" localSheetId="5">滝沢悠人!$B$18</definedName>
    <definedName name="放銃数" localSheetId="7">百瀬成空!$B$18</definedName>
    <definedName name="放銃数" localSheetId="15">福澤大地!$B$18</definedName>
    <definedName name="放銃数" localSheetId="10">保谷一貴!$B$18</definedName>
    <definedName name="放銃数" localSheetId="14">木角有希!$B$18</definedName>
    <definedName name="放銃数" localSheetId="12">矢ヶ崎健!$B$18</definedName>
    <definedName name="放銃数">Template!$B$18</definedName>
    <definedName name="放銃率" localSheetId="9">依田幸憲!$C$18</definedName>
    <definedName name="放銃率" localSheetId="16">高橋桜!$C$18</definedName>
    <definedName name="放銃率" localSheetId="11">高野源太!$C$18</definedName>
    <definedName name="放銃率" localSheetId="8">佐藤成浩!$C$18</definedName>
    <definedName name="放銃率" localSheetId="13">小林郁斗!$C$18</definedName>
    <definedName name="放銃率" localSheetId="4">松澤亮太!$C$18</definedName>
    <definedName name="放銃率" localSheetId="3">全体!$C$18</definedName>
    <definedName name="放銃率" localSheetId="6">大池陸斗!$C$18</definedName>
    <definedName name="放銃率" localSheetId="5">滝沢悠人!$C$18</definedName>
    <definedName name="放銃率" localSheetId="7">百瀬成空!$C$18</definedName>
    <definedName name="放銃率" localSheetId="15">福澤大地!$C$18</definedName>
    <definedName name="放銃率" localSheetId="10">保谷一貴!$C$18</definedName>
    <definedName name="放銃率" localSheetId="14">木角有希!$C$18</definedName>
    <definedName name="放銃率" localSheetId="12">矢ヶ崎健!$C$18</definedName>
    <definedName name="放銃率">Template!$C$18</definedName>
    <definedName name="名前" localSheetId="9">依田幸憲!$B$1</definedName>
    <definedName name="名前" localSheetId="16">高橋桜!$B$1</definedName>
    <definedName name="名前" localSheetId="11">高野源太!$B$1</definedName>
    <definedName name="名前" localSheetId="8">佐藤成浩!$B$1</definedName>
    <definedName name="名前" localSheetId="13">小林郁斗!$B$1</definedName>
    <definedName name="名前" localSheetId="4">松澤亮太!$B$1</definedName>
    <definedName name="名前" localSheetId="3">全体!$B$1</definedName>
    <definedName name="名前" localSheetId="6">大池陸斗!$B$1</definedName>
    <definedName name="名前" localSheetId="5">滝沢悠人!$B$1</definedName>
    <definedName name="名前" localSheetId="7">百瀬成空!$B$1</definedName>
    <definedName name="名前" localSheetId="15">福澤大地!$B$1</definedName>
    <definedName name="名前" localSheetId="10">保谷一貴!$B$1</definedName>
    <definedName name="名前" localSheetId="14">木角有希!$B$1</definedName>
    <definedName name="名前" localSheetId="12">矢ヶ崎健!$B$1</definedName>
    <definedName name="名前">Template!$B$1</definedName>
    <definedName name="門前アガリ点" localSheetId="9">依田幸憲!$B$25</definedName>
    <definedName name="門前アガリ点" localSheetId="16">高橋桜!$B$25</definedName>
    <definedName name="門前アガリ点" localSheetId="11">高野源太!$B$25</definedName>
    <definedName name="門前アガリ点" localSheetId="8">佐藤成浩!$B$25</definedName>
    <definedName name="門前アガリ点" localSheetId="13">小林郁斗!$B$25</definedName>
    <definedName name="門前アガリ点" localSheetId="4">松澤亮太!$B$25</definedName>
    <definedName name="門前アガリ点" localSheetId="3">全体!$B$25</definedName>
    <definedName name="門前アガリ点" localSheetId="6">大池陸斗!$B$25</definedName>
    <definedName name="門前アガリ点" localSheetId="5">滝沢悠人!$B$25</definedName>
    <definedName name="門前アガリ点" localSheetId="7">百瀬成空!$B$25</definedName>
    <definedName name="門前アガリ点" localSheetId="15">福澤大地!$B$25</definedName>
    <definedName name="門前アガリ点" localSheetId="10">保谷一貴!$B$25</definedName>
    <definedName name="門前アガリ点" localSheetId="14">木角有希!$B$25</definedName>
    <definedName name="門前アガリ点" localSheetId="12">矢ヶ崎健!$B$25</definedName>
    <definedName name="門前アガリ点">Template!$B$25</definedName>
    <definedName name="連続アガリ" localSheetId="9">依田幸憲!$B$28</definedName>
    <definedName name="連続アガリ" localSheetId="16">高橋桜!$B$28</definedName>
    <definedName name="連続アガリ" localSheetId="11">高野源太!$B$28</definedName>
    <definedName name="連続アガリ" localSheetId="8">佐藤成浩!$B$28</definedName>
    <definedName name="連続アガリ" localSheetId="13">小林郁斗!$B$28</definedName>
    <definedName name="連続アガリ" localSheetId="4">松澤亮太!$B$28</definedName>
    <definedName name="連続アガリ" localSheetId="3">全体!$B$28</definedName>
    <definedName name="連続アガリ" localSheetId="6">大池陸斗!$B$28</definedName>
    <definedName name="連続アガリ" localSheetId="5">滝沢悠人!$B$28</definedName>
    <definedName name="連続アガリ" localSheetId="7">百瀬成空!$B$28</definedName>
    <definedName name="連続アガリ" localSheetId="15">福澤大地!$B$28</definedName>
    <definedName name="連続アガリ" localSheetId="10">保谷一貴!$B$28</definedName>
    <definedName name="連続アガリ" localSheetId="14">木角有希!$B$28</definedName>
    <definedName name="連続アガリ" localSheetId="12">矢ヶ崎健!$B$28</definedName>
    <definedName name="連続アガリ">Template!$B$28</definedName>
    <definedName name="連続無放銃" localSheetId="9">依田幸憲!$B$29</definedName>
    <definedName name="連続無放銃" localSheetId="16">高橋桜!$B$29</definedName>
    <definedName name="連続無放銃" localSheetId="11">高野源太!$B$29</definedName>
    <definedName name="連続無放銃" localSheetId="8">佐藤成浩!$B$29</definedName>
    <definedName name="連続無放銃" localSheetId="13">小林郁斗!$B$29</definedName>
    <definedName name="連続無放銃" localSheetId="4">松澤亮太!$B$29</definedName>
    <definedName name="連続無放銃" localSheetId="3">全体!$B$29</definedName>
    <definedName name="連続無放銃" localSheetId="6">大池陸斗!$B$29</definedName>
    <definedName name="連続無放銃" localSheetId="5">滝沢悠人!$B$29</definedName>
    <definedName name="連続無放銃" localSheetId="7">百瀬成空!$B$29</definedName>
    <definedName name="連続無放銃" localSheetId="15">福澤大地!$B$29</definedName>
    <definedName name="連続無放銃" localSheetId="10">保谷一貴!$B$29</definedName>
    <definedName name="連続無放銃" localSheetId="14">木角有希!$B$29</definedName>
    <definedName name="連続無放銃" localSheetId="12">矢ヶ崎健!$B$29</definedName>
    <definedName name="連続無放銃">Template!$B$29</definedName>
    <definedName name="連対数" localSheetId="9">依田幸憲!$B$11</definedName>
    <definedName name="連対数" localSheetId="16">高橋桜!$B$11</definedName>
    <definedName name="連対数" localSheetId="11">高野源太!$B$11</definedName>
    <definedName name="連対数" localSheetId="8">佐藤成浩!$B$11</definedName>
    <definedName name="連対数" localSheetId="13">小林郁斗!$B$11</definedName>
    <definedName name="連対数" localSheetId="4">松澤亮太!$B$11</definedName>
    <definedName name="連対数" localSheetId="3">全体!$B$11</definedName>
    <definedName name="連対数" localSheetId="6">大池陸斗!$B$11</definedName>
    <definedName name="連対数" localSheetId="5">滝沢悠人!$B$11</definedName>
    <definedName name="連対数" localSheetId="7">百瀬成空!$B$11</definedName>
    <definedName name="連対数" localSheetId="15">福澤大地!$B$11</definedName>
    <definedName name="連対数" localSheetId="10">保谷一貴!$B$11</definedName>
    <definedName name="連対数" localSheetId="14">木角有希!$B$11</definedName>
    <definedName name="連対数" localSheetId="12">矢ヶ崎健!$B$11</definedName>
    <definedName name="連対数">Template!$B$11</definedName>
    <definedName name="連対率" localSheetId="9">依田幸憲!$C$11</definedName>
    <definedName name="連対率" localSheetId="16">高橋桜!$C$11</definedName>
    <definedName name="連対率" localSheetId="11">高野源太!$C$11</definedName>
    <definedName name="連対率" localSheetId="8">佐藤成浩!$C$11</definedName>
    <definedName name="連対率" localSheetId="13">小林郁斗!$C$11</definedName>
    <definedName name="連対率" localSheetId="4">松澤亮太!$C$11</definedName>
    <definedName name="連対率" localSheetId="3">全体!$C$11</definedName>
    <definedName name="連対率" localSheetId="6">大池陸斗!$C$11</definedName>
    <definedName name="連対率" localSheetId="5">滝沢悠人!$C$11</definedName>
    <definedName name="連対率" localSheetId="7">百瀬成空!$C$11</definedName>
    <definedName name="連対率" localSheetId="15">福澤大地!$C$11</definedName>
    <definedName name="連対率" localSheetId="10">保谷一貴!$C$11</definedName>
    <definedName name="連対率" localSheetId="14">木角有希!$C$11</definedName>
    <definedName name="連対率" localSheetId="12">矢ヶ崎健!$C$11</definedName>
    <definedName name="連対率">Template!$C$11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25" i="6180" l="1"/>
  <c r="O19" i="6180"/>
  <c r="O19" i="6186"/>
  <c r="O21" i="6190"/>
  <c r="O18" i="6191"/>
  <c r="O22" i="6191"/>
  <c r="O27" i="6186"/>
  <c r="O18" i="6182"/>
  <c r="O20" i="6183" l="1"/>
  <c r="O19" i="6182"/>
  <c r="O24" i="6190"/>
  <c r="O23" i="6190"/>
  <c r="O20" i="6190"/>
  <c r="O19" i="6181"/>
  <c r="O21" i="6181"/>
  <c r="O19" i="6179"/>
  <c r="O21" i="6179"/>
  <c r="O19" i="6178"/>
  <c r="O19" i="6191"/>
  <c r="O21" i="6191"/>
  <c r="O20" i="6191"/>
  <c r="C32" i="6191"/>
  <c r="B27" i="6191"/>
  <c r="H26" i="6191"/>
  <c r="H22" i="6191"/>
  <c r="H18" i="6191"/>
  <c r="C18" i="6191"/>
  <c r="C17" i="6191"/>
  <c r="B17" i="6191"/>
  <c r="C47" i="6191" s="1"/>
  <c r="C16" i="6191"/>
  <c r="B16" i="6191"/>
  <c r="B26" i="6191" s="1"/>
  <c r="O15" i="6191"/>
  <c r="C15" i="6191"/>
  <c r="B15" i="6191"/>
  <c r="O14" i="6191"/>
  <c r="C14" i="6191"/>
  <c r="O13" i="6191"/>
  <c r="H13" i="6191"/>
  <c r="C13" i="6191"/>
  <c r="O12" i="6191"/>
  <c r="C12" i="6191"/>
  <c r="C11" i="6191"/>
  <c r="B11" i="6191"/>
  <c r="H10" i="6191"/>
  <c r="C10" i="6191"/>
  <c r="O9" i="6191"/>
  <c r="C9" i="6191"/>
  <c r="O8" i="6191"/>
  <c r="C8" i="6191"/>
  <c r="O7" i="6191"/>
  <c r="C7" i="6191"/>
  <c r="O6" i="6191"/>
  <c r="H6" i="6191"/>
  <c r="B6" i="6191"/>
  <c r="O5" i="6191"/>
  <c r="B5" i="6191"/>
  <c r="O4" i="6191"/>
  <c r="O3" i="6191"/>
  <c r="H3" i="6191"/>
  <c r="O2" i="6191"/>
  <c r="H11" i="6191" l="1"/>
  <c r="H14" i="6191"/>
  <c r="H16" i="6191"/>
  <c r="C20" i="6191"/>
  <c r="B24" i="6191"/>
  <c r="H28" i="6191"/>
  <c r="C35" i="6191"/>
  <c r="C39" i="6191"/>
  <c r="C43" i="6191"/>
  <c r="H20" i="6191"/>
  <c r="H39" i="6191"/>
  <c r="H9" i="6191"/>
  <c r="H12" i="6191"/>
  <c r="C21" i="6191"/>
  <c r="B25" i="6191"/>
  <c r="H30" i="6191"/>
  <c r="C36" i="6191"/>
  <c r="C40" i="6191"/>
  <c r="C44" i="6191"/>
  <c r="H4" i="6191"/>
  <c r="H17" i="6191"/>
  <c r="H21" i="6191"/>
  <c r="H25" i="6191"/>
  <c r="H31" i="6191"/>
  <c r="H36" i="6191"/>
  <c r="H40" i="6191"/>
  <c r="H44" i="6191"/>
  <c r="H24" i="6191"/>
  <c r="H29" i="6191"/>
  <c r="H35" i="6191"/>
  <c r="H43" i="6191"/>
  <c r="H7" i="6191"/>
  <c r="H15" i="6191"/>
  <c r="C22" i="6191"/>
  <c r="C37" i="6191"/>
  <c r="C41" i="6191"/>
  <c r="C45" i="6191"/>
  <c r="H32" i="6191"/>
  <c r="H37" i="6191"/>
  <c r="H41" i="6191"/>
  <c r="H45" i="6191"/>
  <c r="H5" i="6191"/>
  <c r="C19" i="6191"/>
  <c r="C23" i="6191"/>
  <c r="H33" i="6191"/>
  <c r="C38" i="6191"/>
  <c r="C42" i="6191"/>
  <c r="C46" i="6191"/>
  <c r="H2" i="6191"/>
  <c r="H8" i="6191"/>
  <c r="H19" i="6191"/>
  <c r="H23" i="6191"/>
  <c r="H27" i="6191"/>
  <c r="H34" i="6191"/>
  <c r="H38" i="6191"/>
  <c r="H42" i="6191"/>
  <c r="O26" i="6186" l="1"/>
  <c r="O21" i="6186"/>
  <c r="O19" i="6190"/>
  <c r="O18" i="6190"/>
  <c r="O22" i="6190"/>
  <c r="C39" i="6190"/>
  <c r="C32" i="6190"/>
  <c r="B27" i="6190"/>
  <c r="C18" i="6190"/>
  <c r="B17" i="6190"/>
  <c r="H3" i="6190" s="1"/>
  <c r="B16" i="6190"/>
  <c r="B26" i="6190" s="1"/>
  <c r="O15" i="6190"/>
  <c r="B15" i="6190"/>
  <c r="C15" i="6190" s="1"/>
  <c r="O14" i="6190"/>
  <c r="C14" i="6190"/>
  <c r="O13" i="6190"/>
  <c r="C13" i="6190"/>
  <c r="O12" i="6190"/>
  <c r="C12" i="6190"/>
  <c r="B11" i="6190"/>
  <c r="C11" i="6190" s="1"/>
  <c r="C10" i="6190"/>
  <c r="O9" i="6190"/>
  <c r="C9" i="6190"/>
  <c r="O8" i="6190"/>
  <c r="C8" i="6190"/>
  <c r="O7" i="6190"/>
  <c r="H9" i="6190"/>
  <c r="C7" i="6190"/>
  <c r="O6" i="6190"/>
  <c r="B6" i="6190"/>
  <c r="O5" i="6190"/>
  <c r="B5" i="6190"/>
  <c r="O4" i="6190"/>
  <c r="O3" i="6190"/>
  <c r="O2" i="6190"/>
  <c r="O19" i="6187"/>
  <c r="O22" i="6187"/>
  <c r="O18" i="6178"/>
  <c r="O19" i="6189"/>
  <c r="O20" i="6189"/>
  <c r="O18" i="6189"/>
  <c r="C47" i="6189"/>
  <c r="C46" i="6189"/>
  <c r="H44" i="6189"/>
  <c r="C44" i="6189"/>
  <c r="C43" i="6189"/>
  <c r="H42" i="6189"/>
  <c r="C42" i="6189"/>
  <c r="H40" i="6189"/>
  <c r="C40" i="6189"/>
  <c r="C39" i="6189"/>
  <c r="H38" i="6189"/>
  <c r="C38" i="6189"/>
  <c r="H36" i="6189"/>
  <c r="C36" i="6189"/>
  <c r="C35" i="6189"/>
  <c r="H34" i="6189"/>
  <c r="H33" i="6189"/>
  <c r="C32" i="6189"/>
  <c r="H31" i="6189"/>
  <c r="H30" i="6189"/>
  <c r="H28" i="6189"/>
  <c r="H27" i="6189"/>
  <c r="B27" i="6189"/>
  <c r="H25" i="6189"/>
  <c r="B24" i="6189"/>
  <c r="H23" i="6189"/>
  <c r="C23" i="6189"/>
  <c r="C22" i="6189"/>
  <c r="H21" i="6189"/>
  <c r="C21" i="6189"/>
  <c r="C20" i="6189"/>
  <c r="H19" i="6189"/>
  <c r="C19" i="6189"/>
  <c r="C18" i="6189"/>
  <c r="H17" i="6189"/>
  <c r="C17" i="6189"/>
  <c r="B17" i="6189"/>
  <c r="H45" i="6189" s="1"/>
  <c r="H16" i="6189"/>
  <c r="C16" i="6189"/>
  <c r="B16" i="6189"/>
  <c r="B26" i="6189" s="1"/>
  <c r="O15" i="6189"/>
  <c r="H15" i="6189"/>
  <c r="C15" i="6189"/>
  <c r="B15" i="6189"/>
  <c r="O14" i="6189"/>
  <c r="H14" i="6189"/>
  <c r="C14" i="6189"/>
  <c r="O13" i="6189"/>
  <c r="H13" i="6189"/>
  <c r="C13" i="6189"/>
  <c r="O12" i="6189"/>
  <c r="H12" i="6189"/>
  <c r="C12" i="6189"/>
  <c r="H11" i="6189"/>
  <c r="C11" i="6189"/>
  <c r="B11" i="6189"/>
  <c r="H10" i="6189"/>
  <c r="C10" i="6189"/>
  <c r="O9" i="6189"/>
  <c r="H9" i="6189"/>
  <c r="C9" i="6189"/>
  <c r="O8" i="6189"/>
  <c r="H8" i="6189"/>
  <c r="C8" i="6189"/>
  <c r="O7" i="6189"/>
  <c r="H7" i="6189"/>
  <c r="C7" i="6189"/>
  <c r="O6" i="6189"/>
  <c r="H6" i="6189"/>
  <c r="B6" i="6189"/>
  <c r="O5" i="6189"/>
  <c r="H5" i="6189"/>
  <c r="B5" i="6189"/>
  <c r="O4" i="6189"/>
  <c r="H4" i="6189"/>
  <c r="O3" i="6189"/>
  <c r="H3" i="6189"/>
  <c r="O2" i="6189"/>
  <c r="H2" i="6189"/>
  <c r="O28" i="6178"/>
  <c r="O21" i="6184"/>
  <c r="O18" i="6184"/>
  <c r="O18" i="6181"/>
  <c r="O22" i="6181"/>
  <c r="O20" i="6181"/>
  <c r="O21" i="6188"/>
  <c r="O22" i="6188"/>
  <c r="O25" i="6183"/>
  <c r="C16" i="6190" l="1"/>
  <c r="H14" i="6190"/>
  <c r="H20" i="6190"/>
  <c r="C20" i="6190"/>
  <c r="C21" i="6190"/>
  <c r="H6" i="6190"/>
  <c r="H29" i="6190"/>
  <c r="H12" i="6190"/>
  <c r="H31" i="6190"/>
  <c r="H2" i="6190"/>
  <c r="H39" i="6190"/>
  <c r="C41" i="6190"/>
  <c r="H5" i="6190"/>
  <c r="H10" i="6190"/>
  <c r="H17" i="6190"/>
  <c r="C22" i="6190"/>
  <c r="H35" i="6190"/>
  <c r="C42" i="6190"/>
  <c r="H43" i="6190"/>
  <c r="H24" i="6190"/>
  <c r="H7" i="6190"/>
  <c r="C17" i="6190"/>
  <c r="C36" i="6190"/>
  <c r="C43" i="6190"/>
  <c r="B24" i="6190"/>
  <c r="H11" i="6190"/>
  <c r="H13" i="6190"/>
  <c r="C37" i="6190"/>
  <c r="C44" i="6190"/>
  <c r="H15" i="6190"/>
  <c r="C35" i="6190"/>
  <c r="H8" i="6190"/>
  <c r="H4" i="6190"/>
  <c r="H16" i="6190"/>
  <c r="C19" i="6190"/>
  <c r="H28" i="6190"/>
  <c r="C38" i="6190"/>
  <c r="C45" i="6190"/>
  <c r="C46" i="6190"/>
  <c r="C23" i="6190"/>
  <c r="H34" i="6190"/>
  <c r="C40" i="6190"/>
  <c r="C47" i="6190"/>
  <c r="H21" i="6190"/>
  <c r="H25" i="6190"/>
  <c r="H30" i="6190"/>
  <c r="H36" i="6190"/>
  <c r="H40" i="6190"/>
  <c r="H44" i="6190"/>
  <c r="B25" i="6190"/>
  <c r="H18" i="6190"/>
  <c r="H22" i="6190"/>
  <c r="H26" i="6190"/>
  <c r="H32" i="6190"/>
  <c r="H37" i="6190"/>
  <c r="H41" i="6190"/>
  <c r="H45" i="6190"/>
  <c r="H19" i="6190"/>
  <c r="H23" i="6190"/>
  <c r="H27" i="6190"/>
  <c r="H33" i="6190"/>
  <c r="H38" i="6190"/>
  <c r="H42" i="6190"/>
  <c r="H20" i="6189"/>
  <c r="H24" i="6189"/>
  <c r="H29" i="6189"/>
  <c r="H35" i="6189"/>
  <c r="H39" i="6189"/>
  <c r="H43" i="6189"/>
  <c r="B25" i="6189"/>
  <c r="C37" i="6189"/>
  <c r="C41" i="6189"/>
  <c r="C45" i="6189"/>
  <c r="H18" i="6189"/>
  <c r="H22" i="6189"/>
  <c r="H26" i="6189"/>
  <c r="H32" i="6189"/>
  <c r="H37" i="6189"/>
  <c r="H41" i="6189"/>
  <c r="O22" i="6179" l="1"/>
  <c r="O25" i="6179"/>
  <c r="O22" i="6180"/>
  <c r="O26" i="6180"/>
  <c r="O21" i="6183"/>
  <c r="O22" i="6183"/>
  <c r="O18" i="6183"/>
  <c r="O25" i="6178"/>
  <c r="O19" i="6188"/>
  <c r="O18" i="6188"/>
  <c r="O20" i="6188"/>
  <c r="C32" i="6188"/>
  <c r="B27" i="6188"/>
  <c r="C18" i="6188"/>
  <c r="B17" i="6188"/>
  <c r="C46" i="6188" s="1"/>
  <c r="B16" i="6188"/>
  <c r="B26" i="6188" s="1"/>
  <c r="O15" i="6188"/>
  <c r="C15" i="6188"/>
  <c r="B15" i="6188"/>
  <c r="O14" i="6188"/>
  <c r="C14" i="6188"/>
  <c r="O13" i="6188"/>
  <c r="H15" i="6188"/>
  <c r="C13" i="6188"/>
  <c r="O12" i="6188"/>
  <c r="C12" i="6188"/>
  <c r="C11" i="6188"/>
  <c r="B11" i="6188"/>
  <c r="C10" i="6188"/>
  <c r="O9" i="6188"/>
  <c r="C9" i="6188"/>
  <c r="O8" i="6188"/>
  <c r="C8" i="6188"/>
  <c r="O7" i="6188"/>
  <c r="C7" i="6188"/>
  <c r="O6" i="6188"/>
  <c r="B6" i="6188"/>
  <c r="O5" i="6188"/>
  <c r="B5" i="6188"/>
  <c r="O4" i="6188"/>
  <c r="O3" i="6188"/>
  <c r="O2" i="6188"/>
  <c r="O23" i="6180"/>
  <c r="O24" i="6180"/>
  <c r="O23" i="6186"/>
  <c r="O20" i="6186"/>
  <c r="O24" i="6186"/>
  <c r="O18" i="6187"/>
  <c r="O20" i="6187"/>
  <c r="O21" i="6187"/>
  <c r="C32" i="6187"/>
  <c r="B27" i="6187"/>
  <c r="B26" i="6187"/>
  <c r="C18" i="6187"/>
  <c r="B17" i="6187"/>
  <c r="C46" i="6187" s="1"/>
  <c r="C16" i="6187"/>
  <c r="B16" i="6187"/>
  <c r="O15" i="6187"/>
  <c r="B15" i="6187"/>
  <c r="C15" i="6187" s="1"/>
  <c r="O14" i="6187"/>
  <c r="C14" i="6187"/>
  <c r="O13" i="6187"/>
  <c r="C13" i="6187"/>
  <c r="O12" i="6187"/>
  <c r="C12" i="6187"/>
  <c r="C11" i="6187"/>
  <c r="B11" i="6187"/>
  <c r="C10" i="6187"/>
  <c r="O9" i="6187"/>
  <c r="C9" i="6187"/>
  <c r="O8" i="6187"/>
  <c r="C8" i="6187"/>
  <c r="O7" i="6187"/>
  <c r="C7" i="6187"/>
  <c r="O6" i="6187"/>
  <c r="B6" i="6187"/>
  <c r="O5" i="6187"/>
  <c r="B5" i="6187"/>
  <c r="O4" i="6187"/>
  <c r="O3" i="6187"/>
  <c r="O2" i="6187"/>
  <c r="O26" i="6179"/>
  <c r="O24" i="6179"/>
  <c r="O24" i="6178"/>
  <c r="C16" i="6188" l="1"/>
  <c r="H2" i="6188"/>
  <c r="C17" i="6188"/>
  <c r="H3" i="6188"/>
  <c r="H5" i="6188"/>
  <c r="H11" i="6188"/>
  <c r="H8" i="6188"/>
  <c r="H12" i="6188"/>
  <c r="H21" i="6188"/>
  <c r="H24" i="6188"/>
  <c r="H28" i="6188"/>
  <c r="H35" i="6188"/>
  <c r="H39" i="6188"/>
  <c r="H43" i="6188"/>
  <c r="C47" i="6188"/>
  <c r="H13" i="6188"/>
  <c r="H16" i="6188"/>
  <c r="H18" i="6188"/>
  <c r="C20" i="6188"/>
  <c r="B24" i="6188"/>
  <c r="H29" i="6188"/>
  <c r="C35" i="6188"/>
  <c r="C39" i="6188"/>
  <c r="C43" i="6188"/>
  <c r="H9" i="6188"/>
  <c r="H25" i="6188"/>
  <c r="H30" i="6188"/>
  <c r="H36" i="6188"/>
  <c r="H40" i="6188"/>
  <c r="H44" i="6188"/>
  <c r="H7" i="6188"/>
  <c r="H14" i="6188"/>
  <c r="C21" i="6188"/>
  <c r="B25" i="6188"/>
  <c r="H31" i="6188"/>
  <c r="C36" i="6188"/>
  <c r="C40" i="6188"/>
  <c r="C44" i="6188"/>
  <c r="H19" i="6188"/>
  <c r="H22" i="6188"/>
  <c r="H26" i="6188"/>
  <c r="H32" i="6188"/>
  <c r="H37" i="6188"/>
  <c r="H41" i="6188"/>
  <c r="H45" i="6188"/>
  <c r="H6" i="6188"/>
  <c r="H17" i="6188"/>
  <c r="C22" i="6188"/>
  <c r="C37" i="6188"/>
  <c r="C41" i="6188"/>
  <c r="C45" i="6188"/>
  <c r="H20" i="6188"/>
  <c r="H23" i="6188"/>
  <c r="H27" i="6188"/>
  <c r="H33" i="6188"/>
  <c r="H38" i="6188"/>
  <c r="H42" i="6188"/>
  <c r="H10" i="6188"/>
  <c r="H4" i="6188"/>
  <c r="C19" i="6188"/>
  <c r="C23" i="6188"/>
  <c r="H34" i="6188"/>
  <c r="C38" i="6188"/>
  <c r="C42" i="6188"/>
  <c r="H7" i="6187"/>
  <c r="H15" i="6187"/>
  <c r="H3" i="6187"/>
  <c r="H28" i="6187"/>
  <c r="H12" i="6187"/>
  <c r="C17" i="6187"/>
  <c r="H35" i="6187"/>
  <c r="H6" i="6187"/>
  <c r="H13" i="6187"/>
  <c r="H20" i="6187"/>
  <c r="C22" i="6187"/>
  <c r="H43" i="6187"/>
  <c r="H10" i="6187"/>
  <c r="H39" i="6187"/>
  <c r="H11" i="6187"/>
  <c r="H16" i="6187"/>
  <c r="H4" i="6187"/>
  <c r="H24" i="6187"/>
  <c r="C47" i="6187"/>
  <c r="H17" i="6187"/>
  <c r="C20" i="6187"/>
  <c r="B24" i="6187"/>
  <c r="H29" i="6187"/>
  <c r="C35" i="6187"/>
  <c r="C39" i="6187"/>
  <c r="C43" i="6187"/>
  <c r="H21" i="6187"/>
  <c r="H25" i="6187"/>
  <c r="H30" i="6187"/>
  <c r="H36" i="6187"/>
  <c r="H40" i="6187"/>
  <c r="H44" i="6187"/>
  <c r="C21" i="6187"/>
  <c r="H31" i="6187"/>
  <c r="C36" i="6187"/>
  <c r="C40" i="6187"/>
  <c r="C44" i="6187"/>
  <c r="B25" i="6187"/>
  <c r="H2" i="6187"/>
  <c r="H18" i="6187"/>
  <c r="H22" i="6187"/>
  <c r="H26" i="6187"/>
  <c r="H32" i="6187"/>
  <c r="H37" i="6187"/>
  <c r="H41" i="6187"/>
  <c r="H45" i="6187"/>
  <c r="C37" i="6187"/>
  <c r="C45" i="6187"/>
  <c r="H8" i="6187"/>
  <c r="H14" i="6187"/>
  <c r="H19" i="6187"/>
  <c r="H23" i="6187"/>
  <c r="H27" i="6187"/>
  <c r="H33" i="6187"/>
  <c r="H38" i="6187"/>
  <c r="H42" i="6187"/>
  <c r="H9" i="6187"/>
  <c r="C41" i="6187"/>
  <c r="H5" i="6187"/>
  <c r="C19" i="6187"/>
  <c r="C23" i="6187"/>
  <c r="H34" i="6187"/>
  <c r="C38" i="6187"/>
  <c r="C42" i="6187"/>
  <c r="O22" i="6186" l="1"/>
  <c r="O18" i="6186"/>
  <c r="O25" i="6186"/>
  <c r="C32" i="6186"/>
  <c r="B27" i="6186"/>
  <c r="C18" i="6186"/>
  <c r="B17" i="6186"/>
  <c r="H6" i="6186" s="1"/>
  <c r="B16" i="6186"/>
  <c r="O15" i="6186"/>
  <c r="B15" i="6186"/>
  <c r="C15" i="6186" s="1"/>
  <c r="O14" i="6186"/>
  <c r="C14" i="6186"/>
  <c r="O13" i="6186"/>
  <c r="C13" i="6186"/>
  <c r="O12" i="6186"/>
  <c r="C12" i="6186"/>
  <c r="B11" i="6186"/>
  <c r="C11" i="6186" s="1"/>
  <c r="C10" i="6186"/>
  <c r="O9" i="6186"/>
  <c r="C9" i="6186"/>
  <c r="O8" i="6186"/>
  <c r="C8" i="6186"/>
  <c r="O7" i="6186"/>
  <c r="C7" i="6186"/>
  <c r="O6" i="6186"/>
  <c r="B6" i="6186"/>
  <c r="O5" i="6186"/>
  <c r="B5" i="6186"/>
  <c r="O4" i="6186"/>
  <c r="O3" i="6186"/>
  <c r="O2" i="6186"/>
  <c r="O18" i="6185"/>
  <c r="O19" i="6185"/>
  <c r="O20" i="6185"/>
  <c r="C32" i="6185"/>
  <c r="H28" i="6185"/>
  <c r="B27" i="6185"/>
  <c r="C18" i="6185"/>
  <c r="B17" i="6185"/>
  <c r="H2" i="6185" s="1"/>
  <c r="H17" i="6185"/>
  <c r="C16" i="6185"/>
  <c r="B16" i="6185"/>
  <c r="O15" i="6185"/>
  <c r="C15" i="6185"/>
  <c r="B15" i="6185"/>
  <c r="O14" i="6185"/>
  <c r="C14" i="6185"/>
  <c r="O13" i="6185"/>
  <c r="C13" i="6185"/>
  <c r="O12" i="6185"/>
  <c r="C12" i="6185"/>
  <c r="B11" i="6185"/>
  <c r="C11" i="6185" s="1"/>
  <c r="C10" i="6185"/>
  <c r="O9" i="6185"/>
  <c r="C9" i="6185"/>
  <c r="O8" i="6185"/>
  <c r="C8" i="6185"/>
  <c r="O7" i="6185"/>
  <c r="C7" i="6185"/>
  <c r="O6" i="6185"/>
  <c r="B6" i="6185"/>
  <c r="O5" i="6185"/>
  <c r="B5" i="6185"/>
  <c r="O4" i="6185"/>
  <c r="O3" i="6185"/>
  <c r="H8" i="6185"/>
  <c r="O2" i="6185"/>
  <c r="O19" i="6184"/>
  <c r="O22" i="6184"/>
  <c r="O20" i="6184"/>
  <c r="C47" i="6184"/>
  <c r="C46" i="6184"/>
  <c r="C32" i="6184"/>
  <c r="B27" i="6184"/>
  <c r="C18" i="6184"/>
  <c r="B17" i="6184"/>
  <c r="H45" i="6184" s="1"/>
  <c r="B16" i="6184"/>
  <c r="B26" i="6184" s="1"/>
  <c r="O15" i="6184"/>
  <c r="C15" i="6184"/>
  <c r="B15" i="6184"/>
  <c r="O14" i="6184"/>
  <c r="C14" i="6184"/>
  <c r="O13" i="6184"/>
  <c r="C13" i="6184"/>
  <c r="O12" i="6184"/>
  <c r="H12" i="6184"/>
  <c r="C12" i="6184"/>
  <c r="C11" i="6184"/>
  <c r="B11" i="6184"/>
  <c r="C10" i="6184"/>
  <c r="O9" i="6184"/>
  <c r="C9" i="6184"/>
  <c r="O8" i="6184"/>
  <c r="C8" i="6184"/>
  <c r="O7" i="6184"/>
  <c r="C7" i="6184"/>
  <c r="O6" i="6184"/>
  <c r="B6" i="6184"/>
  <c r="O5" i="6184"/>
  <c r="B5" i="6184"/>
  <c r="O4" i="6184"/>
  <c r="O3" i="6184"/>
  <c r="O2" i="6184"/>
  <c r="O21" i="6178"/>
  <c r="O23" i="6183"/>
  <c r="O24" i="6183"/>
  <c r="O19" i="6183"/>
  <c r="C32" i="6183"/>
  <c r="B27" i="6183"/>
  <c r="C18" i="6183"/>
  <c r="B17" i="6183"/>
  <c r="H4" i="6183" s="1"/>
  <c r="C16" i="6183"/>
  <c r="B16" i="6183"/>
  <c r="B26" i="6183" s="1"/>
  <c r="O15" i="6183"/>
  <c r="B15" i="6183"/>
  <c r="C15" i="6183" s="1"/>
  <c r="O14" i="6183"/>
  <c r="C14" i="6183"/>
  <c r="O13" i="6183"/>
  <c r="C13" i="6183"/>
  <c r="O12" i="6183"/>
  <c r="C12" i="6183"/>
  <c r="B11" i="6183"/>
  <c r="C11" i="6183" s="1"/>
  <c r="C10" i="6183"/>
  <c r="O9" i="6183"/>
  <c r="C9" i="6183"/>
  <c r="O8" i="6183"/>
  <c r="C8" i="6183"/>
  <c r="O7" i="6183"/>
  <c r="C7" i="6183"/>
  <c r="O6" i="6183"/>
  <c r="B6" i="6183"/>
  <c r="O5" i="6183"/>
  <c r="B5" i="6183"/>
  <c r="O4" i="6183"/>
  <c r="O3" i="6183"/>
  <c r="O2" i="6183"/>
  <c r="O30" i="6178"/>
  <c r="O27" i="6178"/>
  <c r="O20" i="6178"/>
  <c r="H2" i="6183" l="1"/>
  <c r="H28" i="6183"/>
  <c r="B25" i="6186"/>
  <c r="H5" i="6184"/>
  <c r="H10" i="6184"/>
  <c r="H3" i="6184"/>
  <c r="H27" i="6184"/>
  <c r="H31" i="6184"/>
  <c r="C19" i="6184"/>
  <c r="H6" i="6184"/>
  <c r="H19" i="6184"/>
  <c r="C38" i="6184"/>
  <c r="C21" i="6184"/>
  <c r="H38" i="6184"/>
  <c r="H30" i="6184"/>
  <c r="H9" i="6184"/>
  <c r="H21" i="6184"/>
  <c r="C40" i="6184"/>
  <c r="C16" i="6184"/>
  <c r="H40" i="6184"/>
  <c r="C42" i="6184"/>
  <c r="C17" i="6184"/>
  <c r="H34" i="6184"/>
  <c r="H42" i="6184"/>
  <c r="C23" i="6184"/>
  <c r="H8" i="6184"/>
  <c r="H23" i="6184"/>
  <c r="H17" i="6184"/>
  <c r="H25" i="6184"/>
  <c r="C36" i="6184"/>
  <c r="C44" i="6184"/>
  <c r="H4" i="6184"/>
  <c r="H33" i="6184"/>
  <c r="H7" i="6184"/>
  <c r="H36" i="6184"/>
  <c r="H44" i="6184"/>
  <c r="H31" i="6183"/>
  <c r="H32" i="6183"/>
  <c r="C19" i="6183"/>
  <c r="H39" i="6183"/>
  <c r="C38" i="6183"/>
  <c r="H20" i="6183"/>
  <c r="C21" i="6183"/>
  <c r="C46" i="6183"/>
  <c r="H3" i="6183"/>
  <c r="H9" i="6183"/>
  <c r="H13" i="6183"/>
  <c r="C47" i="6183"/>
  <c r="C16" i="6186"/>
  <c r="H28" i="6186"/>
  <c r="H35" i="6186"/>
  <c r="C35" i="6186"/>
  <c r="H20" i="6186"/>
  <c r="C36" i="6186"/>
  <c r="H9" i="6186"/>
  <c r="H8" i="6186"/>
  <c r="H2" i="6186"/>
  <c r="C20" i="6186"/>
  <c r="H41" i="6186"/>
  <c r="C19" i="6186"/>
  <c r="H26" i="6186"/>
  <c r="C42" i="6186"/>
  <c r="H43" i="6186"/>
  <c r="H18" i="6186"/>
  <c r="C21" i="6186"/>
  <c r="H29" i="6186"/>
  <c r="H37" i="6186"/>
  <c r="C43" i="6186"/>
  <c r="H16" i="6186"/>
  <c r="H31" i="6186"/>
  <c r="C44" i="6186"/>
  <c r="H22" i="6186"/>
  <c r="H4" i="6186"/>
  <c r="H13" i="6186"/>
  <c r="C17" i="6186"/>
  <c r="C23" i="6186"/>
  <c r="H32" i="6186"/>
  <c r="H39" i="6186"/>
  <c r="H45" i="6186"/>
  <c r="H12" i="6186"/>
  <c r="H19" i="6186"/>
  <c r="H24" i="6186"/>
  <c r="C39" i="6186"/>
  <c r="C46" i="6186"/>
  <c r="H3" i="6186"/>
  <c r="C38" i="6186"/>
  <c r="H10" i="6186"/>
  <c r="H5" i="6186"/>
  <c r="H14" i="6186"/>
  <c r="B24" i="6186"/>
  <c r="H34" i="6186"/>
  <c r="C40" i="6186"/>
  <c r="C47" i="6186"/>
  <c r="H21" i="6186"/>
  <c r="H25" i="6186"/>
  <c r="H30" i="6186"/>
  <c r="H36" i="6186"/>
  <c r="H40" i="6186"/>
  <c r="H44" i="6186"/>
  <c r="H17" i="6186"/>
  <c r="C22" i="6186"/>
  <c r="B26" i="6186"/>
  <c r="C37" i="6186"/>
  <c r="C41" i="6186"/>
  <c r="C45" i="6186"/>
  <c r="H7" i="6186"/>
  <c r="H15" i="6186"/>
  <c r="H11" i="6186"/>
  <c r="H23" i="6186"/>
  <c r="H27" i="6186"/>
  <c r="H33" i="6186"/>
  <c r="H38" i="6186"/>
  <c r="H42" i="6186"/>
  <c r="H35" i="6185"/>
  <c r="H15" i="6185"/>
  <c r="H12" i="6185"/>
  <c r="H20" i="6185"/>
  <c r="C35" i="6185"/>
  <c r="C36" i="6185"/>
  <c r="H9" i="6185"/>
  <c r="C21" i="6185"/>
  <c r="H41" i="6185"/>
  <c r="H4" i="6185"/>
  <c r="H26" i="6185"/>
  <c r="C42" i="6185"/>
  <c r="H3" i="6185"/>
  <c r="C20" i="6185"/>
  <c r="B25" i="6185"/>
  <c r="H6" i="6185"/>
  <c r="H43" i="6185"/>
  <c r="H22" i="6185"/>
  <c r="H29" i="6185"/>
  <c r="H37" i="6185"/>
  <c r="C43" i="6185"/>
  <c r="C44" i="6185"/>
  <c r="H10" i="6185"/>
  <c r="C17" i="6185"/>
  <c r="C22" i="6185"/>
  <c r="H31" i="6185"/>
  <c r="H18" i="6185"/>
  <c r="C23" i="6185"/>
  <c r="H32" i="6185"/>
  <c r="H39" i="6185"/>
  <c r="H45" i="6185"/>
  <c r="H5" i="6185"/>
  <c r="H7" i="6185"/>
  <c r="H16" i="6185"/>
  <c r="H24" i="6185"/>
  <c r="C39" i="6185"/>
  <c r="C46" i="6185"/>
  <c r="H13" i="6185"/>
  <c r="C38" i="6185"/>
  <c r="H11" i="6185"/>
  <c r="H14" i="6185"/>
  <c r="C19" i="6185"/>
  <c r="B24" i="6185"/>
  <c r="H34" i="6185"/>
  <c r="C40" i="6185"/>
  <c r="C47" i="6185"/>
  <c r="H21" i="6185"/>
  <c r="H25" i="6185"/>
  <c r="H30" i="6185"/>
  <c r="H36" i="6185"/>
  <c r="H40" i="6185"/>
  <c r="H44" i="6185"/>
  <c r="B26" i="6185"/>
  <c r="C37" i="6185"/>
  <c r="C41" i="6185"/>
  <c r="C45" i="6185"/>
  <c r="H19" i="6185"/>
  <c r="H23" i="6185"/>
  <c r="H27" i="6185"/>
  <c r="H33" i="6185"/>
  <c r="H38" i="6185"/>
  <c r="H42" i="6185"/>
  <c r="H11" i="6184"/>
  <c r="H14" i="6184"/>
  <c r="H16" i="6184"/>
  <c r="C20" i="6184"/>
  <c r="B24" i="6184"/>
  <c r="H28" i="6184"/>
  <c r="C35" i="6184"/>
  <c r="C39" i="6184"/>
  <c r="C43" i="6184"/>
  <c r="H20" i="6184"/>
  <c r="H24" i="6184"/>
  <c r="H29" i="6184"/>
  <c r="H35" i="6184"/>
  <c r="H39" i="6184"/>
  <c r="H43" i="6184"/>
  <c r="B25" i="6184"/>
  <c r="H15" i="6184"/>
  <c r="C22" i="6184"/>
  <c r="C37" i="6184"/>
  <c r="C41" i="6184"/>
  <c r="C45" i="6184"/>
  <c r="H2" i="6184"/>
  <c r="H13" i="6184"/>
  <c r="H18" i="6184"/>
  <c r="H22" i="6184"/>
  <c r="H26" i="6184"/>
  <c r="H32" i="6184"/>
  <c r="H37" i="6184"/>
  <c r="H41" i="6184"/>
  <c r="C40" i="6183"/>
  <c r="H7" i="6183"/>
  <c r="H8" i="6183"/>
  <c r="H10" i="6183"/>
  <c r="H22" i="6183"/>
  <c r="H41" i="6183"/>
  <c r="C42" i="6183"/>
  <c r="C23" i="6183"/>
  <c r="H34" i="6183"/>
  <c r="H5" i="6183"/>
  <c r="C17" i="6183"/>
  <c r="H24" i="6183"/>
  <c r="H35" i="6183"/>
  <c r="H43" i="6183"/>
  <c r="H18" i="6183"/>
  <c r="H26" i="6183"/>
  <c r="C36" i="6183"/>
  <c r="C44" i="6183"/>
  <c r="H37" i="6183"/>
  <c r="H45" i="6183"/>
  <c r="H12" i="6183"/>
  <c r="H15" i="6183"/>
  <c r="H17" i="6183"/>
  <c r="C20" i="6183"/>
  <c r="B24" i="6183"/>
  <c r="H29" i="6183"/>
  <c r="C35" i="6183"/>
  <c r="C39" i="6183"/>
  <c r="C43" i="6183"/>
  <c r="H21" i="6183"/>
  <c r="H25" i="6183"/>
  <c r="H30" i="6183"/>
  <c r="H36" i="6183"/>
  <c r="H40" i="6183"/>
  <c r="H44" i="6183"/>
  <c r="B25" i="6183"/>
  <c r="H6" i="6183"/>
  <c r="C37" i="6183"/>
  <c r="C41" i="6183"/>
  <c r="C45" i="6183"/>
  <c r="H16" i="6183"/>
  <c r="C22" i="6183"/>
  <c r="H11" i="6183"/>
  <c r="H14" i="6183"/>
  <c r="H19" i="6183"/>
  <c r="H23" i="6183"/>
  <c r="H27" i="6183"/>
  <c r="H33" i="6183"/>
  <c r="H38" i="6183"/>
  <c r="H42" i="6183"/>
  <c r="O20" i="6182" l="1"/>
  <c r="O21" i="6182"/>
  <c r="O22" i="6182"/>
  <c r="C36" i="6182"/>
  <c r="C32" i="6182"/>
  <c r="B27" i="6182"/>
  <c r="B26" i="6182"/>
  <c r="B25" i="6182"/>
  <c r="C18" i="6182"/>
  <c r="B17" i="6182"/>
  <c r="C46" i="6182" s="1"/>
  <c r="B16" i="6182"/>
  <c r="C16" i="6182" s="1"/>
  <c r="O15" i="6182"/>
  <c r="B15" i="6182"/>
  <c r="C15" i="6182" s="1"/>
  <c r="O14" i="6182"/>
  <c r="C14" i="6182"/>
  <c r="O13" i="6182"/>
  <c r="C13" i="6182"/>
  <c r="O12" i="6182"/>
  <c r="C12" i="6182"/>
  <c r="B11" i="6182"/>
  <c r="C11" i="6182" s="1"/>
  <c r="C10" i="6182"/>
  <c r="O9" i="6182"/>
  <c r="C9" i="6182"/>
  <c r="O8" i="6182"/>
  <c r="C8" i="6182"/>
  <c r="O7" i="6182"/>
  <c r="C7" i="6182"/>
  <c r="O6" i="6182"/>
  <c r="B6" i="6182"/>
  <c r="O5" i="6182"/>
  <c r="B5" i="6182"/>
  <c r="O4" i="6182"/>
  <c r="O3" i="6182"/>
  <c r="O2" i="6182"/>
  <c r="O25" i="6181"/>
  <c r="O24" i="6181"/>
  <c r="O23" i="6181"/>
  <c r="C32" i="6181"/>
  <c r="B27" i="6181"/>
  <c r="C18" i="6181"/>
  <c r="B17" i="6181"/>
  <c r="C45" i="6181" s="1"/>
  <c r="B16" i="6181"/>
  <c r="B26" i="6181" s="1"/>
  <c r="O15" i="6181"/>
  <c r="B15" i="6181"/>
  <c r="C15" i="6181" s="1"/>
  <c r="O14" i="6181"/>
  <c r="C14" i="6181"/>
  <c r="O13" i="6181"/>
  <c r="C13" i="6181"/>
  <c r="O12" i="6181"/>
  <c r="C12" i="6181"/>
  <c r="B11" i="6181"/>
  <c r="C11" i="6181" s="1"/>
  <c r="C10" i="6181"/>
  <c r="O9" i="6181"/>
  <c r="C9" i="6181"/>
  <c r="O8" i="6181"/>
  <c r="C8" i="6181"/>
  <c r="O7" i="6181"/>
  <c r="C7" i="6181"/>
  <c r="O6" i="6181"/>
  <c r="B6" i="6181"/>
  <c r="O5" i="6181"/>
  <c r="B5" i="6181"/>
  <c r="O4" i="6181"/>
  <c r="O3" i="6181"/>
  <c r="O2" i="6181"/>
  <c r="O21" i="6180"/>
  <c r="O20" i="6180"/>
  <c r="O18" i="6180"/>
  <c r="C32" i="6180"/>
  <c r="B27" i="6180"/>
  <c r="C18" i="6180"/>
  <c r="B17" i="6180"/>
  <c r="C45" i="6180" s="1"/>
  <c r="B16" i="6180"/>
  <c r="B26" i="6180" s="1"/>
  <c r="O15" i="6180"/>
  <c r="B15" i="6180"/>
  <c r="C15" i="6180" s="1"/>
  <c r="O14" i="6180"/>
  <c r="C14" i="6180"/>
  <c r="O13" i="6180"/>
  <c r="C13" i="6180"/>
  <c r="O12" i="6180"/>
  <c r="C12" i="6180"/>
  <c r="B11" i="6180"/>
  <c r="C11" i="6180" s="1"/>
  <c r="C10" i="6180"/>
  <c r="O9" i="6180"/>
  <c r="C9" i="6180"/>
  <c r="O8" i="6180"/>
  <c r="C8" i="6180"/>
  <c r="O7" i="6180"/>
  <c r="C7" i="6180"/>
  <c r="O6" i="6180"/>
  <c r="B6" i="6180"/>
  <c r="O5" i="6180"/>
  <c r="B5" i="6180"/>
  <c r="O4" i="6180"/>
  <c r="O3" i="6180"/>
  <c r="O2" i="6180"/>
  <c r="O26" i="6178"/>
  <c r="O18" i="6179"/>
  <c r="O20" i="6179"/>
  <c r="O23" i="6179"/>
  <c r="C32" i="6179"/>
  <c r="B27" i="6179"/>
  <c r="C18" i="6179"/>
  <c r="B17" i="6179"/>
  <c r="H9" i="6179" s="1"/>
  <c r="B16" i="6179"/>
  <c r="B26" i="6179" s="1"/>
  <c r="O15" i="6179"/>
  <c r="B15" i="6179"/>
  <c r="C15" i="6179" s="1"/>
  <c r="O14" i="6179"/>
  <c r="C14" i="6179"/>
  <c r="O13" i="6179"/>
  <c r="C13" i="6179"/>
  <c r="O12" i="6179"/>
  <c r="C12" i="6179"/>
  <c r="B11" i="6179"/>
  <c r="C11" i="6179" s="1"/>
  <c r="C10" i="6179"/>
  <c r="O9" i="6179"/>
  <c r="C9" i="6179"/>
  <c r="O8" i="6179"/>
  <c r="C8" i="6179"/>
  <c r="O7" i="6179"/>
  <c r="C7" i="6179"/>
  <c r="O6" i="6179"/>
  <c r="B6" i="6179"/>
  <c r="O5" i="6179"/>
  <c r="B5" i="6179"/>
  <c r="O4" i="6179"/>
  <c r="O3" i="6179"/>
  <c r="O2" i="6179"/>
  <c r="O23" i="6178"/>
  <c r="O29" i="6178"/>
  <c r="O22" i="6178"/>
  <c r="C32" i="6178"/>
  <c r="B27" i="6178"/>
  <c r="C18" i="6178"/>
  <c r="B17" i="6178"/>
  <c r="C45" i="6178" s="1"/>
  <c r="B16" i="6178"/>
  <c r="B26" i="6178" s="1"/>
  <c r="O15" i="6178"/>
  <c r="B15" i="6178"/>
  <c r="C15" i="6178" s="1"/>
  <c r="O14" i="6178"/>
  <c r="C14" i="6178"/>
  <c r="O13" i="6178"/>
  <c r="C13" i="6178"/>
  <c r="O12" i="6178"/>
  <c r="C12" i="6178"/>
  <c r="B11" i="6178"/>
  <c r="C11" i="6178" s="1"/>
  <c r="C10" i="6178"/>
  <c r="O9" i="6178"/>
  <c r="C9" i="6178"/>
  <c r="O8" i="6178"/>
  <c r="C8" i="6178"/>
  <c r="O7" i="6178"/>
  <c r="C7" i="6178"/>
  <c r="O6" i="6178"/>
  <c r="B6" i="6178"/>
  <c r="O5" i="6178"/>
  <c r="B5" i="6178"/>
  <c r="O4" i="6178"/>
  <c r="O3" i="6178"/>
  <c r="O2" i="6178"/>
  <c r="C16" i="6180" l="1"/>
  <c r="C17" i="6182"/>
  <c r="H2" i="6182"/>
  <c r="C40" i="6182"/>
  <c r="H19" i="6182"/>
  <c r="H41" i="6182"/>
  <c r="H9" i="6182"/>
  <c r="H11" i="6182"/>
  <c r="H31" i="6182"/>
  <c r="H43" i="6182"/>
  <c r="H6" i="6182"/>
  <c r="H4" i="6182"/>
  <c r="H17" i="6182"/>
  <c r="H21" i="6182"/>
  <c r="H32" i="6182"/>
  <c r="C39" i="6182"/>
  <c r="H14" i="6182"/>
  <c r="C20" i="6182"/>
  <c r="H3" i="6182"/>
  <c r="H5" i="6182"/>
  <c r="H7" i="6182"/>
  <c r="H12" i="6182"/>
  <c r="C21" i="6182"/>
  <c r="C35" i="6182"/>
  <c r="C16" i="6181"/>
  <c r="C16" i="6179"/>
  <c r="H31" i="6179"/>
  <c r="C39" i="6179"/>
  <c r="C40" i="6179"/>
  <c r="H19" i="6179"/>
  <c r="H3" i="6179"/>
  <c r="H17" i="6179"/>
  <c r="H14" i="6179"/>
  <c r="C21" i="6179"/>
  <c r="H12" i="6179"/>
  <c r="C22" i="6179"/>
  <c r="C16" i="6178"/>
  <c r="H8" i="6182"/>
  <c r="H15" i="6182"/>
  <c r="H25" i="6182"/>
  <c r="C43" i="6182"/>
  <c r="B24" i="6182"/>
  <c r="H35" i="6182"/>
  <c r="C44" i="6182"/>
  <c r="H13" i="6182"/>
  <c r="H16" i="6182"/>
  <c r="H18" i="6182"/>
  <c r="H23" i="6182"/>
  <c r="H28" i="6182"/>
  <c r="H37" i="6182"/>
  <c r="H45" i="6182"/>
  <c r="C22" i="6182"/>
  <c r="H29" i="6182"/>
  <c r="H39" i="6182"/>
  <c r="C47" i="6182"/>
  <c r="H22" i="6182"/>
  <c r="H26" i="6182"/>
  <c r="H30" i="6182"/>
  <c r="H36" i="6182"/>
  <c r="H40" i="6182"/>
  <c r="H44" i="6182"/>
  <c r="C37" i="6182"/>
  <c r="C41" i="6182"/>
  <c r="C45" i="6182"/>
  <c r="H20" i="6182"/>
  <c r="H24" i="6182"/>
  <c r="H27" i="6182"/>
  <c r="H33" i="6182"/>
  <c r="H38" i="6182"/>
  <c r="H42" i="6182"/>
  <c r="H10" i="6182"/>
  <c r="C19" i="6182"/>
  <c r="C23" i="6182"/>
  <c r="H34" i="6182"/>
  <c r="C38" i="6182"/>
  <c r="C42" i="6182"/>
  <c r="H6" i="6181"/>
  <c r="C17" i="6181"/>
  <c r="H7" i="6181"/>
  <c r="H14" i="6181"/>
  <c r="H5" i="6181"/>
  <c r="H19" i="6181"/>
  <c r="H23" i="6181"/>
  <c r="H27" i="6181"/>
  <c r="H33" i="6181"/>
  <c r="H38" i="6181"/>
  <c r="H42" i="6181"/>
  <c r="H4" i="6181"/>
  <c r="H10" i="6181"/>
  <c r="C19" i="6181"/>
  <c r="C23" i="6181"/>
  <c r="H34" i="6181"/>
  <c r="C38" i="6181"/>
  <c r="C42" i="6181"/>
  <c r="C46" i="6181"/>
  <c r="H3" i="6181"/>
  <c r="H9" i="6181"/>
  <c r="H20" i="6181"/>
  <c r="H24" i="6181"/>
  <c r="H28" i="6181"/>
  <c r="H35" i="6181"/>
  <c r="H39" i="6181"/>
  <c r="H43" i="6181"/>
  <c r="C47" i="6181"/>
  <c r="H12" i="6181"/>
  <c r="H15" i="6181"/>
  <c r="H17" i="6181"/>
  <c r="C20" i="6181"/>
  <c r="B24" i="6181"/>
  <c r="H29" i="6181"/>
  <c r="C35" i="6181"/>
  <c r="C39" i="6181"/>
  <c r="C43" i="6181"/>
  <c r="H21" i="6181"/>
  <c r="H25" i="6181"/>
  <c r="H30" i="6181"/>
  <c r="H36" i="6181"/>
  <c r="H40" i="6181"/>
  <c r="H44" i="6181"/>
  <c r="H11" i="6181"/>
  <c r="H13" i="6181"/>
  <c r="C21" i="6181"/>
  <c r="B25" i="6181"/>
  <c r="H31" i="6181"/>
  <c r="C36" i="6181"/>
  <c r="C40" i="6181"/>
  <c r="C44" i="6181"/>
  <c r="H2" i="6181"/>
  <c r="H18" i="6181"/>
  <c r="H22" i="6181"/>
  <c r="H26" i="6181"/>
  <c r="H32" i="6181"/>
  <c r="H37" i="6181"/>
  <c r="H41" i="6181"/>
  <c r="H45" i="6181"/>
  <c r="H8" i="6181"/>
  <c r="H16" i="6181"/>
  <c r="C22" i="6181"/>
  <c r="C37" i="6181"/>
  <c r="C41" i="6181"/>
  <c r="H8" i="6180"/>
  <c r="C17" i="6180"/>
  <c r="H12" i="6180"/>
  <c r="H5" i="6180"/>
  <c r="H15" i="6180"/>
  <c r="H20" i="6180"/>
  <c r="H24" i="6180"/>
  <c r="H27" i="6180"/>
  <c r="H33" i="6180"/>
  <c r="H38" i="6180"/>
  <c r="H42" i="6180"/>
  <c r="H2" i="6180"/>
  <c r="H6" i="6180"/>
  <c r="C19" i="6180"/>
  <c r="C23" i="6180"/>
  <c r="H34" i="6180"/>
  <c r="C38" i="6180"/>
  <c r="C42" i="6180"/>
  <c r="C46" i="6180"/>
  <c r="H4" i="6180"/>
  <c r="H9" i="6180"/>
  <c r="H21" i="6180"/>
  <c r="H25" i="6180"/>
  <c r="H28" i="6180"/>
  <c r="H35" i="6180"/>
  <c r="H39" i="6180"/>
  <c r="H43" i="6180"/>
  <c r="C47" i="6180"/>
  <c r="H13" i="6180"/>
  <c r="H16" i="6180"/>
  <c r="H18" i="6180"/>
  <c r="C20" i="6180"/>
  <c r="B24" i="6180"/>
  <c r="H29" i="6180"/>
  <c r="C35" i="6180"/>
  <c r="C39" i="6180"/>
  <c r="C43" i="6180"/>
  <c r="H22" i="6180"/>
  <c r="H26" i="6180"/>
  <c r="H30" i="6180"/>
  <c r="H36" i="6180"/>
  <c r="H40" i="6180"/>
  <c r="H44" i="6180"/>
  <c r="H10" i="6180"/>
  <c r="H14" i="6180"/>
  <c r="C21" i="6180"/>
  <c r="B25" i="6180"/>
  <c r="H31" i="6180"/>
  <c r="C36" i="6180"/>
  <c r="C40" i="6180"/>
  <c r="C44" i="6180"/>
  <c r="H3" i="6180"/>
  <c r="H19" i="6180"/>
  <c r="H23" i="6180"/>
  <c r="H11" i="6180"/>
  <c r="H32" i="6180"/>
  <c r="H37" i="6180"/>
  <c r="H41" i="6180"/>
  <c r="H45" i="6180"/>
  <c r="H7" i="6180"/>
  <c r="H17" i="6180"/>
  <c r="C22" i="6180"/>
  <c r="C37" i="6180"/>
  <c r="C41" i="6180"/>
  <c r="H7" i="6178"/>
  <c r="C42" i="6179"/>
  <c r="H10" i="6179"/>
  <c r="H15" i="6179"/>
  <c r="H35" i="6179"/>
  <c r="H43" i="6179"/>
  <c r="C35" i="6179"/>
  <c r="H11" i="6179"/>
  <c r="C23" i="6179"/>
  <c r="H7" i="6179"/>
  <c r="H24" i="6179"/>
  <c r="H2" i="6179"/>
  <c r="B24" i="6179"/>
  <c r="H18" i="6179"/>
  <c r="C19" i="6179"/>
  <c r="C36" i="6179"/>
  <c r="C44" i="6179"/>
  <c r="H34" i="6179"/>
  <c r="H6" i="6179"/>
  <c r="H4" i="6179"/>
  <c r="H16" i="6179"/>
  <c r="H21" i="6179"/>
  <c r="H28" i="6179"/>
  <c r="C38" i="6179"/>
  <c r="C46" i="6179"/>
  <c r="C17" i="6179"/>
  <c r="C43" i="6179"/>
  <c r="H5" i="6179"/>
  <c r="C20" i="6179"/>
  <c r="H29" i="6179"/>
  <c r="H39" i="6179"/>
  <c r="C47" i="6179"/>
  <c r="H22" i="6179"/>
  <c r="H25" i="6179"/>
  <c r="H30" i="6179"/>
  <c r="H36" i="6179"/>
  <c r="H40" i="6179"/>
  <c r="H44" i="6179"/>
  <c r="H13" i="6179"/>
  <c r="H23" i="6179"/>
  <c r="H26" i="6179"/>
  <c r="H32" i="6179"/>
  <c r="H37" i="6179"/>
  <c r="H41" i="6179"/>
  <c r="H45" i="6179"/>
  <c r="B25" i="6179"/>
  <c r="C37" i="6179"/>
  <c r="C41" i="6179"/>
  <c r="C45" i="6179"/>
  <c r="H20" i="6179"/>
  <c r="H8" i="6179"/>
  <c r="H27" i="6179"/>
  <c r="H33" i="6179"/>
  <c r="H38" i="6179"/>
  <c r="H42" i="6179"/>
  <c r="H19" i="6178"/>
  <c r="C17" i="6178"/>
  <c r="H5" i="6178"/>
  <c r="H9" i="6178"/>
  <c r="H12" i="6178"/>
  <c r="H13" i="6178"/>
  <c r="H27" i="6178"/>
  <c r="H33" i="6178"/>
  <c r="H38" i="6178"/>
  <c r="H42" i="6178"/>
  <c r="H4" i="6178"/>
  <c r="H6" i="6178"/>
  <c r="C19" i="6178"/>
  <c r="C23" i="6178"/>
  <c r="H34" i="6178"/>
  <c r="C38" i="6178"/>
  <c r="C42" i="6178"/>
  <c r="C46" i="6178"/>
  <c r="H3" i="6178"/>
  <c r="H11" i="6178"/>
  <c r="H23" i="6178"/>
  <c r="H25" i="6178"/>
  <c r="H28" i="6178"/>
  <c r="H35" i="6178"/>
  <c r="H39" i="6178"/>
  <c r="H43" i="6178"/>
  <c r="C47" i="6178"/>
  <c r="H17" i="6178"/>
  <c r="H20" i="6178"/>
  <c r="H22" i="6178"/>
  <c r="C20" i="6178"/>
  <c r="B24" i="6178"/>
  <c r="H29" i="6178"/>
  <c r="C35" i="6178"/>
  <c r="C39" i="6178"/>
  <c r="C43" i="6178"/>
  <c r="H16" i="6178"/>
  <c r="H26" i="6178"/>
  <c r="H30" i="6178"/>
  <c r="H36" i="6178"/>
  <c r="H40" i="6178"/>
  <c r="H44" i="6178"/>
  <c r="H10" i="6178"/>
  <c r="H18" i="6178"/>
  <c r="C21" i="6178"/>
  <c r="B25" i="6178"/>
  <c r="H31" i="6178"/>
  <c r="C36" i="6178"/>
  <c r="C40" i="6178"/>
  <c r="C44" i="6178"/>
  <c r="H2" i="6178"/>
  <c r="H15" i="6178"/>
  <c r="H24" i="6178"/>
  <c r="H14" i="6178"/>
  <c r="H32" i="6178"/>
  <c r="H37" i="6178"/>
  <c r="H41" i="6178"/>
  <c r="H45" i="6178"/>
  <c r="H8" i="6178"/>
  <c r="H21" i="6178"/>
  <c r="C22" i="6178"/>
  <c r="C37" i="6178"/>
  <c r="C41" i="6178"/>
  <c r="B6" i="2228" l="1"/>
  <c r="O5" i="2228" l="1"/>
  <c r="O12" i="2228"/>
  <c r="O13" i="2228"/>
  <c r="O6" i="2228"/>
  <c r="C11" i="2228" l="1"/>
  <c r="B11" i="2228"/>
  <c r="C10" i="2228"/>
  <c r="C8" i="2228"/>
  <c r="C9" i="2228"/>
  <c r="B16" i="2228" l="1"/>
  <c r="B15" i="2228"/>
  <c r="B5" i="2228"/>
  <c r="C17" i="2228"/>
  <c r="C18" i="2228"/>
  <c r="B27" i="2228"/>
  <c r="B26" i="2228" l="1"/>
  <c r="C16" i="2228"/>
  <c r="C32" i="2228" l="1"/>
  <c r="B17" i="2228"/>
  <c r="C15" i="2228"/>
  <c r="C14" i="2228"/>
  <c r="C13" i="2228"/>
  <c r="O15" i="2228"/>
  <c r="O14" i="2228"/>
  <c r="C12" i="2228"/>
  <c r="O9" i="2228"/>
  <c r="C7" i="2228"/>
  <c r="O8" i="2228"/>
  <c r="O7" i="2228"/>
  <c r="O4" i="2228"/>
  <c r="O3" i="2228"/>
  <c r="O2" i="2228"/>
  <c r="C23" i="2228" l="1"/>
  <c r="H9" i="2228"/>
  <c r="C21" i="2228"/>
  <c r="C20" i="2228"/>
  <c r="C19" i="2228"/>
  <c r="C22" i="2228"/>
  <c r="H6" i="2228"/>
  <c r="B25" i="2228"/>
  <c r="B24" i="2228"/>
  <c r="C37" i="2228"/>
  <c r="C47" i="2228"/>
  <c r="C39" i="2228"/>
  <c r="C46" i="2228"/>
  <c r="C38" i="2228"/>
  <c r="C45" i="2228"/>
  <c r="C36" i="2228"/>
  <c r="C44" i="2228"/>
  <c r="C35" i="2228"/>
  <c r="C43" i="2228"/>
  <c r="C42" i="2228"/>
  <c r="C41" i="2228"/>
  <c r="C40" i="2228"/>
  <c r="H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5" i="2228"/>
  <c r="H30" i="2228"/>
  <c r="H34" i="2228"/>
  <c r="H38" i="2228"/>
  <c r="H42" i="2228"/>
  <c r="H17" i="2228"/>
  <c r="H19" i="2228"/>
  <c r="H22" i="2228"/>
  <c r="H24" i="2228"/>
  <c r="H27" i="2228"/>
  <c r="H31" i="2228"/>
  <c r="H35" i="2228"/>
  <c r="H39" i="2228"/>
  <c r="H43" i="2228"/>
  <c r="H25" i="2228"/>
  <c r="H28" i="2228"/>
  <c r="H32" i="2228"/>
  <c r="H36" i="2228"/>
  <c r="H40" i="2228"/>
  <c r="H44" i="2228"/>
</calcChain>
</file>

<file path=xl/sharedStrings.xml><?xml version="1.0" encoding="utf-8"?>
<sst xmlns="http://schemas.openxmlformats.org/spreadsheetml/2006/main" count="2914" uniqueCount="199">
  <si>
    <t>名前</t>
    <rPh sb="0" eb="2">
      <t>ナマエ</t>
    </rPh>
    <phoneticPr fontId="2"/>
  </si>
  <si>
    <t>平均順位</t>
    <rPh sb="0" eb="4">
      <t>ヘイキンジュンイ</t>
    </rPh>
    <phoneticPr fontId="2"/>
  </si>
  <si>
    <t>1位</t>
    <rPh sb="1" eb="2">
      <t>イ</t>
    </rPh>
    <phoneticPr fontId="2"/>
  </si>
  <si>
    <t>2位</t>
    <rPh sb="1" eb="2">
      <t>イ</t>
    </rPh>
    <phoneticPr fontId="2"/>
  </si>
  <si>
    <t>3位</t>
    <rPh sb="1" eb="2">
      <t>イ</t>
    </rPh>
    <phoneticPr fontId="2"/>
  </si>
  <si>
    <t>平均アガリ点</t>
    <rPh sb="0" eb="2">
      <t>ヘイキン</t>
    </rPh>
    <rPh sb="5" eb="6">
      <t>テン</t>
    </rPh>
    <phoneticPr fontId="2"/>
  </si>
  <si>
    <t>通算スコア</t>
    <rPh sb="0" eb="2">
      <t>ツウサン</t>
    </rPh>
    <phoneticPr fontId="2"/>
  </si>
  <si>
    <t>平均スコア</t>
    <rPh sb="0" eb="2">
      <t>ヘイキン</t>
    </rPh>
    <phoneticPr fontId="2"/>
  </si>
  <si>
    <t>総局数</t>
    <rPh sb="0" eb="2">
      <t>ソウキョク</t>
    </rPh>
    <rPh sb="2" eb="3">
      <t>スウ</t>
    </rPh>
    <phoneticPr fontId="2"/>
  </si>
  <si>
    <t>対戦数</t>
    <rPh sb="0" eb="2">
      <t>タイセン</t>
    </rPh>
    <rPh sb="2" eb="3">
      <t>スウ</t>
    </rPh>
    <phoneticPr fontId="2"/>
  </si>
  <si>
    <t>アガリ</t>
    <phoneticPr fontId="2"/>
  </si>
  <si>
    <t>ロン</t>
    <phoneticPr fontId="2"/>
  </si>
  <si>
    <t>ツモ</t>
    <phoneticPr fontId="2"/>
  </si>
  <si>
    <t>放銃</t>
    <rPh sb="0" eb="2">
      <t>ホウジュウ</t>
    </rPh>
    <phoneticPr fontId="2"/>
  </si>
  <si>
    <t>トップ率</t>
    <rPh sb="3" eb="4">
      <t>リツ</t>
    </rPh>
    <phoneticPr fontId="2"/>
  </si>
  <si>
    <t>平均順位</t>
    <rPh sb="0" eb="4">
      <t>ヘイキン</t>
    </rPh>
    <phoneticPr fontId="2"/>
  </si>
  <si>
    <t>平均放銃点</t>
    <rPh sb="0" eb="2">
      <t>ヘイキン</t>
    </rPh>
    <rPh sb="2" eb="4">
      <t>ホウジュウ</t>
    </rPh>
    <rPh sb="4" eb="5">
      <t>テン</t>
    </rPh>
    <phoneticPr fontId="2"/>
  </si>
  <si>
    <t>ふっとび</t>
    <phoneticPr fontId="2"/>
  </si>
  <si>
    <t>回</t>
    <rPh sb="0" eb="1">
      <t>カイ</t>
    </rPh>
    <phoneticPr fontId="2"/>
  </si>
  <si>
    <t>一発</t>
  </si>
  <si>
    <t>ドラ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</si>
  <si>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</si>
  <si>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</si>
  <si>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</si>
  <si>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</si>
  <si>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</si>
  <si>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</si>
  <si>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</si>
  <si>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</si>
  <si>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</si>
  <si>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</si>
  <si>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</si>
  <si>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</si>
  <si>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</si>
  <si>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</si>
  <si>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</si>
  <si>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</si>
  <si>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</si>
  <si>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</si>
  <si>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</si>
  <si>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</si>
  <si>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</si>
  <si>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</si>
  <si>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</si>
  <si>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</si>
  <si>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</si>
  <si>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</si>
  <si>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</si>
  <si>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</si>
  <si>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</si>
  <si>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</si>
  <si>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</si>
  <si>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</si>
  <si>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</si>
  <si>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</si>
  <si>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</si>
  <si>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</si>
  <si>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</si>
  <si>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</si>
  <si>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</si>
  <si>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</si>
  <si>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</si>
  <si>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</si>
  <si>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</si>
  <si>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</si>
  <si>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</si>
  <si>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</si>
  <si>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</si>
  <si>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</si>
  <si>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</si>
  <si>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</si>
  <si>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</si>
  <si>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</si>
  <si>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</si>
  <si>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</si>
  <si>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</si>
  <si>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</si>
  <si>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</si>
  <si>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</si>
  <si>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</si>
  <si>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</si>
  <si>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</si>
  <si>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</si>
  <si>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</si>
  <si>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</si>
  <si>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</si>
  <si>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</si>
  <si>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</si>
  <si>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</si>
  <si>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</si>
  <si>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</si>
  <si>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</si>
  <si>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44</t>
  </si>
  <si>
    <t>45</t>
  </si>
  <si>
    <t>46</t>
  </si>
  <si>
    <t>役</t>
    <rPh sb="0" eb="1">
      <t>ヤク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</si>
  <si>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</si>
  <si>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</si>
  <si>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副露</t>
    <rPh sb="0" eb="2">
      <t>フーロ</t>
    </rPh>
    <phoneticPr fontId="2"/>
  </si>
  <si>
    <t>副露率</t>
    <rPh sb="0" eb="2">
      <t>フーロ</t>
    </rPh>
    <rPh sb="2" eb="3">
      <t>リツ</t>
    </rPh>
    <phoneticPr fontId="2"/>
  </si>
  <si>
    <t>スコア</t>
    <phoneticPr fontId="2"/>
  </si>
  <si>
    <t>リーチ</t>
    <phoneticPr fontId="2"/>
  </si>
  <si>
    <t>リーチ率</t>
    <rPh sb="3" eb="4">
      <t>リツ</t>
    </rPh>
    <phoneticPr fontId="2"/>
  </si>
  <si>
    <t>リーチ成功</t>
    <rPh sb="3" eb="5">
      <t>セイコウ</t>
    </rPh>
    <phoneticPr fontId="2"/>
  </si>
  <si>
    <t>副露成功</t>
    <rPh sb="0" eb="2">
      <t>フーロ</t>
    </rPh>
    <rPh sb="2" eb="4">
      <t>セイコウ</t>
    </rPh>
    <phoneticPr fontId="2"/>
  </si>
  <si>
    <t>リーチ成功率</t>
    <rPh sb="3" eb="5">
      <t>セイコウ</t>
    </rPh>
    <rPh sb="5" eb="6">
      <t>リツ</t>
    </rPh>
    <phoneticPr fontId="2"/>
  </si>
  <si>
    <t>Sheet1</t>
  </si>
  <si>
    <t>東1局</t>
    <rPh sb="0" eb="1">
      <t>ヒガシ</t>
    </rPh>
    <rPh sb="2" eb="3">
      <t>キョク</t>
    </rPh>
    <phoneticPr fontId="2"/>
  </si>
  <si>
    <t>東2局</t>
    <rPh sb="0" eb="1">
      <t>ヒガシ</t>
    </rPh>
    <rPh sb="2" eb="3">
      <t>キョク</t>
    </rPh>
    <phoneticPr fontId="2"/>
  </si>
  <si>
    <t>東3局</t>
    <rPh sb="0" eb="1">
      <t>ヒガシ</t>
    </rPh>
    <rPh sb="2" eb="3">
      <t>キョク</t>
    </rPh>
    <phoneticPr fontId="2"/>
  </si>
  <si>
    <t>南1局</t>
    <rPh sb="0" eb="1">
      <t>ミナミ</t>
    </rPh>
    <rPh sb="2" eb="3">
      <t>キョク</t>
    </rPh>
    <phoneticPr fontId="2"/>
  </si>
  <si>
    <t>南2局</t>
    <rPh sb="0" eb="1">
      <t>ミナミ</t>
    </rPh>
    <rPh sb="2" eb="3">
      <t>キョク</t>
    </rPh>
    <phoneticPr fontId="2"/>
  </si>
  <si>
    <t>南3局</t>
    <rPh sb="0" eb="1">
      <t>ミナミ</t>
    </rPh>
    <rPh sb="2" eb="3">
      <t>キョク</t>
    </rPh>
    <phoneticPr fontId="2"/>
  </si>
  <si>
    <t>局</t>
    <rPh sb="0" eb="1">
      <t>キョク</t>
    </rPh>
    <phoneticPr fontId="2"/>
  </si>
  <si>
    <t>平均点数</t>
    <rPh sb="0" eb="2">
      <t>ヘイキン</t>
    </rPh>
    <rPh sb="2" eb="4">
      <t>テンスウ</t>
    </rPh>
    <phoneticPr fontId="2"/>
  </si>
  <si>
    <t>最大ドラ数</t>
    <rPh sb="0" eb="2">
      <t>サイダイ</t>
    </rPh>
    <rPh sb="4" eb="5">
      <t>スウ</t>
    </rPh>
    <phoneticPr fontId="2"/>
  </si>
  <si>
    <t>チョンボ</t>
    <phoneticPr fontId="2"/>
  </si>
  <si>
    <t>ツモ率</t>
    <rPh sb="2" eb="3">
      <t>リツ</t>
    </rPh>
    <phoneticPr fontId="2"/>
  </si>
  <si>
    <t>全体</t>
  </si>
  <si>
    <t>アガリ率</t>
    <rPh sb="3" eb="4">
      <t>リ</t>
    </rPh>
    <phoneticPr fontId="2"/>
  </si>
  <si>
    <t>放銃率</t>
    <rPh sb="0" eb="3">
      <t>ホウジュウリツ</t>
    </rPh>
    <phoneticPr fontId="2"/>
  </si>
  <si>
    <t>副露成功率</t>
    <rPh sb="0" eb="2">
      <t>フーロ</t>
    </rPh>
    <rPh sb="2" eb="5">
      <t>セイコウリツ</t>
    </rPh>
    <phoneticPr fontId="2"/>
  </si>
  <si>
    <t>順位</t>
    <rPh sb="0" eb="2">
      <t>ジュンイ</t>
    </rPh>
    <phoneticPr fontId="2"/>
  </si>
  <si>
    <t>相手</t>
    <rPh sb="0" eb="2">
      <t>アイテ</t>
    </rPh>
    <phoneticPr fontId="2"/>
  </si>
  <si>
    <t>スコア</t>
    <phoneticPr fontId="2"/>
  </si>
  <si>
    <t>回数</t>
    <rPh sb="0" eb="2">
      <t>カイスウ</t>
    </rPh>
    <phoneticPr fontId="2"/>
  </si>
  <si>
    <t>合計</t>
    <rPh sb="0" eb="2">
      <t>ゴウケイ</t>
    </rPh>
    <phoneticPr fontId="2"/>
  </si>
  <si>
    <t>合計</t>
    <rPh sb="0" eb="2">
      <t>ゴウケイ</t>
    </rPh>
    <phoneticPr fontId="2"/>
  </si>
  <si>
    <t>相関</t>
    <rPh sb="0" eb="2">
      <t>ソウカン</t>
    </rPh>
    <phoneticPr fontId="2"/>
  </si>
  <si>
    <t>ラス率</t>
    <rPh sb="2" eb="3">
      <t>リツ</t>
    </rPh>
    <phoneticPr fontId="2"/>
  </si>
  <si>
    <t>東家</t>
    <rPh sb="0" eb="2">
      <t>トンチャ</t>
    </rPh>
    <phoneticPr fontId="2"/>
  </si>
  <si>
    <t>南家</t>
    <rPh sb="0" eb="2">
      <t>ナンチャ</t>
    </rPh>
    <phoneticPr fontId="2"/>
  </si>
  <si>
    <t>西家</t>
    <rPh sb="0" eb="2">
      <t>シャーチャ</t>
    </rPh>
    <phoneticPr fontId="2"/>
  </si>
  <si>
    <t>コード</t>
    <phoneticPr fontId="2"/>
  </si>
  <si>
    <t>連続アガリ</t>
    <rPh sb="0" eb="2">
      <t>レンゾク</t>
    </rPh>
    <phoneticPr fontId="2"/>
  </si>
  <si>
    <t>連続無放銃</t>
    <rPh sb="0" eb="2">
      <t>レンゾク</t>
    </rPh>
    <rPh sb="2" eb="5">
      <t>ムホウジュウ</t>
    </rPh>
    <phoneticPr fontId="2"/>
  </si>
  <si>
    <t>平均放銃点</t>
  </si>
  <si>
    <t>門前アガリ点</t>
    <rPh sb="0" eb="2">
      <t>メンゼン</t>
    </rPh>
    <rPh sb="5" eb="6">
      <t>テン</t>
    </rPh>
    <phoneticPr fontId="2"/>
  </si>
  <si>
    <t>副露アガリ点</t>
    <rPh sb="0" eb="2">
      <t>フーロ</t>
    </rPh>
    <rPh sb="5" eb="6">
      <t>テン</t>
    </rPh>
    <phoneticPr fontId="2"/>
  </si>
  <si>
    <t>2翻</t>
    <phoneticPr fontId="2"/>
  </si>
  <si>
    <t>3翻</t>
    <rPh sb="1" eb="2">
      <t>ホン</t>
    </rPh>
    <phoneticPr fontId="2"/>
  </si>
  <si>
    <t>4翻</t>
    <phoneticPr fontId="2"/>
  </si>
  <si>
    <t>5翻</t>
    <rPh sb="1" eb="2">
      <t>ホン</t>
    </rPh>
    <phoneticPr fontId="2"/>
  </si>
  <si>
    <t>1翻</t>
    <rPh sb="1" eb="2">
      <t>ホン</t>
    </rPh>
    <phoneticPr fontId="2"/>
  </si>
  <si>
    <t>6翻</t>
    <phoneticPr fontId="2"/>
  </si>
  <si>
    <t>7翻</t>
    <rPh sb="1" eb="2">
      <t>ホン</t>
    </rPh>
    <phoneticPr fontId="2"/>
  </si>
  <si>
    <t>8翻</t>
    <phoneticPr fontId="2"/>
  </si>
  <si>
    <t>9翻</t>
    <rPh sb="1" eb="2">
      <t>ホン</t>
    </rPh>
    <phoneticPr fontId="2"/>
  </si>
  <si>
    <t>10翻</t>
    <phoneticPr fontId="2"/>
  </si>
  <si>
    <t>11翻</t>
    <rPh sb="2" eb="3">
      <t>ホン</t>
    </rPh>
    <phoneticPr fontId="2"/>
  </si>
  <si>
    <t>12翻</t>
    <phoneticPr fontId="2"/>
  </si>
  <si>
    <t>13翻～</t>
    <rPh sb="2" eb="3">
      <t>ホン</t>
    </rPh>
    <phoneticPr fontId="2"/>
  </si>
  <si>
    <t>最高点</t>
    <rPh sb="0" eb="3">
      <t>サイコウテン</t>
    </rPh>
    <phoneticPr fontId="2"/>
  </si>
  <si>
    <t>副露アガリ</t>
    <rPh sb="0" eb="2">
      <t>フーロ</t>
    </rPh>
    <phoneticPr fontId="2"/>
  </si>
  <si>
    <t>ダマアガリ</t>
    <phoneticPr fontId="2"/>
  </si>
  <si>
    <t>リーチアガリ</t>
    <phoneticPr fontId="2"/>
  </si>
  <si>
    <t>4位</t>
    <rPh sb="1" eb="2">
      <t>イ</t>
    </rPh>
    <phoneticPr fontId="2"/>
  </si>
  <si>
    <t>連対</t>
    <rPh sb="0" eb="2">
      <t>レンタイ</t>
    </rPh>
    <phoneticPr fontId="2"/>
  </si>
  <si>
    <t>連対率</t>
    <rPh sb="0" eb="3">
      <t>レンタイリ</t>
    </rPh>
    <phoneticPr fontId="2"/>
  </si>
  <si>
    <t>裏ドラ</t>
    <rPh sb="0" eb="1">
      <t>ウラ</t>
    </rPh>
    <phoneticPr fontId="1"/>
  </si>
  <si>
    <t>立直</t>
    <rPh sb="0" eb="2">
      <t>リーチ</t>
    </rPh>
    <phoneticPr fontId="1"/>
  </si>
  <si>
    <t>東4局</t>
    <rPh sb="0" eb="1">
      <t>ヒガシ</t>
    </rPh>
    <rPh sb="2" eb="3">
      <t>キョク</t>
    </rPh>
    <phoneticPr fontId="2"/>
  </si>
  <si>
    <t>南4局</t>
    <rPh sb="0" eb="1">
      <t>ミナミ</t>
    </rPh>
    <rPh sb="2" eb="3">
      <t>キョク</t>
    </rPh>
    <phoneticPr fontId="2"/>
  </si>
  <si>
    <t>北家</t>
    <rPh sb="0" eb="2">
      <t>ホッケ</t>
    </rPh>
    <phoneticPr fontId="2"/>
  </si>
  <si>
    <t>2019-11-15@A.xlsm</t>
  </si>
  <si>
    <t>滝沢悠人</t>
  </si>
  <si>
    <t>大池陸斗</t>
  </si>
  <si>
    <t>百瀬成空</t>
  </si>
  <si>
    <t>松澤亮太</t>
  </si>
  <si>
    <t>2019-11-15@B.xlsm</t>
  </si>
  <si>
    <t>依田幸憲</t>
  </si>
  <si>
    <t>保谷一貴</t>
  </si>
  <si>
    <t>高野源太</t>
  </si>
  <si>
    <t>佐藤成浩</t>
  </si>
  <si>
    <t>―</t>
  </si>
  <si>
    <t>位置</t>
    <rPh sb="0" eb="2">
      <t>イチ</t>
    </rPh>
    <phoneticPr fontId="2"/>
  </si>
  <si>
    <t>翻数</t>
    <rPh sb="0" eb="1">
      <t>ファン</t>
    </rPh>
    <rPh sb="1" eb="2">
      <t>スウ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</si>
  <si>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</si>
  <si>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</si>
  <si>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2019-12-06@A.xlsm</t>
  </si>
  <si>
    <t>矢ヶ崎健</t>
  </si>
  <si>
    <t>Sheet2</t>
  </si>
  <si>
    <t>小林郁斗</t>
  </si>
  <si>
    <t>2019-12-06@B.xlsm</t>
  </si>
  <si>
    <t>福澤大地</t>
  </si>
  <si>
    <t>木角有希</t>
  </si>
  <si>
    <t>01</t>
  </si>
  <si>
    <t>02</t>
  </si>
  <si>
    <t>18</t>
  </si>
  <si>
    <t>52</t>
  </si>
  <si>
    <t>門前清自摸和</t>
  </si>
  <si>
    <t>三色同順</t>
  </si>
  <si>
    <t>国士無双十三面待ち</t>
  </si>
  <si>
    <t>四暗刻単騎待ち</t>
    <rPh sb="5" eb="6">
      <t>マ</t>
    </rPh>
    <phoneticPr fontId="1"/>
  </si>
  <si>
    <t>純正九蓮宝燈</t>
  </si>
  <si>
    <t>赤ドラ</t>
    <rPh sb="0" eb="1">
      <t>アカ</t>
    </rPh>
    <phoneticPr fontId="1"/>
  </si>
  <si>
    <t>2019-12-20@A.xlsm</t>
  </si>
  <si>
    <t>2019-12-20@B.xlsm</t>
  </si>
  <si>
    <t>高橋桜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</si>
</sst>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7">
    <font>
      <sz val="11"/>
      <color theme="1"/>
      <name val="游ゴシック"/>
      <family val="2"/>
      <charset val="128"/>
      <scheme val="minor"/>
    </font>
    <font>
      <sz val="11"/>
      <name val="Yu Gothic"/>
      <family val="3"/>
      <charset val="128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0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1" fontId="3" fillId="0" borderId="49" xfId="0" applyNumberFormat="1" applyFont="1" applyBorder="1" applyAlignment="1">
      <alignment horizontal="center" vertical="center" shrinkToFit="1"/>
    </xf>
    <xf numFmtId="1" fontId="3" fillId="0" borderId="50" xfId="0" applyNumberFormat="1" applyFont="1" applyBorder="1" applyAlignment="1">
      <alignment horizontal="center" vertical="center" shrinkToFit="1"/>
    </xf>
    <xf numFmtId="1" fontId="3" fillId="0" borderId="51" xfId="0" applyNumberFormat="1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9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 shrinkToFit="1"/>
    </xf>
    <xf numFmtId="1" fontId="3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4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3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37" xfId="0" applyNumberFormat="1" applyBorder="1" applyAlignment="1">
      <alignment horizontal="center" vertical="center" shrinkToFit="1"/>
    </xf>
    <xf numFmtId="0" fontId="0" fillId="0" borderId="23" xfId="0" applyNumberFormat="1" applyBorder="1" applyAlignment="1">
      <alignment horizontal="center" vertical="center" shrinkToFit="1"/>
    </xf>
    <xf numFmtId="0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全体!$K$2:$K$42</c:f>
              <c:numCache>
                <c:formatCode>General</c:formatCode>
                <c:ptCount val="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</c:numCache>
            </c:numRef>
          </c:xVal>
          <c:yVal>
            <c:numRef>
              <c:f>全体!$L$2:$L$42</c:f>
              <c:numCache>
                <c:formatCode>\+0.0;\-0.0;\±0</c:formatCode>
                <c:ptCount val="41"/>
                <c:pt idx="0">
                  <c:v>0</c:v>
                </c:pt>
                <c:pt idx="1">
                  <c:v>11.9</c:v>
                </c:pt>
                <c:pt idx="2">
                  <c:v>86.800000000000011</c:v>
                </c:pt>
                <c:pt idx="3">
                  <c:v>25.100000000000009</c:v>
                </c:pt>
                <c:pt idx="4">
                  <c:v>7.1054273576010019E-15</c:v>
                </c:pt>
                <c:pt idx="5">
                  <c:v>-14.199999999999992</c:v>
                </c:pt>
                <c:pt idx="6">
                  <c:v>-75.099999999999994</c:v>
                </c:pt>
                <c:pt idx="7">
                  <c:v>-61.099999999999994</c:v>
                </c:pt>
                <c:pt idx="8">
                  <c:v>7.1054273576010019E-15</c:v>
                </c:pt>
                <c:pt idx="9">
                  <c:v>-52.099999999999994</c:v>
                </c:pt>
                <c:pt idx="10">
                  <c:v>-38.499999999999993</c:v>
                </c:pt>
                <c:pt idx="11">
                  <c:v>18.100000000000009</c:v>
                </c:pt>
                <c:pt idx="12">
                  <c:v>7.1054273576010019E-15</c:v>
                </c:pt>
                <c:pt idx="13">
                  <c:v>62.500000000000007</c:v>
                </c:pt>
                <c:pt idx="14">
                  <c:v>77.300000000000011</c:v>
                </c:pt>
                <c:pt idx="15">
                  <c:v>13.000000000000014</c:v>
                </c:pt>
                <c:pt idx="16">
                  <c:v>1.4210854715202004E-14</c:v>
                </c:pt>
                <c:pt idx="17">
                  <c:v>-32.899999999999984</c:v>
                </c:pt>
                <c:pt idx="18">
                  <c:v>-91.499999999999986</c:v>
                </c:pt>
                <c:pt idx="19">
                  <c:v>-3.6999999999999886</c:v>
                </c:pt>
                <c:pt idx="20">
                  <c:v>1.1546319456101628E-14</c:v>
                </c:pt>
                <c:pt idx="21">
                  <c:v>-52.599999999999987</c:v>
                </c:pt>
                <c:pt idx="22">
                  <c:v>-68.399999999999991</c:v>
                </c:pt>
                <c:pt idx="23">
                  <c:v>-13.199999999999989</c:v>
                </c:pt>
                <c:pt idx="24">
                  <c:v>1.0658141036401503E-14</c:v>
                </c:pt>
                <c:pt idx="25">
                  <c:v>-45.899999999999991</c:v>
                </c:pt>
                <c:pt idx="26">
                  <c:v>-33.899999999999991</c:v>
                </c:pt>
                <c:pt idx="27">
                  <c:v>21.500000000000007</c:v>
                </c:pt>
                <c:pt idx="28">
                  <c:v>7.1054273576010019E-15</c:v>
                </c:pt>
                <c:pt idx="29">
                  <c:v>-50.599999999999994</c:v>
                </c:pt>
                <c:pt idx="30">
                  <c:v>7.7000000000000028</c:v>
                </c:pt>
                <c:pt idx="31">
                  <c:v>-8.2999999999999972</c:v>
                </c:pt>
                <c:pt idx="32">
                  <c:v>3.5527136788005009E-15</c:v>
                </c:pt>
                <c:pt idx="33">
                  <c:v>6.6000000000000032</c:v>
                </c:pt>
                <c:pt idx="34">
                  <c:v>68.300000000000011</c:v>
                </c:pt>
                <c:pt idx="35">
                  <c:v>53.300000000000011</c:v>
                </c:pt>
                <c:pt idx="36">
                  <c:v>-9.9999999999999858</c:v>
                </c:pt>
                <c:pt idx="37">
                  <c:v>-61.499999999999986</c:v>
                </c:pt>
                <c:pt idx="38">
                  <c:v>-52.699999999999989</c:v>
                </c:pt>
                <c:pt idx="39">
                  <c:v>7.6000000000000085</c:v>
                </c:pt>
                <c:pt idx="40">
                  <c:v>-19.999999999999993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E1-46A9-A71C-426F02FDC9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-50</c:v>
                </c:pt>
                <c:pt idx="1">
                  <c:v>25</c:v>
                </c:pt>
                <c:pt idx="2">
                  <c:v>-25</c:v>
                </c:pt>
                <c:pt idx="3">
                  <c:v>50</c:v>
                </c:pt>
                <c:pt idx="4">
                  <c:v>-27.777777777777779</c:v>
                </c:pt>
                <c:pt idx="5">
                  <c:v>-281.25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D0-454A-B1C3-46327B44C1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全体!$B$35:$B$47</c:f>
              <c:numCache>
                <c:formatCode>0\ "回"</c:formatCode>
                <c:ptCount val="13"/>
                <c:pt idx="0">
                  <c:v>10</c:v>
                </c:pt>
                <c:pt idx="1">
                  <c:v>9</c:v>
                </c:pt>
                <c:pt idx="2">
                  <c:v>15</c:v>
                </c:pt>
                <c:pt idx="3">
                  <c:v>12</c:v>
                </c:pt>
                <c:pt idx="4">
                  <c:v>8</c:v>
                </c:pt>
                <c:pt idx="5">
                  <c:v>13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EEA-4434-9F96-3A57F0A619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松澤亮太!$L$1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松澤亮太!$K$2:$K$7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松澤亮太!$L$2:$L$7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11.9</c:v>
                </c:pt>
                <c:pt idx="2">
                  <c:v>-40.200000000000003</c:v>
                </c:pt>
                <c:pt idx="3">
                  <c:v>-53.2</c:v>
                </c:pt>
                <c:pt idx="4">
                  <c:v>-41.2</c:v>
                </c:pt>
                <c:pt idx="5">
                  <c:v>17.099999999999994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7D-4560-981A-710E483485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松澤亮太!$O$1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松澤亮太!$N$2:$N$9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松澤亮太!$O$2:$O$9</c:f>
              <c:numCache>
                <c:formatCode>\+0;\-0;\±0</c:formatCode>
                <c:ptCount val="8"/>
                <c:pt idx="0">
                  <c:v>1140</c:v>
                </c:pt>
                <c:pt idx="1">
                  <c:v>-580</c:v>
                </c:pt>
                <c:pt idx="2">
                  <c:v>1400</c:v>
                </c:pt>
                <c:pt idx="3">
                  <c:v>380</c:v>
                </c:pt>
                <c:pt idx="4">
                  <c:v>1040</c:v>
                </c:pt>
                <c:pt idx="5">
                  <c:v>-1125</c:v>
                </c:pt>
                <c:pt idx="6">
                  <c:v>-2433.3333333333335</c:v>
                </c:pt>
                <c:pt idx="7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089-4BBF-B1C4-75C8512254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松澤亮太!$A$35:$A$47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松澤亮太!$B$35:$B$47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C5-4DD4-A0C6-8433B67CAF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滝沢悠人!$L$1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滝沢悠人!$K$2:$K$7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滝沢悠人!$L$2:$L$7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74.900000000000006</c:v>
                </c:pt>
                <c:pt idx="2">
                  <c:v>56.800000000000004</c:v>
                </c:pt>
                <c:pt idx="3">
                  <c:v>-7.4999999999999929</c:v>
                </c:pt>
                <c:pt idx="4">
                  <c:v>-0.89999999999999325</c:v>
                </c:pt>
                <c:pt idx="5">
                  <c:v>-28.499999999999993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66-4391-B23C-07C5CDA3DD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滝沢悠人!$O$1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滝沢悠人!$N$2:$N$9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滝沢悠人!$O$2:$O$9</c:f>
              <c:numCache>
                <c:formatCode>\+0;\-0;\±0</c:formatCode>
                <c:ptCount val="8"/>
                <c:pt idx="0">
                  <c:v>-2160</c:v>
                </c:pt>
                <c:pt idx="1">
                  <c:v>2200</c:v>
                </c:pt>
                <c:pt idx="2">
                  <c:v>1300</c:v>
                </c:pt>
                <c:pt idx="3">
                  <c:v>-440</c:v>
                </c:pt>
                <c:pt idx="4">
                  <c:v>-1500</c:v>
                </c:pt>
                <c:pt idx="5">
                  <c:v>120</c:v>
                </c:pt>
                <c:pt idx="6">
                  <c:v>-1666.6666666666667</c:v>
                </c:pt>
                <c:pt idx="7">
                  <c:v>4900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306-490F-AEA8-6A50B2B61B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滝沢悠人!$A$35:$A$47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滝沢悠人!$B$35:$B$47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2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34D-4C0E-BF01-B47FD5F93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大池陸斗!$L$1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大池陸斗!$K$2:$K$6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大池陸斗!$L$2:$L$6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-61.7</c:v>
                </c:pt>
                <c:pt idx="2">
                  <c:v>26.099999999999994</c:v>
                </c:pt>
                <c:pt idx="3">
                  <c:v>81.5</c:v>
                </c:pt>
                <c:pt idx="4">
                  <c:v>65.5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42-4414-9C9C-A233CE818E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大池陸斗!$O$1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大池陸斗!$N$2:$N$9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大池陸斗!$O$2:$O$9</c:f>
              <c:numCache>
                <c:formatCode>\+0;\-0;\±0</c:formatCode>
                <c:ptCount val="8"/>
                <c:pt idx="0">
                  <c:v>-475</c:v>
                </c:pt>
                <c:pt idx="1">
                  <c:v>-400</c:v>
                </c:pt>
                <c:pt idx="2">
                  <c:v>4350</c:v>
                </c:pt>
                <c:pt idx="3">
                  <c:v>3075</c:v>
                </c:pt>
                <c:pt idx="4">
                  <c:v>1425</c:v>
                </c:pt>
                <c:pt idx="5">
                  <c:v>233.33333333333334</c:v>
                </c:pt>
                <c:pt idx="6">
                  <c:v>-2300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28-4F06-955E-BC710D96AF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大池陸斗!$A$35:$A$47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大池陸斗!$B$35:$B$47</c:f>
              <c:numCache>
                <c:formatCode>0\ "回"</c:formatCode>
                <c:ptCount val="13"/>
                <c:pt idx="0">
                  <c:v>2</c:v>
                </c:pt>
                <c:pt idx="1">
                  <c:v>0</c:v>
                </c:pt>
                <c:pt idx="2">
                  <c:v>2</c:v>
                </c:pt>
                <c:pt idx="3">
                  <c:v>3</c:v>
                </c:pt>
                <c:pt idx="4">
                  <c:v>1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9F-40C3-B702-1A50582859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百瀬成空!$L$1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百瀬成空!$K$2:$K$5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百瀬成空!$L$2:$L$5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-25.1</c:v>
                </c:pt>
                <c:pt idx="2">
                  <c:v>-75.7</c:v>
                </c:pt>
                <c:pt idx="3">
                  <c:v>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69-4CD8-AA4A-5576A305DD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百瀬成空!$O$1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百瀬成空!$N$2:$N$9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百瀬成空!$O$2:$O$9</c:f>
              <c:numCache>
                <c:formatCode>\+0;\-0;\±0</c:formatCode>
                <c:ptCount val="8"/>
                <c:pt idx="0">
                  <c:v>533.33333333333337</c:v>
                </c:pt>
                <c:pt idx="1">
                  <c:v>-2800</c:v>
                </c:pt>
                <c:pt idx="2">
                  <c:v>-4500</c:v>
                </c:pt>
                <c:pt idx="3">
                  <c:v>-1033.3333333333333</c:v>
                </c:pt>
                <c:pt idx="4">
                  <c:v>1533.3333333333333</c:v>
                </c:pt>
                <c:pt idx="5">
                  <c:v>4366.666666666667</c:v>
                </c:pt>
                <c:pt idx="6">
                  <c:v>-650</c:v>
                </c:pt>
                <c:pt idx="7">
                  <c:v>-2000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4DA-4537-A777-D1380F1BF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百瀬成空!$A$35:$A$47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百瀬成空!$B$35:$B$47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41-488B-9B17-24F984F0BC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佐藤成浩!$L$1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佐藤成浩!$K$2:$K$7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佐藤成浩!$L$2:$L$7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-14.2</c:v>
                </c:pt>
                <c:pt idx="2">
                  <c:v>0.60000000000000142</c:v>
                </c:pt>
                <c:pt idx="3">
                  <c:v>-32.299999999999997</c:v>
                </c:pt>
                <c:pt idx="4">
                  <c:v>-23.999999999999996</c:v>
                </c:pt>
                <c:pt idx="5">
                  <c:v>-39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E5-41DE-8CBF-0AFF78358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佐藤成浩!$O$1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佐藤成浩!$N$2:$N$9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佐藤成浩!$O$2:$O$9</c:f>
              <c:numCache>
                <c:formatCode>\+0;\-0;\±0</c:formatCode>
                <c:ptCount val="8"/>
                <c:pt idx="0">
                  <c:v>4200</c:v>
                </c:pt>
                <c:pt idx="1">
                  <c:v>-260</c:v>
                </c:pt>
                <c:pt idx="2">
                  <c:v>-1860</c:v>
                </c:pt>
                <c:pt idx="3">
                  <c:v>-2280</c:v>
                </c:pt>
                <c:pt idx="4">
                  <c:v>-2250</c:v>
                </c:pt>
                <c:pt idx="5">
                  <c:v>2575</c:v>
                </c:pt>
                <c:pt idx="6">
                  <c:v>50</c:v>
                </c:pt>
                <c:pt idx="7">
                  <c:v>-2250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97-467F-8DB6-9A137D2AE5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佐藤成浩!$A$35:$A$47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佐藤成浩!$B$35:$B$47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3AE-4306-8544-0C288E29F8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依田幸憲!$L$1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依田幸憲!$K$2:$K$4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依田幸憲!$L$2:$L$4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-60.9</c:v>
                </c:pt>
                <c:pt idx="2">
                  <c:v>-57.199999999999996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C6-4562-A98F-486551D19B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依田幸憲!$O$1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依田幸憲!$N$2:$N$9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依田幸憲!$O$2:$O$9</c:f>
              <c:numCache>
                <c:formatCode>\+0;\-0;\±0</c:formatCode>
                <c:ptCount val="8"/>
                <c:pt idx="0">
                  <c:v>-11300</c:v>
                </c:pt>
                <c:pt idx="1">
                  <c:v>-1000</c:v>
                </c:pt>
                <c:pt idx="2">
                  <c:v>-1850</c:v>
                </c:pt>
                <c:pt idx="3">
                  <c:v>-700</c:v>
                </c:pt>
                <c:pt idx="4">
                  <c:v>0</c:v>
                </c:pt>
                <c:pt idx="5">
                  <c:v>-3000</c:v>
                </c:pt>
                <c:pt idx="6">
                  <c:v>4000</c:v>
                </c:pt>
                <c:pt idx="7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EE2-4C18-9A23-423F765438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依田幸憲!$A$35:$A$47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依田幸憲!$B$35:$B$47</c:f>
              <c:numCache>
                <c:formatCode>0\ "回"</c:formatCode>
                <c:ptCount val="13"/>
                <c:pt idx="0">
                  <c:v>2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CD-4B0B-924E-5FFDD7DC1D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保谷一貴!$L$1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保谷一貴!$K$2:$K$3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保谷一貴!$L$2:$L$3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EC-41AF-BF90-AA914DC388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保谷一貴!$O$1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保谷一貴!$N$2:$N$9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保谷一貴!$O$2:$O$9</c:f>
              <c:numCache>
                <c:formatCode>\+0;\-0;\±0</c:formatCode>
                <c:ptCount val="8"/>
                <c:pt idx="0">
                  <c:v>-2500</c:v>
                </c:pt>
                <c:pt idx="1">
                  <c:v>13000</c:v>
                </c:pt>
                <c:pt idx="2">
                  <c:v>-6000</c:v>
                </c:pt>
                <c:pt idx="3">
                  <c:v>4500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37-45C0-B060-C34B2B47E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保谷一貴!$A$35:$A$47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保谷一貴!$B$35:$B$47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41-45C6-B86C-E7B37F7B12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高野源太!$L$1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高野源太!$K$2:$K$7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高野源太!$L$2:$L$7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61.1</c:v>
                </c:pt>
                <c:pt idx="2">
                  <c:v>117.7</c:v>
                </c:pt>
                <c:pt idx="3">
                  <c:v>130.9</c:v>
                </c:pt>
                <c:pt idx="4">
                  <c:v>67.600000000000009</c:v>
                </c:pt>
                <c:pt idx="5">
                  <c:v>127.9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11-4F96-8869-97B039ADD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高野源太!$O$1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高野源太!$N$2:$N$9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高野源太!$O$2:$O$9</c:f>
              <c:numCache>
                <c:formatCode>\+0;\-0;\±0</c:formatCode>
                <c:ptCount val="8"/>
                <c:pt idx="0">
                  <c:v>2280</c:v>
                </c:pt>
                <c:pt idx="1">
                  <c:v>-2140</c:v>
                </c:pt>
                <c:pt idx="2">
                  <c:v>1740</c:v>
                </c:pt>
                <c:pt idx="3">
                  <c:v>3400</c:v>
                </c:pt>
                <c:pt idx="4">
                  <c:v>25</c:v>
                </c:pt>
                <c:pt idx="5">
                  <c:v>-2650</c:v>
                </c:pt>
                <c:pt idx="6">
                  <c:v>-3000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9B-4E3F-B7A4-63929A2179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高野源太!$A$35:$A$47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高野源太!$B$35:$B$47</c:f>
              <c:numCache>
                <c:formatCode>0\ "回"</c:formatCode>
                <c:ptCount val="13"/>
                <c:pt idx="0">
                  <c:v>3</c:v>
                </c:pt>
                <c:pt idx="1">
                  <c:v>2</c:v>
                </c:pt>
                <c:pt idx="2">
                  <c:v>1</c:v>
                </c:pt>
                <c:pt idx="3">
                  <c:v>3</c:v>
                </c:pt>
                <c:pt idx="4">
                  <c:v>1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3CA-4E8C-8455-F305F7FEA6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矢ヶ崎健!$L$1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矢ヶ崎健!$K$2:$K$4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矢ヶ崎健!$L$2:$L$4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13.6</c:v>
                </c:pt>
                <c:pt idx="2">
                  <c:v>-2.2000000000000011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87-423C-9DA1-E154A9859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矢ヶ崎健!$O$1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矢ヶ崎健!$N$2:$N$9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矢ヶ崎健!$O$2:$O$9</c:f>
              <c:numCache>
                <c:formatCode>\+0;\-0;\±0</c:formatCode>
                <c:ptCount val="8"/>
                <c:pt idx="0">
                  <c:v>-3750</c:v>
                </c:pt>
                <c:pt idx="1">
                  <c:v>-750</c:v>
                </c:pt>
                <c:pt idx="2">
                  <c:v>5150</c:v>
                </c:pt>
                <c:pt idx="3">
                  <c:v>2450</c:v>
                </c:pt>
                <c:pt idx="4">
                  <c:v>-500</c:v>
                </c:pt>
                <c:pt idx="5">
                  <c:v>-3250</c:v>
                </c:pt>
                <c:pt idx="6">
                  <c:v>13000</c:v>
                </c:pt>
                <c:pt idx="7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FCE-4EBD-B64C-F624836F46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矢ヶ崎健!$A$35:$A$47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矢ヶ崎健!$B$35:$B$47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8A-4E43-BB8A-A6868E5A57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小林郁斗!$L$1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小林郁斗!$K$2:$K$4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小林郁斗!$L$2:$L$4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62.5</c:v>
                </c:pt>
                <c:pt idx="2">
                  <c:v>3.8999999999999986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88-4BBB-8DEB-96FAE52E22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小林郁斗!$O$1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小林郁斗!$N$2:$N$9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小林郁斗!$O$2:$O$9</c:f>
              <c:numCache>
                <c:formatCode>\+0;\-0;\±0</c:formatCode>
                <c:ptCount val="8"/>
                <c:pt idx="0">
                  <c:v>4450</c:v>
                </c:pt>
                <c:pt idx="1">
                  <c:v>-1300</c:v>
                </c:pt>
                <c:pt idx="2">
                  <c:v>-2450</c:v>
                </c:pt>
                <c:pt idx="3">
                  <c:v>-4500</c:v>
                </c:pt>
                <c:pt idx="4">
                  <c:v>0</c:v>
                </c:pt>
                <c:pt idx="5">
                  <c:v>-2500</c:v>
                </c:pt>
                <c:pt idx="6">
                  <c:v>3500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BC-4374-8ED8-2AF2883990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小林郁斗!$A$35:$A$47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小林郁斗!$B$35:$B$47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85-40A0-9B73-80120E7F4E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木角有希!$L$1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木角有希!$K$2:$K$3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木角有希!$L$2:$L$3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2D-466C-B8EF-C72AD58E93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木角有希!$O$1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木角有希!$N$2:$N$9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木角有希!$O$2:$O$9</c:f>
              <c:numCache>
                <c:formatCode>\+0;\-0;\±0</c:formatCode>
                <c:ptCount val="8"/>
                <c:pt idx="0">
                  <c:v>-1500</c:v>
                </c:pt>
                <c:pt idx="1">
                  <c:v>-8600</c:v>
                </c:pt>
                <c:pt idx="2">
                  <c:v>0</c:v>
                </c:pt>
                <c:pt idx="3">
                  <c:v>-5200</c:v>
                </c:pt>
                <c:pt idx="4">
                  <c:v>-2000</c:v>
                </c:pt>
                <c:pt idx="5">
                  <c:v>-300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39C-406B-A35F-EEB4158944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木角有希!$A$35:$A$47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木角有希!$B$35:$B$47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A1-4568-98A5-F12EF5A3F0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福澤大地!$L$1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福澤大地!$K$2:$K$5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福澤大地!$L$2:$L$5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55.2</c:v>
                </c:pt>
                <c:pt idx="2">
                  <c:v>33.700000000000003</c:v>
                </c:pt>
                <c:pt idx="3">
                  <c:v>42.5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C5-4B67-AB60-B7CC30E07B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福澤大地!$O$1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福澤大地!$N$2:$N$9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福澤大地!$O$2:$O$9</c:f>
              <c:numCache>
                <c:formatCode>\+0;\-0;\±0</c:formatCode>
                <c:ptCount val="8"/>
                <c:pt idx="0">
                  <c:v>1666.6666666666667</c:v>
                </c:pt>
                <c:pt idx="1">
                  <c:v>5700</c:v>
                </c:pt>
                <c:pt idx="2">
                  <c:v>-4133.333333333333</c:v>
                </c:pt>
                <c:pt idx="3">
                  <c:v>-766.66666666666663</c:v>
                </c:pt>
                <c:pt idx="4">
                  <c:v>966.66666666666663</c:v>
                </c:pt>
                <c:pt idx="5">
                  <c:v>-1400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E09-4E18-888D-F458000865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福澤大地!$A$35:$A$47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福澤大地!$B$35:$B$47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4B-48E4-8F2F-3AF82DA4ED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高橋桜!$L$1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高橋桜!$K$2:$K$4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高橋桜!$L$2:$L$4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-45.9</c:v>
                </c:pt>
                <c:pt idx="2">
                  <c:v>-97.4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3AF-46A4-83FA-4E85DC65E0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高橋桜!$O$1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高橋桜!$N$2:$N$9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高橋桜!$O$2:$O$9</c:f>
              <c:numCache>
                <c:formatCode>\+0;\-0;\±0</c:formatCode>
                <c:ptCount val="8"/>
                <c:pt idx="0">
                  <c:v>-4400</c:v>
                </c:pt>
                <c:pt idx="1">
                  <c:v>-250</c:v>
                </c:pt>
                <c:pt idx="2">
                  <c:v>-550</c:v>
                </c:pt>
                <c:pt idx="3">
                  <c:v>-2000</c:v>
                </c:pt>
                <c:pt idx="4">
                  <c:v>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9D-48C4-8260-C8355CF7DC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高橋桜!$A$35:$A$47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高橋桜!$B$35:$B$47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FC-409F-BA29-19B791F5E8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22860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557457E-1872-49EC-B84F-13D8DB8D32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2680EDF-9397-4511-A8B0-F928B52D88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D812755C-F26B-46A6-9252-A4F56100E6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1978112-19AA-4978-BD2F-A60F72498A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9D363BF-E33A-4907-991B-B2AA6D089E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E43C4F7-C11B-497A-8500-E7302A08C0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6D962D5-63C0-46E5-AF00-E80F867E9F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35128D6-A8B3-439C-875E-8C663CA1B9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DC31D1A8-F153-4C18-8890-5CB0BDF5DE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BC605C3-D103-4040-A0AD-4B66A91D53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7C5E01A-6617-4C69-B477-5401E303DE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FA5ED716-B146-4EA8-980B-2C55D3115D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71308C9-B94B-4F49-8945-61D67E9916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5207FB7-27D7-4684-AF82-E974CB2942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8B7F7476-FE65-434C-BED3-C9249F6A78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EF3A9FB-FBB9-4723-98B3-A80A00F72D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ABA5023-7A3B-48DF-8D9F-C5EDB4AC48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CC3F812-BA74-4DDA-A459-5216EABE84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03347A1-7D8D-4651-B9B5-256A3168EF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E9466B8-2A9E-40CC-8FC7-7847CF5B14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B13F32B2-3690-4C22-87CD-16CA4CB247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186DD7A-9D00-4573-9BB6-965DD6B463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A6FB330-23A9-42F5-BFE1-AD249A2BF3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77E8561-6ECE-476D-967E-439020BE6F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2FDD89-F703-43ED-ABAA-C85DCACE6C6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CC66E65-6D14-453D-980C-75E0DEB7A3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3BB00696-ACD8-4C30-96D1-A0EC5A880D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C123502-0E26-44CA-951F-8F71314522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756140C-A3F6-473F-9801-A4CC9813A3D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6B3DAB52-531E-4392-8390-C68DA6A035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0055E9F-FBB7-4288-A786-9895165C9E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FE01842-3ACE-4394-8019-D80A140E7C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F0434FF1-21D2-459E-92B0-D113C2505A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5012F7D-0BBF-4824-BB95-C48503F239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73AA200-31A4-4455-AA69-BBB52E31A7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B44BC765-4C17-4741-97F7-D1E4AB863D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0D3C0DF-3176-4250-9303-9F2B723B23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628494D-609C-437D-9191-E805B1A6A5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9C2834C0-C55F-4B6B-B5DD-4D01A813B8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D80AD90-8745-4DA1-8B37-067B105A189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4F891DB-9E1C-4CBE-9DD9-4F747351A2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E7E8525-85A2-44D7-B361-0DE2C5A7C7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D7"/>
  <sheetViews>
    <sheetView workbookViewId="0"/>
  </sheetViews>
  <sheetFormatPr defaultColWidth="9" defaultRowHeight="18"/>
  <cols>
    <col min="1" max="1" width="19.19921875" style="24" customWidth="1"/>
    <col min="2" max="2" width="19.19921875" style="25" customWidth="1"/>
    <col min="3" max="16384" width="9" style="24"/>
  </cols>
  <sheetData>
    <row r="1" spans="1:4">
      <c r="A1" s="23">
        <v>32874</v>
      </c>
      <c r="B1" s="23">
        <v>2958465</v>
      </c>
    </row>
    <row r="2" spans="1:4">
      <c r="A2" s="24" t="s">
        <v>164</v>
      </c>
      <c r="B2" s="25">
        <v>43801.602060185185</v>
      </c>
      <c r="C2" s="24" t="s">
        <v>106</v>
      </c>
    </row>
    <row r="3" spans="1:4">
      <c r="A3" s="24" t="s">
        <v>169</v>
      </c>
      <c r="B3" s="25">
        <v>43801.602060185185</v>
      </c>
      <c r="C3" s="24" t="s">
        <v>106</v>
      </c>
    </row>
    <row r="4" spans="1:4">
      <c r="A4" s="24" t="s">
        <v>179</v>
      </c>
      <c r="B4" s="25">
        <v>43810.397581018522</v>
      </c>
      <c r="C4" s="24" t="s">
        <v>106</v>
      </c>
      <c r="D4" s="24" t="s">
        <v>181</v>
      </c>
    </row>
    <row r="5" spans="1:4">
      <c r="A5" s="24" t="s">
        <v>183</v>
      </c>
      <c r="B5" s="25">
        <v>43813.948194444441</v>
      </c>
      <c r="C5" s="24" t="s">
        <v>106</v>
      </c>
      <c r="D5" s="24" t="s">
        <v>181</v>
      </c>
    </row>
    <row r="6" spans="1:4">
      <c r="A6" s="24" t="s">
        <v>196</v>
      </c>
      <c r="B6" s="25">
        <v>43820.714074074072</v>
      </c>
      <c r="C6" s="24" t="s">
        <v>106</v>
      </c>
      <c r="D6" s="24" t="s">
        <v>181</v>
      </c>
    </row>
    <row r="7" spans="1:4">
      <c r="A7" s="24" t="s">
        <v>197</v>
      </c>
      <c r="B7" s="25">
        <v>43820.719050925924</v>
      </c>
      <c r="C7" s="24" t="s">
        <v>106</v>
      </c>
      <c r="D7" s="24" t="s">
        <v>181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4"/>
  <sheetViews>
    <sheetView workbookViewId="0"/>
  </sheetViews>
  <sheetFormatPr defaultRowHeight="18"/>
  <cols>
    <col min="1" max="1" width="11" customWidth="1"/>
    <col min="2" max="2" width="9" customWidth="1"/>
  </cols>
  <sheetData>
    <row r="1" spans="1:2">
      <c r="A1" t="s">
        <v>118</v>
      </c>
      <c r="B1">
        <v>40</v>
      </c>
    </row>
    <row r="2" spans="1:2">
      <c r="A2" t="s">
        <v>168</v>
      </c>
      <c r="B2">
        <v>5</v>
      </c>
    </row>
    <row r="3" spans="1:2">
      <c r="A3" t="s">
        <v>165</v>
      </c>
      <c r="B3">
        <v>5</v>
      </c>
    </row>
    <row r="4" spans="1:2">
      <c r="A4" t="s">
        <v>166</v>
      </c>
      <c r="B4">
        <v>4</v>
      </c>
    </row>
    <row r="5" spans="1:2">
      <c r="A5" t="s">
        <v>167</v>
      </c>
      <c r="B5">
        <v>3</v>
      </c>
    </row>
    <row r="6" spans="1:2">
      <c r="A6" t="s">
        <v>173</v>
      </c>
      <c r="B6">
        <v>5</v>
      </c>
    </row>
    <row r="7" spans="1:2">
      <c r="A7" t="s">
        <v>170</v>
      </c>
      <c r="B7">
        <v>2</v>
      </c>
    </row>
    <row r="8" spans="1:2">
      <c r="A8" t="s">
        <v>171</v>
      </c>
      <c r="B8">
        <v>1</v>
      </c>
    </row>
    <row r="9" spans="1:2">
      <c r="A9" t="s">
        <v>172</v>
      </c>
      <c r="B9">
        <v>5</v>
      </c>
    </row>
    <row r="10" spans="1:2">
      <c r="A10" t="s">
        <v>180</v>
      </c>
      <c r="B10">
        <v>2</v>
      </c>
    </row>
    <row r="11" spans="1:2">
      <c r="A11" t="s">
        <v>182</v>
      </c>
      <c r="B11">
        <v>2</v>
      </c>
    </row>
    <row r="12" spans="1:2">
      <c r="A12" t="s">
        <v>185</v>
      </c>
      <c r="B12">
        <v>1</v>
      </c>
    </row>
    <row r="13" spans="1:2">
      <c r="A13" t="s">
        <v>184</v>
      </c>
      <c r="B13">
        <v>3</v>
      </c>
    </row>
    <row r="14" spans="1:2">
      <c r="A14" t="s">
        <v>198</v>
      </c>
      <c r="B14">
        <v>2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6"/>
  <sheetViews>
    <sheetView showGridLines="0" tabSelected="1" zoomScale="130" zoomScaleNormal="130" workbookViewId="0"/>
  </sheetViews>
  <sheetFormatPr defaultColWidth="9" defaultRowHeight="18"/>
  <cols>
    <col min="1" max="1" width="6" style="68" customWidth="1"/>
    <col min="2" max="2" width="10.69921875" style="69" customWidth="1"/>
    <col min="3" max="3" width="10.69921875" style="159" customWidth="1"/>
    <col min="4" max="4" width="10.69921875" style="69" customWidth="1"/>
    <col min="5" max="5" width="10.69921875" style="70" customWidth="1"/>
    <col min="6" max="6" width="10.69921875" style="71" customWidth="1"/>
    <col min="7" max="7" width="10.69921875" style="83" customWidth="1"/>
    <col min="8" max="8" width="10.69921875" style="71" customWidth="1"/>
    <col min="9" max="9" width="10.69921875" style="72" customWidth="1"/>
    <col min="10" max="10" width="10.69921875" style="71" customWidth="1"/>
    <col min="11" max="11" width="10.69921875" style="73" customWidth="1"/>
    <col min="12" max="12" width="10.69921875" style="71" customWidth="1"/>
    <col min="13" max="13" width="10.69921875" style="73" customWidth="1"/>
    <col min="14" max="14" width="10.69921875" style="71" customWidth="1"/>
    <col min="15" max="15" width="10.69921875" style="73" customWidth="1"/>
    <col min="16" max="16" width="10.69921875" style="71" customWidth="1"/>
    <col min="17" max="17" width="10.69921875" style="74" customWidth="1"/>
    <col min="18" max="18" width="10.69921875" style="71" customWidth="1"/>
    <col min="19" max="19" width="10.69921875" style="74" customWidth="1"/>
    <col min="20" max="20" width="10.69921875" style="71" customWidth="1"/>
    <col min="21" max="21" width="10.69921875" style="75" customWidth="1"/>
    <col min="22" max="22" width="10.69921875" style="71" customWidth="1"/>
    <col min="23" max="23" width="10.69921875" style="75" customWidth="1"/>
    <col min="24" max="24" width="10.69921875" style="71" customWidth="1"/>
    <col min="25" max="25" width="10.69921875" style="74" customWidth="1"/>
    <col min="26" max="26" width="10.69921875" style="71" customWidth="1"/>
    <col min="27" max="27" width="10.69921875" style="74" customWidth="1"/>
    <col min="28" max="28" width="10.69921875" style="71" customWidth="1"/>
    <col min="29" max="29" width="10.69921875" style="74" customWidth="1"/>
    <col min="30" max="30" width="10.69921875" style="71" customWidth="1"/>
    <col min="31" max="31" width="10.69921875" style="74" customWidth="1"/>
    <col min="32" max="32" width="10.69921875" style="71" customWidth="1"/>
    <col min="33" max="33" width="10.69921875" style="74" customWidth="1"/>
    <col min="34" max="34" width="10.69921875" style="71" customWidth="1"/>
    <col min="35" max="35" width="10.69921875" style="78" customWidth="1"/>
    <col min="36" max="16384" width="9" style="59"/>
  </cols>
  <sheetData>
    <row r="1" spans="1:35">
      <c r="A1" s="58"/>
      <c r="B1" s="136" t="s">
        <v>9</v>
      </c>
      <c r="C1" s="137"/>
      <c r="D1" s="136" t="s">
        <v>6</v>
      </c>
      <c r="E1" s="137"/>
      <c r="F1" s="136" t="s">
        <v>7</v>
      </c>
      <c r="G1" s="137"/>
      <c r="H1" s="136" t="s">
        <v>15</v>
      </c>
      <c r="I1" s="137"/>
      <c r="J1" s="136" t="s">
        <v>14</v>
      </c>
      <c r="K1" s="137"/>
      <c r="L1" s="136" t="s">
        <v>129</v>
      </c>
      <c r="M1" s="137"/>
      <c r="N1" s="136" t="s">
        <v>158</v>
      </c>
      <c r="O1" s="137"/>
      <c r="P1" s="136" t="s">
        <v>119</v>
      </c>
      <c r="Q1" s="137"/>
      <c r="R1" s="136" t="s">
        <v>120</v>
      </c>
      <c r="S1" s="137"/>
      <c r="T1" s="136" t="s">
        <v>5</v>
      </c>
      <c r="U1" s="137"/>
      <c r="V1" s="136" t="s">
        <v>16</v>
      </c>
      <c r="W1" s="137"/>
      <c r="X1" s="136" t="s">
        <v>102</v>
      </c>
      <c r="Y1" s="137"/>
      <c r="Z1" s="136" t="s">
        <v>99</v>
      </c>
      <c r="AA1" s="137"/>
      <c r="AB1" s="136" t="s">
        <v>105</v>
      </c>
      <c r="AC1" s="137"/>
      <c r="AD1" s="136" t="s">
        <v>121</v>
      </c>
      <c r="AE1" s="137"/>
      <c r="AF1" s="136" t="s">
        <v>117</v>
      </c>
      <c r="AG1" s="137"/>
      <c r="AH1" s="136" t="s">
        <v>152</v>
      </c>
      <c r="AI1" s="137"/>
    </row>
    <row r="2" spans="1:35">
      <c r="A2" s="58" t="s">
        <v>128</v>
      </c>
      <c r="B2" s="138"/>
      <c r="C2" s="139"/>
      <c r="D2" s="138"/>
      <c r="E2" s="139"/>
      <c r="F2" s="138"/>
      <c r="G2" s="139"/>
      <c r="H2" s="140" t="s">
        <v>174</v>
      </c>
      <c r="I2" s="141"/>
      <c r="J2" s="140" t="s">
        <v>174</v>
      </c>
      <c r="K2" s="141"/>
      <c r="L2" s="140" t="s">
        <v>174</v>
      </c>
      <c r="M2" s="141"/>
      <c r="N2" s="140" t="s">
        <v>174</v>
      </c>
      <c r="O2" s="141"/>
      <c r="P2" s="140" t="s">
        <v>174</v>
      </c>
      <c r="Q2" s="141"/>
      <c r="R2" s="140" t="s">
        <v>174</v>
      </c>
      <c r="S2" s="141"/>
      <c r="T2" s="140" t="s">
        <v>174</v>
      </c>
      <c r="U2" s="141"/>
      <c r="V2" s="140" t="s">
        <v>174</v>
      </c>
      <c r="W2" s="141"/>
      <c r="X2" s="140" t="s">
        <v>174</v>
      </c>
      <c r="Y2" s="141"/>
      <c r="Z2" s="140" t="s">
        <v>174</v>
      </c>
      <c r="AA2" s="141"/>
      <c r="AB2" s="140" t="s">
        <v>174</v>
      </c>
      <c r="AC2" s="141"/>
      <c r="AD2" s="140" t="s">
        <v>174</v>
      </c>
      <c r="AE2" s="141"/>
      <c r="AF2" s="140" t="s">
        <v>174</v>
      </c>
      <c r="AG2" s="141"/>
      <c r="AH2" s="140" t="s">
        <v>174</v>
      </c>
      <c r="AI2" s="141"/>
    </row>
    <row r="3" spans="1:35">
      <c r="A3" s="60">
        <v>1</v>
      </c>
      <c r="B3" s="61" t="s">
        <v>118</v>
      </c>
      <c r="C3" s="158">
        <v>10</v>
      </c>
      <c r="D3" s="61" t="s">
        <v>172</v>
      </c>
      <c r="E3" s="62">
        <v>127.9</v>
      </c>
      <c r="F3" s="63" t="s">
        <v>172</v>
      </c>
      <c r="G3" s="82">
        <v>25.580000000000002</v>
      </c>
      <c r="H3" s="63" t="s">
        <v>172</v>
      </c>
      <c r="I3" s="64">
        <v>1.8</v>
      </c>
      <c r="J3" s="63" t="s">
        <v>172</v>
      </c>
      <c r="K3" s="65">
        <v>0.6</v>
      </c>
      <c r="L3" s="63" t="s">
        <v>173</v>
      </c>
      <c r="M3" s="65">
        <v>0</v>
      </c>
      <c r="N3" s="63" t="s">
        <v>171</v>
      </c>
      <c r="O3" s="65">
        <v>1</v>
      </c>
      <c r="P3" s="63" t="s">
        <v>172</v>
      </c>
      <c r="Q3" s="66">
        <v>0.35135135135135137</v>
      </c>
      <c r="R3" s="63" t="s">
        <v>171</v>
      </c>
      <c r="S3" s="66">
        <v>0</v>
      </c>
      <c r="T3" s="63" t="s">
        <v>173</v>
      </c>
      <c r="U3" s="67">
        <v>9680</v>
      </c>
      <c r="V3" s="63" t="s">
        <v>171</v>
      </c>
      <c r="W3" s="67">
        <v>0</v>
      </c>
      <c r="X3" s="63" t="s">
        <v>171</v>
      </c>
      <c r="Y3" s="66">
        <v>0.2857142857142857</v>
      </c>
      <c r="Z3" s="63" t="s">
        <v>198</v>
      </c>
      <c r="AA3" s="66">
        <v>0.33333333333333331</v>
      </c>
      <c r="AB3" s="63" t="s">
        <v>172</v>
      </c>
      <c r="AC3" s="66">
        <v>0.75</v>
      </c>
      <c r="AD3" s="63" t="s">
        <v>170</v>
      </c>
      <c r="AE3" s="66">
        <v>0.66666666666666663</v>
      </c>
      <c r="AF3" s="63" t="s">
        <v>170</v>
      </c>
      <c r="AG3" s="66">
        <v>0.66666666666666663</v>
      </c>
      <c r="AH3" s="63" t="s">
        <v>118</v>
      </c>
      <c r="AI3" s="77">
        <v>67800</v>
      </c>
    </row>
    <row r="4" spans="1:35">
      <c r="A4" s="68">
        <v>2</v>
      </c>
      <c r="B4" s="69" t="s">
        <v>168</v>
      </c>
      <c r="C4" s="159">
        <v>5</v>
      </c>
      <c r="D4" s="69" t="s">
        <v>166</v>
      </c>
      <c r="E4" s="70">
        <v>65.5</v>
      </c>
      <c r="F4" s="71" t="s">
        <v>166</v>
      </c>
      <c r="G4" s="83">
        <v>16.375</v>
      </c>
      <c r="H4" s="71" t="s">
        <v>171</v>
      </c>
      <c r="I4" s="72">
        <v>2</v>
      </c>
      <c r="J4" s="71" t="s">
        <v>166</v>
      </c>
      <c r="K4" s="73">
        <v>0.5</v>
      </c>
      <c r="L4" s="71" t="s">
        <v>171</v>
      </c>
      <c r="M4" s="73">
        <v>0</v>
      </c>
      <c r="N4" s="71" t="s">
        <v>172</v>
      </c>
      <c r="O4" s="73">
        <v>0.8</v>
      </c>
      <c r="P4" s="71" t="s">
        <v>184</v>
      </c>
      <c r="Q4" s="74">
        <v>0.31818181818181818</v>
      </c>
      <c r="R4" s="71" t="s">
        <v>170</v>
      </c>
      <c r="S4" s="74">
        <v>5.8823529411764705E-2</v>
      </c>
      <c r="T4" s="71" t="s">
        <v>171</v>
      </c>
      <c r="U4" s="75">
        <v>8600</v>
      </c>
      <c r="V4" s="71" t="s">
        <v>180</v>
      </c>
      <c r="W4" s="75">
        <v>-2950</v>
      </c>
      <c r="X4" s="71" t="s">
        <v>168</v>
      </c>
      <c r="Y4" s="74">
        <v>0.27272727272727271</v>
      </c>
      <c r="Z4" s="71" t="s">
        <v>184</v>
      </c>
      <c r="AA4" s="74">
        <v>0.31818181818181818</v>
      </c>
      <c r="AB4" s="71" t="s">
        <v>180</v>
      </c>
      <c r="AC4" s="74">
        <v>0.75</v>
      </c>
      <c r="AD4" s="71" t="s">
        <v>166</v>
      </c>
      <c r="AE4" s="74">
        <v>0.5</v>
      </c>
      <c r="AF4" s="71" t="s">
        <v>166</v>
      </c>
      <c r="AG4" s="74">
        <v>0.6</v>
      </c>
      <c r="AH4" s="71" t="s">
        <v>166</v>
      </c>
      <c r="AI4" s="78">
        <v>67800</v>
      </c>
    </row>
    <row r="5" spans="1:35">
      <c r="A5" s="68">
        <v>3</v>
      </c>
      <c r="B5" s="69" t="s">
        <v>165</v>
      </c>
      <c r="C5" s="159">
        <v>5</v>
      </c>
      <c r="D5" s="69" t="s">
        <v>184</v>
      </c>
      <c r="E5" s="70">
        <v>42.5</v>
      </c>
      <c r="F5" s="71" t="s">
        <v>184</v>
      </c>
      <c r="G5" s="83">
        <v>14.166666666666666</v>
      </c>
      <c r="H5" s="71" t="s">
        <v>184</v>
      </c>
      <c r="I5" s="72">
        <v>2</v>
      </c>
      <c r="J5" s="71" t="s">
        <v>182</v>
      </c>
      <c r="K5" s="73">
        <v>0.5</v>
      </c>
      <c r="L5" s="71" t="s">
        <v>180</v>
      </c>
      <c r="M5" s="73">
        <v>0</v>
      </c>
      <c r="N5" s="71" t="s">
        <v>184</v>
      </c>
      <c r="O5" s="73">
        <v>0.66666666666666663</v>
      </c>
      <c r="P5" s="71" t="s">
        <v>171</v>
      </c>
      <c r="Q5" s="74">
        <v>0.2857142857142857</v>
      </c>
      <c r="R5" s="71" t="s">
        <v>168</v>
      </c>
      <c r="S5" s="74">
        <v>6.8181818181818177E-2</v>
      </c>
      <c r="T5" s="71" t="s">
        <v>180</v>
      </c>
      <c r="U5" s="75">
        <v>8400</v>
      </c>
      <c r="V5" s="71" t="s">
        <v>168</v>
      </c>
      <c r="W5" s="75">
        <v>-3866.6666666666665</v>
      </c>
      <c r="X5" s="71" t="s">
        <v>166</v>
      </c>
      <c r="Y5" s="74">
        <v>0.27027027027027029</v>
      </c>
      <c r="Z5" s="71" t="s">
        <v>172</v>
      </c>
      <c r="AA5" s="74">
        <v>0.29729729729729731</v>
      </c>
      <c r="AB5" s="71" t="s">
        <v>182</v>
      </c>
      <c r="AC5" s="74">
        <v>0.75</v>
      </c>
      <c r="AD5" s="71" t="s">
        <v>172</v>
      </c>
      <c r="AE5" s="74">
        <v>0.45454545454545453</v>
      </c>
      <c r="AF5" s="71" t="s">
        <v>184</v>
      </c>
      <c r="AG5" s="74">
        <v>0.5714285714285714</v>
      </c>
      <c r="AH5" s="71" t="s">
        <v>165</v>
      </c>
      <c r="AI5" s="78">
        <v>54900</v>
      </c>
    </row>
    <row r="6" spans="1:35">
      <c r="A6" s="68">
        <v>4</v>
      </c>
      <c r="B6" s="69" t="s">
        <v>173</v>
      </c>
      <c r="C6" s="159">
        <v>5</v>
      </c>
      <c r="D6" s="69" t="s">
        <v>168</v>
      </c>
      <c r="E6" s="70">
        <v>17.099999999999994</v>
      </c>
      <c r="F6" s="71" t="s">
        <v>171</v>
      </c>
      <c r="G6" s="83">
        <v>14</v>
      </c>
      <c r="H6" s="71" t="s">
        <v>166</v>
      </c>
      <c r="I6" s="72">
        <v>2.25</v>
      </c>
      <c r="J6" s="71" t="s">
        <v>167</v>
      </c>
      <c r="K6" s="73">
        <v>0.33333333333333331</v>
      </c>
      <c r="L6" s="71" t="s">
        <v>184</v>
      </c>
      <c r="M6" s="73">
        <v>0</v>
      </c>
      <c r="N6" s="71" t="s">
        <v>168</v>
      </c>
      <c r="O6" s="73">
        <v>0.6</v>
      </c>
      <c r="P6" s="71" t="s">
        <v>166</v>
      </c>
      <c r="Q6" s="74">
        <v>0.27027027027027029</v>
      </c>
      <c r="R6" s="71" t="s">
        <v>182</v>
      </c>
      <c r="S6" s="74">
        <v>0.10526315789473684</v>
      </c>
      <c r="T6" s="71" t="s">
        <v>165</v>
      </c>
      <c r="U6" s="75">
        <v>7500</v>
      </c>
      <c r="V6" s="71" t="s">
        <v>166</v>
      </c>
      <c r="W6" s="75">
        <v>-4680</v>
      </c>
      <c r="X6" s="71" t="s">
        <v>180</v>
      </c>
      <c r="Y6" s="74">
        <v>0.26666666666666666</v>
      </c>
      <c r="Z6" s="71" t="s">
        <v>167</v>
      </c>
      <c r="AA6" s="74">
        <v>0.29629629629629628</v>
      </c>
      <c r="AB6" s="71" t="s">
        <v>166</v>
      </c>
      <c r="AC6" s="74">
        <v>0.7</v>
      </c>
      <c r="AD6" s="71" t="s">
        <v>168</v>
      </c>
      <c r="AE6" s="74">
        <v>0.44444444444444442</v>
      </c>
      <c r="AF6" s="71" t="s">
        <v>172</v>
      </c>
      <c r="AG6" s="74">
        <v>0.53846153846153844</v>
      </c>
      <c r="AH6" s="71" t="s">
        <v>182</v>
      </c>
      <c r="AI6" s="78">
        <v>42500</v>
      </c>
    </row>
    <row r="7" spans="1:35">
      <c r="A7" s="68">
        <v>5</v>
      </c>
      <c r="B7" s="69" t="s">
        <v>172</v>
      </c>
      <c r="C7" s="159">
        <v>5</v>
      </c>
      <c r="D7" s="69" t="s">
        <v>171</v>
      </c>
      <c r="E7" s="70">
        <v>14</v>
      </c>
      <c r="F7" s="71" t="s">
        <v>168</v>
      </c>
      <c r="G7" s="83">
        <v>3.419999999999999</v>
      </c>
      <c r="H7" s="71" t="s">
        <v>168</v>
      </c>
      <c r="I7" s="72">
        <v>2.4</v>
      </c>
      <c r="J7" s="71" t="s">
        <v>184</v>
      </c>
      <c r="K7" s="73">
        <v>0.33333333333333331</v>
      </c>
      <c r="L7" s="71" t="s">
        <v>168</v>
      </c>
      <c r="M7" s="73">
        <v>0.2</v>
      </c>
      <c r="N7" s="71" t="s">
        <v>118</v>
      </c>
      <c r="O7" s="73">
        <v>0.5</v>
      </c>
      <c r="P7" s="71" t="s">
        <v>182</v>
      </c>
      <c r="Q7" s="74">
        <v>0.21052631578947367</v>
      </c>
      <c r="R7" s="71" t="s">
        <v>167</v>
      </c>
      <c r="S7" s="74">
        <v>0.1111111111111111</v>
      </c>
      <c r="T7" s="71" t="s">
        <v>166</v>
      </c>
      <c r="U7" s="75">
        <v>7400</v>
      </c>
      <c r="V7" s="71" t="s">
        <v>173</v>
      </c>
      <c r="W7" s="75">
        <v>-4800</v>
      </c>
      <c r="X7" s="71" t="s">
        <v>167</v>
      </c>
      <c r="Y7" s="74">
        <v>0.25925925925925924</v>
      </c>
      <c r="Z7" s="71" t="s">
        <v>185</v>
      </c>
      <c r="AA7" s="74">
        <v>0.2857142857142857</v>
      </c>
      <c r="AB7" s="71" t="s">
        <v>184</v>
      </c>
      <c r="AC7" s="74">
        <v>0.66666666666666663</v>
      </c>
      <c r="AD7" s="71" t="s">
        <v>184</v>
      </c>
      <c r="AE7" s="74">
        <v>0.42857142857142855</v>
      </c>
      <c r="AF7" s="71" t="s">
        <v>171</v>
      </c>
      <c r="AG7" s="74">
        <v>0.5</v>
      </c>
      <c r="AH7" s="71" t="s">
        <v>167</v>
      </c>
      <c r="AI7" s="78">
        <v>41700</v>
      </c>
    </row>
    <row r="8" spans="1:35">
      <c r="A8" s="68">
        <v>6</v>
      </c>
      <c r="B8" s="69" t="s">
        <v>166</v>
      </c>
      <c r="C8" s="159">
        <v>4</v>
      </c>
      <c r="D8" s="69" t="s">
        <v>182</v>
      </c>
      <c r="E8" s="70">
        <v>3.8999999999999986</v>
      </c>
      <c r="F8" s="71" t="s">
        <v>182</v>
      </c>
      <c r="G8" s="83">
        <v>1.9499999999999993</v>
      </c>
      <c r="H8" s="71" t="s">
        <v>118</v>
      </c>
      <c r="I8" s="72">
        <v>2.5</v>
      </c>
      <c r="J8" s="71" t="s">
        <v>118</v>
      </c>
      <c r="K8" s="73">
        <v>0.25</v>
      </c>
      <c r="L8" s="71" t="s">
        <v>165</v>
      </c>
      <c r="M8" s="73">
        <v>0.2</v>
      </c>
      <c r="N8" s="71" t="s">
        <v>166</v>
      </c>
      <c r="O8" s="73">
        <v>0.5</v>
      </c>
      <c r="P8" s="71" t="s">
        <v>118</v>
      </c>
      <c r="Q8" s="74">
        <v>0.20481927710843373</v>
      </c>
      <c r="R8" s="71" t="s">
        <v>173</v>
      </c>
      <c r="S8" s="74">
        <v>0.11627906976744186</v>
      </c>
      <c r="T8" s="71" t="s">
        <v>167</v>
      </c>
      <c r="U8" s="75">
        <v>7320</v>
      </c>
      <c r="V8" s="71" t="s">
        <v>182</v>
      </c>
      <c r="W8" s="75">
        <v>-5950</v>
      </c>
      <c r="X8" s="71" t="s">
        <v>172</v>
      </c>
      <c r="Y8" s="74">
        <v>0.21621621621621623</v>
      </c>
      <c r="Z8" s="71" t="s">
        <v>168</v>
      </c>
      <c r="AA8" s="74">
        <v>0.20454545454545456</v>
      </c>
      <c r="AB8" s="71" t="s">
        <v>118</v>
      </c>
      <c r="AC8" s="74">
        <v>0.52112676056338025</v>
      </c>
      <c r="AD8" s="71" t="s">
        <v>182</v>
      </c>
      <c r="AE8" s="74">
        <v>0.33333333333333331</v>
      </c>
      <c r="AF8" s="71" t="s">
        <v>118</v>
      </c>
      <c r="AG8" s="74">
        <v>0.41176470588235292</v>
      </c>
      <c r="AH8" s="71" t="s">
        <v>172</v>
      </c>
      <c r="AI8" s="78">
        <v>41100</v>
      </c>
    </row>
    <row r="9" spans="1:35">
      <c r="A9" s="68">
        <v>7</v>
      </c>
      <c r="B9" s="69" t="s">
        <v>167</v>
      </c>
      <c r="C9" s="159">
        <v>3</v>
      </c>
      <c r="D9" s="69" t="s">
        <v>180</v>
      </c>
      <c r="E9" s="70">
        <v>-2.2000000000000011</v>
      </c>
      <c r="F9" s="71" t="s">
        <v>118</v>
      </c>
      <c r="G9" s="83">
        <v>-0.49999999999999983</v>
      </c>
      <c r="H9" s="71" t="s">
        <v>180</v>
      </c>
      <c r="I9" s="72">
        <v>2.5</v>
      </c>
      <c r="J9" s="71" t="s">
        <v>168</v>
      </c>
      <c r="K9" s="73">
        <v>0.2</v>
      </c>
      <c r="L9" s="71" t="s">
        <v>172</v>
      </c>
      <c r="M9" s="73">
        <v>0.2</v>
      </c>
      <c r="N9" s="71" t="s">
        <v>170</v>
      </c>
      <c r="O9" s="73">
        <v>0.5</v>
      </c>
      <c r="P9" s="71" t="s">
        <v>180</v>
      </c>
      <c r="Q9" s="74">
        <v>0.2</v>
      </c>
      <c r="R9" s="71" t="s">
        <v>118</v>
      </c>
      <c r="S9" s="74">
        <v>0.12048192771084337</v>
      </c>
      <c r="T9" s="71" t="s">
        <v>118</v>
      </c>
      <c r="U9" s="75">
        <v>6750</v>
      </c>
      <c r="V9" s="71" t="s">
        <v>184</v>
      </c>
      <c r="W9" s="75">
        <v>-6475</v>
      </c>
      <c r="X9" s="71" t="s">
        <v>165</v>
      </c>
      <c r="Y9" s="74">
        <v>0.21428571428571427</v>
      </c>
      <c r="Z9" s="71" t="s">
        <v>118</v>
      </c>
      <c r="AA9" s="74">
        <v>0.19578313253012047</v>
      </c>
      <c r="AB9" s="71" t="s">
        <v>173</v>
      </c>
      <c r="AC9" s="74">
        <v>0.5</v>
      </c>
      <c r="AD9" s="71" t="s">
        <v>118</v>
      </c>
      <c r="AE9" s="74">
        <v>0.32307692307692309</v>
      </c>
      <c r="AF9" s="71" t="s">
        <v>167</v>
      </c>
      <c r="AG9" s="74">
        <v>0.4</v>
      </c>
      <c r="AH9" s="71" t="s">
        <v>168</v>
      </c>
      <c r="AI9" s="78">
        <v>38300</v>
      </c>
    </row>
    <row r="10" spans="1:35">
      <c r="A10" s="68">
        <v>8</v>
      </c>
      <c r="B10" s="69" t="s">
        <v>184</v>
      </c>
      <c r="C10" s="159">
        <v>3</v>
      </c>
      <c r="D10" s="69" t="s">
        <v>167</v>
      </c>
      <c r="E10" s="70">
        <v>-14</v>
      </c>
      <c r="F10" s="71" t="s">
        <v>180</v>
      </c>
      <c r="G10" s="83">
        <v>-1.1000000000000005</v>
      </c>
      <c r="H10" s="71" t="s">
        <v>182</v>
      </c>
      <c r="I10" s="72">
        <v>2.5</v>
      </c>
      <c r="J10" s="71" t="s">
        <v>165</v>
      </c>
      <c r="K10" s="73">
        <v>0.2</v>
      </c>
      <c r="L10" s="71" t="s">
        <v>118</v>
      </c>
      <c r="M10" s="73">
        <v>0.25</v>
      </c>
      <c r="N10" s="71" t="s">
        <v>180</v>
      </c>
      <c r="O10" s="73">
        <v>0.5</v>
      </c>
      <c r="P10" s="71" t="s">
        <v>165</v>
      </c>
      <c r="Q10" s="74">
        <v>0.19047619047619047</v>
      </c>
      <c r="R10" s="71" t="s">
        <v>180</v>
      </c>
      <c r="S10" s="74">
        <v>0.13333333333333333</v>
      </c>
      <c r="T10" s="71" t="s">
        <v>168</v>
      </c>
      <c r="U10" s="75">
        <v>6512.5</v>
      </c>
      <c r="V10" s="71" t="s">
        <v>118</v>
      </c>
      <c r="W10" s="75">
        <v>-6540</v>
      </c>
      <c r="X10" s="71" t="s">
        <v>118</v>
      </c>
      <c r="Y10" s="74">
        <v>0.21385542168674698</v>
      </c>
      <c r="Z10" s="71" t="s">
        <v>170</v>
      </c>
      <c r="AA10" s="74">
        <v>0.17647058823529413</v>
      </c>
      <c r="AB10" s="71" t="s">
        <v>170</v>
      </c>
      <c r="AC10" s="74">
        <v>0.5</v>
      </c>
      <c r="AD10" s="71" t="s">
        <v>165</v>
      </c>
      <c r="AE10" s="74">
        <v>0.2857142857142857</v>
      </c>
      <c r="AF10" s="71" t="s">
        <v>180</v>
      </c>
      <c r="AG10" s="74">
        <v>0.33333333333333331</v>
      </c>
      <c r="AH10" s="71" t="s">
        <v>184</v>
      </c>
      <c r="AI10" s="78">
        <v>35200</v>
      </c>
    </row>
    <row r="11" spans="1:35">
      <c r="A11" s="68">
        <v>9</v>
      </c>
      <c r="B11" s="69" t="s">
        <v>170</v>
      </c>
      <c r="C11" s="159">
        <v>2</v>
      </c>
      <c r="D11" s="69" t="s">
        <v>118</v>
      </c>
      <c r="E11" s="70">
        <v>-19.999999999999993</v>
      </c>
      <c r="F11" s="71" t="s">
        <v>167</v>
      </c>
      <c r="G11" s="83">
        <v>-4.666666666666667</v>
      </c>
      <c r="H11" s="71" t="s">
        <v>165</v>
      </c>
      <c r="I11" s="72">
        <v>2.6</v>
      </c>
      <c r="J11" s="71" t="s">
        <v>173</v>
      </c>
      <c r="K11" s="73">
        <v>0</v>
      </c>
      <c r="L11" s="71" t="s">
        <v>166</v>
      </c>
      <c r="M11" s="73">
        <v>0.25</v>
      </c>
      <c r="N11" s="71" t="s">
        <v>182</v>
      </c>
      <c r="O11" s="73">
        <v>0.5</v>
      </c>
      <c r="P11" s="71" t="s">
        <v>167</v>
      </c>
      <c r="Q11" s="74">
        <v>0.18518518518518517</v>
      </c>
      <c r="R11" s="71" t="s">
        <v>198</v>
      </c>
      <c r="S11" s="74">
        <v>0.13333333333333333</v>
      </c>
      <c r="T11" s="71" t="s">
        <v>172</v>
      </c>
      <c r="U11" s="75">
        <v>6492.3076923076924</v>
      </c>
      <c r="V11" s="71" t="s">
        <v>185</v>
      </c>
      <c r="W11" s="75">
        <v>-6600</v>
      </c>
      <c r="X11" s="71" t="s">
        <v>182</v>
      </c>
      <c r="Y11" s="74">
        <v>0.21052631578947367</v>
      </c>
      <c r="Z11" s="71" t="s">
        <v>165</v>
      </c>
      <c r="AA11" s="74">
        <v>0.16666666666666666</v>
      </c>
      <c r="AB11" s="71" t="s">
        <v>171</v>
      </c>
      <c r="AC11" s="74">
        <v>0.5</v>
      </c>
      <c r="AD11" s="71" t="s">
        <v>167</v>
      </c>
      <c r="AE11" s="74">
        <v>0.25</v>
      </c>
      <c r="AF11" s="71" t="s">
        <v>165</v>
      </c>
      <c r="AG11" s="74">
        <v>0.25</v>
      </c>
      <c r="AH11" s="71" t="s">
        <v>173</v>
      </c>
      <c r="AI11" s="78">
        <v>34800</v>
      </c>
    </row>
    <row r="12" spans="1:35">
      <c r="A12" s="68">
        <v>10</v>
      </c>
      <c r="B12" s="69" t="s">
        <v>180</v>
      </c>
      <c r="C12" s="159">
        <v>2</v>
      </c>
      <c r="D12" s="69" t="s">
        <v>165</v>
      </c>
      <c r="E12" s="70">
        <v>-28.499999999999993</v>
      </c>
      <c r="F12" s="71" t="s">
        <v>165</v>
      </c>
      <c r="G12" s="83">
        <v>-5.6999999999999984</v>
      </c>
      <c r="H12" s="71" t="s">
        <v>173</v>
      </c>
      <c r="I12" s="72">
        <v>2.6</v>
      </c>
      <c r="J12" s="71" t="s">
        <v>170</v>
      </c>
      <c r="K12" s="73">
        <v>0</v>
      </c>
      <c r="L12" s="71" t="s">
        <v>167</v>
      </c>
      <c r="M12" s="73">
        <v>0.33333333333333331</v>
      </c>
      <c r="N12" s="71" t="s">
        <v>165</v>
      </c>
      <c r="O12" s="73">
        <v>0.4</v>
      </c>
      <c r="P12" s="71" t="s">
        <v>168</v>
      </c>
      <c r="Q12" s="74">
        <v>0.18181818181818182</v>
      </c>
      <c r="R12" s="71" t="s">
        <v>166</v>
      </c>
      <c r="S12" s="74">
        <v>0.13513513513513514</v>
      </c>
      <c r="T12" s="71" t="s">
        <v>182</v>
      </c>
      <c r="U12" s="75">
        <v>5900</v>
      </c>
      <c r="V12" s="71" t="s">
        <v>165</v>
      </c>
      <c r="W12" s="75">
        <v>-7033.333333333333</v>
      </c>
      <c r="X12" s="71" t="s">
        <v>173</v>
      </c>
      <c r="Y12" s="74">
        <v>0.18604651162790697</v>
      </c>
      <c r="Z12" s="71" t="s">
        <v>182</v>
      </c>
      <c r="AA12" s="74">
        <v>0.15789473684210525</v>
      </c>
      <c r="AB12" s="71" t="s">
        <v>165</v>
      </c>
      <c r="AC12" s="74">
        <v>0.44444444444444442</v>
      </c>
      <c r="AD12" s="71" t="s">
        <v>173</v>
      </c>
      <c r="AE12" s="74">
        <v>0</v>
      </c>
      <c r="AF12" s="71" t="s">
        <v>182</v>
      </c>
      <c r="AG12" s="74">
        <v>0.25</v>
      </c>
      <c r="AH12" s="71" t="s">
        <v>171</v>
      </c>
      <c r="AI12" s="78">
        <v>34000</v>
      </c>
    </row>
    <row r="13" spans="1:35">
      <c r="A13" s="68">
        <v>11</v>
      </c>
      <c r="B13" s="69" t="s">
        <v>182</v>
      </c>
      <c r="C13" s="159">
        <v>2</v>
      </c>
      <c r="D13" s="69" t="s">
        <v>173</v>
      </c>
      <c r="E13" s="70">
        <v>-39</v>
      </c>
      <c r="F13" s="71" t="s">
        <v>173</v>
      </c>
      <c r="G13" s="83">
        <v>-7.8</v>
      </c>
      <c r="H13" s="71" t="s">
        <v>167</v>
      </c>
      <c r="I13" s="72">
        <v>2.6666666666666665</v>
      </c>
      <c r="J13" s="71" t="s">
        <v>171</v>
      </c>
      <c r="K13" s="73">
        <v>0</v>
      </c>
      <c r="L13" s="71" t="s">
        <v>170</v>
      </c>
      <c r="M13" s="73">
        <v>0.5</v>
      </c>
      <c r="N13" s="71" t="s">
        <v>173</v>
      </c>
      <c r="O13" s="73">
        <v>0.4</v>
      </c>
      <c r="P13" s="71" t="s">
        <v>170</v>
      </c>
      <c r="Q13" s="74">
        <v>0.17647058823529413</v>
      </c>
      <c r="R13" s="71" t="s">
        <v>172</v>
      </c>
      <c r="S13" s="74">
        <v>0.13513513513513514</v>
      </c>
      <c r="T13" s="71" t="s">
        <v>184</v>
      </c>
      <c r="U13" s="75">
        <v>4428.5714285714284</v>
      </c>
      <c r="V13" s="71" t="s">
        <v>172</v>
      </c>
      <c r="W13" s="75">
        <v>-7260</v>
      </c>
      <c r="X13" s="71" t="s">
        <v>185</v>
      </c>
      <c r="Y13" s="74">
        <v>0.14285714285714285</v>
      </c>
      <c r="Z13" s="71" t="s">
        <v>171</v>
      </c>
      <c r="AA13" s="74">
        <v>0.14285714285714285</v>
      </c>
      <c r="AB13" s="71" t="s">
        <v>167</v>
      </c>
      <c r="AC13" s="74">
        <v>0.42857142857142855</v>
      </c>
      <c r="AD13" s="71" t="s">
        <v>171</v>
      </c>
      <c r="AE13" s="74">
        <v>0</v>
      </c>
      <c r="AF13" s="71" t="s">
        <v>173</v>
      </c>
      <c r="AG13" s="74">
        <v>0.2</v>
      </c>
      <c r="AH13" s="71" t="s">
        <v>180</v>
      </c>
      <c r="AI13" s="78">
        <v>33600</v>
      </c>
    </row>
    <row r="14" spans="1:35">
      <c r="A14" s="68">
        <v>12</v>
      </c>
      <c r="B14" s="69" t="s">
        <v>198</v>
      </c>
      <c r="C14" s="159">
        <v>2</v>
      </c>
      <c r="D14" s="69" t="s">
        <v>185</v>
      </c>
      <c r="E14" s="70">
        <v>-52.6</v>
      </c>
      <c r="F14" s="71" t="s">
        <v>170</v>
      </c>
      <c r="G14" s="83">
        <v>-28.599999999999998</v>
      </c>
      <c r="H14" s="71" t="s">
        <v>170</v>
      </c>
      <c r="I14" s="72">
        <v>3</v>
      </c>
      <c r="J14" s="71" t="s">
        <v>180</v>
      </c>
      <c r="K14" s="73">
        <v>0</v>
      </c>
      <c r="L14" s="71" t="s">
        <v>182</v>
      </c>
      <c r="M14" s="73">
        <v>0.5</v>
      </c>
      <c r="N14" s="71" t="s">
        <v>167</v>
      </c>
      <c r="O14" s="73">
        <v>0.33333333333333331</v>
      </c>
      <c r="P14" s="71" t="s">
        <v>173</v>
      </c>
      <c r="Q14" s="74">
        <v>0.11627906976744186</v>
      </c>
      <c r="R14" s="71" t="s">
        <v>165</v>
      </c>
      <c r="S14" s="74">
        <v>0.14285714285714285</v>
      </c>
      <c r="T14" s="71" t="s">
        <v>170</v>
      </c>
      <c r="U14" s="75">
        <v>2166.6666666666665</v>
      </c>
      <c r="V14" s="71" t="s">
        <v>167</v>
      </c>
      <c r="W14" s="75">
        <v>-9733.3333333333339</v>
      </c>
      <c r="X14" s="71" t="s">
        <v>184</v>
      </c>
      <c r="Y14" s="74">
        <v>0.13636363636363635</v>
      </c>
      <c r="Z14" s="71" t="s">
        <v>173</v>
      </c>
      <c r="AA14" s="74">
        <v>0.11627906976744186</v>
      </c>
      <c r="AB14" s="71" t="s">
        <v>168</v>
      </c>
      <c r="AC14" s="74">
        <v>0.25</v>
      </c>
      <c r="AD14" s="71" t="s">
        <v>180</v>
      </c>
      <c r="AE14" s="74">
        <v>0</v>
      </c>
      <c r="AF14" s="71" t="s">
        <v>168</v>
      </c>
      <c r="AG14" s="74">
        <v>0.125</v>
      </c>
      <c r="AH14" s="71" t="s">
        <v>170</v>
      </c>
      <c r="AI14" s="78">
        <v>23700</v>
      </c>
    </row>
    <row r="15" spans="1:35">
      <c r="A15" s="68">
        <v>13</v>
      </c>
      <c r="B15" s="69" t="s">
        <v>171</v>
      </c>
      <c r="C15" s="159">
        <v>1</v>
      </c>
      <c r="D15" s="69" t="s">
        <v>170</v>
      </c>
      <c r="E15" s="70">
        <v>-57.199999999999996</v>
      </c>
      <c r="F15" s="71" t="s">
        <v>198</v>
      </c>
      <c r="G15" s="83">
        <v>-48.7</v>
      </c>
      <c r="H15" s="71" t="s">
        <v>185</v>
      </c>
      <c r="I15" s="72">
        <v>4</v>
      </c>
      <c r="J15" s="71" t="s">
        <v>185</v>
      </c>
      <c r="K15" s="73">
        <v>0</v>
      </c>
      <c r="L15" s="71" t="s">
        <v>185</v>
      </c>
      <c r="M15" s="73">
        <v>1</v>
      </c>
      <c r="N15" s="71" t="s">
        <v>185</v>
      </c>
      <c r="O15" s="73">
        <v>0</v>
      </c>
      <c r="P15" s="71" t="s">
        <v>185</v>
      </c>
      <c r="Q15" s="74">
        <v>0</v>
      </c>
      <c r="R15" s="71" t="s">
        <v>184</v>
      </c>
      <c r="S15" s="74">
        <v>0.18181818181818182</v>
      </c>
      <c r="T15" s="71" t="s">
        <v>185</v>
      </c>
      <c r="U15" s="75">
        <v>0</v>
      </c>
      <c r="V15" s="71" t="s">
        <v>198</v>
      </c>
      <c r="W15" s="75">
        <v>-10000</v>
      </c>
      <c r="X15" s="71" t="s">
        <v>170</v>
      </c>
      <c r="Y15" s="74">
        <v>0.11764705882352941</v>
      </c>
      <c r="Z15" s="71" t="s">
        <v>166</v>
      </c>
      <c r="AA15" s="74">
        <v>0.10810810810810811</v>
      </c>
      <c r="AB15" s="71" t="s">
        <v>185</v>
      </c>
      <c r="AC15" s="74">
        <v>0</v>
      </c>
      <c r="AD15" s="71" t="s">
        <v>185</v>
      </c>
      <c r="AE15" s="74">
        <v>0</v>
      </c>
      <c r="AF15" s="71" t="s">
        <v>185</v>
      </c>
      <c r="AG15" s="74">
        <v>0</v>
      </c>
      <c r="AH15" s="71" t="s">
        <v>198</v>
      </c>
      <c r="AI15" s="78">
        <v>14100</v>
      </c>
    </row>
    <row r="16" spans="1:35">
      <c r="A16" s="68">
        <v>14</v>
      </c>
      <c r="B16" s="69" t="s">
        <v>185</v>
      </c>
      <c r="C16" s="159">
        <v>1</v>
      </c>
      <c r="D16" s="69" t="s">
        <v>198</v>
      </c>
      <c r="E16" s="70">
        <v>-97.4</v>
      </c>
      <c r="F16" s="71" t="s">
        <v>185</v>
      </c>
      <c r="G16" s="83">
        <v>-52.6</v>
      </c>
      <c r="H16" s="71" t="s">
        <v>198</v>
      </c>
      <c r="I16" s="72">
        <v>4</v>
      </c>
      <c r="J16" s="71" t="s">
        <v>198</v>
      </c>
      <c r="K16" s="73">
        <v>0</v>
      </c>
      <c r="L16" s="71" t="s">
        <v>198</v>
      </c>
      <c r="M16" s="73">
        <v>1</v>
      </c>
      <c r="N16" s="71" t="s">
        <v>198</v>
      </c>
      <c r="O16" s="73">
        <v>0</v>
      </c>
      <c r="P16" s="71" t="s">
        <v>198</v>
      </c>
      <c r="Q16" s="74">
        <v>0</v>
      </c>
      <c r="R16" s="71" t="s">
        <v>185</v>
      </c>
      <c r="S16" s="74">
        <v>0.2857142857142857</v>
      </c>
      <c r="T16" s="71" t="s">
        <v>198</v>
      </c>
      <c r="U16" s="75">
        <v>0</v>
      </c>
      <c r="V16" s="71" t="s">
        <v>170</v>
      </c>
      <c r="W16" s="75">
        <v>-18000</v>
      </c>
      <c r="X16" s="71" t="s">
        <v>198</v>
      </c>
      <c r="Y16" s="74">
        <v>6.6666666666666666E-2</v>
      </c>
      <c r="Z16" s="71" t="s">
        <v>180</v>
      </c>
      <c r="AA16" s="74">
        <v>0</v>
      </c>
      <c r="AB16" s="71" t="s">
        <v>198</v>
      </c>
      <c r="AC16" s="74">
        <v>0</v>
      </c>
      <c r="AD16" s="71" t="s">
        <v>198</v>
      </c>
      <c r="AE16" s="74">
        <v>0</v>
      </c>
      <c r="AF16" s="71" t="s">
        <v>198</v>
      </c>
      <c r="AG16" s="74">
        <v>0</v>
      </c>
      <c r="AH16" s="71" t="s">
        <v>185</v>
      </c>
      <c r="AI16" s="78">
        <v>7400</v>
      </c>
    </row>
  </sheetData>
  <sortState xmlns:xlrd2="http://schemas.microsoft.com/office/spreadsheetml/2017/richdata2" ref="AH3:AI47">
    <sortCondition descending="1" ref="AI1"/>
  </sortState>
  <mergeCells count="34">
    <mergeCell ref="B1:C1"/>
    <mergeCell ref="B2:C2"/>
    <mergeCell ref="AF2:AG2"/>
    <mergeCell ref="R1:S1"/>
    <mergeCell ref="AH2:AI2"/>
    <mergeCell ref="X2:Y2"/>
    <mergeCell ref="Z2:AA2"/>
    <mergeCell ref="AB2:AC2"/>
    <mergeCell ref="AD2:AE2"/>
    <mergeCell ref="R2:S2"/>
    <mergeCell ref="T2:U2"/>
    <mergeCell ref="V2:W2"/>
    <mergeCell ref="AH1:AI1"/>
    <mergeCell ref="T1:U1"/>
    <mergeCell ref="V1:W1"/>
    <mergeCell ref="AF1:AG1"/>
    <mergeCell ref="X1:Y1"/>
    <mergeCell ref="Z1:AA1"/>
    <mergeCell ref="D2:E2"/>
    <mergeCell ref="F2:G2"/>
    <mergeCell ref="H2:I2"/>
    <mergeCell ref="J2:K2"/>
    <mergeCell ref="P2:Q2"/>
    <mergeCell ref="L2:M2"/>
    <mergeCell ref="N2:O2"/>
    <mergeCell ref="AB1:AC1"/>
    <mergeCell ref="AD1:AE1"/>
    <mergeCell ref="D1:E1"/>
    <mergeCell ref="F1:G1"/>
    <mergeCell ref="H1:I1"/>
    <mergeCell ref="J1:K1"/>
    <mergeCell ref="P1:Q1"/>
    <mergeCell ref="L1:M1"/>
    <mergeCell ref="N1:O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22860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BFF5B2-B61D-4F9C-BCAB-5DFA15B3F983}">
  <sheetPr codeName="Sheet4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13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85" customWidth="1"/>
    <col min="13" max="13" width="3.59765625" style="27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27"/>
  </cols>
  <sheetData>
    <row r="1" spans="1:17">
      <c r="A1" s="45" t="s">
        <v>0</v>
      </c>
      <c r="B1" s="146" t="s">
        <v>118</v>
      </c>
      <c r="C1" s="147"/>
      <c r="E1" s="114" t="s">
        <v>133</v>
      </c>
      <c r="F1" s="133" t="s">
        <v>95</v>
      </c>
      <c r="G1" s="132" t="s">
        <v>96</v>
      </c>
      <c r="H1" s="115" t="s">
        <v>97</v>
      </c>
      <c r="I1" s="133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48">
        <v>40</v>
      </c>
      <c r="C2" s="149"/>
      <c r="E2" s="54" t="s">
        <v>55</v>
      </c>
      <c r="F2" s="51" t="s">
        <v>20</v>
      </c>
      <c r="G2" s="39">
        <v>46</v>
      </c>
      <c r="H2" s="117">
        <f>IF(B$17=0,0,G2/B$17)</f>
        <v>0.67647058823529416</v>
      </c>
      <c r="I2" s="79">
        <v>5</v>
      </c>
      <c r="K2" s="30">
        <v>0</v>
      </c>
      <c r="L2" s="84">
        <v>0</v>
      </c>
      <c r="N2" s="99" t="s">
        <v>107</v>
      </c>
      <c r="O2" s="106">
        <f t="shared" ref="O2:O9" si="0">IF(P2=0,0,Q2/P2)</f>
        <v>-50</v>
      </c>
      <c r="P2" s="103">
        <v>40</v>
      </c>
      <c r="Q2" s="87">
        <v>-2000</v>
      </c>
    </row>
    <row r="3" spans="1:17">
      <c r="A3" s="47" t="s">
        <v>8</v>
      </c>
      <c r="B3" s="150">
        <v>332</v>
      </c>
      <c r="C3" s="151"/>
      <c r="E3" s="55" t="s">
        <v>186</v>
      </c>
      <c r="F3" s="52" t="s">
        <v>160</v>
      </c>
      <c r="G3" s="40">
        <v>36</v>
      </c>
      <c r="H3" s="118">
        <f>IF(B$17=0,0,G3/B$17)</f>
        <v>0.52941176470588236</v>
      </c>
      <c r="I3" s="80">
        <v>6</v>
      </c>
      <c r="K3" s="32">
        <v>1</v>
      </c>
      <c r="L3" s="85">
        <v>11.9</v>
      </c>
      <c r="N3" s="100" t="s">
        <v>108</v>
      </c>
      <c r="O3" s="107">
        <f t="shared" si="0"/>
        <v>25</v>
      </c>
      <c r="P3" s="104">
        <v>40</v>
      </c>
      <c r="Q3" s="88">
        <v>1000</v>
      </c>
    </row>
    <row r="4" spans="1:17">
      <c r="A4" s="47" t="s">
        <v>6</v>
      </c>
      <c r="B4" s="152">
        <v>-19.999999999999993</v>
      </c>
      <c r="C4" s="153"/>
      <c r="E4" s="55" t="s">
        <v>189</v>
      </c>
      <c r="F4" s="52" t="s">
        <v>195</v>
      </c>
      <c r="G4" s="40">
        <v>35</v>
      </c>
      <c r="H4" s="118">
        <f>IF(B$17=0,0,G4/B$17)</f>
        <v>0.51470588235294112</v>
      </c>
      <c r="I4" s="80">
        <v>6</v>
      </c>
      <c r="K4" s="32">
        <v>2</v>
      </c>
      <c r="L4" s="85">
        <v>86.800000000000011</v>
      </c>
      <c r="N4" s="100" t="s">
        <v>109</v>
      </c>
      <c r="O4" s="107">
        <f t="shared" si="0"/>
        <v>-25</v>
      </c>
      <c r="P4" s="104">
        <v>40</v>
      </c>
      <c r="Q4" s="88">
        <v>-1000</v>
      </c>
    </row>
    <row r="5" spans="1:17">
      <c r="A5" s="47" t="s">
        <v>7</v>
      </c>
      <c r="B5" s="154">
        <f>IF(B$2=0,0,B$4/B$2)</f>
        <v>-0.49999999999999983</v>
      </c>
      <c r="C5" s="155"/>
      <c r="E5" s="55" t="s">
        <v>61</v>
      </c>
      <c r="F5" s="52" t="s">
        <v>24</v>
      </c>
      <c r="G5" s="40">
        <v>29</v>
      </c>
      <c r="H5" s="118">
        <f>IF(B$17=0,0,G5/B$17)</f>
        <v>0.4264705882352941</v>
      </c>
      <c r="I5" s="80">
        <v>5</v>
      </c>
      <c r="K5" s="32">
        <v>3</v>
      </c>
      <c r="L5" s="85">
        <v>25.100000000000009</v>
      </c>
      <c r="N5" s="100" t="s">
        <v>161</v>
      </c>
      <c r="O5" s="107">
        <f>IF(P5=0,0,Q5/P5)</f>
        <v>50</v>
      </c>
      <c r="P5" s="104">
        <v>40</v>
      </c>
      <c r="Q5" s="88">
        <v>2000</v>
      </c>
    </row>
    <row r="6" spans="1:17">
      <c r="A6" s="47" t="s">
        <v>1</v>
      </c>
      <c r="B6" s="156">
        <f>IF(B$2=0,0,(B$7*1+B$8*2+B$9*3+B$10*4)/B$2)</f>
        <v>2.5</v>
      </c>
      <c r="C6" s="157"/>
      <c r="E6" s="55" t="s">
        <v>56</v>
      </c>
      <c r="F6" s="52" t="s">
        <v>159</v>
      </c>
      <c r="G6" s="40">
        <v>24</v>
      </c>
      <c r="H6" s="118">
        <f>IF(B$17=0,0,G6/B$17)</f>
        <v>0.35294117647058826</v>
      </c>
      <c r="I6" s="80">
        <v>5</v>
      </c>
      <c r="K6" s="32">
        <v>4</v>
      </c>
      <c r="L6" s="85">
        <v>7.1054273576010019E-15</v>
      </c>
      <c r="N6" s="100" t="s">
        <v>110</v>
      </c>
      <c r="O6" s="107">
        <f t="shared" ref="O6" si="1">IF(P6=0,0,Q6/P6)</f>
        <v>-27.777777777777779</v>
      </c>
      <c r="P6" s="104">
        <v>36</v>
      </c>
      <c r="Q6" s="88">
        <v>-1000</v>
      </c>
    </row>
    <row r="7" spans="1:17">
      <c r="A7" s="47" t="s">
        <v>2</v>
      </c>
      <c r="B7" s="40">
        <v>10</v>
      </c>
      <c r="C7" s="33">
        <f t="shared" ref="C7:C12" si="2">IF(B$2=0,0,B7/B$2)</f>
        <v>0.25</v>
      </c>
      <c r="E7" s="55" t="s">
        <v>57</v>
      </c>
      <c r="F7" s="52" t="s">
        <v>190</v>
      </c>
      <c r="G7" s="40">
        <v>20</v>
      </c>
      <c r="H7" s="118">
        <f>IF(B$17=0,0,G7/B$17)</f>
        <v>0.29411764705882354</v>
      </c>
      <c r="I7" s="80">
        <v>6</v>
      </c>
      <c r="K7" s="32">
        <v>5</v>
      </c>
      <c r="L7" s="85">
        <v>-14.199999999999992</v>
      </c>
      <c r="N7" s="100" t="s">
        <v>111</v>
      </c>
      <c r="O7" s="107">
        <f t="shared" si="0"/>
        <v>-281.25</v>
      </c>
      <c r="P7" s="104">
        <v>32</v>
      </c>
      <c r="Q7" s="88">
        <v>-9000</v>
      </c>
    </row>
    <row r="8" spans="1:17">
      <c r="A8" s="47" t="s">
        <v>3</v>
      </c>
      <c r="B8" s="40">
        <v>10</v>
      </c>
      <c r="C8" s="33">
        <f>IF(B$2=0,0,B8/B$2)</f>
        <v>0.25</v>
      </c>
      <c r="E8" s="55" t="s">
        <v>58</v>
      </c>
      <c r="F8" s="52" t="s">
        <v>21</v>
      </c>
      <c r="G8" s="40">
        <v>18</v>
      </c>
      <c r="H8" s="118">
        <f>IF(B$17=0,0,G8/B$17)</f>
        <v>0.26470588235294118</v>
      </c>
      <c r="I8" s="80">
        <v>6</v>
      </c>
      <c r="K8" s="32">
        <v>6</v>
      </c>
      <c r="L8" s="85">
        <v>-75.099999999999994</v>
      </c>
      <c r="N8" s="100" t="s">
        <v>112</v>
      </c>
      <c r="O8" s="107">
        <f t="shared" si="0"/>
        <v>0</v>
      </c>
      <c r="P8" s="104">
        <v>20</v>
      </c>
      <c r="Q8" s="88">
        <v>0</v>
      </c>
    </row>
    <row r="9" spans="1:17">
      <c r="A9" s="48" t="s">
        <v>4</v>
      </c>
      <c r="B9" s="41">
        <v>10</v>
      </c>
      <c r="C9" s="34">
        <f>IF(B$2=0,0,B9/B$2)</f>
        <v>0.25</v>
      </c>
      <c r="E9" s="55" t="s">
        <v>187</v>
      </c>
      <c r="F9" s="52" t="s">
        <v>19</v>
      </c>
      <c r="G9" s="40">
        <v>10</v>
      </c>
      <c r="H9" s="118">
        <f>IF(B$17=0,0,G9/B$17)</f>
        <v>0.14705882352941177</v>
      </c>
      <c r="I9" s="80">
        <v>6</v>
      </c>
      <c r="K9" s="32">
        <v>7</v>
      </c>
      <c r="L9" s="85">
        <v>-61.099999999999994</v>
      </c>
      <c r="N9" s="101" t="s">
        <v>162</v>
      </c>
      <c r="O9" s="108">
        <f t="shared" si="0"/>
        <v>0</v>
      </c>
      <c r="P9" s="105">
        <v>12</v>
      </c>
      <c r="Q9" s="89">
        <v>0</v>
      </c>
    </row>
    <row r="10" spans="1:17">
      <c r="A10" s="48" t="s">
        <v>156</v>
      </c>
      <c r="B10" s="41">
        <v>10</v>
      </c>
      <c r="C10" s="34">
        <f>IF(B$2=0,0,B10/B$2)</f>
        <v>0.25</v>
      </c>
      <c r="E10" s="55" t="s">
        <v>60</v>
      </c>
      <c r="F10" s="52" t="s">
        <v>23</v>
      </c>
      <c r="G10" s="40">
        <v>8</v>
      </c>
      <c r="H10" s="118">
        <f>IF(B$17=0,0,G10/B$17)</f>
        <v>0.11764705882352941</v>
      </c>
      <c r="I10" s="80">
        <v>6</v>
      </c>
      <c r="K10" s="32">
        <v>8</v>
      </c>
      <c r="L10" s="85">
        <v>7.1054273576010019E-15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20</v>
      </c>
      <c r="C11" s="34">
        <f>IF(B$2=0,0,B11/B$2)</f>
        <v>0.5</v>
      </c>
      <c r="E11" s="55" t="s">
        <v>59</v>
      </c>
      <c r="F11" s="52" t="s">
        <v>22</v>
      </c>
      <c r="G11" s="40">
        <v>4</v>
      </c>
      <c r="H11" s="118">
        <f>IF(B$17=0,0,G11/B$17)</f>
        <v>5.8823529411764705E-2</v>
      </c>
      <c r="I11" s="80">
        <v>5</v>
      </c>
      <c r="K11" s="32">
        <v>9</v>
      </c>
      <c r="L11" s="85">
        <v>-52.099999999999994</v>
      </c>
      <c r="N11" s="98" t="s">
        <v>175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4</v>
      </c>
      <c r="C12" s="36">
        <f t="shared" si="2"/>
        <v>0.1</v>
      </c>
      <c r="E12" s="55" t="s">
        <v>188</v>
      </c>
      <c r="F12" s="52" t="s">
        <v>191</v>
      </c>
      <c r="G12" s="40">
        <v>2</v>
      </c>
      <c r="H12" s="118">
        <f>IF(B$17=0,0,G12/B$17)</f>
        <v>2.9411764705882353E-2</v>
      </c>
      <c r="I12" s="80">
        <v>2</v>
      </c>
      <c r="K12" s="32">
        <v>10</v>
      </c>
      <c r="L12" s="85">
        <v>-38.499999999999993</v>
      </c>
      <c r="N12" s="99" t="s">
        <v>130</v>
      </c>
      <c r="O12" s="109">
        <f>IF(P12=0,0,Q12/P12)</f>
        <v>-21.880000000000003</v>
      </c>
      <c r="P12" s="103">
        <v>10</v>
      </c>
      <c r="Q12" s="91">
        <v>-218.8</v>
      </c>
    </row>
    <row r="13" spans="1:17">
      <c r="A13" s="50" t="s">
        <v>101</v>
      </c>
      <c r="B13" s="43">
        <v>71</v>
      </c>
      <c r="C13" s="38">
        <f>IF(B$3=0,0,B13/B$3)</f>
        <v>0.21385542168674698</v>
      </c>
      <c r="E13" s="55" t="s">
        <v>72</v>
      </c>
      <c r="F13" s="52" t="s">
        <v>35</v>
      </c>
      <c r="G13" s="40">
        <v>2</v>
      </c>
      <c r="H13" s="118">
        <f>IF(B$17=0,0,G13/B$17)</f>
        <v>2.9411764705882353E-2</v>
      </c>
      <c r="I13" s="80">
        <v>2</v>
      </c>
      <c r="K13" s="32">
        <v>11</v>
      </c>
      <c r="L13" s="85">
        <v>18.100000000000009</v>
      </c>
      <c r="N13" s="100" t="s">
        <v>131</v>
      </c>
      <c r="O13" s="110">
        <f>IF(P13=0,0,Q13/P13)</f>
        <v>10.879999999999999</v>
      </c>
      <c r="P13" s="104">
        <v>10</v>
      </c>
      <c r="Q13" s="92">
        <v>108.8</v>
      </c>
    </row>
    <row r="14" spans="1:17">
      <c r="A14" s="47" t="s">
        <v>98</v>
      </c>
      <c r="B14" s="40">
        <v>65</v>
      </c>
      <c r="C14" s="33">
        <f>IF(B$3=0,0,B14/B$3)</f>
        <v>0.19578313253012047</v>
      </c>
      <c r="E14" s="55" t="s">
        <v>75</v>
      </c>
      <c r="F14" s="52" t="s">
        <v>38</v>
      </c>
      <c r="G14" s="40">
        <v>2</v>
      </c>
      <c r="H14" s="118">
        <f>IF(B$17=0,0,G14/B$17)</f>
        <v>2.9411764705882353E-2</v>
      </c>
      <c r="I14" s="80">
        <v>3</v>
      </c>
      <c r="K14" s="32">
        <v>12</v>
      </c>
      <c r="L14" s="85">
        <v>7.1054273576010019E-15</v>
      </c>
      <c r="N14" s="100" t="s">
        <v>132</v>
      </c>
      <c r="O14" s="110">
        <f>IF(P14=0,0,Q14/P14)</f>
        <v>17.23</v>
      </c>
      <c r="P14" s="104">
        <v>10</v>
      </c>
      <c r="Q14" s="92">
        <v>172.3</v>
      </c>
    </row>
    <row r="15" spans="1:17">
      <c r="A15" s="46" t="s">
        <v>103</v>
      </c>
      <c r="B15" s="39">
        <f>B21</f>
        <v>37</v>
      </c>
      <c r="C15" s="31">
        <f>IF(B$13=0,0,B15/B$13)</f>
        <v>0.52112676056338025</v>
      </c>
      <c r="E15" s="55" t="s">
        <v>68</v>
      </c>
      <c r="F15" s="52" t="s">
        <v>31</v>
      </c>
      <c r="G15" s="40">
        <v>1</v>
      </c>
      <c r="H15" s="118">
        <f>IF(B$17=0,0,G15/B$17)</f>
        <v>1.4705882352941176E-2</v>
      </c>
      <c r="I15" s="80">
        <v>2</v>
      </c>
      <c r="K15" s="32">
        <v>13</v>
      </c>
      <c r="L15" s="85">
        <v>62.500000000000007</v>
      </c>
      <c r="N15" s="101" t="s">
        <v>163</v>
      </c>
      <c r="O15" s="111">
        <f>IF(P15=0,0,Q15/P15)</f>
        <v>-8.23</v>
      </c>
      <c r="P15" s="105">
        <v>10</v>
      </c>
      <c r="Q15" s="93">
        <v>-82.300000000000011</v>
      </c>
    </row>
    <row r="16" spans="1:17">
      <c r="A16" s="46" t="s">
        <v>104</v>
      </c>
      <c r="B16" s="39">
        <f>B22</f>
        <v>21</v>
      </c>
      <c r="C16" s="31">
        <f>IF(B$14=0,0,B16/B$14)</f>
        <v>0.32307692307692309</v>
      </c>
      <c r="E16" s="55" t="s">
        <v>70</v>
      </c>
      <c r="F16" s="52" t="s">
        <v>33</v>
      </c>
      <c r="G16" s="40">
        <v>1</v>
      </c>
      <c r="H16" s="118">
        <f>IF(B$17=0,0,G16/B$17)</f>
        <v>1.4705882352941176E-2</v>
      </c>
      <c r="I16" s="80">
        <v>2</v>
      </c>
      <c r="K16" s="32">
        <v>14</v>
      </c>
      <c r="L16" s="85">
        <v>77.300000000000011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68</v>
      </c>
      <c r="C17" s="31">
        <f>IF(B$3=0,0,B17/B$3)</f>
        <v>0.20481927710843373</v>
      </c>
      <c r="E17" s="55" t="s">
        <v>62</v>
      </c>
      <c r="F17" s="52" t="s">
        <v>25</v>
      </c>
      <c r="G17" s="40">
        <v>0</v>
      </c>
      <c r="H17" s="118">
        <f>IF(B$17=0,0,G17/B$17)</f>
        <v>0</v>
      </c>
      <c r="I17" s="80">
        <v>1</v>
      </c>
      <c r="K17" s="32">
        <v>15</v>
      </c>
      <c r="L17" s="85">
        <v>13.000000000000014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40</v>
      </c>
      <c r="C18" s="33">
        <f>IF(B$3=0,0,B18/B$3)</f>
        <v>0.12048192771084337</v>
      </c>
      <c r="E18" s="55" t="s">
        <v>63</v>
      </c>
      <c r="F18" s="52" t="s">
        <v>26</v>
      </c>
      <c r="G18" s="40">
        <v>0</v>
      </c>
      <c r="H18" s="118">
        <f>IF(B$17=0,0,G18/B$17)</f>
        <v>0</v>
      </c>
      <c r="I18" s="80">
        <v>1</v>
      </c>
      <c r="K18" s="32">
        <v>16</v>
      </c>
      <c r="L18" s="85">
        <v>1.4210854715202004E-14</v>
      </c>
      <c r="N18" s="99" t="s">
        <v>185</v>
      </c>
      <c r="O18" s="109">
        <f>IF(P18=0,0,Q18/P18)</f>
        <v>70.133333333333326</v>
      </c>
      <c r="P18" s="103">
        <v>3</v>
      </c>
      <c r="Q18" s="91">
        <v>210.39999999999998</v>
      </c>
    </row>
    <row r="19" spans="1:17">
      <c r="A19" s="47" t="s">
        <v>12</v>
      </c>
      <c r="B19" s="40">
        <v>28</v>
      </c>
      <c r="C19" s="33">
        <f>IF(B$17=0,0,B19/B$17)</f>
        <v>0.41176470588235292</v>
      </c>
      <c r="E19" s="55" t="s">
        <v>64</v>
      </c>
      <c r="F19" s="52" t="s">
        <v>27</v>
      </c>
      <c r="G19" s="40">
        <v>0</v>
      </c>
      <c r="H19" s="118">
        <f>IF(B$17=0,0,G19/B$17)</f>
        <v>0</v>
      </c>
      <c r="I19" s="80">
        <v>1</v>
      </c>
      <c r="K19" s="32">
        <v>17</v>
      </c>
      <c r="L19" s="85">
        <v>-32.899999999999984</v>
      </c>
      <c r="N19" s="100" t="s">
        <v>198</v>
      </c>
      <c r="O19" s="110">
        <f>IF(P19=0,0,Q19/P19)</f>
        <v>63.266666666666659</v>
      </c>
      <c r="P19" s="104">
        <v>6</v>
      </c>
      <c r="Q19" s="92">
        <v>379.59999999999997</v>
      </c>
    </row>
    <row r="20" spans="1:17">
      <c r="A20" s="47" t="s">
        <v>11</v>
      </c>
      <c r="B20" s="40">
        <v>40</v>
      </c>
      <c r="C20" s="33">
        <f>IF(B$17=0,0,B20/B$17)</f>
        <v>0.58823529411764708</v>
      </c>
      <c r="E20" s="55" t="s">
        <v>65</v>
      </c>
      <c r="F20" s="52" t="s">
        <v>28</v>
      </c>
      <c r="G20" s="40">
        <v>0</v>
      </c>
      <c r="H20" s="118">
        <f>IF(B$17=0,0,G20/B$17)</f>
        <v>0</v>
      </c>
      <c r="I20" s="80">
        <v>1</v>
      </c>
      <c r="K20" s="32">
        <v>18</v>
      </c>
      <c r="L20" s="85">
        <v>-91.499999999999986</v>
      </c>
      <c r="N20" s="100" t="s">
        <v>170</v>
      </c>
      <c r="O20" s="110">
        <f>IF(P20=0,0,Q20/P20)</f>
        <v>38.133333333333333</v>
      </c>
      <c r="P20" s="104">
        <v>6</v>
      </c>
      <c r="Q20" s="92">
        <v>228.8</v>
      </c>
    </row>
    <row r="21" spans="1:17">
      <c r="A21" s="47" t="s">
        <v>155</v>
      </c>
      <c r="B21" s="40">
        <v>37</v>
      </c>
      <c r="C21" s="33">
        <f>IF(B$17=0,0,B21/B$17)</f>
        <v>0.54411764705882348</v>
      </c>
      <c r="E21" s="55" t="s">
        <v>66</v>
      </c>
      <c r="F21" s="52" t="s">
        <v>29</v>
      </c>
      <c r="G21" s="40">
        <v>0</v>
      </c>
      <c r="H21" s="118">
        <f>IF(B$17=0,0,G21/B$17)</f>
        <v>0</v>
      </c>
      <c r="I21" s="80">
        <v>1</v>
      </c>
      <c r="K21" s="32">
        <v>19</v>
      </c>
      <c r="L21" s="85">
        <v>-3.6999999999999886</v>
      </c>
      <c r="N21" s="100" t="s">
        <v>173</v>
      </c>
      <c r="O21" s="110">
        <f>IF(P21=0,0,Q21/P21)</f>
        <v>9.7333333333333325</v>
      </c>
      <c r="P21" s="104">
        <v>15</v>
      </c>
      <c r="Q21" s="92">
        <v>146</v>
      </c>
    </row>
    <row r="22" spans="1:17">
      <c r="A22" s="47" t="s">
        <v>153</v>
      </c>
      <c r="B22" s="40">
        <v>21</v>
      </c>
      <c r="C22" s="33">
        <f>IF(B$17=0,0,B22/B$17)</f>
        <v>0.30882352941176472</v>
      </c>
      <c r="E22" s="55" t="s">
        <v>67</v>
      </c>
      <c r="F22" s="52" t="s">
        <v>30</v>
      </c>
      <c r="G22" s="40">
        <v>0</v>
      </c>
      <c r="H22" s="118">
        <f>IF(B$17=0,0,G22/B$17)</f>
        <v>0</v>
      </c>
      <c r="I22" s="80">
        <v>1</v>
      </c>
      <c r="K22" s="32">
        <v>20</v>
      </c>
      <c r="L22" s="85">
        <v>1.1546319456101628E-14</v>
      </c>
      <c r="N22" s="100" t="s">
        <v>165</v>
      </c>
      <c r="O22" s="110">
        <f>IF(P22=0,0,Q22/P22)</f>
        <v>6.2666666666666666</v>
      </c>
      <c r="P22" s="104">
        <v>15</v>
      </c>
      <c r="Q22" s="92">
        <v>94</v>
      </c>
    </row>
    <row r="23" spans="1:17">
      <c r="A23" s="47" t="s">
        <v>154</v>
      </c>
      <c r="B23" s="40">
        <v>10</v>
      </c>
      <c r="C23" s="33">
        <f>IF(B$17=0,0,B23/B$17)</f>
        <v>0.14705882352941177</v>
      </c>
      <c r="E23" s="55" t="s">
        <v>69</v>
      </c>
      <c r="F23" s="52" t="s">
        <v>32</v>
      </c>
      <c r="G23" s="40">
        <v>0</v>
      </c>
      <c r="H23" s="118">
        <f>IF(B$17=0,0,G23/B$17)</f>
        <v>0</v>
      </c>
      <c r="I23" s="80">
        <v>1</v>
      </c>
      <c r="K23" s="32">
        <v>21</v>
      </c>
      <c r="L23" s="85">
        <v>-52.599999999999987</v>
      </c>
      <c r="N23" s="100" t="s">
        <v>167</v>
      </c>
      <c r="O23" s="110">
        <f>IF(P23=0,0,Q23/P23)</f>
        <v>5.1111111111111178</v>
      </c>
      <c r="P23" s="104">
        <v>9</v>
      </c>
      <c r="Q23" s="92">
        <v>46.000000000000057</v>
      </c>
    </row>
    <row r="24" spans="1:17">
      <c r="A24" s="47" t="s">
        <v>5</v>
      </c>
      <c r="B24" s="44">
        <f>IF(B$17=0,0,C24/B$17)</f>
        <v>6750</v>
      </c>
      <c r="C24" s="35">
        <v>459000</v>
      </c>
      <c r="E24" s="55" t="s">
        <v>71</v>
      </c>
      <c r="F24" s="52" t="s">
        <v>34</v>
      </c>
      <c r="G24" s="40">
        <v>0</v>
      </c>
      <c r="H24" s="118">
        <f>IF(B$17=0,0,G24/B$17)</f>
        <v>0</v>
      </c>
      <c r="I24" s="80">
        <v>1</v>
      </c>
      <c r="K24" s="32">
        <v>22</v>
      </c>
      <c r="L24" s="85">
        <v>-68.399999999999991</v>
      </c>
      <c r="N24" s="100" t="s">
        <v>180</v>
      </c>
      <c r="O24" s="110">
        <f>IF(P24=0,0,Q24/P24)</f>
        <v>1.4666666666666668</v>
      </c>
      <c r="P24" s="104">
        <v>6</v>
      </c>
      <c r="Q24" s="92">
        <v>8.8000000000000007</v>
      </c>
    </row>
    <row r="25" spans="1:17">
      <c r="A25" s="48" t="s">
        <v>137</v>
      </c>
      <c r="B25" s="121">
        <f>IF($B$17-B$16=0,0,C25/($B$17-B$16))</f>
        <v>7838.2978723404258</v>
      </c>
      <c r="C25" s="122">
        <v>368400</v>
      </c>
      <c r="E25" s="55" t="s">
        <v>73</v>
      </c>
      <c r="F25" s="52" t="s">
        <v>36</v>
      </c>
      <c r="G25" s="40">
        <v>0</v>
      </c>
      <c r="H25" s="118">
        <f>IF(B$17=0,0,G25/B$17)</f>
        <v>0</v>
      </c>
      <c r="I25" s="80">
        <v>1</v>
      </c>
      <c r="K25" s="32">
        <v>23</v>
      </c>
      <c r="L25" s="85">
        <v>-13.199999999999989</v>
      </c>
      <c r="N25" s="100" t="s">
        <v>182</v>
      </c>
      <c r="O25" s="110">
        <f>IF(P25=0,0,Q25/P25)</f>
        <v>-2.6</v>
      </c>
      <c r="P25" s="104">
        <v>6</v>
      </c>
      <c r="Q25" s="92">
        <v>-15.600000000000001</v>
      </c>
    </row>
    <row r="26" spans="1:17">
      <c r="A26" s="48" t="s">
        <v>138</v>
      </c>
      <c r="B26" s="121">
        <f>IF(B$16=0,0,C26/B$16)</f>
        <v>4314.2857142857147</v>
      </c>
      <c r="C26" s="122">
        <v>90600</v>
      </c>
      <c r="E26" s="55" t="s">
        <v>74</v>
      </c>
      <c r="F26" s="52" t="s">
        <v>37</v>
      </c>
      <c r="G26" s="40">
        <v>0</v>
      </c>
      <c r="H26" s="118">
        <f>IF(B$17=0,0,G26/B$17)</f>
        <v>0</v>
      </c>
      <c r="I26" s="80">
        <v>1</v>
      </c>
      <c r="K26" s="32">
        <v>24</v>
      </c>
      <c r="L26" s="85">
        <v>1.0658141036401503E-14</v>
      </c>
      <c r="N26" s="100" t="s">
        <v>168</v>
      </c>
      <c r="O26" s="110">
        <f>IF(P26=0,0,Q26/P26)</f>
        <v>-4.5599999999999987</v>
      </c>
      <c r="P26" s="104">
        <v>15</v>
      </c>
      <c r="Q26" s="92">
        <v>-68.399999999999977</v>
      </c>
    </row>
    <row r="27" spans="1:17">
      <c r="A27" s="48" t="s">
        <v>136</v>
      </c>
      <c r="B27" s="121">
        <f>IF(B$18=0,0,C27/B$18)</f>
        <v>-6540</v>
      </c>
      <c r="C27" s="122">
        <v>-261600</v>
      </c>
      <c r="E27" s="55" t="s">
        <v>76</v>
      </c>
      <c r="F27" s="52" t="s">
        <v>39</v>
      </c>
      <c r="G27" s="40">
        <v>0</v>
      </c>
      <c r="H27" s="118">
        <f>IF(B$17=0,0,G27/B$17)</f>
        <v>0</v>
      </c>
      <c r="I27" s="80">
        <v>1</v>
      </c>
      <c r="K27" s="32">
        <v>25</v>
      </c>
      <c r="L27" s="85">
        <v>-45.899999999999991</v>
      </c>
      <c r="N27" s="100" t="s">
        <v>171</v>
      </c>
      <c r="O27" s="110">
        <f>IF(P27=0,0,Q27/P27)</f>
        <v>-18.666666666666664</v>
      </c>
      <c r="P27" s="104">
        <v>3</v>
      </c>
      <c r="Q27" s="92">
        <v>-55.999999999999993</v>
      </c>
    </row>
    <row r="28" spans="1:17">
      <c r="A28" s="47" t="s">
        <v>134</v>
      </c>
      <c r="B28" s="40">
        <v>3</v>
      </c>
      <c r="C28" s="120">
        <v>0</v>
      </c>
      <c r="E28" s="55" t="s">
        <v>77</v>
      </c>
      <c r="F28" s="52" t="s">
        <v>40</v>
      </c>
      <c r="G28" s="40">
        <v>0</v>
      </c>
      <c r="H28" s="118">
        <f>IF(B$17=0,0,G28/B$17)</f>
        <v>0</v>
      </c>
      <c r="I28" s="80">
        <v>1</v>
      </c>
      <c r="K28" s="32">
        <v>26</v>
      </c>
      <c r="L28" s="85">
        <v>-33.899999999999991</v>
      </c>
      <c r="N28" s="100" t="s">
        <v>184</v>
      </c>
      <c r="O28" s="110">
        <f>IF(P28=0,0,Q28/P28)</f>
        <v>-20.000000000000004</v>
      </c>
      <c r="P28" s="104">
        <v>9</v>
      </c>
      <c r="Q28" s="92">
        <v>-180.00000000000003</v>
      </c>
    </row>
    <row r="29" spans="1:17">
      <c r="A29" s="47" t="s">
        <v>135</v>
      </c>
      <c r="B29" s="40">
        <v>26</v>
      </c>
      <c r="C29" s="120">
        <v>9</v>
      </c>
      <c r="E29" s="55" t="s">
        <v>78</v>
      </c>
      <c r="F29" s="52" t="s">
        <v>41</v>
      </c>
      <c r="G29" s="40">
        <v>0</v>
      </c>
      <c r="H29" s="118">
        <f>IF(B$17=0,0,G29/B$17)</f>
        <v>0</v>
      </c>
      <c r="I29" s="80">
        <v>1</v>
      </c>
      <c r="K29" s="32">
        <v>27</v>
      </c>
      <c r="L29" s="85">
        <v>21.500000000000007</v>
      </c>
      <c r="N29" s="100" t="s">
        <v>166</v>
      </c>
      <c r="O29" s="110">
        <f>IF(P29=0,0,Q29/P29)</f>
        <v>-21.833333333333332</v>
      </c>
      <c r="P29" s="104">
        <v>12</v>
      </c>
      <c r="Q29" s="92">
        <v>-262</v>
      </c>
    </row>
    <row r="30" spans="1:17">
      <c r="A30" s="76" t="s">
        <v>115</v>
      </c>
      <c r="B30" s="142">
        <v>5</v>
      </c>
      <c r="C30" s="143"/>
      <c r="E30" s="55" t="s">
        <v>79</v>
      </c>
      <c r="F30" s="52" t="s">
        <v>42</v>
      </c>
      <c r="G30" s="40">
        <v>0</v>
      </c>
      <c r="H30" s="118">
        <f>IF(B$17=0,0,G30/B$17)</f>
        <v>0</v>
      </c>
      <c r="I30" s="80">
        <v>1</v>
      </c>
      <c r="K30" s="32">
        <v>28</v>
      </c>
      <c r="L30" s="85">
        <v>7.1054273576010019E-15</v>
      </c>
      <c r="N30" s="100" t="s">
        <v>172</v>
      </c>
      <c r="O30" s="110">
        <f>IF(P30=0,0,Q30/P30)</f>
        <v>-35.440000000000012</v>
      </c>
      <c r="P30" s="104">
        <v>15</v>
      </c>
      <c r="Q30" s="92">
        <v>-531.60000000000014</v>
      </c>
    </row>
    <row r="31" spans="1:17">
      <c r="A31" s="50" t="s">
        <v>152</v>
      </c>
      <c r="B31" s="144">
        <v>67800</v>
      </c>
      <c r="C31" s="145"/>
      <c r="E31" s="55" t="s">
        <v>80</v>
      </c>
      <c r="F31" s="52" t="s">
        <v>43</v>
      </c>
      <c r="G31" s="40">
        <v>0</v>
      </c>
      <c r="H31" s="118">
        <f>IF(B$17=0,0,G31/B$17)</f>
        <v>0</v>
      </c>
      <c r="I31" s="80">
        <v>1</v>
      </c>
      <c r="K31" s="32">
        <v>29</v>
      </c>
      <c r="L31" s="85">
        <v>-50.599999999999994</v>
      </c>
    </row>
    <row r="32" spans="1:17">
      <c r="A32" s="49" t="s">
        <v>116</v>
      </c>
      <c r="B32" s="57">
        <v>2</v>
      </c>
      <c r="C32" s="36">
        <f>IF(B$3=0,0,B32/B$3)</f>
        <v>6.024096385542169E-3</v>
      </c>
      <c r="E32" s="55" t="s">
        <v>81</v>
      </c>
      <c r="F32" s="52" t="s">
        <v>44</v>
      </c>
      <c r="G32" s="40">
        <v>0</v>
      </c>
      <c r="H32" s="118">
        <f>IF(B$17=0,0,G32/B$17)</f>
        <v>0</v>
      </c>
      <c r="I32" s="80">
        <v>1</v>
      </c>
      <c r="K32" s="32">
        <v>30</v>
      </c>
      <c r="L32" s="85">
        <v>7.7000000000000028</v>
      </c>
    </row>
    <row r="33" spans="1:12">
      <c r="E33" s="55" t="s">
        <v>82</v>
      </c>
      <c r="F33" s="52" t="s">
        <v>45</v>
      </c>
      <c r="G33" s="40">
        <v>0</v>
      </c>
      <c r="H33" s="118">
        <f>IF(B$17=0,0,G33/B$17)</f>
        <v>0</v>
      </c>
      <c r="I33" s="80">
        <v>1</v>
      </c>
      <c r="K33" s="32">
        <v>31</v>
      </c>
      <c r="L33" s="85">
        <v>-8.2999999999999972</v>
      </c>
    </row>
    <row r="34" spans="1:12">
      <c r="A34" s="129" t="s">
        <v>176</v>
      </c>
      <c r="B34" s="130" t="s">
        <v>96</v>
      </c>
      <c r="C34" s="131" t="s">
        <v>97</v>
      </c>
      <c r="E34" s="55" t="s">
        <v>83</v>
      </c>
      <c r="F34" s="52" t="s">
        <v>46</v>
      </c>
      <c r="G34" s="40">
        <v>0</v>
      </c>
      <c r="H34" s="118">
        <f>IF(B$17=0,0,G34/B$17)</f>
        <v>0</v>
      </c>
      <c r="I34" s="80">
        <v>1</v>
      </c>
      <c r="K34" s="32">
        <v>32</v>
      </c>
      <c r="L34" s="85">
        <v>3.5527136788005009E-15</v>
      </c>
    </row>
    <row r="35" spans="1:12">
      <c r="A35" s="76" t="s">
        <v>143</v>
      </c>
      <c r="B35" s="134">
        <v>10</v>
      </c>
      <c r="C35" s="126">
        <f t="shared" ref="C35:C47" si="3">IF(B$17=0,0,B35/B$17)</f>
        <v>0.14705882352941177</v>
      </c>
      <c r="E35" s="55" t="s">
        <v>84</v>
      </c>
      <c r="F35" s="52" t="s">
        <v>47</v>
      </c>
      <c r="G35" s="40">
        <v>0</v>
      </c>
      <c r="H35" s="118">
        <f>IF(B$17=0,0,G35/B$17)</f>
        <v>0</v>
      </c>
      <c r="I35" s="80">
        <v>1</v>
      </c>
      <c r="K35" s="32">
        <v>33</v>
      </c>
      <c r="L35" s="85">
        <v>6.6000000000000032</v>
      </c>
    </row>
    <row r="36" spans="1:12">
      <c r="A36" s="47" t="s">
        <v>139</v>
      </c>
      <c r="B36" s="40">
        <v>9</v>
      </c>
      <c r="C36" s="33">
        <f t="shared" si="3"/>
        <v>0.13235294117647059</v>
      </c>
      <c r="E36" s="55" t="s">
        <v>85</v>
      </c>
      <c r="F36" s="52" t="s">
        <v>48</v>
      </c>
      <c r="G36" s="40">
        <v>0</v>
      </c>
      <c r="H36" s="118">
        <f>IF(B$17=0,0,G36/B$17)</f>
        <v>0</v>
      </c>
      <c r="I36" s="80">
        <v>1</v>
      </c>
      <c r="K36" s="32">
        <v>34</v>
      </c>
      <c r="L36" s="85">
        <v>68.300000000000011</v>
      </c>
    </row>
    <row r="37" spans="1:12">
      <c r="A37" s="47" t="s">
        <v>140</v>
      </c>
      <c r="B37" s="135">
        <v>15</v>
      </c>
      <c r="C37" s="33">
        <f t="shared" si="3"/>
        <v>0.22058823529411764</v>
      </c>
      <c r="E37" s="55" t="s">
        <v>86</v>
      </c>
      <c r="F37" s="52" t="s">
        <v>49</v>
      </c>
      <c r="G37" s="40">
        <v>0</v>
      </c>
      <c r="H37" s="118">
        <f>IF(B$17=0,0,G37/B$17)</f>
        <v>0</v>
      </c>
      <c r="I37" s="80">
        <v>1</v>
      </c>
      <c r="K37" s="32">
        <v>35</v>
      </c>
      <c r="L37" s="85">
        <v>53.300000000000011</v>
      </c>
    </row>
    <row r="38" spans="1:12">
      <c r="A38" s="47" t="s">
        <v>141</v>
      </c>
      <c r="B38" s="135">
        <v>12</v>
      </c>
      <c r="C38" s="33">
        <f t="shared" si="3"/>
        <v>0.17647058823529413</v>
      </c>
      <c r="E38" s="55" t="s">
        <v>87</v>
      </c>
      <c r="F38" s="52" t="s">
        <v>50</v>
      </c>
      <c r="G38" s="40">
        <v>0</v>
      </c>
      <c r="H38" s="118">
        <f>IF(B$17=0,0,G38/B$17)</f>
        <v>0</v>
      </c>
      <c r="I38" s="80">
        <v>1</v>
      </c>
      <c r="K38" s="32">
        <v>36</v>
      </c>
      <c r="L38" s="85">
        <v>-9.9999999999999858</v>
      </c>
    </row>
    <row r="39" spans="1:12">
      <c r="A39" s="47" t="s">
        <v>142</v>
      </c>
      <c r="B39" s="135">
        <v>8</v>
      </c>
      <c r="C39" s="33">
        <f t="shared" si="3"/>
        <v>0.11764705882352941</v>
      </c>
      <c r="E39" s="55" t="s">
        <v>88</v>
      </c>
      <c r="F39" s="52" t="s">
        <v>51</v>
      </c>
      <c r="G39" s="40">
        <v>0</v>
      </c>
      <c r="H39" s="118">
        <f>IF(B$17=0,0,G39/B$17)</f>
        <v>0</v>
      </c>
      <c r="I39" s="80">
        <v>1</v>
      </c>
      <c r="K39" s="32">
        <v>37</v>
      </c>
      <c r="L39" s="85">
        <v>-61.499999999999986</v>
      </c>
    </row>
    <row r="40" spans="1:12">
      <c r="A40" s="47" t="s">
        <v>144</v>
      </c>
      <c r="B40" s="135">
        <v>13</v>
      </c>
      <c r="C40" s="33">
        <f t="shared" si="3"/>
        <v>0.19117647058823528</v>
      </c>
      <c r="E40" s="55" t="s">
        <v>89</v>
      </c>
      <c r="F40" s="52" t="s">
        <v>52</v>
      </c>
      <c r="G40" s="40">
        <v>0</v>
      </c>
      <c r="H40" s="118">
        <f>IF(B$17=0,0,G40/B$17)</f>
        <v>0</v>
      </c>
      <c r="I40" s="80">
        <v>1</v>
      </c>
      <c r="K40" s="32">
        <v>38</v>
      </c>
      <c r="L40" s="85">
        <v>-52.699999999999989</v>
      </c>
    </row>
    <row r="41" spans="1:12">
      <c r="A41" s="47" t="s">
        <v>145</v>
      </c>
      <c r="B41" s="135">
        <v>1</v>
      </c>
      <c r="C41" s="33">
        <f t="shared" si="3"/>
        <v>1.4705882352941176E-2</v>
      </c>
      <c r="E41" s="55" t="s">
        <v>90</v>
      </c>
      <c r="F41" s="52" t="s">
        <v>53</v>
      </c>
      <c r="G41" s="40">
        <v>0</v>
      </c>
      <c r="H41" s="118">
        <f>IF(B$17=0,0,G41/B$17)</f>
        <v>0</v>
      </c>
      <c r="I41" s="80">
        <v>1</v>
      </c>
      <c r="K41" s="32">
        <v>39</v>
      </c>
      <c r="L41" s="85">
        <v>7.6000000000000085</v>
      </c>
    </row>
    <row r="42" spans="1:12">
      <c r="A42" s="47" t="s">
        <v>146</v>
      </c>
      <c r="B42" s="135">
        <v>0</v>
      </c>
      <c r="C42" s="33">
        <f t="shared" si="3"/>
        <v>0</v>
      </c>
      <c r="E42" s="55" t="s">
        <v>91</v>
      </c>
      <c r="F42" s="52" t="s">
        <v>54</v>
      </c>
      <c r="G42" s="40">
        <v>0</v>
      </c>
      <c r="H42" s="118">
        <f>IF(B$17=0,0,G42/B$17)</f>
        <v>0</v>
      </c>
      <c r="I42" s="80">
        <v>1</v>
      </c>
      <c r="K42" s="32">
        <v>40</v>
      </c>
      <c r="L42" s="85">
        <v>-19.999999999999993</v>
      </c>
    </row>
    <row r="43" spans="1:12">
      <c r="A43" s="47" t="s">
        <v>147</v>
      </c>
      <c r="B43" s="135">
        <v>0</v>
      </c>
      <c r="C43" s="33">
        <f t="shared" si="3"/>
        <v>0</v>
      </c>
      <c r="E43" s="55" t="s">
        <v>92</v>
      </c>
      <c r="F43" s="52" t="s">
        <v>192</v>
      </c>
      <c r="G43" s="40">
        <v>0</v>
      </c>
      <c r="H43" s="118">
        <f>IF(B$17=0,0,G43/B$17)</f>
        <v>0</v>
      </c>
      <c r="I43" s="80">
        <v>1</v>
      </c>
    </row>
    <row r="44" spans="1:12">
      <c r="A44" s="47" t="s">
        <v>148</v>
      </c>
      <c r="B44" s="135">
        <v>0</v>
      </c>
      <c r="C44" s="33">
        <f t="shared" si="3"/>
        <v>0</v>
      </c>
      <c r="E44" s="55" t="s">
        <v>93</v>
      </c>
      <c r="F44" s="52" t="s">
        <v>193</v>
      </c>
      <c r="G44" s="40">
        <v>0</v>
      </c>
      <c r="H44" s="118">
        <f>IF(B$17=0,0,G44/B$17)</f>
        <v>0</v>
      </c>
      <c r="I44" s="80">
        <v>1</v>
      </c>
    </row>
    <row r="45" spans="1:12">
      <c r="A45" s="47" t="s">
        <v>149</v>
      </c>
      <c r="B45" s="135">
        <v>0</v>
      </c>
      <c r="C45" s="33">
        <f t="shared" si="3"/>
        <v>0</v>
      </c>
      <c r="E45" s="56" t="s">
        <v>94</v>
      </c>
      <c r="F45" s="53" t="s">
        <v>194</v>
      </c>
      <c r="G45" s="42">
        <v>0</v>
      </c>
      <c r="H45" s="119">
        <f>IF(B$17=0,0,G45/B$17)</f>
        <v>0</v>
      </c>
      <c r="I45" s="81">
        <v>1</v>
      </c>
    </row>
    <row r="46" spans="1:12">
      <c r="A46" s="47" t="s">
        <v>150</v>
      </c>
      <c r="B46" s="135">
        <v>0</v>
      </c>
      <c r="C46" s="33">
        <f t="shared" si="3"/>
        <v>0</v>
      </c>
    </row>
    <row r="47" spans="1:12">
      <c r="A47" s="49" t="s">
        <v>151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30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574BA1-580C-434D-BF6C-DDE8574CE301}">
  <sheetPr codeName="Sheet5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13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85" customWidth="1"/>
    <col min="13" max="13" width="3.59765625" style="27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27"/>
  </cols>
  <sheetData>
    <row r="1" spans="1:17">
      <c r="A1" s="45" t="s">
        <v>0</v>
      </c>
      <c r="B1" s="146" t="s">
        <v>168</v>
      </c>
      <c r="C1" s="147"/>
      <c r="E1" s="114" t="s">
        <v>133</v>
      </c>
      <c r="F1" s="133" t="s">
        <v>95</v>
      </c>
      <c r="G1" s="132" t="s">
        <v>96</v>
      </c>
      <c r="H1" s="115" t="s">
        <v>97</v>
      </c>
      <c r="I1" s="133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48">
        <v>5</v>
      </c>
      <c r="C2" s="149"/>
      <c r="E2" s="54" t="s">
        <v>55</v>
      </c>
      <c r="F2" s="51" t="s">
        <v>20</v>
      </c>
      <c r="G2" s="39">
        <v>7</v>
      </c>
      <c r="H2" s="117">
        <f>IF(B$17=0,0,G2/B$17)</f>
        <v>0.875</v>
      </c>
      <c r="I2" s="79">
        <v>3</v>
      </c>
      <c r="K2" s="30">
        <v>0</v>
      </c>
      <c r="L2" s="84">
        <v>0</v>
      </c>
      <c r="N2" s="99" t="s">
        <v>107</v>
      </c>
      <c r="O2" s="106">
        <f t="shared" ref="O2:O9" si="0">IF(P2=0,0,Q2/P2)</f>
        <v>1140</v>
      </c>
      <c r="P2" s="103">
        <v>5</v>
      </c>
      <c r="Q2" s="87">
        <v>5700</v>
      </c>
    </row>
    <row r="3" spans="1:17">
      <c r="A3" s="47" t="s">
        <v>8</v>
      </c>
      <c r="B3" s="150">
        <v>44</v>
      </c>
      <c r="C3" s="151"/>
      <c r="E3" s="55" t="s">
        <v>186</v>
      </c>
      <c r="F3" s="52" t="s">
        <v>160</v>
      </c>
      <c r="G3" s="40">
        <v>3</v>
      </c>
      <c r="H3" s="118">
        <f>IF(B$17=0,0,G3/B$17)</f>
        <v>0.375</v>
      </c>
      <c r="I3" s="80">
        <v>10</v>
      </c>
      <c r="K3" s="32">
        <v>1</v>
      </c>
      <c r="L3" s="85">
        <v>11.9</v>
      </c>
      <c r="N3" s="100" t="s">
        <v>108</v>
      </c>
      <c r="O3" s="107">
        <f t="shared" si="0"/>
        <v>-580</v>
      </c>
      <c r="P3" s="104">
        <v>5</v>
      </c>
      <c r="Q3" s="88">
        <v>-2900</v>
      </c>
    </row>
    <row r="4" spans="1:17">
      <c r="A4" s="47" t="s">
        <v>6</v>
      </c>
      <c r="B4" s="152">
        <v>17.099999999999994</v>
      </c>
      <c r="C4" s="153"/>
      <c r="E4" s="55" t="s">
        <v>61</v>
      </c>
      <c r="F4" s="52" t="s">
        <v>24</v>
      </c>
      <c r="G4" s="40">
        <v>3</v>
      </c>
      <c r="H4" s="118">
        <f>IF(B$17=0,0,G4/B$17)</f>
        <v>0.375</v>
      </c>
      <c r="I4" s="80">
        <v>7</v>
      </c>
      <c r="K4" s="32">
        <v>2</v>
      </c>
      <c r="L4" s="85">
        <v>-40.200000000000003</v>
      </c>
      <c r="N4" s="100" t="s">
        <v>109</v>
      </c>
      <c r="O4" s="107">
        <f t="shared" si="0"/>
        <v>1400</v>
      </c>
      <c r="P4" s="104">
        <v>5</v>
      </c>
      <c r="Q4" s="88">
        <v>7000</v>
      </c>
    </row>
    <row r="5" spans="1:17">
      <c r="A5" s="47" t="s">
        <v>7</v>
      </c>
      <c r="B5" s="154">
        <f>IF(B$2=0,0,B$4/B$2)</f>
        <v>3.419999999999999</v>
      </c>
      <c r="C5" s="155"/>
      <c r="E5" s="55" t="s">
        <v>56</v>
      </c>
      <c r="F5" s="52" t="s">
        <v>159</v>
      </c>
      <c r="G5" s="40">
        <v>2</v>
      </c>
      <c r="H5" s="118">
        <f>IF(B$17=0,0,G5/B$17)</f>
        <v>0.25</v>
      </c>
      <c r="I5" s="80">
        <v>8</v>
      </c>
      <c r="K5" s="32">
        <v>3</v>
      </c>
      <c r="L5" s="85">
        <v>-53.2</v>
      </c>
      <c r="N5" s="100" t="s">
        <v>161</v>
      </c>
      <c r="O5" s="107">
        <f>IF(P5=0,0,Q5/P5)</f>
        <v>380</v>
      </c>
      <c r="P5" s="104">
        <v>5</v>
      </c>
      <c r="Q5" s="88">
        <v>1900</v>
      </c>
    </row>
    <row r="6" spans="1:17">
      <c r="A6" s="47" t="s">
        <v>1</v>
      </c>
      <c r="B6" s="156">
        <f>IF(B$2=0,0,(B$7*1+B$8*2+B$9*3+B$10*4)/B$2)</f>
        <v>2.4</v>
      </c>
      <c r="C6" s="157"/>
      <c r="E6" s="55" t="s">
        <v>58</v>
      </c>
      <c r="F6" s="52" t="s">
        <v>21</v>
      </c>
      <c r="G6" s="40">
        <v>2</v>
      </c>
      <c r="H6" s="118">
        <f>IF(B$17=0,0,G6/B$17)</f>
        <v>0.25</v>
      </c>
      <c r="I6" s="80">
        <v>7</v>
      </c>
      <c r="K6" s="32">
        <v>4</v>
      </c>
      <c r="L6" s="85">
        <v>-41.2</v>
      </c>
      <c r="N6" s="100" t="s">
        <v>110</v>
      </c>
      <c r="O6" s="107">
        <f t="shared" ref="O6" si="1">IF(P6=0,0,Q6/P6)</f>
        <v>1040</v>
      </c>
      <c r="P6" s="104">
        <v>5</v>
      </c>
      <c r="Q6" s="88">
        <v>5200</v>
      </c>
    </row>
    <row r="7" spans="1:17">
      <c r="A7" s="47" t="s">
        <v>2</v>
      </c>
      <c r="B7" s="40">
        <v>1</v>
      </c>
      <c r="C7" s="33">
        <f t="shared" ref="C7:C12" si="2">IF(B$2=0,0,B7/B$2)</f>
        <v>0.2</v>
      </c>
      <c r="E7" s="55" t="s">
        <v>60</v>
      </c>
      <c r="F7" s="52" t="s">
        <v>23</v>
      </c>
      <c r="G7" s="40">
        <v>2</v>
      </c>
      <c r="H7" s="118">
        <f>IF(B$17=0,0,G7/B$17)</f>
        <v>0.25</v>
      </c>
      <c r="I7" s="80">
        <v>1</v>
      </c>
      <c r="K7" s="32">
        <v>5</v>
      </c>
      <c r="L7" s="85">
        <v>17.099999999999994</v>
      </c>
      <c r="N7" s="100" t="s">
        <v>111</v>
      </c>
      <c r="O7" s="107">
        <f t="shared" si="0"/>
        <v>-1125</v>
      </c>
      <c r="P7" s="104">
        <v>4</v>
      </c>
      <c r="Q7" s="88">
        <v>-4500</v>
      </c>
    </row>
    <row r="8" spans="1:17">
      <c r="A8" s="47" t="s">
        <v>3</v>
      </c>
      <c r="B8" s="40">
        <v>2</v>
      </c>
      <c r="C8" s="33">
        <f>IF(B$2=0,0,B8/B$2)</f>
        <v>0.4</v>
      </c>
      <c r="E8" s="55" t="s">
        <v>72</v>
      </c>
      <c r="F8" s="52" t="s">
        <v>35</v>
      </c>
      <c r="G8" s="40">
        <v>2</v>
      </c>
      <c r="H8" s="118">
        <f>IF(B$17=0,0,G8/B$17)</f>
        <v>0.25</v>
      </c>
      <c r="I8" s="80">
        <v>1</v>
      </c>
      <c r="N8" s="100" t="s">
        <v>112</v>
      </c>
      <c r="O8" s="107">
        <f t="shared" si="0"/>
        <v>-2433.3333333333335</v>
      </c>
      <c r="P8" s="104">
        <v>3</v>
      </c>
      <c r="Q8" s="88">
        <v>-7300</v>
      </c>
    </row>
    <row r="9" spans="1:17">
      <c r="A9" s="48" t="s">
        <v>4</v>
      </c>
      <c r="B9" s="41">
        <v>1</v>
      </c>
      <c r="C9" s="34">
        <f>IF(B$2=0,0,B9/B$2)</f>
        <v>0.2</v>
      </c>
      <c r="E9" s="55" t="s">
        <v>189</v>
      </c>
      <c r="F9" s="52" t="s">
        <v>195</v>
      </c>
      <c r="G9" s="40">
        <v>2</v>
      </c>
      <c r="H9" s="118">
        <f>IF(B$17=0,0,G9/B$17)</f>
        <v>0.25</v>
      </c>
      <c r="I9" s="80">
        <v>9</v>
      </c>
      <c r="N9" s="101" t="s">
        <v>162</v>
      </c>
      <c r="O9" s="108">
        <f t="shared" si="0"/>
        <v>3500</v>
      </c>
      <c r="P9" s="105">
        <v>2</v>
      </c>
      <c r="Q9" s="89">
        <v>7000</v>
      </c>
    </row>
    <row r="10" spans="1:17">
      <c r="A10" s="48" t="s">
        <v>156</v>
      </c>
      <c r="B10" s="41">
        <v>1</v>
      </c>
      <c r="C10" s="34">
        <f>IF(B$2=0,0,B10/B$2)</f>
        <v>0.2</v>
      </c>
      <c r="E10" s="55" t="s">
        <v>187</v>
      </c>
      <c r="F10" s="52" t="s">
        <v>19</v>
      </c>
      <c r="G10" s="40">
        <v>1</v>
      </c>
      <c r="H10" s="118">
        <f>IF(B$17=0,0,G10/B$17)</f>
        <v>0.125</v>
      </c>
      <c r="I10" s="80">
        <v>8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3</v>
      </c>
      <c r="C11" s="34">
        <f>IF(B$2=0,0,B11/B$2)</f>
        <v>0.6</v>
      </c>
      <c r="E11" s="55" t="s">
        <v>57</v>
      </c>
      <c r="F11" s="52" t="s">
        <v>190</v>
      </c>
      <c r="G11" s="40">
        <v>1</v>
      </c>
      <c r="H11" s="118">
        <f>IF(B$17=0,0,G11/B$17)</f>
        <v>0.125</v>
      </c>
      <c r="I11" s="80">
        <v>11</v>
      </c>
      <c r="N11" s="98" t="s">
        <v>175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59</v>
      </c>
      <c r="F12" s="52" t="s">
        <v>22</v>
      </c>
      <c r="G12" s="40">
        <v>1</v>
      </c>
      <c r="H12" s="118">
        <f>IF(B$17=0,0,G12/B$17)</f>
        <v>0.125</v>
      </c>
      <c r="I12" s="80">
        <v>2</v>
      </c>
      <c r="N12" s="99" t="s">
        <v>130</v>
      </c>
      <c r="O12" s="109">
        <f>IF(P12=0,0,Q12/P12)</f>
        <v>-20.100000000000001</v>
      </c>
      <c r="P12" s="103">
        <v>2</v>
      </c>
      <c r="Q12" s="91">
        <v>-40.200000000000003</v>
      </c>
    </row>
    <row r="13" spans="1:17">
      <c r="A13" s="50" t="s">
        <v>101</v>
      </c>
      <c r="B13" s="43">
        <v>12</v>
      </c>
      <c r="C13" s="38">
        <f>IF(B$3=0,0,B13/B$3)</f>
        <v>0.27272727272727271</v>
      </c>
      <c r="E13" s="55" t="s">
        <v>68</v>
      </c>
      <c r="F13" s="52" t="s">
        <v>31</v>
      </c>
      <c r="G13" s="40">
        <v>1</v>
      </c>
      <c r="H13" s="118">
        <f>IF(B$17=0,0,G13/B$17)</f>
        <v>0.125</v>
      </c>
      <c r="I13" s="80">
        <v>1</v>
      </c>
      <c r="N13" s="100" t="s">
        <v>131</v>
      </c>
      <c r="O13" s="110">
        <f>IF(P13=0,0,Q13/P13)</f>
        <v>35.15</v>
      </c>
      <c r="P13" s="104">
        <v>2</v>
      </c>
      <c r="Q13" s="92">
        <v>70.3</v>
      </c>
    </row>
    <row r="14" spans="1:17">
      <c r="A14" s="47" t="s">
        <v>98</v>
      </c>
      <c r="B14" s="40">
        <v>9</v>
      </c>
      <c r="C14" s="33">
        <f>IF(B$3=0,0,B14/B$3)</f>
        <v>0.20454545454545456</v>
      </c>
      <c r="E14" s="55" t="s">
        <v>62</v>
      </c>
      <c r="F14" s="52" t="s">
        <v>25</v>
      </c>
      <c r="G14" s="40">
        <v>0</v>
      </c>
      <c r="H14" s="118">
        <f>IF(B$17=0,0,G14/B$17)</f>
        <v>0</v>
      </c>
      <c r="I14" s="80">
        <v>1</v>
      </c>
      <c r="N14" s="100" t="s">
        <v>132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103</v>
      </c>
      <c r="B15" s="39">
        <f>B21</f>
        <v>3</v>
      </c>
      <c r="C15" s="31">
        <f>IF(B$13=0,0,B15/B$13)</f>
        <v>0.25</v>
      </c>
      <c r="E15" s="55" t="s">
        <v>63</v>
      </c>
      <c r="F15" s="52" t="s">
        <v>26</v>
      </c>
      <c r="G15" s="40">
        <v>0</v>
      </c>
      <c r="H15" s="118">
        <f>IF(B$17=0,0,G15/B$17)</f>
        <v>0</v>
      </c>
      <c r="I15" s="80">
        <v>1</v>
      </c>
      <c r="N15" s="101" t="s">
        <v>163</v>
      </c>
      <c r="O15" s="111">
        <f>IF(P15=0,0,Q15/P15)</f>
        <v>-13</v>
      </c>
      <c r="P15" s="105">
        <v>1</v>
      </c>
      <c r="Q15" s="93">
        <v>-13</v>
      </c>
    </row>
    <row r="16" spans="1:17">
      <c r="A16" s="46" t="s">
        <v>104</v>
      </c>
      <c r="B16" s="39">
        <f>B22</f>
        <v>4</v>
      </c>
      <c r="C16" s="31">
        <f>IF(B$14=0,0,B16/B$14)</f>
        <v>0.44444444444444442</v>
      </c>
      <c r="E16" s="55" t="s">
        <v>64</v>
      </c>
      <c r="F16" s="52" t="s">
        <v>27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8</v>
      </c>
      <c r="C17" s="31">
        <f>IF(B$3=0,0,B17/B$3)</f>
        <v>0.18181818181818182</v>
      </c>
      <c r="E17" s="55" t="s">
        <v>65</v>
      </c>
      <c r="F17" s="52" t="s">
        <v>28</v>
      </c>
      <c r="G17" s="40">
        <v>0</v>
      </c>
      <c r="H17" s="118">
        <f>IF(B$17=0,0,G17/B$17)</f>
        <v>0</v>
      </c>
      <c r="I17" s="80">
        <v>1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3</v>
      </c>
      <c r="C18" s="33">
        <f>IF(B$3=0,0,B18/B$3)</f>
        <v>6.8181818181818177E-2</v>
      </c>
      <c r="E18" s="55" t="s">
        <v>66</v>
      </c>
      <c r="F18" s="52" t="s">
        <v>29</v>
      </c>
      <c r="G18" s="40">
        <v>0</v>
      </c>
      <c r="H18" s="118">
        <f>IF(B$17=0,0,G18/B$17)</f>
        <v>0</v>
      </c>
      <c r="I18" s="80">
        <v>1</v>
      </c>
      <c r="N18" s="99" t="s">
        <v>167</v>
      </c>
      <c r="O18" s="109">
        <f>IF(P18=0,0,Q18/P18)</f>
        <v>72.95</v>
      </c>
      <c r="P18" s="103">
        <v>2</v>
      </c>
      <c r="Q18" s="91">
        <v>145.9</v>
      </c>
    </row>
    <row r="19" spans="1:17">
      <c r="A19" s="47" t="s">
        <v>12</v>
      </c>
      <c r="B19" s="40">
        <v>1</v>
      </c>
      <c r="C19" s="33">
        <f>IF(B$17=0,0,B19/B$17)</f>
        <v>0.125</v>
      </c>
      <c r="E19" s="55" t="s">
        <v>67</v>
      </c>
      <c r="F19" s="52" t="s">
        <v>30</v>
      </c>
      <c r="G19" s="40">
        <v>0</v>
      </c>
      <c r="H19" s="118">
        <f>IF(B$17=0,0,G19/B$17)</f>
        <v>0</v>
      </c>
      <c r="I19" s="80">
        <v>1</v>
      </c>
      <c r="N19" s="100" t="s">
        <v>198</v>
      </c>
      <c r="O19" s="110">
        <f>IF(P19=0,0,Q19/P19)</f>
        <v>57.9</v>
      </c>
      <c r="P19" s="104">
        <v>1</v>
      </c>
      <c r="Q19" s="92">
        <v>57.9</v>
      </c>
    </row>
    <row r="20" spans="1:17">
      <c r="A20" s="47" t="s">
        <v>11</v>
      </c>
      <c r="B20" s="40">
        <v>7</v>
      </c>
      <c r="C20" s="33">
        <f>IF(B$17=0,0,B20/B$17)</f>
        <v>0.875</v>
      </c>
      <c r="E20" s="55" t="s">
        <v>188</v>
      </c>
      <c r="F20" s="52" t="s">
        <v>191</v>
      </c>
      <c r="G20" s="40">
        <v>0</v>
      </c>
      <c r="H20" s="118">
        <f>IF(B$17=0,0,G20/B$17)</f>
        <v>0</v>
      </c>
      <c r="I20" s="80">
        <v>3</v>
      </c>
      <c r="N20" s="100" t="s">
        <v>166</v>
      </c>
      <c r="O20" s="110">
        <f>IF(P20=0,0,Q20/P20)</f>
        <v>34.833333333333336</v>
      </c>
      <c r="P20" s="104">
        <v>3</v>
      </c>
      <c r="Q20" s="92">
        <v>104.5</v>
      </c>
    </row>
    <row r="21" spans="1:17">
      <c r="A21" s="47" t="s">
        <v>155</v>
      </c>
      <c r="B21" s="40">
        <v>3</v>
      </c>
      <c r="C21" s="33">
        <f>IF(B$17=0,0,B21/B$17)</f>
        <v>0.375</v>
      </c>
      <c r="E21" s="55" t="s">
        <v>69</v>
      </c>
      <c r="F21" s="52" t="s">
        <v>32</v>
      </c>
      <c r="G21" s="40">
        <v>0</v>
      </c>
      <c r="H21" s="118">
        <f>IF(B$17=0,0,G21/B$17)</f>
        <v>0</v>
      </c>
      <c r="I21" s="80">
        <v>1</v>
      </c>
      <c r="N21" s="100" t="s">
        <v>184</v>
      </c>
      <c r="O21" s="110">
        <f>IF(P21=0,0,Q21/P21)</f>
        <v>33.5</v>
      </c>
      <c r="P21" s="104">
        <v>1</v>
      </c>
      <c r="Q21" s="92">
        <v>33.5</v>
      </c>
    </row>
    <row r="22" spans="1:17">
      <c r="A22" s="47" t="s">
        <v>153</v>
      </c>
      <c r="B22" s="40">
        <v>4</v>
      </c>
      <c r="C22" s="33">
        <f>IF(B$17=0,0,B22/B$17)</f>
        <v>0.5</v>
      </c>
      <c r="E22" s="55" t="s">
        <v>70</v>
      </c>
      <c r="F22" s="52" t="s">
        <v>33</v>
      </c>
      <c r="G22" s="40">
        <v>0</v>
      </c>
      <c r="H22" s="118">
        <f>IF(B$17=0,0,G22/B$17)</f>
        <v>0</v>
      </c>
      <c r="I22" s="80">
        <v>3</v>
      </c>
      <c r="N22" s="100" t="s">
        <v>173</v>
      </c>
      <c r="O22" s="110">
        <f>IF(P22=0,0,Q22/P22)</f>
        <v>11.099999999999998</v>
      </c>
      <c r="P22" s="104">
        <v>2</v>
      </c>
      <c r="Q22" s="92">
        <v>22.199999999999996</v>
      </c>
    </row>
    <row r="23" spans="1:17">
      <c r="A23" s="47" t="s">
        <v>154</v>
      </c>
      <c r="B23" s="40">
        <v>1</v>
      </c>
      <c r="C23" s="33">
        <f>IF(B$17=0,0,B23/B$17)</f>
        <v>0.125</v>
      </c>
      <c r="E23" s="55" t="s">
        <v>71</v>
      </c>
      <c r="F23" s="52" t="s">
        <v>34</v>
      </c>
      <c r="G23" s="40">
        <v>0</v>
      </c>
      <c r="H23" s="118">
        <f>IF(B$17=0,0,G23/B$17)</f>
        <v>0</v>
      </c>
      <c r="I23" s="80">
        <v>1</v>
      </c>
      <c r="N23" s="100" t="s">
        <v>165</v>
      </c>
      <c r="O23" s="110">
        <f>IF(P23=0,0,Q23/P23)</f>
        <v>-15.233333333333334</v>
      </c>
      <c r="P23" s="104">
        <v>3</v>
      </c>
      <c r="Q23" s="92">
        <v>-45.7</v>
      </c>
    </row>
    <row r="24" spans="1:17">
      <c r="A24" s="47" t="s">
        <v>5</v>
      </c>
      <c r="B24" s="44">
        <f>IF(B$17=0,0,C24/B$17)</f>
        <v>6512.5</v>
      </c>
      <c r="C24" s="35">
        <v>52100</v>
      </c>
      <c r="E24" s="55" t="s">
        <v>73</v>
      </c>
      <c r="F24" s="52" t="s">
        <v>36</v>
      </c>
      <c r="G24" s="40">
        <v>0</v>
      </c>
      <c r="H24" s="118">
        <f>IF(B$17=0,0,G24/B$17)</f>
        <v>0</v>
      </c>
      <c r="I24" s="80">
        <v>1</v>
      </c>
      <c r="N24" s="100" t="s">
        <v>180</v>
      </c>
      <c r="O24" s="110">
        <f>IF(P24=0,0,Q24/P24)</f>
        <v>-65.7</v>
      </c>
      <c r="P24" s="104">
        <v>1</v>
      </c>
      <c r="Q24" s="92">
        <v>-65.7</v>
      </c>
    </row>
    <row r="25" spans="1:17">
      <c r="A25" s="48" t="s">
        <v>137</v>
      </c>
      <c r="B25" s="121">
        <f>IF($B$17-B$16=0,0,C25/($B$17-B$16))</f>
        <v>6275</v>
      </c>
      <c r="C25" s="122">
        <v>25100</v>
      </c>
      <c r="E25" s="55" t="s">
        <v>74</v>
      </c>
      <c r="F25" s="52" t="s">
        <v>37</v>
      </c>
      <c r="G25" s="40">
        <v>0</v>
      </c>
      <c r="H25" s="118">
        <f>IF(B$17=0,0,G25/B$17)</f>
        <v>0</v>
      </c>
      <c r="I25" s="80">
        <v>1</v>
      </c>
      <c r="N25" s="100" t="s">
        <v>182</v>
      </c>
      <c r="O25" s="110">
        <f>IF(P25=0,0,Q25/P25)</f>
        <v>-75.5</v>
      </c>
      <c r="P25" s="104">
        <v>1</v>
      </c>
      <c r="Q25" s="92">
        <v>-75.5</v>
      </c>
    </row>
    <row r="26" spans="1:17">
      <c r="A26" s="48" t="s">
        <v>138</v>
      </c>
      <c r="B26" s="121">
        <f>IF(B$16=0,0,C26/B$16)</f>
        <v>6750</v>
      </c>
      <c r="C26" s="122">
        <v>27000</v>
      </c>
      <c r="E26" s="55" t="s">
        <v>75</v>
      </c>
      <c r="F26" s="52" t="s">
        <v>38</v>
      </c>
      <c r="G26" s="40">
        <v>0</v>
      </c>
      <c r="H26" s="118">
        <f>IF(B$17=0,0,G26/B$17)</f>
        <v>0</v>
      </c>
      <c r="I26" s="80">
        <v>4</v>
      </c>
      <c r="N26" s="100" t="s">
        <v>172</v>
      </c>
      <c r="O26" s="110">
        <f>IF(P26=0,0,Q26/P26)</f>
        <v>-108.7</v>
      </c>
      <c r="P26" s="104">
        <v>1</v>
      </c>
      <c r="Q26" s="92">
        <v>-108.7</v>
      </c>
    </row>
    <row r="27" spans="1:17">
      <c r="A27" s="48" t="s">
        <v>136</v>
      </c>
      <c r="B27" s="121">
        <f>IF(B$18=0,0,C27/B$18)</f>
        <v>-3866.6666666666665</v>
      </c>
      <c r="C27" s="122">
        <v>-11600</v>
      </c>
      <c r="E27" s="55" t="s">
        <v>76</v>
      </c>
      <c r="F27" s="52" t="s">
        <v>39</v>
      </c>
      <c r="G27" s="40">
        <v>0</v>
      </c>
      <c r="H27" s="118">
        <f>IF(B$17=0,0,G27/B$17)</f>
        <v>0</v>
      </c>
      <c r="I27" s="80">
        <v>1</v>
      </c>
    </row>
    <row r="28" spans="1:17">
      <c r="A28" s="47" t="s">
        <v>134</v>
      </c>
      <c r="B28" s="40">
        <v>2</v>
      </c>
      <c r="C28" s="120">
        <v>1</v>
      </c>
      <c r="E28" s="55" t="s">
        <v>77</v>
      </c>
      <c r="F28" s="52" t="s">
        <v>40</v>
      </c>
      <c r="G28" s="40">
        <v>0</v>
      </c>
      <c r="H28" s="118">
        <f>IF(B$17=0,0,G28/B$17)</f>
        <v>0</v>
      </c>
      <c r="I28" s="80">
        <v>1</v>
      </c>
    </row>
    <row r="29" spans="1:17">
      <c r="A29" s="47" t="s">
        <v>135</v>
      </c>
      <c r="B29" s="40">
        <v>18</v>
      </c>
      <c r="C29" s="120">
        <v>3</v>
      </c>
      <c r="E29" s="55" t="s">
        <v>78</v>
      </c>
      <c r="F29" s="52" t="s">
        <v>41</v>
      </c>
      <c r="G29" s="40">
        <v>0</v>
      </c>
      <c r="H29" s="118">
        <f>IF(B$17=0,0,G29/B$17)</f>
        <v>0</v>
      </c>
      <c r="I29" s="80">
        <v>1</v>
      </c>
    </row>
    <row r="30" spans="1:17">
      <c r="A30" s="76" t="s">
        <v>115</v>
      </c>
      <c r="B30" s="142">
        <v>4</v>
      </c>
      <c r="C30" s="143"/>
      <c r="E30" s="55" t="s">
        <v>79</v>
      </c>
      <c r="F30" s="52" t="s">
        <v>42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152</v>
      </c>
      <c r="B31" s="144">
        <v>38300</v>
      </c>
      <c r="C31" s="145"/>
      <c r="E31" s="55" t="s">
        <v>80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116</v>
      </c>
      <c r="B32" s="57">
        <v>0</v>
      </c>
      <c r="C32" s="36">
        <f>IF(B$3=0,0,B32/B$3)</f>
        <v>0</v>
      </c>
      <c r="E32" s="55" t="s">
        <v>81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176</v>
      </c>
      <c r="B34" s="130" t="s">
        <v>96</v>
      </c>
      <c r="C34" s="131" t="s">
        <v>97</v>
      </c>
      <c r="E34" s="55" t="s">
        <v>83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143</v>
      </c>
      <c r="B35" s="134">
        <v>1</v>
      </c>
      <c r="C35" s="126">
        <f t="shared" ref="C35:C47" si="3">IF(B$17=0,0,B35/B$17)</f>
        <v>0.125</v>
      </c>
      <c r="E35" s="55" t="s">
        <v>84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139</v>
      </c>
      <c r="B36" s="40">
        <v>1</v>
      </c>
      <c r="C36" s="33">
        <f t="shared" si="3"/>
        <v>0.125</v>
      </c>
      <c r="E36" s="55" t="s">
        <v>85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140</v>
      </c>
      <c r="B37" s="135">
        <v>2</v>
      </c>
      <c r="C37" s="33">
        <f t="shared" si="3"/>
        <v>0.25</v>
      </c>
      <c r="E37" s="55" t="s">
        <v>86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141</v>
      </c>
      <c r="B38" s="135">
        <v>1</v>
      </c>
      <c r="C38" s="33">
        <f t="shared" si="3"/>
        <v>0.125</v>
      </c>
      <c r="E38" s="55" t="s">
        <v>87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142</v>
      </c>
      <c r="B39" s="135">
        <v>1</v>
      </c>
      <c r="C39" s="33">
        <f t="shared" si="3"/>
        <v>0.125</v>
      </c>
      <c r="E39" s="55" t="s">
        <v>88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144</v>
      </c>
      <c r="B40" s="135">
        <v>2</v>
      </c>
      <c r="C40" s="33">
        <f t="shared" si="3"/>
        <v>0.25</v>
      </c>
      <c r="E40" s="55" t="s">
        <v>89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145</v>
      </c>
      <c r="B41" s="135">
        <v>0</v>
      </c>
      <c r="C41" s="33">
        <f t="shared" si="3"/>
        <v>0</v>
      </c>
      <c r="E41" s="55" t="s">
        <v>90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146</v>
      </c>
      <c r="B42" s="135">
        <v>0</v>
      </c>
      <c r="C42" s="33">
        <f t="shared" si="3"/>
        <v>0</v>
      </c>
      <c r="E42" s="55" t="s">
        <v>91</v>
      </c>
      <c r="F42" s="52" t="s">
        <v>54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147</v>
      </c>
      <c r="B43" s="135">
        <v>0</v>
      </c>
      <c r="C43" s="33">
        <f t="shared" si="3"/>
        <v>0</v>
      </c>
      <c r="E43" s="55" t="s">
        <v>92</v>
      </c>
      <c r="F43" s="52" t="s">
        <v>192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148</v>
      </c>
      <c r="B44" s="135">
        <v>0</v>
      </c>
      <c r="C44" s="33">
        <f t="shared" si="3"/>
        <v>0</v>
      </c>
      <c r="E44" s="55" t="s">
        <v>93</v>
      </c>
      <c r="F44" s="52" t="s">
        <v>193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149</v>
      </c>
      <c r="B45" s="135">
        <v>0</v>
      </c>
      <c r="C45" s="33">
        <f t="shared" si="3"/>
        <v>0</v>
      </c>
      <c r="E45" s="56" t="s">
        <v>94</v>
      </c>
      <c r="F45" s="53" t="s">
        <v>194</v>
      </c>
      <c r="G45" s="42">
        <v>0</v>
      </c>
      <c r="H45" s="119">
        <f>IF(B$17=0,0,G45/B$17)</f>
        <v>0</v>
      </c>
      <c r="I45" s="81">
        <v>1</v>
      </c>
    </row>
    <row r="46" spans="1:9">
      <c r="A46" s="47" t="s">
        <v>150</v>
      </c>
      <c r="B46" s="135">
        <v>0</v>
      </c>
      <c r="C46" s="33">
        <f t="shared" si="3"/>
        <v>0</v>
      </c>
    </row>
    <row r="47" spans="1:9">
      <c r="A47" s="49" t="s">
        <v>151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6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122656-6B56-43CB-920B-4B5FF6C24CBC}">
  <sheetPr codeName="Sheet6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13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85" customWidth="1"/>
    <col min="13" max="13" width="3.59765625" style="27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27"/>
  </cols>
  <sheetData>
    <row r="1" spans="1:17">
      <c r="A1" s="45" t="s">
        <v>0</v>
      </c>
      <c r="B1" s="146" t="s">
        <v>165</v>
      </c>
      <c r="C1" s="147"/>
      <c r="E1" s="114" t="s">
        <v>133</v>
      </c>
      <c r="F1" s="133" t="s">
        <v>95</v>
      </c>
      <c r="G1" s="132" t="s">
        <v>96</v>
      </c>
      <c r="H1" s="115" t="s">
        <v>97</v>
      </c>
      <c r="I1" s="133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48">
        <v>5</v>
      </c>
      <c r="C2" s="149"/>
      <c r="E2" s="54" t="s">
        <v>189</v>
      </c>
      <c r="F2" s="51" t="s">
        <v>195</v>
      </c>
      <c r="G2" s="39">
        <v>7</v>
      </c>
      <c r="H2" s="117">
        <f>IF(B$17=0,0,G2/B$17)</f>
        <v>0.875</v>
      </c>
      <c r="I2" s="79">
        <v>2</v>
      </c>
      <c r="K2" s="30">
        <v>0</v>
      </c>
      <c r="L2" s="84">
        <v>0</v>
      </c>
      <c r="N2" s="99" t="s">
        <v>107</v>
      </c>
      <c r="O2" s="106">
        <f t="shared" ref="O2:O9" si="0">IF(P2=0,0,Q2/P2)</f>
        <v>-2160</v>
      </c>
      <c r="P2" s="103">
        <v>5</v>
      </c>
      <c r="Q2" s="87">
        <v>-10800</v>
      </c>
    </row>
    <row r="3" spans="1:17">
      <c r="A3" s="47" t="s">
        <v>8</v>
      </c>
      <c r="B3" s="150">
        <v>42</v>
      </c>
      <c r="C3" s="151"/>
      <c r="E3" s="55" t="s">
        <v>55</v>
      </c>
      <c r="F3" s="52" t="s">
        <v>20</v>
      </c>
      <c r="G3" s="40">
        <v>5</v>
      </c>
      <c r="H3" s="118">
        <f>IF(B$17=0,0,G3/B$17)</f>
        <v>0.625</v>
      </c>
      <c r="I3" s="80">
        <v>6</v>
      </c>
      <c r="K3" s="32">
        <v>1</v>
      </c>
      <c r="L3" s="85">
        <v>74.900000000000006</v>
      </c>
      <c r="N3" s="100" t="s">
        <v>108</v>
      </c>
      <c r="O3" s="107">
        <f t="shared" si="0"/>
        <v>2200</v>
      </c>
      <c r="P3" s="104">
        <v>5</v>
      </c>
      <c r="Q3" s="88">
        <v>11000</v>
      </c>
    </row>
    <row r="4" spans="1:17">
      <c r="A4" s="47" t="s">
        <v>6</v>
      </c>
      <c r="B4" s="152">
        <v>-28.499999999999993</v>
      </c>
      <c r="C4" s="153"/>
      <c r="E4" s="55" t="s">
        <v>186</v>
      </c>
      <c r="F4" s="52" t="s">
        <v>160</v>
      </c>
      <c r="G4" s="40">
        <v>4</v>
      </c>
      <c r="H4" s="118">
        <f>IF(B$17=0,0,G4/B$17)</f>
        <v>0.5</v>
      </c>
      <c r="I4" s="80">
        <v>7</v>
      </c>
      <c r="K4" s="32">
        <v>2</v>
      </c>
      <c r="L4" s="85">
        <v>56.800000000000004</v>
      </c>
      <c r="N4" s="100" t="s">
        <v>109</v>
      </c>
      <c r="O4" s="107">
        <f t="shared" si="0"/>
        <v>1300</v>
      </c>
      <c r="P4" s="104">
        <v>5</v>
      </c>
      <c r="Q4" s="88">
        <v>6500</v>
      </c>
    </row>
    <row r="5" spans="1:17">
      <c r="A5" s="47" t="s">
        <v>7</v>
      </c>
      <c r="B5" s="154">
        <f>IF(B$2=0,0,B$4/B$2)</f>
        <v>-5.6999999999999984</v>
      </c>
      <c r="C5" s="155"/>
      <c r="E5" s="55" t="s">
        <v>61</v>
      </c>
      <c r="F5" s="52" t="s">
        <v>24</v>
      </c>
      <c r="G5" s="40">
        <v>4</v>
      </c>
      <c r="H5" s="118">
        <f>IF(B$17=0,0,G5/B$17)</f>
        <v>0.5</v>
      </c>
      <c r="I5" s="80">
        <v>4</v>
      </c>
      <c r="K5" s="32">
        <v>3</v>
      </c>
      <c r="L5" s="85">
        <v>-7.4999999999999929</v>
      </c>
      <c r="N5" s="100" t="s">
        <v>161</v>
      </c>
      <c r="O5" s="107">
        <f>IF(P5=0,0,Q5/P5)</f>
        <v>-440</v>
      </c>
      <c r="P5" s="104">
        <v>5</v>
      </c>
      <c r="Q5" s="88">
        <v>-2200</v>
      </c>
    </row>
    <row r="6" spans="1:17">
      <c r="A6" s="47" t="s">
        <v>1</v>
      </c>
      <c r="B6" s="156">
        <f>IF(B$2=0,0,(B$7*1+B$8*2+B$9*3+B$10*4)/B$2)</f>
        <v>2.6</v>
      </c>
      <c r="C6" s="157"/>
      <c r="E6" s="55" t="s">
        <v>56</v>
      </c>
      <c r="F6" s="52" t="s">
        <v>159</v>
      </c>
      <c r="G6" s="40">
        <v>3</v>
      </c>
      <c r="H6" s="118">
        <f>IF(B$17=0,0,G6/B$17)</f>
        <v>0.375</v>
      </c>
      <c r="I6" s="80">
        <v>4</v>
      </c>
      <c r="K6" s="32">
        <v>4</v>
      </c>
      <c r="L6" s="85">
        <v>-0.89999999999999325</v>
      </c>
      <c r="N6" s="100" t="s">
        <v>110</v>
      </c>
      <c r="O6" s="107">
        <f t="shared" ref="O6" si="1">IF(P6=0,0,Q6/P6)</f>
        <v>-1500</v>
      </c>
      <c r="P6" s="104">
        <v>5</v>
      </c>
      <c r="Q6" s="88">
        <v>-7500</v>
      </c>
    </row>
    <row r="7" spans="1:17">
      <c r="A7" s="47" t="s">
        <v>2</v>
      </c>
      <c r="B7" s="40">
        <v>1</v>
      </c>
      <c r="C7" s="33">
        <f t="shared" ref="C7:C12" si="2">IF(B$2=0,0,B7/B$2)</f>
        <v>0.2</v>
      </c>
      <c r="E7" s="55" t="s">
        <v>58</v>
      </c>
      <c r="F7" s="52" t="s">
        <v>21</v>
      </c>
      <c r="G7" s="40">
        <v>3</v>
      </c>
      <c r="H7" s="118">
        <f>IF(B$17=0,0,G7/B$17)</f>
        <v>0.375</v>
      </c>
      <c r="I7" s="80">
        <v>3</v>
      </c>
      <c r="K7" s="32">
        <v>5</v>
      </c>
      <c r="L7" s="85">
        <v>-28.499999999999993</v>
      </c>
      <c r="N7" s="100" t="s">
        <v>111</v>
      </c>
      <c r="O7" s="107">
        <f t="shared" si="0"/>
        <v>120</v>
      </c>
      <c r="P7" s="104">
        <v>5</v>
      </c>
      <c r="Q7" s="88">
        <v>600</v>
      </c>
    </row>
    <row r="8" spans="1:17">
      <c r="A8" s="47" t="s">
        <v>3</v>
      </c>
      <c r="B8" s="40">
        <v>1</v>
      </c>
      <c r="C8" s="33">
        <f>IF(B$2=0,0,B8/B$2)</f>
        <v>0.2</v>
      </c>
      <c r="E8" s="55" t="s">
        <v>57</v>
      </c>
      <c r="F8" s="52" t="s">
        <v>190</v>
      </c>
      <c r="G8" s="40">
        <v>1</v>
      </c>
      <c r="H8" s="118">
        <f>IF(B$17=0,0,G8/B$17)</f>
        <v>0.125</v>
      </c>
      <c r="I8" s="80">
        <v>11</v>
      </c>
      <c r="N8" s="100" t="s">
        <v>112</v>
      </c>
      <c r="O8" s="107">
        <f t="shared" si="0"/>
        <v>-1666.6666666666667</v>
      </c>
      <c r="P8" s="104">
        <v>3</v>
      </c>
      <c r="Q8" s="88">
        <v>-5000</v>
      </c>
    </row>
    <row r="9" spans="1:17">
      <c r="A9" s="48" t="s">
        <v>4</v>
      </c>
      <c r="B9" s="41">
        <v>2</v>
      </c>
      <c r="C9" s="34">
        <f>IF(B$2=0,0,B9/B$2)</f>
        <v>0.4</v>
      </c>
      <c r="E9" s="55" t="s">
        <v>59</v>
      </c>
      <c r="F9" s="52" t="s">
        <v>22</v>
      </c>
      <c r="G9" s="40">
        <v>1</v>
      </c>
      <c r="H9" s="118">
        <f>IF(B$17=0,0,G9/B$17)</f>
        <v>0.125</v>
      </c>
      <c r="I9" s="80">
        <v>2</v>
      </c>
      <c r="N9" s="101" t="s">
        <v>162</v>
      </c>
      <c r="O9" s="108">
        <f t="shared" si="0"/>
        <v>4900</v>
      </c>
      <c r="P9" s="105">
        <v>1</v>
      </c>
      <c r="Q9" s="89">
        <v>4900</v>
      </c>
    </row>
    <row r="10" spans="1:17">
      <c r="A10" s="48" t="s">
        <v>156</v>
      </c>
      <c r="B10" s="41">
        <v>1</v>
      </c>
      <c r="C10" s="34">
        <f>IF(B$2=0,0,B10/B$2)</f>
        <v>0.2</v>
      </c>
      <c r="E10" s="55" t="s">
        <v>60</v>
      </c>
      <c r="F10" s="52" t="s">
        <v>23</v>
      </c>
      <c r="G10" s="40">
        <v>1</v>
      </c>
      <c r="H10" s="118">
        <f>IF(B$17=0,0,G10/B$17)</f>
        <v>0.125</v>
      </c>
      <c r="I10" s="80">
        <v>5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2</v>
      </c>
      <c r="C11" s="34">
        <f>IF(B$2=0,0,B11/B$2)</f>
        <v>0.4</v>
      </c>
      <c r="E11" s="55" t="s">
        <v>75</v>
      </c>
      <c r="F11" s="52" t="s">
        <v>38</v>
      </c>
      <c r="G11" s="40">
        <v>1</v>
      </c>
      <c r="H11" s="118">
        <f>IF(B$17=0,0,G11/B$17)</f>
        <v>0.125</v>
      </c>
      <c r="I11" s="80">
        <v>2</v>
      </c>
      <c r="N11" s="98" t="s">
        <v>175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1</v>
      </c>
      <c r="C12" s="36">
        <f t="shared" si="2"/>
        <v>0.2</v>
      </c>
      <c r="E12" s="55" t="s">
        <v>187</v>
      </c>
      <c r="F12" s="52" t="s">
        <v>19</v>
      </c>
      <c r="G12" s="40">
        <v>0</v>
      </c>
      <c r="H12" s="118">
        <f>IF(B$17=0,0,G12/B$17)</f>
        <v>0</v>
      </c>
      <c r="I12" s="80">
        <v>9</v>
      </c>
      <c r="N12" s="99" t="s">
        <v>130</v>
      </c>
      <c r="O12" s="109">
        <f>IF(P12=0,0,Q12/P12)</f>
        <v>6.6</v>
      </c>
      <c r="P12" s="103">
        <v>1</v>
      </c>
      <c r="Q12" s="91">
        <v>6.6</v>
      </c>
    </row>
    <row r="13" spans="1:17">
      <c r="A13" s="50" t="s">
        <v>101</v>
      </c>
      <c r="B13" s="43">
        <v>9</v>
      </c>
      <c r="C13" s="38">
        <f>IF(B$3=0,0,B13/B$3)</f>
        <v>0.21428571428571427</v>
      </c>
      <c r="E13" s="55" t="s">
        <v>62</v>
      </c>
      <c r="F13" s="52" t="s">
        <v>25</v>
      </c>
      <c r="G13" s="40">
        <v>0</v>
      </c>
      <c r="H13" s="118">
        <f>IF(B$17=0,0,G13/B$17)</f>
        <v>0</v>
      </c>
      <c r="I13" s="80">
        <v>1</v>
      </c>
      <c r="N13" s="100" t="s">
        <v>131</v>
      </c>
      <c r="O13" s="110">
        <f>IF(P13=0,0,Q13/P13)</f>
        <v>74.900000000000006</v>
      </c>
      <c r="P13" s="104">
        <v>1</v>
      </c>
      <c r="Q13" s="92">
        <v>74.900000000000006</v>
      </c>
    </row>
    <row r="14" spans="1:17">
      <c r="A14" s="47" t="s">
        <v>98</v>
      </c>
      <c r="B14" s="40">
        <v>7</v>
      </c>
      <c r="C14" s="33">
        <f>IF(B$3=0,0,B14/B$3)</f>
        <v>0.16666666666666666</v>
      </c>
      <c r="E14" s="55" t="s">
        <v>63</v>
      </c>
      <c r="F14" s="52" t="s">
        <v>26</v>
      </c>
      <c r="G14" s="40">
        <v>0</v>
      </c>
      <c r="H14" s="118">
        <f>IF(B$17=0,0,G14/B$17)</f>
        <v>0</v>
      </c>
      <c r="I14" s="80">
        <v>1</v>
      </c>
      <c r="N14" s="100" t="s">
        <v>132</v>
      </c>
      <c r="O14" s="110">
        <f>IF(P14=0,0,Q14/P14)</f>
        <v>-64.3</v>
      </c>
      <c r="P14" s="104">
        <v>1</v>
      </c>
      <c r="Q14" s="92">
        <v>-64.3</v>
      </c>
    </row>
    <row r="15" spans="1:17">
      <c r="A15" s="46" t="s">
        <v>103</v>
      </c>
      <c r="B15" s="39">
        <f>B21</f>
        <v>4</v>
      </c>
      <c r="C15" s="31">
        <f>IF(B$13=0,0,B15/B$13)</f>
        <v>0.44444444444444442</v>
      </c>
      <c r="E15" s="55" t="s">
        <v>64</v>
      </c>
      <c r="F15" s="52" t="s">
        <v>27</v>
      </c>
      <c r="G15" s="40">
        <v>0</v>
      </c>
      <c r="H15" s="118">
        <f>IF(B$17=0,0,G15/B$17)</f>
        <v>0</v>
      </c>
      <c r="I15" s="80">
        <v>1</v>
      </c>
      <c r="N15" s="101" t="s">
        <v>163</v>
      </c>
      <c r="O15" s="111">
        <f>IF(P15=0,0,Q15/P15)</f>
        <v>-22.85</v>
      </c>
      <c r="P15" s="105">
        <v>2</v>
      </c>
      <c r="Q15" s="93">
        <v>-45.7</v>
      </c>
    </row>
    <row r="16" spans="1:17">
      <c r="A16" s="46" t="s">
        <v>104</v>
      </c>
      <c r="B16" s="39">
        <f>B22</f>
        <v>2</v>
      </c>
      <c r="C16" s="31">
        <f>IF(B$14=0,0,B16/B$14)</f>
        <v>0.2857142857142857</v>
      </c>
      <c r="E16" s="55" t="s">
        <v>65</v>
      </c>
      <c r="F16" s="52" t="s">
        <v>28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8</v>
      </c>
      <c r="C17" s="31">
        <f>IF(B$3=0,0,B17/B$3)</f>
        <v>0.19047619047619047</v>
      </c>
      <c r="E17" s="55" t="s">
        <v>66</v>
      </c>
      <c r="F17" s="52" t="s">
        <v>29</v>
      </c>
      <c r="G17" s="40">
        <v>0</v>
      </c>
      <c r="H17" s="118">
        <f>IF(B$17=0,0,G17/B$17)</f>
        <v>0</v>
      </c>
      <c r="I17" s="80">
        <v>1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6</v>
      </c>
      <c r="C18" s="33">
        <f>IF(B$3=0,0,B18/B$3)</f>
        <v>0.14285714285714285</v>
      </c>
      <c r="E18" s="55" t="s">
        <v>67</v>
      </c>
      <c r="F18" s="52" t="s">
        <v>30</v>
      </c>
      <c r="G18" s="40">
        <v>0</v>
      </c>
      <c r="H18" s="118">
        <f>IF(B$17=0,0,G18/B$17)</f>
        <v>0</v>
      </c>
      <c r="I18" s="80">
        <v>1</v>
      </c>
      <c r="N18" s="99" t="s">
        <v>166</v>
      </c>
      <c r="O18" s="109">
        <f>IF(P18=0,0,Q18/P18)</f>
        <v>136.60000000000002</v>
      </c>
      <c r="P18" s="103">
        <v>1</v>
      </c>
      <c r="Q18" s="91">
        <v>136.60000000000002</v>
      </c>
    </row>
    <row r="19" spans="1:17">
      <c r="A19" s="47" t="s">
        <v>12</v>
      </c>
      <c r="B19" s="40">
        <v>2</v>
      </c>
      <c r="C19" s="33">
        <f>IF(B$17=0,0,B19/B$17)</f>
        <v>0.25</v>
      </c>
      <c r="E19" s="55" t="s">
        <v>68</v>
      </c>
      <c r="F19" s="52" t="s">
        <v>31</v>
      </c>
      <c r="G19" s="40">
        <v>0</v>
      </c>
      <c r="H19" s="118">
        <f>IF(B$17=0,0,G19/B$17)</f>
        <v>0</v>
      </c>
      <c r="I19" s="80">
        <v>3</v>
      </c>
      <c r="N19" s="100" t="s">
        <v>198</v>
      </c>
      <c r="O19" s="110">
        <f>IF(P19=0,0,Q19/P19)</f>
        <v>23.9</v>
      </c>
      <c r="P19" s="104">
        <v>1</v>
      </c>
      <c r="Q19" s="92">
        <v>23.9</v>
      </c>
    </row>
    <row r="20" spans="1:17">
      <c r="A20" s="47" t="s">
        <v>11</v>
      </c>
      <c r="B20" s="40">
        <v>6</v>
      </c>
      <c r="C20" s="33">
        <f>IF(B$17=0,0,B20/B$17)</f>
        <v>0.75</v>
      </c>
      <c r="E20" s="55" t="s">
        <v>188</v>
      </c>
      <c r="F20" s="52" t="s">
        <v>191</v>
      </c>
      <c r="G20" s="40">
        <v>0</v>
      </c>
      <c r="H20" s="118">
        <f>IF(B$17=0,0,G20/B$17)</f>
        <v>0</v>
      </c>
      <c r="I20" s="80">
        <v>3</v>
      </c>
      <c r="N20" s="100" t="s">
        <v>167</v>
      </c>
      <c r="O20" s="110">
        <f>IF(P20=0,0,Q20/P20)</f>
        <v>22.449999999999996</v>
      </c>
      <c r="P20" s="104">
        <v>2</v>
      </c>
      <c r="Q20" s="92">
        <v>44.899999999999991</v>
      </c>
    </row>
    <row r="21" spans="1:17">
      <c r="A21" s="47" t="s">
        <v>155</v>
      </c>
      <c r="B21" s="40">
        <v>4</v>
      </c>
      <c r="C21" s="33">
        <f>IF(B$17=0,0,B21/B$17)</f>
        <v>0.5</v>
      </c>
      <c r="E21" s="55" t="s">
        <v>69</v>
      </c>
      <c r="F21" s="52" t="s">
        <v>32</v>
      </c>
      <c r="G21" s="40">
        <v>0</v>
      </c>
      <c r="H21" s="118">
        <f>IF(B$17=0,0,G21/B$17)</f>
        <v>0</v>
      </c>
      <c r="I21" s="80">
        <v>1</v>
      </c>
      <c r="N21" s="100" t="s">
        <v>168</v>
      </c>
      <c r="O21" s="110">
        <f>IF(P21=0,0,Q21/P21)</f>
        <v>15.233333333333334</v>
      </c>
      <c r="P21" s="104">
        <v>3</v>
      </c>
      <c r="Q21" s="92">
        <v>45.7</v>
      </c>
    </row>
    <row r="22" spans="1:17">
      <c r="A22" s="47" t="s">
        <v>153</v>
      </c>
      <c r="B22" s="40">
        <v>2</v>
      </c>
      <c r="C22" s="33">
        <f>IF(B$17=0,0,B22/B$17)</f>
        <v>0.25</v>
      </c>
      <c r="E22" s="55" t="s">
        <v>70</v>
      </c>
      <c r="F22" s="52" t="s">
        <v>33</v>
      </c>
      <c r="G22" s="40">
        <v>0</v>
      </c>
      <c r="H22" s="118">
        <f>IF(B$17=0,0,G22/B$17)</f>
        <v>0</v>
      </c>
      <c r="I22" s="80">
        <v>3</v>
      </c>
      <c r="N22" s="100" t="s">
        <v>173</v>
      </c>
      <c r="O22" s="110">
        <f>IF(P22=0,0,Q22/P22)</f>
        <v>-28.75</v>
      </c>
      <c r="P22" s="104">
        <v>2</v>
      </c>
      <c r="Q22" s="92">
        <v>-57.5</v>
      </c>
    </row>
    <row r="23" spans="1:17">
      <c r="A23" s="47" t="s">
        <v>154</v>
      </c>
      <c r="B23" s="40">
        <v>2</v>
      </c>
      <c r="C23" s="33">
        <f>IF(B$17=0,0,B23/B$17)</f>
        <v>0.25</v>
      </c>
      <c r="E23" s="55" t="s">
        <v>71</v>
      </c>
      <c r="F23" s="52" t="s">
        <v>34</v>
      </c>
      <c r="G23" s="40">
        <v>0</v>
      </c>
      <c r="H23" s="118">
        <f>IF(B$17=0,0,G23/B$17)</f>
        <v>0</v>
      </c>
      <c r="I23" s="80">
        <v>1</v>
      </c>
      <c r="N23" s="100" t="s">
        <v>172</v>
      </c>
      <c r="O23" s="110">
        <f>IF(P23=0,0,Q23/P23)</f>
        <v>-30.900000000000006</v>
      </c>
      <c r="P23" s="104">
        <v>3</v>
      </c>
      <c r="Q23" s="92">
        <v>-92.700000000000017</v>
      </c>
    </row>
    <row r="24" spans="1:17">
      <c r="A24" s="47" t="s">
        <v>5</v>
      </c>
      <c r="B24" s="44">
        <f>IF(B$17=0,0,C24/B$17)</f>
        <v>7500</v>
      </c>
      <c r="C24" s="35">
        <v>60000</v>
      </c>
      <c r="E24" s="55" t="s">
        <v>72</v>
      </c>
      <c r="F24" s="52" t="s">
        <v>35</v>
      </c>
      <c r="G24" s="40">
        <v>0</v>
      </c>
      <c r="H24" s="118">
        <f>IF(B$17=0,0,G24/B$17)</f>
        <v>0</v>
      </c>
      <c r="I24" s="80">
        <v>3</v>
      </c>
      <c r="N24" s="100" t="s">
        <v>180</v>
      </c>
      <c r="O24" s="110">
        <f>IF(P24=0,0,Q24/P24)</f>
        <v>-31.700000000000003</v>
      </c>
      <c r="P24" s="104">
        <v>1</v>
      </c>
      <c r="Q24" s="92">
        <v>-31.700000000000003</v>
      </c>
    </row>
    <row r="25" spans="1:17">
      <c r="A25" s="48" t="s">
        <v>137</v>
      </c>
      <c r="B25" s="121">
        <f>IF($B$17-B$16=0,0,C25/($B$17-B$16))</f>
        <v>8333.3333333333339</v>
      </c>
      <c r="C25" s="122">
        <v>50000</v>
      </c>
      <c r="E25" s="55" t="s">
        <v>73</v>
      </c>
      <c r="F25" s="52" t="s">
        <v>36</v>
      </c>
      <c r="G25" s="40">
        <v>0</v>
      </c>
      <c r="H25" s="118">
        <f>IF(B$17=0,0,G25/B$17)</f>
        <v>0</v>
      </c>
      <c r="I25" s="80">
        <v>1</v>
      </c>
      <c r="N25" s="100" t="s">
        <v>184</v>
      </c>
      <c r="O25" s="110">
        <f>IF(P25=0,0,Q25/P25)</f>
        <v>-36.400000000000006</v>
      </c>
      <c r="P25" s="104">
        <v>1</v>
      </c>
      <c r="Q25" s="92">
        <v>-36.400000000000006</v>
      </c>
    </row>
    <row r="26" spans="1:17">
      <c r="A26" s="48" t="s">
        <v>138</v>
      </c>
      <c r="B26" s="121">
        <f>IF(B$16=0,0,C26/B$16)</f>
        <v>5000</v>
      </c>
      <c r="C26" s="122">
        <v>10000</v>
      </c>
      <c r="E26" s="55" t="s">
        <v>74</v>
      </c>
      <c r="F26" s="52" t="s">
        <v>37</v>
      </c>
      <c r="G26" s="40">
        <v>0</v>
      </c>
      <c r="H26" s="118">
        <f>IF(B$17=0,0,G26/B$17)</f>
        <v>0</v>
      </c>
      <c r="I26" s="80">
        <v>1</v>
      </c>
      <c r="N26" s="100" t="s">
        <v>182</v>
      </c>
      <c r="O26" s="110">
        <f>IF(P26=0,0,Q26/P26)</f>
        <v>-126.8</v>
      </c>
      <c r="P26" s="104">
        <v>1</v>
      </c>
      <c r="Q26" s="92">
        <v>-126.8</v>
      </c>
    </row>
    <row r="27" spans="1:17">
      <c r="A27" s="48" t="s">
        <v>136</v>
      </c>
      <c r="B27" s="121">
        <f>IF(B$18=0,0,C27/B$18)</f>
        <v>-7033.333333333333</v>
      </c>
      <c r="C27" s="122">
        <v>-42200</v>
      </c>
      <c r="E27" s="55" t="s">
        <v>76</v>
      </c>
      <c r="F27" s="52" t="s">
        <v>39</v>
      </c>
      <c r="G27" s="40">
        <v>0</v>
      </c>
      <c r="H27" s="118">
        <f>IF(B$17=0,0,G27/B$17)</f>
        <v>0</v>
      </c>
      <c r="I27" s="80">
        <v>1</v>
      </c>
    </row>
    <row r="28" spans="1:17">
      <c r="A28" s="47" t="s">
        <v>134</v>
      </c>
      <c r="B28" s="40">
        <v>2</v>
      </c>
      <c r="C28" s="120">
        <v>0</v>
      </c>
      <c r="E28" s="55" t="s">
        <v>77</v>
      </c>
      <c r="F28" s="52" t="s">
        <v>40</v>
      </c>
      <c r="G28" s="40">
        <v>0</v>
      </c>
      <c r="H28" s="118">
        <f>IF(B$17=0,0,G28/B$17)</f>
        <v>0</v>
      </c>
      <c r="I28" s="80">
        <v>1</v>
      </c>
    </row>
    <row r="29" spans="1:17">
      <c r="A29" s="47" t="s">
        <v>135</v>
      </c>
      <c r="B29" s="40">
        <v>12</v>
      </c>
      <c r="C29" s="120">
        <v>12</v>
      </c>
      <c r="E29" s="55" t="s">
        <v>78</v>
      </c>
      <c r="F29" s="52" t="s">
        <v>41</v>
      </c>
      <c r="G29" s="40">
        <v>0</v>
      </c>
      <c r="H29" s="118">
        <f>IF(B$17=0,0,G29/B$17)</f>
        <v>0</v>
      </c>
      <c r="I29" s="80">
        <v>1</v>
      </c>
    </row>
    <row r="30" spans="1:17">
      <c r="A30" s="76" t="s">
        <v>115</v>
      </c>
      <c r="B30" s="142">
        <v>3</v>
      </c>
      <c r="C30" s="143"/>
      <c r="E30" s="55" t="s">
        <v>79</v>
      </c>
      <c r="F30" s="52" t="s">
        <v>42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152</v>
      </c>
      <c r="B31" s="144">
        <v>54900</v>
      </c>
      <c r="C31" s="145"/>
      <c r="E31" s="55" t="s">
        <v>80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116</v>
      </c>
      <c r="B32" s="57">
        <v>1</v>
      </c>
      <c r="C32" s="36">
        <f>IF(B$3=0,0,B32/B$3)</f>
        <v>2.3809523809523808E-2</v>
      </c>
      <c r="E32" s="55" t="s">
        <v>81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176</v>
      </c>
      <c r="B34" s="130" t="s">
        <v>96</v>
      </c>
      <c r="C34" s="131" t="s">
        <v>97</v>
      </c>
      <c r="E34" s="55" t="s">
        <v>83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143</v>
      </c>
      <c r="B35" s="134">
        <v>0</v>
      </c>
      <c r="C35" s="126">
        <f t="shared" ref="C35:C47" si="3">IF(B$17=0,0,B35/B$17)</f>
        <v>0</v>
      </c>
      <c r="E35" s="55" t="s">
        <v>84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139</v>
      </c>
      <c r="B36" s="40">
        <v>2</v>
      </c>
      <c r="C36" s="33">
        <f t="shared" si="3"/>
        <v>0.25</v>
      </c>
      <c r="E36" s="55" t="s">
        <v>85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140</v>
      </c>
      <c r="B37" s="135">
        <v>2</v>
      </c>
      <c r="C37" s="33">
        <f t="shared" si="3"/>
        <v>0.25</v>
      </c>
      <c r="E37" s="55" t="s">
        <v>86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141</v>
      </c>
      <c r="B38" s="135">
        <v>1</v>
      </c>
      <c r="C38" s="33">
        <f t="shared" si="3"/>
        <v>0.125</v>
      </c>
      <c r="E38" s="55" t="s">
        <v>87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142</v>
      </c>
      <c r="B39" s="135">
        <v>1</v>
      </c>
      <c r="C39" s="33">
        <f t="shared" si="3"/>
        <v>0.125</v>
      </c>
      <c r="E39" s="55" t="s">
        <v>88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144</v>
      </c>
      <c r="B40" s="135">
        <v>2</v>
      </c>
      <c r="C40" s="33">
        <f t="shared" si="3"/>
        <v>0.25</v>
      </c>
      <c r="E40" s="55" t="s">
        <v>89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145</v>
      </c>
      <c r="B41" s="135">
        <v>0</v>
      </c>
      <c r="C41" s="33">
        <f t="shared" si="3"/>
        <v>0</v>
      </c>
      <c r="E41" s="55" t="s">
        <v>90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146</v>
      </c>
      <c r="B42" s="135">
        <v>0</v>
      </c>
      <c r="C42" s="33">
        <f t="shared" si="3"/>
        <v>0</v>
      </c>
      <c r="E42" s="55" t="s">
        <v>91</v>
      </c>
      <c r="F42" s="52" t="s">
        <v>54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147</v>
      </c>
      <c r="B43" s="135">
        <v>0</v>
      </c>
      <c r="C43" s="33">
        <f t="shared" si="3"/>
        <v>0</v>
      </c>
      <c r="E43" s="55" t="s">
        <v>92</v>
      </c>
      <c r="F43" s="52" t="s">
        <v>192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148</v>
      </c>
      <c r="B44" s="135">
        <v>0</v>
      </c>
      <c r="C44" s="33">
        <f t="shared" si="3"/>
        <v>0</v>
      </c>
      <c r="E44" s="55" t="s">
        <v>93</v>
      </c>
      <c r="F44" s="52" t="s">
        <v>193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149</v>
      </c>
      <c r="B45" s="135">
        <v>0</v>
      </c>
      <c r="C45" s="33">
        <f t="shared" si="3"/>
        <v>0</v>
      </c>
      <c r="E45" s="56" t="s">
        <v>94</v>
      </c>
      <c r="F45" s="53" t="s">
        <v>194</v>
      </c>
      <c r="G45" s="42">
        <v>0</v>
      </c>
      <c r="H45" s="119">
        <f>IF(B$17=0,0,G45/B$17)</f>
        <v>0</v>
      </c>
      <c r="I45" s="81">
        <v>1</v>
      </c>
    </row>
    <row r="46" spans="1:9">
      <c r="A46" s="47" t="s">
        <v>150</v>
      </c>
      <c r="B46" s="135">
        <v>0</v>
      </c>
      <c r="C46" s="33">
        <f t="shared" si="3"/>
        <v>0</v>
      </c>
    </row>
    <row r="47" spans="1:9">
      <c r="A47" s="49" t="s">
        <v>151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6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5BC75D-4485-40E3-9596-CC708747E776}">
  <sheetPr codeName="Sheet7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13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85" customWidth="1"/>
    <col min="13" max="13" width="3.59765625" style="27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27"/>
  </cols>
  <sheetData>
    <row r="1" spans="1:17">
      <c r="A1" s="45" t="s">
        <v>0</v>
      </c>
      <c r="B1" s="146" t="s">
        <v>166</v>
      </c>
      <c r="C1" s="147"/>
      <c r="E1" s="114" t="s">
        <v>133</v>
      </c>
      <c r="F1" s="133" t="s">
        <v>95</v>
      </c>
      <c r="G1" s="132" t="s">
        <v>96</v>
      </c>
      <c r="H1" s="115" t="s">
        <v>97</v>
      </c>
      <c r="I1" s="133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48">
        <v>4</v>
      </c>
      <c r="C2" s="149"/>
      <c r="E2" s="54" t="s">
        <v>55</v>
      </c>
      <c r="F2" s="51" t="s">
        <v>20</v>
      </c>
      <c r="G2" s="39">
        <v>9</v>
      </c>
      <c r="H2" s="117">
        <f>IF(B$17=0,0,G2/B$17)</f>
        <v>0.9</v>
      </c>
      <c r="I2" s="79">
        <v>2</v>
      </c>
      <c r="K2" s="30">
        <v>0</v>
      </c>
      <c r="L2" s="84">
        <v>0</v>
      </c>
      <c r="N2" s="99" t="s">
        <v>107</v>
      </c>
      <c r="O2" s="106">
        <f t="shared" ref="O2:O9" si="0">IF(P2=0,0,Q2/P2)</f>
        <v>-475</v>
      </c>
      <c r="P2" s="103">
        <v>4</v>
      </c>
      <c r="Q2" s="87">
        <v>-1900</v>
      </c>
    </row>
    <row r="3" spans="1:17">
      <c r="A3" s="47" t="s">
        <v>8</v>
      </c>
      <c r="B3" s="150">
        <v>37</v>
      </c>
      <c r="C3" s="151"/>
      <c r="E3" s="55" t="s">
        <v>186</v>
      </c>
      <c r="F3" s="52" t="s">
        <v>160</v>
      </c>
      <c r="G3" s="40">
        <v>6</v>
      </c>
      <c r="H3" s="118">
        <f>IF(B$17=0,0,G3/B$17)</f>
        <v>0.6</v>
      </c>
      <c r="I3" s="80">
        <v>4</v>
      </c>
      <c r="K3" s="32">
        <v>1</v>
      </c>
      <c r="L3" s="85">
        <v>-61.7</v>
      </c>
      <c r="N3" s="100" t="s">
        <v>108</v>
      </c>
      <c r="O3" s="107">
        <f t="shared" si="0"/>
        <v>-400</v>
      </c>
      <c r="P3" s="104">
        <v>4</v>
      </c>
      <c r="Q3" s="88">
        <v>-1600</v>
      </c>
    </row>
    <row r="4" spans="1:17">
      <c r="A4" s="47" t="s">
        <v>6</v>
      </c>
      <c r="B4" s="152">
        <v>65.5</v>
      </c>
      <c r="C4" s="153"/>
      <c r="E4" s="55" t="s">
        <v>189</v>
      </c>
      <c r="F4" s="52" t="s">
        <v>195</v>
      </c>
      <c r="G4" s="40">
        <v>6</v>
      </c>
      <c r="H4" s="118">
        <f>IF(B$17=0,0,G4/B$17)</f>
        <v>0.6</v>
      </c>
      <c r="I4" s="80">
        <v>5</v>
      </c>
      <c r="K4" s="32">
        <v>2</v>
      </c>
      <c r="L4" s="85">
        <v>26.099999999999994</v>
      </c>
      <c r="N4" s="100" t="s">
        <v>109</v>
      </c>
      <c r="O4" s="107">
        <f t="shared" si="0"/>
        <v>4350</v>
      </c>
      <c r="P4" s="104">
        <v>4</v>
      </c>
      <c r="Q4" s="88">
        <v>17400</v>
      </c>
    </row>
    <row r="5" spans="1:17">
      <c r="A5" s="47" t="s">
        <v>7</v>
      </c>
      <c r="B5" s="154">
        <f>IF(B$2=0,0,B$4/B$2)</f>
        <v>16.375</v>
      </c>
      <c r="C5" s="155"/>
      <c r="E5" s="55" t="s">
        <v>57</v>
      </c>
      <c r="F5" s="52" t="s">
        <v>190</v>
      </c>
      <c r="G5" s="40">
        <v>5</v>
      </c>
      <c r="H5" s="118">
        <f>IF(B$17=0,0,G5/B$17)</f>
        <v>0.5</v>
      </c>
      <c r="I5" s="80">
        <v>1</v>
      </c>
      <c r="K5" s="32">
        <v>3</v>
      </c>
      <c r="L5" s="85">
        <v>81.5</v>
      </c>
      <c r="N5" s="100" t="s">
        <v>161</v>
      </c>
      <c r="O5" s="107">
        <f>IF(P5=0,0,Q5/P5)</f>
        <v>3075</v>
      </c>
      <c r="P5" s="104">
        <v>4</v>
      </c>
      <c r="Q5" s="88">
        <v>12300</v>
      </c>
    </row>
    <row r="6" spans="1:17">
      <c r="A6" s="47" t="s">
        <v>1</v>
      </c>
      <c r="B6" s="156">
        <f>IF(B$2=0,0,(B$7*1+B$8*2+B$9*3+B$10*4)/B$2)</f>
        <v>2.25</v>
      </c>
      <c r="C6" s="157"/>
      <c r="E6" s="55" t="s">
        <v>61</v>
      </c>
      <c r="F6" s="52" t="s">
        <v>24</v>
      </c>
      <c r="G6" s="40">
        <v>4</v>
      </c>
      <c r="H6" s="118">
        <f>IF(B$17=0,0,G6/B$17)</f>
        <v>0.4</v>
      </c>
      <c r="I6" s="80">
        <v>6</v>
      </c>
      <c r="K6" s="32">
        <v>4</v>
      </c>
      <c r="L6" s="85">
        <v>65.5</v>
      </c>
      <c r="N6" s="100" t="s">
        <v>110</v>
      </c>
      <c r="O6" s="107">
        <f t="shared" ref="O6" si="1">IF(P6=0,0,Q6/P6)</f>
        <v>1425</v>
      </c>
      <c r="P6" s="104">
        <v>4</v>
      </c>
      <c r="Q6" s="88">
        <v>5700</v>
      </c>
    </row>
    <row r="7" spans="1:17">
      <c r="A7" s="47" t="s">
        <v>2</v>
      </c>
      <c r="B7" s="40">
        <v>2</v>
      </c>
      <c r="C7" s="33">
        <f t="shared" ref="C7:C12" si="2">IF(B$2=0,0,B7/B$2)</f>
        <v>0.5</v>
      </c>
      <c r="E7" s="55" t="s">
        <v>187</v>
      </c>
      <c r="F7" s="52" t="s">
        <v>19</v>
      </c>
      <c r="G7" s="40">
        <v>3</v>
      </c>
      <c r="H7" s="118">
        <f>IF(B$17=0,0,G7/B$17)</f>
        <v>0.3</v>
      </c>
      <c r="I7" s="80">
        <v>2</v>
      </c>
      <c r="N7" s="100" t="s">
        <v>111</v>
      </c>
      <c r="O7" s="107">
        <f t="shared" si="0"/>
        <v>233.33333333333334</v>
      </c>
      <c r="P7" s="104">
        <v>3</v>
      </c>
      <c r="Q7" s="88">
        <v>700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58</v>
      </c>
      <c r="F8" s="52" t="s">
        <v>21</v>
      </c>
      <c r="G8" s="40">
        <v>3</v>
      </c>
      <c r="H8" s="118">
        <f>IF(B$17=0,0,G8/B$17)</f>
        <v>0.3</v>
      </c>
      <c r="I8" s="80">
        <v>5</v>
      </c>
      <c r="N8" s="100" t="s">
        <v>112</v>
      </c>
      <c r="O8" s="107">
        <f t="shared" si="0"/>
        <v>-2300</v>
      </c>
      <c r="P8" s="104">
        <v>2</v>
      </c>
      <c r="Q8" s="88">
        <v>-4600</v>
      </c>
    </row>
    <row r="9" spans="1:17">
      <c r="A9" s="48" t="s">
        <v>4</v>
      </c>
      <c r="B9" s="41">
        <v>1</v>
      </c>
      <c r="C9" s="34">
        <f>IF(B$2=0,0,B9/B$2)</f>
        <v>0.25</v>
      </c>
      <c r="E9" s="55" t="s">
        <v>59</v>
      </c>
      <c r="F9" s="52" t="s">
        <v>22</v>
      </c>
      <c r="G9" s="40">
        <v>1</v>
      </c>
      <c r="H9" s="118">
        <f>IF(B$17=0,0,G9/B$17)</f>
        <v>0.1</v>
      </c>
      <c r="I9" s="80">
        <v>4</v>
      </c>
      <c r="N9" s="101" t="s">
        <v>162</v>
      </c>
      <c r="O9" s="108">
        <f t="shared" si="0"/>
        <v>-1250</v>
      </c>
      <c r="P9" s="105">
        <v>2</v>
      </c>
      <c r="Q9" s="89">
        <v>-2500</v>
      </c>
    </row>
    <row r="10" spans="1:17">
      <c r="A10" s="48" t="s">
        <v>156</v>
      </c>
      <c r="B10" s="41">
        <v>1</v>
      </c>
      <c r="C10" s="34">
        <f>IF(B$2=0,0,B10/B$2)</f>
        <v>0.25</v>
      </c>
      <c r="E10" s="55" t="s">
        <v>56</v>
      </c>
      <c r="F10" s="52" t="s">
        <v>159</v>
      </c>
      <c r="G10" s="40">
        <v>0</v>
      </c>
      <c r="H10" s="118">
        <f>IF(B$17=0,0,G10/B$17)</f>
        <v>0</v>
      </c>
      <c r="I10" s="80">
        <v>11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2</v>
      </c>
      <c r="C11" s="34">
        <f>IF(B$2=0,0,B11/B$2)</f>
        <v>0.5</v>
      </c>
      <c r="E11" s="55" t="s">
        <v>60</v>
      </c>
      <c r="F11" s="52" t="s">
        <v>23</v>
      </c>
      <c r="G11" s="40">
        <v>0</v>
      </c>
      <c r="H11" s="118">
        <f>IF(B$17=0,0,G11/B$17)</f>
        <v>0</v>
      </c>
      <c r="I11" s="80">
        <v>7</v>
      </c>
      <c r="N11" s="98" t="s">
        <v>175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1</v>
      </c>
      <c r="C12" s="36">
        <f t="shared" si="2"/>
        <v>0.25</v>
      </c>
      <c r="E12" s="55" t="s">
        <v>62</v>
      </c>
      <c r="F12" s="52" t="s">
        <v>25</v>
      </c>
      <c r="G12" s="40">
        <v>0</v>
      </c>
      <c r="H12" s="118">
        <f>IF(B$17=0,0,G12/B$17)</f>
        <v>0</v>
      </c>
      <c r="I12" s="80">
        <v>1</v>
      </c>
      <c r="N12" s="99" t="s">
        <v>130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101</v>
      </c>
      <c r="B13" s="43">
        <v>10</v>
      </c>
      <c r="C13" s="38">
        <f>IF(B$3=0,0,B13/B$3)</f>
        <v>0.27027027027027029</v>
      </c>
      <c r="E13" s="55" t="s">
        <v>63</v>
      </c>
      <c r="F13" s="52" t="s">
        <v>26</v>
      </c>
      <c r="G13" s="40">
        <v>0</v>
      </c>
      <c r="H13" s="118">
        <f>IF(B$17=0,0,G13/B$17)</f>
        <v>0</v>
      </c>
      <c r="I13" s="80">
        <v>1</v>
      </c>
      <c r="N13" s="100" t="s">
        <v>131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98</v>
      </c>
      <c r="B14" s="40">
        <v>4</v>
      </c>
      <c r="C14" s="33">
        <f>IF(B$3=0,0,B14/B$3)</f>
        <v>0.10810810810810811</v>
      </c>
      <c r="E14" s="55" t="s">
        <v>64</v>
      </c>
      <c r="F14" s="52" t="s">
        <v>27</v>
      </c>
      <c r="G14" s="40">
        <v>0</v>
      </c>
      <c r="H14" s="118">
        <f>IF(B$17=0,0,G14/B$17)</f>
        <v>0</v>
      </c>
      <c r="I14" s="80">
        <v>1</v>
      </c>
      <c r="N14" s="100" t="s">
        <v>132</v>
      </c>
      <c r="O14" s="110">
        <f>IF(P14=0,0,Q14/P14)</f>
        <v>16.375</v>
      </c>
      <c r="P14" s="104">
        <v>4</v>
      </c>
      <c r="Q14" s="92">
        <v>65.5</v>
      </c>
    </row>
    <row r="15" spans="1:17">
      <c r="A15" s="46" t="s">
        <v>103</v>
      </c>
      <c r="B15" s="39">
        <f>B21</f>
        <v>7</v>
      </c>
      <c r="C15" s="31">
        <f>IF(B$13=0,0,B15/B$13)</f>
        <v>0.7</v>
      </c>
      <c r="E15" s="55" t="s">
        <v>65</v>
      </c>
      <c r="F15" s="52" t="s">
        <v>28</v>
      </c>
      <c r="G15" s="40">
        <v>0</v>
      </c>
      <c r="H15" s="118">
        <f>IF(B$17=0,0,G15/B$17)</f>
        <v>0</v>
      </c>
      <c r="I15" s="80">
        <v>1</v>
      </c>
      <c r="N15" s="101" t="s">
        <v>163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104</v>
      </c>
      <c r="B16" s="39">
        <f>B22</f>
        <v>2</v>
      </c>
      <c r="C16" s="31">
        <f>IF(B$14=0,0,B16/B$14)</f>
        <v>0.5</v>
      </c>
      <c r="E16" s="55" t="s">
        <v>66</v>
      </c>
      <c r="F16" s="52" t="s">
        <v>29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10</v>
      </c>
      <c r="C17" s="31">
        <f>IF(B$3=0,0,B17/B$3)</f>
        <v>0.27027027027027029</v>
      </c>
      <c r="E17" s="55" t="s">
        <v>67</v>
      </c>
      <c r="F17" s="52" t="s">
        <v>30</v>
      </c>
      <c r="G17" s="40">
        <v>0</v>
      </c>
      <c r="H17" s="118">
        <f>IF(B$17=0,0,G17/B$17)</f>
        <v>0</v>
      </c>
      <c r="I17" s="80">
        <v>1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5</v>
      </c>
      <c r="C18" s="33">
        <f>IF(B$3=0,0,B18/B$3)</f>
        <v>0.13513513513513514</v>
      </c>
      <c r="E18" s="55" t="s">
        <v>68</v>
      </c>
      <c r="F18" s="52" t="s">
        <v>31</v>
      </c>
      <c r="G18" s="40">
        <v>0</v>
      </c>
      <c r="H18" s="118">
        <f>IF(B$17=0,0,G18/B$17)</f>
        <v>0</v>
      </c>
      <c r="I18" s="80">
        <v>3</v>
      </c>
      <c r="N18" s="99" t="s">
        <v>182</v>
      </c>
      <c r="O18" s="109">
        <f>IF(P18=0,0,Q18/P18)</f>
        <v>146.4</v>
      </c>
      <c r="P18" s="103">
        <v>1</v>
      </c>
      <c r="Q18" s="91">
        <v>146.4</v>
      </c>
    </row>
    <row r="19" spans="1:17">
      <c r="A19" s="47" t="s">
        <v>12</v>
      </c>
      <c r="B19" s="40">
        <v>6</v>
      </c>
      <c r="C19" s="33">
        <f>IF(B$17=0,0,B19/B$17)</f>
        <v>0.6</v>
      </c>
      <c r="E19" s="55" t="s">
        <v>188</v>
      </c>
      <c r="F19" s="52" t="s">
        <v>191</v>
      </c>
      <c r="G19" s="40">
        <v>0</v>
      </c>
      <c r="H19" s="118">
        <f>IF(B$17=0,0,G19/B$17)</f>
        <v>0</v>
      </c>
      <c r="I19" s="80">
        <v>3</v>
      </c>
      <c r="N19" s="100" t="s">
        <v>198</v>
      </c>
      <c r="O19" s="110">
        <f>IF(P19=0,0,Q19/P19)</f>
        <v>101.3</v>
      </c>
      <c r="P19" s="104">
        <v>1</v>
      </c>
      <c r="Q19" s="92">
        <v>101.3</v>
      </c>
    </row>
    <row r="20" spans="1:17">
      <c r="A20" s="47" t="s">
        <v>11</v>
      </c>
      <c r="B20" s="40">
        <v>4</v>
      </c>
      <c r="C20" s="33">
        <f>IF(B$17=0,0,B20/B$17)</f>
        <v>0.4</v>
      </c>
      <c r="E20" s="55" t="s">
        <v>69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170</v>
      </c>
      <c r="O20" s="110">
        <f>IF(P20=0,0,Q20/P20)</f>
        <v>84.1</v>
      </c>
      <c r="P20" s="104">
        <v>1</v>
      </c>
      <c r="Q20" s="92">
        <v>84.1</v>
      </c>
    </row>
    <row r="21" spans="1:17">
      <c r="A21" s="47" t="s">
        <v>155</v>
      </c>
      <c r="B21" s="40">
        <v>7</v>
      </c>
      <c r="C21" s="33">
        <f>IF(B$17=0,0,B21/B$17)</f>
        <v>0.7</v>
      </c>
      <c r="E21" s="55" t="s">
        <v>70</v>
      </c>
      <c r="F21" s="52" t="s">
        <v>33</v>
      </c>
      <c r="G21" s="40">
        <v>0</v>
      </c>
      <c r="H21" s="118">
        <f>IF(B$17=0,0,G21/B$17)</f>
        <v>0</v>
      </c>
      <c r="I21" s="80">
        <v>3</v>
      </c>
      <c r="N21" s="100" t="s">
        <v>184</v>
      </c>
      <c r="O21" s="110">
        <f>IF(P21=0,0,Q21/P21)</f>
        <v>76.900000000000006</v>
      </c>
      <c r="P21" s="104">
        <v>1</v>
      </c>
      <c r="Q21" s="92">
        <v>76.900000000000006</v>
      </c>
    </row>
    <row r="22" spans="1:17">
      <c r="A22" s="47" t="s">
        <v>153</v>
      </c>
      <c r="B22" s="40">
        <v>2</v>
      </c>
      <c r="C22" s="33">
        <f>IF(B$17=0,0,B22/B$17)</f>
        <v>0.2</v>
      </c>
      <c r="E22" s="55" t="s">
        <v>71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173</v>
      </c>
      <c r="O22" s="110">
        <f>IF(P22=0,0,Q22/P22)</f>
        <v>48.199999999999996</v>
      </c>
      <c r="P22" s="104">
        <v>2</v>
      </c>
      <c r="Q22" s="92">
        <v>96.399999999999991</v>
      </c>
    </row>
    <row r="23" spans="1:17">
      <c r="A23" s="47" t="s">
        <v>154</v>
      </c>
      <c r="B23" s="40">
        <v>1</v>
      </c>
      <c r="C23" s="33">
        <f>IF(B$17=0,0,B23/B$17)</f>
        <v>0.1</v>
      </c>
      <c r="E23" s="55" t="s">
        <v>72</v>
      </c>
      <c r="F23" s="52" t="s">
        <v>35</v>
      </c>
      <c r="G23" s="40">
        <v>0</v>
      </c>
      <c r="H23" s="118">
        <f>IF(B$17=0,0,G23/B$17)</f>
        <v>0</v>
      </c>
      <c r="I23" s="80">
        <v>3</v>
      </c>
      <c r="N23" s="100" t="s">
        <v>167</v>
      </c>
      <c r="O23" s="110">
        <f>IF(P23=0,0,Q23/P23)</f>
        <v>-1</v>
      </c>
      <c r="P23" s="104">
        <v>2</v>
      </c>
      <c r="Q23" s="92">
        <v>-2</v>
      </c>
    </row>
    <row r="24" spans="1:17">
      <c r="A24" s="47" t="s">
        <v>5</v>
      </c>
      <c r="B24" s="44">
        <f>IF(B$17=0,0,C24/B$17)</f>
        <v>7400</v>
      </c>
      <c r="C24" s="35">
        <v>74000</v>
      </c>
      <c r="E24" s="55" t="s">
        <v>73</v>
      </c>
      <c r="F24" s="52" t="s">
        <v>36</v>
      </c>
      <c r="G24" s="40">
        <v>0</v>
      </c>
      <c r="H24" s="118">
        <f>IF(B$17=0,0,G24/B$17)</f>
        <v>0</v>
      </c>
      <c r="I24" s="80">
        <v>1</v>
      </c>
      <c r="N24" s="100" t="s">
        <v>168</v>
      </c>
      <c r="O24" s="110">
        <f>IF(P24=0,0,Q24/P24)</f>
        <v>-34.833333333333336</v>
      </c>
      <c r="P24" s="104">
        <v>3</v>
      </c>
      <c r="Q24" s="92">
        <v>-104.5</v>
      </c>
    </row>
    <row r="25" spans="1:17">
      <c r="A25" s="48" t="s">
        <v>137</v>
      </c>
      <c r="B25" s="121">
        <f>IF($B$17-B$16=0,0,C25/($B$17-B$16))</f>
        <v>6875</v>
      </c>
      <c r="C25" s="122">
        <v>55000</v>
      </c>
      <c r="E25" s="55" t="s">
        <v>74</v>
      </c>
      <c r="F25" s="52" t="s">
        <v>37</v>
      </c>
      <c r="G25" s="40">
        <v>0</v>
      </c>
      <c r="H25" s="118">
        <f>IF(B$17=0,0,G25/B$17)</f>
        <v>0</v>
      </c>
      <c r="I25" s="80">
        <v>1</v>
      </c>
      <c r="N25" s="100" t="s">
        <v>165</v>
      </c>
      <c r="O25" s="110">
        <f>IF(P25=0,0,Q25/P25)</f>
        <v>-136.60000000000002</v>
      </c>
      <c r="P25" s="104">
        <v>1</v>
      </c>
      <c r="Q25" s="92">
        <v>-136.60000000000002</v>
      </c>
    </row>
    <row r="26" spans="1:17">
      <c r="A26" s="48" t="s">
        <v>138</v>
      </c>
      <c r="B26" s="121">
        <f>IF(B$16=0,0,C26/B$16)</f>
        <v>9500</v>
      </c>
      <c r="C26" s="122">
        <v>19000</v>
      </c>
      <c r="E26" s="55" t="s">
        <v>75</v>
      </c>
      <c r="F26" s="52" t="s">
        <v>38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136</v>
      </c>
      <c r="B27" s="121">
        <f>IF(B$18=0,0,C27/B$18)</f>
        <v>-4680</v>
      </c>
      <c r="C27" s="122">
        <v>-23400</v>
      </c>
      <c r="E27" s="55" t="s">
        <v>76</v>
      </c>
      <c r="F27" s="52" t="s">
        <v>39</v>
      </c>
      <c r="G27" s="40">
        <v>0</v>
      </c>
      <c r="H27" s="118">
        <f>IF(B$17=0,0,G27/B$17)</f>
        <v>0</v>
      </c>
      <c r="I27" s="80">
        <v>1</v>
      </c>
    </row>
    <row r="28" spans="1:17">
      <c r="A28" s="47" t="s">
        <v>134</v>
      </c>
      <c r="B28" s="40">
        <v>3</v>
      </c>
      <c r="C28" s="120">
        <v>0</v>
      </c>
      <c r="E28" s="55" t="s">
        <v>77</v>
      </c>
      <c r="F28" s="52" t="s">
        <v>40</v>
      </c>
      <c r="G28" s="40">
        <v>0</v>
      </c>
      <c r="H28" s="118">
        <f>IF(B$17=0,0,G28/B$17)</f>
        <v>0</v>
      </c>
      <c r="I28" s="80">
        <v>1</v>
      </c>
    </row>
    <row r="29" spans="1:17">
      <c r="A29" s="47" t="s">
        <v>135</v>
      </c>
      <c r="B29" s="40">
        <v>19</v>
      </c>
      <c r="C29" s="120">
        <v>2</v>
      </c>
      <c r="E29" s="55" t="s">
        <v>78</v>
      </c>
      <c r="F29" s="52" t="s">
        <v>41</v>
      </c>
      <c r="G29" s="40">
        <v>0</v>
      </c>
      <c r="H29" s="118">
        <f>IF(B$17=0,0,G29/B$17)</f>
        <v>0</v>
      </c>
      <c r="I29" s="80">
        <v>1</v>
      </c>
    </row>
    <row r="30" spans="1:17">
      <c r="A30" s="76" t="s">
        <v>115</v>
      </c>
      <c r="B30" s="142">
        <v>4</v>
      </c>
      <c r="C30" s="143"/>
      <c r="E30" s="55" t="s">
        <v>79</v>
      </c>
      <c r="F30" s="52" t="s">
        <v>42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152</v>
      </c>
      <c r="B31" s="144">
        <v>67800</v>
      </c>
      <c r="C31" s="145"/>
      <c r="E31" s="55" t="s">
        <v>80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116</v>
      </c>
      <c r="B32" s="57">
        <v>0</v>
      </c>
      <c r="C32" s="36">
        <f>IF(B$3=0,0,B32/B$3)</f>
        <v>0</v>
      </c>
      <c r="E32" s="55" t="s">
        <v>81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176</v>
      </c>
      <c r="B34" s="130" t="s">
        <v>96</v>
      </c>
      <c r="C34" s="131" t="s">
        <v>97</v>
      </c>
      <c r="E34" s="55" t="s">
        <v>83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143</v>
      </c>
      <c r="B35" s="134">
        <v>2</v>
      </c>
      <c r="C35" s="126">
        <f t="shared" ref="C35:C47" si="3">IF(B$17=0,0,B35/B$17)</f>
        <v>0.2</v>
      </c>
      <c r="E35" s="55" t="s">
        <v>84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139</v>
      </c>
      <c r="B36" s="40">
        <v>0</v>
      </c>
      <c r="C36" s="33">
        <f t="shared" si="3"/>
        <v>0</v>
      </c>
      <c r="E36" s="55" t="s">
        <v>85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140</v>
      </c>
      <c r="B37" s="135">
        <v>2</v>
      </c>
      <c r="C37" s="33">
        <f t="shared" si="3"/>
        <v>0.2</v>
      </c>
      <c r="E37" s="55" t="s">
        <v>86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141</v>
      </c>
      <c r="B38" s="135">
        <v>3</v>
      </c>
      <c r="C38" s="33">
        <f t="shared" si="3"/>
        <v>0.3</v>
      </c>
      <c r="E38" s="55" t="s">
        <v>87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142</v>
      </c>
      <c r="B39" s="135">
        <v>1</v>
      </c>
      <c r="C39" s="33">
        <f t="shared" si="3"/>
        <v>0.1</v>
      </c>
      <c r="E39" s="55" t="s">
        <v>88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144</v>
      </c>
      <c r="B40" s="135">
        <v>2</v>
      </c>
      <c r="C40" s="33">
        <f t="shared" si="3"/>
        <v>0.2</v>
      </c>
      <c r="E40" s="55" t="s">
        <v>89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145</v>
      </c>
      <c r="B41" s="135">
        <v>0</v>
      </c>
      <c r="C41" s="33">
        <f t="shared" si="3"/>
        <v>0</v>
      </c>
      <c r="E41" s="55" t="s">
        <v>90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146</v>
      </c>
      <c r="B42" s="135">
        <v>0</v>
      </c>
      <c r="C42" s="33">
        <f t="shared" si="3"/>
        <v>0</v>
      </c>
      <c r="E42" s="55" t="s">
        <v>91</v>
      </c>
      <c r="F42" s="52" t="s">
        <v>54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147</v>
      </c>
      <c r="B43" s="135">
        <v>0</v>
      </c>
      <c r="C43" s="33">
        <f t="shared" si="3"/>
        <v>0</v>
      </c>
      <c r="E43" s="55" t="s">
        <v>92</v>
      </c>
      <c r="F43" s="52" t="s">
        <v>192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148</v>
      </c>
      <c r="B44" s="135">
        <v>0</v>
      </c>
      <c r="C44" s="33">
        <f t="shared" si="3"/>
        <v>0</v>
      </c>
      <c r="E44" s="55" t="s">
        <v>93</v>
      </c>
      <c r="F44" s="52" t="s">
        <v>193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149</v>
      </c>
      <c r="B45" s="135">
        <v>0</v>
      </c>
      <c r="C45" s="33">
        <f t="shared" si="3"/>
        <v>0</v>
      </c>
      <c r="E45" s="56" t="s">
        <v>94</v>
      </c>
      <c r="F45" s="53" t="s">
        <v>194</v>
      </c>
      <c r="G45" s="42">
        <v>0</v>
      </c>
      <c r="H45" s="119">
        <f>IF(B$17=0,0,G45/B$17)</f>
        <v>0</v>
      </c>
      <c r="I45" s="81">
        <v>1</v>
      </c>
    </row>
    <row r="46" spans="1:9">
      <c r="A46" s="47" t="s">
        <v>150</v>
      </c>
      <c r="B46" s="135">
        <v>0</v>
      </c>
      <c r="C46" s="33">
        <f t="shared" si="3"/>
        <v>0</v>
      </c>
    </row>
    <row r="47" spans="1:9">
      <c r="A47" s="49" t="s">
        <v>151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5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7AE54B-FA04-4271-9268-EDE1821DA675}">
  <sheetPr codeName="Sheet8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13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85" customWidth="1"/>
    <col min="13" max="13" width="3.59765625" style="27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27"/>
  </cols>
  <sheetData>
    <row r="1" spans="1:17">
      <c r="A1" s="45" t="s">
        <v>0</v>
      </c>
      <c r="B1" s="146" t="s">
        <v>167</v>
      </c>
      <c r="C1" s="147"/>
      <c r="E1" s="114" t="s">
        <v>133</v>
      </c>
      <c r="F1" s="133" t="s">
        <v>95</v>
      </c>
      <c r="G1" s="132" t="s">
        <v>96</v>
      </c>
      <c r="H1" s="115" t="s">
        <v>97</v>
      </c>
      <c r="I1" s="133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48">
        <v>3</v>
      </c>
      <c r="C2" s="149"/>
      <c r="E2" s="54" t="s">
        <v>55</v>
      </c>
      <c r="F2" s="51" t="s">
        <v>20</v>
      </c>
      <c r="G2" s="39">
        <v>4</v>
      </c>
      <c r="H2" s="117">
        <f>IF(B$17=0,0,G2/B$17)</f>
        <v>0.8</v>
      </c>
      <c r="I2" s="79">
        <v>4</v>
      </c>
      <c r="K2" s="30">
        <v>0</v>
      </c>
      <c r="L2" s="84">
        <v>0</v>
      </c>
      <c r="N2" s="99" t="s">
        <v>107</v>
      </c>
      <c r="O2" s="106">
        <f t="shared" ref="O2:O9" si="0">IF(P2=0,0,Q2/P2)</f>
        <v>533.33333333333337</v>
      </c>
      <c r="P2" s="103">
        <v>3</v>
      </c>
      <c r="Q2" s="87">
        <v>1600</v>
      </c>
    </row>
    <row r="3" spans="1:17">
      <c r="A3" s="47" t="s">
        <v>8</v>
      </c>
      <c r="B3" s="150">
        <v>27</v>
      </c>
      <c r="C3" s="151"/>
      <c r="E3" s="55" t="s">
        <v>61</v>
      </c>
      <c r="F3" s="52" t="s">
        <v>24</v>
      </c>
      <c r="G3" s="40">
        <v>4</v>
      </c>
      <c r="H3" s="118">
        <f>IF(B$17=0,0,G3/B$17)</f>
        <v>0.8</v>
      </c>
      <c r="I3" s="80">
        <v>1</v>
      </c>
      <c r="K3" s="32">
        <v>1</v>
      </c>
      <c r="L3" s="85">
        <v>-25.1</v>
      </c>
      <c r="N3" s="100" t="s">
        <v>108</v>
      </c>
      <c r="O3" s="107">
        <f t="shared" si="0"/>
        <v>-2800</v>
      </c>
      <c r="P3" s="104">
        <v>3</v>
      </c>
      <c r="Q3" s="88">
        <v>-8400</v>
      </c>
    </row>
    <row r="4" spans="1:17">
      <c r="A4" s="47" t="s">
        <v>6</v>
      </c>
      <c r="B4" s="152">
        <v>-14</v>
      </c>
      <c r="C4" s="153"/>
      <c r="E4" s="55" t="s">
        <v>186</v>
      </c>
      <c r="F4" s="52" t="s">
        <v>160</v>
      </c>
      <c r="G4" s="40">
        <v>3</v>
      </c>
      <c r="H4" s="118">
        <f>IF(B$17=0,0,G4/B$17)</f>
        <v>0.6</v>
      </c>
      <c r="I4" s="80">
        <v>4</v>
      </c>
      <c r="K4" s="32">
        <v>2</v>
      </c>
      <c r="L4" s="85">
        <v>-75.7</v>
      </c>
      <c r="N4" s="100" t="s">
        <v>109</v>
      </c>
      <c r="O4" s="107">
        <f t="shared" si="0"/>
        <v>-4500</v>
      </c>
      <c r="P4" s="104">
        <v>3</v>
      </c>
      <c r="Q4" s="88">
        <v>-13500</v>
      </c>
    </row>
    <row r="5" spans="1:17">
      <c r="A5" s="47" t="s">
        <v>7</v>
      </c>
      <c r="B5" s="154">
        <f>IF(B$2=0,0,B$4/B$2)</f>
        <v>-4.666666666666667</v>
      </c>
      <c r="C5" s="155"/>
      <c r="E5" s="55" t="s">
        <v>187</v>
      </c>
      <c r="F5" s="52" t="s">
        <v>19</v>
      </c>
      <c r="G5" s="40">
        <v>1</v>
      </c>
      <c r="H5" s="118">
        <f>IF(B$17=0,0,G5/B$17)</f>
        <v>0.2</v>
      </c>
      <c r="I5" s="80">
        <v>3</v>
      </c>
      <c r="K5" s="32">
        <v>3</v>
      </c>
      <c r="L5" s="85">
        <v>-14</v>
      </c>
      <c r="N5" s="100" t="s">
        <v>161</v>
      </c>
      <c r="O5" s="107">
        <f>IF(P5=0,0,Q5/P5)</f>
        <v>-1033.3333333333333</v>
      </c>
      <c r="P5" s="104">
        <v>3</v>
      </c>
      <c r="Q5" s="88">
        <v>-3100</v>
      </c>
    </row>
    <row r="6" spans="1:17">
      <c r="A6" s="47" t="s">
        <v>1</v>
      </c>
      <c r="B6" s="156">
        <f>IF(B$2=0,0,(B$7*1+B$8*2+B$9*3+B$10*4)/B$2)</f>
        <v>2.6666666666666665</v>
      </c>
      <c r="C6" s="157"/>
      <c r="E6" s="55" t="s">
        <v>56</v>
      </c>
      <c r="F6" s="52" t="s">
        <v>159</v>
      </c>
      <c r="G6" s="40">
        <v>1</v>
      </c>
      <c r="H6" s="118">
        <f>IF(B$17=0,0,G6/B$17)</f>
        <v>0.2</v>
      </c>
      <c r="I6" s="80">
        <v>10</v>
      </c>
      <c r="N6" s="100" t="s">
        <v>110</v>
      </c>
      <c r="O6" s="107">
        <f t="shared" ref="O6" si="1">IF(P6=0,0,Q6/P6)</f>
        <v>1533.3333333333333</v>
      </c>
      <c r="P6" s="104">
        <v>3</v>
      </c>
      <c r="Q6" s="88">
        <v>4600</v>
      </c>
    </row>
    <row r="7" spans="1:17">
      <c r="A7" s="47" t="s">
        <v>2</v>
      </c>
      <c r="B7" s="40">
        <v>1</v>
      </c>
      <c r="C7" s="33">
        <f t="shared" ref="C7:C12" si="2">IF(B$2=0,0,B7/B$2)</f>
        <v>0.33333333333333331</v>
      </c>
      <c r="E7" s="55" t="s">
        <v>57</v>
      </c>
      <c r="F7" s="52" t="s">
        <v>190</v>
      </c>
      <c r="G7" s="40">
        <v>1</v>
      </c>
      <c r="H7" s="118">
        <f>IF(B$17=0,0,G7/B$17)</f>
        <v>0.2</v>
      </c>
      <c r="I7" s="80">
        <v>9</v>
      </c>
      <c r="N7" s="100" t="s">
        <v>111</v>
      </c>
      <c r="O7" s="107">
        <f t="shared" si="0"/>
        <v>4366.666666666667</v>
      </c>
      <c r="P7" s="104">
        <v>3</v>
      </c>
      <c r="Q7" s="88">
        <v>13100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58</v>
      </c>
      <c r="F8" s="52" t="s">
        <v>21</v>
      </c>
      <c r="G8" s="40">
        <v>1</v>
      </c>
      <c r="H8" s="118">
        <f>IF(B$17=0,0,G8/B$17)</f>
        <v>0.2</v>
      </c>
      <c r="I8" s="80">
        <v>10</v>
      </c>
      <c r="N8" s="100" t="s">
        <v>112</v>
      </c>
      <c r="O8" s="107">
        <f t="shared" si="0"/>
        <v>-650</v>
      </c>
      <c r="P8" s="104">
        <v>2</v>
      </c>
      <c r="Q8" s="88">
        <v>-1300</v>
      </c>
    </row>
    <row r="9" spans="1:17">
      <c r="A9" s="48" t="s">
        <v>4</v>
      </c>
      <c r="B9" s="41">
        <v>1</v>
      </c>
      <c r="C9" s="34">
        <f>IF(B$2=0,0,B9/B$2)</f>
        <v>0.33333333333333331</v>
      </c>
      <c r="E9" s="55" t="s">
        <v>75</v>
      </c>
      <c r="F9" s="52" t="s">
        <v>38</v>
      </c>
      <c r="G9" s="40">
        <v>1</v>
      </c>
      <c r="H9" s="118">
        <f>IF(B$17=0,0,G9/B$17)</f>
        <v>0.2</v>
      </c>
      <c r="I9" s="80">
        <v>1</v>
      </c>
      <c r="N9" s="101" t="s">
        <v>162</v>
      </c>
      <c r="O9" s="108">
        <f t="shared" si="0"/>
        <v>-2000</v>
      </c>
      <c r="P9" s="105">
        <v>1</v>
      </c>
      <c r="Q9" s="89">
        <v>-2000</v>
      </c>
    </row>
    <row r="10" spans="1:17">
      <c r="A10" s="48" t="s">
        <v>156</v>
      </c>
      <c r="B10" s="41">
        <v>1</v>
      </c>
      <c r="C10" s="34">
        <f>IF(B$2=0,0,B10/B$2)</f>
        <v>0.33333333333333331</v>
      </c>
      <c r="E10" s="55" t="s">
        <v>189</v>
      </c>
      <c r="F10" s="52" t="s">
        <v>195</v>
      </c>
      <c r="G10" s="40">
        <v>1</v>
      </c>
      <c r="H10" s="118">
        <f>IF(B$17=0,0,G10/B$17)</f>
        <v>0.2</v>
      </c>
      <c r="I10" s="80">
        <v>11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1</v>
      </c>
      <c r="C11" s="34">
        <f>IF(B$2=0,0,B11/B$2)</f>
        <v>0.33333333333333331</v>
      </c>
      <c r="E11" s="55" t="s">
        <v>59</v>
      </c>
      <c r="F11" s="52" t="s">
        <v>22</v>
      </c>
      <c r="G11" s="40">
        <v>0</v>
      </c>
      <c r="H11" s="118">
        <f>IF(B$17=0,0,G11/B$17)</f>
        <v>0</v>
      </c>
      <c r="I11" s="80">
        <v>6</v>
      </c>
      <c r="N11" s="98" t="s">
        <v>175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60</v>
      </c>
      <c r="F12" s="52" t="s">
        <v>23</v>
      </c>
      <c r="G12" s="40">
        <v>0</v>
      </c>
      <c r="H12" s="118">
        <f>IF(B$17=0,0,G12/B$17)</f>
        <v>0</v>
      </c>
      <c r="I12" s="80">
        <v>7</v>
      </c>
      <c r="N12" s="99" t="s">
        <v>130</v>
      </c>
      <c r="O12" s="109">
        <f>IF(P12=0,0,Q12/P12)</f>
        <v>-50.6</v>
      </c>
      <c r="P12" s="103">
        <v>1</v>
      </c>
      <c r="Q12" s="91">
        <v>-50.6</v>
      </c>
    </row>
    <row r="13" spans="1:17">
      <c r="A13" s="50" t="s">
        <v>101</v>
      </c>
      <c r="B13" s="43">
        <v>7</v>
      </c>
      <c r="C13" s="38">
        <f>IF(B$3=0,0,B13/B$3)</f>
        <v>0.25925925925925924</v>
      </c>
      <c r="E13" s="55" t="s">
        <v>62</v>
      </c>
      <c r="F13" s="52" t="s">
        <v>25</v>
      </c>
      <c r="G13" s="40">
        <v>0</v>
      </c>
      <c r="H13" s="118">
        <f>IF(B$17=0,0,G13/B$17)</f>
        <v>0</v>
      </c>
      <c r="I13" s="80">
        <v>1</v>
      </c>
      <c r="N13" s="100" t="s">
        <v>131</v>
      </c>
      <c r="O13" s="110">
        <f>IF(P13=0,0,Q13/P13)</f>
        <v>61.7</v>
      </c>
      <c r="P13" s="104">
        <v>1</v>
      </c>
      <c r="Q13" s="92">
        <v>61.7</v>
      </c>
    </row>
    <row r="14" spans="1:17">
      <c r="A14" s="47" t="s">
        <v>98</v>
      </c>
      <c r="B14" s="40">
        <v>8</v>
      </c>
      <c r="C14" s="33">
        <f>IF(B$3=0,0,B14/B$3)</f>
        <v>0.29629629629629628</v>
      </c>
      <c r="E14" s="55" t="s">
        <v>63</v>
      </c>
      <c r="F14" s="52" t="s">
        <v>26</v>
      </c>
      <c r="G14" s="40">
        <v>0</v>
      </c>
      <c r="H14" s="118">
        <f>IF(B$17=0,0,G14/B$17)</f>
        <v>0</v>
      </c>
      <c r="I14" s="80">
        <v>1</v>
      </c>
      <c r="N14" s="100" t="s">
        <v>132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103</v>
      </c>
      <c r="B15" s="39">
        <f>B21</f>
        <v>3</v>
      </c>
      <c r="C15" s="31">
        <f>IF(B$13=0,0,B15/B$13)</f>
        <v>0.42857142857142855</v>
      </c>
      <c r="E15" s="55" t="s">
        <v>64</v>
      </c>
      <c r="F15" s="52" t="s">
        <v>27</v>
      </c>
      <c r="G15" s="40">
        <v>0</v>
      </c>
      <c r="H15" s="118">
        <f>IF(B$17=0,0,G15/B$17)</f>
        <v>0</v>
      </c>
      <c r="I15" s="80">
        <v>1</v>
      </c>
      <c r="N15" s="101" t="s">
        <v>163</v>
      </c>
      <c r="O15" s="111">
        <f>IF(P15=0,0,Q15/P15)</f>
        <v>-25.1</v>
      </c>
      <c r="P15" s="105">
        <v>1</v>
      </c>
      <c r="Q15" s="93">
        <v>-25.1</v>
      </c>
    </row>
    <row r="16" spans="1:17">
      <c r="A16" s="46" t="s">
        <v>104</v>
      </c>
      <c r="B16" s="39">
        <f>B22</f>
        <v>2</v>
      </c>
      <c r="C16" s="31">
        <f>IF(B$14=0,0,B16/B$14)</f>
        <v>0.25</v>
      </c>
      <c r="E16" s="55" t="s">
        <v>65</v>
      </c>
      <c r="F16" s="52" t="s">
        <v>28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5</v>
      </c>
      <c r="C17" s="31">
        <f>IF(B$3=0,0,B17/B$3)</f>
        <v>0.18518518518518517</v>
      </c>
      <c r="E17" s="55" t="s">
        <v>66</v>
      </c>
      <c r="F17" s="52" t="s">
        <v>29</v>
      </c>
      <c r="G17" s="40">
        <v>0</v>
      </c>
      <c r="H17" s="118">
        <f>IF(B$17=0,0,G17/B$17)</f>
        <v>0</v>
      </c>
      <c r="I17" s="80">
        <v>1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3</v>
      </c>
      <c r="C18" s="33">
        <f>IF(B$3=0,0,B18/B$3)</f>
        <v>0.1111111111111111</v>
      </c>
      <c r="E18" s="55" t="s">
        <v>67</v>
      </c>
      <c r="F18" s="52" t="s">
        <v>30</v>
      </c>
      <c r="G18" s="40">
        <v>0</v>
      </c>
      <c r="H18" s="118">
        <f>IF(B$17=0,0,G18/B$17)</f>
        <v>0</v>
      </c>
      <c r="I18" s="80">
        <v>1</v>
      </c>
      <c r="N18" s="99" t="s">
        <v>172</v>
      </c>
      <c r="O18" s="109">
        <f>IF(P18=0,0,Q18/P18)</f>
        <v>125</v>
      </c>
      <c r="P18" s="103">
        <v>1</v>
      </c>
      <c r="Q18" s="91">
        <v>125</v>
      </c>
    </row>
    <row r="19" spans="1:17">
      <c r="A19" s="47" t="s">
        <v>12</v>
      </c>
      <c r="B19" s="40">
        <v>2</v>
      </c>
      <c r="C19" s="33">
        <f>IF(B$17=0,0,B19/B$17)</f>
        <v>0.4</v>
      </c>
      <c r="E19" s="55" t="s">
        <v>68</v>
      </c>
      <c r="F19" s="52" t="s">
        <v>31</v>
      </c>
      <c r="G19" s="40">
        <v>0</v>
      </c>
      <c r="H19" s="118">
        <f>IF(B$17=0,0,G19/B$17)</f>
        <v>0</v>
      </c>
      <c r="I19" s="80">
        <v>3</v>
      </c>
      <c r="N19" s="100" t="s">
        <v>173</v>
      </c>
      <c r="O19" s="110">
        <f>IF(P19=0,0,Q19/P19)</f>
        <v>8.8999999999999986</v>
      </c>
      <c r="P19" s="104">
        <v>2</v>
      </c>
      <c r="Q19" s="92">
        <v>17.799999999999997</v>
      </c>
    </row>
    <row r="20" spans="1:17">
      <c r="A20" s="47" t="s">
        <v>11</v>
      </c>
      <c r="B20" s="40">
        <v>3</v>
      </c>
      <c r="C20" s="33">
        <f>IF(B$17=0,0,B20/B$17)</f>
        <v>0.6</v>
      </c>
      <c r="E20" s="55" t="s">
        <v>188</v>
      </c>
      <c r="F20" s="52" t="s">
        <v>191</v>
      </c>
      <c r="G20" s="40">
        <v>0</v>
      </c>
      <c r="H20" s="118">
        <f>IF(B$17=0,0,G20/B$17)</f>
        <v>0</v>
      </c>
      <c r="I20" s="80">
        <v>3</v>
      </c>
      <c r="N20" s="100" t="s">
        <v>166</v>
      </c>
      <c r="O20" s="110">
        <f>IF(P20=0,0,Q20/P20)</f>
        <v>1</v>
      </c>
      <c r="P20" s="104">
        <v>2</v>
      </c>
      <c r="Q20" s="92">
        <v>2</v>
      </c>
    </row>
    <row r="21" spans="1:17">
      <c r="A21" s="47" t="s">
        <v>155</v>
      </c>
      <c r="B21" s="40">
        <v>3</v>
      </c>
      <c r="C21" s="33">
        <f>IF(B$17=0,0,B21/B$17)</f>
        <v>0.6</v>
      </c>
      <c r="E21" s="55" t="s">
        <v>69</v>
      </c>
      <c r="F21" s="52" t="s">
        <v>32</v>
      </c>
      <c r="G21" s="40">
        <v>0</v>
      </c>
      <c r="H21" s="118">
        <f>IF(B$17=0,0,G21/B$17)</f>
        <v>0</v>
      </c>
      <c r="I21" s="80">
        <v>1</v>
      </c>
      <c r="N21" s="100" t="s">
        <v>165</v>
      </c>
      <c r="O21" s="110">
        <f>IF(P21=0,0,Q21/P21)</f>
        <v>-22.45</v>
      </c>
      <c r="P21" s="104">
        <v>2</v>
      </c>
      <c r="Q21" s="92">
        <v>-44.9</v>
      </c>
    </row>
    <row r="22" spans="1:17">
      <c r="A22" s="47" t="s">
        <v>153</v>
      </c>
      <c r="B22" s="40">
        <v>2</v>
      </c>
      <c r="C22" s="33">
        <f>IF(B$17=0,0,B22/B$17)</f>
        <v>0.4</v>
      </c>
      <c r="E22" s="55" t="s">
        <v>70</v>
      </c>
      <c r="F22" s="52" t="s">
        <v>33</v>
      </c>
      <c r="G22" s="40">
        <v>0</v>
      </c>
      <c r="H22" s="118">
        <f>IF(B$17=0,0,G22/B$17)</f>
        <v>0</v>
      </c>
      <c r="I22" s="80">
        <v>3</v>
      </c>
      <c r="N22" s="100" t="s">
        <v>168</v>
      </c>
      <c r="O22" s="110">
        <f>IF(P22=0,0,Q22/P22)</f>
        <v>-72.949999999999989</v>
      </c>
      <c r="P22" s="104">
        <v>2</v>
      </c>
      <c r="Q22" s="92">
        <v>-145.89999999999998</v>
      </c>
    </row>
    <row r="23" spans="1:17">
      <c r="A23" s="47" t="s">
        <v>154</v>
      </c>
      <c r="B23" s="40">
        <v>0</v>
      </c>
      <c r="C23" s="33">
        <f>IF(B$17=0,0,B23/B$17)</f>
        <v>0</v>
      </c>
      <c r="E23" s="55" t="s">
        <v>71</v>
      </c>
      <c r="F23" s="52" t="s">
        <v>34</v>
      </c>
      <c r="G23" s="40">
        <v>0</v>
      </c>
      <c r="H23" s="118">
        <f>IF(B$17=0,0,G23/B$17)</f>
        <v>0</v>
      </c>
      <c r="I23" s="80">
        <v>1</v>
      </c>
    </row>
    <row r="24" spans="1:17">
      <c r="A24" s="47" t="s">
        <v>5</v>
      </c>
      <c r="B24" s="44">
        <f>IF(B$17=0,0,C24/B$17)</f>
        <v>7320</v>
      </c>
      <c r="C24" s="35">
        <v>36600</v>
      </c>
      <c r="E24" s="55" t="s">
        <v>72</v>
      </c>
      <c r="F24" s="52" t="s">
        <v>35</v>
      </c>
      <c r="G24" s="40">
        <v>0</v>
      </c>
      <c r="H24" s="118">
        <f>IF(B$17=0,0,G24/B$17)</f>
        <v>0</v>
      </c>
      <c r="I24" s="80">
        <v>3</v>
      </c>
    </row>
    <row r="25" spans="1:17">
      <c r="A25" s="48" t="s">
        <v>137</v>
      </c>
      <c r="B25" s="121">
        <f>IF($B$17-B$16=0,0,C25/($B$17-B$16))</f>
        <v>9533.3333333333339</v>
      </c>
      <c r="C25" s="122">
        <v>28600</v>
      </c>
      <c r="E25" s="55" t="s">
        <v>73</v>
      </c>
      <c r="F25" s="52" t="s">
        <v>36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138</v>
      </c>
      <c r="B26" s="121">
        <f>IF(B$16=0,0,C26/B$16)</f>
        <v>4000</v>
      </c>
      <c r="C26" s="122">
        <v>8000</v>
      </c>
      <c r="E26" s="55" t="s">
        <v>74</v>
      </c>
      <c r="F26" s="52" t="s">
        <v>37</v>
      </c>
      <c r="G26" s="40">
        <v>0</v>
      </c>
      <c r="H26" s="118">
        <f>IF(B$17=0,0,G26/B$17)</f>
        <v>0</v>
      </c>
      <c r="I26" s="80">
        <v>1</v>
      </c>
    </row>
    <row r="27" spans="1:17">
      <c r="A27" s="48" t="s">
        <v>136</v>
      </c>
      <c r="B27" s="121">
        <f>IF(B$18=0,0,C27/B$18)</f>
        <v>-9733.3333333333339</v>
      </c>
      <c r="C27" s="122">
        <v>-29200</v>
      </c>
      <c r="E27" s="55" t="s">
        <v>76</v>
      </c>
      <c r="F27" s="52" t="s">
        <v>39</v>
      </c>
      <c r="G27" s="40">
        <v>0</v>
      </c>
      <c r="H27" s="118">
        <f>IF(B$17=0,0,G27/B$17)</f>
        <v>0</v>
      </c>
      <c r="I27" s="80">
        <v>1</v>
      </c>
    </row>
    <row r="28" spans="1:17">
      <c r="A28" s="47" t="s">
        <v>134</v>
      </c>
      <c r="B28" s="40">
        <v>2</v>
      </c>
      <c r="C28" s="120">
        <v>0</v>
      </c>
      <c r="E28" s="55" t="s">
        <v>77</v>
      </c>
      <c r="F28" s="52" t="s">
        <v>40</v>
      </c>
      <c r="G28" s="40">
        <v>0</v>
      </c>
      <c r="H28" s="118">
        <f>IF(B$17=0,0,G28/B$17)</f>
        <v>0</v>
      </c>
      <c r="I28" s="80">
        <v>1</v>
      </c>
    </row>
    <row r="29" spans="1:17">
      <c r="A29" s="47" t="s">
        <v>135</v>
      </c>
      <c r="B29" s="40">
        <v>13</v>
      </c>
      <c r="C29" s="120">
        <v>13</v>
      </c>
      <c r="E29" s="55" t="s">
        <v>78</v>
      </c>
      <c r="F29" s="52" t="s">
        <v>41</v>
      </c>
      <c r="G29" s="40">
        <v>0</v>
      </c>
      <c r="H29" s="118">
        <f>IF(B$17=0,0,G29/B$17)</f>
        <v>0</v>
      </c>
      <c r="I29" s="80">
        <v>1</v>
      </c>
    </row>
    <row r="30" spans="1:17">
      <c r="A30" s="76" t="s">
        <v>115</v>
      </c>
      <c r="B30" s="142">
        <v>3</v>
      </c>
      <c r="C30" s="143"/>
      <c r="E30" s="55" t="s">
        <v>79</v>
      </c>
      <c r="F30" s="52" t="s">
        <v>42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152</v>
      </c>
      <c r="B31" s="144">
        <v>41700</v>
      </c>
      <c r="C31" s="145"/>
      <c r="E31" s="55" t="s">
        <v>80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116</v>
      </c>
      <c r="B32" s="57">
        <v>0</v>
      </c>
      <c r="C32" s="36">
        <f>IF(B$3=0,0,B32/B$3)</f>
        <v>0</v>
      </c>
      <c r="E32" s="55" t="s">
        <v>81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176</v>
      </c>
      <c r="B34" s="130" t="s">
        <v>96</v>
      </c>
      <c r="C34" s="131" t="s">
        <v>97</v>
      </c>
      <c r="E34" s="55" t="s">
        <v>83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143</v>
      </c>
      <c r="B35" s="134">
        <v>0</v>
      </c>
      <c r="C35" s="126">
        <f t="shared" ref="C35:C47" si="3">IF(B$17=0,0,B35/B$17)</f>
        <v>0</v>
      </c>
      <c r="E35" s="55" t="s">
        <v>84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139</v>
      </c>
      <c r="B36" s="40">
        <v>2</v>
      </c>
      <c r="C36" s="33">
        <f t="shared" si="3"/>
        <v>0.4</v>
      </c>
      <c r="E36" s="55" t="s">
        <v>85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140</v>
      </c>
      <c r="B37" s="135">
        <v>1</v>
      </c>
      <c r="C37" s="33">
        <f t="shared" si="3"/>
        <v>0.2</v>
      </c>
      <c r="E37" s="55" t="s">
        <v>86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141</v>
      </c>
      <c r="B38" s="135">
        <v>0</v>
      </c>
      <c r="C38" s="33">
        <f t="shared" si="3"/>
        <v>0</v>
      </c>
      <c r="E38" s="55" t="s">
        <v>87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142</v>
      </c>
      <c r="B39" s="135">
        <v>1</v>
      </c>
      <c r="C39" s="33">
        <f t="shared" si="3"/>
        <v>0.2</v>
      </c>
      <c r="E39" s="55" t="s">
        <v>88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144</v>
      </c>
      <c r="B40" s="135">
        <v>1</v>
      </c>
      <c r="C40" s="33">
        <f t="shared" si="3"/>
        <v>0.2</v>
      </c>
      <c r="E40" s="55" t="s">
        <v>89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145</v>
      </c>
      <c r="B41" s="135">
        <v>0</v>
      </c>
      <c r="C41" s="33">
        <f t="shared" si="3"/>
        <v>0</v>
      </c>
      <c r="E41" s="55" t="s">
        <v>90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146</v>
      </c>
      <c r="B42" s="135">
        <v>0</v>
      </c>
      <c r="C42" s="33">
        <f t="shared" si="3"/>
        <v>0</v>
      </c>
      <c r="E42" s="55" t="s">
        <v>91</v>
      </c>
      <c r="F42" s="52" t="s">
        <v>54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147</v>
      </c>
      <c r="B43" s="135">
        <v>0</v>
      </c>
      <c r="C43" s="33">
        <f t="shared" si="3"/>
        <v>0</v>
      </c>
      <c r="E43" s="55" t="s">
        <v>92</v>
      </c>
      <c r="F43" s="52" t="s">
        <v>192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148</v>
      </c>
      <c r="B44" s="135">
        <v>0</v>
      </c>
      <c r="C44" s="33">
        <f t="shared" si="3"/>
        <v>0</v>
      </c>
      <c r="E44" s="55" t="s">
        <v>93</v>
      </c>
      <c r="F44" s="52" t="s">
        <v>193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149</v>
      </c>
      <c r="B45" s="135">
        <v>0</v>
      </c>
      <c r="C45" s="33">
        <f t="shared" si="3"/>
        <v>0</v>
      </c>
      <c r="E45" s="56" t="s">
        <v>94</v>
      </c>
      <c r="F45" s="53" t="s">
        <v>194</v>
      </c>
      <c r="G45" s="42">
        <v>0</v>
      </c>
      <c r="H45" s="119">
        <f>IF(B$17=0,0,G45/B$17)</f>
        <v>0</v>
      </c>
      <c r="I45" s="81">
        <v>1</v>
      </c>
    </row>
    <row r="46" spans="1:9">
      <c r="A46" s="47" t="s">
        <v>150</v>
      </c>
      <c r="B46" s="135">
        <v>0</v>
      </c>
      <c r="C46" s="33">
        <f t="shared" si="3"/>
        <v>0</v>
      </c>
    </row>
    <row r="47" spans="1:9">
      <c r="A47" s="49" t="s">
        <v>151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2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86BA38-7F67-4AE9-ADC3-3F4AF6CBC4B7}">
  <sheetPr codeName="Sheet9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13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85" customWidth="1"/>
    <col min="13" max="13" width="3.59765625" style="27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27"/>
  </cols>
  <sheetData>
    <row r="1" spans="1:17">
      <c r="A1" s="45" t="s">
        <v>0</v>
      </c>
      <c r="B1" s="146" t="s">
        <v>173</v>
      </c>
      <c r="C1" s="147"/>
      <c r="E1" s="114" t="s">
        <v>133</v>
      </c>
      <c r="F1" s="133" t="s">
        <v>95</v>
      </c>
      <c r="G1" s="132" t="s">
        <v>96</v>
      </c>
      <c r="H1" s="115" t="s">
        <v>97</v>
      </c>
      <c r="I1" s="133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48">
        <v>5</v>
      </c>
      <c r="C2" s="149"/>
      <c r="E2" s="54" t="s">
        <v>56</v>
      </c>
      <c r="F2" s="51" t="s">
        <v>159</v>
      </c>
      <c r="G2" s="39">
        <v>5</v>
      </c>
      <c r="H2" s="117">
        <f>IF(B$17=0,0,G2/B$17)</f>
        <v>1</v>
      </c>
      <c r="I2" s="79">
        <v>1</v>
      </c>
      <c r="K2" s="30">
        <v>0</v>
      </c>
      <c r="L2" s="84">
        <v>0</v>
      </c>
      <c r="N2" s="99" t="s">
        <v>107</v>
      </c>
      <c r="O2" s="106">
        <f t="shared" ref="O2:O9" si="0">IF(P2=0,0,Q2/P2)</f>
        <v>4200</v>
      </c>
      <c r="P2" s="103">
        <v>5</v>
      </c>
      <c r="Q2" s="87">
        <v>21000</v>
      </c>
    </row>
    <row r="3" spans="1:17">
      <c r="A3" s="47" t="s">
        <v>8</v>
      </c>
      <c r="B3" s="150">
        <v>43</v>
      </c>
      <c r="C3" s="151"/>
      <c r="E3" s="55" t="s">
        <v>186</v>
      </c>
      <c r="F3" s="52" t="s">
        <v>160</v>
      </c>
      <c r="G3" s="40">
        <v>4</v>
      </c>
      <c r="H3" s="118">
        <f>IF(B$17=0,0,G3/B$17)</f>
        <v>0.8</v>
      </c>
      <c r="I3" s="80">
        <v>2</v>
      </c>
      <c r="K3" s="32">
        <v>1</v>
      </c>
      <c r="L3" s="85">
        <v>-14.2</v>
      </c>
      <c r="N3" s="100" t="s">
        <v>108</v>
      </c>
      <c r="O3" s="107">
        <f t="shared" si="0"/>
        <v>-260</v>
      </c>
      <c r="P3" s="104">
        <v>5</v>
      </c>
      <c r="Q3" s="88">
        <v>-1300</v>
      </c>
    </row>
    <row r="4" spans="1:17">
      <c r="A4" s="47" t="s">
        <v>6</v>
      </c>
      <c r="B4" s="152">
        <v>-39</v>
      </c>
      <c r="C4" s="153"/>
      <c r="E4" s="55" t="s">
        <v>189</v>
      </c>
      <c r="F4" s="52" t="s">
        <v>195</v>
      </c>
      <c r="G4" s="40">
        <v>4</v>
      </c>
      <c r="H4" s="118">
        <f>IF(B$17=0,0,G4/B$17)</f>
        <v>0.8</v>
      </c>
      <c r="I4" s="80">
        <v>3</v>
      </c>
      <c r="K4" s="32">
        <v>2</v>
      </c>
      <c r="L4" s="85">
        <v>0.60000000000000142</v>
      </c>
      <c r="N4" s="100" t="s">
        <v>109</v>
      </c>
      <c r="O4" s="107">
        <f t="shared" si="0"/>
        <v>-1860</v>
      </c>
      <c r="P4" s="104">
        <v>5</v>
      </c>
      <c r="Q4" s="88">
        <v>-9300</v>
      </c>
    </row>
    <row r="5" spans="1:17">
      <c r="A5" s="47" t="s">
        <v>7</v>
      </c>
      <c r="B5" s="154">
        <f>IF(B$2=0,0,B$4/B$2)</f>
        <v>-7.8</v>
      </c>
      <c r="C5" s="155"/>
      <c r="E5" s="55" t="s">
        <v>55</v>
      </c>
      <c r="F5" s="52" t="s">
        <v>20</v>
      </c>
      <c r="G5" s="40">
        <v>3</v>
      </c>
      <c r="H5" s="118">
        <f>IF(B$17=0,0,G5/B$17)</f>
        <v>0.6</v>
      </c>
      <c r="I5" s="80">
        <v>7</v>
      </c>
      <c r="K5" s="32">
        <v>3</v>
      </c>
      <c r="L5" s="85">
        <v>-32.299999999999997</v>
      </c>
      <c r="N5" s="100" t="s">
        <v>161</v>
      </c>
      <c r="O5" s="107">
        <f>IF(P5=0,0,Q5/P5)</f>
        <v>-2280</v>
      </c>
      <c r="P5" s="104">
        <v>5</v>
      </c>
      <c r="Q5" s="88">
        <v>-11400</v>
      </c>
    </row>
    <row r="6" spans="1:17">
      <c r="A6" s="47" t="s">
        <v>1</v>
      </c>
      <c r="B6" s="156">
        <f>IF(B$2=0,0,(B$7*1+B$8*2+B$9*3+B$10*4)/B$2)</f>
        <v>2.6</v>
      </c>
      <c r="C6" s="157"/>
      <c r="E6" s="55" t="s">
        <v>58</v>
      </c>
      <c r="F6" s="52" t="s">
        <v>21</v>
      </c>
      <c r="G6" s="40">
        <v>2</v>
      </c>
      <c r="H6" s="118">
        <f>IF(B$17=0,0,G6/B$17)</f>
        <v>0.4</v>
      </c>
      <c r="I6" s="80">
        <v>2</v>
      </c>
      <c r="K6" s="32">
        <v>4</v>
      </c>
      <c r="L6" s="85">
        <v>-23.999999999999996</v>
      </c>
      <c r="N6" s="100" t="s">
        <v>110</v>
      </c>
      <c r="O6" s="107">
        <f t="shared" ref="O6" si="1">IF(P6=0,0,Q6/P6)</f>
        <v>-2250</v>
      </c>
      <c r="P6" s="104">
        <v>4</v>
      </c>
      <c r="Q6" s="88">
        <v>-9000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187</v>
      </c>
      <c r="F7" s="52" t="s">
        <v>19</v>
      </c>
      <c r="G7" s="40">
        <v>1</v>
      </c>
      <c r="H7" s="118">
        <f>IF(B$17=0,0,G7/B$17)</f>
        <v>0.2</v>
      </c>
      <c r="I7" s="80">
        <v>3</v>
      </c>
      <c r="K7" s="32">
        <v>5</v>
      </c>
      <c r="L7" s="85">
        <v>-39</v>
      </c>
      <c r="N7" s="100" t="s">
        <v>111</v>
      </c>
      <c r="O7" s="107">
        <f t="shared" si="0"/>
        <v>2575</v>
      </c>
      <c r="P7" s="104">
        <v>4</v>
      </c>
      <c r="Q7" s="88">
        <v>10300</v>
      </c>
    </row>
    <row r="8" spans="1:17">
      <c r="A8" s="47" t="s">
        <v>3</v>
      </c>
      <c r="B8" s="40">
        <v>2</v>
      </c>
      <c r="C8" s="33">
        <f>IF(B$2=0,0,B8/B$2)</f>
        <v>0.4</v>
      </c>
      <c r="E8" s="55" t="s">
        <v>57</v>
      </c>
      <c r="F8" s="52" t="s">
        <v>190</v>
      </c>
      <c r="G8" s="40">
        <v>1</v>
      </c>
      <c r="H8" s="118">
        <f>IF(B$17=0,0,G8/B$17)</f>
        <v>0.2</v>
      </c>
      <c r="I8" s="80">
        <v>9</v>
      </c>
      <c r="N8" s="100" t="s">
        <v>112</v>
      </c>
      <c r="O8" s="107">
        <f t="shared" si="0"/>
        <v>50</v>
      </c>
      <c r="P8" s="104">
        <v>4</v>
      </c>
      <c r="Q8" s="88">
        <v>200</v>
      </c>
    </row>
    <row r="9" spans="1:17">
      <c r="A9" s="48" t="s">
        <v>4</v>
      </c>
      <c r="B9" s="41">
        <v>3</v>
      </c>
      <c r="C9" s="34">
        <f>IF(B$2=0,0,B9/B$2)</f>
        <v>0.6</v>
      </c>
      <c r="E9" s="55" t="s">
        <v>59</v>
      </c>
      <c r="F9" s="52" t="s">
        <v>22</v>
      </c>
      <c r="G9" s="40">
        <v>1</v>
      </c>
      <c r="H9" s="118">
        <f>IF(B$17=0,0,G9/B$17)</f>
        <v>0.2</v>
      </c>
      <c r="I9" s="80">
        <v>1</v>
      </c>
      <c r="N9" s="101" t="s">
        <v>162</v>
      </c>
      <c r="O9" s="108">
        <f t="shared" si="0"/>
        <v>-2250</v>
      </c>
      <c r="P9" s="105">
        <v>2</v>
      </c>
      <c r="Q9" s="89">
        <v>-4500</v>
      </c>
    </row>
    <row r="10" spans="1:17">
      <c r="A10" s="48" t="s">
        <v>156</v>
      </c>
      <c r="B10" s="41">
        <v>0</v>
      </c>
      <c r="C10" s="34">
        <f>IF(B$2=0,0,B10/B$2)</f>
        <v>0</v>
      </c>
      <c r="E10" s="55" t="s">
        <v>60</v>
      </c>
      <c r="F10" s="52" t="s">
        <v>23</v>
      </c>
      <c r="G10" s="40">
        <v>1</v>
      </c>
      <c r="H10" s="118">
        <f>IF(B$17=0,0,G10/B$17)</f>
        <v>0.2</v>
      </c>
      <c r="I10" s="80">
        <v>4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2</v>
      </c>
      <c r="C11" s="34">
        <f>IF(B$2=0,0,B11/B$2)</f>
        <v>0.4</v>
      </c>
      <c r="E11" s="55" t="s">
        <v>61</v>
      </c>
      <c r="F11" s="52" t="s">
        <v>24</v>
      </c>
      <c r="G11" s="40">
        <v>1</v>
      </c>
      <c r="H11" s="118">
        <f>IF(B$17=0,0,G11/B$17)</f>
        <v>0.2</v>
      </c>
      <c r="I11" s="80">
        <v>11</v>
      </c>
      <c r="N11" s="98" t="s">
        <v>175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25</v>
      </c>
      <c r="G12" s="40">
        <v>0</v>
      </c>
      <c r="H12" s="118">
        <f>IF(B$17=0,0,G12/B$17)</f>
        <v>0</v>
      </c>
      <c r="I12" s="80">
        <v>1</v>
      </c>
      <c r="N12" s="99" t="s">
        <v>130</v>
      </c>
      <c r="O12" s="109">
        <f>IF(P12=0,0,Q12/P12)</f>
        <v>-23.549999999999997</v>
      </c>
      <c r="P12" s="103">
        <v>2</v>
      </c>
      <c r="Q12" s="91">
        <v>-47.099999999999994</v>
      </c>
    </row>
    <row r="13" spans="1:17">
      <c r="A13" s="50" t="s">
        <v>101</v>
      </c>
      <c r="B13" s="43">
        <v>8</v>
      </c>
      <c r="C13" s="38">
        <f>IF(B$3=0,0,B13/B$3)</f>
        <v>0.18604651162790697</v>
      </c>
      <c r="E13" s="55" t="s">
        <v>63</v>
      </c>
      <c r="F13" s="52" t="s">
        <v>26</v>
      </c>
      <c r="G13" s="40">
        <v>0</v>
      </c>
      <c r="H13" s="118">
        <f>IF(B$17=0,0,G13/B$17)</f>
        <v>0</v>
      </c>
      <c r="I13" s="80">
        <v>1</v>
      </c>
      <c r="N13" s="100" t="s">
        <v>131</v>
      </c>
      <c r="O13" s="110">
        <f>IF(P13=0,0,Q13/P13)</f>
        <v>14.8</v>
      </c>
      <c r="P13" s="104">
        <v>1</v>
      </c>
      <c r="Q13" s="92">
        <v>14.8</v>
      </c>
    </row>
    <row r="14" spans="1:17">
      <c r="A14" s="47" t="s">
        <v>98</v>
      </c>
      <c r="B14" s="40">
        <v>5</v>
      </c>
      <c r="C14" s="33">
        <f>IF(B$3=0,0,B14/B$3)</f>
        <v>0.11627906976744186</v>
      </c>
      <c r="E14" s="55" t="s">
        <v>64</v>
      </c>
      <c r="F14" s="52" t="s">
        <v>27</v>
      </c>
      <c r="G14" s="40">
        <v>0</v>
      </c>
      <c r="H14" s="118">
        <f>IF(B$17=0,0,G14/B$17)</f>
        <v>0</v>
      </c>
      <c r="I14" s="80">
        <v>1</v>
      </c>
      <c r="N14" s="100" t="s">
        <v>132</v>
      </c>
      <c r="O14" s="110">
        <f>IF(P14=0,0,Q14/P14)</f>
        <v>-15</v>
      </c>
      <c r="P14" s="104">
        <v>1</v>
      </c>
      <c r="Q14" s="92">
        <v>-15</v>
      </c>
    </row>
    <row r="15" spans="1:17">
      <c r="A15" s="46" t="s">
        <v>103</v>
      </c>
      <c r="B15" s="39">
        <f>B21</f>
        <v>4</v>
      </c>
      <c r="C15" s="31">
        <f>IF(B$13=0,0,B15/B$13)</f>
        <v>0.5</v>
      </c>
      <c r="E15" s="55" t="s">
        <v>65</v>
      </c>
      <c r="F15" s="52" t="s">
        <v>28</v>
      </c>
      <c r="G15" s="40">
        <v>0</v>
      </c>
      <c r="H15" s="118">
        <f>IF(B$17=0,0,G15/B$17)</f>
        <v>0</v>
      </c>
      <c r="I15" s="80">
        <v>1</v>
      </c>
      <c r="N15" s="101" t="s">
        <v>163</v>
      </c>
      <c r="O15" s="111">
        <f>IF(P15=0,0,Q15/P15)</f>
        <v>8.3000000000000007</v>
      </c>
      <c r="P15" s="105">
        <v>1</v>
      </c>
      <c r="Q15" s="93">
        <v>8.3000000000000007</v>
      </c>
    </row>
    <row r="16" spans="1:17">
      <c r="A16" s="46" t="s">
        <v>104</v>
      </c>
      <c r="B16" s="39">
        <f>B22</f>
        <v>0</v>
      </c>
      <c r="C16" s="31">
        <f>IF(B$14=0,0,B16/B$14)</f>
        <v>0</v>
      </c>
      <c r="E16" s="55" t="s">
        <v>66</v>
      </c>
      <c r="F16" s="52" t="s">
        <v>29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5</v>
      </c>
      <c r="C17" s="31">
        <f>IF(B$3=0,0,B17/B$3)</f>
        <v>0.11627906976744186</v>
      </c>
      <c r="E17" s="55" t="s">
        <v>67</v>
      </c>
      <c r="F17" s="52" t="s">
        <v>30</v>
      </c>
      <c r="G17" s="40">
        <v>0</v>
      </c>
      <c r="H17" s="118">
        <f>IF(B$17=0,0,G17/B$17)</f>
        <v>0</v>
      </c>
      <c r="I17" s="80">
        <v>1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5</v>
      </c>
      <c r="C18" s="33">
        <f>IF(B$3=0,0,B18/B$3)</f>
        <v>0.11627906976744186</v>
      </c>
      <c r="E18" s="55" t="s">
        <v>68</v>
      </c>
      <c r="F18" s="52" t="s">
        <v>31</v>
      </c>
      <c r="G18" s="40">
        <v>0</v>
      </c>
      <c r="H18" s="118">
        <f>IF(B$17=0,0,G18/B$17)</f>
        <v>0</v>
      </c>
      <c r="I18" s="80">
        <v>3</v>
      </c>
      <c r="N18" s="99" t="s">
        <v>165</v>
      </c>
      <c r="O18" s="109">
        <f>IF(P18=0,0,Q18/P18)</f>
        <v>28.749999999999996</v>
      </c>
      <c r="P18" s="103">
        <v>2</v>
      </c>
      <c r="Q18" s="91">
        <v>57.499999999999993</v>
      </c>
    </row>
    <row r="19" spans="1:17">
      <c r="A19" s="47" t="s">
        <v>12</v>
      </c>
      <c r="B19" s="40">
        <v>1</v>
      </c>
      <c r="C19" s="33">
        <f>IF(B$17=0,0,B19/B$17)</f>
        <v>0.2</v>
      </c>
      <c r="E19" s="55" t="s">
        <v>188</v>
      </c>
      <c r="F19" s="52" t="s">
        <v>191</v>
      </c>
      <c r="G19" s="40">
        <v>0</v>
      </c>
      <c r="H19" s="118">
        <f>IF(B$17=0,0,G19/B$17)</f>
        <v>0</v>
      </c>
      <c r="I19" s="80">
        <v>3</v>
      </c>
      <c r="N19" s="100" t="s">
        <v>170</v>
      </c>
      <c r="O19" s="110">
        <f>IF(P19=0,0,Q19/P19)</f>
        <v>5.0500000000000025</v>
      </c>
      <c r="P19" s="104">
        <v>2</v>
      </c>
      <c r="Q19" s="92">
        <v>10.100000000000005</v>
      </c>
    </row>
    <row r="20" spans="1:17">
      <c r="A20" s="47" t="s">
        <v>11</v>
      </c>
      <c r="B20" s="40">
        <v>4</v>
      </c>
      <c r="C20" s="33">
        <f>IF(B$17=0,0,B20/B$17)</f>
        <v>0.8</v>
      </c>
      <c r="E20" s="55" t="s">
        <v>69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167</v>
      </c>
      <c r="O20" s="110">
        <f>IF(P20=0,0,Q20/P20)</f>
        <v>-8.8999999999999986</v>
      </c>
      <c r="P20" s="104">
        <v>2</v>
      </c>
      <c r="Q20" s="92">
        <v>-17.799999999999997</v>
      </c>
    </row>
    <row r="21" spans="1:17">
      <c r="A21" s="47" t="s">
        <v>155</v>
      </c>
      <c r="B21" s="40">
        <v>4</v>
      </c>
      <c r="C21" s="33">
        <f>IF(B$17=0,0,B21/B$17)</f>
        <v>0.8</v>
      </c>
      <c r="E21" s="55" t="s">
        <v>70</v>
      </c>
      <c r="F21" s="52" t="s">
        <v>33</v>
      </c>
      <c r="G21" s="40">
        <v>0</v>
      </c>
      <c r="H21" s="118">
        <f>IF(B$17=0,0,G21/B$17)</f>
        <v>0</v>
      </c>
      <c r="I21" s="80">
        <v>3</v>
      </c>
      <c r="N21" s="100" t="s">
        <v>182</v>
      </c>
      <c r="O21" s="110">
        <f>IF(P21=0,0,Q21/P21)</f>
        <v>-10.999999999999996</v>
      </c>
      <c r="P21" s="104">
        <v>2</v>
      </c>
      <c r="Q21" s="92">
        <v>-21.999999999999993</v>
      </c>
    </row>
    <row r="22" spans="1:17">
      <c r="A22" s="47" t="s">
        <v>153</v>
      </c>
      <c r="B22" s="40">
        <v>0</v>
      </c>
      <c r="C22" s="33">
        <f>IF(B$17=0,0,B22/B$17)</f>
        <v>0</v>
      </c>
      <c r="E22" s="55" t="s">
        <v>71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168</v>
      </c>
      <c r="O22" s="110">
        <f>IF(P22=0,0,Q22/P22)</f>
        <v>-11.099999999999998</v>
      </c>
      <c r="P22" s="104">
        <v>2</v>
      </c>
      <c r="Q22" s="92">
        <v>-22.199999999999996</v>
      </c>
    </row>
    <row r="23" spans="1:17">
      <c r="A23" s="47" t="s">
        <v>154</v>
      </c>
      <c r="B23" s="40">
        <v>1</v>
      </c>
      <c r="C23" s="33">
        <f>IF(B$17=0,0,B23/B$17)</f>
        <v>0.2</v>
      </c>
      <c r="E23" s="55" t="s">
        <v>72</v>
      </c>
      <c r="F23" s="52" t="s">
        <v>35</v>
      </c>
      <c r="G23" s="40">
        <v>0</v>
      </c>
      <c r="H23" s="118">
        <f>IF(B$17=0,0,G23/B$17)</f>
        <v>0</v>
      </c>
      <c r="I23" s="80">
        <v>3</v>
      </c>
      <c r="N23" s="100" t="s">
        <v>172</v>
      </c>
      <c r="O23" s="110">
        <f>IF(P23=0,0,Q23/P23)</f>
        <v>-13.5</v>
      </c>
      <c r="P23" s="104">
        <v>2</v>
      </c>
      <c r="Q23" s="92">
        <v>-27</v>
      </c>
    </row>
    <row r="24" spans="1:17">
      <c r="A24" s="47" t="s">
        <v>5</v>
      </c>
      <c r="B24" s="44">
        <f>IF(B$17=0,0,C24/B$17)</f>
        <v>9680</v>
      </c>
      <c r="C24" s="35">
        <v>48400</v>
      </c>
      <c r="E24" s="55" t="s">
        <v>73</v>
      </c>
      <c r="F24" s="52" t="s">
        <v>36</v>
      </c>
      <c r="G24" s="40">
        <v>0</v>
      </c>
      <c r="H24" s="118">
        <f>IF(B$17=0,0,G24/B$17)</f>
        <v>0</v>
      </c>
      <c r="I24" s="80">
        <v>1</v>
      </c>
      <c r="N24" s="100" t="s">
        <v>171</v>
      </c>
      <c r="O24" s="110">
        <f>IF(P24=0,0,Q24/P24)</f>
        <v>-28.2</v>
      </c>
      <c r="P24" s="104">
        <v>1</v>
      </c>
      <c r="Q24" s="92">
        <v>-28.2</v>
      </c>
    </row>
    <row r="25" spans="1:17">
      <c r="A25" s="48" t="s">
        <v>137</v>
      </c>
      <c r="B25" s="121">
        <f>IF($B$17-B$16=0,0,C25/($B$17-B$16))</f>
        <v>9680</v>
      </c>
      <c r="C25" s="122">
        <v>48400</v>
      </c>
      <c r="E25" s="55" t="s">
        <v>74</v>
      </c>
      <c r="F25" s="52" t="s">
        <v>37</v>
      </c>
      <c r="G25" s="40">
        <v>0</v>
      </c>
      <c r="H25" s="118">
        <f>IF(B$17=0,0,G25/B$17)</f>
        <v>0</v>
      </c>
      <c r="I25" s="80">
        <v>1</v>
      </c>
      <c r="N25" s="100" t="s">
        <v>166</v>
      </c>
      <c r="O25" s="110">
        <f>IF(P25=0,0,Q25/P25)</f>
        <v>-48.199999999999996</v>
      </c>
      <c r="P25" s="104">
        <v>2</v>
      </c>
      <c r="Q25" s="92">
        <v>-96.399999999999991</v>
      </c>
    </row>
    <row r="26" spans="1:17">
      <c r="A26" s="48" t="s">
        <v>138</v>
      </c>
      <c r="B26" s="121">
        <f>IF(B$16=0,0,C26/B$16)</f>
        <v>0</v>
      </c>
      <c r="C26" s="122">
        <v>0</v>
      </c>
      <c r="E26" s="55" t="s">
        <v>75</v>
      </c>
      <c r="F26" s="52" t="s">
        <v>38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136</v>
      </c>
      <c r="B27" s="121">
        <f>IF(B$18=0,0,C27/B$18)</f>
        <v>-4800</v>
      </c>
      <c r="C27" s="122">
        <v>-24000</v>
      </c>
      <c r="E27" s="55" t="s">
        <v>76</v>
      </c>
      <c r="F27" s="52" t="s">
        <v>39</v>
      </c>
      <c r="G27" s="40">
        <v>0</v>
      </c>
      <c r="H27" s="118">
        <f>IF(B$17=0,0,G27/B$17)</f>
        <v>0</v>
      </c>
      <c r="I27" s="80">
        <v>1</v>
      </c>
    </row>
    <row r="28" spans="1:17">
      <c r="A28" s="47" t="s">
        <v>134</v>
      </c>
      <c r="B28" s="40">
        <v>1</v>
      </c>
      <c r="C28" s="120">
        <v>0</v>
      </c>
      <c r="E28" s="55" t="s">
        <v>77</v>
      </c>
      <c r="F28" s="52" t="s">
        <v>40</v>
      </c>
      <c r="G28" s="40">
        <v>0</v>
      </c>
      <c r="H28" s="118">
        <f>IF(B$17=0,0,G28/B$17)</f>
        <v>0</v>
      </c>
      <c r="I28" s="80">
        <v>1</v>
      </c>
    </row>
    <row r="29" spans="1:17">
      <c r="A29" s="47" t="s">
        <v>135</v>
      </c>
      <c r="B29" s="40">
        <v>19</v>
      </c>
      <c r="C29" s="120">
        <v>0</v>
      </c>
      <c r="E29" s="55" t="s">
        <v>78</v>
      </c>
      <c r="F29" s="52" t="s">
        <v>41</v>
      </c>
      <c r="G29" s="40">
        <v>0</v>
      </c>
      <c r="H29" s="118">
        <f>IF(B$17=0,0,G29/B$17)</f>
        <v>0</v>
      </c>
      <c r="I29" s="80">
        <v>1</v>
      </c>
    </row>
    <row r="30" spans="1:17">
      <c r="A30" s="76" t="s">
        <v>115</v>
      </c>
      <c r="B30" s="142">
        <v>4</v>
      </c>
      <c r="C30" s="143"/>
      <c r="E30" s="55" t="s">
        <v>79</v>
      </c>
      <c r="F30" s="52" t="s">
        <v>42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152</v>
      </c>
      <c r="B31" s="144">
        <v>34800</v>
      </c>
      <c r="C31" s="145"/>
      <c r="E31" s="55" t="s">
        <v>80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116</v>
      </c>
      <c r="B32" s="57">
        <v>0</v>
      </c>
      <c r="C32" s="36">
        <f>IF(B$3=0,0,B32/B$3)</f>
        <v>0</v>
      </c>
      <c r="E32" s="55" t="s">
        <v>81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176</v>
      </c>
      <c r="B34" s="130" t="s">
        <v>96</v>
      </c>
      <c r="C34" s="131" t="s">
        <v>97</v>
      </c>
      <c r="E34" s="55" t="s">
        <v>83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143</v>
      </c>
      <c r="B35" s="134">
        <v>0</v>
      </c>
      <c r="C35" s="126">
        <f t="shared" ref="C35:C47" si="3">IF(B$17=0,0,B35/B$17)</f>
        <v>0</v>
      </c>
      <c r="E35" s="55" t="s">
        <v>84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139</v>
      </c>
      <c r="B36" s="40">
        <v>0</v>
      </c>
      <c r="C36" s="33">
        <f t="shared" si="3"/>
        <v>0</v>
      </c>
      <c r="E36" s="55" t="s">
        <v>85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140</v>
      </c>
      <c r="B37" s="135">
        <v>1</v>
      </c>
      <c r="C37" s="33">
        <f t="shared" si="3"/>
        <v>0.2</v>
      </c>
      <c r="E37" s="55" t="s">
        <v>86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141</v>
      </c>
      <c r="B38" s="135">
        <v>2</v>
      </c>
      <c r="C38" s="33">
        <f t="shared" si="3"/>
        <v>0.4</v>
      </c>
      <c r="E38" s="55" t="s">
        <v>87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142</v>
      </c>
      <c r="B39" s="135">
        <v>0</v>
      </c>
      <c r="C39" s="33">
        <f t="shared" si="3"/>
        <v>0</v>
      </c>
      <c r="E39" s="55" t="s">
        <v>88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144</v>
      </c>
      <c r="B40" s="135">
        <v>2</v>
      </c>
      <c r="C40" s="33">
        <f t="shared" si="3"/>
        <v>0.4</v>
      </c>
      <c r="E40" s="55" t="s">
        <v>89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145</v>
      </c>
      <c r="B41" s="135">
        <v>0</v>
      </c>
      <c r="C41" s="33">
        <f t="shared" si="3"/>
        <v>0</v>
      </c>
      <c r="E41" s="55" t="s">
        <v>90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146</v>
      </c>
      <c r="B42" s="135">
        <v>0</v>
      </c>
      <c r="C42" s="33">
        <f t="shared" si="3"/>
        <v>0</v>
      </c>
      <c r="E42" s="55" t="s">
        <v>91</v>
      </c>
      <c r="F42" s="52" t="s">
        <v>54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147</v>
      </c>
      <c r="B43" s="135">
        <v>0</v>
      </c>
      <c r="C43" s="33">
        <f t="shared" si="3"/>
        <v>0</v>
      </c>
      <c r="E43" s="55" t="s">
        <v>92</v>
      </c>
      <c r="F43" s="52" t="s">
        <v>192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148</v>
      </c>
      <c r="B44" s="135">
        <v>0</v>
      </c>
      <c r="C44" s="33">
        <f t="shared" si="3"/>
        <v>0</v>
      </c>
      <c r="E44" s="55" t="s">
        <v>93</v>
      </c>
      <c r="F44" s="52" t="s">
        <v>193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149</v>
      </c>
      <c r="B45" s="135">
        <v>0</v>
      </c>
      <c r="C45" s="33">
        <f t="shared" si="3"/>
        <v>0</v>
      </c>
      <c r="E45" s="56" t="s">
        <v>94</v>
      </c>
      <c r="F45" s="53" t="s">
        <v>194</v>
      </c>
      <c r="G45" s="42">
        <v>0</v>
      </c>
      <c r="H45" s="119">
        <f>IF(B$17=0,0,G45/B$17)</f>
        <v>0</v>
      </c>
      <c r="I45" s="81">
        <v>1</v>
      </c>
    </row>
    <row r="46" spans="1:9">
      <c r="A46" s="47" t="s">
        <v>150</v>
      </c>
      <c r="B46" s="135">
        <v>0</v>
      </c>
      <c r="C46" s="33">
        <f t="shared" si="3"/>
        <v>0</v>
      </c>
    </row>
    <row r="47" spans="1:9">
      <c r="A47" s="49" t="s">
        <v>151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5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76B3B7-126B-48FC-BF12-A7780A999E52}">
  <sheetPr codeName="Sheet10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13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85" customWidth="1"/>
    <col min="13" max="13" width="3.59765625" style="27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27"/>
  </cols>
  <sheetData>
    <row r="1" spans="1:17">
      <c r="A1" s="45" t="s">
        <v>0</v>
      </c>
      <c r="B1" s="146" t="s">
        <v>170</v>
      </c>
      <c r="C1" s="147"/>
      <c r="E1" s="114" t="s">
        <v>133</v>
      </c>
      <c r="F1" s="133" t="s">
        <v>95</v>
      </c>
      <c r="G1" s="132" t="s">
        <v>96</v>
      </c>
      <c r="H1" s="115" t="s">
        <v>97</v>
      </c>
      <c r="I1" s="133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48">
        <v>2</v>
      </c>
      <c r="C2" s="149"/>
      <c r="E2" s="54" t="s">
        <v>61</v>
      </c>
      <c r="F2" s="51" t="s">
        <v>24</v>
      </c>
      <c r="G2" s="39">
        <v>2</v>
      </c>
      <c r="H2" s="117">
        <f>IF(B$17=0,0,G2/B$17)</f>
        <v>0.66666666666666663</v>
      </c>
      <c r="I2" s="79">
        <v>3</v>
      </c>
      <c r="K2" s="30">
        <v>0</v>
      </c>
      <c r="L2" s="84">
        <v>0</v>
      </c>
      <c r="N2" s="99" t="s">
        <v>107</v>
      </c>
      <c r="O2" s="106">
        <f t="shared" ref="O2:O9" si="0">IF(P2=0,0,Q2/P2)</f>
        <v>-11300</v>
      </c>
      <c r="P2" s="103">
        <v>2</v>
      </c>
      <c r="Q2" s="87">
        <v>-22600</v>
      </c>
    </row>
    <row r="3" spans="1:17">
      <c r="A3" s="47" t="s">
        <v>8</v>
      </c>
      <c r="B3" s="150">
        <v>17</v>
      </c>
      <c r="C3" s="151"/>
      <c r="E3" s="55" t="s">
        <v>186</v>
      </c>
      <c r="F3" s="52" t="s">
        <v>160</v>
      </c>
      <c r="G3" s="40">
        <v>1</v>
      </c>
      <c r="H3" s="118">
        <f>IF(B$17=0,0,G3/B$17)</f>
        <v>0.33333333333333331</v>
      </c>
      <c r="I3" s="80">
        <v>11</v>
      </c>
      <c r="K3" s="32">
        <v>1</v>
      </c>
      <c r="L3" s="85">
        <v>-60.9</v>
      </c>
      <c r="N3" s="100" t="s">
        <v>108</v>
      </c>
      <c r="O3" s="107">
        <f t="shared" si="0"/>
        <v>-1000</v>
      </c>
      <c r="P3" s="104">
        <v>2</v>
      </c>
      <c r="Q3" s="88">
        <v>-2000</v>
      </c>
    </row>
    <row r="4" spans="1:17">
      <c r="A4" s="47" t="s">
        <v>6</v>
      </c>
      <c r="B4" s="152">
        <v>-57.199999999999996</v>
      </c>
      <c r="C4" s="153"/>
      <c r="E4" s="55" t="s">
        <v>55</v>
      </c>
      <c r="F4" s="52" t="s">
        <v>20</v>
      </c>
      <c r="G4" s="40">
        <v>1</v>
      </c>
      <c r="H4" s="118">
        <f>IF(B$17=0,0,G4/B$17)</f>
        <v>0.33333333333333331</v>
      </c>
      <c r="I4" s="80">
        <v>11</v>
      </c>
      <c r="K4" s="32">
        <v>2</v>
      </c>
      <c r="L4" s="85">
        <v>-57.199999999999996</v>
      </c>
      <c r="N4" s="100" t="s">
        <v>109</v>
      </c>
      <c r="O4" s="107">
        <f t="shared" si="0"/>
        <v>-1850</v>
      </c>
      <c r="P4" s="104">
        <v>2</v>
      </c>
      <c r="Q4" s="88">
        <v>-3700</v>
      </c>
    </row>
    <row r="5" spans="1:17">
      <c r="A5" s="47" t="s">
        <v>7</v>
      </c>
      <c r="B5" s="154">
        <f>IF(B$2=0,0,B$4/B$2)</f>
        <v>-28.599999999999998</v>
      </c>
      <c r="C5" s="155"/>
      <c r="E5" s="55" t="s">
        <v>57</v>
      </c>
      <c r="F5" s="52" t="s">
        <v>190</v>
      </c>
      <c r="G5" s="40">
        <v>1</v>
      </c>
      <c r="H5" s="118">
        <f>IF(B$17=0,0,G5/B$17)</f>
        <v>0.33333333333333331</v>
      </c>
      <c r="I5" s="80">
        <v>4</v>
      </c>
      <c r="N5" s="100" t="s">
        <v>161</v>
      </c>
      <c r="O5" s="107">
        <f>IF(P5=0,0,Q5/P5)</f>
        <v>-700</v>
      </c>
      <c r="P5" s="104">
        <v>2</v>
      </c>
      <c r="Q5" s="88">
        <v>-1400</v>
      </c>
    </row>
    <row r="6" spans="1:17">
      <c r="A6" s="47" t="s">
        <v>1</v>
      </c>
      <c r="B6" s="156">
        <f>IF(B$2=0,0,(B$7*1+B$8*2+B$9*3+B$10*4)/B$2)</f>
        <v>3</v>
      </c>
      <c r="C6" s="157"/>
      <c r="E6" s="55" t="s">
        <v>187</v>
      </c>
      <c r="F6" s="52" t="s">
        <v>19</v>
      </c>
      <c r="G6" s="40">
        <v>0</v>
      </c>
      <c r="H6" s="118">
        <f>IF(B$17=0,0,G6/B$17)</f>
        <v>0</v>
      </c>
      <c r="I6" s="80">
        <v>9</v>
      </c>
      <c r="N6" s="100" t="s">
        <v>110</v>
      </c>
      <c r="O6" s="107">
        <f t="shared" ref="O6" si="1">IF(P6=0,0,Q6/P6)</f>
        <v>0</v>
      </c>
      <c r="P6" s="104">
        <v>1</v>
      </c>
      <c r="Q6" s="88">
        <v>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56</v>
      </c>
      <c r="F7" s="52" t="s">
        <v>159</v>
      </c>
      <c r="G7" s="40">
        <v>0</v>
      </c>
      <c r="H7" s="118">
        <f>IF(B$17=0,0,G7/B$17)</f>
        <v>0</v>
      </c>
      <c r="I7" s="80">
        <v>11</v>
      </c>
      <c r="N7" s="100" t="s">
        <v>111</v>
      </c>
      <c r="O7" s="107">
        <f t="shared" si="0"/>
        <v>-3000</v>
      </c>
      <c r="P7" s="104">
        <v>1</v>
      </c>
      <c r="Q7" s="88">
        <v>-3000</v>
      </c>
    </row>
    <row r="8" spans="1:17">
      <c r="A8" s="47" t="s">
        <v>3</v>
      </c>
      <c r="B8" s="40">
        <v>1</v>
      </c>
      <c r="C8" s="33">
        <f>IF(B$2=0,0,B8/B$2)</f>
        <v>0.5</v>
      </c>
      <c r="E8" s="55" t="s">
        <v>58</v>
      </c>
      <c r="F8" s="52" t="s">
        <v>21</v>
      </c>
      <c r="G8" s="40">
        <v>0</v>
      </c>
      <c r="H8" s="118">
        <f>IF(B$17=0,0,G8/B$17)</f>
        <v>0</v>
      </c>
      <c r="I8" s="80">
        <v>12</v>
      </c>
      <c r="N8" s="100" t="s">
        <v>112</v>
      </c>
      <c r="O8" s="107">
        <f t="shared" si="0"/>
        <v>4000</v>
      </c>
      <c r="P8" s="104">
        <v>1</v>
      </c>
      <c r="Q8" s="88">
        <v>4000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59</v>
      </c>
      <c r="F9" s="52" t="s">
        <v>22</v>
      </c>
      <c r="G9" s="40">
        <v>0</v>
      </c>
      <c r="H9" s="118">
        <f>IF(B$17=0,0,G9/B$17)</f>
        <v>0</v>
      </c>
      <c r="I9" s="80">
        <v>6</v>
      </c>
      <c r="N9" s="101" t="s">
        <v>162</v>
      </c>
      <c r="O9" s="108">
        <f t="shared" si="0"/>
        <v>1500</v>
      </c>
      <c r="P9" s="105">
        <v>1</v>
      </c>
      <c r="Q9" s="89">
        <v>1500</v>
      </c>
    </row>
    <row r="10" spans="1:17">
      <c r="A10" s="48" t="s">
        <v>156</v>
      </c>
      <c r="B10" s="41">
        <v>1</v>
      </c>
      <c r="C10" s="34">
        <f>IF(B$2=0,0,B10/B$2)</f>
        <v>0.5</v>
      </c>
      <c r="E10" s="55" t="s">
        <v>60</v>
      </c>
      <c r="F10" s="52" t="s">
        <v>23</v>
      </c>
      <c r="G10" s="40">
        <v>0</v>
      </c>
      <c r="H10" s="118">
        <f>IF(B$17=0,0,G10/B$17)</f>
        <v>0</v>
      </c>
      <c r="I10" s="80">
        <v>7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1</v>
      </c>
      <c r="C11" s="34">
        <f>IF(B$2=0,0,B11/B$2)</f>
        <v>0.5</v>
      </c>
      <c r="E11" s="55" t="s">
        <v>62</v>
      </c>
      <c r="F11" s="52" t="s">
        <v>25</v>
      </c>
      <c r="G11" s="40">
        <v>0</v>
      </c>
      <c r="H11" s="118">
        <f>IF(B$17=0,0,G11/B$17)</f>
        <v>0</v>
      </c>
      <c r="I11" s="80">
        <v>1</v>
      </c>
      <c r="N11" s="98" t="s">
        <v>175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1</v>
      </c>
      <c r="C12" s="36">
        <f t="shared" si="2"/>
        <v>0.5</v>
      </c>
      <c r="E12" s="55" t="s">
        <v>63</v>
      </c>
      <c r="F12" s="52" t="s">
        <v>26</v>
      </c>
      <c r="G12" s="40">
        <v>0</v>
      </c>
      <c r="H12" s="118">
        <f>IF(B$17=0,0,G12/B$17)</f>
        <v>0</v>
      </c>
      <c r="I12" s="80">
        <v>1</v>
      </c>
      <c r="N12" s="99" t="s">
        <v>130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101</v>
      </c>
      <c r="B13" s="43">
        <v>2</v>
      </c>
      <c r="C13" s="38">
        <f>IF(B$3=0,0,B13/B$3)</f>
        <v>0.11764705882352941</v>
      </c>
      <c r="E13" s="55" t="s">
        <v>64</v>
      </c>
      <c r="F13" s="52" t="s">
        <v>27</v>
      </c>
      <c r="G13" s="40">
        <v>0</v>
      </c>
      <c r="H13" s="118">
        <f>IF(B$17=0,0,G13/B$17)</f>
        <v>0</v>
      </c>
      <c r="I13" s="80">
        <v>1</v>
      </c>
      <c r="N13" s="100" t="s">
        <v>131</v>
      </c>
      <c r="O13" s="110">
        <f>IF(P13=0,0,Q13/P13)</f>
        <v>-60.9</v>
      </c>
      <c r="P13" s="104">
        <v>1</v>
      </c>
      <c r="Q13" s="92">
        <v>-60.9</v>
      </c>
    </row>
    <row r="14" spans="1:17">
      <c r="A14" s="47" t="s">
        <v>98</v>
      </c>
      <c r="B14" s="40">
        <v>3</v>
      </c>
      <c r="C14" s="33">
        <f>IF(B$3=0,0,B14/B$3)</f>
        <v>0.17647058823529413</v>
      </c>
      <c r="E14" s="55" t="s">
        <v>65</v>
      </c>
      <c r="F14" s="52" t="s">
        <v>28</v>
      </c>
      <c r="G14" s="40">
        <v>0</v>
      </c>
      <c r="H14" s="118">
        <f>IF(B$17=0,0,G14/B$17)</f>
        <v>0</v>
      </c>
      <c r="I14" s="80">
        <v>1</v>
      </c>
      <c r="N14" s="100" t="s">
        <v>132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103</v>
      </c>
      <c r="B15" s="39">
        <f>B21</f>
        <v>1</v>
      </c>
      <c r="C15" s="31">
        <f>IF(B$13=0,0,B15/B$13)</f>
        <v>0.5</v>
      </c>
      <c r="E15" s="55" t="s">
        <v>66</v>
      </c>
      <c r="F15" s="52" t="s">
        <v>29</v>
      </c>
      <c r="G15" s="40">
        <v>0</v>
      </c>
      <c r="H15" s="118">
        <f>IF(B$17=0,0,G15/B$17)</f>
        <v>0</v>
      </c>
      <c r="I15" s="80">
        <v>1</v>
      </c>
      <c r="N15" s="101" t="s">
        <v>163</v>
      </c>
      <c r="O15" s="111">
        <f>IF(P15=0,0,Q15/P15)</f>
        <v>3.7</v>
      </c>
      <c r="P15" s="105">
        <v>1</v>
      </c>
      <c r="Q15" s="93">
        <v>3.7</v>
      </c>
    </row>
    <row r="16" spans="1:17">
      <c r="A16" s="46" t="s">
        <v>104</v>
      </c>
      <c r="B16" s="39">
        <f>B22</f>
        <v>2</v>
      </c>
      <c r="C16" s="31">
        <f>IF(B$14=0,0,B16/B$14)</f>
        <v>0.66666666666666663</v>
      </c>
      <c r="E16" s="55" t="s">
        <v>67</v>
      </c>
      <c r="F16" s="52" t="s">
        <v>30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3</v>
      </c>
      <c r="C17" s="31">
        <f>IF(B$3=0,0,B17/B$3)</f>
        <v>0.17647058823529413</v>
      </c>
      <c r="E17" s="55" t="s">
        <v>68</v>
      </c>
      <c r="F17" s="52" t="s">
        <v>31</v>
      </c>
      <c r="G17" s="40">
        <v>0</v>
      </c>
      <c r="H17" s="118">
        <f>IF(B$17=0,0,G17/B$17)</f>
        <v>0</v>
      </c>
      <c r="I17" s="80">
        <v>3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1</v>
      </c>
      <c r="C18" s="33">
        <f>IF(B$3=0,0,B18/B$3)</f>
        <v>5.8823529411764705E-2</v>
      </c>
      <c r="E18" s="55" t="s">
        <v>188</v>
      </c>
      <c r="F18" s="52" t="s">
        <v>191</v>
      </c>
      <c r="G18" s="40">
        <v>0</v>
      </c>
      <c r="H18" s="118">
        <f>IF(B$17=0,0,G18/B$17)</f>
        <v>0</v>
      </c>
      <c r="I18" s="80">
        <v>3</v>
      </c>
      <c r="N18" s="99" t="s">
        <v>182</v>
      </c>
      <c r="O18" s="109">
        <f>IF(P18=0,0,Q18/P18)</f>
        <v>62.300000000000004</v>
      </c>
      <c r="P18" s="103">
        <v>1</v>
      </c>
      <c r="Q18" s="91">
        <v>62.300000000000004</v>
      </c>
    </row>
    <row r="19" spans="1:17">
      <c r="A19" s="47" t="s">
        <v>12</v>
      </c>
      <c r="B19" s="40">
        <v>2</v>
      </c>
      <c r="C19" s="33">
        <f>IF(B$17=0,0,B19/B$17)</f>
        <v>0.66666666666666663</v>
      </c>
      <c r="E19" s="55" t="s">
        <v>69</v>
      </c>
      <c r="F19" s="52" t="s">
        <v>32</v>
      </c>
      <c r="G19" s="40">
        <v>0</v>
      </c>
      <c r="H19" s="118">
        <f>IF(B$17=0,0,G19/B$17)</f>
        <v>0</v>
      </c>
      <c r="I19" s="80">
        <v>1</v>
      </c>
      <c r="N19" s="100" t="s">
        <v>173</v>
      </c>
      <c r="O19" s="110">
        <f>IF(P19=0,0,Q19/P19)</f>
        <v>-5.0500000000000007</v>
      </c>
      <c r="P19" s="104">
        <v>2</v>
      </c>
      <c r="Q19" s="92">
        <v>-10.100000000000001</v>
      </c>
    </row>
    <row r="20" spans="1:17">
      <c r="A20" s="47" t="s">
        <v>11</v>
      </c>
      <c r="B20" s="40">
        <v>1</v>
      </c>
      <c r="C20" s="33">
        <f>IF(B$17=0,0,B20/B$17)</f>
        <v>0.33333333333333331</v>
      </c>
      <c r="E20" s="55" t="s">
        <v>70</v>
      </c>
      <c r="F20" s="52" t="s">
        <v>33</v>
      </c>
      <c r="G20" s="40">
        <v>0</v>
      </c>
      <c r="H20" s="118">
        <f>IF(B$17=0,0,G20/B$17)</f>
        <v>0</v>
      </c>
      <c r="I20" s="80">
        <v>3</v>
      </c>
      <c r="N20" s="100" t="s">
        <v>171</v>
      </c>
      <c r="O20" s="110">
        <f>IF(P20=0,0,Q20/P20)</f>
        <v>-74.900000000000006</v>
      </c>
      <c r="P20" s="104">
        <v>1</v>
      </c>
      <c r="Q20" s="92">
        <v>-74.900000000000006</v>
      </c>
    </row>
    <row r="21" spans="1:17">
      <c r="A21" s="47" t="s">
        <v>155</v>
      </c>
      <c r="B21" s="40">
        <v>1</v>
      </c>
      <c r="C21" s="33">
        <f>IF(B$17=0,0,B21/B$17)</f>
        <v>0.33333333333333331</v>
      </c>
      <c r="E21" s="55" t="s">
        <v>71</v>
      </c>
      <c r="F21" s="52" t="s">
        <v>34</v>
      </c>
      <c r="G21" s="40">
        <v>0</v>
      </c>
      <c r="H21" s="118">
        <f>IF(B$17=0,0,G21/B$17)</f>
        <v>0</v>
      </c>
      <c r="I21" s="80">
        <v>1</v>
      </c>
      <c r="N21" s="100" t="s">
        <v>166</v>
      </c>
      <c r="O21" s="110">
        <f>IF(P21=0,0,Q21/P21)</f>
        <v>-84.1</v>
      </c>
      <c r="P21" s="104">
        <v>1</v>
      </c>
      <c r="Q21" s="92">
        <v>-84.1</v>
      </c>
    </row>
    <row r="22" spans="1:17">
      <c r="A22" s="47" t="s">
        <v>153</v>
      </c>
      <c r="B22" s="40">
        <v>2</v>
      </c>
      <c r="C22" s="33">
        <f>IF(B$17=0,0,B22/B$17)</f>
        <v>0.66666666666666663</v>
      </c>
      <c r="E22" s="55" t="s">
        <v>72</v>
      </c>
      <c r="F22" s="52" t="s">
        <v>35</v>
      </c>
      <c r="G22" s="40">
        <v>0</v>
      </c>
      <c r="H22" s="118">
        <f>IF(B$17=0,0,G22/B$17)</f>
        <v>0</v>
      </c>
      <c r="I22" s="80">
        <v>3</v>
      </c>
      <c r="N22" s="100" t="s">
        <v>172</v>
      </c>
      <c r="O22" s="110">
        <f>IF(P22=0,0,Q22/P22)</f>
        <v>-122</v>
      </c>
      <c r="P22" s="104">
        <v>1</v>
      </c>
      <c r="Q22" s="92">
        <v>-122</v>
      </c>
    </row>
    <row r="23" spans="1:17">
      <c r="A23" s="47" t="s">
        <v>154</v>
      </c>
      <c r="B23" s="40">
        <v>0</v>
      </c>
      <c r="C23" s="33">
        <f>IF(B$17=0,0,B23/B$17)</f>
        <v>0</v>
      </c>
      <c r="E23" s="55" t="s">
        <v>73</v>
      </c>
      <c r="F23" s="52" t="s">
        <v>36</v>
      </c>
      <c r="G23" s="40">
        <v>0</v>
      </c>
      <c r="H23" s="118">
        <f>IF(B$17=0,0,G23/B$17)</f>
        <v>0</v>
      </c>
      <c r="I23" s="80">
        <v>1</v>
      </c>
    </row>
    <row r="24" spans="1:17">
      <c r="A24" s="47" t="s">
        <v>5</v>
      </c>
      <c r="B24" s="44">
        <f>IF(B$17=0,0,C24/B$17)</f>
        <v>2166.6666666666665</v>
      </c>
      <c r="C24" s="35">
        <v>6500</v>
      </c>
      <c r="E24" s="55" t="s">
        <v>74</v>
      </c>
      <c r="F24" s="52" t="s">
        <v>37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137</v>
      </c>
      <c r="B25" s="121">
        <f>IF($B$17-B$16=0,0,C25/($B$17-B$16))</f>
        <v>4000</v>
      </c>
      <c r="C25" s="122">
        <v>4000</v>
      </c>
      <c r="E25" s="55" t="s">
        <v>75</v>
      </c>
      <c r="F25" s="52" t="s">
        <v>38</v>
      </c>
      <c r="G25" s="40">
        <v>0</v>
      </c>
      <c r="H25" s="118">
        <f>IF(B$17=0,0,G25/B$17)</f>
        <v>0</v>
      </c>
      <c r="I25" s="80">
        <v>4</v>
      </c>
    </row>
    <row r="26" spans="1:17">
      <c r="A26" s="48" t="s">
        <v>138</v>
      </c>
      <c r="B26" s="121">
        <f>IF(B$16=0,0,C26/B$16)</f>
        <v>1250</v>
      </c>
      <c r="C26" s="122">
        <v>2500</v>
      </c>
      <c r="E26" s="55" t="s">
        <v>76</v>
      </c>
      <c r="F26" s="52" t="s">
        <v>39</v>
      </c>
      <c r="G26" s="40">
        <v>0</v>
      </c>
      <c r="H26" s="118">
        <f>IF(B$17=0,0,G26/B$17)</f>
        <v>0</v>
      </c>
      <c r="I26" s="80">
        <v>1</v>
      </c>
    </row>
    <row r="27" spans="1:17">
      <c r="A27" s="48" t="s">
        <v>136</v>
      </c>
      <c r="B27" s="121">
        <f>IF(B$18=0,0,C27/B$18)</f>
        <v>-18000</v>
      </c>
      <c r="C27" s="122">
        <v>-18000</v>
      </c>
      <c r="E27" s="55" t="s">
        <v>77</v>
      </c>
      <c r="F27" s="52" t="s">
        <v>40</v>
      </c>
      <c r="G27" s="40">
        <v>0</v>
      </c>
      <c r="H27" s="118">
        <f>IF(B$17=0,0,G27/B$17)</f>
        <v>0</v>
      </c>
      <c r="I27" s="80">
        <v>1</v>
      </c>
    </row>
    <row r="28" spans="1:17">
      <c r="A28" s="47" t="s">
        <v>134</v>
      </c>
      <c r="B28" s="40">
        <v>2</v>
      </c>
      <c r="C28" s="120">
        <v>2</v>
      </c>
      <c r="E28" s="55" t="s">
        <v>78</v>
      </c>
      <c r="F28" s="52" t="s">
        <v>41</v>
      </c>
      <c r="G28" s="40">
        <v>0</v>
      </c>
      <c r="H28" s="118">
        <f>IF(B$17=0,0,G28/B$17)</f>
        <v>0</v>
      </c>
      <c r="I28" s="80">
        <v>1</v>
      </c>
    </row>
    <row r="29" spans="1:17">
      <c r="A29" s="47" t="s">
        <v>135</v>
      </c>
      <c r="B29" s="40">
        <v>16</v>
      </c>
      <c r="C29" s="120">
        <v>16</v>
      </c>
      <c r="E29" s="55" t="s">
        <v>79</v>
      </c>
      <c r="F29" s="52" t="s">
        <v>42</v>
      </c>
      <c r="G29" s="40">
        <v>0</v>
      </c>
      <c r="H29" s="118">
        <f>IF(B$17=0,0,G29/B$17)</f>
        <v>0</v>
      </c>
      <c r="I29" s="80">
        <v>1</v>
      </c>
    </row>
    <row r="30" spans="1:17">
      <c r="A30" s="76" t="s">
        <v>115</v>
      </c>
      <c r="B30" s="142">
        <v>1</v>
      </c>
      <c r="C30" s="143"/>
      <c r="E30" s="55" t="s">
        <v>80</v>
      </c>
      <c r="F30" s="52" t="s">
        <v>43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152</v>
      </c>
      <c r="B31" s="144">
        <v>23700</v>
      </c>
      <c r="C31" s="145"/>
      <c r="E31" s="55" t="s">
        <v>81</v>
      </c>
      <c r="F31" s="52" t="s">
        <v>44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116</v>
      </c>
      <c r="B32" s="57">
        <v>0</v>
      </c>
      <c r="C32" s="36">
        <f>IF(B$3=0,0,B32/B$3)</f>
        <v>0</v>
      </c>
      <c r="E32" s="55" t="s">
        <v>82</v>
      </c>
      <c r="F32" s="52" t="s">
        <v>45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83</v>
      </c>
      <c r="F33" s="52" t="s">
        <v>46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176</v>
      </c>
      <c r="B34" s="130" t="s">
        <v>96</v>
      </c>
      <c r="C34" s="131" t="s">
        <v>97</v>
      </c>
      <c r="E34" s="55" t="s">
        <v>84</v>
      </c>
      <c r="F34" s="52" t="s">
        <v>47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143</v>
      </c>
      <c r="B35" s="134">
        <v>2</v>
      </c>
      <c r="C35" s="126">
        <f t="shared" ref="C35:C47" si="3">IF(B$17=0,0,B35/B$17)</f>
        <v>0.66666666666666663</v>
      </c>
      <c r="E35" s="55" t="s">
        <v>85</v>
      </c>
      <c r="F35" s="52" t="s">
        <v>48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139</v>
      </c>
      <c r="B36" s="40">
        <v>0</v>
      </c>
      <c r="C36" s="33">
        <f t="shared" si="3"/>
        <v>0</v>
      </c>
      <c r="E36" s="55" t="s">
        <v>86</v>
      </c>
      <c r="F36" s="52" t="s">
        <v>49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140</v>
      </c>
      <c r="B37" s="135">
        <v>1</v>
      </c>
      <c r="C37" s="33">
        <f t="shared" si="3"/>
        <v>0.33333333333333331</v>
      </c>
      <c r="E37" s="55" t="s">
        <v>87</v>
      </c>
      <c r="F37" s="52" t="s">
        <v>50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141</v>
      </c>
      <c r="B38" s="135">
        <v>0</v>
      </c>
      <c r="C38" s="33">
        <f t="shared" si="3"/>
        <v>0</v>
      </c>
      <c r="E38" s="55" t="s">
        <v>88</v>
      </c>
      <c r="F38" s="52" t="s">
        <v>51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142</v>
      </c>
      <c r="B39" s="135">
        <v>0</v>
      </c>
      <c r="C39" s="33">
        <f t="shared" si="3"/>
        <v>0</v>
      </c>
      <c r="E39" s="55" t="s">
        <v>89</v>
      </c>
      <c r="F39" s="52" t="s">
        <v>52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144</v>
      </c>
      <c r="B40" s="135">
        <v>0</v>
      </c>
      <c r="C40" s="33">
        <f t="shared" si="3"/>
        <v>0</v>
      </c>
      <c r="E40" s="55" t="s">
        <v>90</v>
      </c>
      <c r="F40" s="52" t="s">
        <v>53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145</v>
      </c>
      <c r="B41" s="135">
        <v>0</v>
      </c>
      <c r="C41" s="33">
        <f t="shared" si="3"/>
        <v>0</v>
      </c>
      <c r="E41" s="55" t="s">
        <v>91</v>
      </c>
      <c r="F41" s="52" t="s">
        <v>54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146</v>
      </c>
      <c r="B42" s="135">
        <v>0</v>
      </c>
      <c r="C42" s="33">
        <f t="shared" si="3"/>
        <v>0</v>
      </c>
      <c r="E42" s="55" t="s">
        <v>92</v>
      </c>
      <c r="F42" s="52" t="s">
        <v>192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147</v>
      </c>
      <c r="B43" s="135">
        <v>0</v>
      </c>
      <c r="C43" s="33">
        <f t="shared" si="3"/>
        <v>0</v>
      </c>
      <c r="E43" s="55" t="s">
        <v>93</v>
      </c>
      <c r="F43" s="52" t="s">
        <v>193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148</v>
      </c>
      <c r="B44" s="135">
        <v>0</v>
      </c>
      <c r="C44" s="33">
        <f t="shared" si="3"/>
        <v>0</v>
      </c>
      <c r="E44" s="55" t="s">
        <v>94</v>
      </c>
      <c r="F44" s="52" t="s">
        <v>194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149</v>
      </c>
      <c r="B45" s="135">
        <v>0</v>
      </c>
      <c r="C45" s="33">
        <f t="shared" si="3"/>
        <v>0</v>
      </c>
      <c r="E45" s="56" t="s">
        <v>189</v>
      </c>
      <c r="F45" s="53" t="s">
        <v>195</v>
      </c>
      <c r="G45" s="42">
        <v>0</v>
      </c>
      <c r="H45" s="119">
        <f>IF(B$17=0,0,G45/B$17)</f>
        <v>0</v>
      </c>
      <c r="I45" s="81">
        <v>12</v>
      </c>
    </row>
    <row r="46" spans="1:9">
      <c r="A46" s="47" t="s">
        <v>150</v>
      </c>
      <c r="B46" s="135">
        <v>0</v>
      </c>
      <c r="C46" s="33">
        <f t="shared" si="3"/>
        <v>0</v>
      </c>
    </row>
    <row r="47" spans="1:9">
      <c r="A47" s="49" t="s">
        <v>151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2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49D42A-87FA-418F-AE5B-D4CDB970F924}">
  <sheetPr codeName="Sheet11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13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85" customWidth="1"/>
    <col min="13" max="13" width="3.59765625" style="27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27"/>
  </cols>
  <sheetData>
    <row r="1" spans="1:17">
      <c r="A1" s="45" t="s">
        <v>0</v>
      </c>
      <c r="B1" s="146" t="s">
        <v>171</v>
      </c>
      <c r="C1" s="147"/>
      <c r="E1" s="114" t="s">
        <v>133</v>
      </c>
      <c r="F1" s="133" t="s">
        <v>95</v>
      </c>
      <c r="G1" s="132" t="s">
        <v>96</v>
      </c>
      <c r="H1" s="115" t="s">
        <v>97</v>
      </c>
      <c r="I1" s="133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48">
        <v>1</v>
      </c>
      <c r="C2" s="149"/>
      <c r="E2" s="54" t="s">
        <v>189</v>
      </c>
      <c r="F2" s="51" t="s">
        <v>195</v>
      </c>
      <c r="G2" s="39">
        <v>3</v>
      </c>
      <c r="H2" s="117">
        <f>IF(B$17=0,0,G2/B$17)</f>
        <v>1.5</v>
      </c>
      <c r="I2" s="79">
        <v>1</v>
      </c>
      <c r="K2" s="30">
        <v>0</v>
      </c>
      <c r="L2" s="84">
        <v>0</v>
      </c>
      <c r="N2" s="99" t="s">
        <v>107</v>
      </c>
      <c r="O2" s="106">
        <f t="shared" ref="O2:O9" si="0">IF(P2=0,0,Q2/P2)</f>
        <v>-2500</v>
      </c>
      <c r="P2" s="103">
        <v>1</v>
      </c>
      <c r="Q2" s="87">
        <v>-2500</v>
      </c>
    </row>
    <row r="3" spans="1:17">
      <c r="A3" s="47" t="s">
        <v>8</v>
      </c>
      <c r="B3" s="150">
        <v>7</v>
      </c>
      <c r="C3" s="151"/>
      <c r="E3" s="55" t="s">
        <v>56</v>
      </c>
      <c r="F3" s="52" t="s">
        <v>159</v>
      </c>
      <c r="G3" s="40">
        <v>2</v>
      </c>
      <c r="H3" s="118">
        <f>IF(B$17=0,0,G3/B$17)</f>
        <v>1</v>
      </c>
      <c r="I3" s="80">
        <v>1</v>
      </c>
      <c r="K3" s="32">
        <v>1</v>
      </c>
      <c r="L3" s="85">
        <v>14</v>
      </c>
      <c r="N3" s="100" t="s">
        <v>108</v>
      </c>
      <c r="O3" s="107">
        <f t="shared" si="0"/>
        <v>13000</v>
      </c>
      <c r="P3" s="104">
        <v>1</v>
      </c>
      <c r="Q3" s="88">
        <v>13000</v>
      </c>
    </row>
    <row r="4" spans="1:17">
      <c r="A4" s="47" t="s">
        <v>6</v>
      </c>
      <c r="B4" s="152">
        <v>14</v>
      </c>
      <c r="C4" s="153"/>
      <c r="E4" s="55" t="s">
        <v>186</v>
      </c>
      <c r="F4" s="52" t="s">
        <v>160</v>
      </c>
      <c r="G4" s="40">
        <v>1</v>
      </c>
      <c r="H4" s="118">
        <f>IF(B$17=0,0,G4/B$17)</f>
        <v>0.5</v>
      </c>
      <c r="I4" s="80">
        <v>7</v>
      </c>
      <c r="N4" s="100" t="s">
        <v>109</v>
      </c>
      <c r="O4" s="107">
        <f t="shared" si="0"/>
        <v>-6000</v>
      </c>
      <c r="P4" s="104">
        <v>1</v>
      </c>
      <c r="Q4" s="88">
        <v>-6000</v>
      </c>
    </row>
    <row r="5" spans="1:17">
      <c r="A5" s="47" t="s">
        <v>7</v>
      </c>
      <c r="B5" s="154">
        <f>IF(B$2=0,0,B$4/B$2)</f>
        <v>14</v>
      </c>
      <c r="C5" s="155"/>
      <c r="E5" s="55" t="s">
        <v>55</v>
      </c>
      <c r="F5" s="52" t="s">
        <v>20</v>
      </c>
      <c r="G5" s="40">
        <v>1</v>
      </c>
      <c r="H5" s="118">
        <f>IF(B$17=0,0,G5/B$17)</f>
        <v>0.5</v>
      </c>
      <c r="I5" s="80">
        <v>10</v>
      </c>
      <c r="N5" s="100" t="s">
        <v>161</v>
      </c>
      <c r="O5" s="107">
        <f>IF(P5=0,0,Q5/P5)</f>
        <v>4500</v>
      </c>
      <c r="P5" s="104">
        <v>1</v>
      </c>
      <c r="Q5" s="88">
        <v>4500</v>
      </c>
    </row>
    <row r="6" spans="1:17">
      <c r="A6" s="47" t="s">
        <v>1</v>
      </c>
      <c r="B6" s="156">
        <f>IF(B$2=0,0,(B$7*1+B$8*2+B$9*3+B$10*4)/B$2)</f>
        <v>2</v>
      </c>
      <c r="C6" s="157"/>
      <c r="E6" s="55" t="s">
        <v>57</v>
      </c>
      <c r="F6" s="52" t="s">
        <v>190</v>
      </c>
      <c r="G6" s="40">
        <v>1</v>
      </c>
      <c r="H6" s="118">
        <f>IF(B$17=0,0,G6/B$17)</f>
        <v>0.5</v>
      </c>
      <c r="I6" s="80">
        <v>1</v>
      </c>
      <c r="N6" s="100" t="s">
        <v>110</v>
      </c>
      <c r="O6" s="107">
        <f t="shared" ref="O6" si="1">IF(P6=0,0,Q6/P6)</f>
        <v>0</v>
      </c>
      <c r="P6" s="104">
        <v>0</v>
      </c>
      <c r="Q6" s="88">
        <v>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58</v>
      </c>
      <c r="F7" s="52" t="s">
        <v>21</v>
      </c>
      <c r="G7" s="40">
        <v>1</v>
      </c>
      <c r="H7" s="118">
        <f>IF(B$17=0,0,G7/B$17)</f>
        <v>0.5</v>
      </c>
      <c r="I7" s="80">
        <v>1</v>
      </c>
      <c r="N7" s="100" t="s">
        <v>111</v>
      </c>
      <c r="O7" s="107">
        <f t="shared" si="0"/>
        <v>0</v>
      </c>
      <c r="P7" s="104">
        <v>0</v>
      </c>
      <c r="Q7" s="88">
        <v>0</v>
      </c>
    </row>
    <row r="8" spans="1:17">
      <c r="A8" s="47" t="s">
        <v>3</v>
      </c>
      <c r="B8" s="40">
        <v>1</v>
      </c>
      <c r="C8" s="33">
        <f>IF(B$2=0,0,B8/B$2)</f>
        <v>1</v>
      </c>
      <c r="E8" s="55" t="s">
        <v>187</v>
      </c>
      <c r="F8" s="52" t="s">
        <v>19</v>
      </c>
      <c r="G8" s="40">
        <v>0</v>
      </c>
      <c r="H8" s="118">
        <f>IF(B$17=0,0,G8/B$17)</f>
        <v>0</v>
      </c>
      <c r="I8" s="80">
        <v>9</v>
      </c>
      <c r="N8" s="100" t="s">
        <v>112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59</v>
      </c>
      <c r="F9" s="52" t="s">
        <v>22</v>
      </c>
      <c r="G9" s="40">
        <v>0</v>
      </c>
      <c r="H9" s="118">
        <f>IF(B$17=0,0,G9/B$17)</f>
        <v>0</v>
      </c>
      <c r="I9" s="80">
        <v>6</v>
      </c>
      <c r="N9" s="101" t="s">
        <v>162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156</v>
      </c>
      <c r="B10" s="41">
        <v>0</v>
      </c>
      <c r="C10" s="34">
        <f>IF(B$2=0,0,B10/B$2)</f>
        <v>0</v>
      </c>
      <c r="E10" s="55" t="s">
        <v>60</v>
      </c>
      <c r="F10" s="52" t="s">
        <v>23</v>
      </c>
      <c r="G10" s="40">
        <v>0</v>
      </c>
      <c r="H10" s="118">
        <f>IF(B$17=0,0,G10/B$17)</f>
        <v>0</v>
      </c>
      <c r="I10" s="80">
        <v>7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1</v>
      </c>
      <c r="C11" s="34">
        <f>IF(B$2=0,0,B11/B$2)</f>
        <v>1</v>
      </c>
      <c r="E11" s="55" t="s">
        <v>61</v>
      </c>
      <c r="F11" s="52" t="s">
        <v>24</v>
      </c>
      <c r="G11" s="40">
        <v>0</v>
      </c>
      <c r="H11" s="118">
        <f>IF(B$17=0,0,G11/B$17)</f>
        <v>0</v>
      </c>
      <c r="I11" s="80">
        <v>12</v>
      </c>
      <c r="N11" s="98" t="s">
        <v>175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25</v>
      </c>
      <c r="G12" s="40">
        <v>0</v>
      </c>
      <c r="H12" s="118">
        <f>IF(B$17=0,0,G12/B$17)</f>
        <v>0</v>
      </c>
      <c r="I12" s="80">
        <v>1</v>
      </c>
      <c r="N12" s="99" t="s">
        <v>130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101</v>
      </c>
      <c r="B13" s="43">
        <v>2</v>
      </c>
      <c r="C13" s="38">
        <f>IF(B$3=0,0,B13/B$3)</f>
        <v>0.2857142857142857</v>
      </c>
      <c r="E13" s="55" t="s">
        <v>63</v>
      </c>
      <c r="F13" s="52" t="s">
        <v>26</v>
      </c>
      <c r="G13" s="40">
        <v>0</v>
      </c>
      <c r="H13" s="118">
        <f>IF(B$17=0,0,G13/B$17)</f>
        <v>0</v>
      </c>
      <c r="I13" s="80">
        <v>1</v>
      </c>
      <c r="N13" s="100" t="s">
        <v>131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98</v>
      </c>
      <c r="B14" s="40">
        <v>1</v>
      </c>
      <c r="C14" s="33">
        <f>IF(B$3=0,0,B14/B$3)</f>
        <v>0.14285714285714285</v>
      </c>
      <c r="E14" s="55" t="s">
        <v>64</v>
      </c>
      <c r="F14" s="52" t="s">
        <v>27</v>
      </c>
      <c r="G14" s="40">
        <v>0</v>
      </c>
      <c r="H14" s="118">
        <f>IF(B$17=0,0,G14/B$17)</f>
        <v>0</v>
      </c>
      <c r="I14" s="80">
        <v>1</v>
      </c>
      <c r="N14" s="100" t="s">
        <v>132</v>
      </c>
      <c r="O14" s="110">
        <f>IF(P14=0,0,Q14/P14)</f>
        <v>14</v>
      </c>
      <c r="P14" s="104">
        <v>1</v>
      </c>
      <c r="Q14" s="92">
        <v>14</v>
      </c>
    </row>
    <row r="15" spans="1:17">
      <c r="A15" s="46" t="s">
        <v>103</v>
      </c>
      <c r="B15" s="39">
        <f>B21</f>
        <v>1</v>
      </c>
      <c r="C15" s="31">
        <f>IF(B$13=0,0,B15/B$13)</f>
        <v>0.5</v>
      </c>
      <c r="E15" s="55" t="s">
        <v>65</v>
      </c>
      <c r="F15" s="52" t="s">
        <v>28</v>
      </c>
      <c r="G15" s="40">
        <v>0</v>
      </c>
      <c r="H15" s="118">
        <f>IF(B$17=0,0,G15/B$17)</f>
        <v>0</v>
      </c>
      <c r="I15" s="80">
        <v>1</v>
      </c>
      <c r="N15" s="101" t="s">
        <v>163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104</v>
      </c>
      <c r="B16" s="39">
        <f>B22</f>
        <v>0</v>
      </c>
      <c r="C16" s="31">
        <f>IF(B$14=0,0,B16/B$14)</f>
        <v>0</v>
      </c>
      <c r="E16" s="55" t="s">
        <v>66</v>
      </c>
      <c r="F16" s="52" t="s">
        <v>29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2</v>
      </c>
      <c r="C17" s="31">
        <f>IF(B$3=0,0,B17/B$3)</f>
        <v>0.2857142857142857</v>
      </c>
      <c r="E17" s="55" t="s">
        <v>67</v>
      </c>
      <c r="F17" s="52" t="s">
        <v>30</v>
      </c>
      <c r="G17" s="40">
        <v>0</v>
      </c>
      <c r="H17" s="118">
        <f>IF(B$17=0,0,G17/B$17)</f>
        <v>0</v>
      </c>
      <c r="I17" s="80">
        <v>1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0</v>
      </c>
      <c r="C18" s="33">
        <f>IF(B$3=0,0,B18/B$3)</f>
        <v>0</v>
      </c>
      <c r="E18" s="55" t="s">
        <v>68</v>
      </c>
      <c r="F18" s="52" t="s">
        <v>31</v>
      </c>
      <c r="G18" s="40">
        <v>0</v>
      </c>
      <c r="H18" s="118">
        <f>IF(B$17=0,0,G18/B$17)</f>
        <v>0</v>
      </c>
      <c r="I18" s="80">
        <v>3</v>
      </c>
      <c r="N18" s="99" t="s">
        <v>170</v>
      </c>
      <c r="O18" s="109">
        <f>IF(P18=0,0,Q18/P18)</f>
        <v>74.900000000000006</v>
      </c>
      <c r="P18" s="103">
        <v>1</v>
      </c>
      <c r="Q18" s="91">
        <v>74.900000000000006</v>
      </c>
    </row>
    <row r="19" spans="1:17">
      <c r="A19" s="47" t="s">
        <v>12</v>
      </c>
      <c r="B19" s="40">
        <v>1</v>
      </c>
      <c r="C19" s="33">
        <f>IF(B$17=0,0,B19/B$17)</f>
        <v>0.5</v>
      </c>
      <c r="E19" s="55" t="s">
        <v>188</v>
      </c>
      <c r="F19" s="52" t="s">
        <v>191</v>
      </c>
      <c r="G19" s="40">
        <v>0</v>
      </c>
      <c r="H19" s="118">
        <f>IF(B$17=0,0,G19/B$17)</f>
        <v>0</v>
      </c>
      <c r="I19" s="80">
        <v>3</v>
      </c>
      <c r="N19" s="100" t="s">
        <v>173</v>
      </c>
      <c r="O19" s="110">
        <f>IF(P19=0,0,Q19/P19)</f>
        <v>28.2</v>
      </c>
      <c r="P19" s="104">
        <v>1</v>
      </c>
      <c r="Q19" s="92">
        <v>28.2</v>
      </c>
    </row>
    <row r="20" spans="1:17">
      <c r="A20" s="47" t="s">
        <v>11</v>
      </c>
      <c r="B20" s="40">
        <v>1</v>
      </c>
      <c r="C20" s="33">
        <f>IF(B$17=0,0,B20/B$17)</f>
        <v>0.5</v>
      </c>
      <c r="E20" s="55" t="s">
        <v>69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172</v>
      </c>
      <c r="O20" s="110">
        <f>IF(P20=0,0,Q20/P20)</f>
        <v>-47.1</v>
      </c>
      <c r="P20" s="104">
        <v>1</v>
      </c>
      <c r="Q20" s="92">
        <v>-47.1</v>
      </c>
    </row>
    <row r="21" spans="1:17">
      <c r="A21" s="47" t="s">
        <v>155</v>
      </c>
      <c r="B21" s="40">
        <v>1</v>
      </c>
      <c r="C21" s="33">
        <f>IF(B$17=0,0,B21/B$17)</f>
        <v>0.5</v>
      </c>
      <c r="E21" s="55" t="s">
        <v>70</v>
      </c>
      <c r="F21" s="52" t="s">
        <v>33</v>
      </c>
      <c r="G21" s="40">
        <v>0</v>
      </c>
      <c r="H21" s="118">
        <f>IF(B$17=0,0,G21/B$17)</f>
        <v>0</v>
      </c>
      <c r="I21" s="80">
        <v>3</v>
      </c>
    </row>
    <row r="22" spans="1:17">
      <c r="A22" s="47" t="s">
        <v>153</v>
      </c>
      <c r="B22" s="40">
        <v>0</v>
      </c>
      <c r="C22" s="33">
        <f>IF(B$17=0,0,B22/B$17)</f>
        <v>0</v>
      </c>
      <c r="E22" s="55" t="s">
        <v>71</v>
      </c>
      <c r="F22" s="52" t="s">
        <v>34</v>
      </c>
      <c r="G22" s="40">
        <v>0</v>
      </c>
      <c r="H22" s="118">
        <f>IF(B$17=0,0,G22/B$17)</f>
        <v>0</v>
      </c>
      <c r="I22" s="80">
        <v>1</v>
      </c>
    </row>
    <row r="23" spans="1:17">
      <c r="A23" s="47" t="s">
        <v>154</v>
      </c>
      <c r="B23" s="40">
        <v>1</v>
      </c>
      <c r="C23" s="33">
        <f>IF(B$17=0,0,B23/B$17)</f>
        <v>0.5</v>
      </c>
      <c r="E23" s="55" t="s">
        <v>72</v>
      </c>
      <c r="F23" s="52" t="s">
        <v>35</v>
      </c>
      <c r="G23" s="40">
        <v>0</v>
      </c>
      <c r="H23" s="118">
        <f>IF(B$17=0,0,G23/B$17)</f>
        <v>0</v>
      </c>
      <c r="I23" s="80">
        <v>3</v>
      </c>
    </row>
    <row r="24" spans="1:17">
      <c r="A24" s="47" t="s">
        <v>5</v>
      </c>
      <c r="B24" s="44">
        <f>IF(B$17=0,0,C24/B$17)</f>
        <v>8600</v>
      </c>
      <c r="C24" s="35">
        <v>17200</v>
      </c>
      <c r="E24" s="55" t="s">
        <v>73</v>
      </c>
      <c r="F24" s="52" t="s">
        <v>36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137</v>
      </c>
      <c r="B25" s="121">
        <f>IF($B$17-B$16=0,0,C25/($B$17-B$16))</f>
        <v>8600</v>
      </c>
      <c r="C25" s="122">
        <v>17200</v>
      </c>
      <c r="E25" s="55" t="s">
        <v>74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138</v>
      </c>
      <c r="B26" s="121">
        <f>IF(B$16=0,0,C26/B$16)</f>
        <v>0</v>
      </c>
      <c r="C26" s="122">
        <v>0</v>
      </c>
      <c r="E26" s="55" t="s">
        <v>75</v>
      </c>
      <c r="F26" s="52" t="s">
        <v>38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136</v>
      </c>
      <c r="B27" s="121">
        <f>IF(B$18=0,0,C27/B$18)</f>
        <v>0</v>
      </c>
      <c r="C27" s="122">
        <v>0</v>
      </c>
      <c r="E27" s="55" t="s">
        <v>76</v>
      </c>
      <c r="F27" s="52" t="s">
        <v>39</v>
      </c>
      <c r="G27" s="40">
        <v>0</v>
      </c>
      <c r="H27" s="118">
        <f>IF(B$17=0,0,G27/B$17)</f>
        <v>0</v>
      </c>
      <c r="I27" s="80">
        <v>1</v>
      </c>
    </row>
    <row r="28" spans="1:17">
      <c r="A28" s="47" t="s">
        <v>134</v>
      </c>
      <c r="B28" s="40">
        <v>1</v>
      </c>
      <c r="C28" s="120">
        <v>1</v>
      </c>
      <c r="E28" s="55" t="s">
        <v>77</v>
      </c>
      <c r="F28" s="52" t="s">
        <v>40</v>
      </c>
      <c r="G28" s="40">
        <v>0</v>
      </c>
      <c r="H28" s="118">
        <f>IF(B$17=0,0,G28/B$17)</f>
        <v>0</v>
      </c>
      <c r="I28" s="80">
        <v>1</v>
      </c>
    </row>
    <row r="29" spans="1:17">
      <c r="A29" s="47" t="s">
        <v>135</v>
      </c>
      <c r="B29" s="40">
        <v>7</v>
      </c>
      <c r="C29" s="120">
        <v>7</v>
      </c>
      <c r="E29" s="55" t="s">
        <v>78</v>
      </c>
      <c r="F29" s="52" t="s">
        <v>41</v>
      </c>
      <c r="G29" s="40">
        <v>0</v>
      </c>
      <c r="H29" s="118">
        <f>IF(B$17=0,0,G29/B$17)</f>
        <v>0</v>
      </c>
      <c r="I29" s="80">
        <v>1</v>
      </c>
    </row>
    <row r="30" spans="1:17">
      <c r="A30" s="76" t="s">
        <v>115</v>
      </c>
      <c r="B30" s="142">
        <v>4</v>
      </c>
      <c r="C30" s="143"/>
      <c r="E30" s="55" t="s">
        <v>79</v>
      </c>
      <c r="F30" s="52" t="s">
        <v>42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152</v>
      </c>
      <c r="B31" s="144">
        <v>34000</v>
      </c>
      <c r="C31" s="145"/>
      <c r="E31" s="55" t="s">
        <v>80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116</v>
      </c>
      <c r="B32" s="57">
        <v>0</v>
      </c>
      <c r="C32" s="36">
        <f>IF(B$3=0,0,B32/B$3)</f>
        <v>0</v>
      </c>
      <c r="E32" s="55" t="s">
        <v>81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176</v>
      </c>
      <c r="B34" s="130" t="s">
        <v>96</v>
      </c>
      <c r="C34" s="131" t="s">
        <v>97</v>
      </c>
      <c r="E34" s="55" t="s">
        <v>83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143</v>
      </c>
      <c r="B35" s="134">
        <v>0</v>
      </c>
      <c r="C35" s="126">
        <f t="shared" ref="C35:C47" si="3">IF(B$17=0,0,B35/B$17)</f>
        <v>0</v>
      </c>
      <c r="E35" s="55" t="s">
        <v>84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139</v>
      </c>
      <c r="B36" s="40">
        <v>0</v>
      </c>
      <c r="C36" s="33">
        <f t="shared" si="3"/>
        <v>0</v>
      </c>
      <c r="E36" s="55" t="s">
        <v>85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140</v>
      </c>
      <c r="B37" s="135">
        <v>1</v>
      </c>
      <c r="C37" s="33">
        <f t="shared" si="3"/>
        <v>0.5</v>
      </c>
      <c r="E37" s="55" t="s">
        <v>86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141</v>
      </c>
      <c r="B38" s="135">
        <v>0</v>
      </c>
      <c r="C38" s="33">
        <f t="shared" si="3"/>
        <v>0</v>
      </c>
      <c r="E38" s="55" t="s">
        <v>87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142</v>
      </c>
      <c r="B39" s="135">
        <v>0</v>
      </c>
      <c r="C39" s="33">
        <f t="shared" si="3"/>
        <v>0</v>
      </c>
      <c r="E39" s="55" t="s">
        <v>88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144</v>
      </c>
      <c r="B40" s="135">
        <v>1</v>
      </c>
      <c r="C40" s="33">
        <f t="shared" si="3"/>
        <v>0.5</v>
      </c>
      <c r="E40" s="55" t="s">
        <v>89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145</v>
      </c>
      <c r="B41" s="135">
        <v>0</v>
      </c>
      <c r="C41" s="33">
        <f t="shared" si="3"/>
        <v>0</v>
      </c>
      <c r="E41" s="55" t="s">
        <v>90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146</v>
      </c>
      <c r="B42" s="135">
        <v>0</v>
      </c>
      <c r="C42" s="33">
        <f t="shared" si="3"/>
        <v>0</v>
      </c>
      <c r="E42" s="55" t="s">
        <v>91</v>
      </c>
      <c r="F42" s="52" t="s">
        <v>54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147</v>
      </c>
      <c r="B43" s="135">
        <v>0</v>
      </c>
      <c r="C43" s="33">
        <f t="shared" si="3"/>
        <v>0</v>
      </c>
      <c r="E43" s="55" t="s">
        <v>92</v>
      </c>
      <c r="F43" s="52" t="s">
        <v>192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148</v>
      </c>
      <c r="B44" s="135">
        <v>0</v>
      </c>
      <c r="C44" s="33">
        <f t="shared" si="3"/>
        <v>0</v>
      </c>
      <c r="E44" s="55" t="s">
        <v>93</v>
      </c>
      <c r="F44" s="52" t="s">
        <v>193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149</v>
      </c>
      <c r="B45" s="135">
        <v>0</v>
      </c>
      <c r="C45" s="33">
        <f t="shared" si="3"/>
        <v>0</v>
      </c>
      <c r="E45" s="56" t="s">
        <v>94</v>
      </c>
      <c r="F45" s="53" t="s">
        <v>194</v>
      </c>
      <c r="G45" s="42">
        <v>0</v>
      </c>
      <c r="H45" s="119">
        <f>IF(B$17=0,0,G45/B$17)</f>
        <v>0</v>
      </c>
      <c r="I45" s="81">
        <v>1</v>
      </c>
    </row>
    <row r="46" spans="1:9">
      <c r="A46" s="47" t="s">
        <v>150</v>
      </c>
      <c r="B46" s="135">
        <v>0</v>
      </c>
      <c r="C46" s="33">
        <f t="shared" si="3"/>
        <v>0</v>
      </c>
    </row>
    <row r="47" spans="1:9">
      <c r="A47" s="49" t="s">
        <v>151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0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806C5F-3482-489C-B565-290B2A8E7076}">
  <sheetPr codeName="Sheet12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13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85" customWidth="1"/>
    <col min="13" max="13" width="3.59765625" style="27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27"/>
  </cols>
  <sheetData>
    <row r="1" spans="1:17">
      <c r="A1" s="45" t="s">
        <v>0</v>
      </c>
      <c r="B1" s="146" t="s">
        <v>172</v>
      </c>
      <c r="C1" s="147"/>
      <c r="E1" s="114" t="s">
        <v>133</v>
      </c>
      <c r="F1" s="133" t="s">
        <v>95</v>
      </c>
      <c r="G1" s="132" t="s">
        <v>96</v>
      </c>
      <c r="H1" s="115" t="s">
        <v>97</v>
      </c>
      <c r="I1" s="133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48">
        <v>5</v>
      </c>
      <c r="C2" s="149"/>
      <c r="E2" s="54" t="s">
        <v>55</v>
      </c>
      <c r="F2" s="51" t="s">
        <v>20</v>
      </c>
      <c r="G2" s="39">
        <v>7</v>
      </c>
      <c r="H2" s="117">
        <f>IF(B$17=0,0,G2/B$17)</f>
        <v>0.53846153846153844</v>
      </c>
      <c r="I2" s="79">
        <v>9</v>
      </c>
      <c r="K2" s="30">
        <v>0</v>
      </c>
      <c r="L2" s="84">
        <v>0</v>
      </c>
      <c r="N2" s="99" t="s">
        <v>107</v>
      </c>
      <c r="O2" s="106">
        <f t="shared" ref="O2:O9" si="0">IF(P2=0,0,Q2/P2)</f>
        <v>2280</v>
      </c>
      <c r="P2" s="103">
        <v>5</v>
      </c>
      <c r="Q2" s="87">
        <v>11400</v>
      </c>
    </row>
    <row r="3" spans="1:17">
      <c r="A3" s="47" t="s">
        <v>8</v>
      </c>
      <c r="B3" s="150">
        <v>37</v>
      </c>
      <c r="C3" s="151"/>
      <c r="E3" s="55" t="s">
        <v>56</v>
      </c>
      <c r="F3" s="52" t="s">
        <v>159</v>
      </c>
      <c r="G3" s="40">
        <v>7</v>
      </c>
      <c r="H3" s="118">
        <f>IF(B$17=0,0,G3/B$17)</f>
        <v>0.53846153846153844</v>
      </c>
      <c r="I3" s="80">
        <v>3</v>
      </c>
      <c r="K3" s="32">
        <v>1</v>
      </c>
      <c r="L3" s="85">
        <v>61.1</v>
      </c>
      <c r="N3" s="100" t="s">
        <v>108</v>
      </c>
      <c r="O3" s="107">
        <f t="shared" si="0"/>
        <v>-2140</v>
      </c>
      <c r="P3" s="104">
        <v>5</v>
      </c>
      <c r="Q3" s="88">
        <v>-10700</v>
      </c>
    </row>
    <row r="4" spans="1:17">
      <c r="A4" s="47" t="s">
        <v>6</v>
      </c>
      <c r="B4" s="152">
        <v>127.9</v>
      </c>
      <c r="C4" s="153"/>
      <c r="E4" s="55" t="s">
        <v>186</v>
      </c>
      <c r="F4" s="52" t="s">
        <v>160</v>
      </c>
      <c r="G4" s="40">
        <v>6</v>
      </c>
      <c r="H4" s="118">
        <f>IF(B$17=0,0,G4/B$17)</f>
        <v>0.46153846153846156</v>
      </c>
      <c r="I4" s="80">
        <v>9</v>
      </c>
      <c r="K4" s="32">
        <v>2</v>
      </c>
      <c r="L4" s="85">
        <v>117.7</v>
      </c>
      <c r="N4" s="100" t="s">
        <v>109</v>
      </c>
      <c r="O4" s="107">
        <f t="shared" si="0"/>
        <v>1740</v>
      </c>
      <c r="P4" s="104">
        <v>5</v>
      </c>
      <c r="Q4" s="88">
        <v>8700</v>
      </c>
    </row>
    <row r="5" spans="1:17">
      <c r="A5" s="47" t="s">
        <v>7</v>
      </c>
      <c r="B5" s="154">
        <f>IF(B$2=0,0,B$4/B$2)</f>
        <v>25.580000000000002</v>
      </c>
      <c r="C5" s="155"/>
      <c r="E5" s="55" t="s">
        <v>57</v>
      </c>
      <c r="F5" s="52" t="s">
        <v>190</v>
      </c>
      <c r="G5" s="40">
        <v>5</v>
      </c>
      <c r="H5" s="118">
        <f>IF(B$17=0,0,G5/B$17)</f>
        <v>0.38461538461538464</v>
      </c>
      <c r="I5" s="80">
        <v>3</v>
      </c>
      <c r="K5" s="32">
        <v>3</v>
      </c>
      <c r="L5" s="85">
        <v>130.9</v>
      </c>
      <c r="N5" s="100" t="s">
        <v>161</v>
      </c>
      <c r="O5" s="107">
        <f>IF(P5=0,0,Q5/P5)</f>
        <v>3400</v>
      </c>
      <c r="P5" s="104">
        <v>5</v>
      </c>
      <c r="Q5" s="88">
        <v>17000</v>
      </c>
    </row>
    <row r="6" spans="1:17">
      <c r="A6" s="47" t="s">
        <v>1</v>
      </c>
      <c r="B6" s="156">
        <f>IF(B$2=0,0,(B$7*1+B$8*2+B$9*3+B$10*4)/B$2)</f>
        <v>1.8</v>
      </c>
      <c r="C6" s="157"/>
      <c r="E6" s="55" t="s">
        <v>189</v>
      </c>
      <c r="F6" s="52" t="s">
        <v>195</v>
      </c>
      <c r="G6" s="40">
        <v>5</v>
      </c>
      <c r="H6" s="118">
        <f>IF(B$17=0,0,G6/B$17)</f>
        <v>0.38461538461538464</v>
      </c>
      <c r="I6" s="80">
        <v>7</v>
      </c>
      <c r="K6" s="32">
        <v>4</v>
      </c>
      <c r="L6" s="85">
        <v>67.600000000000009</v>
      </c>
      <c r="N6" s="100" t="s">
        <v>110</v>
      </c>
      <c r="O6" s="107">
        <f t="shared" ref="O6" si="1">IF(P6=0,0,Q6/P6)</f>
        <v>25</v>
      </c>
      <c r="P6" s="104">
        <v>4</v>
      </c>
      <c r="Q6" s="88">
        <v>100</v>
      </c>
    </row>
    <row r="7" spans="1:17">
      <c r="A7" s="47" t="s">
        <v>2</v>
      </c>
      <c r="B7" s="40">
        <v>3</v>
      </c>
      <c r="C7" s="33">
        <f t="shared" ref="C7:C12" si="2">IF(B$2=0,0,B7/B$2)</f>
        <v>0.6</v>
      </c>
      <c r="E7" s="55" t="s">
        <v>61</v>
      </c>
      <c r="F7" s="52" t="s">
        <v>24</v>
      </c>
      <c r="G7" s="40">
        <v>4</v>
      </c>
      <c r="H7" s="118">
        <f>IF(B$17=0,0,G7/B$17)</f>
        <v>0.30769230769230771</v>
      </c>
      <c r="I7" s="80">
        <v>9</v>
      </c>
      <c r="K7" s="32">
        <v>5</v>
      </c>
      <c r="L7" s="85">
        <v>127.9</v>
      </c>
      <c r="N7" s="100" t="s">
        <v>111</v>
      </c>
      <c r="O7" s="107">
        <f t="shared" si="0"/>
        <v>-2650</v>
      </c>
      <c r="P7" s="104">
        <v>4</v>
      </c>
      <c r="Q7" s="88">
        <v>-10600</v>
      </c>
    </row>
    <row r="8" spans="1:17">
      <c r="A8" s="47" t="s">
        <v>3</v>
      </c>
      <c r="B8" s="40">
        <v>1</v>
      </c>
      <c r="C8" s="33">
        <f>IF(B$2=0,0,B8/B$2)</f>
        <v>0.2</v>
      </c>
      <c r="E8" s="55" t="s">
        <v>58</v>
      </c>
      <c r="F8" s="52" t="s">
        <v>21</v>
      </c>
      <c r="G8" s="40">
        <v>3</v>
      </c>
      <c r="H8" s="118">
        <f>IF(B$17=0,0,G8/B$17)</f>
        <v>0.23076923076923078</v>
      </c>
      <c r="I8" s="80">
        <v>9</v>
      </c>
      <c r="N8" s="100" t="s">
        <v>112</v>
      </c>
      <c r="O8" s="107">
        <f t="shared" si="0"/>
        <v>-3000</v>
      </c>
      <c r="P8" s="104">
        <v>2</v>
      </c>
      <c r="Q8" s="88">
        <v>-6000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60</v>
      </c>
      <c r="F9" s="52" t="s">
        <v>23</v>
      </c>
      <c r="G9" s="40">
        <v>3</v>
      </c>
      <c r="H9" s="118">
        <f>IF(B$17=0,0,G9/B$17)</f>
        <v>0.23076923076923078</v>
      </c>
      <c r="I9" s="80">
        <v>3</v>
      </c>
      <c r="N9" s="101" t="s">
        <v>162</v>
      </c>
      <c r="O9" s="108">
        <f t="shared" si="0"/>
        <v>0</v>
      </c>
      <c r="P9" s="105">
        <v>1</v>
      </c>
      <c r="Q9" s="89">
        <v>0</v>
      </c>
    </row>
    <row r="10" spans="1:17">
      <c r="A10" s="48" t="s">
        <v>156</v>
      </c>
      <c r="B10" s="41">
        <v>1</v>
      </c>
      <c r="C10" s="34">
        <f>IF(B$2=0,0,B10/B$2)</f>
        <v>0.2</v>
      </c>
      <c r="E10" s="55" t="s">
        <v>187</v>
      </c>
      <c r="F10" s="52" t="s">
        <v>19</v>
      </c>
      <c r="G10" s="40">
        <v>2</v>
      </c>
      <c r="H10" s="118">
        <f>IF(B$17=0,0,G10/B$17)</f>
        <v>0.15384615384615385</v>
      </c>
      <c r="I10" s="80">
        <v>5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4</v>
      </c>
      <c r="C11" s="34">
        <f>IF(B$2=0,0,B11/B$2)</f>
        <v>0.8</v>
      </c>
      <c r="E11" s="55" t="s">
        <v>188</v>
      </c>
      <c r="F11" s="52" t="s">
        <v>191</v>
      </c>
      <c r="G11" s="40">
        <v>2</v>
      </c>
      <c r="H11" s="118">
        <f>IF(B$17=0,0,G11/B$17)</f>
        <v>0.15384615384615385</v>
      </c>
      <c r="I11" s="80">
        <v>1</v>
      </c>
      <c r="N11" s="98" t="s">
        <v>175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1</v>
      </c>
      <c r="C12" s="36">
        <f t="shared" si="2"/>
        <v>0.2</v>
      </c>
      <c r="E12" s="55" t="s">
        <v>59</v>
      </c>
      <c r="F12" s="52" t="s">
        <v>22</v>
      </c>
      <c r="G12" s="40">
        <v>0</v>
      </c>
      <c r="H12" s="118">
        <f>IF(B$17=0,0,G12/B$17)</f>
        <v>0</v>
      </c>
      <c r="I12" s="80">
        <v>6</v>
      </c>
      <c r="N12" s="99" t="s">
        <v>130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101</v>
      </c>
      <c r="B13" s="43">
        <v>8</v>
      </c>
      <c r="C13" s="38">
        <f>IF(B$3=0,0,B13/B$3)</f>
        <v>0.21621621621621623</v>
      </c>
      <c r="E13" s="55" t="s">
        <v>62</v>
      </c>
      <c r="F13" s="52" t="s">
        <v>25</v>
      </c>
      <c r="G13" s="40">
        <v>0</v>
      </c>
      <c r="H13" s="118">
        <f>IF(B$17=0,0,G13/B$17)</f>
        <v>0</v>
      </c>
      <c r="I13" s="80">
        <v>1</v>
      </c>
      <c r="N13" s="100" t="s">
        <v>131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98</v>
      </c>
      <c r="B14" s="40">
        <v>11</v>
      </c>
      <c r="C14" s="33">
        <f>IF(B$3=0,0,B14/B$3)</f>
        <v>0.29729729729729731</v>
      </c>
      <c r="E14" s="55" t="s">
        <v>63</v>
      </c>
      <c r="F14" s="52" t="s">
        <v>26</v>
      </c>
      <c r="G14" s="40">
        <v>0</v>
      </c>
      <c r="H14" s="118">
        <f>IF(B$17=0,0,G14/B$17)</f>
        <v>0</v>
      </c>
      <c r="I14" s="80">
        <v>1</v>
      </c>
      <c r="N14" s="100" t="s">
        <v>132</v>
      </c>
      <c r="O14" s="110">
        <f>IF(P14=0,0,Q14/P14)</f>
        <v>58.45</v>
      </c>
      <c r="P14" s="104">
        <v>2</v>
      </c>
      <c r="Q14" s="92">
        <v>116.9</v>
      </c>
    </row>
    <row r="15" spans="1:17">
      <c r="A15" s="46" t="s">
        <v>103</v>
      </c>
      <c r="B15" s="39">
        <f>B21</f>
        <v>6</v>
      </c>
      <c r="C15" s="31">
        <f>IF(B$13=0,0,B15/B$13)</f>
        <v>0.75</v>
      </c>
      <c r="E15" s="55" t="s">
        <v>64</v>
      </c>
      <c r="F15" s="52" t="s">
        <v>27</v>
      </c>
      <c r="G15" s="40">
        <v>0</v>
      </c>
      <c r="H15" s="118">
        <f>IF(B$17=0,0,G15/B$17)</f>
        <v>0</v>
      </c>
      <c r="I15" s="80">
        <v>1</v>
      </c>
      <c r="N15" s="101" t="s">
        <v>163</v>
      </c>
      <c r="O15" s="111">
        <f>IF(P15=0,0,Q15/P15)</f>
        <v>3.6666666666666665</v>
      </c>
      <c r="P15" s="105">
        <v>3</v>
      </c>
      <c r="Q15" s="93">
        <v>11</v>
      </c>
    </row>
    <row r="16" spans="1:17">
      <c r="A16" s="46" t="s">
        <v>104</v>
      </c>
      <c r="B16" s="39">
        <f>B22</f>
        <v>5</v>
      </c>
      <c r="C16" s="31">
        <f>IF(B$14=0,0,B16/B$14)</f>
        <v>0.45454545454545453</v>
      </c>
      <c r="E16" s="55" t="s">
        <v>65</v>
      </c>
      <c r="F16" s="52" t="s">
        <v>28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13</v>
      </c>
      <c r="C17" s="31">
        <f>IF(B$3=0,0,B17/B$3)</f>
        <v>0.35135135135135137</v>
      </c>
      <c r="E17" s="55" t="s">
        <v>66</v>
      </c>
      <c r="F17" s="52" t="s">
        <v>29</v>
      </c>
      <c r="G17" s="40">
        <v>0</v>
      </c>
      <c r="H17" s="118">
        <f>IF(B$17=0,0,G17/B$17)</f>
        <v>0</v>
      </c>
      <c r="I17" s="80">
        <v>1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5</v>
      </c>
      <c r="C18" s="33">
        <f>IF(B$3=0,0,B18/B$3)</f>
        <v>0.13513513513513514</v>
      </c>
      <c r="E18" s="55" t="s">
        <v>67</v>
      </c>
      <c r="F18" s="52" t="s">
        <v>30</v>
      </c>
      <c r="G18" s="40">
        <v>0</v>
      </c>
      <c r="H18" s="118">
        <f>IF(B$17=0,0,G18/B$17)</f>
        <v>0</v>
      </c>
      <c r="I18" s="80">
        <v>1</v>
      </c>
      <c r="N18" s="99" t="s">
        <v>170</v>
      </c>
      <c r="O18" s="109">
        <f>IF(P18=0,0,Q18/P18)</f>
        <v>122</v>
      </c>
      <c r="P18" s="103">
        <v>1</v>
      </c>
      <c r="Q18" s="91">
        <v>122</v>
      </c>
    </row>
    <row r="19" spans="1:17">
      <c r="A19" s="47" t="s">
        <v>12</v>
      </c>
      <c r="B19" s="40">
        <v>7</v>
      </c>
      <c r="C19" s="33">
        <f>IF(B$17=0,0,B19/B$17)</f>
        <v>0.53846153846153844</v>
      </c>
      <c r="E19" s="55" t="s">
        <v>68</v>
      </c>
      <c r="F19" s="52" t="s">
        <v>31</v>
      </c>
      <c r="G19" s="40">
        <v>0</v>
      </c>
      <c r="H19" s="118">
        <f>IF(B$17=0,0,G19/B$17)</f>
        <v>0</v>
      </c>
      <c r="I19" s="80">
        <v>3</v>
      </c>
      <c r="N19" s="100" t="s">
        <v>198</v>
      </c>
      <c r="O19" s="110">
        <f>IF(P19=0,0,Q19/P19)</f>
        <v>111.8</v>
      </c>
      <c r="P19" s="104">
        <v>1</v>
      </c>
      <c r="Q19" s="92">
        <v>111.8</v>
      </c>
    </row>
    <row r="20" spans="1:17">
      <c r="A20" s="47" t="s">
        <v>11</v>
      </c>
      <c r="B20" s="40">
        <v>6</v>
      </c>
      <c r="C20" s="33">
        <f>IF(B$17=0,0,B20/B$17)</f>
        <v>0.46153846153846156</v>
      </c>
      <c r="E20" s="55" t="s">
        <v>69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168</v>
      </c>
      <c r="O20" s="110">
        <f>IF(P20=0,0,Q20/P20)</f>
        <v>108.7</v>
      </c>
      <c r="P20" s="104">
        <v>1</v>
      </c>
      <c r="Q20" s="92">
        <v>108.7</v>
      </c>
    </row>
    <row r="21" spans="1:17">
      <c r="A21" s="47" t="s">
        <v>155</v>
      </c>
      <c r="B21" s="40">
        <v>6</v>
      </c>
      <c r="C21" s="33">
        <f>IF(B$17=0,0,B21/B$17)</f>
        <v>0.46153846153846156</v>
      </c>
      <c r="E21" s="55" t="s">
        <v>70</v>
      </c>
      <c r="F21" s="52" t="s">
        <v>33</v>
      </c>
      <c r="G21" s="40">
        <v>0</v>
      </c>
      <c r="H21" s="118">
        <f>IF(B$17=0,0,G21/B$17)</f>
        <v>0</v>
      </c>
      <c r="I21" s="80">
        <v>3</v>
      </c>
      <c r="N21" s="100" t="s">
        <v>185</v>
      </c>
      <c r="O21" s="110">
        <f>IF(P21=0,0,Q21/P21)</f>
        <v>65.8</v>
      </c>
      <c r="P21" s="104">
        <v>1</v>
      </c>
      <c r="Q21" s="92">
        <v>65.8</v>
      </c>
    </row>
    <row r="22" spans="1:17">
      <c r="A22" s="47" t="s">
        <v>153</v>
      </c>
      <c r="B22" s="40">
        <v>5</v>
      </c>
      <c r="C22" s="33">
        <f>IF(B$17=0,0,B22/B$17)</f>
        <v>0.38461538461538464</v>
      </c>
      <c r="E22" s="55" t="s">
        <v>71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171</v>
      </c>
      <c r="O22" s="110">
        <f>IF(P22=0,0,Q22/P22)</f>
        <v>47.1</v>
      </c>
      <c r="P22" s="104">
        <v>1</v>
      </c>
      <c r="Q22" s="92">
        <v>47.1</v>
      </c>
    </row>
    <row r="23" spans="1:17">
      <c r="A23" s="47" t="s">
        <v>154</v>
      </c>
      <c r="B23" s="40">
        <v>2</v>
      </c>
      <c r="C23" s="33">
        <f>IF(B$17=0,0,B23/B$17)</f>
        <v>0.15384615384615385</v>
      </c>
      <c r="E23" s="55" t="s">
        <v>72</v>
      </c>
      <c r="F23" s="52" t="s">
        <v>35</v>
      </c>
      <c r="G23" s="40">
        <v>0</v>
      </c>
      <c r="H23" s="118">
        <f>IF(B$17=0,0,G23/B$17)</f>
        <v>0</v>
      </c>
      <c r="I23" s="80">
        <v>3</v>
      </c>
      <c r="N23" s="100" t="s">
        <v>180</v>
      </c>
      <c r="O23" s="110">
        <f>IF(P23=0,0,Q23/P23)</f>
        <v>36</v>
      </c>
      <c r="P23" s="104">
        <v>2</v>
      </c>
      <c r="Q23" s="92">
        <v>72</v>
      </c>
    </row>
    <row r="24" spans="1:17">
      <c r="A24" s="47" t="s">
        <v>5</v>
      </c>
      <c r="B24" s="44">
        <f>IF(B$17=0,0,C24/B$17)</f>
        <v>6492.3076923076924</v>
      </c>
      <c r="C24" s="35">
        <v>84400</v>
      </c>
      <c r="E24" s="55" t="s">
        <v>73</v>
      </c>
      <c r="F24" s="52" t="s">
        <v>36</v>
      </c>
      <c r="G24" s="40">
        <v>0</v>
      </c>
      <c r="H24" s="118">
        <f>IF(B$17=0,0,G24/B$17)</f>
        <v>0</v>
      </c>
      <c r="I24" s="80">
        <v>1</v>
      </c>
      <c r="N24" s="100" t="s">
        <v>165</v>
      </c>
      <c r="O24" s="110">
        <f>IF(P24=0,0,Q24/P24)</f>
        <v>30.900000000000006</v>
      </c>
      <c r="P24" s="104">
        <v>3</v>
      </c>
      <c r="Q24" s="92">
        <v>92.700000000000017</v>
      </c>
    </row>
    <row r="25" spans="1:17">
      <c r="A25" s="48" t="s">
        <v>137</v>
      </c>
      <c r="B25" s="121">
        <f>IF($B$17-B$16=0,0,C25/($B$17-B$16))</f>
        <v>8900</v>
      </c>
      <c r="C25" s="122">
        <v>71200</v>
      </c>
      <c r="E25" s="55" t="s">
        <v>74</v>
      </c>
      <c r="F25" s="52" t="s">
        <v>37</v>
      </c>
      <c r="G25" s="40">
        <v>0</v>
      </c>
      <c r="H25" s="118">
        <f>IF(B$17=0,0,G25/B$17)</f>
        <v>0</v>
      </c>
      <c r="I25" s="80">
        <v>1</v>
      </c>
      <c r="N25" s="100" t="s">
        <v>173</v>
      </c>
      <c r="O25" s="110">
        <f>IF(P25=0,0,Q25/P25)</f>
        <v>13.5</v>
      </c>
      <c r="P25" s="104">
        <v>2</v>
      </c>
      <c r="Q25" s="92">
        <v>27</v>
      </c>
    </row>
    <row r="26" spans="1:17">
      <c r="A26" s="48" t="s">
        <v>138</v>
      </c>
      <c r="B26" s="121">
        <f>IF(B$16=0,0,C26/B$16)</f>
        <v>2640</v>
      </c>
      <c r="C26" s="122">
        <v>13200</v>
      </c>
      <c r="E26" s="55" t="s">
        <v>75</v>
      </c>
      <c r="F26" s="52" t="s">
        <v>38</v>
      </c>
      <c r="G26" s="40">
        <v>0</v>
      </c>
      <c r="H26" s="118">
        <f>IF(B$17=0,0,G26/B$17)</f>
        <v>0</v>
      </c>
      <c r="I26" s="80">
        <v>4</v>
      </c>
      <c r="N26" s="100" t="s">
        <v>184</v>
      </c>
      <c r="O26" s="110">
        <f>IF(P26=0,0,Q26/P26)</f>
        <v>4.7499999999999982</v>
      </c>
      <c r="P26" s="104">
        <v>2</v>
      </c>
      <c r="Q26" s="92">
        <v>9.4999999999999964</v>
      </c>
    </row>
    <row r="27" spans="1:17">
      <c r="A27" s="48" t="s">
        <v>136</v>
      </c>
      <c r="B27" s="121">
        <f>IF(B$18=0,0,C27/B$18)</f>
        <v>-7260</v>
      </c>
      <c r="C27" s="122">
        <v>-36300</v>
      </c>
      <c r="E27" s="55" t="s">
        <v>76</v>
      </c>
      <c r="F27" s="52" t="s">
        <v>39</v>
      </c>
      <c r="G27" s="40">
        <v>0</v>
      </c>
      <c r="H27" s="118">
        <f>IF(B$17=0,0,G27/B$17)</f>
        <v>0</v>
      </c>
      <c r="I27" s="80">
        <v>1</v>
      </c>
      <c r="N27" s="100" t="s">
        <v>167</v>
      </c>
      <c r="O27" s="110">
        <f>IF(P27=0,0,Q27/P27)</f>
        <v>-125</v>
      </c>
      <c r="P27" s="104">
        <v>1</v>
      </c>
      <c r="Q27" s="92">
        <v>-125</v>
      </c>
    </row>
    <row r="28" spans="1:17">
      <c r="A28" s="47" t="s">
        <v>134</v>
      </c>
      <c r="B28" s="40">
        <v>3</v>
      </c>
      <c r="C28" s="120">
        <v>1</v>
      </c>
      <c r="E28" s="55" t="s">
        <v>77</v>
      </c>
      <c r="F28" s="52" t="s">
        <v>40</v>
      </c>
      <c r="G28" s="40">
        <v>0</v>
      </c>
      <c r="H28" s="118">
        <f>IF(B$17=0,0,G28/B$17)</f>
        <v>0</v>
      </c>
      <c r="I28" s="80">
        <v>1</v>
      </c>
    </row>
    <row r="29" spans="1:17">
      <c r="A29" s="47" t="s">
        <v>135</v>
      </c>
      <c r="B29" s="40">
        <v>22</v>
      </c>
      <c r="C29" s="120">
        <v>2</v>
      </c>
      <c r="E29" s="55" t="s">
        <v>78</v>
      </c>
      <c r="F29" s="52" t="s">
        <v>41</v>
      </c>
      <c r="G29" s="40">
        <v>0</v>
      </c>
      <c r="H29" s="118">
        <f>IF(B$17=0,0,G29/B$17)</f>
        <v>0</v>
      </c>
      <c r="I29" s="80">
        <v>1</v>
      </c>
    </row>
    <row r="30" spans="1:17">
      <c r="A30" s="76" t="s">
        <v>115</v>
      </c>
      <c r="B30" s="142">
        <v>5</v>
      </c>
      <c r="C30" s="143"/>
      <c r="E30" s="55" t="s">
        <v>79</v>
      </c>
      <c r="F30" s="52" t="s">
        <v>42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152</v>
      </c>
      <c r="B31" s="144">
        <v>41100</v>
      </c>
      <c r="C31" s="145"/>
      <c r="E31" s="55" t="s">
        <v>80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116</v>
      </c>
      <c r="B32" s="57">
        <v>1</v>
      </c>
      <c r="C32" s="36">
        <f>IF(B$3=0,0,B32/B$3)</f>
        <v>2.7027027027027029E-2</v>
      </c>
      <c r="E32" s="55" t="s">
        <v>81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176</v>
      </c>
      <c r="B34" s="130" t="s">
        <v>96</v>
      </c>
      <c r="C34" s="131" t="s">
        <v>97</v>
      </c>
      <c r="E34" s="55" t="s">
        <v>83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143</v>
      </c>
      <c r="B35" s="134">
        <v>3</v>
      </c>
      <c r="C35" s="126">
        <f t="shared" ref="C35:C47" si="3">IF(B$17=0,0,B35/B$17)</f>
        <v>0.23076923076923078</v>
      </c>
      <c r="E35" s="55" t="s">
        <v>84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139</v>
      </c>
      <c r="B36" s="40">
        <v>2</v>
      </c>
      <c r="C36" s="33">
        <f t="shared" si="3"/>
        <v>0.15384615384615385</v>
      </c>
      <c r="E36" s="55" t="s">
        <v>85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140</v>
      </c>
      <c r="B37" s="135">
        <v>1</v>
      </c>
      <c r="C37" s="33">
        <f t="shared" si="3"/>
        <v>7.6923076923076927E-2</v>
      </c>
      <c r="E37" s="55" t="s">
        <v>86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141</v>
      </c>
      <c r="B38" s="135">
        <v>3</v>
      </c>
      <c r="C38" s="33">
        <f t="shared" si="3"/>
        <v>0.23076923076923078</v>
      </c>
      <c r="E38" s="55" t="s">
        <v>87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142</v>
      </c>
      <c r="B39" s="135">
        <v>1</v>
      </c>
      <c r="C39" s="33">
        <f t="shared" si="3"/>
        <v>7.6923076923076927E-2</v>
      </c>
      <c r="E39" s="55" t="s">
        <v>88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144</v>
      </c>
      <c r="B40" s="135">
        <v>2</v>
      </c>
      <c r="C40" s="33">
        <f t="shared" si="3"/>
        <v>0.15384615384615385</v>
      </c>
      <c r="E40" s="55" t="s">
        <v>89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145</v>
      </c>
      <c r="B41" s="135">
        <v>1</v>
      </c>
      <c r="C41" s="33">
        <f t="shared" si="3"/>
        <v>7.6923076923076927E-2</v>
      </c>
      <c r="E41" s="55" t="s">
        <v>90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146</v>
      </c>
      <c r="B42" s="135">
        <v>0</v>
      </c>
      <c r="C42" s="33">
        <f t="shared" si="3"/>
        <v>0</v>
      </c>
      <c r="E42" s="55" t="s">
        <v>91</v>
      </c>
      <c r="F42" s="52" t="s">
        <v>54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147</v>
      </c>
      <c r="B43" s="135">
        <v>0</v>
      </c>
      <c r="C43" s="33">
        <f t="shared" si="3"/>
        <v>0</v>
      </c>
      <c r="E43" s="55" t="s">
        <v>92</v>
      </c>
      <c r="F43" s="52" t="s">
        <v>192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148</v>
      </c>
      <c r="B44" s="135">
        <v>0</v>
      </c>
      <c r="C44" s="33">
        <f t="shared" si="3"/>
        <v>0</v>
      </c>
      <c r="E44" s="55" t="s">
        <v>93</v>
      </c>
      <c r="F44" s="52" t="s">
        <v>193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149</v>
      </c>
      <c r="B45" s="135">
        <v>0</v>
      </c>
      <c r="C45" s="33">
        <f t="shared" si="3"/>
        <v>0</v>
      </c>
      <c r="E45" s="56" t="s">
        <v>94</v>
      </c>
      <c r="F45" s="53" t="s">
        <v>194</v>
      </c>
      <c r="G45" s="42">
        <v>0</v>
      </c>
      <c r="H45" s="119">
        <f>IF(B$17=0,0,G45/B$17)</f>
        <v>0</v>
      </c>
      <c r="I45" s="81">
        <v>1</v>
      </c>
    </row>
    <row r="46" spans="1:9">
      <c r="A46" s="47" t="s">
        <v>150</v>
      </c>
      <c r="B46" s="135">
        <v>0</v>
      </c>
      <c r="C46" s="33">
        <f t="shared" si="3"/>
        <v>0</v>
      </c>
    </row>
    <row r="47" spans="1:9">
      <c r="A47" s="49" t="s">
        <v>151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7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0503B9-7545-4E40-9D68-85DD2B62EC4F}">
  <sheetPr codeName="Sheet13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13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85" customWidth="1"/>
    <col min="13" max="13" width="3.59765625" style="27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27"/>
  </cols>
  <sheetData>
    <row r="1" spans="1:17">
      <c r="A1" s="45" t="s">
        <v>0</v>
      </c>
      <c r="B1" s="146" t="s">
        <v>180</v>
      </c>
      <c r="C1" s="147"/>
      <c r="E1" s="114" t="s">
        <v>133</v>
      </c>
      <c r="F1" s="133" t="s">
        <v>95</v>
      </c>
      <c r="G1" s="132" t="s">
        <v>96</v>
      </c>
      <c r="H1" s="115" t="s">
        <v>97</v>
      </c>
      <c r="I1" s="133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48">
        <v>2</v>
      </c>
      <c r="C2" s="149"/>
      <c r="E2" s="54" t="s">
        <v>55</v>
      </c>
      <c r="F2" s="51" t="s">
        <v>20</v>
      </c>
      <c r="G2" s="39">
        <v>4</v>
      </c>
      <c r="H2" s="117">
        <f>IF(B$17=0,0,G2/B$17)</f>
        <v>1.3333333333333333</v>
      </c>
      <c r="I2" s="79">
        <v>1</v>
      </c>
      <c r="K2" s="30">
        <v>0</v>
      </c>
      <c r="L2" s="84">
        <v>0</v>
      </c>
      <c r="N2" s="99" t="s">
        <v>107</v>
      </c>
      <c r="O2" s="106">
        <f t="shared" ref="O2:O9" si="0">IF(P2=0,0,Q2/P2)</f>
        <v>-3750</v>
      </c>
      <c r="P2" s="103">
        <v>2</v>
      </c>
      <c r="Q2" s="87">
        <v>-7500</v>
      </c>
    </row>
    <row r="3" spans="1:17">
      <c r="A3" s="47" t="s">
        <v>8</v>
      </c>
      <c r="B3" s="150">
        <v>15</v>
      </c>
      <c r="C3" s="151"/>
      <c r="E3" s="55" t="s">
        <v>186</v>
      </c>
      <c r="F3" s="52" t="s">
        <v>160</v>
      </c>
      <c r="G3" s="40">
        <v>3</v>
      </c>
      <c r="H3" s="118">
        <f>IF(B$17=0,0,G3/B$17)</f>
        <v>1</v>
      </c>
      <c r="I3" s="80">
        <v>1</v>
      </c>
      <c r="K3" s="32">
        <v>1</v>
      </c>
      <c r="L3" s="85">
        <v>13.6</v>
      </c>
      <c r="N3" s="100" t="s">
        <v>108</v>
      </c>
      <c r="O3" s="107">
        <f t="shared" si="0"/>
        <v>-750</v>
      </c>
      <c r="P3" s="104">
        <v>2</v>
      </c>
      <c r="Q3" s="88">
        <v>-1500</v>
      </c>
    </row>
    <row r="4" spans="1:17">
      <c r="A4" s="47" t="s">
        <v>6</v>
      </c>
      <c r="B4" s="152">
        <v>-2.2000000000000011</v>
      </c>
      <c r="C4" s="153"/>
      <c r="E4" s="55" t="s">
        <v>187</v>
      </c>
      <c r="F4" s="52" t="s">
        <v>19</v>
      </c>
      <c r="G4" s="40">
        <v>1</v>
      </c>
      <c r="H4" s="118">
        <f>IF(B$17=0,0,G4/B$17)</f>
        <v>0.33333333333333331</v>
      </c>
      <c r="I4" s="80">
        <v>1</v>
      </c>
      <c r="K4" s="32">
        <v>2</v>
      </c>
      <c r="L4" s="85">
        <v>-2.2000000000000011</v>
      </c>
      <c r="N4" s="100" t="s">
        <v>109</v>
      </c>
      <c r="O4" s="107">
        <f t="shared" si="0"/>
        <v>5150</v>
      </c>
      <c r="P4" s="104">
        <v>2</v>
      </c>
      <c r="Q4" s="88">
        <v>10300</v>
      </c>
    </row>
    <row r="5" spans="1:17">
      <c r="A5" s="47" t="s">
        <v>7</v>
      </c>
      <c r="B5" s="154">
        <f>IF(B$2=0,0,B$4/B$2)</f>
        <v>-1.1000000000000005</v>
      </c>
      <c r="C5" s="155"/>
      <c r="E5" s="55" t="s">
        <v>56</v>
      </c>
      <c r="F5" s="52" t="s">
        <v>159</v>
      </c>
      <c r="G5" s="40">
        <v>1</v>
      </c>
      <c r="H5" s="118">
        <f>IF(B$17=0,0,G5/B$17)</f>
        <v>0.33333333333333331</v>
      </c>
      <c r="I5" s="80">
        <v>6</v>
      </c>
      <c r="N5" s="100" t="s">
        <v>161</v>
      </c>
      <c r="O5" s="107">
        <f>IF(P5=0,0,Q5/P5)</f>
        <v>2450</v>
      </c>
      <c r="P5" s="104">
        <v>2</v>
      </c>
      <c r="Q5" s="88">
        <v>4900</v>
      </c>
    </row>
    <row r="6" spans="1:17">
      <c r="A6" s="47" t="s">
        <v>1</v>
      </c>
      <c r="B6" s="156">
        <f>IF(B$2=0,0,(B$7*1+B$8*2+B$9*3+B$10*4)/B$2)</f>
        <v>2.5</v>
      </c>
      <c r="C6" s="157"/>
      <c r="E6" s="55" t="s">
        <v>57</v>
      </c>
      <c r="F6" s="52" t="s">
        <v>190</v>
      </c>
      <c r="G6" s="40">
        <v>1</v>
      </c>
      <c r="H6" s="118">
        <f>IF(B$17=0,0,G6/B$17)</f>
        <v>0.33333333333333331</v>
      </c>
      <c r="I6" s="80">
        <v>4</v>
      </c>
      <c r="N6" s="100" t="s">
        <v>110</v>
      </c>
      <c r="O6" s="107">
        <f t="shared" ref="O6" si="1">IF(P6=0,0,Q6/P6)</f>
        <v>-500</v>
      </c>
      <c r="P6" s="104">
        <v>2</v>
      </c>
      <c r="Q6" s="88">
        <v>-1000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58</v>
      </c>
      <c r="F7" s="52" t="s">
        <v>21</v>
      </c>
      <c r="G7" s="40">
        <v>1</v>
      </c>
      <c r="H7" s="118">
        <f>IF(B$17=0,0,G7/B$17)</f>
        <v>0.33333333333333331</v>
      </c>
      <c r="I7" s="80">
        <v>4</v>
      </c>
      <c r="N7" s="100" t="s">
        <v>111</v>
      </c>
      <c r="O7" s="107">
        <f t="shared" si="0"/>
        <v>-3250</v>
      </c>
      <c r="P7" s="104">
        <v>2</v>
      </c>
      <c r="Q7" s="88">
        <v>-6500</v>
      </c>
    </row>
    <row r="8" spans="1:17">
      <c r="A8" s="47" t="s">
        <v>3</v>
      </c>
      <c r="B8" s="40">
        <v>1</v>
      </c>
      <c r="C8" s="33">
        <f>IF(B$2=0,0,B8/B$2)</f>
        <v>0.5</v>
      </c>
      <c r="E8" s="55" t="s">
        <v>61</v>
      </c>
      <c r="F8" s="52" t="s">
        <v>24</v>
      </c>
      <c r="G8" s="40">
        <v>1</v>
      </c>
      <c r="H8" s="118">
        <f>IF(B$17=0,0,G8/B$17)</f>
        <v>0.33333333333333331</v>
      </c>
      <c r="I8" s="80">
        <v>8</v>
      </c>
      <c r="N8" s="100" t="s">
        <v>112</v>
      </c>
      <c r="O8" s="107">
        <f t="shared" si="0"/>
        <v>13000</v>
      </c>
      <c r="P8" s="104">
        <v>1</v>
      </c>
      <c r="Q8" s="88">
        <v>13000</v>
      </c>
    </row>
    <row r="9" spans="1:17">
      <c r="A9" s="48" t="s">
        <v>4</v>
      </c>
      <c r="B9" s="41">
        <v>1</v>
      </c>
      <c r="C9" s="34">
        <f>IF(B$2=0,0,B9/B$2)</f>
        <v>0.5</v>
      </c>
      <c r="E9" s="55" t="s">
        <v>189</v>
      </c>
      <c r="F9" s="52" t="s">
        <v>195</v>
      </c>
      <c r="G9" s="40">
        <v>1</v>
      </c>
      <c r="H9" s="118">
        <f>IF(B$17=0,0,G9/B$17)</f>
        <v>0.33333333333333331</v>
      </c>
      <c r="I9" s="80">
        <v>8</v>
      </c>
      <c r="N9" s="101" t="s">
        <v>162</v>
      </c>
      <c r="O9" s="108">
        <f t="shared" si="0"/>
        <v>-3900</v>
      </c>
      <c r="P9" s="105">
        <v>1</v>
      </c>
      <c r="Q9" s="89">
        <v>-3900</v>
      </c>
    </row>
    <row r="10" spans="1:17">
      <c r="A10" s="48" t="s">
        <v>156</v>
      </c>
      <c r="B10" s="41">
        <v>0</v>
      </c>
      <c r="C10" s="34">
        <f>IF(B$2=0,0,B10/B$2)</f>
        <v>0</v>
      </c>
      <c r="E10" s="55" t="s">
        <v>59</v>
      </c>
      <c r="F10" s="52" t="s">
        <v>22</v>
      </c>
      <c r="G10" s="40">
        <v>0</v>
      </c>
      <c r="H10" s="118">
        <f>IF(B$17=0,0,G10/B$17)</f>
        <v>0</v>
      </c>
      <c r="I10" s="80">
        <v>6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1</v>
      </c>
      <c r="C11" s="34">
        <f>IF(B$2=0,0,B11/B$2)</f>
        <v>0.5</v>
      </c>
      <c r="E11" s="55" t="s">
        <v>60</v>
      </c>
      <c r="F11" s="52" t="s">
        <v>23</v>
      </c>
      <c r="G11" s="40">
        <v>0</v>
      </c>
      <c r="H11" s="118">
        <f>IF(B$17=0,0,G11/B$17)</f>
        <v>0</v>
      </c>
      <c r="I11" s="80">
        <v>7</v>
      </c>
      <c r="N11" s="98" t="s">
        <v>175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25</v>
      </c>
      <c r="G12" s="40">
        <v>0</v>
      </c>
      <c r="H12" s="118">
        <f>IF(B$17=0,0,G12/B$17)</f>
        <v>0</v>
      </c>
      <c r="I12" s="80">
        <v>1</v>
      </c>
      <c r="N12" s="99" t="s">
        <v>130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101</v>
      </c>
      <c r="B13" s="43">
        <v>4</v>
      </c>
      <c r="C13" s="38">
        <f>IF(B$3=0,0,B13/B$3)</f>
        <v>0.26666666666666666</v>
      </c>
      <c r="E13" s="55" t="s">
        <v>63</v>
      </c>
      <c r="F13" s="52" t="s">
        <v>26</v>
      </c>
      <c r="G13" s="40">
        <v>0</v>
      </c>
      <c r="H13" s="118">
        <f>IF(B$17=0,0,G13/B$17)</f>
        <v>0</v>
      </c>
      <c r="I13" s="80">
        <v>1</v>
      </c>
      <c r="N13" s="100" t="s">
        <v>131</v>
      </c>
      <c r="O13" s="110">
        <f>IF(P13=0,0,Q13/P13)</f>
        <v>-1.1000000000000005</v>
      </c>
      <c r="P13" s="104">
        <v>2</v>
      </c>
      <c r="Q13" s="92">
        <v>-2.2000000000000011</v>
      </c>
    </row>
    <row r="14" spans="1:17">
      <c r="A14" s="47" t="s">
        <v>98</v>
      </c>
      <c r="B14" s="40">
        <v>0</v>
      </c>
      <c r="C14" s="33">
        <f>IF(B$3=0,0,B14/B$3)</f>
        <v>0</v>
      </c>
      <c r="E14" s="55" t="s">
        <v>64</v>
      </c>
      <c r="F14" s="52" t="s">
        <v>27</v>
      </c>
      <c r="G14" s="40">
        <v>0</v>
      </c>
      <c r="H14" s="118">
        <f>IF(B$17=0,0,G14/B$17)</f>
        <v>0</v>
      </c>
      <c r="I14" s="80">
        <v>1</v>
      </c>
      <c r="N14" s="100" t="s">
        <v>132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103</v>
      </c>
      <c r="B15" s="39">
        <f>B21</f>
        <v>3</v>
      </c>
      <c r="C15" s="31">
        <f>IF(B$13=0,0,B15/B$13)</f>
        <v>0.75</v>
      </c>
      <c r="E15" s="55" t="s">
        <v>65</v>
      </c>
      <c r="F15" s="52" t="s">
        <v>28</v>
      </c>
      <c r="G15" s="40">
        <v>0</v>
      </c>
      <c r="H15" s="118">
        <f>IF(B$17=0,0,G15/B$17)</f>
        <v>0</v>
      </c>
      <c r="I15" s="80">
        <v>1</v>
      </c>
      <c r="N15" s="101" t="s">
        <v>163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104</v>
      </c>
      <c r="B16" s="39">
        <f>B22</f>
        <v>0</v>
      </c>
      <c r="C16" s="31">
        <f>IF(B$14=0,0,B16/B$14)</f>
        <v>0</v>
      </c>
      <c r="E16" s="55" t="s">
        <v>66</v>
      </c>
      <c r="F16" s="52" t="s">
        <v>29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3</v>
      </c>
      <c r="C17" s="31">
        <f>IF(B$3=0,0,B17/B$3)</f>
        <v>0.2</v>
      </c>
      <c r="E17" s="55" t="s">
        <v>67</v>
      </c>
      <c r="F17" s="52" t="s">
        <v>30</v>
      </c>
      <c r="G17" s="40">
        <v>0</v>
      </c>
      <c r="H17" s="118">
        <f>IF(B$17=0,0,G17/B$17)</f>
        <v>0</v>
      </c>
      <c r="I17" s="80">
        <v>1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2</v>
      </c>
      <c r="C18" s="33">
        <f>IF(B$3=0,0,B18/B$3)</f>
        <v>0.13333333333333333</v>
      </c>
      <c r="E18" s="55" t="s">
        <v>68</v>
      </c>
      <c r="F18" s="52" t="s">
        <v>31</v>
      </c>
      <c r="G18" s="40">
        <v>0</v>
      </c>
      <c r="H18" s="118">
        <f>IF(B$17=0,0,G18/B$17)</f>
        <v>0</v>
      </c>
      <c r="I18" s="80">
        <v>3</v>
      </c>
      <c r="N18" s="99" t="s">
        <v>168</v>
      </c>
      <c r="O18" s="109">
        <f>IF(P18=0,0,Q18/P18)</f>
        <v>65.7</v>
      </c>
      <c r="P18" s="103">
        <v>1</v>
      </c>
      <c r="Q18" s="91">
        <v>65.7</v>
      </c>
    </row>
    <row r="19" spans="1:17">
      <c r="A19" s="47" t="s">
        <v>12</v>
      </c>
      <c r="B19" s="40">
        <v>1</v>
      </c>
      <c r="C19" s="33">
        <f>IF(B$17=0,0,B19/B$17)</f>
        <v>0.33333333333333331</v>
      </c>
      <c r="E19" s="55" t="s">
        <v>188</v>
      </c>
      <c r="F19" s="52" t="s">
        <v>191</v>
      </c>
      <c r="G19" s="40">
        <v>0</v>
      </c>
      <c r="H19" s="118">
        <f>IF(B$17=0,0,G19/B$17)</f>
        <v>0</v>
      </c>
      <c r="I19" s="80">
        <v>3</v>
      </c>
      <c r="N19" s="100" t="s">
        <v>185</v>
      </c>
      <c r="O19" s="110">
        <f>IF(P19=0,0,Q19/P19)</f>
        <v>36.799999999999997</v>
      </c>
      <c r="P19" s="104">
        <v>1</v>
      </c>
      <c r="Q19" s="92">
        <v>36.799999999999997</v>
      </c>
    </row>
    <row r="20" spans="1:17">
      <c r="A20" s="47" t="s">
        <v>11</v>
      </c>
      <c r="B20" s="40">
        <v>2</v>
      </c>
      <c r="C20" s="33">
        <f>IF(B$17=0,0,B20/B$17)</f>
        <v>0.66666666666666663</v>
      </c>
      <c r="E20" s="55" t="s">
        <v>69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165</v>
      </c>
      <c r="O20" s="110">
        <f>IF(P20=0,0,Q20/P20)</f>
        <v>31.700000000000003</v>
      </c>
      <c r="P20" s="104">
        <v>1</v>
      </c>
      <c r="Q20" s="92">
        <v>31.700000000000003</v>
      </c>
    </row>
    <row r="21" spans="1:17">
      <c r="A21" s="47" t="s">
        <v>155</v>
      </c>
      <c r="B21" s="40">
        <v>3</v>
      </c>
      <c r="C21" s="33">
        <f>IF(B$17=0,0,B21/B$17)</f>
        <v>1</v>
      </c>
      <c r="E21" s="55" t="s">
        <v>70</v>
      </c>
      <c r="F21" s="52" t="s">
        <v>33</v>
      </c>
      <c r="G21" s="40">
        <v>0</v>
      </c>
      <c r="H21" s="118">
        <f>IF(B$17=0,0,G21/B$17)</f>
        <v>0</v>
      </c>
      <c r="I21" s="80">
        <v>3</v>
      </c>
      <c r="N21" s="100" t="s">
        <v>172</v>
      </c>
      <c r="O21" s="110">
        <f>IF(P21=0,0,Q21/P21)</f>
        <v>-36</v>
      </c>
      <c r="P21" s="104">
        <v>2</v>
      </c>
      <c r="Q21" s="92">
        <v>-72</v>
      </c>
    </row>
    <row r="22" spans="1:17">
      <c r="A22" s="47" t="s">
        <v>153</v>
      </c>
      <c r="B22" s="40">
        <v>0</v>
      </c>
      <c r="C22" s="33">
        <f>IF(B$17=0,0,B22/B$17)</f>
        <v>0</v>
      </c>
      <c r="E22" s="55" t="s">
        <v>71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184</v>
      </c>
      <c r="O22" s="110">
        <f>IF(P22=0,0,Q22/P22)</f>
        <v>-71</v>
      </c>
      <c r="P22" s="104">
        <v>1</v>
      </c>
      <c r="Q22" s="92">
        <v>-71</v>
      </c>
    </row>
    <row r="23" spans="1:17">
      <c r="A23" s="47" t="s">
        <v>154</v>
      </c>
      <c r="B23" s="40">
        <v>0</v>
      </c>
      <c r="C23" s="33">
        <f>IF(B$17=0,0,B23/B$17)</f>
        <v>0</v>
      </c>
      <c r="E23" s="55" t="s">
        <v>72</v>
      </c>
      <c r="F23" s="52" t="s">
        <v>35</v>
      </c>
      <c r="G23" s="40">
        <v>0</v>
      </c>
      <c r="H23" s="118">
        <f>IF(B$17=0,0,G23/B$17)</f>
        <v>0</v>
      </c>
      <c r="I23" s="80">
        <v>3</v>
      </c>
    </row>
    <row r="24" spans="1:17">
      <c r="A24" s="47" t="s">
        <v>5</v>
      </c>
      <c r="B24" s="44">
        <f>IF(B$17=0,0,C24/B$17)</f>
        <v>8400</v>
      </c>
      <c r="C24" s="35">
        <v>25200</v>
      </c>
      <c r="E24" s="55" t="s">
        <v>73</v>
      </c>
      <c r="F24" s="52" t="s">
        <v>36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137</v>
      </c>
      <c r="B25" s="121">
        <f>IF($B$17-B$16=0,0,C25/($B$17-B$16))</f>
        <v>8400</v>
      </c>
      <c r="C25" s="122">
        <v>25200</v>
      </c>
      <c r="E25" s="55" t="s">
        <v>74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138</v>
      </c>
      <c r="B26" s="121">
        <f>IF(B$16=0,0,C26/B$16)</f>
        <v>0</v>
      </c>
      <c r="C26" s="122">
        <v>0</v>
      </c>
      <c r="E26" s="55" t="s">
        <v>75</v>
      </c>
      <c r="F26" s="52" t="s">
        <v>38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136</v>
      </c>
      <c r="B27" s="121">
        <f>IF(B$18=0,0,C27/B$18)</f>
        <v>-2950</v>
      </c>
      <c r="C27" s="122">
        <v>-5900</v>
      </c>
      <c r="E27" s="55" t="s">
        <v>76</v>
      </c>
      <c r="F27" s="52" t="s">
        <v>39</v>
      </c>
      <c r="G27" s="40">
        <v>0</v>
      </c>
      <c r="H27" s="118">
        <f>IF(B$17=0,0,G27/B$17)</f>
        <v>0</v>
      </c>
      <c r="I27" s="80">
        <v>1</v>
      </c>
    </row>
    <row r="28" spans="1:17">
      <c r="A28" s="47" t="s">
        <v>134</v>
      </c>
      <c r="B28" s="40">
        <v>1</v>
      </c>
      <c r="C28" s="120">
        <v>0</v>
      </c>
      <c r="E28" s="55" t="s">
        <v>77</v>
      </c>
      <c r="F28" s="52" t="s">
        <v>40</v>
      </c>
      <c r="G28" s="40">
        <v>0</v>
      </c>
      <c r="H28" s="118">
        <f>IF(B$17=0,0,G28/B$17)</f>
        <v>0</v>
      </c>
      <c r="I28" s="80">
        <v>1</v>
      </c>
    </row>
    <row r="29" spans="1:17">
      <c r="A29" s="47" t="s">
        <v>135</v>
      </c>
      <c r="B29" s="40">
        <v>7</v>
      </c>
      <c r="C29" s="120">
        <v>7</v>
      </c>
      <c r="E29" s="55" t="s">
        <v>78</v>
      </c>
      <c r="F29" s="52" t="s">
        <v>41</v>
      </c>
      <c r="G29" s="40">
        <v>0</v>
      </c>
      <c r="H29" s="118">
        <f>IF(B$17=0,0,G29/B$17)</f>
        <v>0</v>
      </c>
      <c r="I29" s="80">
        <v>1</v>
      </c>
    </row>
    <row r="30" spans="1:17">
      <c r="A30" s="76" t="s">
        <v>115</v>
      </c>
      <c r="B30" s="142">
        <v>3</v>
      </c>
      <c r="C30" s="143"/>
      <c r="E30" s="55" t="s">
        <v>79</v>
      </c>
      <c r="F30" s="52" t="s">
        <v>42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152</v>
      </c>
      <c r="B31" s="144">
        <v>33600</v>
      </c>
      <c r="C31" s="145"/>
      <c r="E31" s="55" t="s">
        <v>80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116</v>
      </c>
      <c r="B32" s="57">
        <v>0</v>
      </c>
      <c r="C32" s="36">
        <f>IF(B$3=0,0,B32/B$3)</f>
        <v>0</v>
      </c>
      <c r="E32" s="55" t="s">
        <v>81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176</v>
      </c>
      <c r="B34" s="130" t="s">
        <v>96</v>
      </c>
      <c r="C34" s="131" t="s">
        <v>97</v>
      </c>
      <c r="E34" s="55" t="s">
        <v>83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143</v>
      </c>
      <c r="B35" s="134">
        <v>0</v>
      </c>
      <c r="C35" s="126">
        <f t="shared" ref="C35:C47" si="3">IF(B$17=0,0,B35/B$17)</f>
        <v>0</v>
      </c>
      <c r="E35" s="55" t="s">
        <v>84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139</v>
      </c>
      <c r="B36" s="40">
        <v>0</v>
      </c>
      <c r="C36" s="33">
        <f t="shared" si="3"/>
        <v>0</v>
      </c>
      <c r="E36" s="55" t="s">
        <v>85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140</v>
      </c>
      <c r="B37" s="135">
        <v>1</v>
      </c>
      <c r="C37" s="33">
        <f t="shared" si="3"/>
        <v>0.33333333333333331</v>
      </c>
      <c r="E37" s="55" t="s">
        <v>86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141</v>
      </c>
      <c r="B38" s="135">
        <v>1</v>
      </c>
      <c r="C38" s="33">
        <f t="shared" si="3"/>
        <v>0.33333333333333331</v>
      </c>
      <c r="E38" s="55" t="s">
        <v>87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142</v>
      </c>
      <c r="B39" s="135">
        <v>0</v>
      </c>
      <c r="C39" s="33">
        <f t="shared" si="3"/>
        <v>0</v>
      </c>
      <c r="E39" s="55" t="s">
        <v>88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144</v>
      </c>
      <c r="B40" s="135">
        <v>1</v>
      </c>
      <c r="C40" s="33">
        <f t="shared" si="3"/>
        <v>0.33333333333333331</v>
      </c>
      <c r="E40" s="55" t="s">
        <v>89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145</v>
      </c>
      <c r="B41" s="135">
        <v>0</v>
      </c>
      <c r="C41" s="33">
        <f t="shared" si="3"/>
        <v>0</v>
      </c>
      <c r="E41" s="55" t="s">
        <v>90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146</v>
      </c>
      <c r="B42" s="135">
        <v>0</v>
      </c>
      <c r="C42" s="33">
        <f t="shared" si="3"/>
        <v>0</v>
      </c>
      <c r="E42" s="55" t="s">
        <v>91</v>
      </c>
      <c r="F42" s="52" t="s">
        <v>54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147</v>
      </c>
      <c r="B43" s="135">
        <v>0</v>
      </c>
      <c r="C43" s="33">
        <f t="shared" si="3"/>
        <v>0</v>
      </c>
      <c r="E43" s="55" t="s">
        <v>92</v>
      </c>
      <c r="F43" s="52" t="s">
        <v>192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148</v>
      </c>
      <c r="B44" s="135">
        <v>0</v>
      </c>
      <c r="C44" s="33">
        <f t="shared" si="3"/>
        <v>0</v>
      </c>
      <c r="E44" s="55" t="s">
        <v>93</v>
      </c>
      <c r="F44" s="52" t="s">
        <v>193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149</v>
      </c>
      <c r="B45" s="135">
        <v>0</v>
      </c>
      <c r="C45" s="33">
        <f t="shared" si="3"/>
        <v>0</v>
      </c>
      <c r="E45" s="56" t="s">
        <v>94</v>
      </c>
      <c r="F45" s="53" t="s">
        <v>194</v>
      </c>
      <c r="G45" s="42">
        <v>0</v>
      </c>
      <c r="H45" s="119">
        <f>IF(B$17=0,0,G45/B$17)</f>
        <v>0</v>
      </c>
      <c r="I45" s="81">
        <v>1</v>
      </c>
    </row>
    <row r="46" spans="1:9">
      <c r="A46" s="47" t="s">
        <v>150</v>
      </c>
      <c r="B46" s="135">
        <v>0</v>
      </c>
      <c r="C46" s="33">
        <f t="shared" si="3"/>
        <v>0</v>
      </c>
    </row>
    <row r="47" spans="1:9">
      <c r="A47" s="49" t="s">
        <v>151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2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EF8319-B0B2-4EA7-9939-84559992C4AA}">
  <sheetPr codeName="Sheet14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13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85" customWidth="1"/>
    <col min="13" max="13" width="3.59765625" style="27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27"/>
  </cols>
  <sheetData>
    <row r="1" spans="1:17">
      <c r="A1" s="45" t="s">
        <v>0</v>
      </c>
      <c r="B1" s="146" t="s">
        <v>182</v>
      </c>
      <c r="C1" s="147"/>
      <c r="E1" s="114" t="s">
        <v>133</v>
      </c>
      <c r="F1" s="133" t="s">
        <v>95</v>
      </c>
      <c r="G1" s="132" t="s">
        <v>96</v>
      </c>
      <c r="H1" s="115" t="s">
        <v>97</v>
      </c>
      <c r="I1" s="133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48">
        <v>2</v>
      </c>
      <c r="C2" s="149"/>
      <c r="E2" s="54" t="s">
        <v>186</v>
      </c>
      <c r="F2" s="51" t="s">
        <v>160</v>
      </c>
      <c r="G2" s="39">
        <v>3</v>
      </c>
      <c r="H2" s="117">
        <f>IF(B$17=0,0,G2/B$17)</f>
        <v>0.75</v>
      </c>
      <c r="I2" s="79">
        <v>3</v>
      </c>
      <c r="K2" s="30">
        <v>0</v>
      </c>
      <c r="L2" s="84">
        <v>0</v>
      </c>
      <c r="N2" s="99" t="s">
        <v>107</v>
      </c>
      <c r="O2" s="106">
        <f t="shared" ref="O2:O9" si="0">IF(P2=0,0,Q2/P2)</f>
        <v>4450</v>
      </c>
      <c r="P2" s="103">
        <v>2</v>
      </c>
      <c r="Q2" s="87">
        <v>8900</v>
      </c>
    </row>
    <row r="3" spans="1:17">
      <c r="A3" s="47" t="s">
        <v>8</v>
      </c>
      <c r="B3" s="150">
        <v>19</v>
      </c>
      <c r="C3" s="151"/>
      <c r="E3" s="55" t="s">
        <v>55</v>
      </c>
      <c r="F3" s="52" t="s">
        <v>20</v>
      </c>
      <c r="G3" s="40">
        <v>1</v>
      </c>
      <c r="H3" s="118">
        <f>IF(B$17=0,0,G3/B$17)</f>
        <v>0.25</v>
      </c>
      <c r="I3" s="80">
        <v>12</v>
      </c>
      <c r="K3" s="32">
        <v>1</v>
      </c>
      <c r="L3" s="85">
        <v>62.5</v>
      </c>
      <c r="N3" s="100" t="s">
        <v>108</v>
      </c>
      <c r="O3" s="107">
        <f t="shared" si="0"/>
        <v>-1300</v>
      </c>
      <c r="P3" s="104">
        <v>2</v>
      </c>
      <c r="Q3" s="88">
        <v>-2600</v>
      </c>
    </row>
    <row r="4" spans="1:17">
      <c r="A4" s="47" t="s">
        <v>6</v>
      </c>
      <c r="B4" s="152">
        <v>3.8999999999999986</v>
      </c>
      <c r="C4" s="153"/>
      <c r="E4" s="55" t="s">
        <v>56</v>
      </c>
      <c r="F4" s="52" t="s">
        <v>159</v>
      </c>
      <c r="G4" s="40">
        <v>1</v>
      </c>
      <c r="H4" s="118">
        <f>IF(B$17=0,0,G4/B$17)</f>
        <v>0.25</v>
      </c>
      <c r="I4" s="80">
        <v>8</v>
      </c>
      <c r="K4" s="32">
        <v>2</v>
      </c>
      <c r="L4" s="85">
        <v>3.8999999999999986</v>
      </c>
      <c r="N4" s="100" t="s">
        <v>109</v>
      </c>
      <c r="O4" s="107">
        <f t="shared" si="0"/>
        <v>-2450</v>
      </c>
      <c r="P4" s="104">
        <v>2</v>
      </c>
      <c r="Q4" s="88">
        <v>-4900</v>
      </c>
    </row>
    <row r="5" spans="1:17">
      <c r="A5" s="47" t="s">
        <v>7</v>
      </c>
      <c r="B5" s="154">
        <f>IF(B$2=0,0,B$4/B$2)</f>
        <v>1.9499999999999993</v>
      </c>
      <c r="C5" s="155"/>
      <c r="E5" s="55" t="s">
        <v>57</v>
      </c>
      <c r="F5" s="52" t="s">
        <v>190</v>
      </c>
      <c r="G5" s="40">
        <v>1</v>
      </c>
      <c r="H5" s="118">
        <f>IF(B$17=0,0,G5/B$17)</f>
        <v>0.25</v>
      </c>
      <c r="I5" s="80">
        <v>8</v>
      </c>
      <c r="N5" s="100" t="s">
        <v>161</v>
      </c>
      <c r="O5" s="107">
        <f>IF(P5=0,0,Q5/P5)</f>
        <v>-4500</v>
      </c>
      <c r="P5" s="104">
        <v>2</v>
      </c>
      <c r="Q5" s="88">
        <v>-9000</v>
      </c>
    </row>
    <row r="6" spans="1:17">
      <c r="A6" s="47" t="s">
        <v>1</v>
      </c>
      <c r="B6" s="156">
        <f>IF(B$2=0,0,(B$7*1+B$8*2+B$9*3+B$10*4)/B$2)</f>
        <v>2.5</v>
      </c>
      <c r="C6" s="157"/>
      <c r="E6" s="55" t="s">
        <v>58</v>
      </c>
      <c r="F6" s="52" t="s">
        <v>21</v>
      </c>
      <c r="G6" s="40">
        <v>1</v>
      </c>
      <c r="H6" s="118">
        <f>IF(B$17=0,0,G6/B$17)</f>
        <v>0.25</v>
      </c>
      <c r="I6" s="80">
        <v>7</v>
      </c>
      <c r="N6" s="100" t="s">
        <v>110</v>
      </c>
      <c r="O6" s="107">
        <f t="shared" ref="O6" si="1">IF(P6=0,0,Q6/P6)</f>
        <v>0</v>
      </c>
      <c r="P6" s="104">
        <v>2</v>
      </c>
      <c r="Q6" s="88">
        <v>0</v>
      </c>
    </row>
    <row r="7" spans="1:17">
      <c r="A7" s="47" t="s">
        <v>2</v>
      </c>
      <c r="B7" s="40">
        <v>1</v>
      </c>
      <c r="C7" s="33">
        <f t="shared" ref="C7:C12" si="2">IF(B$2=0,0,B7/B$2)</f>
        <v>0.5</v>
      </c>
      <c r="E7" s="55" t="s">
        <v>60</v>
      </c>
      <c r="F7" s="52" t="s">
        <v>23</v>
      </c>
      <c r="G7" s="40">
        <v>1</v>
      </c>
      <c r="H7" s="118">
        <f>IF(B$17=0,0,G7/B$17)</f>
        <v>0.25</v>
      </c>
      <c r="I7" s="80">
        <v>1</v>
      </c>
      <c r="N7" s="100" t="s">
        <v>111</v>
      </c>
      <c r="O7" s="107">
        <f t="shared" si="0"/>
        <v>-2500</v>
      </c>
      <c r="P7" s="104">
        <v>2</v>
      </c>
      <c r="Q7" s="88">
        <v>-5000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61</v>
      </c>
      <c r="F8" s="52" t="s">
        <v>24</v>
      </c>
      <c r="G8" s="40">
        <v>1</v>
      </c>
      <c r="H8" s="118">
        <f>IF(B$17=0,0,G8/B$17)</f>
        <v>0.25</v>
      </c>
      <c r="I8" s="80">
        <v>10</v>
      </c>
      <c r="N8" s="100" t="s">
        <v>112</v>
      </c>
      <c r="O8" s="107">
        <f t="shared" si="0"/>
        <v>3500</v>
      </c>
      <c r="P8" s="104">
        <v>2</v>
      </c>
      <c r="Q8" s="88">
        <v>7000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70</v>
      </c>
      <c r="F9" s="52" t="s">
        <v>33</v>
      </c>
      <c r="G9" s="40">
        <v>1</v>
      </c>
      <c r="H9" s="118">
        <f>IF(B$17=0,0,G9/B$17)</f>
        <v>0.25</v>
      </c>
      <c r="I9" s="80">
        <v>1</v>
      </c>
      <c r="N9" s="101" t="s">
        <v>162</v>
      </c>
      <c r="O9" s="108">
        <f t="shared" si="0"/>
        <v>-500</v>
      </c>
      <c r="P9" s="105">
        <v>1</v>
      </c>
      <c r="Q9" s="89">
        <v>-500</v>
      </c>
    </row>
    <row r="10" spans="1:17">
      <c r="A10" s="48" t="s">
        <v>156</v>
      </c>
      <c r="B10" s="41">
        <v>1</v>
      </c>
      <c r="C10" s="34">
        <f>IF(B$2=0,0,B10/B$2)</f>
        <v>0.5</v>
      </c>
      <c r="E10" s="55" t="s">
        <v>189</v>
      </c>
      <c r="F10" s="52" t="s">
        <v>195</v>
      </c>
      <c r="G10" s="40">
        <v>1</v>
      </c>
      <c r="H10" s="118">
        <f>IF(B$17=0,0,G10/B$17)</f>
        <v>0.25</v>
      </c>
      <c r="I10" s="80">
        <v>9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1</v>
      </c>
      <c r="C11" s="34">
        <f>IF(B$2=0,0,B11/B$2)</f>
        <v>0.5</v>
      </c>
      <c r="E11" s="55" t="s">
        <v>187</v>
      </c>
      <c r="F11" s="52" t="s">
        <v>19</v>
      </c>
      <c r="G11" s="40">
        <v>0</v>
      </c>
      <c r="H11" s="118">
        <f>IF(B$17=0,0,G11/B$17)</f>
        <v>0</v>
      </c>
      <c r="I11" s="80">
        <v>9</v>
      </c>
      <c r="N11" s="98" t="s">
        <v>175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59</v>
      </c>
      <c r="F12" s="52" t="s">
        <v>22</v>
      </c>
      <c r="G12" s="40">
        <v>0</v>
      </c>
      <c r="H12" s="118">
        <f>IF(B$17=0,0,G12/B$17)</f>
        <v>0</v>
      </c>
      <c r="I12" s="80">
        <v>6</v>
      </c>
      <c r="N12" s="99" t="s">
        <v>130</v>
      </c>
      <c r="O12" s="109">
        <f>IF(P12=0,0,Q12/P12)</f>
        <v>62.5</v>
      </c>
      <c r="P12" s="103">
        <v>1</v>
      </c>
      <c r="Q12" s="91">
        <v>62.5</v>
      </c>
    </row>
    <row r="13" spans="1:17">
      <c r="A13" s="50" t="s">
        <v>101</v>
      </c>
      <c r="B13" s="43">
        <v>4</v>
      </c>
      <c r="C13" s="38">
        <f>IF(B$3=0,0,B13/B$3)</f>
        <v>0.21052631578947367</v>
      </c>
      <c r="E13" s="55" t="s">
        <v>62</v>
      </c>
      <c r="F13" s="52" t="s">
        <v>25</v>
      </c>
      <c r="G13" s="40">
        <v>0</v>
      </c>
      <c r="H13" s="118">
        <f>IF(B$17=0,0,G13/B$17)</f>
        <v>0</v>
      </c>
      <c r="I13" s="80">
        <v>1</v>
      </c>
      <c r="N13" s="100" t="s">
        <v>131</v>
      </c>
      <c r="O13" s="110">
        <f>IF(P13=0,0,Q13/P13)</f>
        <v>-58.6</v>
      </c>
      <c r="P13" s="104">
        <v>1</v>
      </c>
      <c r="Q13" s="92">
        <v>-58.6</v>
      </c>
    </row>
    <row r="14" spans="1:17">
      <c r="A14" s="47" t="s">
        <v>98</v>
      </c>
      <c r="B14" s="40">
        <v>3</v>
      </c>
      <c r="C14" s="33">
        <f>IF(B$3=0,0,B14/B$3)</f>
        <v>0.15789473684210525</v>
      </c>
      <c r="E14" s="55" t="s">
        <v>63</v>
      </c>
      <c r="F14" s="52" t="s">
        <v>26</v>
      </c>
      <c r="G14" s="40">
        <v>0</v>
      </c>
      <c r="H14" s="118">
        <f>IF(B$17=0,0,G14/B$17)</f>
        <v>0</v>
      </c>
      <c r="I14" s="80">
        <v>1</v>
      </c>
      <c r="N14" s="100" t="s">
        <v>132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103</v>
      </c>
      <c r="B15" s="39">
        <f>B21</f>
        <v>3</v>
      </c>
      <c r="C15" s="31">
        <f>IF(B$13=0,0,B15/B$13)</f>
        <v>0.75</v>
      </c>
      <c r="E15" s="55" t="s">
        <v>64</v>
      </c>
      <c r="F15" s="52" t="s">
        <v>27</v>
      </c>
      <c r="G15" s="40">
        <v>0</v>
      </c>
      <c r="H15" s="118">
        <f>IF(B$17=0,0,G15/B$17)</f>
        <v>0</v>
      </c>
      <c r="I15" s="80">
        <v>1</v>
      </c>
      <c r="N15" s="101" t="s">
        <v>163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104</v>
      </c>
      <c r="B16" s="39">
        <f>B22</f>
        <v>1</v>
      </c>
      <c r="C16" s="31">
        <f>IF(B$14=0,0,B16/B$14)</f>
        <v>0.33333333333333331</v>
      </c>
      <c r="E16" s="55" t="s">
        <v>65</v>
      </c>
      <c r="F16" s="52" t="s">
        <v>28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4</v>
      </c>
      <c r="C17" s="31">
        <f>IF(B$3=0,0,B17/B$3)</f>
        <v>0.21052631578947367</v>
      </c>
      <c r="E17" s="55" t="s">
        <v>66</v>
      </c>
      <c r="F17" s="52" t="s">
        <v>29</v>
      </c>
      <c r="G17" s="40">
        <v>0</v>
      </c>
      <c r="H17" s="118">
        <f>IF(B$17=0,0,G17/B$17)</f>
        <v>0</v>
      </c>
      <c r="I17" s="80">
        <v>1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2</v>
      </c>
      <c r="C18" s="33">
        <f>IF(B$3=0,0,B18/B$3)</f>
        <v>0.10526315789473684</v>
      </c>
      <c r="E18" s="55" t="s">
        <v>67</v>
      </c>
      <c r="F18" s="52" t="s">
        <v>30</v>
      </c>
      <c r="G18" s="40">
        <v>0</v>
      </c>
      <c r="H18" s="118">
        <f>IF(B$17=0,0,G18/B$17)</f>
        <v>0</v>
      </c>
      <c r="I18" s="80">
        <v>1</v>
      </c>
      <c r="N18" s="99" t="s">
        <v>165</v>
      </c>
      <c r="O18" s="109">
        <f>IF(P18=0,0,Q18/P18)</f>
        <v>126.8</v>
      </c>
      <c r="P18" s="103">
        <v>1</v>
      </c>
      <c r="Q18" s="91">
        <v>126.8</v>
      </c>
    </row>
    <row r="19" spans="1:17">
      <c r="A19" s="47" t="s">
        <v>12</v>
      </c>
      <c r="B19" s="40">
        <v>1</v>
      </c>
      <c r="C19" s="33">
        <f>IF(B$17=0,0,B19/B$17)</f>
        <v>0.25</v>
      </c>
      <c r="E19" s="55" t="s">
        <v>68</v>
      </c>
      <c r="F19" s="52" t="s">
        <v>31</v>
      </c>
      <c r="G19" s="40">
        <v>0</v>
      </c>
      <c r="H19" s="118">
        <f>IF(B$17=0,0,G19/B$17)</f>
        <v>0</v>
      </c>
      <c r="I19" s="80">
        <v>3</v>
      </c>
      <c r="N19" s="100" t="s">
        <v>168</v>
      </c>
      <c r="O19" s="110">
        <f>IF(P19=0,0,Q19/P19)</f>
        <v>75.5</v>
      </c>
      <c r="P19" s="104">
        <v>1</v>
      </c>
      <c r="Q19" s="92">
        <v>75.5</v>
      </c>
    </row>
    <row r="20" spans="1:17">
      <c r="A20" s="47" t="s">
        <v>11</v>
      </c>
      <c r="B20" s="40">
        <v>3</v>
      </c>
      <c r="C20" s="33">
        <f>IF(B$17=0,0,B20/B$17)</f>
        <v>0.75</v>
      </c>
      <c r="E20" s="55" t="s">
        <v>188</v>
      </c>
      <c r="F20" s="52" t="s">
        <v>191</v>
      </c>
      <c r="G20" s="40">
        <v>0</v>
      </c>
      <c r="H20" s="118">
        <f>IF(B$17=0,0,G20/B$17)</f>
        <v>0</v>
      </c>
      <c r="I20" s="80">
        <v>3</v>
      </c>
      <c r="N20" s="100" t="s">
        <v>173</v>
      </c>
      <c r="O20" s="110">
        <f>IF(P20=0,0,Q20/P20)</f>
        <v>11</v>
      </c>
      <c r="P20" s="104">
        <v>2</v>
      </c>
      <c r="Q20" s="92">
        <v>22</v>
      </c>
    </row>
    <row r="21" spans="1:17">
      <c r="A21" s="47" t="s">
        <v>155</v>
      </c>
      <c r="B21" s="40">
        <v>3</v>
      </c>
      <c r="C21" s="33">
        <f>IF(B$17=0,0,B21/B$17)</f>
        <v>0.75</v>
      </c>
      <c r="E21" s="55" t="s">
        <v>69</v>
      </c>
      <c r="F21" s="52" t="s">
        <v>32</v>
      </c>
      <c r="G21" s="40">
        <v>0</v>
      </c>
      <c r="H21" s="118">
        <f>IF(B$17=0,0,G21/B$17)</f>
        <v>0</v>
      </c>
      <c r="I21" s="80">
        <v>1</v>
      </c>
      <c r="N21" s="100" t="s">
        <v>170</v>
      </c>
      <c r="O21" s="110">
        <f>IF(P21=0,0,Q21/P21)</f>
        <v>-62.300000000000004</v>
      </c>
      <c r="P21" s="104">
        <v>1</v>
      </c>
      <c r="Q21" s="92">
        <v>-62.300000000000004</v>
      </c>
    </row>
    <row r="22" spans="1:17">
      <c r="A22" s="47" t="s">
        <v>153</v>
      </c>
      <c r="B22" s="40">
        <v>1</v>
      </c>
      <c r="C22" s="33">
        <f>IF(B$17=0,0,B22/B$17)</f>
        <v>0.25</v>
      </c>
      <c r="E22" s="55" t="s">
        <v>71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166</v>
      </c>
      <c r="O22" s="110">
        <f>IF(P22=0,0,Q22/P22)</f>
        <v>-146.4</v>
      </c>
      <c r="P22" s="104">
        <v>1</v>
      </c>
      <c r="Q22" s="92">
        <v>-146.4</v>
      </c>
    </row>
    <row r="23" spans="1:17">
      <c r="A23" s="47" t="s">
        <v>154</v>
      </c>
      <c r="B23" s="40">
        <v>0</v>
      </c>
      <c r="C23" s="33">
        <f>IF(B$17=0,0,B23/B$17)</f>
        <v>0</v>
      </c>
      <c r="E23" s="55" t="s">
        <v>72</v>
      </c>
      <c r="F23" s="52" t="s">
        <v>35</v>
      </c>
      <c r="G23" s="40">
        <v>0</v>
      </c>
      <c r="H23" s="118">
        <f>IF(B$17=0,0,G23/B$17)</f>
        <v>0</v>
      </c>
      <c r="I23" s="80">
        <v>3</v>
      </c>
    </row>
    <row r="24" spans="1:17">
      <c r="A24" s="47" t="s">
        <v>5</v>
      </c>
      <c r="B24" s="44">
        <f>IF(B$17=0,0,C24/B$17)</f>
        <v>5900</v>
      </c>
      <c r="C24" s="35">
        <v>23600</v>
      </c>
      <c r="E24" s="55" t="s">
        <v>73</v>
      </c>
      <c r="F24" s="52" t="s">
        <v>36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137</v>
      </c>
      <c r="B25" s="121">
        <f>IF($B$17-B$16=0,0,C25/($B$17-B$16))</f>
        <v>7533.333333333333</v>
      </c>
      <c r="C25" s="122">
        <v>22600</v>
      </c>
      <c r="E25" s="55" t="s">
        <v>74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138</v>
      </c>
      <c r="B26" s="121">
        <f>IF(B$16=0,0,C26/B$16)</f>
        <v>1000</v>
      </c>
      <c r="C26" s="122">
        <v>1000</v>
      </c>
      <c r="E26" s="55" t="s">
        <v>75</v>
      </c>
      <c r="F26" s="52" t="s">
        <v>38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136</v>
      </c>
      <c r="B27" s="121">
        <f>IF(B$18=0,0,C27/B$18)</f>
        <v>-5950</v>
      </c>
      <c r="C27" s="122">
        <v>-11900</v>
      </c>
      <c r="E27" s="55" t="s">
        <v>76</v>
      </c>
      <c r="F27" s="52" t="s">
        <v>39</v>
      </c>
      <c r="G27" s="40">
        <v>0</v>
      </c>
      <c r="H27" s="118">
        <f>IF(B$17=0,0,G27/B$17)</f>
        <v>0</v>
      </c>
      <c r="I27" s="80">
        <v>1</v>
      </c>
    </row>
    <row r="28" spans="1:17">
      <c r="A28" s="47" t="s">
        <v>134</v>
      </c>
      <c r="B28" s="40">
        <v>2</v>
      </c>
      <c r="C28" s="120">
        <v>0</v>
      </c>
      <c r="E28" s="55" t="s">
        <v>77</v>
      </c>
      <c r="F28" s="52" t="s">
        <v>40</v>
      </c>
      <c r="G28" s="40">
        <v>0</v>
      </c>
      <c r="H28" s="118">
        <f>IF(B$17=0,0,G28/B$17)</f>
        <v>0</v>
      </c>
      <c r="I28" s="80">
        <v>1</v>
      </c>
    </row>
    <row r="29" spans="1:17">
      <c r="A29" s="47" t="s">
        <v>135</v>
      </c>
      <c r="B29" s="40">
        <v>9</v>
      </c>
      <c r="C29" s="120">
        <v>4</v>
      </c>
      <c r="E29" s="55" t="s">
        <v>78</v>
      </c>
      <c r="F29" s="52" t="s">
        <v>41</v>
      </c>
      <c r="G29" s="40">
        <v>0</v>
      </c>
      <c r="H29" s="118">
        <f>IF(B$17=0,0,G29/B$17)</f>
        <v>0</v>
      </c>
      <c r="I29" s="80">
        <v>1</v>
      </c>
    </row>
    <row r="30" spans="1:17">
      <c r="A30" s="76" t="s">
        <v>115</v>
      </c>
      <c r="B30" s="142">
        <v>2</v>
      </c>
      <c r="C30" s="143"/>
      <c r="E30" s="55" t="s">
        <v>79</v>
      </c>
      <c r="F30" s="52" t="s">
        <v>42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152</v>
      </c>
      <c r="B31" s="144">
        <v>42500</v>
      </c>
      <c r="C31" s="145"/>
      <c r="E31" s="55" t="s">
        <v>80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116</v>
      </c>
      <c r="B32" s="57">
        <v>0</v>
      </c>
      <c r="C32" s="36">
        <f>IF(B$3=0,0,B32/B$3)</f>
        <v>0</v>
      </c>
      <c r="E32" s="55" t="s">
        <v>81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176</v>
      </c>
      <c r="B34" s="130" t="s">
        <v>96</v>
      </c>
      <c r="C34" s="131" t="s">
        <v>97</v>
      </c>
      <c r="E34" s="55" t="s">
        <v>83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143</v>
      </c>
      <c r="B35" s="134">
        <v>1</v>
      </c>
      <c r="C35" s="126">
        <f t="shared" ref="C35:C47" si="3">IF(B$17=0,0,B35/B$17)</f>
        <v>0.25</v>
      </c>
      <c r="E35" s="55" t="s">
        <v>84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139</v>
      </c>
      <c r="B36" s="40">
        <v>1</v>
      </c>
      <c r="C36" s="33">
        <f t="shared" si="3"/>
        <v>0.25</v>
      </c>
      <c r="E36" s="55" t="s">
        <v>85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140</v>
      </c>
      <c r="B37" s="135">
        <v>0</v>
      </c>
      <c r="C37" s="33">
        <f t="shared" si="3"/>
        <v>0</v>
      </c>
      <c r="E37" s="55" t="s">
        <v>86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141</v>
      </c>
      <c r="B38" s="135">
        <v>1</v>
      </c>
      <c r="C38" s="33">
        <f t="shared" si="3"/>
        <v>0.25</v>
      </c>
      <c r="E38" s="55" t="s">
        <v>87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142</v>
      </c>
      <c r="B39" s="135">
        <v>1</v>
      </c>
      <c r="C39" s="33">
        <f t="shared" si="3"/>
        <v>0.25</v>
      </c>
      <c r="E39" s="55" t="s">
        <v>88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144</v>
      </c>
      <c r="B40" s="135">
        <v>0</v>
      </c>
      <c r="C40" s="33">
        <f t="shared" si="3"/>
        <v>0</v>
      </c>
      <c r="E40" s="55" t="s">
        <v>89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145</v>
      </c>
      <c r="B41" s="135">
        <v>0</v>
      </c>
      <c r="C41" s="33">
        <f t="shared" si="3"/>
        <v>0</v>
      </c>
      <c r="E41" s="55" t="s">
        <v>90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146</v>
      </c>
      <c r="B42" s="135">
        <v>0</v>
      </c>
      <c r="C42" s="33">
        <f t="shared" si="3"/>
        <v>0</v>
      </c>
      <c r="E42" s="55" t="s">
        <v>91</v>
      </c>
      <c r="F42" s="52" t="s">
        <v>54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147</v>
      </c>
      <c r="B43" s="135">
        <v>0</v>
      </c>
      <c r="C43" s="33">
        <f t="shared" si="3"/>
        <v>0</v>
      </c>
      <c r="E43" s="55" t="s">
        <v>92</v>
      </c>
      <c r="F43" s="52" t="s">
        <v>192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148</v>
      </c>
      <c r="B44" s="135">
        <v>0</v>
      </c>
      <c r="C44" s="33">
        <f t="shared" si="3"/>
        <v>0</v>
      </c>
      <c r="E44" s="55" t="s">
        <v>93</v>
      </c>
      <c r="F44" s="52" t="s">
        <v>193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149</v>
      </c>
      <c r="B45" s="135">
        <v>0</v>
      </c>
      <c r="C45" s="33">
        <f t="shared" si="3"/>
        <v>0</v>
      </c>
      <c r="E45" s="56" t="s">
        <v>94</v>
      </c>
      <c r="F45" s="53" t="s">
        <v>194</v>
      </c>
      <c r="G45" s="42">
        <v>0</v>
      </c>
      <c r="H45" s="119">
        <f>IF(B$17=0,0,G45/B$17)</f>
        <v>0</v>
      </c>
      <c r="I45" s="81">
        <v>1</v>
      </c>
    </row>
    <row r="46" spans="1:9">
      <c r="A46" s="47" t="s">
        <v>150</v>
      </c>
      <c r="B46" s="135">
        <v>0</v>
      </c>
      <c r="C46" s="33">
        <f t="shared" si="3"/>
        <v>0</v>
      </c>
    </row>
    <row r="47" spans="1:9">
      <c r="A47" s="49" t="s">
        <v>151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2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A7DB2-9E78-44FC-9BF2-00BC9BA38315}">
  <sheetPr codeName="Sheet15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13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85" customWidth="1"/>
    <col min="13" max="13" width="3.59765625" style="27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27"/>
  </cols>
  <sheetData>
    <row r="1" spans="1:17">
      <c r="A1" s="45" t="s">
        <v>0</v>
      </c>
      <c r="B1" s="146" t="s">
        <v>185</v>
      </c>
      <c r="C1" s="147"/>
      <c r="E1" s="114" t="s">
        <v>133</v>
      </c>
      <c r="F1" s="133" t="s">
        <v>95</v>
      </c>
      <c r="G1" s="132" t="s">
        <v>96</v>
      </c>
      <c r="H1" s="115" t="s">
        <v>97</v>
      </c>
      <c r="I1" s="133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48">
        <v>1</v>
      </c>
      <c r="C2" s="149"/>
      <c r="E2" s="54" t="s">
        <v>186</v>
      </c>
      <c r="F2" s="51" t="s">
        <v>160</v>
      </c>
      <c r="G2" s="39">
        <v>0</v>
      </c>
      <c r="H2" s="117">
        <f>IF(B$17=0,0,G2/B$17)</f>
        <v>0</v>
      </c>
      <c r="I2" s="79">
        <v>13</v>
      </c>
      <c r="K2" s="30">
        <v>0</v>
      </c>
      <c r="L2" s="84">
        <v>0</v>
      </c>
      <c r="N2" s="99" t="s">
        <v>107</v>
      </c>
      <c r="O2" s="106">
        <f t="shared" ref="O2:O9" si="0">IF(P2=0,0,Q2/P2)</f>
        <v>-1500</v>
      </c>
      <c r="P2" s="103">
        <v>1</v>
      </c>
      <c r="Q2" s="87">
        <v>-1500</v>
      </c>
    </row>
    <row r="3" spans="1:17">
      <c r="A3" s="47" t="s">
        <v>8</v>
      </c>
      <c r="B3" s="150">
        <v>7</v>
      </c>
      <c r="C3" s="151"/>
      <c r="E3" s="55" t="s">
        <v>187</v>
      </c>
      <c r="F3" s="52" t="s">
        <v>19</v>
      </c>
      <c r="G3" s="40">
        <v>0</v>
      </c>
      <c r="H3" s="118">
        <f>IF(B$17=0,0,G3/B$17)</f>
        <v>0</v>
      </c>
      <c r="I3" s="80">
        <v>9</v>
      </c>
      <c r="K3" s="32">
        <v>1</v>
      </c>
      <c r="L3" s="85">
        <v>-52.6</v>
      </c>
      <c r="N3" s="100" t="s">
        <v>108</v>
      </c>
      <c r="O3" s="107">
        <f t="shared" si="0"/>
        <v>-8600</v>
      </c>
      <c r="P3" s="104">
        <v>1</v>
      </c>
      <c r="Q3" s="88">
        <v>-8600</v>
      </c>
    </row>
    <row r="4" spans="1:17">
      <c r="A4" s="47" t="s">
        <v>6</v>
      </c>
      <c r="B4" s="152">
        <v>-52.6</v>
      </c>
      <c r="C4" s="153"/>
      <c r="E4" s="55" t="s">
        <v>55</v>
      </c>
      <c r="F4" s="52" t="s">
        <v>20</v>
      </c>
      <c r="G4" s="40">
        <v>0</v>
      </c>
      <c r="H4" s="118">
        <f>IF(B$17=0,0,G4/B$17)</f>
        <v>0</v>
      </c>
      <c r="I4" s="80">
        <v>13</v>
      </c>
      <c r="N4" s="100" t="s">
        <v>109</v>
      </c>
      <c r="O4" s="107">
        <f t="shared" si="0"/>
        <v>0</v>
      </c>
      <c r="P4" s="104">
        <v>1</v>
      </c>
      <c r="Q4" s="88">
        <v>0</v>
      </c>
    </row>
    <row r="5" spans="1:17">
      <c r="A5" s="47" t="s">
        <v>7</v>
      </c>
      <c r="B5" s="154">
        <f>IF(B$2=0,0,B$4/B$2)</f>
        <v>-52.6</v>
      </c>
      <c r="C5" s="155"/>
      <c r="E5" s="55" t="s">
        <v>56</v>
      </c>
      <c r="F5" s="52" t="s">
        <v>159</v>
      </c>
      <c r="G5" s="40">
        <v>0</v>
      </c>
      <c r="H5" s="118">
        <f>IF(B$17=0,0,G5/B$17)</f>
        <v>0</v>
      </c>
      <c r="I5" s="80">
        <v>11</v>
      </c>
      <c r="N5" s="100" t="s">
        <v>161</v>
      </c>
      <c r="O5" s="107">
        <f>IF(P5=0,0,Q5/P5)</f>
        <v>-5200</v>
      </c>
      <c r="P5" s="104">
        <v>1</v>
      </c>
      <c r="Q5" s="88">
        <v>-5200</v>
      </c>
    </row>
    <row r="6" spans="1:17">
      <c r="A6" s="47" t="s">
        <v>1</v>
      </c>
      <c r="B6" s="156">
        <f>IF(B$2=0,0,(B$7*1+B$8*2+B$9*3+B$10*4)/B$2)</f>
        <v>4</v>
      </c>
      <c r="C6" s="157"/>
      <c r="E6" s="55" t="s">
        <v>57</v>
      </c>
      <c r="F6" s="52" t="s">
        <v>190</v>
      </c>
      <c r="G6" s="40">
        <v>0</v>
      </c>
      <c r="H6" s="118">
        <f>IF(B$17=0,0,G6/B$17)</f>
        <v>0</v>
      </c>
      <c r="I6" s="80">
        <v>13</v>
      </c>
      <c r="N6" s="100" t="s">
        <v>110</v>
      </c>
      <c r="O6" s="107">
        <f t="shared" ref="O6" si="1">IF(P6=0,0,Q6/P6)</f>
        <v>-2000</v>
      </c>
      <c r="P6" s="104">
        <v>1</v>
      </c>
      <c r="Q6" s="88">
        <v>-2000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58</v>
      </c>
      <c r="F7" s="52" t="s">
        <v>21</v>
      </c>
      <c r="G7" s="40">
        <v>0</v>
      </c>
      <c r="H7" s="118">
        <f>IF(B$17=0,0,G7/B$17)</f>
        <v>0</v>
      </c>
      <c r="I7" s="80">
        <v>12</v>
      </c>
      <c r="N7" s="100" t="s">
        <v>111</v>
      </c>
      <c r="O7" s="107">
        <f t="shared" si="0"/>
        <v>-300</v>
      </c>
      <c r="P7" s="104">
        <v>1</v>
      </c>
      <c r="Q7" s="88">
        <v>-300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59</v>
      </c>
      <c r="F8" s="52" t="s">
        <v>22</v>
      </c>
      <c r="G8" s="40">
        <v>0</v>
      </c>
      <c r="H8" s="118">
        <f>IF(B$17=0,0,G8/B$17)</f>
        <v>0</v>
      </c>
      <c r="I8" s="80">
        <v>6</v>
      </c>
      <c r="N8" s="100" t="s">
        <v>112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60</v>
      </c>
      <c r="F9" s="52" t="s">
        <v>23</v>
      </c>
      <c r="G9" s="40">
        <v>0</v>
      </c>
      <c r="H9" s="118">
        <f>IF(B$17=0,0,G9/B$17)</f>
        <v>0</v>
      </c>
      <c r="I9" s="80">
        <v>7</v>
      </c>
      <c r="N9" s="101" t="s">
        <v>162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156</v>
      </c>
      <c r="B10" s="41">
        <v>1</v>
      </c>
      <c r="C10" s="34">
        <f>IF(B$2=0,0,B10/B$2)</f>
        <v>1</v>
      </c>
      <c r="E10" s="55" t="s">
        <v>61</v>
      </c>
      <c r="F10" s="52" t="s">
        <v>24</v>
      </c>
      <c r="G10" s="40">
        <v>0</v>
      </c>
      <c r="H10" s="118">
        <f>IF(B$17=0,0,G10/B$17)</f>
        <v>0</v>
      </c>
      <c r="I10" s="80">
        <v>12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0</v>
      </c>
      <c r="C11" s="34">
        <f>IF(B$2=0,0,B11/B$2)</f>
        <v>0</v>
      </c>
      <c r="E11" s="55" t="s">
        <v>62</v>
      </c>
      <c r="F11" s="52" t="s">
        <v>25</v>
      </c>
      <c r="G11" s="40">
        <v>0</v>
      </c>
      <c r="H11" s="118">
        <f>IF(B$17=0,0,G11/B$17)</f>
        <v>0</v>
      </c>
      <c r="I11" s="80">
        <v>1</v>
      </c>
      <c r="N11" s="98" t="s">
        <v>175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63</v>
      </c>
      <c r="F12" s="52" t="s">
        <v>26</v>
      </c>
      <c r="G12" s="40">
        <v>0</v>
      </c>
      <c r="H12" s="118">
        <f>IF(B$17=0,0,G12/B$17)</f>
        <v>0</v>
      </c>
      <c r="I12" s="80">
        <v>1</v>
      </c>
      <c r="N12" s="99" t="s">
        <v>130</v>
      </c>
      <c r="O12" s="109">
        <f>IF(P12=0,0,Q12/P12)</f>
        <v>-52.6</v>
      </c>
      <c r="P12" s="103">
        <v>1</v>
      </c>
      <c r="Q12" s="91">
        <v>-52.6</v>
      </c>
    </row>
    <row r="13" spans="1:17">
      <c r="A13" s="50" t="s">
        <v>101</v>
      </c>
      <c r="B13" s="43">
        <v>1</v>
      </c>
      <c r="C13" s="38">
        <f>IF(B$3=0,0,B13/B$3)</f>
        <v>0.14285714285714285</v>
      </c>
      <c r="E13" s="55" t="s">
        <v>64</v>
      </c>
      <c r="F13" s="52" t="s">
        <v>27</v>
      </c>
      <c r="G13" s="40">
        <v>0</v>
      </c>
      <c r="H13" s="118">
        <f>IF(B$17=0,0,G13/B$17)</f>
        <v>0</v>
      </c>
      <c r="I13" s="80">
        <v>1</v>
      </c>
      <c r="N13" s="100" t="s">
        <v>131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98</v>
      </c>
      <c r="B14" s="40">
        <v>2</v>
      </c>
      <c r="C14" s="33">
        <f>IF(B$3=0,0,B14/B$3)</f>
        <v>0.2857142857142857</v>
      </c>
      <c r="E14" s="55" t="s">
        <v>65</v>
      </c>
      <c r="F14" s="52" t="s">
        <v>28</v>
      </c>
      <c r="G14" s="40">
        <v>0</v>
      </c>
      <c r="H14" s="118">
        <f>IF(B$17=0,0,G14/B$17)</f>
        <v>0</v>
      </c>
      <c r="I14" s="80">
        <v>1</v>
      </c>
      <c r="N14" s="100" t="s">
        <v>132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103</v>
      </c>
      <c r="B15" s="39">
        <f>B21</f>
        <v>0</v>
      </c>
      <c r="C15" s="31">
        <f>IF(B$13=0,0,B15/B$13)</f>
        <v>0</v>
      </c>
      <c r="E15" s="55" t="s">
        <v>66</v>
      </c>
      <c r="F15" s="52" t="s">
        <v>29</v>
      </c>
      <c r="G15" s="40">
        <v>0</v>
      </c>
      <c r="H15" s="118">
        <f>IF(B$17=0,0,G15/B$17)</f>
        <v>0</v>
      </c>
      <c r="I15" s="80">
        <v>1</v>
      </c>
      <c r="N15" s="101" t="s">
        <v>163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104</v>
      </c>
      <c r="B16" s="39">
        <f>B22</f>
        <v>0</v>
      </c>
      <c r="C16" s="31">
        <f>IF(B$14=0,0,B16/B$14)</f>
        <v>0</v>
      </c>
      <c r="E16" s="55" t="s">
        <v>67</v>
      </c>
      <c r="F16" s="52" t="s">
        <v>30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0</v>
      </c>
      <c r="C17" s="31">
        <f>IF(B$3=0,0,B17/B$3)</f>
        <v>0</v>
      </c>
      <c r="E17" s="55" t="s">
        <v>68</v>
      </c>
      <c r="F17" s="52" t="s">
        <v>31</v>
      </c>
      <c r="G17" s="40">
        <v>0</v>
      </c>
      <c r="H17" s="118">
        <f>IF(B$17=0,0,G17/B$17)</f>
        <v>0</v>
      </c>
      <c r="I17" s="80">
        <v>3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2</v>
      </c>
      <c r="C18" s="33">
        <f>IF(B$3=0,0,B18/B$3)</f>
        <v>0.2857142857142857</v>
      </c>
      <c r="E18" s="55" t="s">
        <v>188</v>
      </c>
      <c r="F18" s="52" t="s">
        <v>191</v>
      </c>
      <c r="G18" s="40">
        <v>0</v>
      </c>
      <c r="H18" s="118">
        <f>IF(B$17=0,0,G18/B$17)</f>
        <v>0</v>
      </c>
      <c r="I18" s="80">
        <v>3</v>
      </c>
      <c r="N18" s="99" t="s">
        <v>180</v>
      </c>
      <c r="O18" s="109">
        <f>IF(P18=0,0,Q18/P18)</f>
        <v>-36.799999999999997</v>
      </c>
      <c r="P18" s="103">
        <v>1</v>
      </c>
      <c r="Q18" s="91">
        <v>-36.799999999999997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69</v>
      </c>
      <c r="F19" s="52" t="s">
        <v>32</v>
      </c>
      <c r="G19" s="40">
        <v>0</v>
      </c>
      <c r="H19" s="118">
        <f>IF(B$17=0,0,G19/B$17)</f>
        <v>0</v>
      </c>
      <c r="I19" s="80">
        <v>1</v>
      </c>
      <c r="N19" s="100" t="s">
        <v>172</v>
      </c>
      <c r="O19" s="110">
        <f>IF(P19=0,0,Q19/P19)</f>
        <v>-65.8</v>
      </c>
      <c r="P19" s="104">
        <v>1</v>
      </c>
      <c r="Q19" s="92">
        <v>-65.8</v>
      </c>
    </row>
    <row r="20" spans="1:17">
      <c r="A20" s="47" t="s">
        <v>11</v>
      </c>
      <c r="B20" s="40">
        <v>0</v>
      </c>
      <c r="C20" s="33">
        <f>IF(B$17=0,0,B20/B$17)</f>
        <v>0</v>
      </c>
      <c r="E20" s="55" t="s">
        <v>70</v>
      </c>
      <c r="F20" s="52" t="s">
        <v>33</v>
      </c>
      <c r="G20" s="40">
        <v>0</v>
      </c>
      <c r="H20" s="118">
        <f>IF(B$17=0,0,G20/B$17)</f>
        <v>0</v>
      </c>
      <c r="I20" s="80">
        <v>3</v>
      </c>
      <c r="N20" s="100" t="s">
        <v>184</v>
      </c>
      <c r="O20" s="110">
        <f>IF(P20=0,0,Q20/P20)</f>
        <v>-107.80000000000001</v>
      </c>
      <c r="P20" s="104">
        <v>1</v>
      </c>
      <c r="Q20" s="92">
        <v>-107.80000000000001</v>
      </c>
    </row>
    <row r="21" spans="1:17">
      <c r="A21" s="47" t="s">
        <v>155</v>
      </c>
      <c r="B21" s="40">
        <v>0</v>
      </c>
      <c r="C21" s="33">
        <f>IF(B$17=0,0,B21/B$17)</f>
        <v>0</v>
      </c>
      <c r="E21" s="55" t="s">
        <v>71</v>
      </c>
      <c r="F21" s="52" t="s">
        <v>34</v>
      </c>
      <c r="G21" s="40">
        <v>0</v>
      </c>
      <c r="H21" s="118">
        <f>IF(B$17=0,0,G21/B$17)</f>
        <v>0</v>
      </c>
      <c r="I21" s="80">
        <v>1</v>
      </c>
    </row>
    <row r="22" spans="1:17">
      <c r="A22" s="47" t="s">
        <v>153</v>
      </c>
      <c r="B22" s="40">
        <v>0</v>
      </c>
      <c r="C22" s="33">
        <f>IF(B$17=0,0,B22/B$17)</f>
        <v>0</v>
      </c>
      <c r="E22" s="55" t="s">
        <v>72</v>
      </c>
      <c r="F22" s="52" t="s">
        <v>35</v>
      </c>
      <c r="G22" s="40">
        <v>0</v>
      </c>
      <c r="H22" s="118">
        <f>IF(B$17=0,0,G22/B$17)</f>
        <v>0</v>
      </c>
      <c r="I22" s="80">
        <v>3</v>
      </c>
    </row>
    <row r="23" spans="1:17">
      <c r="A23" s="47" t="s">
        <v>154</v>
      </c>
      <c r="B23" s="40">
        <v>0</v>
      </c>
      <c r="C23" s="33">
        <f>IF(B$17=0,0,B23/B$17)</f>
        <v>0</v>
      </c>
      <c r="E23" s="55" t="s">
        <v>73</v>
      </c>
      <c r="F23" s="52" t="s">
        <v>36</v>
      </c>
      <c r="G23" s="40">
        <v>0</v>
      </c>
      <c r="H23" s="118">
        <f>IF(B$17=0,0,G23/B$17)</f>
        <v>0</v>
      </c>
      <c r="I23" s="80">
        <v>1</v>
      </c>
    </row>
    <row r="24" spans="1:17">
      <c r="A24" s="47" t="s">
        <v>5</v>
      </c>
      <c r="B24" s="44">
        <f>IF(B$17=0,0,C24/B$17)</f>
        <v>0</v>
      </c>
      <c r="C24" s="35">
        <v>0</v>
      </c>
      <c r="E24" s="55" t="s">
        <v>74</v>
      </c>
      <c r="F24" s="52" t="s">
        <v>37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137</v>
      </c>
      <c r="B25" s="121">
        <f>IF($B$17-B$16=0,0,C25/($B$17-B$16))</f>
        <v>0</v>
      </c>
      <c r="C25" s="122">
        <v>0</v>
      </c>
      <c r="E25" s="55" t="s">
        <v>75</v>
      </c>
      <c r="F25" s="52" t="s">
        <v>38</v>
      </c>
      <c r="G25" s="40">
        <v>0</v>
      </c>
      <c r="H25" s="118">
        <f>IF(B$17=0,0,G25/B$17)</f>
        <v>0</v>
      </c>
      <c r="I25" s="80">
        <v>4</v>
      </c>
    </row>
    <row r="26" spans="1:17">
      <c r="A26" s="48" t="s">
        <v>138</v>
      </c>
      <c r="B26" s="121">
        <f>IF(B$16=0,0,C26/B$16)</f>
        <v>0</v>
      </c>
      <c r="C26" s="122">
        <v>0</v>
      </c>
      <c r="E26" s="55" t="s">
        <v>76</v>
      </c>
      <c r="F26" s="52" t="s">
        <v>39</v>
      </c>
      <c r="G26" s="40">
        <v>0</v>
      </c>
      <c r="H26" s="118">
        <f>IF(B$17=0,0,G26/B$17)</f>
        <v>0</v>
      </c>
      <c r="I26" s="80">
        <v>1</v>
      </c>
    </row>
    <row r="27" spans="1:17">
      <c r="A27" s="48" t="s">
        <v>136</v>
      </c>
      <c r="B27" s="121">
        <f>IF(B$18=0,0,C27/B$18)</f>
        <v>-6600</v>
      </c>
      <c r="C27" s="122">
        <v>-13200</v>
      </c>
      <c r="E27" s="55" t="s">
        <v>77</v>
      </c>
      <c r="F27" s="52" t="s">
        <v>40</v>
      </c>
      <c r="G27" s="40">
        <v>0</v>
      </c>
      <c r="H27" s="118">
        <f>IF(B$17=0,0,G27/B$17)</f>
        <v>0</v>
      </c>
      <c r="I27" s="80">
        <v>1</v>
      </c>
    </row>
    <row r="28" spans="1:17">
      <c r="A28" s="47" t="s">
        <v>134</v>
      </c>
      <c r="B28" s="40">
        <v>0</v>
      </c>
      <c r="C28" s="120">
        <v>0</v>
      </c>
      <c r="E28" s="55" t="s">
        <v>78</v>
      </c>
      <c r="F28" s="52" t="s">
        <v>41</v>
      </c>
      <c r="G28" s="40">
        <v>0</v>
      </c>
      <c r="H28" s="118">
        <f>IF(B$17=0,0,G28/B$17)</f>
        <v>0</v>
      </c>
      <c r="I28" s="80">
        <v>1</v>
      </c>
    </row>
    <row r="29" spans="1:17">
      <c r="A29" s="47" t="s">
        <v>135</v>
      </c>
      <c r="B29" s="40">
        <v>2</v>
      </c>
      <c r="C29" s="120">
        <v>2</v>
      </c>
      <c r="E29" s="55" t="s">
        <v>79</v>
      </c>
      <c r="F29" s="52" t="s">
        <v>42</v>
      </c>
      <c r="G29" s="40">
        <v>0</v>
      </c>
      <c r="H29" s="118">
        <f>IF(B$17=0,0,G29/B$17)</f>
        <v>0</v>
      </c>
      <c r="I29" s="80">
        <v>1</v>
      </c>
    </row>
    <row r="30" spans="1:17">
      <c r="A30" s="76" t="s">
        <v>115</v>
      </c>
      <c r="B30" s="142">
        <v>0</v>
      </c>
      <c r="C30" s="143"/>
      <c r="E30" s="55" t="s">
        <v>80</v>
      </c>
      <c r="F30" s="52" t="s">
        <v>43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152</v>
      </c>
      <c r="B31" s="144">
        <v>7400</v>
      </c>
      <c r="C31" s="145"/>
      <c r="E31" s="55" t="s">
        <v>81</v>
      </c>
      <c r="F31" s="52" t="s">
        <v>44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116</v>
      </c>
      <c r="B32" s="57">
        <v>0</v>
      </c>
      <c r="C32" s="36">
        <f>IF(B$3=0,0,B32/B$3)</f>
        <v>0</v>
      </c>
      <c r="E32" s="55" t="s">
        <v>82</v>
      </c>
      <c r="F32" s="52" t="s">
        <v>45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83</v>
      </c>
      <c r="F33" s="52" t="s">
        <v>46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176</v>
      </c>
      <c r="B34" s="130" t="s">
        <v>96</v>
      </c>
      <c r="C34" s="131" t="s">
        <v>97</v>
      </c>
      <c r="E34" s="55" t="s">
        <v>84</v>
      </c>
      <c r="F34" s="52" t="s">
        <v>47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143</v>
      </c>
      <c r="B35" s="134">
        <v>0</v>
      </c>
      <c r="C35" s="126">
        <f t="shared" ref="C35:C47" si="3">IF(B$17=0,0,B35/B$17)</f>
        <v>0</v>
      </c>
      <c r="E35" s="55" t="s">
        <v>85</v>
      </c>
      <c r="F35" s="52" t="s">
        <v>48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139</v>
      </c>
      <c r="B36" s="40">
        <v>0</v>
      </c>
      <c r="C36" s="33">
        <f t="shared" si="3"/>
        <v>0</v>
      </c>
      <c r="E36" s="55" t="s">
        <v>86</v>
      </c>
      <c r="F36" s="52" t="s">
        <v>49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140</v>
      </c>
      <c r="B37" s="135">
        <v>0</v>
      </c>
      <c r="C37" s="33">
        <f t="shared" si="3"/>
        <v>0</v>
      </c>
      <c r="E37" s="55" t="s">
        <v>87</v>
      </c>
      <c r="F37" s="52" t="s">
        <v>50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141</v>
      </c>
      <c r="B38" s="135">
        <v>0</v>
      </c>
      <c r="C38" s="33">
        <f t="shared" si="3"/>
        <v>0</v>
      </c>
      <c r="E38" s="55" t="s">
        <v>88</v>
      </c>
      <c r="F38" s="52" t="s">
        <v>51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142</v>
      </c>
      <c r="B39" s="135">
        <v>0</v>
      </c>
      <c r="C39" s="33">
        <f t="shared" si="3"/>
        <v>0</v>
      </c>
      <c r="E39" s="55" t="s">
        <v>89</v>
      </c>
      <c r="F39" s="52" t="s">
        <v>52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144</v>
      </c>
      <c r="B40" s="135">
        <v>0</v>
      </c>
      <c r="C40" s="33">
        <f t="shared" si="3"/>
        <v>0</v>
      </c>
      <c r="E40" s="55" t="s">
        <v>90</v>
      </c>
      <c r="F40" s="52" t="s">
        <v>53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145</v>
      </c>
      <c r="B41" s="135">
        <v>0</v>
      </c>
      <c r="C41" s="33">
        <f t="shared" si="3"/>
        <v>0</v>
      </c>
      <c r="E41" s="55" t="s">
        <v>91</v>
      </c>
      <c r="F41" s="52" t="s">
        <v>54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146</v>
      </c>
      <c r="B42" s="135">
        <v>0</v>
      </c>
      <c r="C42" s="33">
        <f t="shared" si="3"/>
        <v>0</v>
      </c>
      <c r="E42" s="55" t="s">
        <v>92</v>
      </c>
      <c r="F42" s="52" t="s">
        <v>192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147</v>
      </c>
      <c r="B43" s="135">
        <v>0</v>
      </c>
      <c r="C43" s="33">
        <f t="shared" si="3"/>
        <v>0</v>
      </c>
      <c r="E43" s="55" t="s">
        <v>93</v>
      </c>
      <c r="F43" s="52" t="s">
        <v>193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148</v>
      </c>
      <c r="B44" s="135">
        <v>0</v>
      </c>
      <c r="C44" s="33">
        <f t="shared" si="3"/>
        <v>0</v>
      </c>
      <c r="E44" s="55" t="s">
        <v>94</v>
      </c>
      <c r="F44" s="52" t="s">
        <v>194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149</v>
      </c>
      <c r="B45" s="135">
        <v>0</v>
      </c>
      <c r="C45" s="33">
        <f t="shared" si="3"/>
        <v>0</v>
      </c>
      <c r="E45" s="56" t="s">
        <v>189</v>
      </c>
      <c r="F45" s="53" t="s">
        <v>195</v>
      </c>
      <c r="G45" s="42">
        <v>0</v>
      </c>
      <c r="H45" s="119">
        <f>IF(B$17=0,0,G45/B$17)</f>
        <v>0</v>
      </c>
      <c r="I45" s="81">
        <v>12</v>
      </c>
    </row>
    <row r="46" spans="1:9">
      <c r="A46" s="47" t="s">
        <v>150</v>
      </c>
      <c r="B46" s="135">
        <v>0</v>
      </c>
      <c r="C46" s="33">
        <f t="shared" si="3"/>
        <v>0</v>
      </c>
    </row>
    <row r="47" spans="1:9">
      <c r="A47" s="49" t="s">
        <v>151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0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3A3BF3-1DCE-4F64-9702-D94DBC12C28D}">
  <sheetPr codeName="Sheet16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13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85" customWidth="1"/>
    <col min="13" max="13" width="3.59765625" style="27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27"/>
  </cols>
  <sheetData>
    <row r="1" spans="1:17">
      <c r="A1" s="45" t="s">
        <v>0</v>
      </c>
      <c r="B1" s="146" t="s">
        <v>184</v>
      </c>
      <c r="C1" s="147"/>
      <c r="E1" s="114" t="s">
        <v>133</v>
      </c>
      <c r="F1" s="133" t="s">
        <v>95</v>
      </c>
      <c r="G1" s="132" t="s">
        <v>96</v>
      </c>
      <c r="H1" s="115" t="s">
        <v>97</v>
      </c>
      <c r="I1" s="133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48">
        <v>3</v>
      </c>
      <c r="C2" s="149"/>
      <c r="E2" s="54" t="s">
        <v>61</v>
      </c>
      <c r="F2" s="51" t="s">
        <v>24</v>
      </c>
      <c r="G2" s="39">
        <v>5</v>
      </c>
      <c r="H2" s="117">
        <f>IF(B$17=0,0,G2/B$17)</f>
        <v>0.7142857142857143</v>
      </c>
      <c r="I2" s="79">
        <v>2</v>
      </c>
      <c r="K2" s="30">
        <v>0</v>
      </c>
      <c r="L2" s="84">
        <v>0</v>
      </c>
      <c r="N2" s="99" t="s">
        <v>107</v>
      </c>
      <c r="O2" s="106">
        <f t="shared" ref="O2:O9" si="0">IF(P2=0,0,Q2/P2)</f>
        <v>1666.6666666666667</v>
      </c>
      <c r="P2" s="103">
        <v>3</v>
      </c>
      <c r="Q2" s="87">
        <v>5000</v>
      </c>
    </row>
    <row r="3" spans="1:17">
      <c r="A3" s="47" t="s">
        <v>8</v>
      </c>
      <c r="B3" s="150">
        <v>22</v>
      </c>
      <c r="C3" s="151"/>
      <c r="E3" s="55" t="s">
        <v>189</v>
      </c>
      <c r="F3" s="52" t="s">
        <v>195</v>
      </c>
      <c r="G3" s="40">
        <v>5</v>
      </c>
      <c r="H3" s="118">
        <f>IF(B$17=0,0,G3/B$17)</f>
        <v>0.7142857142857143</v>
      </c>
      <c r="I3" s="80">
        <v>4</v>
      </c>
      <c r="K3" s="32">
        <v>1</v>
      </c>
      <c r="L3" s="85">
        <v>55.2</v>
      </c>
      <c r="N3" s="100" t="s">
        <v>108</v>
      </c>
      <c r="O3" s="107">
        <f t="shared" si="0"/>
        <v>5700</v>
      </c>
      <c r="P3" s="104">
        <v>3</v>
      </c>
      <c r="Q3" s="88">
        <v>17100</v>
      </c>
    </row>
    <row r="4" spans="1:17">
      <c r="A4" s="47" t="s">
        <v>6</v>
      </c>
      <c r="B4" s="152">
        <v>42.5</v>
      </c>
      <c r="C4" s="153"/>
      <c r="E4" s="55" t="s">
        <v>55</v>
      </c>
      <c r="F4" s="52" t="s">
        <v>20</v>
      </c>
      <c r="G4" s="40">
        <v>4</v>
      </c>
      <c r="H4" s="118">
        <f>IF(B$17=0,0,G4/B$17)</f>
        <v>0.5714285714285714</v>
      </c>
      <c r="I4" s="80">
        <v>8</v>
      </c>
      <c r="K4" s="32">
        <v>2</v>
      </c>
      <c r="L4" s="85">
        <v>33.700000000000003</v>
      </c>
      <c r="N4" s="100" t="s">
        <v>109</v>
      </c>
      <c r="O4" s="107">
        <f t="shared" si="0"/>
        <v>-4133.333333333333</v>
      </c>
      <c r="P4" s="104">
        <v>3</v>
      </c>
      <c r="Q4" s="88">
        <v>-12400</v>
      </c>
    </row>
    <row r="5" spans="1:17">
      <c r="A5" s="47" t="s">
        <v>7</v>
      </c>
      <c r="B5" s="154">
        <f>IF(B$2=0,0,B$4/B$2)</f>
        <v>14.166666666666666</v>
      </c>
      <c r="C5" s="155"/>
      <c r="E5" s="55" t="s">
        <v>186</v>
      </c>
      <c r="F5" s="52" t="s">
        <v>160</v>
      </c>
      <c r="G5" s="40">
        <v>2</v>
      </c>
      <c r="H5" s="118">
        <f>IF(B$17=0,0,G5/B$17)</f>
        <v>0.2857142857142857</v>
      </c>
      <c r="I5" s="80">
        <v>12</v>
      </c>
      <c r="K5" s="32">
        <v>3</v>
      </c>
      <c r="L5" s="85">
        <v>42.5</v>
      </c>
      <c r="N5" s="100" t="s">
        <v>161</v>
      </c>
      <c r="O5" s="107">
        <f>IF(P5=0,0,Q5/P5)</f>
        <v>-766.66666666666663</v>
      </c>
      <c r="P5" s="104">
        <v>3</v>
      </c>
      <c r="Q5" s="88">
        <v>-2300</v>
      </c>
    </row>
    <row r="6" spans="1:17">
      <c r="A6" s="47" t="s">
        <v>1</v>
      </c>
      <c r="B6" s="156">
        <f>IF(B$2=0,0,(B$7*1+B$8*2+B$9*3+B$10*4)/B$2)</f>
        <v>2</v>
      </c>
      <c r="C6" s="157"/>
      <c r="E6" s="55" t="s">
        <v>56</v>
      </c>
      <c r="F6" s="52" t="s">
        <v>159</v>
      </c>
      <c r="G6" s="40">
        <v>2</v>
      </c>
      <c r="H6" s="118">
        <f>IF(B$17=0,0,G6/B$17)</f>
        <v>0.2857142857142857</v>
      </c>
      <c r="I6" s="80">
        <v>7</v>
      </c>
      <c r="N6" s="100" t="s">
        <v>110</v>
      </c>
      <c r="O6" s="107">
        <f t="shared" ref="O6" si="1">IF(P6=0,0,Q6/P6)</f>
        <v>966.66666666666663</v>
      </c>
      <c r="P6" s="104">
        <v>3</v>
      </c>
      <c r="Q6" s="88">
        <v>2900</v>
      </c>
    </row>
    <row r="7" spans="1:17">
      <c r="A7" s="47" t="s">
        <v>2</v>
      </c>
      <c r="B7" s="40">
        <v>1</v>
      </c>
      <c r="C7" s="33">
        <f t="shared" ref="C7:C12" si="2">IF(B$2=0,0,B7/B$2)</f>
        <v>0.33333333333333331</v>
      </c>
      <c r="E7" s="55" t="s">
        <v>57</v>
      </c>
      <c r="F7" s="52" t="s">
        <v>190</v>
      </c>
      <c r="G7" s="40">
        <v>2</v>
      </c>
      <c r="H7" s="118">
        <f>IF(B$17=0,0,G7/B$17)</f>
        <v>0.2857142857142857</v>
      </c>
      <c r="I7" s="80">
        <v>7</v>
      </c>
      <c r="N7" s="100" t="s">
        <v>111</v>
      </c>
      <c r="O7" s="107">
        <f t="shared" si="0"/>
        <v>-1400</v>
      </c>
      <c r="P7" s="104">
        <v>2</v>
      </c>
      <c r="Q7" s="88">
        <v>-2800</v>
      </c>
    </row>
    <row r="8" spans="1:17">
      <c r="A8" s="47" t="s">
        <v>3</v>
      </c>
      <c r="B8" s="40">
        <v>1</v>
      </c>
      <c r="C8" s="33">
        <f>IF(B$2=0,0,B8/B$2)</f>
        <v>0.33333333333333331</v>
      </c>
      <c r="E8" s="55" t="s">
        <v>187</v>
      </c>
      <c r="F8" s="52" t="s">
        <v>19</v>
      </c>
      <c r="G8" s="40">
        <v>1</v>
      </c>
      <c r="H8" s="118">
        <f>IF(B$17=0,0,G8/B$17)</f>
        <v>0.14285714285714285</v>
      </c>
      <c r="I8" s="80">
        <v>7</v>
      </c>
      <c r="N8" s="100" t="s">
        <v>112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1</v>
      </c>
      <c r="C9" s="34">
        <f>IF(B$2=0,0,B9/B$2)</f>
        <v>0.33333333333333331</v>
      </c>
      <c r="E9" s="55" t="s">
        <v>58</v>
      </c>
      <c r="F9" s="52" t="s">
        <v>21</v>
      </c>
      <c r="G9" s="40">
        <v>1</v>
      </c>
      <c r="H9" s="118">
        <f>IF(B$17=0,0,G9/B$17)</f>
        <v>0.14285714285714285</v>
      </c>
      <c r="I9" s="80">
        <v>11</v>
      </c>
      <c r="N9" s="101" t="s">
        <v>162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156</v>
      </c>
      <c r="B10" s="41">
        <v>0</v>
      </c>
      <c r="C10" s="34">
        <f>IF(B$2=0,0,B10/B$2)</f>
        <v>0</v>
      </c>
      <c r="E10" s="55" t="s">
        <v>59</v>
      </c>
      <c r="F10" s="52" t="s">
        <v>22</v>
      </c>
      <c r="G10" s="40">
        <v>0</v>
      </c>
      <c r="H10" s="118">
        <f>IF(B$17=0,0,G10/B$17)</f>
        <v>0</v>
      </c>
      <c r="I10" s="80">
        <v>6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2</v>
      </c>
      <c r="C11" s="34">
        <f>IF(B$2=0,0,B11/B$2)</f>
        <v>0.66666666666666663</v>
      </c>
      <c r="E11" s="55" t="s">
        <v>60</v>
      </c>
      <c r="F11" s="52" t="s">
        <v>23</v>
      </c>
      <c r="G11" s="40">
        <v>0</v>
      </c>
      <c r="H11" s="118">
        <f>IF(B$17=0,0,G11/B$17)</f>
        <v>0</v>
      </c>
      <c r="I11" s="80">
        <v>7</v>
      </c>
      <c r="N11" s="98" t="s">
        <v>175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25</v>
      </c>
      <c r="G12" s="40">
        <v>0</v>
      </c>
      <c r="H12" s="118">
        <f>IF(B$17=0,0,G12/B$17)</f>
        <v>0</v>
      </c>
      <c r="I12" s="80">
        <v>1</v>
      </c>
      <c r="N12" s="99" t="s">
        <v>130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101</v>
      </c>
      <c r="B13" s="43">
        <v>3</v>
      </c>
      <c r="C13" s="38">
        <f>IF(B$3=0,0,B13/B$3)</f>
        <v>0.13636363636363635</v>
      </c>
      <c r="E13" s="55" t="s">
        <v>63</v>
      </c>
      <c r="F13" s="52" t="s">
        <v>26</v>
      </c>
      <c r="G13" s="40">
        <v>0</v>
      </c>
      <c r="H13" s="118">
        <f>IF(B$17=0,0,G13/B$17)</f>
        <v>0</v>
      </c>
      <c r="I13" s="80">
        <v>1</v>
      </c>
      <c r="N13" s="100" t="s">
        <v>131</v>
      </c>
      <c r="O13" s="110">
        <f>IF(P13=0,0,Q13/P13)</f>
        <v>8.8000000000000007</v>
      </c>
      <c r="P13" s="104">
        <v>1</v>
      </c>
      <c r="Q13" s="92">
        <v>8.8000000000000007</v>
      </c>
    </row>
    <row r="14" spans="1:17">
      <c r="A14" s="47" t="s">
        <v>98</v>
      </c>
      <c r="B14" s="40">
        <v>7</v>
      </c>
      <c r="C14" s="33">
        <f>IF(B$3=0,0,B14/B$3)</f>
        <v>0.31818181818181818</v>
      </c>
      <c r="E14" s="55" t="s">
        <v>64</v>
      </c>
      <c r="F14" s="52" t="s">
        <v>27</v>
      </c>
      <c r="G14" s="40">
        <v>0</v>
      </c>
      <c r="H14" s="118">
        <f>IF(B$17=0,0,G14/B$17)</f>
        <v>0</v>
      </c>
      <c r="I14" s="80">
        <v>1</v>
      </c>
      <c r="N14" s="100" t="s">
        <v>132</v>
      </c>
      <c r="O14" s="110">
        <f>IF(P14=0,0,Q14/P14)</f>
        <v>55.2</v>
      </c>
      <c r="P14" s="104">
        <v>1</v>
      </c>
      <c r="Q14" s="92">
        <v>55.2</v>
      </c>
    </row>
    <row r="15" spans="1:17">
      <c r="A15" s="46" t="s">
        <v>103</v>
      </c>
      <c r="B15" s="39">
        <f>B21</f>
        <v>2</v>
      </c>
      <c r="C15" s="31">
        <f>IF(B$13=0,0,B15/B$13)</f>
        <v>0.66666666666666663</v>
      </c>
      <c r="E15" s="55" t="s">
        <v>65</v>
      </c>
      <c r="F15" s="52" t="s">
        <v>28</v>
      </c>
      <c r="G15" s="40">
        <v>0</v>
      </c>
      <c r="H15" s="118">
        <f>IF(B$17=0,0,G15/B$17)</f>
        <v>0</v>
      </c>
      <c r="I15" s="80">
        <v>1</v>
      </c>
      <c r="N15" s="101" t="s">
        <v>163</v>
      </c>
      <c r="O15" s="111">
        <f>IF(P15=0,0,Q15/P15)</f>
        <v>-21.5</v>
      </c>
      <c r="P15" s="105">
        <v>1</v>
      </c>
      <c r="Q15" s="93">
        <v>-21.5</v>
      </c>
    </row>
    <row r="16" spans="1:17">
      <c r="A16" s="46" t="s">
        <v>104</v>
      </c>
      <c r="B16" s="39">
        <f>B22</f>
        <v>3</v>
      </c>
      <c r="C16" s="31">
        <f>IF(B$14=0,0,B16/B$14)</f>
        <v>0.42857142857142855</v>
      </c>
      <c r="E16" s="55" t="s">
        <v>66</v>
      </c>
      <c r="F16" s="52" t="s">
        <v>29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7</v>
      </c>
      <c r="C17" s="31">
        <f>IF(B$3=0,0,B17/B$3)</f>
        <v>0.31818181818181818</v>
      </c>
      <c r="E17" s="55" t="s">
        <v>67</v>
      </c>
      <c r="F17" s="52" t="s">
        <v>30</v>
      </c>
      <c r="G17" s="40">
        <v>0</v>
      </c>
      <c r="H17" s="118">
        <f>IF(B$17=0,0,G17/B$17)</f>
        <v>0</v>
      </c>
      <c r="I17" s="80">
        <v>1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4</v>
      </c>
      <c r="C18" s="33">
        <f>IF(B$3=0,0,B18/B$3)</f>
        <v>0.18181818181818182</v>
      </c>
      <c r="E18" s="55" t="s">
        <v>68</v>
      </c>
      <c r="F18" s="52" t="s">
        <v>31</v>
      </c>
      <c r="G18" s="40">
        <v>0</v>
      </c>
      <c r="H18" s="118">
        <f>IF(B$17=0,0,G18/B$17)</f>
        <v>0</v>
      </c>
      <c r="I18" s="80">
        <v>3</v>
      </c>
      <c r="N18" s="99" t="s">
        <v>185</v>
      </c>
      <c r="O18" s="109">
        <f>IF(P18=0,0,Q18/P18)</f>
        <v>107.80000000000001</v>
      </c>
      <c r="P18" s="103">
        <v>1</v>
      </c>
      <c r="Q18" s="91">
        <v>107.80000000000001</v>
      </c>
    </row>
    <row r="19" spans="1:17">
      <c r="A19" s="47" t="s">
        <v>12</v>
      </c>
      <c r="B19" s="40">
        <v>4</v>
      </c>
      <c r="C19" s="33">
        <f>IF(B$17=0,0,B19/B$17)</f>
        <v>0.5714285714285714</v>
      </c>
      <c r="E19" s="55" t="s">
        <v>188</v>
      </c>
      <c r="F19" s="52" t="s">
        <v>191</v>
      </c>
      <c r="G19" s="40">
        <v>0</v>
      </c>
      <c r="H19" s="118">
        <f>IF(B$17=0,0,G19/B$17)</f>
        <v>0</v>
      </c>
      <c r="I19" s="80">
        <v>3</v>
      </c>
      <c r="N19" s="100" t="s">
        <v>180</v>
      </c>
      <c r="O19" s="110">
        <f>IF(P19=0,0,Q19/P19)</f>
        <v>71</v>
      </c>
      <c r="P19" s="104">
        <v>1</v>
      </c>
      <c r="Q19" s="92">
        <v>71</v>
      </c>
    </row>
    <row r="20" spans="1:17">
      <c r="A20" s="47" t="s">
        <v>11</v>
      </c>
      <c r="B20" s="40">
        <v>3</v>
      </c>
      <c r="C20" s="33">
        <f>IF(B$17=0,0,B20/B$17)</f>
        <v>0.42857142857142855</v>
      </c>
      <c r="E20" s="55" t="s">
        <v>69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198</v>
      </c>
      <c r="O20" s="110">
        <f>IF(P20=0,0,Q20/P20)</f>
        <v>42.35</v>
      </c>
      <c r="P20" s="104">
        <v>2</v>
      </c>
      <c r="Q20" s="92">
        <v>84.7</v>
      </c>
    </row>
    <row r="21" spans="1:17">
      <c r="A21" s="47" t="s">
        <v>155</v>
      </c>
      <c r="B21" s="40">
        <v>2</v>
      </c>
      <c r="C21" s="33">
        <f>IF(B$17=0,0,B21/B$17)</f>
        <v>0.2857142857142857</v>
      </c>
      <c r="E21" s="55" t="s">
        <v>70</v>
      </c>
      <c r="F21" s="52" t="s">
        <v>33</v>
      </c>
      <c r="G21" s="40">
        <v>0</v>
      </c>
      <c r="H21" s="118">
        <f>IF(B$17=0,0,G21/B$17)</f>
        <v>0</v>
      </c>
      <c r="I21" s="80">
        <v>3</v>
      </c>
      <c r="N21" s="100" t="s">
        <v>165</v>
      </c>
      <c r="O21" s="110">
        <f>IF(P21=0,0,Q21/P21)</f>
        <v>36.400000000000006</v>
      </c>
      <c r="P21" s="104">
        <v>1</v>
      </c>
      <c r="Q21" s="92">
        <v>36.400000000000006</v>
      </c>
    </row>
    <row r="22" spans="1:17">
      <c r="A22" s="47" t="s">
        <v>153</v>
      </c>
      <c r="B22" s="40">
        <v>3</v>
      </c>
      <c r="C22" s="33">
        <f>IF(B$17=0,0,B22/B$17)</f>
        <v>0.42857142857142855</v>
      </c>
      <c r="E22" s="55" t="s">
        <v>71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172</v>
      </c>
      <c r="O22" s="110">
        <f>IF(P22=0,0,Q22/P22)</f>
        <v>-4.75</v>
      </c>
      <c r="P22" s="104">
        <v>2</v>
      </c>
      <c r="Q22" s="92">
        <v>-9.5</v>
      </c>
    </row>
    <row r="23" spans="1:17">
      <c r="A23" s="47" t="s">
        <v>154</v>
      </c>
      <c r="B23" s="40">
        <v>2</v>
      </c>
      <c r="C23" s="33">
        <f>IF(B$17=0,0,B23/B$17)</f>
        <v>0.2857142857142857</v>
      </c>
      <c r="E23" s="55" t="s">
        <v>72</v>
      </c>
      <c r="F23" s="52" t="s">
        <v>35</v>
      </c>
      <c r="G23" s="40">
        <v>0</v>
      </c>
      <c r="H23" s="118">
        <f>IF(B$17=0,0,G23/B$17)</f>
        <v>0</v>
      </c>
      <c r="I23" s="80">
        <v>3</v>
      </c>
      <c r="N23" s="100" t="s">
        <v>168</v>
      </c>
      <c r="O23" s="110">
        <f>IF(P23=0,0,Q23/P23)</f>
        <v>-33.5</v>
      </c>
      <c r="P23" s="104">
        <v>1</v>
      </c>
      <c r="Q23" s="92">
        <v>-33.5</v>
      </c>
    </row>
    <row r="24" spans="1:17">
      <c r="A24" s="47" t="s">
        <v>5</v>
      </c>
      <c r="B24" s="44">
        <f>IF(B$17=0,0,C24/B$17)</f>
        <v>4428.5714285714284</v>
      </c>
      <c r="C24" s="35">
        <v>31000</v>
      </c>
      <c r="E24" s="55" t="s">
        <v>73</v>
      </c>
      <c r="F24" s="52" t="s">
        <v>36</v>
      </c>
      <c r="G24" s="40">
        <v>0</v>
      </c>
      <c r="H24" s="118">
        <f>IF(B$17=0,0,G24/B$17)</f>
        <v>0</v>
      </c>
      <c r="I24" s="80">
        <v>1</v>
      </c>
      <c r="N24" s="100" t="s">
        <v>166</v>
      </c>
      <c r="O24" s="110">
        <f>IF(P24=0,0,Q24/P24)</f>
        <v>-76.900000000000006</v>
      </c>
      <c r="P24" s="104">
        <v>1</v>
      </c>
      <c r="Q24" s="92">
        <v>-76.900000000000006</v>
      </c>
    </row>
    <row r="25" spans="1:17">
      <c r="A25" s="48" t="s">
        <v>137</v>
      </c>
      <c r="B25" s="121">
        <f>IF($B$17-B$16=0,0,C25/($B$17-B$16))</f>
        <v>5275</v>
      </c>
      <c r="C25" s="122">
        <v>21100</v>
      </c>
      <c r="E25" s="55" t="s">
        <v>74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138</v>
      </c>
      <c r="B26" s="121">
        <f>IF(B$16=0,0,C26/B$16)</f>
        <v>3300</v>
      </c>
      <c r="C26" s="122">
        <v>9900</v>
      </c>
      <c r="E26" s="55" t="s">
        <v>75</v>
      </c>
      <c r="F26" s="52" t="s">
        <v>38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136</v>
      </c>
      <c r="B27" s="121">
        <f>IF(B$18=0,0,C27/B$18)</f>
        <v>-6475</v>
      </c>
      <c r="C27" s="122">
        <v>-25900</v>
      </c>
      <c r="E27" s="55" t="s">
        <v>76</v>
      </c>
      <c r="F27" s="52" t="s">
        <v>39</v>
      </c>
      <c r="G27" s="40">
        <v>0</v>
      </c>
      <c r="H27" s="118">
        <f>IF(B$17=0,0,G27/B$17)</f>
        <v>0</v>
      </c>
      <c r="I27" s="80">
        <v>1</v>
      </c>
    </row>
    <row r="28" spans="1:17">
      <c r="A28" s="47" t="s">
        <v>134</v>
      </c>
      <c r="B28" s="40">
        <v>1</v>
      </c>
      <c r="C28" s="120">
        <v>0</v>
      </c>
      <c r="E28" s="55" t="s">
        <v>77</v>
      </c>
      <c r="F28" s="52" t="s">
        <v>40</v>
      </c>
      <c r="G28" s="40">
        <v>0</v>
      </c>
      <c r="H28" s="118">
        <f>IF(B$17=0,0,G28/B$17)</f>
        <v>0</v>
      </c>
      <c r="I28" s="80">
        <v>1</v>
      </c>
    </row>
    <row r="29" spans="1:17">
      <c r="A29" s="47" t="s">
        <v>135</v>
      </c>
      <c r="B29" s="40">
        <v>6</v>
      </c>
      <c r="C29" s="120">
        <v>1</v>
      </c>
      <c r="E29" s="55" t="s">
        <v>78</v>
      </c>
      <c r="F29" s="52" t="s">
        <v>41</v>
      </c>
      <c r="G29" s="40">
        <v>0</v>
      </c>
      <c r="H29" s="118">
        <f>IF(B$17=0,0,G29/B$17)</f>
        <v>0</v>
      </c>
      <c r="I29" s="80">
        <v>1</v>
      </c>
    </row>
    <row r="30" spans="1:17">
      <c r="A30" s="76" t="s">
        <v>115</v>
      </c>
      <c r="B30" s="142">
        <v>2</v>
      </c>
      <c r="C30" s="143"/>
      <c r="E30" s="55" t="s">
        <v>79</v>
      </c>
      <c r="F30" s="52" t="s">
        <v>42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152</v>
      </c>
      <c r="B31" s="144">
        <v>35200</v>
      </c>
      <c r="C31" s="145"/>
      <c r="E31" s="55" t="s">
        <v>80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116</v>
      </c>
      <c r="B32" s="57">
        <v>0</v>
      </c>
      <c r="C32" s="36">
        <f>IF(B$3=0,0,B32/B$3)</f>
        <v>0</v>
      </c>
      <c r="E32" s="55" t="s">
        <v>81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176</v>
      </c>
      <c r="B34" s="130" t="s">
        <v>96</v>
      </c>
      <c r="C34" s="131" t="s">
        <v>97</v>
      </c>
      <c r="E34" s="55" t="s">
        <v>83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143</v>
      </c>
      <c r="B35" s="134">
        <v>1</v>
      </c>
      <c r="C35" s="126">
        <f t="shared" ref="C35:C47" si="3">IF(B$17=0,0,B35/B$17)</f>
        <v>0.14285714285714285</v>
      </c>
      <c r="E35" s="55" t="s">
        <v>84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139</v>
      </c>
      <c r="B36" s="40">
        <v>1</v>
      </c>
      <c r="C36" s="33">
        <f t="shared" si="3"/>
        <v>0.14285714285714285</v>
      </c>
      <c r="E36" s="55" t="s">
        <v>85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140</v>
      </c>
      <c r="B37" s="135">
        <v>3</v>
      </c>
      <c r="C37" s="33">
        <f t="shared" si="3"/>
        <v>0.42857142857142855</v>
      </c>
      <c r="E37" s="55" t="s">
        <v>86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141</v>
      </c>
      <c r="B38" s="135">
        <v>0</v>
      </c>
      <c r="C38" s="33">
        <f t="shared" si="3"/>
        <v>0</v>
      </c>
      <c r="E38" s="55" t="s">
        <v>87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142</v>
      </c>
      <c r="B39" s="135">
        <v>2</v>
      </c>
      <c r="C39" s="33">
        <f t="shared" si="3"/>
        <v>0.2857142857142857</v>
      </c>
      <c r="E39" s="55" t="s">
        <v>88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144</v>
      </c>
      <c r="B40" s="135">
        <v>0</v>
      </c>
      <c r="C40" s="33">
        <f t="shared" si="3"/>
        <v>0</v>
      </c>
      <c r="E40" s="55" t="s">
        <v>89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145</v>
      </c>
      <c r="B41" s="135">
        <v>0</v>
      </c>
      <c r="C41" s="33">
        <f t="shared" si="3"/>
        <v>0</v>
      </c>
      <c r="E41" s="55" t="s">
        <v>90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146</v>
      </c>
      <c r="B42" s="135">
        <v>0</v>
      </c>
      <c r="C42" s="33">
        <f t="shared" si="3"/>
        <v>0</v>
      </c>
      <c r="E42" s="55" t="s">
        <v>91</v>
      </c>
      <c r="F42" s="52" t="s">
        <v>54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147</v>
      </c>
      <c r="B43" s="135">
        <v>0</v>
      </c>
      <c r="C43" s="33">
        <f t="shared" si="3"/>
        <v>0</v>
      </c>
      <c r="E43" s="55" t="s">
        <v>92</v>
      </c>
      <c r="F43" s="52" t="s">
        <v>192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148</v>
      </c>
      <c r="B44" s="135">
        <v>0</v>
      </c>
      <c r="C44" s="33">
        <f t="shared" si="3"/>
        <v>0</v>
      </c>
      <c r="E44" s="55" t="s">
        <v>93</v>
      </c>
      <c r="F44" s="52" t="s">
        <v>193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149</v>
      </c>
      <c r="B45" s="135">
        <v>0</v>
      </c>
      <c r="C45" s="33">
        <f t="shared" si="3"/>
        <v>0</v>
      </c>
      <c r="E45" s="56" t="s">
        <v>94</v>
      </c>
      <c r="F45" s="53" t="s">
        <v>194</v>
      </c>
      <c r="G45" s="42">
        <v>0</v>
      </c>
      <c r="H45" s="119">
        <f>IF(B$17=0,0,G45/B$17)</f>
        <v>0</v>
      </c>
      <c r="I45" s="81">
        <v>1</v>
      </c>
    </row>
    <row r="46" spans="1:9">
      <c r="A46" s="47" t="s">
        <v>150</v>
      </c>
      <c r="B46" s="135">
        <v>0</v>
      </c>
      <c r="C46" s="33">
        <f t="shared" si="3"/>
        <v>0</v>
      </c>
    </row>
    <row r="47" spans="1:9">
      <c r="A47" s="49" t="s">
        <v>151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4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0A0CC1-9680-4D2B-8929-8487E6B923AF}">
  <sheetPr codeName="Sheet17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13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85" customWidth="1"/>
    <col min="13" max="13" width="3.59765625" style="27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27"/>
  </cols>
  <sheetData>
    <row r="1" spans="1:17">
      <c r="A1" s="45" t="s">
        <v>0</v>
      </c>
      <c r="B1" s="146" t="s">
        <v>198</v>
      </c>
      <c r="C1" s="147"/>
      <c r="E1" s="114" t="s">
        <v>133</v>
      </c>
      <c r="F1" s="133" t="s">
        <v>95</v>
      </c>
      <c r="G1" s="132" t="s">
        <v>96</v>
      </c>
      <c r="H1" s="115" t="s">
        <v>97</v>
      </c>
      <c r="I1" s="133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48">
        <v>2</v>
      </c>
      <c r="C2" s="149"/>
      <c r="E2" s="54" t="s">
        <v>186</v>
      </c>
      <c r="F2" s="51" t="s">
        <v>160</v>
      </c>
      <c r="G2" s="39">
        <v>0</v>
      </c>
      <c r="H2" s="117">
        <f>IF(B$17=0,0,G2/B$17)</f>
        <v>0</v>
      </c>
      <c r="I2" s="79">
        <v>13</v>
      </c>
      <c r="K2" s="30">
        <v>0</v>
      </c>
      <c r="L2" s="84">
        <v>0</v>
      </c>
      <c r="N2" s="99" t="s">
        <v>107</v>
      </c>
      <c r="O2" s="106">
        <f t="shared" ref="O2:O9" si="0">IF(P2=0,0,Q2/P2)</f>
        <v>-4400</v>
      </c>
      <c r="P2" s="103">
        <v>2</v>
      </c>
      <c r="Q2" s="87">
        <v>-8800</v>
      </c>
    </row>
    <row r="3" spans="1:17">
      <c r="A3" s="47" t="s">
        <v>8</v>
      </c>
      <c r="B3" s="150">
        <v>15</v>
      </c>
      <c r="C3" s="151"/>
      <c r="E3" s="55" t="s">
        <v>187</v>
      </c>
      <c r="F3" s="52" t="s">
        <v>19</v>
      </c>
      <c r="G3" s="40">
        <v>0</v>
      </c>
      <c r="H3" s="118">
        <f>IF(B$17=0,0,G3/B$17)</f>
        <v>0</v>
      </c>
      <c r="I3" s="80">
        <v>9</v>
      </c>
      <c r="K3" s="32">
        <v>1</v>
      </c>
      <c r="L3" s="85">
        <v>-45.9</v>
      </c>
      <c r="N3" s="100" t="s">
        <v>108</v>
      </c>
      <c r="O3" s="107">
        <f t="shared" si="0"/>
        <v>-250</v>
      </c>
      <c r="P3" s="104">
        <v>2</v>
      </c>
      <c r="Q3" s="88">
        <v>-500</v>
      </c>
    </row>
    <row r="4" spans="1:17">
      <c r="A4" s="47" t="s">
        <v>6</v>
      </c>
      <c r="B4" s="152">
        <v>-97.4</v>
      </c>
      <c r="C4" s="153"/>
      <c r="E4" s="55" t="s">
        <v>55</v>
      </c>
      <c r="F4" s="52" t="s">
        <v>20</v>
      </c>
      <c r="G4" s="40">
        <v>0</v>
      </c>
      <c r="H4" s="118">
        <f>IF(B$17=0,0,G4/B$17)</f>
        <v>0</v>
      </c>
      <c r="I4" s="80">
        <v>13</v>
      </c>
      <c r="K4" s="32">
        <v>2</v>
      </c>
      <c r="L4" s="85">
        <v>-97.4</v>
      </c>
      <c r="N4" s="100" t="s">
        <v>109</v>
      </c>
      <c r="O4" s="107">
        <f t="shared" si="0"/>
        <v>-550</v>
      </c>
      <c r="P4" s="104">
        <v>2</v>
      </c>
      <c r="Q4" s="88">
        <v>-1100</v>
      </c>
    </row>
    <row r="5" spans="1:17">
      <c r="A5" s="47" t="s">
        <v>7</v>
      </c>
      <c r="B5" s="154">
        <f>IF(B$2=0,0,B$4/B$2)</f>
        <v>-48.7</v>
      </c>
      <c r="C5" s="155"/>
      <c r="E5" s="55" t="s">
        <v>56</v>
      </c>
      <c r="F5" s="52" t="s">
        <v>159</v>
      </c>
      <c r="G5" s="40">
        <v>0</v>
      </c>
      <c r="H5" s="118">
        <f>IF(B$17=0,0,G5/B$17)</f>
        <v>0</v>
      </c>
      <c r="I5" s="80">
        <v>11</v>
      </c>
      <c r="N5" s="100" t="s">
        <v>161</v>
      </c>
      <c r="O5" s="107">
        <f>IF(P5=0,0,Q5/P5)</f>
        <v>-2000</v>
      </c>
      <c r="P5" s="104">
        <v>2</v>
      </c>
      <c r="Q5" s="88">
        <v>-4000</v>
      </c>
    </row>
    <row r="6" spans="1:17">
      <c r="A6" s="47" t="s">
        <v>1</v>
      </c>
      <c r="B6" s="156">
        <f>IF(B$2=0,0,(B$7*1+B$8*2+B$9*3+B$10*4)/B$2)</f>
        <v>4</v>
      </c>
      <c r="C6" s="157"/>
      <c r="E6" s="55" t="s">
        <v>57</v>
      </c>
      <c r="F6" s="52" t="s">
        <v>190</v>
      </c>
      <c r="G6" s="40">
        <v>0</v>
      </c>
      <c r="H6" s="118">
        <f>IF(B$17=0,0,G6/B$17)</f>
        <v>0</v>
      </c>
      <c r="I6" s="80">
        <v>13</v>
      </c>
      <c r="N6" s="100" t="s">
        <v>110</v>
      </c>
      <c r="O6" s="107">
        <f t="shared" ref="O6" si="1">IF(P6=0,0,Q6/P6)</f>
        <v>0</v>
      </c>
      <c r="P6" s="104">
        <v>2</v>
      </c>
      <c r="Q6" s="88">
        <v>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58</v>
      </c>
      <c r="F7" s="52" t="s">
        <v>21</v>
      </c>
      <c r="G7" s="40">
        <v>0</v>
      </c>
      <c r="H7" s="118">
        <f>IF(B$17=0,0,G7/B$17)</f>
        <v>0</v>
      </c>
      <c r="I7" s="80">
        <v>12</v>
      </c>
      <c r="N7" s="100" t="s">
        <v>111</v>
      </c>
      <c r="O7" s="107">
        <f t="shared" si="0"/>
        <v>-1000</v>
      </c>
      <c r="P7" s="104">
        <v>1</v>
      </c>
      <c r="Q7" s="88">
        <v>-1000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59</v>
      </c>
      <c r="F8" s="52" t="s">
        <v>22</v>
      </c>
      <c r="G8" s="40">
        <v>0</v>
      </c>
      <c r="H8" s="118">
        <f>IF(B$17=0,0,G8/B$17)</f>
        <v>0</v>
      </c>
      <c r="I8" s="80">
        <v>6</v>
      </c>
      <c r="N8" s="100" t="s">
        <v>112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60</v>
      </c>
      <c r="F9" s="52" t="s">
        <v>23</v>
      </c>
      <c r="G9" s="40">
        <v>0</v>
      </c>
      <c r="H9" s="118">
        <f>IF(B$17=0,0,G9/B$17)</f>
        <v>0</v>
      </c>
      <c r="I9" s="80">
        <v>7</v>
      </c>
      <c r="N9" s="101" t="s">
        <v>162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156</v>
      </c>
      <c r="B10" s="41">
        <v>2</v>
      </c>
      <c r="C10" s="34">
        <f>IF(B$2=0,0,B10/B$2)</f>
        <v>1</v>
      </c>
      <c r="E10" s="55" t="s">
        <v>61</v>
      </c>
      <c r="F10" s="52" t="s">
        <v>24</v>
      </c>
      <c r="G10" s="40">
        <v>0</v>
      </c>
      <c r="H10" s="118">
        <f>IF(B$17=0,0,G10/B$17)</f>
        <v>0</v>
      </c>
      <c r="I10" s="80">
        <v>12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0</v>
      </c>
      <c r="C11" s="34">
        <f>IF(B$2=0,0,B11/B$2)</f>
        <v>0</v>
      </c>
      <c r="E11" s="55" t="s">
        <v>62</v>
      </c>
      <c r="F11" s="52" t="s">
        <v>25</v>
      </c>
      <c r="G11" s="40">
        <v>0</v>
      </c>
      <c r="H11" s="118">
        <f>IF(B$17=0,0,G11/B$17)</f>
        <v>0</v>
      </c>
      <c r="I11" s="80">
        <v>1</v>
      </c>
      <c r="N11" s="98" t="s">
        <v>175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63</v>
      </c>
      <c r="F12" s="52" t="s">
        <v>26</v>
      </c>
      <c r="G12" s="40">
        <v>0</v>
      </c>
      <c r="H12" s="118">
        <f>IF(B$17=0,0,G12/B$17)</f>
        <v>0</v>
      </c>
      <c r="I12" s="80">
        <v>1</v>
      </c>
      <c r="N12" s="99" t="s">
        <v>130</v>
      </c>
      <c r="O12" s="109">
        <f>IF(P12=0,0,Q12/P12)</f>
        <v>-48.7</v>
      </c>
      <c r="P12" s="103">
        <v>2</v>
      </c>
      <c r="Q12" s="91">
        <v>-97.4</v>
      </c>
    </row>
    <row r="13" spans="1:17">
      <c r="A13" s="50" t="s">
        <v>101</v>
      </c>
      <c r="B13" s="43">
        <v>1</v>
      </c>
      <c r="C13" s="38">
        <f>IF(B$3=0,0,B13/B$3)</f>
        <v>6.6666666666666666E-2</v>
      </c>
      <c r="E13" s="55" t="s">
        <v>64</v>
      </c>
      <c r="F13" s="52" t="s">
        <v>27</v>
      </c>
      <c r="G13" s="40">
        <v>0</v>
      </c>
      <c r="H13" s="118">
        <f>IF(B$17=0,0,G13/B$17)</f>
        <v>0</v>
      </c>
      <c r="I13" s="80">
        <v>1</v>
      </c>
      <c r="N13" s="100" t="s">
        <v>131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98</v>
      </c>
      <c r="B14" s="40">
        <v>5</v>
      </c>
      <c r="C14" s="33">
        <f>IF(B$3=0,0,B14/B$3)</f>
        <v>0.33333333333333331</v>
      </c>
      <c r="E14" s="55" t="s">
        <v>65</v>
      </c>
      <c r="F14" s="52" t="s">
        <v>28</v>
      </c>
      <c r="G14" s="40">
        <v>0</v>
      </c>
      <c r="H14" s="118">
        <f>IF(B$17=0,0,G14/B$17)</f>
        <v>0</v>
      </c>
      <c r="I14" s="80">
        <v>1</v>
      </c>
      <c r="N14" s="100" t="s">
        <v>132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103</v>
      </c>
      <c r="B15" s="39">
        <f>B21</f>
        <v>0</v>
      </c>
      <c r="C15" s="31">
        <f>IF(B$13=0,0,B15/B$13)</f>
        <v>0</v>
      </c>
      <c r="E15" s="55" t="s">
        <v>66</v>
      </c>
      <c r="F15" s="52" t="s">
        <v>29</v>
      </c>
      <c r="G15" s="40">
        <v>0</v>
      </c>
      <c r="H15" s="118">
        <f>IF(B$17=0,0,G15/B$17)</f>
        <v>0</v>
      </c>
      <c r="I15" s="80">
        <v>1</v>
      </c>
      <c r="N15" s="101" t="s">
        <v>163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104</v>
      </c>
      <c r="B16" s="39">
        <f>B22</f>
        <v>0</v>
      </c>
      <c r="C16" s="31">
        <f>IF(B$14=0,0,B16/B$14)</f>
        <v>0</v>
      </c>
      <c r="E16" s="55" t="s">
        <v>67</v>
      </c>
      <c r="F16" s="52" t="s">
        <v>30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0</v>
      </c>
      <c r="C17" s="31">
        <f>IF(B$3=0,0,B17/B$3)</f>
        <v>0</v>
      </c>
      <c r="E17" s="55" t="s">
        <v>68</v>
      </c>
      <c r="F17" s="52" t="s">
        <v>31</v>
      </c>
      <c r="G17" s="40">
        <v>0</v>
      </c>
      <c r="H17" s="118">
        <f>IF(B$17=0,0,G17/B$17)</f>
        <v>0</v>
      </c>
      <c r="I17" s="80">
        <v>3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2</v>
      </c>
      <c r="C18" s="33">
        <f>IF(B$3=0,0,B18/B$3)</f>
        <v>0.13333333333333333</v>
      </c>
      <c r="E18" s="55" t="s">
        <v>188</v>
      </c>
      <c r="F18" s="52" t="s">
        <v>191</v>
      </c>
      <c r="G18" s="40">
        <v>0</v>
      </c>
      <c r="H18" s="118">
        <f>IF(B$17=0,0,G18/B$17)</f>
        <v>0</v>
      </c>
      <c r="I18" s="80">
        <v>3</v>
      </c>
      <c r="N18" s="99" t="s">
        <v>165</v>
      </c>
      <c r="O18" s="109">
        <f>IF(P18=0,0,Q18/P18)</f>
        <v>-23.9</v>
      </c>
      <c r="P18" s="103">
        <v>1</v>
      </c>
      <c r="Q18" s="91">
        <v>-23.9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69</v>
      </c>
      <c r="F19" s="52" t="s">
        <v>32</v>
      </c>
      <c r="G19" s="40">
        <v>0</v>
      </c>
      <c r="H19" s="118">
        <f>IF(B$17=0,0,G19/B$17)</f>
        <v>0</v>
      </c>
      <c r="I19" s="80">
        <v>1</v>
      </c>
      <c r="N19" s="100" t="s">
        <v>184</v>
      </c>
      <c r="O19" s="110">
        <f>IF(P19=0,0,Q19/P19)</f>
        <v>-42.35</v>
      </c>
      <c r="P19" s="104">
        <v>2</v>
      </c>
      <c r="Q19" s="92">
        <v>-84.7</v>
      </c>
    </row>
    <row r="20" spans="1:17">
      <c r="A20" s="47" t="s">
        <v>11</v>
      </c>
      <c r="B20" s="40">
        <v>0</v>
      </c>
      <c r="C20" s="33">
        <f>IF(B$17=0,0,B20/B$17)</f>
        <v>0</v>
      </c>
      <c r="E20" s="55" t="s">
        <v>70</v>
      </c>
      <c r="F20" s="52" t="s">
        <v>33</v>
      </c>
      <c r="G20" s="40">
        <v>0</v>
      </c>
      <c r="H20" s="118">
        <f>IF(B$17=0,0,G20/B$17)</f>
        <v>0</v>
      </c>
      <c r="I20" s="80">
        <v>3</v>
      </c>
      <c r="N20" s="100" t="s">
        <v>168</v>
      </c>
      <c r="O20" s="110">
        <f>IF(P20=0,0,Q20/P20)</f>
        <v>-57.9</v>
      </c>
      <c r="P20" s="104">
        <v>1</v>
      </c>
      <c r="Q20" s="92">
        <v>-57.9</v>
      </c>
    </row>
    <row r="21" spans="1:17">
      <c r="A21" s="47" t="s">
        <v>155</v>
      </c>
      <c r="B21" s="40">
        <v>0</v>
      </c>
      <c r="C21" s="33">
        <f>IF(B$17=0,0,B21/B$17)</f>
        <v>0</v>
      </c>
      <c r="E21" s="55" t="s">
        <v>71</v>
      </c>
      <c r="F21" s="52" t="s">
        <v>34</v>
      </c>
      <c r="G21" s="40">
        <v>0</v>
      </c>
      <c r="H21" s="118">
        <f>IF(B$17=0,0,G21/B$17)</f>
        <v>0</v>
      </c>
      <c r="I21" s="80">
        <v>1</v>
      </c>
      <c r="N21" s="100" t="s">
        <v>166</v>
      </c>
      <c r="O21" s="110">
        <f>IF(P21=0,0,Q21/P21)</f>
        <v>-101.3</v>
      </c>
      <c r="P21" s="104">
        <v>1</v>
      </c>
      <c r="Q21" s="92">
        <v>-101.3</v>
      </c>
    </row>
    <row r="22" spans="1:17">
      <c r="A22" s="47" t="s">
        <v>153</v>
      </c>
      <c r="B22" s="40">
        <v>0</v>
      </c>
      <c r="C22" s="33">
        <f>IF(B$17=0,0,B22/B$17)</f>
        <v>0</v>
      </c>
      <c r="E22" s="55" t="s">
        <v>72</v>
      </c>
      <c r="F22" s="52" t="s">
        <v>35</v>
      </c>
      <c r="G22" s="40">
        <v>0</v>
      </c>
      <c r="H22" s="118">
        <f>IF(B$17=0,0,G22/B$17)</f>
        <v>0</v>
      </c>
      <c r="I22" s="80">
        <v>3</v>
      </c>
      <c r="N22" s="100" t="s">
        <v>172</v>
      </c>
      <c r="O22" s="110">
        <f>IF(P22=0,0,Q22/P22)</f>
        <v>-111.8</v>
      </c>
      <c r="P22" s="104">
        <v>1</v>
      </c>
      <c r="Q22" s="92">
        <v>-111.8</v>
      </c>
    </row>
    <row r="23" spans="1:17">
      <c r="A23" s="47" t="s">
        <v>154</v>
      </c>
      <c r="B23" s="40">
        <v>0</v>
      </c>
      <c r="C23" s="33">
        <f>IF(B$17=0,0,B23/B$17)</f>
        <v>0</v>
      </c>
      <c r="E23" s="55" t="s">
        <v>73</v>
      </c>
      <c r="F23" s="52" t="s">
        <v>36</v>
      </c>
      <c r="G23" s="40">
        <v>0</v>
      </c>
      <c r="H23" s="118">
        <f>IF(B$17=0,0,G23/B$17)</f>
        <v>0</v>
      </c>
      <c r="I23" s="80">
        <v>1</v>
      </c>
    </row>
    <row r="24" spans="1:17">
      <c r="A24" s="47" t="s">
        <v>5</v>
      </c>
      <c r="B24" s="44">
        <f>IF(B$17=0,0,C24/B$17)</f>
        <v>0</v>
      </c>
      <c r="C24" s="35">
        <v>0</v>
      </c>
      <c r="E24" s="55" t="s">
        <v>74</v>
      </c>
      <c r="F24" s="52" t="s">
        <v>37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137</v>
      </c>
      <c r="B25" s="121">
        <f>IF($B$17-B$16=0,0,C25/($B$17-B$16))</f>
        <v>0</v>
      </c>
      <c r="C25" s="122">
        <v>0</v>
      </c>
      <c r="E25" s="55" t="s">
        <v>75</v>
      </c>
      <c r="F25" s="52" t="s">
        <v>38</v>
      </c>
      <c r="G25" s="40">
        <v>0</v>
      </c>
      <c r="H25" s="118">
        <f>IF(B$17=0,0,G25/B$17)</f>
        <v>0</v>
      </c>
      <c r="I25" s="80">
        <v>4</v>
      </c>
    </row>
    <row r="26" spans="1:17">
      <c r="A26" s="48" t="s">
        <v>138</v>
      </c>
      <c r="B26" s="121">
        <f>IF(B$16=0,0,C26/B$16)</f>
        <v>0</v>
      </c>
      <c r="C26" s="122">
        <v>0</v>
      </c>
      <c r="E26" s="55" t="s">
        <v>76</v>
      </c>
      <c r="F26" s="52" t="s">
        <v>39</v>
      </c>
      <c r="G26" s="40">
        <v>0</v>
      </c>
      <c r="H26" s="118">
        <f>IF(B$17=0,0,G26/B$17)</f>
        <v>0</v>
      </c>
      <c r="I26" s="80">
        <v>1</v>
      </c>
    </row>
    <row r="27" spans="1:17">
      <c r="A27" s="48" t="s">
        <v>136</v>
      </c>
      <c r="B27" s="121">
        <f>IF(B$18=0,0,C27/B$18)</f>
        <v>-10000</v>
      </c>
      <c r="C27" s="122">
        <v>-20000</v>
      </c>
      <c r="E27" s="55" t="s">
        <v>77</v>
      </c>
      <c r="F27" s="52" t="s">
        <v>40</v>
      </c>
      <c r="G27" s="40">
        <v>0</v>
      </c>
      <c r="H27" s="118">
        <f>IF(B$17=0,0,G27/B$17)</f>
        <v>0</v>
      </c>
      <c r="I27" s="80">
        <v>1</v>
      </c>
    </row>
    <row r="28" spans="1:17">
      <c r="A28" s="47" t="s">
        <v>134</v>
      </c>
      <c r="B28" s="40">
        <v>0</v>
      </c>
      <c r="C28" s="120">
        <v>0</v>
      </c>
      <c r="E28" s="55" t="s">
        <v>78</v>
      </c>
      <c r="F28" s="52" t="s">
        <v>41</v>
      </c>
      <c r="G28" s="40">
        <v>0</v>
      </c>
      <c r="H28" s="118">
        <f>IF(B$17=0,0,G28/B$17)</f>
        <v>0</v>
      </c>
      <c r="I28" s="80">
        <v>1</v>
      </c>
    </row>
    <row r="29" spans="1:17">
      <c r="A29" s="47" t="s">
        <v>135</v>
      </c>
      <c r="B29" s="40">
        <v>12</v>
      </c>
      <c r="C29" s="120">
        <v>0</v>
      </c>
      <c r="E29" s="55" t="s">
        <v>79</v>
      </c>
      <c r="F29" s="52" t="s">
        <v>42</v>
      </c>
      <c r="G29" s="40">
        <v>0</v>
      </c>
      <c r="H29" s="118">
        <f>IF(B$17=0,0,G29/B$17)</f>
        <v>0</v>
      </c>
      <c r="I29" s="80">
        <v>1</v>
      </c>
    </row>
    <row r="30" spans="1:17">
      <c r="A30" s="76" t="s">
        <v>115</v>
      </c>
      <c r="B30" s="142">
        <v>0</v>
      </c>
      <c r="C30" s="143"/>
      <c r="E30" s="55" t="s">
        <v>80</v>
      </c>
      <c r="F30" s="52" t="s">
        <v>43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152</v>
      </c>
      <c r="B31" s="144">
        <v>14100</v>
      </c>
      <c r="C31" s="145"/>
      <c r="E31" s="55" t="s">
        <v>81</v>
      </c>
      <c r="F31" s="52" t="s">
        <v>44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116</v>
      </c>
      <c r="B32" s="57">
        <v>0</v>
      </c>
      <c r="C32" s="36">
        <f>IF(B$3=0,0,B32/B$3)</f>
        <v>0</v>
      </c>
      <c r="E32" s="55" t="s">
        <v>82</v>
      </c>
      <c r="F32" s="52" t="s">
        <v>45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83</v>
      </c>
      <c r="F33" s="52" t="s">
        <v>46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176</v>
      </c>
      <c r="B34" s="130" t="s">
        <v>96</v>
      </c>
      <c r="C34" s="131" t="s">
        <v>97</v>
      </c>
      <c r="E34" s="55" t="s">
        <v>84</v>
      </c>
      <c r="F34" s="52" t="s">
        <v>47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143</v>
      </c>
      <c r="B35" s="134">
        <v>0</v>
      </c>
      <c r="C35" s="126">
        <f t="shared" ref="C35:C47" si="3">IF(B$17=0,0,B35/B$17)</f>
        <v>0</v>
      </c>
      <c r="E35" s="55" t="s">
        <v>85</v>
      </c>
      <c r="F35" s="52" t="s">
        <v>48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139</v>
      </c>
      <c r="B36" s="40">
        <v>0</v>
      </c>
      <c r="C36" s="33">
        <f t="shared" si="3"/>
        <v>0</v>
      </c>
      <c r="E36" s="55" t="s">
        <v>86</v>
      </c>
      <c r="F36" s="52" t="s">
        <v>49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140</v>
      </c>
      <c r="B37" s="135">
        <v>0</v>
      </c>
      <c r="C37" s="33">
        <f t="shared" si="3"/>
        <v>0</v>
      </c>
      <c r="E37" s="55" t="s">
        <v>87</v>
      </c>
      <c r="F37" s="52" t="s">
        <v>50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141</v>
      </c>
      <c r="B38" s="135">
        <v>0</v>
      </c>
      <c r="C38" s="33">
        <f t="shared" si="3"/>
        <v>0</v>
      </c>
      <c r="E38" s="55" t="s">
        <v>88</v>
      </c>
      <c r="F38" s="52" t="s">
        <v>51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142</v>
      </c>
      <c r="B39" s="135">
        <v>0</v>
      </c>
      <c r="C39" s="33">
        <f t="shared" si="3"/>
        <v>0</v>
      </c>
      <c r="E39" s="55" t="s">
        <v>89</v>
      </c>
      <c r="F39" s="52" t="s">
        <v>52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144</v>
      </c>
      <c r="B40" s="135">
        <v>0</v>
      </c>
      <c r="C40" s="33">
        <f t="shared" si="3"/>
        <v>0</v>
      </c>
      <c r="E40" s="55" t="s">
        <v>90</v>
      </c>
      <c r="F40" s="52" t="s">
        <v>53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145</v>
      </c>
      <c r="B41" s="135">
        <v>0</v>
      </c>
      <c r="C41" s="33">
        <f t="shared" si="3"/>
        <v>0</v>
      </c>
      <c r="E41" s="55" t="s">
        <v>91</v>
      </c>
      <c r="F41" s="52" t="s">
        <v>54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146</v>
      </c>
      <c r="B42" s="135">
        <v>0</v>
      </c>
      <c r="C42" s="33">
        <f t="shared" si="3"/>
        <v>0</v>
      </c>
      <c r="E42" s="55" t="s">
        <v>92</v>
      </c>
      <c r="F42" s="52" t="s">
        <v>192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147</v>
      </c>
      <c r="B43" s="135">
        <v>0</v>
      </c>
      <c r="C43" s="33">
        <f t="shared" si="3"/>
        <v>0</v>
      </c>
      <c r="E43" s="55" t="s">
        <v>93</v>
      </c>
      <c r="F43" s="52" t="s">
        <v>193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148</v>
      </c>
      <c r="B44" s="135">
        <v>0</v>
      </c>
      <c r="C44" s="33">
        <f t="shared" si="3"/>
        <v>0</v>
      </c>
      <c r="E44" s="55" t="s">
        <v>94</v>
      </c>
      <c r="F44" s="52" t="s">
        <v>194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149</v>
      </c>
      <c r="B45" s="135">
        <v>0</v>
      </c>
      <c r="C45" s="33">
        <f t="shared" si="3"/>
        <v>0</v>
      </c>
      <c r="E45" s="56" t="s">
        <v>189</v>
      </c>
      <c r="F45" s="53" t="s">
        <v>195</v>
      </c>
      <c r="G45" s="42">
        <v>0</v>
      </c>
      <c r="H45" s="119">
        <f>IF(B$17=0,0,G45/B$17)</f>
        <v>0</v>
      </c>
      <c r="I45" s="81">
        <v>12</v>
      </c>
    </row>
    <row r="46" spans="1:9">
      <c r="A46" s="47" t="s">
        <v>150</v>
      </c>
      <c r="B46" s="135">
        <v>0</v>
      </c>
      <c r="C46" s="33">
        <f t="shared" si="3"/>
        <v>0</v>
      </c>
    </row>
    <row r="47" spans="1:9">
      <c r="A47" s="49" t="s">
        <v>151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2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113" bestFit="1" customWidth="1"/>
    <col min="6" max="6" width="11" style="10" bestFit="1" customWidth="1"/>
    <col min="7" max="8" width="9" style="1" customWidth="1"/>
    <col min="9" max="9" width="9" style="27" customWidth="1"/>
    <col min="10" max="10" width="3.59765625" style="1" customWidth="1"/>
    <col min="11" max="11" width="3.5" style="5" customWidth="1"/>
    <col min="12" max="12" width="9" style="85" customWidth="1"/>
    <col min="13" max="13" width="3.59765625" style="1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1"/>
  </cols>
  <sheetData>
    <row r="1" spans="1:17">
      <c r="A1" s="17" t="s">
        <v>0</v>
      </c>
      <c r="B1" s="146"/>
      <c r="C1" s="147"/>
      <c r="E1" s="114" t="s">
        <v>133</v>
      </c>
      <c r="F1" s="128" t="s">
        <v>95</v>
      </c>
      <c r="G1" s="127" t="s">
        <v>96</v>
      </c>
      <c r="H1" s="115" t="s">
        <v>97</v>
      </c>
      <c r="I1" s="128" t="s">
        <v>122</v>
      </c>
      <c r="K1" s="2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127</v>
      </c>
    </row>
    <row r="2" spans="1:17">
      <c r="A2" s="18" t="s">
        <v>9</v>
      </c>
      <c r="B2" s="148">
        <v>0</v>
      </c>
      <c r="C2" s="149"/>
      <c r="E2" s="54" t="s">
        <v>186</v>
      </c>
      <c r="F2" s="51" t="s">
        <v>160</v>
      </c>
      <c r="G2" s="39">
        <v>0</v>
      </c>
      <c r="H2" s="117">
        <f t="shared" ref="H2:H45" si="0">IF(B$17=0,0,G2/B$17)</f>
        <v>0</v>
      </c>
      <c r="I2" s="79"/>
      <c r="K2" s="3">
        <v>0</v>
      </c>
      <c r="L2" s="84">
        <v>0</v>
      </c>
      <c r="N2" s="99" t="s">
        <v>107</v>
      </c>
      <c r="O2" s="106">
        <f t="shared" ref="O2:O9" si="1">IF(P2=0,0,Q2/P2)</f>
        <v>0</v>
      </c>
      <c r="P2" s="103">
        <v>0</v>
      </c>
      <c r="Q2" s="87">
        <v>0</v>
      </c>
    </row>
    <row r="3" spans="1:17">
      <c r="A3" s="19" t="s">
        <v>8</v>
      </c>
      <c r="B3" s="150">
        <v>0</v>
      </c>
      <c r="C3" s="151"/>
      <c r="E3" s="55" t="s">
        <v>187</v>
      </c>
      <c r="F3" s="52" t="s">
        <v>19</v>
      </c>
      <c r="G3" s="40">
        <v>0</v>
      </c>
      <c r="H3" s="118">
        <f t="shared" si="0"/>
        <v>0</v>
      </c>
      <c r="I3" s="80"/>
      <c r="N3" s="100" t="s">
        <v>108</v>
      </c>
      <c r="O3" s="107">
        <f t="shared" si="1"/>
        <v>0</v>
      </c>
      <c r="P3" s="104">
        <v>0</v>
      </c>
      <c r="Q3" s="88">
        <v>0</v>
      </c>
    </row>
    <row r="4" spans="1:17">
      <c r="A4" s="19" t="s">
        <v>6</v>
      </c>
      <c r="B4" s="152">
        <v>0</v>
      </c>
      <c r="C4" s="153"/>
      <c r="E4" s="55" t="s">
        <v>55</v>
      </c>
      <c r="F4" s="52" t="s">
        <v>20</v>
      </c>
      <c r="G4" s="40">
        <v>0</v>
      </c>
      <c r="H4" s="118">
        <f t="shared" si="0"/>
        <v>0</v>
      </c>
      <c r="I4" s="80"/>
      <c r="N4" s="100" t="s">
        <v>109</v>
      </c>
      <c r="O4" s="107">
        <f t="shared" si="1"/>
        <v>0</v>
      </c>
      <c r="P4" s="104">
        <v>0</v>
      </c>
      <c r="Q4" s="88">
        <v>0</v>
      </c>
    </row>
    <row r="5" spans="1:17">
      <c r="A5" s="19" t="s">
        <v>7</v>
      </c>
      <c r="B5" s="154">
        <f>IF(B$2=0,0,B$4/B$2)</f>
        <v>0</v>
      </c>
      <c r="C5" s="155"/>
      <c r="E5" s="55" t="s">
        <v>56</v>
      </c>
      <c r="F5" s="52" t="s">
        <v>159</v>
      </c>
      <c r="G5" s="40">
        <v>0</v>
      </c>
      <c r="H5" s="118">
        <f t="shared" si="0"/>
        <v>0</v>
      </c>
      <c r="I5" s="80"/>
      <c r="N5" s="100" t="s">
        <v>161</v>
      </c>
      <c r="O5" s="107">
        <f>IF(P5=0,0,Q5/P5)</f>
        <v>0</v>
      </c>
      <c r="P5" s="104">
        <v>0</v>
      </c>
      <c r="Q5" s="88">
        <v>0</v>
      </c>
    </row>
    <row r="6" spans="1:17">
      <c r="A6" s="19" t="s">
        <v>1</v>
      </c>
      <c r="B6" s="156">
        <f>IF(B$2=0,0,(B$7*1+B$8*2+B$9*3+B$10*4)/B$2)</f>
        <v>0</v>
      </c>
      <c r="C6" s="157"/>
      <c r="E6" s="55" t="s">
        <v>57</v>
      </c>
      <c r="F6" s="52" t="s">
        <v>190</v>
      </c>
      <c r="G6" s="40">
        <v>0</v>
      </c>
      <c r="H6" s="118">
        <f t="shared" si="0"/>
        <v>0</v>
      </c>
      <c r="I6" s="80"/>
      <c r="N6" s="100" t="s">
        <v>110</v>
      </c>
      <c r="O6" s="107">
        <f t="shared" ref="O6" si="2">IF(P6=0,0,Q6/P6)</f>
        <v>0</v>
      </c>
      <c r="P6" s="104">
        <v>0</v>
      </c>
      <c r="Q6" s="88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55" t="s">
        <v>58</v>
      </c>
      <c r="F7" s="52" t="s">
        <v>21</v>
      </c>
      <c r="G7" s="40">
        <v>0</v>
      </c>
      <c r="H7" s="118">
        <f t="shared" si="0"/>
        <v>0</v>
      </c>
      <c r="I7" s="80"/>
      <c r="N7" s="100" t="s">
        <v>111</v>
      </c>
      <c r="O7" s="107">
        <f t="shared" si="1"/>
        <v>0</v>
      </c>
      <c r="P7" s="104">
        <v>0</v>
      </c>
      <c r="Q7" s="88">
        <v>0</v>
      </c>
    </row>
    <row r="8" spans="1:17">
      <c r="A8" s="19" t="s">
        <v>3</v>
      </c>
      <c r="B8" s="13">
        <v>0</v>
      </c>
      <c r="C8" s="33">
        <f>IF(B$2=0,0,B8/B$2)</f>
        <v>0</v>
      </c>
      <c r="E8" s="55" t="s">
        <v>59</v>
      </c>
      <c r="F8" s="52" t="s">
        <v>22</v>
      </c>
      <c r="G8" s="40">
        <v>0</v>
      </c>
      <c r="H8" s="118">
        <f t="shared" si="0"/>
        <v>0</v>
      </c>
      <c r="I8" s="80"/>
      <c r="N8" s="100" t="s">
        <v>112</v>
      </c>
      <c r="O8" s="107">
        <f t="shared" si="1"/>
        <v>0</v>
      </c>
      <c r="P8" s="104">
        <v>0</v>
      </c>
      <c r="Q8" s="88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55" t="s">
        <v>60</v>
      </c>
      <c r="F9" s="52" t="s">
        <v>23</v>
      </c>
      <c r="G9" s="40">
        <v>0</v>
      </c>
      <c r="H9" s="118">
        <f t="shared" si="0"/>
        <v>0</v>
      </c>
      <c r="I9" s="80"/>
      <c r="N9" s="101" t="s">
        <v>162</v>
      </c>
      <c r="O9" s="108">
        <f t="shared" si="1"/>
        <v>0</v>
      </c>
      <c r="P9" s="105">
        <v>0</v>
      </c>
      <c r="Q9" s="89">
        <v>0</v>
      </c>
    </row>
    <row r="10" spans="1:17">
      <c r="A10" s="48" t="s">
        <v>156</v>
      </c>
      <c r="B10" s="41">
        <v>0</v>
      </c>
      <c r="C10" s="34">
        <f>IF(B$2=0,0,B10/B$2)</f>
        <v>0</v>
      </c>
      <c r="E10" s="55" t="s">
        <v>61</v>
      </c>
      <c r="F10" s="52" t="s">
        <v>24</v>
      </c>
      <c r="G10" s="40">
        <v>0</v>
      </c>
      <c r="H10" s="118">
        <f t="shared" si="0"/>
        <v>0</v>
      </c>
      <c r="I10" s="80"/>
      <c r="N10" s="37"/>
      <c r="O10" s="112"/>
      <c r="P10" s="96"/>
      <c r="Q10" s="94"/>
    </row>
    <row r="11" spans="1:17">
      <c r="A11" s="48" t="s">
        <v>157</v>
      </c>
      <c r="B11" s="41">
        <f>B7+B8</f>
        <v>0</v>
      </c>
      <c r="C11" s="34">
        <f>IF(B$2=0,0,B11/B$2)</f>
        <v>0</v>
      </c>
      <c r="E11" s="55" t="s">
        <v>62</v>
      </c>
      <c r="F11" s="52" t="s">
        <v>25</v>
      </c>
      <c r="G11" s="40">
        <v>0</v>
      </c>
      <c r="H11" s="118">
        <f t="shared" si="0"/>
        <v>0</v>
      </c>
      <c r="I11" s="80"/>
      <c r="N11" s="98" t="s">
        <v>175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0</v>
      </c>
      <c r="C12" s="36">
        <f t="shared" si="3"/>
        <v>0</v>
      </c>
      <c r="E12" s="55" t="s">
        <v>63</v>
      </c>
      <c r="F12" s="52" t="s">
        <v>26</v>
      </c>
      <c r="G12" s="40">
        <v>0</v>
      </c>
      <c r="H12" s="118">
        <f t="shared" si="0"/>
        <v>0</v>
      </c>
      <c r="I12" s="80"/>
      <c r="N12" s="99" t="s">
        <v>130</v>
      </c>
      <c r="O12" s="109">
        <f>IF(P12=0,0,Q12/P12)</f>
        <v>0</v>
      </c>
      <c r="P12" s="103">
        <v>0</v>
      </c>
      <c r="Q12" s="91">
        <v>0</v>
      </c>
    </row>
    <row r="13" spans="1:17">
      <c r="A13" s="22" t="s">
        <v>101</v>
      </c>
      <c r="B13" s="15">
        <v>0</v>
      </c>
      <c r="C13" s="11">
        <f>IF(B$3=0,0,B13/B$3)</f>
        <v>0</v>
      </c>
      <c r="E13" s="55" t="s">
        <v>64</v>
      </c>
      <c r="F13" s="52" t="s">
        <v>27</v>
      </c>
      <c r="G13" s="40">
        <v>0</v>
      </c>
      <c r="H13" s="118">
        <f t="shared" si="0"/>
        <v>0</v>
      </c>
      <c r="I13" s="80"/>
      <c r="N13" s="100" t="s">
        <v>131</v>
      </c>
      <c r="O13" s="110">
        <f>IF(P13=0,0,Q13/P13)</f>
        <v>0</v>
      </c>
      <c r="P13" s="104">
        <v>0</v>
      </c>
      <c r="Q13" s="92">
        <v>0</v>
      </c>
    </row>
    <row r="14" spans="1:17">
      <c r="A14" s="19" t="s">
        <v>98</v>
      </c>
      <c r="B14" s="13">
        <v>0</v>
      </c>
      <c r="C14" s="6">
        <f>IF(B$3=0,0,B14/B$3)</f>
        <v>0</v>
      </c>
      <c r="E14" s="55" t="s">
        <v>65</v>
      </c>
      <c r="F14" s="52" t="s">
        <v>28</v>
      </c>
      <c r="G14" s="40">
        <v>0</v>
      </c>
      <c r="H14" s="118">
        <f t="shared" si="0"/>
        <v>0</v>
      </c>
      <c r="I14" s="80"/>
      <c r="N14" s="100" t="s">
        <v>132</v>
      </c>
      <c r="O14" s="110">
        <f>IF(P14=0,0,Q14/P14)</f>
        <v>0</v>
      </c>
      <c r="P14" s="104">
        <v>0</v>
      </c>
      <c r="Q14" s="92">
        <v>0</v>
      </c>
    </row>
    <row r="15" spans="1:17">
      <c r="A15" s="18" t="s">
        <v>103</v>
      </c>
      <c r="B15" s="12">
        <f>B21</f>
        <v>0</v>
      </c>
      <c r="C15" s="4">
        <f>IF(B$13=0,0,B15/B$13)</f>
        <v>0</v>
      </c>
      <c r="E15" s="55" t="s">
        <v>66</v>
      </c>
      <c r="F15" s="52" t="s">
        <v>29</v>
      </c>
      <c r="G15" s="40">
        <v>0</v>
      </c>
      <c r="H15" s="118">
        <f t="shared" si="0"/>
        <v>0</v>
      </c>
      <c r="I15" s="80"/>
      <c r="N15" s="101" t="s">
        <v>163</v>
      </c>
      <c r="O15" s="111">
        <f>IF(P15=0,0,Q15/P15)</f>
        <v>0</v>
      </c>
      <c r="P15" s="105">
        <v>0</v>
      </c>
      <c r="Q15" s="93">
        <v>0</v>
      </c>
    </row>
    <row r="16" spans="1:17">
      <c r="A16" s="18" t="s">
        <v>104</v>
      </c>
      <c r="B16" s="12">
        <f>B22</f>
        <v>0</v>
      </c>
      <c r="C16" s="4">
        <f>IF(B$14=0,0,B16/B$14)</f>
        <v>0</v>
      </c>
      <c r="E16" s="55" t="s">
        <v>67</v>
      </c>
      <c r="F16" s="52" t="s">
        <v>30</v>
      </c>
      <c r="G16" s="40">
        <v>0</v>
      </c>
      <c r="H16" s="118">
        <f t="shared" si="0"/>
        <v>0</v>
      </c>
      <c r="I16" s="80"/>
      <c r="N16" s="27"/>
      <c r="O16" s="95"/>
      <c r="P16" s="97"/>
      <c r="Q16" s="95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55" t="s">
        <v>68</v>
      </c>
      <c r="F17" s="52" t="s">
        <v>31</v>
      </c>
      <c r="G17" s="40">
        <v>0</v>
      </c>
      <c r="H17" s="118">
        <f t="shared" si="0"/>
        <v>0</v>
      </c>
      <c r="I17" s="80"/>
      <c r="N17" s="98" t="s">
        <v>123</v>
      </c>
      <c r="O17" s="28" t="s">
        <v>124</v>
      </c>
      <c r="P17" s="102" t="s">
        <v>125</v>
      </c>
      <c r="Q17" s="90" t="s">
        <v>126</v>
      </c>
    </row>
    <row r="18" spans="1:17">
      <c r="A18" s="47" t="s">
        <v>13</v>
      </c>
      <c r="B18" s="40">
        <v>0</v>
      </c>
      <c r="C18" s="33">
        <f>IF(B$3=0,0,B18/B$3)</f>
        <v>0</v>
      </c>
      <c r="E18" s="55" t="s">
        <v>188</v>
      </c>
      <c r="F18" s="52" t="s">
        <v>191</v>
      </c>
      <c r="G18" s="40">
        <v>0</v>
      </c>
      <c r="H18" s="118">
        <f t="shared" si="0"/>
        <v>0</v>
      </c>
      <c r="I18" s="80"/>
      <c r="N18" s="99"/>
      <c r="O18" s="109"/>
      <c r="P18" s="103"/>
      <c r="Q18" s="91"/>
    </row>
    <row r="19" spans="1:17">
      <c r="A19" s="19" t="s">
        <v>12</v>
      </c>
      <c r="B19" s="13">
        <v>0</v>
      </c>
      <c r="C19" s="6">
        <f>IF(B$17=0,0,B19/B$17)</f>
        <v>0</v>
      </c>
      <c r="E19" s="55" t="s">
        <v>69</v>
      </c>
      <c r="F19" s="52" t="s">
        <v>32</v>
      </c>
      <c r="G19" s="40">
        <v>0</v>
      </c>
      <c r="H19" s="118">
        <f t="shared" si="0"/>
        <v>0</v>
      </c>
      <c r="I19" s="80"/>
    </row>
    <row r="20" spans="1:17">
      <c r="A20" s="19" t="s">
        <v>11</v>
      </c>
      <c r="B20" s="13">
        <v>0</v>
      </c>
      <c r="C20" s="6">
        <f>IF(B$17=0,0,B20/B$17)</f>
        <v>0</v>
      </c>
      <c r="E20" s="55" t="s">
        <v>70</v>
      </c>
      <c r="F20" s="52" t="s">
        <v>33</v>
      </c>
      <c r="G20" s="40">
        <v>0</v>
      </c>
      <c r="H20" s="118">
        <f t="shared" si="0"/>
        <v>0</v>
      </c>
      <c r="I20" s="80"/>
    </row>
    <row r="21" spans="1:17">
      <c r="A21" s="47" t="s">
        <v>155</v>
      </c>
      <c r="B21" s="40">
        <v>0</v>
      </c>
      <c r="C21" s="33">
        <f>IF(B$17=0,0,B21/B$17)</f>
        <v>0</v>
      </c>
      <c r="E21" s="55" t="s">
        <v>71</v>
      </c>
      <c r="F21" s="52" t="s">
        <v>34</v>
      </c>
      <c r="G21" s="40">
        <v>0</v>
      </c>
      <c r="H21" s="118">
        <f t="shared" si="0"/>
        <v>0</v>
      </c>
      <c r="I21" s="80"/>
    </row>
    <row r="22" spans="1:17">
      <c r="A22" s="47" t="s">
        <v>153</v>
      </c>
      <c r="B22" s="40">
        <v>0</v>
      </c>
      <c r="C22" s="33">
        <f>IF(B$17=0,0,B22/B$17)</f>
        <v>0</v>
      </c>
      <c r="E22" s="55" t="s">
        <v>72</v>
      </c>
      <c r="F22" s="52" t="s">
        <v>35</v>
      </c>
      <c r="G22" s="40">
        <v>0</v>
      </c>
      <c r="H22" s="118">
        <f t="shared" si="0"/>
        <v>0</v>
      </c>
      <c r="I22" s="80"/>
    </row>
    <row r="23" spans="1:17">
      <c r="A23" s="19" t="s">
        <v>154</v>
      </c>
      <c r="B23" s="40">
        <v>0</v>
      </c>
      <c r="C23" s="33">
        <f>IF(B$17=0,0,B23/B$17)</f>
        <v>0</v>
      </c>
      <c r="E23" s="55" t="s">
        <v>73</v>
      </c>
      <c r="F23" s="52" t="s">
        <v>36</v>
      </c>
      <c r="G23" s="40">
        <v>0</v>
      </c>
      <c r="H23" s="118">
        <f t="shared" si="0"/>
        <v>0</v>
      </c>
      <c r="I23" s="80"/>
    </row>
    <row r="24" spans="1:17">
      <c r="A24" s="19" t="s">
        <v>5</v>
      </c>
      <c r="B24" s="16">
        <f>IF(B$17=0,0,C24/B$17)</f>
        <v>0</v>
      </c>
      <c r="C24" s="8">
        <v>0</v>
      </c>
      <c r="E24" s="55" t="s">
        <v>74</v>
      </c>
      <c r="F24" s="52" t="s">
        <v>37</v>
      </c>
      <c r="G24" s="40">
        <v>0</v>
      </c>
      <c r="H24" s="118">
        <f t="shared" si="0"/>
        <v>0</v>
      </c>
      <c r="I24" s="80"/>
    </row>
    <row r="25" spans="1:17">
      <c r="A25" s="48" t="s">
        <v>137</v>
      </c>
      <c r="B25" s="121">
        <f>IF($B$17-B$16=0,0,C25/($B$17-B$16))</f>
        <v>0</v>
      </c>
      <c r="C25" s="122">
        <v>0</v>
      </c>
      <c r="E25" s="55" t="s">
        <v>75</v>
      </c>
      <c r="F25" s="52" t="s">
        <v>38</v>
      </c>
      <c r="G25" s="40">
        <v>0</v>
      </c>
      <c r="H25" s="118">
        <f t="shared" si="0"/>
        <v>0</v>
      </c>
      <c r="I25" s="80"/>
    </row>
    <row r="26" spans="1:17">
      <c r="A26" s="48" t="s">
        <v>138</v>
      </c>
      <c r="B26" s="121">
        <f>IF(B$16=0,0,C26/B$16)</f>
        <v>0</v>
      </c>
      <c r="C26" s="122">
        <v>0</v>
      </c>
      <c r="E26" s="55" t="s">
        <v>76</v>
      </c>
      <c r="F26" s="52" t="s">
        <v>39</v>
      </c>
      <c r="G26" s="40">
        <v>0</v>
      </c>
      <c r="H26" s="118">
        <f t="shared" si="0"/>
        <v>0</v>
      </c>
      <c r="I26" s="80"/>
    </row>
    <row r="27" spans="1:17">
      <c r="A27" s="48" t="s">
        <v>136</v>
      </c>
      <c r="B27" s="121">
        <f>IF(B$18=0,0,C27/B$18)</f>
        <v>0</v>
      </c>
      <c r="C27" s="122">
        <v>0</v>
      </c>
      <c r="E27" s="55" t="s">
        <v>77</v>
      </c>
      <c r="F27" s="52" t="s">
        <v>40</v>
      </c>
      <c r="G27" s="40">
        <v>0</v>
      </c>
      <c r="H27" s="118">
        <f t="shared" si="0"/>
        <v>0</v>
      </c>
      <c r="I27" s="80"/>
    </row>
    <row r="28" spans="1:17">
      <c r="A28" s="47" t="s">
        <v>134</v>
      </c>
      <c r="B28" s="40">
        <v>0</v>
      </c>
      <c r="C28" s="120">
        <v>0</v>
      </c>
      <c r="E28" s="55" t="s">
        <v>78</v>
      </c>
      <c r="F28" s="52" t="s">
        <v>41</v>
      </c>
      <c r="G28" s="40">
        <v>0</v>
      </c>
      <c r="H28" s="118">
        <f t="shared" si="0"/>
        <v>0</v>
      </c>
      <c r="I28" s="80"/>
    </row>
    <row r="29" spans="1:17">
      <c r="A29" s="47" t="s">
        <v>135</v>
      </c>
      <c r="B29" s="40">
        <v>0</v>
      </c>
      <c r="C29" s="120">
        <v>0</v>
      </c>
      <c r="E29" s="55" t="s">
        <v>79</v>
      </c>
      <c r="F29" s="52" t="s">
        <v>42</v>
      </c>
      <c r="G29" s="40">
        <v>0</v>
      </c>
      <c r="H29" s="118">
        <f t="shared" si="0"/>
        <v>0</v>
      </c>
      <c r="I29" s="80"/>
    </row>
    <row r="30" spans="1:17">
      <c r="A30" s="76" t="s">
        <v>115</v>
      </c>
      <c r="B30" s="142">
        <v>0</v>
      </c>
      <c r="C30" s="143"/>
      <c r="E30" s="55" t="s">
        <v>80</v>
      </c>
      <c r="F30" s="52" t="s">
        <v>43</v>
      </c>
      <c r="G30" s="40">
        <v>0</v>
      </c>
      <c r="H30" s="118">
        <f t="shared" si="0"/>
        <v>0</v>
      </c>
      <c r="I30" s="80"/>
    </row>
    <row r="31" spans="1:17">
      <c r="A31" s="50" t="s">
        <v>152</v>
      </c>
      <c r="B31" s="144">
        <v>-1000000</v>
      </c>
      <c r="C31" s="145"/>
      <c r="E31" s="55" t="s">
        <v>81</v>
      </c>
      <c r="F31" s="52" t="s">
        <v>44</v>
      </c>
      <c r="G31" s="40">
        <v>0</v>
      </c>
      <c r="H31" s="118">
        <f t="shared" si="0"/>
        <v>0</v>
      </c>
      <c r="I31" s="80"/>
    </row>
    <row r="32" spans="1:17">
      <c r="A32" s="21" t="s">
        <v>116</v>
      </c>
      <c r="B32" s="26">
        <v>0</v>
      </c>
      <c r="C32" s="9">
        <f>IF(B$3=0,0,B32/B$3)</f>
        <v>0</v>
      </c>
      <c r="E32" s="55" t="s">
        <v>82</v>
      </c>
      <c r="F32" s="52" t="s">
        <v>45</v>
      </c>
      <c r="G32" s="40">
        <v>0</v>
      </c>
      <c r="H32" s="118">
        <f t="shared" si="0"/>
        <v>0</v>
      </c>
      <c r="I32" s="80"/>
    </row>
    <row r="33" spans="1:9">
      <c r="E33" s="55" t="s">
        <v>83</v>
      </c>
      <c r="F33" s="52" t="s">
        <v>46</v>
      </c>
      <c r="G33" s="40">
        <v>0</v>
      </c>
      <c r="H33" s="118">
        <f t="shared" si="0"/>
        <v>0</v>
      </c>
      <c r="I33" s="80"/>
    </row>
    <row r="34" spans="1:9">
      <c r="A34" s="129" t="s">
        <v>176</v>
      </c>
      <c r="B34" s="130" t="s">
        <v>177</v>
      </c>
      <c r="C34" s="131" t="s">
        <v>178</v>
      </c>
      <c r="E34" s="55" t="s">
        <v>84</v>
      </c>
      <c r="F34" s="52" t="s">
        <v>47</v>
      </c>
      <c r="G34" s="40">
        <v>0</v>
      </c>
      <c r="H34" s="118">
        <f t="shared" si="0"/>
        <v>0</v>
      </c>
      <c r="I34" s="80"/>
    </row>
    <row r="35" spans="1:9">
      <c r="A35" s="76" t="s">
        <v>143</v>
      </c>
      <c r="B35" s="123">
        <v>0</v>
      </c>
      <c r="C35" s="126">
        <f t="shared" ref="C35:C47" si="4">IF(B$17=0,0,B35/B$17)</f>
        <v>0</v>
      </c>
      <c r="E35" s="55" t="s">
        <v>85</v>
      </c>
      <c r="F35" s="52" t="s">
        <v>48</v>
      </c>
      <c r="G35" s="40">
        <v>0</v>
      </c>
      <c r="H35" s="118">
        <f t="shared" si="0"/>
        <v>0</v>
      </c>
      <c r="I35" s="80"/>
    </row>
    <row r="36" spans="1:9">
      <c r="A36" s="47" t="s">
        <v>139</v>
      </c>
      <c r="B36" s="40">
        <v>0</v>
      </c>
      <c r="C36" s="33">
        <f t="shared" si="4"/>
        <v>0</v>
      </c>
      <c r="E36" s="55" t="s">
        <v>86</v>
      </c>
      <c r="F36" s="52" t="s">
        <v>49</v>
      </c>
      <c r="G36" s="40">
        <v>0</v>
      </c>
      <c r="H36" s="118">
        <f t="shared" si="0"/>
        <v>0</v>
      </c>
      <c r="I36" s="80"/>
    </row>
    <row r="37" spans="1:9">
      <c r="A37" s="47" t="s">
        <v>140</v>
      </c>
      <c r="B37" s="124">
        <v>0</v>
      </c>
      <c r="C37" s="33">
        <f t="shared" si="4"/>
        <v>0</v>
      </c>
      <c r="E37" s="55" t="s">
        <v>87</v>
      </c>
      <c r="F37" s="52" t="s">
        <v>50</v>
      </c>
      <c r="G37" s="40">
        <v>0</v>
      </c>
      <c r="H37" s="118">
        <f t="shared" si="0"/>
        <v>0</v>
      </c>
      <c r="I37" s="80"/>
    </row>
    <row r="38" spans="1:9">
      <c r="A38" s="47" t="s">
        <v>141</v>
      </c>
      <c r="B38" s="124">
        <v>0</v>
      </c>
      <c r="C38" s="33">
        <f t="shared" si="4"/>
        <v>0</v>
      </c>
      <c r="E38" s="55" t="s">
        <v>88</v>
      </c>
      <c r="F38" s="52" t="s">
        <v>51</v>
      </c>
      <c r="G38" s="40">
        <v>0</v>
      </c>
      <c r="H38" s="118">
        <f t="shared" si="0"/>
        <v>0</v>
      </c>
      <c r="I38" s="80"/>
    </row>
    <row r="39" spans="1:9">
      <c r="A39" s="47" t="s">
        <v>142</v>
      </c>
      <c r="B39" s="124">
        <v>0</v>
      </c>
      <c r="C39" s="33">
        <f t="shared" si="4"/>
        <v>0</v>
      </c>
      <c r="E39" s="55" t="s">
        <v>89</v>
      </c>
      <c r="F39" s="52" t="s">
        <v>52</v>
      </c>
      <c r="G39" s="40">
        <v>0</v>
      </c>
      <c r="H39" s="118">
        <f t="shared" si="0"/>
        <v>0</v>
      </c>
      <c r="I39" s="80"/>
    </row>
    <row r="40" spans="1:9">
      <c r="A40" s="47" t="s">
        <v>144</v>
      </c>
      <c r="B40" s="124">
        <v>0</v>
      </c>
      <c r="C40" s="33">
        <f t="shared" si="4"/>
        <v>0</v>
      </c>
      <c r="E40" s="55" t="s">
        <v>90</v>
      </c>
      <c r="F40" s="52" t="s">
        <v>53</v>
      </c>
      <c r="G40" s="40">
        <v>0</v>
      </c>
      <c r="H40" s="118">
        <f t="shared" si="0"/>
        <v>0</v>
      </c>
      <c r="I40" s="80"/>
    </row>
    <row r="41" spans="1:9">
      <c r="A41" s="47" t="s">
        <v>145</v>
      </c>
      <c r="B41" s="124">
        <v>0</v>
      </c>
      <c r="C41" s="33">
        <f t="shared" si="4"/>
        <v>0</v>
      </c>
      <c r="E41" s="55" t="s">
        <v>91</v>
      </c>
      <c r="F41" s="52" t="s">
        <v>54</v>
      </c>
      <c r="G41" s="40">
        <v>0</v>
      </c>
      <c r="H41" s="118">
        <f t="shared" si="0"/>
        <v>0</v>
      </c>
      <c r="I41" s="80"/>
    </row>
    <row r="42" spans="1:9">
      <c r="A42" s="47" t="s">
        <v>146</v>
      </c>
      <c r="B42" s="124">
        <v>0</v>
      </c>
      <c r="C42" s="33">
        <f t="shared" si="4"/>
        <v>0</v>
      </c>
      <c r="E42" s="55" t="s">
        <v>92</v>
      </c>
      <c r="F42" s="52" t="s">
        <v>192</v>
      </c>
      <c r="G42" s="40">
        <v>0</v>
      </c>
      <c r="H42" s="118">
        <f t="shared" si="0"/>
        <v>0</v>
      </c>
      <c r="I42" s="80"/>
    </row>
    <row r="43" spans="1:9">
      <c r="A43" s="47" t="s">
        <v>147</v>
      </c>
      <c r="B43" s="124">
        <v>0</v>
      </c>
      <c r="C43" s="33">
        <f t="shared" si="4"/>
        <v>0</v>
      </c>
      <c r="E43" s="55" t="s">
        <v>93</v>
      </c>
      <c r="F43" s="52" t="s">
        <v>193</v>
      </c>
      <c r="G43" s="40">
        <v>0</v>
      </c>
      <c r="H43" s="118">
        <f t="shared" si="0"/>
        <v>0</v>
      </c>
      <c r="I43" s="80"/>
    </row>
    <row r="44" spans="1:9">
      <c r="A44" s="47" t="s">
        <v>148</v>
      </c>
      <c r="B44" s="124">
        <v>0</v>
      </c>
      <c r="C44" s="33">
        <f t="shared" si="4"/>
        <v>0</v>
      </c>
      <c r="E44" s="55" t="s">
        <v>94</v>
      </c>
      <c r="F44" s="52" t="s">
        <v>194</v>
      </c>
      <c r="G44" s="40">
        <v>0</v>
      </c>
      <c r="H44" s="118">
        <f t="shared" si="0"/>
        <v>0</v>
      </c>
      <c r="I44" s="80"/>
    </row>
    <row r="45" spans="1:9">
      <c r="A45" s="47" t="s">
        <v>149</v>
      </c>
      <c r="B45" s="124">
        <v>0</v>
      </c>
      <c r="C45" s="33">
        <f t="shared" si="4"/>
        <v>0</v>
      </c>
      <c r="E45" s="56" t="s">
        <v>189</v>
      </c>
      <c r="F45" s="53" t="s">
        <v>195</v>
      </c>
      <c r="G45" s="42">
        <v>0</v>
      </c>
      <c r="H45" s="119">
        <f t="shared" si="0"/>
        <v>0</v>
      </c>
      <c r="I45" s="81"/>
    </row>
    <row r="46" spans="1:9">
      <c r="A46" s="47" t="s">
        <v>150</v>
      </c>
      <c r="B46" s="124">
        <v>0</v>
      </c>
      <c r="C46" s="33">
        <f t="shared" si="4"/>
        <v>0</v>
      </c>
    </row>
    <row r="47" spans="1:9">
      <c r="A47" s="49" t="s">
        <v>151</v>
      </c>
      <c r="B47" s="125">
        <v>0</v>
      </c>
      <c r="C47" s="36">
        <f t="shared" si="4"/>
        <v>0</v>
      </c>
    </row>
  </sheetData>
  <mergeCells count="8">
    <mergeCell ref="B31:C31"/>
    <mergeCell ref="B30:C30"/>
    <mergeCell ref="B6:C6"/>
    <mergeCell ref="B1:C1"/>
    <mergeCell ref="B2:C2"/>
    <mergeCell ref="B3:C3"/>
    <mergeCell ref="B4:C4"/>
    <mergeCell ref="B5:C5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18</vt:i4>
      </vt:variant>
      <vt:variant>
        <vt:lpstr>名前付き一覧</vt:lpstr>
      </vt:variant>
      <vt:variant>
        <vt:i4>855</vt:i4>
      </vt:variant>
    </vt:vector>
  </HeadingPairs>
  <TitlesOfParts>
    <vt:vector size="873" baseType="lpstr">
      <vt:lpstr>Cache</vt:lpstr>
      <vt:lpstr>Players</vt:lpstr>
      <vt:lpstr>ランキング</vt:lpstr>
      <vt:lpstr>全体</vt:lpstr>
      <vt:lpstr>松澤亮太</vt:lpstr>
      <vt:lpstr>滝沢悠人</vt:lpstr>
      <vt:lpstr>大池陸斗</vt:lpstr>
      <vt:lpstr>百瀬成空</vt:lpstr>
      <vt:lpstr>佐藤成浩</vt:lpstr>
      <vt:lpstr>依田幸憲</vt:lpstr>
      <vt:lpstr>保谷一貴</vt:lpstr>
      <vt:lpstr>高野源太</vt:lpstr>
      <vt:lpstr>矢ヶ崎健</vt:lpstr>
      <vt:lpstr>小林郁斗</vt:lpstr>
      <vt:lpstr>木角有希</vt:lpstr>
      <vt:lpstr>福澤大地</vt:lpstr>
      <vt:lpstr>高橋桜</vt:lpstr>
      <vt:lpstr>Template</vt:lpstr>
      <vt:lpstr>依田幸憲!アガリ数</vt:lpstr>
      <vt:lpstr>高橋桜!アガリ数</vt:lpstr>
      <vt:lpstr>高野源太!アガリ数</vt:lpstr>
      <vt:lpstr>佐藤成浩!アガリ数</vt:lpstr>
      <vt:lpstr>小林郁斗!アガリ数</vt:lpstr>
      <vt:lpstr>松澤亮太!アガリ数</vt:lpstr>
      <vt:lpstr>全体!アガリ数</vt:lpstr>
      <vt:lpstr>大池陸斗!アガリ数</vt:lpstr>
      <vt:lpstr>滝沢悠人!アガリ数</vt:lpstr>
      <vt:lpstr>百瀬成空!アガリ数</vt:lpstr>
      <vt:lpstr>福澤大地!アガリ数</vt:lpstr>
      <vt:lpstr>保谷一貴!アガリ数</vt:lpstr>
      <vt:lpstr>木角有希!アガリ数</vt:lpstr>
      <vt:lpstr>矢ヶ崎健!アガリ数</vt:lpstr>
      <vt:lpstr>アガリ数</vt:lpstr>
      <vt:lpstr>依田幸憲!アガリ率</vt:lpstr>
      <vt:lpstr>高橋桜!アガリ率</vt:lpstr>
      <vt:lpstr>高野源太!アガリ率</vt:lpstr>
      <vt:lpstr>佐藤成浩!アガリ率</vt:lpstr>
      <vt:lpstr>小林郁斗!アガリ率</vt:lpstr>
      <vt:lpstr>松澤亮太!アガリ率</vt:lpstr>
      <vt:lpstr>全体!アガリ率</vt:lpstr>
      <vt:lpstr>大池陸斗!アガリ率</vt:lpstr>
      <vt:lpstr>滝沢悠人!アガリ率</vt:lpstr>
      <vt:lpstr>百瀬成空!アガリ率</vt:lpstr>
      <vt:lpstr>福澤大地!アガリ率</vt:lpstr>
      <vt:lpstr>保谷一貴!アガリ率</vt:lpstr>
      <vt:lpstr>木角有希!アガリ率</vt:lpstr>
      <vt:lpstr>矢ヶ崎健!アガリ率</vt:lpstr>
      <vt:lpstr>アガリ率</vt:lpstr>
      <vt:lpstr>依田幸憲!ダマアガリ数</vt:lpstr>
      <vt:lpstr>高橋桜!ダマアガリ数</vt:lpstr>
      <vt:lpstr>高野源太!ダマアガリ数</vt:lpstr>
      <vt:lpstr>佐藤成浩!ダマアガリ数</vt:lpstr>
      <vt:lpstr>小林郁斗!ダマアガリ数</vt:lpstr>
      <vt:lpstr>松澤亮太!ダマアガリ数</vt:lpstr>
      <vt:lpstr>全体!ダマアガリ数</vt:lpstr>
      <vt:lpstr>大池陸斗!ダマアガリ数</vt:lpstr>
      <vt:lpstr>滝沢悠人!ダマアガリ数</vt:lpstr>
      <vt:lpstr>百瀬成空!ダマアガリ数</vt:lpstr>
      <vt:lpstr>福澤大地!ダマアガリ数</vt:lpstr>
      <vt:lpstr>保谷一貴!ダマアガリ数</vt:lpstr>
      <vt:lpstr>木角有希!ダマアガリ数</vt:lpstr>
      <vt:lpstr>矢ヶ崎健!ダマアガリ数</vt:lpstr>
      <vt:lpstr>ダマアガリ数</vt:lpstr>
      <vt:lpstr>依田幸憲!ダマアガリ率</vt:lpstr>
      <vt:lpstr>高橋桜!ダマアガリ率</vt:lpstr>
      <vt:lpstr>高野源太!ダマアガリ率</vt:lpstr>
      <vt:lpstr>佐藤成浩!ダマアガリ率</vt:lpstr>
      <vt:lpstr>小林郁斗!ダマアガリ率</vt:lpstr>
      <vt:lpstr>松澤亮太!ダマアガリ率</vt:lpstr>
      <vt:lpstr>全体!ダマアガリ率</vt:lpstr>
      <vt:lpstr>大池陸斗!ダマアガリ率</vt:lpstr>
      <vt:lpstr>滝沢悠人!ダマアガリ率</vt:lpstr>
      <vt:lpstr>百瀬成空!ダマアガリ率</vt:lpstr>
      <vt:lpstr>福澤大地!ダマアガリ率</vt:lpstr>
      <vt:lpstr>保谷一貴!ダマアガリ率</vt:lpstr>
      <vt:lpstr>木角有希!ダマアガリ率</vt:lpstr>
      <vt:lpstr>矢ヶ崎健!ダマアガリ率</vt:lpstr>
      <vt:lpstr>ダマアガリ率</vt:lpstr>
      <vt:lpstr>依田幸憲!チョンボ数</vt:lpstr>
      <vt:lpstr>高橋桜!チョンボ数</vt:lpstr>
      <vt:lpstr>高野源太!チョンボ数</vt:lpstr>
      <vt:lpstr>佐藤成浩!チョンボ数</vt:lpstr>
      <vt:lpstr>小林郁斗!チョンボ数</vt:lpstr>
      <vt:lpstr>松澤亮太!チョンボ数</vt:lpstr>
      <vt:lpstr>全体!チョンボ数</vt:lpstr>
      <vt:lpstr>大池陸斗!チョンボ数</vt:lpstr>
      <vt:lpstr>滝沢悠人!チョンボ数</vt:lpstr>
      <vt:lpstr>百瀬成空!チョンボ数</vt:lpstr>
      <vt:lpstr>福澤大地!チョンボ数</vt:lpstr>
      <vt:lpstr>保谷一貴!チョンボ数</vt:lpstr>
      <vt:lpstr>木角有希!チョンボ数</vt:lpstr>
      <vt:lpstr>矢ヶ崎健!チョンボ数</vt:lpstr>
      <vt:lpstr>チョンボ数</vt:lpstr>
      <vt:lpstr>依田幸憲!チョンボ率</vt:lpstr>
      <vt:lpstr>高橋桜!チョンボ率</vt:lpstr>
      <vt:lpstr>高野源太!チョンボ率</vt:lpstr>
      <vt:lpstr>佐藤成浩!チョンボ率</vt:lpstr>
      <vt:lpstr>小林郁斗!チョンボ率</vt:lpstr>
      <vt:lpstr>松澤亮太!チョンボ率</vt:lpstr>
      <vt:lpstr>全体!チョンボ率</vt:lpstr>
      <vt:lpstr>大池陸斗!チョンボ率</vt:lpstr>
      <vt:lpstr>滝沢悠人!チョンボ率</vt:lpstr>
      <vt:lpstr>百瀬成空!チョンボ率</vt:lpstr>
      <vt:lpstr>福澤大地!チョンボ率</vt:lpstr>
      <vt:lpstr>保谷一貴!チョンボ率</vt:lpstr>
      <vt:lpstr>木角有希!チョンボ率</vt:lpstr>
      <vt:lpstr>矢ヶ崎健!チョンボ率</vt:lpstr>
      <vt:lpstr>チョンボ率</vt:lpstr>
      <vt:lpstr>依田幸憲!ツモ数</vt:lpstr>
      <vt:lpstr>高橋桜!ツモ数</vt:lpstr>
      <vt:lpstr>高野源太!ツモ数</vt:lpstr>
      <vt:lpstr>佐藤成浩!ツモ数</vt:lpstr>
      <vt:lpstr>小林郁斗!ツモ数</vt:lpstr>
      <vt:lpstr>松澤亮太!ツモ数</vt:lpstr>
      <vt:lpstr>全体!ツモ数</vt:lpstr>
      <vt:lpstr>大池陸斗!ツモ数</vt:lpstr>
      <vt:lpstr>滝沢悠人!ツモ数</vt:lpstr>
      <vt:lpstr>百瀬成空!ツモ数</vt:lpstr>
      <vt:lpstr>福澤大地!ツモ数</vt:lpstr>
      <vt:lpstr>保谷一貴!ツモ数</vt:lpstr>
      <vt:lpstr>木角有希!ツモ数</vt:lpstr>
      <vt:lpstr>矢ヶ崎健!ツモ数</vt:lpstr>
      <vt:lpstr>ツモ数</vt:lpstr>
      <vt:lpstr>依田幸憲!ツモ率</vt:lpstr>
      <vt:lpstr>高橋桜!ツモ率</vt:lpstr>
      <vt:lpstr>高野源太!ツモ率</vt:lpstr>
      <vt:lpstr>佐藤成浩!ツモ率</vt:lpstr>
      <vt:lpstr>小林郁斗!ツモ率</vt:lpstr>
      <vt:lpstr>松澤亮太!ツモ率</vt:lpstr>
      <vt:lpstr>全体!ツモ率</vt:lpstr>
      <vt:lpstr>大池陸斗!ツモ率</vt:lpstr>
      <vt:lpstr>滝沢悠人!ツモ率</vt:lpstr>
      <vt:lpstr>百瀬成空!ツモ率</vt:lpstr>
      <vt:lpstr>福澤大地!ツモ率</vt:lpstr>
      <vt:lpstr>保谷一貴!ツモ率</vt:lpstr>
      <vt:lpstr>木角有希!ツモ率</vt:lpstr>
      <vt:lpstr>矢ヶ崎健!ツモ率</vt:lpstr>
      <vt:lpstr>ツモ率</vt:lpstr>
      <vt:lpstr>依田幸憲!トップ数</vt:lpstr>
      <vt:lpstr>高橋桜!トップ数</vt:lpstr>
      <vt:lpstr>高野源太!トップ数</vt:lpstr>
      <vt:lpstr>佐藤成浩!トップ数</vt:lpstr>
      <vt:lpstr>小林郁斗!トップ数</vt:lpstr>
      <vt:lpstr>松澤亮太!トップ数</vt:lpstr>
      <vt:lpstr>全体!トップ数</vt:lpstr>
      <vt:lpstr>大池陸斗!トップ数</vt:lpstr>
      <vt:lpstr>滝沢悠人!トップ数</vt:lpstr>
      <vt:lpstr>百瀬成空!トップ数</vt:lpstr>
      <vt:lpstr>福澤大地!トップ数</vt:lpstr>
      <vt:lpstr>保谷一貴!トップ数</vt:lpstr>
      <vt:lpstr>木角有希!トップ数</vt:lpstr>
      <vt:lpstr>矢ヶ崎健!トップ数</vt:lpstr>
      <vt:lpstr>トップ数</vt:lpstr>
      <vt:lpstr>依田幸憲!トップ率</vt:lpstr>
      <vt:lpstr>高橋桜!トップ率</vt:lpstr>
      <vt:lpstr>高野源太!トップ率</vt:lpstr>
      <vt:lpstr>佐藤成浩!トップ率</vt:lpstr>
      <vt:lpstr>小林郁斗!トップ率</vt:lpstr>
      <vt:lpstr>松澤亮太!トップ率</vt:lpstr>
      <vt:lpstr>全体!トップ率</vt:lpstr>
      <vt:lpstr>大池陸斗!トップ率</vt:lpstr>
      <vt:lpstr>滝沢悠人!トップ率</vt:lpstr>
      <vt:lpstr>百瀬成空!トップ率</vt:lpstr>
      <vt:lpstr>福澤大地!トップ率</vt:lpstr>
      <vt:lpstr>保谷一貴!トップ率</vt:lpstr>
      <vt:lpstr>木角有希!トップ率</vt:lpstr>
      <vt:lpstr>矢ヶ崎健!トップ率</vt:lpstr>
      <vt:lpstr>トップ率</vt:lpstr>
      <vt:lpstr>依田幸憲!ふっとび数</vt:lpstr>
      <vt:lpstr>高橋桜!ふっとび数</vt:lpstr>
      <vt:lpstr>高野源太!ふっとび数</vt:lpstr>
      <vt:lpstr>佐藤成浩!ふっとび数</vt:lpstr>
      <vt:lpstr>小林郁斗!ふっとび数</vt:lpstr>
      <vt:lpstr>松澤亮太!ふっとび数</vt:lpstr>
      <vt:lpstr>全体!ふっとび数</vt:lpstr>
      <vt:lpstr>大池陸斗!ふっとび数</vt:lpstr>
      <vt:lpstr>滝沢悠人!ふっとび数</vt:lpstr>
      <vt:lpstr>百瀬成空!ふっとび数</vt:lpstr>
      <vt:lpstr>福澤大地!ふっとび数</vt:lpstr>
      <vt:lpstr>保谷一貴!ふっとび数</vt:lpstr>
      <vt:lpstr>木角有希!ふっとび数</vt:lpstr>
      <vt:lpstr>矢ヶ崎健!ふっとび数</vt:lpstr>
      <vt:lpstr>ふっとび数</vt:lpstr>
      <vt:lpstr>依田幸憲!ふっとび率</vt:lpstr>
      <vt:lpstr>高橋桜!ふっとび率</vt:lpstr>
      <vt:lpstr>高野源太!ふっとび率</vt:lpstr>
      <vt:lpstr>佐藤成浩!ふっとび率</vt:lpstr>
      <vt:lpstr>小林郁斗!ふっとび率</vt:lpstr>
      <vt:lpstr>松澤亮太!ふっとび率</vt:lpstr>
      <vt:lpstr>全体!ふっとび率</vt:lpstr>
      <vt:lpstr>大池陸斗!ふっとび率</vt:lpstr>
      <vt:lpstr>滝沢悠人!ふっとび率</vt:lpstr>
      <vt:lpstr>百瀬成空!ふっとび率</vt:lpstr>
      <vt:lpstr>福澤大地!ふっとび率</vt:lpstr>
      <vt:lpstr>保谷一貴!ふっとび率</vt:lpstr>
      <vt:lpstr>木角有希!ふっとび率</vt:lpstr>
      <vt:lpstr>矢ヶ崎健!ふっとび率</vt:lpstr>
      <vt:lpstr>ふっとび率</vt:lpstr>
      <vt:lpstr>依田幸憲!ラス数</vt:lpstr>
      <vt:lpstr>高橋桜!ラス数</vt:lpstr>
      <vt:lpstr>高野源太!ラス数</vt:lpstr>
      <vt:lpstr>佐藤成浩!ラス数</vt:lpstr>
      <vt:lpstr>小林郁斗!ラス数</vt:lpstr>
      <vt:lpstr>松澤亮太!ラス数</vt:lpstr>
      <vt:lpstr>全体!ラス数</vt:lpstr>
      <vt:lpstr>大池陸斗!ラス数</vt:lpstr>
      <vt:lpstr>滝沢悠人!ラス数</vt:lpstr>
      <vt:lpstr>百瀬成空!ラス数</vt:lpstr>
      <vt:lpstr>福澤大地!ラス数</vt:lpstr>
      <vt:lpstr>保谷一貴!ラス数</vt:lpstr>
      <vt:lpstr>木角有希!ラス数</vt:lpstr>
      <vt:lpstr>矢ヶ崎健!ラス数</vt:lpstr>
      <vt:lpstr>ラス数</vt:lpstr>
      <vt:lpstr>依田幸憲!ラス率</vt:lpstr>
      <vt:lpstr>高橋桜!ラス率</vt:lpstr>
      <vt:lpstr>高野源太!ラス率</vt:lpstr>
      <vt:lpstr>佐藤成浩!ラス率</vt:lpstr>
      <vt:lpstr>小林郁斗!ラス率</vt:lpstr>
      <vt:lpstr>松澤亮太!ラス率</vt:lpstr>
      <vt:lpstr>全体!ラス率</vt:lpstr>
      <vt:lpstr>大池陸斗!ラス率</vt:lpstr>
      <vt:lpstr>滝沢悠人!ラス率</vt:lpstr>
      <vt:lpstr>百瀬成空!ラス率</vt:lpstr>
      <vt:lpstr>福澤大地!ラス率</vt:lpstr>
      <vt:lpstr>保谷一貴!ラス率</vt:lpstr>
      <vt:lpstr>木角有希!ラス率</vt:lpstr>
      <vt:lpstr>矢ヶ崎健!ラス率</vt:lpstr>
      <vt:lpstr>ラス率</vt:lpstr>
      <vt:lpstr>依田幸憲!リーチアガリ数</vt:lpstr>
      <vt:lpstr>高橋桜!リーチアガリ数</vt:lpstr>
      <vt:lpstr>高野源太!リーチアガリ数</vt:lpstr>
      <vt:lpstr>佐藤成浩!リーチアガリ数</vt:lpstr>
      <vt:lpstr>小林郁斗!リーチアガリ数</vt:lpstr>
      <vt:lpstr>松澤亮太!リーチアガリ数</vt:lpstr>
      <vt:lpstr>全体!リーチアガリ数</vt:lpstr>
      <vt:lpstr>大池陸斗!リーチアガリ数</vt:lpstr>
      <vt:lpstr>滝沢悠人!リーチアガリ数</vt:lpstr>
      <vt:lpstr>百瀬成空!リーチアガリ数</vt:lpstr>
      <vt:lpstr>福澤大地!リーチアガリ数</vt:lpstr>
      <vt:lpstr>保谷一貴!リーチアガリ数</vt:lpstr>
      <vt:lpstr>木角有希!リーチアガリ数</vt:lpstr>
      <vt:lpstr>矢ヶ崎健!リーチアガリ数</vt:lpstr>
      <vt:lpstr>リーチアガリ数</vt:lpstr>
      <vt:lpstr>依田幸憲!リーチアガリ率</vt:lpstr>
      <vt:lpstr>高橋桜!リーチアガリ率</vt:lpstr>
      <vt:lpstr>高野源太!リーチアガリ率</vt:lpstr>
      <vt:lpstr>佐藤成浩!リーチアガリ率</vt:lpstr>
      <vt:lpstr>小林郁斗!リーチアガリ率</vt:lpstr>
      <vt:lpstr>松澤亮太!リーチアガリ率</vt:lpstr>
      <vt:lpstr>全体!リーチアガリ率</vt:lpstr>
      <vt:lpstr>大池陸斗!リーチアガリ率</vt:lpstr>
      <vt:lpstr>滝沢悠人!リーチアガリ率</vt:lpstr>
      <vt:lpstr>百瀬成空!リーチアガリ率</vt:lpstr>
      <vt:lpstr>福澤大地!リーチアガリ率</vt:lpstr>
      <vt:lpstr>保谷一貴!リーチアガリ率</vt:lpstr>
      <vt:lpstr>木角有希!リーチアガリ率</vt:lpstr>
      <vt:lpstr>矢ヶ崎健!リーチアガリ率</vt:lpstr>
      <vt:lpstr>リーチアガリ率</vt:lpstr>
      <vt:lpstr>依田幸憲!リーチ数</vt:lpstr>
      <vt:lpstr>高橋桜!リーチ数</vt:lpstr>
      <vt:lpstr>高野源太!リーチ数</vt:lpstr>
      <vt:lpstr>佐藤成浩!リーチ数</vt:lpstr>
      <vt:lpstr>小林郁斗!リーチ数</vt:lpstr>
      <vt:lpstr>松澤亮太!リーチ数</vt:lpstr>
      <vt:lpstr>全体!リーチ数</vt:lpstr>
      <vt:lpstr>大池陸斗!リーチ数</vt:lpstr>
      <vt:lpstr>滝沢悠人!リーチ数</vt:lpstr>
      <vt:lpstr>百瀬成空!リーチ数</vt:lpstr>
      <vt:lpstr>福澤大地!リーチ数</vt:lpstr>
      <vt:lpstr>保谷一貴!リーチ数</vt:lpstr>
      <vt:lpstr>木角有希!リーチ数</vt:lpstr>
      <vt:lpstr>矢ヶ崎健!リーチ数</vt:lpstr>
      <vt:lpstr>リーチ数</vt:lpstr>
      <vt:lpstr>依田幸憲!リーチ成功数</vt:lpstr>
      <vt:lpstr>高橋桜!リーチ成功数</vt:lpstr>
      <vt:lpstr>高野源太!リーチ成功数</vt:lpstr>
      <vt:lpstr>佐藤成浩!リーチ成功数</vt:lpstr>
      <vt:lpstr>小林郁斗!リーチ成功数</vt:lpstr>
      <vt:lpstr>松澤亮太!リーチ成功数</vt:lpstr>
      <vt:lpstr>全体!リーチ成功数</vt:lpstr>
      <vt:lpstr>大池陸斗!リーチ成功数</vt:lpstr>
      <vt:lpstr>滝沢悠人!リーチ成功数</vt:lpstr>
      <vt:lpstr>百瀬成空!リーチ成功数</vt:lpstr>
      <vt:lpstr>福澤大地!リーチ成功数</vt:lpstr>
      <vt:lpstr>保谷一貴!リーチ成功数</vt:lpstr>
      <vt:lpstr>木角有希!リーチ成功数</vt:lpstr>
      <vt:lpstr>矢ヶ崎健!リーチ成功数</vt:lpstr>
      <vt:lpstr>リーチ成功数</vt:lpstr>
      <vt:lpstr>依田幸憲!リーチ成功率</vt:lpstr>
      <vt:lpstr>高橋桜!リーチ成功率</vt:lpstr>
      <vt:lpstr>高野源太!リーチ成功率</vt:lpstr>
      <vt:lpstr>佐藤成浩!リーチ成功率</vt:lpstr>
      <vt:lpstr>小林郁斗!リーチ成功率</vt:lpstr>
      <vt:lpstr>松澤亮太!リーチ成功率</vt:lpstr>
      <vt:lpstr>全体!リーチ成功率</vt:lpstr>
      <vt:lpstr>大池陸斗!リーチ成功率</vt:lpstr>
      <vt:lpstr>滝沢悠人!リーチ成功率</vt:lpstr>
      <vt:lpstr>百瀬成空!リーチ成功率</vt:lpstr>
      <vt:lpstr>福澤大地!リーチ成功率</vt:lpstr>
      <vt:lpstr>保谷一貴!リーチ成功率</vt:lpstr>
      <vt:lpstr>木角有希!リーチ成功率</vt:lpstr>
      <vt:lpstr>矢ヶ崎健!リーチ成功率</vt:lpstr>
      <vt:lpstr>リーチ成功率</vt:lpstr>
      <vt:lpstr>依田幸憲!リーチ率</vt:lpstr>
      <vt:lpstr>高橋桜!リーチ率</vt:lpstr>
      <vt:lpstr>高野源太!リーチ率</vt:lpstr>
      <vt:lpstr>佐藤成浩!リーチ率</vt:lpstr>
      <vt:lpstr>小林郁斗!リーチ率</vt:lpstr>
      <vt:lpstr>松澤亮太!リーチ率</vt:lpstr>
      <vt:lpstr>全体!リーチ率</vt:lpstr>
      <vt:lpstr>大池陸斗!リーチ率</vt:lpstr>
      <vt:lpstr>滝沢悠人!リーチ率</vt:lpstr>
      <vt:lpstr>百瀬成空!リーチ率</vt:lpstr>
      <vt:lpstr>福澤大地!リーチ率</vt:lpstr>
      <vt:lpstr>保谷一貴!リーチ率</vt:lpstr>
      <vt:lpstr>木角有希!リーチ率</vt:lpstr>
      <vt:lpstr>矢ヶ崎健!リーチ率</vt:lpstr>
      <vt:lpstr>リーチ率</vt:lpstr>
      <vt:lpstr>依田幸憲!ロン数</vt:lpstr>
      <vt:lpstr>高橋桜!ロン数</vt:lpstr>
      <vt:lpstr>高野源太!ロン数</vt:lpstr>
      <vt:lpstr>佐藤成浩!ロン数</vt:lpstr>
      <vt:lpstr>小林郁斗!ロン数</vt:lpstr>
      <vt:lpstr>松澤亮太!ロン数</vt:lpstr>
      <vt:lpstr>全体!ロン数</vt:lpstr>
      <vt:lpstr>大池陸斗!ロン数</vt:lpstr>
      <vt:lpstr>滝沢悠人!ロン数</vt:lpstr>
      <vt:lpstr>百瀬成空!ロン数</vt:lpstr>
      <vt:lpstr>福澤大地!ロン数</vt:lpstr>
      <vt:lpstr>保谷一貴!ロン数</vt:lpstr>
      <vt:lpstr>木角有希!ロン数</vt:lpstr>
      <vt:lpstr>矢ヶ崎健!ロン数</vt:lpstr>
      <vt:lpstr>ロン数</vt:lpstr>
      <vt:lpstr>依田幸憲!ロン率</vt:lpstr>
      <vt:lpstr>高橋桜!ロン率</vt:lpstr>
      <vt:lpstr>高野源太!ロン率</vt:lpstr>
      <vt:lpstr>佐藤成浩!ロン率</vt:lpstr>
      <vt:lpstr>小林郁斗!ロン率</vt:lpstr>
      <vt:lpstr>松澤亮太!ロン率</vt:lpstr>
      <vt:lpstr>全体!ロン率</vt:lpstr>
      <vt:lpstr>大池陸斗!ロン率</vt:lpstr>
      <vt:lpstr>滝沢悠人!ロン率</vt:lpstr>
      <vt:lpstr>百瀬成空!ロン率</vt:lpstr>
      <vt:lpstr>福澤大地!ロン率</vt:lpstr>
      <vt:lpstr>保谷一貴!ロン率</vt:lpstr>
      <vt:lpstr>木角有希!ロン率</vt:lpstr>
      <vt:lpstr>矢ヶ崎健!ロン率</vt:lpstr>
      <vt:lpstr>ロン率</vt:lpstr>
      <vt:lpstr>依田幸憲!現行連続アガリ</vt:lpstr>
      <vt:lpstr>高橋桜!現行連続アガリ</vt:lpstr>
      <vt:lpstr>高野源太!現行連続アガリ</vt:lpstr>
      <vt:lpstr>佐藤成浩!現行連続アガリ</vt:lpstr>
      <vt:lpstr>小林郁斗!現行連続アガリ</vt:lpstr>
      <vt:lpstr>松澤亮太!現行連続アガリ</vt:lpstr>
      <vt:lpstr>全体!現行連続アガリ</vt:lpstr>
      <vt:lpstr>大池陸斗!現行連続アガリ</vt:lpstr>
      <vt:lpstr>滝沢悠人!現行連続アガリ</vt:lpstr>
      <vt:lpstr>百瀬成空!現行連続アガリ</vt:lpstr>
      <vt:lpstr>福澤大地!現行連続アガリ</vt:lpstr>
      <vt:lpstr>保谷一貴!現行連続アガリ</vt:lpstr>
      <vt:lpstr>木角有希!現行連続アガリ</vt:lpstr>
      <vt:lpstr>矢ヶ崎健!現行連続アガリ</vt:lpstr>
      <vt:lpstr>現行連続アガリ</vt:lpstr>
      <vt:lpstr>依田幸憲!現行連続無放銃</vt:lpstr>
      <vt:lpstr>高橋桜!現行連続無放銃</vt:lpstr>
      <vt:lpstr>高野源太!現行連続無放銃</vt:lpstr>
      <vt:lpstr>佐藤成浩!現行連続無放銃</vt:lpstr>
      <vt:lpstr>小林郁斗!現行連続無放銃</vt:lpstr>
      <vt:lpstr>松澤亮太!現行連続無放銃</vt:lpstr>
      <vt:lpstr>全体!現行連続無放銃</vt:lpstr>
      <vt:lpstr>大池陸斗!現行連続無放銃</vt:lpstr>
      <vt:lpstr>滝沢悠人!現行連続無放銃</vt:lpstr>
      <vt:lpstr>百瀬成空!現行連続無放銃</vt:lpstr>
      <vt:lpstr>福澤大地!現行連続無放銃</vt:lpstr>
      <vt:lpstr>保谷一貴!現行連続無放銃</vt:lpstr>
      <vt:lpstr>木角有希!現行連続無放銃</vt:lpstr>
      <vt:lpstr>矢ヶ崎健!現行連続無放銃</vt:lpstr>
      <vt:lpstr>現行連続無放銃</vt:lpstr>
      <vt:lpstr>依田幸憲!最高点</vt:lpstr>
      <vt:lpstr>高橋桜!最高点</vt:lpstr>
      <vt:lpstr>高野源太!最高点</vt:lpstr>
      <vt:lpstr>佐藤成浩!最高点</vt:lpstr>
      <vt:lpstr>小林郁斗!最高点</vt:lpstr>
      <vt:lpstr>松澤亮太!最高点</vt:lpstr>
      <vt:lpstr>全体!最高点</vt:lpstr>
      <vt:lpstr>大池陸斗!最高点</vt:lpstr>
      <vt:lpstr>滝沢悠人!最高点</vt:lpstr>
      <vt:lpstr>百瀬成空!最高点</vt:lpstr>
      <vt:lpstr>福澤大地!最高点</vt:lpstr>
      <vt:lpstr>保谷一貴!最高点</vt:lpstr>
      <vt:lpstr>木角有希!最高点</vt:lpstr>
      <vt:lpstr>矢ヶ崎健!最高点</vt:lpstr>
      <vt:lpstr>最高点</vt:lpstr>
      <vt:lpstr>依田幸憲!最大ドラ数</vt:lpstr>
      <vt:lpstr>高橋桜!最大ドラ数</vt:lpstr>
      <vt:lpstr>高野源太!最大ドラ数</vt:lpstr>
      <vt:lpstr>佐藤成浩!最大ドラ数</vt:lpstr>
      <vt:lpstr>小林郁斗!最大ドラ数</vt:lpstr>
      <vt:lpstr>松澤亮太!最大ドラ数</vt:lpstr>
      <vt:lpstr>全体!最大ドラ数</vt:lpstr>
      <vt:lpstr>大池陸斗!最大ドラ数</vt:lpstr>
      <vt:lpstr>滝沢悠人!最大ドラ数</vt:lpstr>
      <vt:lpstr>百瀬成空!最大ドラ数</vt:lpstr>
      <vt:lpstr>福澤大地!最大ドラ数</vt:lpstr>
      <vt:lpstr>保谷一貴!最大ドラ数</vt:lpstr>
      <vt:lpstr>木角有希!最大ドラ数</vt:lpstr>
      <vt:lpstr>矢ヶ崎健!最大ドラ数</vt:lpstr>
      <vt:lpstr>最大ドラ数</vt:lpstr>
      <vt:lpstr>依田幸憲!最大点数</vt:lpstr>
      <vt:lpstr>高橋桜!最大点数</vt:lpstr>
      <vt:lpstr>高野源太!最大点数</vt:lpstr>
      <vt:lpstr>佐藤成浩!最大点数</vt:lpstr>
      <vt:lpstr>小林郁斗!最大点数</vt:lpstr>
      <vt:lpstr>松澤亮太!最大点数</vt:lpstr>
      <vt:lpstr>全体!最大点数</vt:lpstr>
      <vt:lpstr>大池陸斗!最大点数</vt:lpstr>
      <vt:lpstr>滝沢悠人!最大点数</vt:lpstr>
      <vt:lpstr>百瀬成空!最大点数</vt:lpstr>
      <vt:lpstr>福澤大地!最大点数</vt:lpstr>
      <vt:lpstr>保谷一貴!最大点数</vt:lpstr>
      <vt:lpstr>木角有希!最大点数</vt:lpstr>
      <vt:lpstr>矢ヶ崎健!最大点数</vt:lpstr>
      <vt:lpstr>最大点数</vt:lpstr>
      <vt:lpstr>依田幸憲!三位数</vt:lpstr>
      <vt:lpstr>高橋桜!三位数</vt:lpstr>
      <vt:lpstr>高野源太!三位数</vt:lpstr>
      <vt:lpstr>佐藤成浩!三位数</vt:lpstr>
      <vt:lpstr>小林郁斗!三位数</vt:lpstr>
      <vt:lpstr>松澤亮太!三位数</vt:lpstr>
      <vt:lpstr>全体!三位数</vt:lpstr>
      <vt:lpstr>大池陸斗!三位数</vt:lpstr>
      <vt:lpstr>滝沢悠人!三位数</vt:lpstr>
      <vt:lpstr>百瀬成空!三位数</vt:lpstr>
      <vt:lpstr>福澤大地!三位数</vt:lpstr>
      <vt:lpstr>保谷一貴!三位数</vt:lpstr>
      <vt:lpstr>木角有希!三位数</vt:lpstr>
      <vt:lpstr>矢ヶ崎健!三位数</vt:lpstr>
      <vt:lpstr>三位数</vt:lpstr>
      <vt:lpstr>依田幸憲!三位率</vt:lpstr>
      <vt:lpstr>高橋桜!三位率</vt:lpstr>
      <vt:lpstr>高野源太!三位率</vt:lpstr>
      <vt:lpstr>佐藤成浩!三位率</vt:lpstr>
      <vt:lpstr>小林郁斗!三位率</vt:lpstr>
      <vt:lpstr>松澤亮太!三位率</vt:lpstr>
      <vt:lpstr>全体!三位率</vt:lpstr>
      <vt:lpstr>大池陸斗!三位率</vt:lpstr>
      <vt:lpstr>滝沢悠人!三位率</vt:lpstr>
      <vt:lpstr>百瀬成空!三位率</vt:lpstr>
      <vt:lpstr>福澤大地!三位率</vt:lpstr>
      <vt:lpstr>保谷一貴!三位率</vt:lpstr>
      <vt:lpstr>木角有希!三位率</vt:lpstr>
      <vt:lpstr>矢ヶ崎健!三位率</vt:lpstr>
      <vt:lpstr>三位率</vt:lpstr>
      <vt:lpstr>依田幸憲!総局数</vt:lpstr>
      <vt:lpstr>高橋桜!総局数</vt:lpstr>
      <vt:lpstr>高野源太!総局数</vt:lpstr>
      <vt:lpstr>佐藤成浩!総局数</vt:lpstr>
      <vt:lpstr>小林郁斗!総局数</vt:lpstr>
      <vt:lpstr>松澤亮太!総局数</vt:lpstr>
      <vt:lpstr>全体!総局数</vt:lpstr>
      <vt:lpstr>大池陸斗!総局数</vt:lpstr>
      <vt:lpstr>滝沢悠人!総局数</vt:lpstr>
      <vt:lpstr>百瀬成空!総局数</vt:lpstr>
      <vt:lpstr>福澤大地!総局数</vt:lpstr>
      <vt:lpstr>保谷一貴!総局数</vt:lpstr>
      <vt:lpstr>木角有希!総局数</vt:lpstr>
      <vt:lpstr>矢ヶ崎健!総局数</vt:lpstr>
      <vt:lpstr>総局数</vt:lpstr>
      <vt:lpstr>依田幸憲!対戦数</vt:lpstr>
      <vt:lpstr>高橋桜!対戦数</vt:lpstr>
      <vt:lpstr>高野源太!対戦数</vt:lpstr>
      <vt:lpstr>佐藤成浩!対戦数</vt:lpstr>
      <vt:lpstr>小林郁斗!対戦数</vt:lpstr>
      <vt:lpstr>松澤亮太!対戦数</vt:lpstr>
      <vt:lpstr>全体!対戦数</vt:lpstr>
      <vt:lpstr>大池陸斗!対戦数</vt:lpstr>
      <vt:lpstr>滝沢悠人!対戦数</vt:lpstr>
      <vt:lpstr>百瀬成空!対戦数</vt:lpstr>
      <vt:lpstr>福澤大地!対戦数</vt:lpstr>
      <vt:lpstr>保谷一貴!対戦数</vt:lpstr>
      <vt:lpstr>木角有希!対戦数</vt:lpstr>
      <vt:lpstr>矢ヶ崎健!対戦数</vt:lpstr>
      <vt:lpstr>対戦数</vt:lpstr>
      <vt:lpstr>依田幸憲!通算アガリ点</vt:lpstr>
      <vt:lpstr>高橋桜!通算アガリ点</vt:lpstr>
      <vt:lpstr>高野源太!通算アガリ点</vt:lpstr>
      <vt:lpstr>佐藤成浩!通算アガリ点</vt:lpstr>
      <vt:lpstr>小林郁斗!通算アガリ点</vt:lpstr>
      <vt:lpstr>松澤亮太!通算アガリ点</vt:lpstr>
      <vt:lpstr>全体!通算アガリ点</vt:lpstr>
      <vt:lpstr>大池陸斗!通算アガリ点</vt:lpstr>
      <vt:lpstr>滝沢悠人!通算アガリ点</vt:lpstr>
      <vt:lpstr>百瀬成空!通算アガリ点</vt:lpstr>
      <vt:lpstr>福澤大地!通算アガリ点</vt:lpstr>
      <vt:lpstr>保谷一貴!通算アガリ点</vt:lpstr>
      <vt:lpstr>木角有希!通算アガリ点</vt:lpstr>
      <vt:lpstr>矢ヶ崎健!通算アガリ点</vt:lpstr>
      <vt:lpstr>通算アガリ点</vt:lpstr>
      <vt:lpstr>依田幸憲!通算スコア</vt:lpstr>
      <vt:lpstr>高橋桜!通算スコア</vt:lpstr>
      <vt:lpstr>高野源太!通算スコア</vt:lpstr>
      <vt:lpstr>佐藤成浩!通算スコア</vt:lpstr>
      <vt:lpstr>小林郁斗!通算スコア</vt:lpstr>
      <vt:lpstr>松澤亮太!通算スコア</vt:lpstr>
      <vt:lpstr>全体!通算スコア</vt:lpstr>
      <vt:lpstr>大池陸斗!通算スコア</vt:lpstr>
      <vt:lpstr>滝沢悠人!通算スコア</vt:lpstr>
      <vt:lpstr>百瀬成空!通算スコア</vt:lpstr>
      <vt:lpstr>福澤大地!通算スコア</vt:lpstr>
      <vt:lpstr>保谷一貴!通算スコア</vt:lpstr>
      <vt:lpstr>木角有希!通算スコア</vt:lpstr>
      <vt:lpstr>矢ヶ崎健!通算スコア</vt:lpstr>
      <vt:lpstr>通算スコア</vt:lpstr>
      <vt:lpstr>依田幸憲!通算副露アガリ点</vt:lpstr>
      <vt:lpstr>高橋桜!通算副露アガリ点</vt:lpstr>
      <vt:lpstr>高野源太!通算副露アガリ点</vt:lpstr>
      <vt:lpstr>佐藤成浩!通算副露アガリ点</vt:lpstr>
      <vt:lpstr>小林郁斗!通算副露アガリ点</vt:lpstr>
      <vt:lpstr>松澤亮太!通算副露アガリ点</vt:lpstr>
      <vt:lpstr>全体!通算副露アガリ点</vt:lpstr>
      <vt:lpstr>大池陸斗!通算副露アガリ点</vt:lpstr>
      <vt:lpstr>滝沢悠人!通算副露アガリ点</vt:lpstr>
      <vt:lpstr>百瀬成空!通算副露アガリ点</vt:lpstr>
      <vt:lpstr>福澤大地!通算副露アガリ点</vt:lpstr>
      <vt:lpstr>保谷一貴!通算副露アガリ点</vt:lpstr>
      <vt:lpstr>木角有希!通算副露アガリ点</vt:lpstr>
      <vt:lpstr>矢ヶ崎健!通算副露アガリ点</vt:lpstr>
      <vt:lpstr>通算副露アガリ点</vt:lpstr>
      <vt:lpstr>依田幸憲!通算放銃点</vt:lpstr>
      <vt:lpstr>高橋桜!通算放銃点</vt:lpstr>
      <vt:lpstr>高野源太!通算放銃点</vt:lpstr>
      <vt:lpstr>佐藤成浩!通算放銃点</vt:lpstr>
      <vt:lpstr>小林郁斗!通算放銃点</vt:lpstr>
      <vt:lpstr>松澤亮太!通算放銃点</vt:lpstr>
      <vt:lpstr>全体!通算放銃点</vt:lpstr>
      <vt:lpstr>大池陸斗!通算放銃点</vt:lpstr>
      <vt:lpstr>滝沢悠人!通算放銃点</vt:lpstr>
      <vt:lpstr>百瀬成空!通算放銃点</vt:lpstr>
      <vt:lpstr>福澤大地!通算放銃点</vt:lpstr>
      <vt:lpstr>保谷一貴!通算放銃点</vt:lpstr>
      <vt:lpstr>木角有希!通算放銃点</vt:lpstr>
      <vt:lpstr>矢ヶ崎健!通算放銃点</vt:lpstr>
      <vt:lpstr>通算放銃点</vt:lpstr>
      <vt:lpstr>依田幸憲!通算門前アガリ点</vt:lpstr>
      <vt:lpstr>高橋桜!通算門前アガリ点</vt:lpstr>
      <vt:lpstr>高野源太!通算門前アガリ点</vt:lpstr>
      <vt:lpstr>佐藤成浩!通算門前アガリ点</vt:lpstr>
      <vt:lpstr>小林郁斗!通算門前アガリ点</vt:lpstr>
      <vt:lpstr>松澤亮太!通算門前アガリ点</vt:lpstr>
      <vt:lpstr>全体!通算門前アガリ点</vt:lpstr>
      <vt:lpstr>大池陸斗!通算門前アガリ点</vt:lpstr>
      <vt:lpstr>滝沢悠人!通算門前アガリ点</vt:lpstr>
      <vt:lpstr>百瀬成空!通算門前アガリ点</vt:lpstr>
      <vt:lpstr>福澤大地!通算門前アガリ点</vt:lpstr>
      <vt:lpstr>保谷一貴!通算門前アガリ点</vt:lpstr>
      <vt:lpstr>木角有希!通算門前アガリ点</vt:lpstr>
      <vt:lpstr>矢ヶ崎健!通算門前アガリ点</vt:lpstr>
      <vt:lpstr>通算門前アガリ点</vt:lpstr>
      <vt:lpstr>依田幸憲!二位数</vt:lpstr>
      <vt:lpstr>高橋桜!二位数</vt:lpstr>
      <vt:lpstr>高野源太!二位数</vt:lpstr>
      <vt:lpstr>佐藤成浩!二位数</vt:lpstr>
      <vt:lpstr>小林郁斗!二位数</vt:lpstr>
      <vt:lpstr>松澤亮太!二位数</vt:lpstr>
      <vt:lpstr>全体!二位数</vt:lpstr>
      <vt:lpstr>大池陸斗!二位数</vt:lpstr>
      <vt:lpstr>滝沢悠人!二位数</vt:lpstr>
      <vt:lpstr>百瀬成空!二位数</vt:lpstr>
      <vt:lpstr>福澤大地!二位数</vt:lpstr>
      <vt:lpstr>保谷一貴!二位数</vt:lpstr>
      <vt:lpstr>木角有希!二位数</vt:lpstr>
      <vt:lpstr>矢ヶ崎健!二位数</vt:lpstr>
      <vt:lpstr>二位数</vt:lpstr>
      <vt:lpstr>依田幸憲!二位率</vt:lpstr>
      <vt:lpstr>高橋桜!二位率</vt:lpstr>
      <vt:lpstr>高野源太!二位率</vt:lpstr>
      <vt:lpstr>佐藤成浩!二位率</vt:lpstr>
      <vt:lpstr>小林郁斗!二位率</vt:lpstr>
      <vt:lpstr>松澤亮太!二位率</vt:lpstr>
      <vt:lpstr>全体!二位率</vt:lpstr>
      <vt:lpstr>大池陸斗!二位率</vt:lpstr>
      <vt:lpstr>滝沢悠人!二位率</vt:lpstr>
      <vt:lpstr>百瀬成空!二位率</vt:lpstr>
      <vt:lpstr>福澤大地!二位率</vt:lpstr>
      <vt:lpstr>保谷一貴!二位率</vt:lpstr>
      <vt:lpstr>木角有希!二位率</vt:lpstr>
      <vt:lpstr>矢ヶ崎健!二位率</vt:lpstr>
      <vt:lpstr>二位率</vt:lpstr>
      <vt:lpstr>依田幸憲!副露アガリ数</vt:lpstr>
      <vt:lpstr>高橋桜!副露アガリ数</vt:lpstr>
      <vt:lpstr>高野源太!副露アガリ数</vt:lpstr>
      <vt:lpstr>佐藤成浩!副露アガリ数</vt:lpstr>
      <vt:lpstr>小林郁斗!副露アガリ数</vt:lpstr>
      <vt:lpstr>松澤亮太!副露アガリ数</vt:lpstr>
      <vt:lpstr>全体!副露アガリ数</vt:lpstr>
      <vt:lpstr>大池陸斗!副露アガリ数</vt:lpstr>
      <vt:lpstr>滝沢悠人!副露アガリ数</vt:lpstr>
      <vt:lpstr>百瀬成空!副露アガリ数</vt:lpstr>
      <vt:lpstr>福澤大地!副露アガリ数</vt:lpstr>
      <vt:lpstr>保谷一貴!副露アガリ数</vt:lpstr>
      <vt:lpstr>木角有希!副露アガリ数</vt:lpstr>
      <vt:lpstr>矢ヶ崎健!副露アガリ数</vt:lpstr>
      <vt:lpstr>副露アガリ数</vt:lpstr>
      <vt:lpstr>依田幸憲!副露アガリ点</vt:lpstr>
      <vt:lpstr>高橋桜!副露アガリ点</vt:lpstr>
      <vt:lpstr>高野源太!副露アガリ点</vt:lpstr>
      <vt:lpstr>佐藤成浩!副露アガリ点</vt:lpstr>
      <vt:lpstr>小林郁斗!副露アガリ点</vt:lpstr>
      <vt:lpstr>松澤亮太!副露アガリ点</vt:lpstr>
      <vt:lpstr>全体!副露アガリ点</vt:lpstr>
      <vt:lpstr>大池陸斗!副露アガリ点</vt:lpstr>
      <vt:lpstr>滝沢悠人!副露アガリ点</vt:lpstr>
      <vt:lpstr>百瀬成空!副露アガリ点</vt:lpstr>
      <vt:lpstr>福澤大地!副露アガリ点</vt:lpstr>
      <vt:lpstr>保谷一貴!副露アガリ点</vt:lpstr>
      <vt:lpstr>木角有希!副露アガリ点</vt:lpstr>
      <vt:lpstr>矢ヶ崎健!副露アガリ点</vt:lpstr>
      <vt:lpstr>副露アガリ点</vt:lpstr>
      <vt:lpstr>依田幸憲!副露アガリ率</vt:lpstr>
      <vt:lpstr>高橋桜!副露アガリ率</vt:lpstr>
      <vt:lpstr>高野源太!副露アガリ率</vt:lpstr>
      <vt:lpstr>佐藤成浩!副露アガリ率</vt:lpstr>
      <vt:lpstr>小林郁斗!副露アガリ率</vt:lpstr>
      <vt:lpstr>松澤亮太!副露アガリ率</vt:lpstr>
      <vt:lpstr>全体!副露アガリ率</vt:lpstr>
      <vt:lpstr>大池陸斗!副露アガリ率</vt:lpstr>
      <vt:lpstr>滝沢悠人!副露アガリ率</vt:lpstr>
      <vt:lpstr>百瀬成空!副露アガリ率</vt:lpstr>
      <vt:lpstr>福澤大地!副露アガリ率</vt:lpstr>
      <vt:lpstr>保谷一貴!副露アガリ率</vt:lpstr>
      <vt:lpstr>木角有希!副露アガリ率</vt:lpstr>
      <vt:lpstr>矢ヶ崎健!副露アガリ率</vt:lpstr>
      <vt:lpstr>副露アガリ率</vt:lpstr>
      <vt:lpstr>依田幸憲!副露数</vt:lpstr>
      <vt:lpstr>高橋桜!副露数</vt:lpstr>
      <vt:lpstr>高野源太!副露数</vt:lpstr>
      <vt:lpstr>佐藤成浩!副露数</vt:lpstr>
      <vt:lpstr>小林郁斗!副露数</vt:lpstr>
      <vt:lpstr>松澤亮太!副露数</vt:lpstr>
      <vt:lpstr>全体!副露数</vt:lpstr>
      <vt:lpstr>大池陸斗!副露数</vt:lpstr>
      <vt:lpstr>滝沢悠人!副露数</vt:lpstr>
      <vt:lpstr>百瀬成空!副露数</vt:lpstr>
      <vt:lpstr>福澤大地!副露数</vt:lpstr>
      <vt:lpstr>保谷一貴!副露数</vt:lpstr>
      <vt:lpstr>木角有希!副露数</vt:lpstr>
      <vt:lpstr>矢ヶ崎健!副露数</vt:lpstr>
      <vt:lpstr>副露数</vt:lpstr>
      <vt:lpstr>依田幸憲!副露成功数</vt:lpstr>
      <vt:lpstr>高橋桜!副露成功数</vt:lpstr>
      <vt:lpstr>高野源太!副露成功数</vt:lpstr>
      <vt:lpstr>佐藤成浩!副露成功数</vt:lpstr>
      <vt:lpstr>小林郁斗!副露成功数</vt:lpstr>
      <vt:lpstr>松澤亮太!副露成功数</vt:lpstr>
      <vt:lpstr>全体!副露成功数</vt:lpstr>
      <vt:lpstr>大池陸斗!副露成功数</vt:lpstr>
      <vt:lpstr>滝沢悠人!副露成功数</vt:lpstr>
      <vt:lpstr>百瀬成空!副露成功数</vt:lpstr>
      <vt:lpstr>福澤大地!副露成功数</vt:lpstr>
      <vt:lpstr>保谷一貴!副露成功数</vt:lpstr>
      <vt:lpstr>木角有希!副露成功数</vt:lpstr>
      <vt:lpstr>矢ヶ崎健!副露成功数</vt:lpstr>
      <vt:lpstr>副露成功数</vt:lpstr>
      <vt:lpstr>依田幸憲!副露成功率</vt:lpstr>
      <vt:lpstr>高橋桜!副露成功率</vt:lpstr>
      <vt:lpstr>高野源太!副露成功率</vt:lpstr>
      <vt:lpstr>佐藤成浩!副露成功率</vt:lpstr>
      <vt:lpstr>小林郁斗!副露成功率</vt:lpstr>
      <vt:lpstr>松澤亮太!副露成功率</vt:lpstr>
      <vt:lpstr>全体!副露成功率</vt:lpstr>
      <vt:lpstr>大池陸斗!副露成功率</vt:lpstr>
      <vt:lpstr>滝沢悠人!副露成功率</vt:lpstr>
      <vt:lpstr>百瀬成空!副露成功率</vt:lpstr>
      <vt:lpstr>福澤大地!副露成功率</vt:lpstr>
      <vt:lpstr>保谷一貴!副露成功率</vt:lpstr>
      <vt:lpstr>木角有希!副露成功率</vt:lpstr>
      <vt:lpstr>矢ヶ崎健!副露成功率</vt:lpstr>
      <vt:lpstr>副露成功率</vt:lpstr>
      <vt:lpstr>依田幸憲!副露率</vt:lpstr>
      <vt:lpstr>高橋桜!副露率</vt:lpstr>
      <vt:lpstr>高野源太!副露率</vt:lpstr>
      <vt:lpstr>佐藤成浩!副露率</vt:lpstr>
      <vt:lpstr>小林郁斗!副露率</vt:lpstr>
      <vt:lpstr>松澤亮太!副露率</vt:lpstr>
      <vt:lpstr>全体!副露率</vt:lpstr>
      <vt:lpstr>大池陸斗!副露率</vt:lpstr>
      <vt:lpstr>滝沢悠人!副露率</vt:lpstr>
      <vt:lpstr>百瀬成空!副露率</vt:lpstr>
      <vt:lpstr>福澤大地!副露率</vt:lpstr>
      <vt:lpstr>保谷一貴!副露率</vt:lpstr>
      <vt:lpstr>木角有希!副露率</vt:lpstr>
      <vt:lpstr>矢ヶ崎健!副露率</vt:lpstr>
      <vt:lpstr>副露率</vt:lpstr>
      <vt:lpstr>依田幸憲!平均アガリ点</vt:lpstr>
      <vt:lpstr>高橋桜!平均アガリ点</vt:lpstr>
      <vt:lpstr>高野源太!平均アガリ点</vt:lpstr>
      <vt:lpstr>佐藤成浩!平均アガリ点</vt:lpstr>
      <vt:lpstr>小林郁斗!平均アガリ点</vt:lpstr>
      <vt:lpstr>松澤亮太!平均アガリ点</vt:lpstr>
      <vt:lpstr>全体!平均アガリ点</vt:lpstr>
      <vt:lpstr>大池陸斗!平均アガリ点</vt:lpstr>
      <vt:lpstr>滝沢悠人!平均アガリ点</vt:lpstr>
      <vt:lpstr>百瀬成空!平均アガリ点</vt:lpstr>
      <vt:lpstr>福澤大地!平均アガリ点</vt:lpstr>
      <vt:lpstr>保谷一貴!平均アガリ点</vt:lpstr>
      <vt:lpstr>木角有希!平均アガリ点</vt:lpstr>
      <vt:lpstr>矢ヶ崎健!平均アガリ点</vt:lpstr>
      <vt:lpstr>平均アガリ点</vt:lpstr>
      <vt:lpstr>依田幸憲!平均スコア</vt:lpstr>
      <vt:lpstr>高橋桜!平均スコア</vt:lpstr>
      <vt:lpstr>高野源太!平均スコア</vt:lpstr>
      <vt:lpstr>佐藤成浩!平均スコア</vt:lpstr>
      <vt:lpstr>小林郁斗!平均スコア</vt:lpstr>
      <vt:lpstr>松澤亮太!平均スコア</vt:lpstr>
      <vt:lpstr>全体!平均スコア</vt:lpstr>
      <vt:lpstr>大池陸斗!平均スコア</vt:lpstr>
      <vt:lpstr>滝沢悠人!平均スコア</vt:lpstr>
      <vt:lpstr>百瀬成空!平均スコア</vt:lpstr>
      <vt:lpstr>福澤大地!平均スコア</vt:lpstr>
      <vt:lpstr>保谷一貴!平均スコア</vt:lpstr>
      <vt:lpstr>木角有希!平均スコア</vt:lpstr>
      <vt:lpstr>矢ヶ崎健!平均スコア</vt:lpstr>
      <vt:lpstr>平均スコア</vt:lpstr>
      <vt:lpstr>依田幸憲!平均順位</vt:lpstr>
      <vt:lpstr>高橋桜!平均順位</vt:lpstr>
      <vt:lpstr>高野源太!平均順位</vt:lpstr>
      <vt:lpstr>佐藤成浩!平均順位</vt:lpstr>
      <vt:lpstr>小林郁斗!平均順位</vt:lpstr>
      <vt:lpstr>松澤亮太!平均順位</vt:lpstr>
      <vt:lpstr>全体!平均順位</vt:lpstr>
      <vt:lpstr>大池陸斗!平均順位</vt:lpstr>
      <vt:lpstr>滝沢悠人!平均順位</vt:lpstr>
      <vt:lpstr>百瀬成空!平均順位</vt:lpstr>
      <vt:lpstr>福澤大地!平均順位</vt:lpstr>
      <vt:lpstr>保谷一貴!平均順位</vt:lpstr>
      <vt:lpstr>木角有希!平均順位</vt:lpstr>
      <vt:lpstr>矢ヶ崎健!平均順位</vt:lpstr>
      <vt:lpstr>平均順位</vt:lpstr>
      <vt:lpstr>依田幸憲!平均放銃点</vt:lpstr>
      <vt:lpstr>高橋桜!平均放銃点</vt:lpstr>
      <vt:lpstr>高野源太!平均放銃点</vt:lpstr>
      <vt:lpstr>佐藤成浩!平均放銃点</vt:lpstr>
      <vt:lpstr>小林郁斗!平均放銃点</vt:lpstr>
      <vt:lpstr>松澤亮太!平均放銃点</vt:lpstr>
      <vt:lpstr>全体!平均放銃点</vt:lpstr>
      <vt:lpstr>大池陸斗!平均放銃点</vt:lpstr>
      <vt:lpstr>滝沢悠人!平均放銃点</vt:lpstr>
      <vt:lpstr>百瀬成空!平均放銃点</vt:lpstr>
      <vt:lpstr>福澤大地!平均放銃点</vt:lpstr>
      <vt:lpstr>保谷一貴!平均放銃点</vt:lpstr>
      <vt:lpstr>木角有希!平均放銃点</vt:lpstr>
      <vt:lpstr>矢ヶ崎健!平均放銃点</vt:lpstr>
      <vt:lpstr>平均放銃点</vt:lpstr>
      <vt:lpstr>依田幸憲!放銃数</vt:lpstr>
      <vt:lpstr>高橋桜!放銃数</vt:lpstr>
      <vt:lpstr>高野源太!放銃数</vt:lpstr>
      <vt:lpstr>佐藤成浩!放銃数</vt:lpstr>
      <vt:lpstr>小林郁斗!放銃数</vt:lpstr>
      <vt:lpstr>松澤亮太!放銃数</vt:lpstr>
      <vt:lpstr>全体!放銃数</vt:lpstr>
      <vt:lpstr>大池陸斗!放銃数</vt:lpstr>
      <vt:lpstr>滝沢悠人!放銃数</vt:lpstr>
      <vt:lpstr>百瀬成空!放銃数</vt:lpstr>
      <vt:lpstr>福澤大地!放銃数</vt:lpstr>
      <vt:lpstr>保谷一貴!放銃数</vt:lpstr>
      <vt:lpstr>木角有希!放銃数</vt:lpstr>
      <vt:lpstr>矢ヶ崎健!放銃数</vt:lpstr>
      <vt:lpstr>放銃数</vt:lpstr>
      <vt:lpstr>依田幸憲!放銃率</vt:lpstr>
      <vt:lpstr>高橋桜!放銃率</vt:lpstr>
      <vt:lpstr>高野源太!放銃率</vt:lpstr>
      <vt:lpstr>佐藤成浩!放銃率</vt:lpstr>
      <vt:lpstr>小林郁斗!放銃率</vt:lpstr>
      <vt:lpstr>松澤亮太!放銃率</vt:lpstr>
      <vt:lpstr>全体!放銃率</vt:lpstr>
      <vt:lpstr>大池陸斗!放銃率</vt:lpstr>
      <vt:lpstr>滝沢悠人!放銃率</vt:lpstr>
      <vt:lpstr>百瀬成空!放銃率</vt:lpstr>
      <vt:lpstr>福澤大地!放銃率</vt:lpstr>
      <vt:lpstr>保谷一貴!放銃率</vt:lpstr>
      <vt:lpstr>木角有希!放銃率</vt:lpstr>
      <vt:lpstr>矢ヶ崎健!放銃率</vt:lpstr>
      <vt:lpstr>放銃率</vt:lpstr>
      <vt:lpstr>依田幸憲!名前</vt:lpstr>
      <vt:lpstr>高橋桜!名前</vt:lpstr>
      <vt:lpstr>高野源太!名前</vt:lpstr>
      <vt:lpstr>佐藤成浩!名前</vt:lpstr>
      <vt:lpstr>小林郁斗!名前</vt:lpstr>
      <vt:lpstr>松澤亮太!名前</vt:lpstr>
      <vt:lpstr>全体!名前</vt:lpstr>
      <vt:lpstr>大池陸斗!名前</vt:lpstr>
      <vt:lpstr>滝沢悠人!名前</vt:lpstr>
      <vt:lpstr>百瀬成空!名前</vt:lpstr>
      <vt:lpstr>福澤大地!名前</vt:lpstr>
      <vt:lpstr>保谷一貴!名前</vt:lpstr>
      <vt:lpstr>木角有希!名前</vt:lpstr>
      <vt:lpstr>矢ヶ崎健!名前</vt:lpstr>
      <vt:lpstr>名前</vt:lpstr>
      <vt:lpstr>依田幸憲!門前アガリ点</vt:lpstr>
      <vt:lpstr>高橋桜!門前アガリ点</vt:lpstr>
      <vt:lpstr>高野源太!門前アガリ点</vt:lpstr>
      <vt:lpstr>佐藤成浩!門前アガリ点</vt:lpstr>
      <vt:lpstr>小林郁斗!門前アガリ点</vt:lpstr>
      <vt:lpstr>松澤亮太!門前アガリ点</vt:lpstr>
      <vt:lpstr>全体!門前アガリ点</vt:lpstr>
      <vt:lpstr>大池陸斗!門前アガリ点</vt:lpstr>
      <vt:lpstr>滝沢悠人!門前アガリ点</vt:lpstr>
      <vt:lpstr>百瀬成空!門前アガリ点</vt:lpstr>
      <vt:lpstr>福澤大地!門前アガリ点</vt:lpstr>
      <vt:lpstr>保谷一貴!門前アガリ点</vt:lpstr>
      <vt:lpstr>木角有希!門前アガリ点</vt:lpstr>
      <vt:lpstr>矢ヶ崎健!門前アガリ点</vt:lpstr>
      <vt:lpstr>門前アガリ点</vt:lpstr>
      <vt:lpstr>依田幸憲!連続アガリ</vt:lpstr>
      <vt:lpstr>高橋桜!連続アガリ</vt:lpstr>
      <vt:lpstr>高野源太!連続アガリ</vt:lpstr>
      <vt:lpstr>佐藤成浩!連続アガリ</vt:lpstr>
      <vt:lpstr>小林郁斗!連続アガリ</vt:lpstr>
      <vt:lpstr>松澤亮太!連続アガリ</vt:lpstr>
      <vt:lpstr>全体!連続アガリ</vt:lpstr>
      <vt:lpstr>大池陸斗!連続アガリ</vt:lpstr>
      <vt:lpstr>滝沢悠人!連続アガリ</vt:lpstr>
      <vt:lpstr>百瀬成空!連続アガリ</vt:lpstr>
      <vt:lpstr>福澤大地!連続アガリ</vt:lpstr>
      <vt:lpstr>保谷一貴!連続アガリ</vt:lpstr>
      <vt:lpstr>木角有希!連続アガリ</vt:lpstr>
      <vt:lpstr>矢ヶ崎健!連続アガリ</vt:lpstr>
      <vt:lpstr>連続アガリ</vt:lpstr>
      <vt:lpstr>依田幸憲!連続無放銃</vt:lpstr>
      <vt:lpstr>高橋桜!連続無放銃</vt:lpstr>
      <vt:lpstr>高野源太!連続無放銃</vt:lpstr>
      <vt:lpstr>佐藤成浩!連続無放銃</vt:lpstr>
      <vt:lpstr>小林郁斗!連続無放銃</vt:lpstr>
      <vt:lpstr>松澤亮太!連続無放銃</vt:lpstr>
      <vt:lpstr>全体!連続無放銃</vt:lpstr>
      <vt:lpstr>大池陸斗!連続無放銃</vt:lpstr>
      <vt:lpstr>滝沢悠人!連続無放銃</vt:lpstr>
      <vt:lpstr>百瀬成空!連続無放銃</vt:lpstr>
      <vt:lpstr>福澤大地!連続無放銃</vt:lpstr>
      <vt:lpstr>保谷一貴!連続無放銃</vt:lpstr>
      <vt:lpstr>木角有希!連続無放銃</vt:lpstr>
      <vt:lpstr>矢ヶ崎健!連続無放銃</vt:lpstr>
      <vt:lpstr>連続無放銃</vt:lpstr>
      <vt:lpstr>依田幸憲!連対数</vt:lpstr>
      <vt:lpstr>高橋桜!連対数</vt:lpstr>
      <vt:lpstr>高野源太!連対数</vt:lpstr>
      <vt:lpstr>佐藤成浩!連対数</vt:lpstr>
      <vt:lpstr>小林郁斗!連対数</vt:lpstr>
      <vt:lpstr>松澤亮太!連対数</vt:lpstr>
      <vt:lpstr>全体!連対数</vt:lpstr>
      <vt:lpstr>大池陸斗!連対数</vt:lpstr>
      <vt:lpstr>滝沢悠人!連対数</vt:lpstr>
      <vt:lpstr>百瀬成空!連対数</vt:lpstr>
      <vt:lpstr>福澤大地!連対数</vt:lpstr>
      <vt:lpstr>保谷一貴!連対数</vt:lpstr>
      <vt:lpstr>木角有希!連対数</vt:lpstr>
      <vt:lpstr>矢ヶ崎健!連対数</vt:lpstr>
      <vt:lpstr>連対数</vt:lpstr>
      <vt:lpstr>依田幸憲!連対率</vt:lpstr>
      <vt:lpstr>高橋桜!連対率</vt:lpstr>
      <vt:lpstr>高野源太!連対率</vt:lpstr>
      <vt:lpstr>佐藤成浩!連対率</vt:lpstr>
      <vt:lpstr>小林郁斗!連対率</vt:lpstr>
      <vt:lpstr>松澤亮太!連対率</vt:lpstr>
      <vt:lpstr>全体!連対率</vt:lpstr>
      <vt:lpstr>大池陸斗!連対率</vt:lpstr>
      <vt:lpstr>滝沢悠人!連対率</vt:lpstr>
      <vt:lpstr>百瀬成空!連対率</vt:lpstr>
      <vt:lpstr>福澤大地!連対率</vt:lpstr>
      <vt:lpstr>保谷一貴!連対率</vt:lpstr>
      <vt:lpstr>木角有希!連対率</vt:lpstr>
      <vt:lpstr>矢ヶ崎健!連対率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2019-12-21T08:40:47Z</dcterms:modified>
</cp:coreProperties>
</file>