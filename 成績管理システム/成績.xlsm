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4C9ED6B-012E-47FF-94AC-B7009B0ADBBD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277" l="1"/>
  <c r="O28" i="6314"/>
  <c r="O31" i="6313" l="1"/>
  <c r="O27" i="6287"/>
  <c r="O29" i="6311" l="1"/>
  <c r="O32" i="6307"/>
  <c r="O18" i="6304"/>
  <c r="O19" i="6304"/>
  <c r="O29" i="6309"/>
  <c r="O32" i="6304"/>
  <c r="O23" i="6302"/>
  <c r="O18" i="6301"/>
  <c r="O24" i="6311" l="1"/>
  <c r="O26" i="6313"/>
  <c r="O21" i="6305"/>
  <c r="O27" i="6305"/>
  <c r="O19" i="6311" l="1"/>
  <c r="O26" i="6311"/>
  <c r="O44" i="6277"/>
  <c r="O18" i="6309"/>
  <c r="O25" i="6287"/>
  <c r="O23" i="6311"/>
  <c r="O25" i="6307" l="1"/>
  <c r="O26" i="6307"/>
  <c r="O45" i="6287"/>
  <c r="O34" i="6287"/>
  <c r="O36" i="6287"/>
  <c r="O26" i="6315"/>
  <c r="O21" i="6315"/>
  <c r="O21" i="6314"/>
  <c r="O32" i="6277"/>
  <c r="O45" i="6277"/>
  <c r="O37" i="6277"/>
  <c r="O27" i="6315"/>
  <c r="O25" i="6313"/>
  <c r="O31" i="6309"/>
  <c r="O18" i="6315" l="1"/>
  <c r="O19" i="6315"/>
  <c r="O30" i="6305"/>
  <c r="O27" i="6306"/>
  <c r="O19" i="6302" l="1"/>
  <c r="O28" i="6315"/>
  <c r="O24" i="6314" l="1"/>
  <c r="O27" i="6309"/>
  <c r="O20" i="6307"/>
  <c r="O19" i="6305"/>
  <c r="O25" i="6305"/>
  <c r="O28" i="6305"/>
  <c r="O31" i="6307" l="1"/>
  <c r="O22" i="6307"/>
  <c r="O20" i="6302"/>
  <c r="O30" i="6302"/>
  <c r="O18" i="6302"/>
  <c r="O22" i="6314"/>
  <c r="O23" i="6314"/>
  <c r="O21" i="6313"/>
  <c r="O24" i="6315" l="1"/>
  <c r="O25" i="6315"/>
  <c r="O31" i="6304"/>
  <c r="O25" i="6304"/>
  <c r="O27" i="6304"/>
  <c r="O25" i="6314"/>
  <c r="O18" i="6314"/>
  <c r="O30" i="6309"/>
  <c r="O26" i="6309"/>
  <c r="O19" i="6309"/>
  <c r="O18" i="6311" l="1"/>
  <c r="O22" i="6315"/>
  <c r="O20" i="6314"/>
  <c r="O25" i="6301"/>
  <c r="O27" i="6301"/>
  <c r="O19" i="6301"/>
  <c r="O29" i="6315" l="1"/>
  <c r="O23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7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1" i="6272"/>
  <c r="C16" i="6314" l="1"/>
  <c r="H12" i="6315"/>
  <c r="H30" i="6315"/>
  <c r="H19" i="6315"/>
  <c r="H10" i="6315"/>
  <c r="H37" i="6315"/>
  <c r="H22" i="6315"/>
  <c r="C37" i="6315"/>
  <c r="H16" i="6315"/>
  <c r="H11" i="6315"/>
  <c r="C19" i="6315"/>
  <c r="H18" i="6315"/>
  <c r="C39" i="6315"/>
  <c r="H8" i="6315"/>
  <c r="H2" i="6315"/>
  <c r="H20" i="6315"/>
  <c r="H9" i="6315"/>
  <c r="C20" i="6315"/>
  <c r="H5" i="6315"/>
  <c r="H6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7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4" i="6313"/>
  <c r="O27" i="6313"/>
  <c r="O19" i="6310"/>
  <c r="O22" i="6310"/>
  <c r="O27" i="6303"/>
  <c r="O24" i="6303"/>
  <c r="O26" i="6303"/>
  <c r="O27" i="6307"/>
  <c r="O18" i="6307"/>
  <c r="O28" i="6301" l="1"/>
  <c r="O23" i="6313"/>
  <c r="O22" i="6313" l="1"/>
  <c r="O29" i="6313"/>
  <c r="O28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5" i="6309"/>
  <c r="O28" i="6309"/>
  <c r="O54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6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5" i="6313"/>
  <c r="H11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8" i="6287"/>
  <c r="O37" i="6287"/>
  <c r="O19" i="6306"/>
  <c r="O24" i="6306"/>
  <c r="O28" i="6306"/>
  <c r="O23" i="6308"/>
  <c r="O21" i="6308"/>
  <c r="O24" i="6309"/>
  <c r="O20" i="6309"/>
  <c r="O23" i="6293" l="1"/>
  <c r="O27" i="6293"/>
  <c r="O18" i="6293"/>
  <c r="O30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1" i="6311"/>
  <c r="O25" i="6311"/>
  <c r="O28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2" i="6311"/>
  <c r="C10" i="6311"/>
  <c r="O9" i="6311"/>
  <c r="H11" i="6311"/>
  <c r="C9" i="6311"/>
  <c r="O8" i="6311"/>
  <c r="C8" i="6311"/>
  <c r="O7" i="6311"/>
  <c r="H6" i="6311"/>
  <c r="C7" i="6311"/>
  <c r="O6" i="6311"/>
  <c r="H3" i="6311"/>
  <c r="B6" i="6311"/>
  <c r="O5" i="6311"/>
  <c r="H9" i="6311"/>
  <c r="B5" i="6311"/>
  <c r="O4" i="6311"/>
  <c r="H4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7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5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0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0" i="6301"/>
  <c r="O32" i="6301"/>
  <c r="O21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3" i="6309"/>
  <c r="O3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29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9" i="6272"/>
  <c r="O28" i="6272"/>
  <c r="H9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7" i="6307"/>
  <c r="H19" i="6307"/>
  <c r="H3" i="6307"/>
  <c r="C21" i="6307"/>
  <c r="H12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6" i="6309"/>
  <c r="H15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7" i="6309"/>
  <c r="H22" i="6309"/>
  <c r="H12" i="6309"/>
  <c r="H30" i="6309"/>
  <c r="C37" i="6309"/>
  <c r="C43" i="6309"/>
  <c r="H17" i="6309"/>
  <c r="C22" i="6309"/>
  <c r="H8" i="6309"/>
  <c r="H20" i="6309"/>
  <c r="C23" i="6309"/>
  <c r="H13" i="6309"/>
  <c r="H38" i="6309"/>
  <c r="C46" i="6309"/>
  <c r="H10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4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4" i="6307"/>
  <c r="C43" i="6307"/>
  <c r="H37" i="6307"/>
  <c r="H15" i="6307"/>
  <c r="H2" i="6307"/>
  <c r="H32" i="6307"/>
  <c r="H8" i="6307"/>
  <c r="H18" i="6307"/>
  <c r="H25" i="6307"/>
  <c r="H39" i="6307"/>
  <c r="C45" i="6307"/>
  <c r="H29" i="6307"/>
  <c r="H10" i="6307"/>
  <c r="C23" i="6307"/>
  <c r="H5" i="6307"/>
  <c r="H16" i="6307"/>
  <c r="C19" i="6307"/>
  <c r="B24" i="6307"/>
  <c r="H34" i="6307"/>
  <c r="C39" i="6307"/>
  <c r="C46" i="6307"/>
  <c r="C17" i="6307"/>
  <c r="H20" i="6307"/>
  <c r="C38" i="6307"/>
  <c r="H7" i="6307"/>
  <c r="H21" i="6307"/>
  <c r="H14" i="6307"/>
  <c r="H35" i="6307"/>
  <c r="C40" i="6307"/>
  <c r="C47" i="6307"/>
  <c r="B25" i="6307"/>
  <c r="H13" i="6307"/>
  <c r="H24" i="6307"/>
  <c r="H27" i="6307"/>
  <c r="H33" i="6307"/>
  <c r="H38" i="6307"/>
  <c r="H42" i="6307"/>
  <c r="H22" i="6307"/>
  <c r="H26" i="6307"/>
  <c r="H30" i="6307"/>
  <c r="H36" i="6307"/>
  <c r="H40" i="6307"/>
  <c r="O26" i="6305" l="1"/>
  <c r="O23" i="6298"/>
  <c r="O31" i="6305" l="1"/>
  <c r="O29" i="6305"/>
  <c r="O18" i="6295"/>
  <c r="O21" i="6287"/>
  <c r="O23" i="6305"/>
  <c r="O24" i="6305"/>
  <c r="O20" i="6306"/>
  <c r="O25" i="6306"/>
  <c r="O22" i="6306"/>
  <c r="O30" i="6304"/>
  <c r="O23" i="6304"/>
  <c r="O28" i="6304"/>
  <c r="O33" i="6277"/>
  <c r="O24" i="6277"/>
  <c r="O31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9" i="6301"/>
  <c r="O21" i="6301"/>
  <c r="O18" i="6305"/>
  <c r="O20" i="6305"/>
  <c r="O22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C9" i="6305"/>
  <c r="O8" i="6305"/>
  <c r="H11" i="6305"/>
  <c r="C8" i="6305"/>
  <c r="O7" i="6305"/>
  <c r="C7" i="6305"/>
  <c r="O6" i="6305"/>
  <c r="B6" i="6305"/>
  <c r="O5" i="6305"/>
  <c r="B5" i="6305"/>
  <c r="O4" i="6305"/>
  <c r="H5" i="6305"/>
  <c r="O3" i="6305"/>
  <c r="O2" i="6305"/>
  <c r="O48" i="6277"/>
  <c r="O47" i="6272"/>
  <c r="H4" i="6305" l="1"/>
  <c r="H6" i="6305"/>
  <c r="H7" i="6305"/>
  <c r="H9" i="6305"/>
  <c r="H18" i="6305"/>
  <c r="H2" i="6305"/>
  <c r="H15" i="6305"/>
  <c r="H8" i="6305"/>
  <c r="H10" i="6305"/>
  <c r="H13" i="6305"/>
  <c r="H16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7" i="6302" l="1"/>
  <c r="O22" i="6304"/>
  <c r="O30" i="6298" l="1"/>
  <c r="O44" i="6287"/>
  <c r="O20" i="6304"/>
  <c r="O21" i="6304"/>
  <c r="O22" i="6277" l="1"/>
  <c r="O39" i="6277"/>
  <c r="O26" i="6299"/>
  <c r="O24" i="6302"/>
  <c r="O25" i="6295" l="1"/>
  <c r="O21" i="6299"/>
  <c r="O20" i="6299"/>
  <c r="O18" i="6303"/>
  <c r="O21" i="6303"/>
  <c r="O45" i="6272"/>
  <c r="O24" i="6304"/>
  <c r="O26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6" i="6304"/>
  <c r="H7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5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2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6" i="6302"/>
  <c r="O21" i="6302"/>
  <c r="O31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C9" i="6302"/>
  <c r="O8" i="6302"/>
  <c r="H11" i="6302"/>
  <c r="C8" i="6302"/>
  <c r="O7" i="6302"/>
  <c r="H5" i="6302"/>
  <c r="C7" i="6302"/>
  <c r="O6" i="6302"/>
  <c r="B6" i="6302"/>
  <c r="O5" i="6302"/>
  <c r="H9" i="6302"/>
  <c r="B5" i="6302"/>
  <c r="O4" i="6302"/>
  <c r="O3" i="6302"/>
  <c r="H10" i="6302"/>
  <c r="O2" i="6302"/>
  <c r="H3" i="6302"/>
  <c r="O19" i="6299"/>
  <c r="O31" i="6272"/>
  <c r="H7" i="6302" l="1"/>
  <c r="H8" i="6302"/>
  <c r="H14" i="6302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2" i="6302"/>
  <c r="C20" i="6302"/>
  <c r="H21" i="6302"/>
  <c r="C19" i="6302"/>
  <c r="H20" i="6302"/>
  <c r="H19" i="6302"/>
  <c r="O19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38" i="6277"/>
  <c r="O27" i="6272"/>
  <c r="H16" i="6301" l="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9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4" i="6277"/>
  <c r="O23" i="6277"/>
  <c r="O36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7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6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0" i="6277" l="1"/>
  <c r="O38" i="6287"/>
  <c r="O33" i="6287"/>
  <c r="O21" i="6273"/>
  <c r="O41" i="6287"/>
  <c r="O40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4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7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2" i="6277"/>
  <c r="O41" i="6277"/>
  <c r="O29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3" i="6277"/>
  <c r="O4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2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5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<sst xmlns="http://schemas.openxmlformats.org/spreadsheetml/2006/main" count="8750" uniqueCount="294">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</sst>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全体!$K$2:$K$435</c:f>
              <c:numCache>
                <c:formatCode>General</c:formatCode>
                <c:ptCount val="4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</c:numCache>
            </c:numRef>
          </c:xVal>
          <c:yVal>
            <c:numRef>
              <c:f>全体!$L$2:$L$435</c:f>
              <c:numCache>
                <c:formatCode>\+0.0;\-0.0;\±0</c:formatCode>
                <c:ptCount val="4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-60.046189376443415</c:v>
                </c:pt>
                <c:pt idx="1">
                  <c:v>-17.090069284064665</c:v>
                </c:pt>
                <c:pt idx="2">
                  <c:v>-18.352941176470587</c:v>
                </c:pt>
                <c:pt idx="3">
                  <c:v>-53.435114503816791</c:v>
                </c:pt>
                <c:pt idx="4">
                  <c:v>-14.492753623188406</c:v>
                </c:pt>
                <c:pt idx="5">
                  <c:v>-42.553191489361701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74</c:v>
                </c:pt>
                <c:pt idx="1">
                  <c:v>136</c:v>
                </c:pt>
                <c:pt idx="2">
                  <c:v>154</c:v>
                </c:pt>
                <c:pt idx="3">
                  <c:v>140</c:v>
                </c:pt>
                <c:pt idx="4">
                  <c:v>74</c:v>
                </c:pt>
                <c:pt idx="5">
                  <c:v>65</c:v>
                </c:pt>
                <c:pt idx="6">
                  <c:v>20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佐藤成浩!$L$2:$L$44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883.33333333333337</c:v>
                </c:pt>
                <c:pt idx="1">
                  <c:v>1488.0952380952381</c:v>
                </c:pt>
                <c:pt idx="2">
                  <c:v>1456.0975609756097</c:v>
                </c:pt>
                <c:pt idx="3">
                  <c:v>848.64864864864865</c:v>
                </c:pt>
                <c:pt idx="4">
                  <c:v>1280.7692307692307</c:v>
                </c:pt>
                <c:pt idx="5">
                  <c:v>1533.3333333333333</c:v>
                </c:pt>
                <c:pt idx="6">
                  <c:v>1438.4615384615386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14</c:v>
                </c:pt>
                <c:pt idx="2">
                  <c:v>15</c:v>
                </c:pt>
                <c:pt idx="3">
                  <c:v>21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柳澤颯吾!$L$2:$L$43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1126.8292682926829</c:v>
                </c:pt>
                <c:pt idx="1">
                  <c:v>812.19512195121956</c:v>
                </c:pt>
                <c:pt idx="2">
                  <c:v>1062.5</c:v>
                </c:pt>
                <c:pt idx="3">
                  <c:v>-161.11111111111111</c:v>
                </c:pt>
                <c:pt idx="4">
                  <c:v>263.63636363636363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6</c:v>
                </c:pt>
                <c:pt idx="4">
                  <c:v>12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中村花菜!$L$2:$L$18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-2987.5</c:v>
                </c:pt>
                <c:pt idx="1">
                  <c:v>-2687.5</c:v>
                </c:pt>
                <c:pt idx="2">
                  <c:v>-2118.75</c:v>
                </c:pt>
                <c:pt idx="3">
                  <c:v>-1400</c:v>
                </c:pt>
                <c:pt idx="4">
                  <c:v>-408.33333333333331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中村季暉!$L$2:$L$20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-222.22222222222223</c:v>
                </c:pt>
                <c:pt idx="1">
                  <c:v>433.33333333333331</c:v>
                </c:pt>
                <c:pt idx="2">
                  <c:v>-829.41176470588232</c:v>
                </c:pt>
                <c:pt idx="3">
                  <c:v>-743.75</c:v>
                </c:pt>
                <c:pt idx="4">
                  <c:v>-2788.8888888888887</c:v>
                </c:pt>
                <c:pt idx="5">
                  <c:v>-3833.3333333333335</c:v>
                </c:pt>
                <c:pt idx="6">
                  <c:v>-1550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塩入悠!$L$2:$L$14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-3183.3333333333335</c:v>
                </c:pt>
                <c:pt idx="1">
                  <c:v>-800</c:v>
                </c:pt>
                <c:pt idx="2">
                  <c:v>900</c:v>
                </c:pt>
                <c:pt idx="3">
                  <c:v>2600</c:v>
                </c:pt>
                <c:pt idx="4">
                  <c:v>-300</c:v>
                </c:pt>
                <c:pt idx="5">
                  <c:v>3966.6666666666665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宮澤七星!$L$2:$L$13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-2063.6363636363635</c:v>
                </c:pt>
                <c:pt idx="1">
                  <c:v>709.09090909090912</c:v>
                </c:pt>
                <c:pt idx="2">
                  <c:v>380</c:v>
                </c:pt>
                <c:pt idx="3">
                  <c:v>1210</c:v>
                </c:pt>
                <c:pt idx="4">
                  <c:v>1400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湯本咲蔵!$L$2:$L$17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840</c:v>
                </c:pt>
                <c:pt idx="1">
                  <c:v>-400</c:v>
                </c:pt>
                <c:pt idx="2">
                  <c:v>640</c:v>
                </c:pt>
                <c:pt idx="3">
                  <c:v>-846.66666666666663</c:v>
                </c:pt>
                <c:pt idx="4">
                  <c:v>-100</c:v>
                </c:pt>
                <c:pt idx="5">
                  <c:v>2340</c:v>
                </c:pt>
                <c:pt idx="6">
                  <c:v>2900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7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山本悠介!$L$2:$L$19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647.05882352941171</c:v>
                </c:pt>
                <c:pt idx="1">
                  <c:v>776.47058823529414</c:v>
                </c:pt>
                <c:pt idx="2">
                  <c:v>-882.35294117647061</c:v>
                </c:pt>
                <c:pt idx="3">
                  <c:v>1220</c:v>
                </c:pt>
                <c:pt idx="4">
                  <c:v>1278.5714285714287</c:v>
                </c:pt>
                <c:pt idx="5">
                  <c:v>1481.8181818181818</c:v>
                </c:pt>
                <c:pt idx="6">
                  <c:v>-2587.5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14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渡部陵瑛!$L$2:$L$12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-1450</c:v>
                </c:pt>
                <c:pt idx="1">
                  <c:v>-1100</c:v>
                </c:pt>
                <c:pt idx="2">
                  <c:v>-5540</c:v>
                </c:pt>
                <c:pt idx="3">
                  <c:v>-1220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清水常緑!$L$2:$L$16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885.71428571428567</c:v>
                </c:pt>
                <c:pt idx="1">
                  <c:v>3500</c:v>
                </c:pt>
                <c:pt idx="2">
                  <c:v>2550</c:v>
                </c:pt>
                <c:pt idx="3">
                  <c:v>2000</c:v>
                </c:pt>
                <c:pt idx="4">
                  <c:v>-1130</c:v>
                </c:pt>
                <c:pt idx="5">
                  <c:v>-762.5</c:v>
                </c:pt>
                <c:pt idx="6">
                  <c:v>-1766.6666666666667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長野柊馬!$L$2:$L$13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3127.2727272727275</c:v>
                </c:pt>
                <c:pt idx="1">
                  <c:v>-436.36363636363637</c:v>
                </c:pt>
                <c:pt idx="2">
                  <c:v>1745.4545454545455</c:v>
                </c:pt>
                <c:pt idx="3">
                  <c:v>-222.22222222222223</c:v>
                </c:pt>
                <c:pt idx="4">
                  <c:v>-1200</c:v>
                </c:pt>
                <c:pt idx="5">
                  <c:v>900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41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16</v>
      </c>
    </row>
    <row r="30" spans="1:2">
      <c r="A30" t="s">
        <v>238</v>
      </c>
      <c r="B30">
        <v>18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12</v>
      </c>
    </row>
    <row r="33" spans="1:2">
      <c r="A33" t="s">
        <v>255</v>
      </c>
      <c r="B33">
        <v>11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15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10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14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0.50314632425788308</v>
      </c>
      <c r="C2" s="113"/>
      <c r="D2" s="110"/>
      <c r="E2" s="111"/>
      <c r="F2" s="110"/>
      <c r="G2" s="111"/>
      <c r="H2" s="112">
        <v>0.85869815565569585</v>
      </c>
      <c r="I2" s="113"/>
      <c r="J2" s="112">
        <v>0.75561698455954562</v>
      </c>
      <c r="K2" s="113"/>
      <c r="L2" s="112">
        <v>0.7376666588172569</v>
      </c>
      <c r="M2" s="113"/>
      <c r="N2" s="112">
        <v>0.76951973950438446</v>
      </c>
      <c r="O2" s="113"/>
      <c r="P2" s="112">
        <v>0.7389114501309042</v>
      </c>
      <c r="Q2" s="113"/>
      <c r="R2" s="112">
        <v>0.53024482047080812</v>
      </c>
      <c r="S2" s="113"/>
      <c r="T2" s="112">
        <v>0.21948099124855266</v>
      </c>
      <c r="U2" s="113"/>
      <c r="V2" s="112">
        <v>0.30405113662728434</v>
      </c>
      <c r="W2" s="113"/>
      <c r="X2" s="112">
        <v>0.28469571609043104</v>
      </c>
      <c r="Y2" s="113"/>
      <c r="Z2" s="112">
        <v>0.38670367190856658</v>
      </c>
      <c r="AA2" s="113"/>
      <c r="AB2" s="112">
        <v>0.36818024477385924</v>
      </c>
      <c r="AC2" s="113"/>
      <c r="AD2" s="112">
        <v>0.55553201890239068</v>
      </c>
      <c r="AE2" s="113"/>
      <c r="AF2" s="112">
        <v>-0.43052883945251613</v>
      </c>
      <c r="AG2" s="113"/>
      <c r="AH2" s="112">
        <v>0.61954498276203429</v>
      </c>
      <c r="AI2" s="113"/>
    </row>
    <row r="3" spans="1:35">
      <c r="A3" s="36">
        <v>1</v>
      </c>
      <c r="B3" s="37" t="s">
        <v>114</v>
      </c>
      <c r="C3" s="106">
        <v>108.25</v>
      </c>
      <c r="D3" s="37" t="s">
        <v>169</v>
      </c>
      <c r="E3" s="38">
        <v>641.79999999999995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8923.5294117647063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42</v>
      </c>
      <c r="D4" s="45" t="s">
        <v>272</v>
      </c>
      <c r="E4" s="46">
        <v>329.4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8768.4210526315783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269</v>
      </c>
      <c r="AG4" s="50">
        <v>0.66666666666666663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41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227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272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265</v>
      </c>
      <c r="S6" s="50">
        <v>8.9108910891089105E-2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0.28712871287128711</v>
      </c>
      <c r="Z6" s="47" t="s">
        <v>276</v>
      </c>
      <c r="AA6" s="50">
        <v>0.32051282051282054</v>
      </c>
      <c r="AB6" s="47" t="s">
        <v>162</v>
      </c>
      <c r="AC6" s="50">
        <v>0.75</v>
      </c>
      <c r="AD6" s="47" t="s">
        <v>265</v>
      </c>
      <c r="AE6" s="50">
        <v>0.58823529411764708</v>
      </c>
      <c r="AF6" s="47" t="s">
        <v>166</v>
      </c>
      <c r="AG6" s="50">
        <v>0.5714285714285714</v>
      </c>
      <c r="AH6" s="47" t="s">
        <v>162</v>
      </c>
      <c r="AI6" s="54">
        <v>67800</v>
      </c>
    </row>
    <row r="7" spans="1:35">
      <c r="A7" s="44">
        <v>5</v>
      </c>
      <c r="B7" s="45" t="s">
        <v>168</v>
      </c>
      <c r="C7" s="107">
        <v>18</v>
      </c>
      <c r="D7" s="45" t="s">
        <v>263</v>
      </c>
      <c r="E7" s="46">
        <v>164.89999999999998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263</v>
      </c>
      <c r="Q7" s="50">
        <v>0.29770992366412213</v>
      </c>
      <c r="R7" s="47" t="s">
        <v>169</v>
      </c>
      <c r="S7" s="50">
        <v>8.9171974522292988E-2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163</v>
      </c>
      <c r="AA7" s="50">
        <v>0.3188405797101449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235</v>
      </c>
      <c r="AG7" s="50">
        <v>0.55555555555555558</v>
      </c>
      <c r="AH7" s="47" t="s">
        <v>228</v>
      </c>
      <c r="AI7" s="54">
        <v>67500</v>
      </c>
    </row>
    <row r="8" spans="1:35">
      <c r="A8" s="44">
        <v>6</v>
      </c>
      <c r="B8" s="45" t="s">
        <v>238</v>
      </c>
      <c r="C8" s="107">
        <v>18</v>
      </c>
      <c r="D8" s="45" t="s">
        <v>265</v>
      </c>
      <c r="E8" s="46">
        <v>159.80000000000001</v>
      </c>
      <c r="F8" s="47" t="s">
        <v>272</v>
      </c>
      <c r="G8" s="59">
        <v>23.528571428571428</v>
      </c>
      <c r="H8" s="47" t="s">
        <v>272</v>
      </c>
      <c r="I8" s="48">
        <v>1.9285714285714286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272</v>
      </c>
      <c r="Q8" s="50">
        <v>0.28712871287128711</v>
      </c>
      <c r="R8" s="47" t="s">
        <v>276</v>
      </c>
      <c r="S8" s="50">
        <v>8.9743589743589744E-2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223</v>
      </c>
      <c r="Y8" s="50">
        <v>0.2857142857142857</v>
      </c>
      <c r="Z8" s="47" t="s">
        <v>195</v>
      </c>
      <c r="AA8" s="50">
        <v>0.30449826989619377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228</v>
      </c>
      <c r="C9" s="107">
        <v>17</v>
      </c>
      <c r="D9" s="45" t="s">
        <v>168</v>
      </c>
      <c r="E9" s="46">
        <v>154.39999999999998</v>
      </c>
      <c r="F9" s="47" t="s">
        <v>169</v>
      </c>
      <c r="G9" s="59">
        <v>15.28095238095238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167</v>
      </c>
      <c r="Q9" s="50">
        <v>0.2857142857142857</v>
      </c>
      <c r="R9" s="47" t="s">
        <v>164</v>
      </c>
      <c r="S9" s="50">
        <v>9.0909090909090912E-2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263</v>
      </c>
      <c r="C10" s="107">
        <v>17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169</v>
      </c>
      <c r="I10" s="48">
        <v>2.1428571428571428</v>
      </c>
      <c r="J10" s="47" t="s">
        <v>244</v>
      </c>
      <c r="K10" s="49">
        <v>0.41666666666666669</v>
      </c>
      <c r="L10" s="47" t="s">
        <v>268</v>
      </c>
      <c r="M10" s="49">
        <v>0</v>
      </c>
      <c r="N10" s="47" t="s">
        <v>263</v>
      </c>
      <c r="O10" s="49">
        <v>0.6470588235294118</v>
      </c>
      <c r="P10" s="47" t="s">
        <v>195</v>
      </c>
      <c r="Q10" s="50">
        <v>0.27335640138408307</v>
      </c>
      <c r="R10" s="47" t="s">
        <v>255</v>
      </c>
      <c r="S10" s="50">
        <v>9.0909090909090912E-2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179</v>
      </c>
      <c r="C11" s="107">
        <v>16</v>
      </c>
      <c r="D11" s="45" t="s">
        <v>276</v>
      </c>
      <c r="E11" s="46">
        <v>137.50000000000006</v>
      </c>
      <c r="F11" s="47" t="s">
        <v>276</v>
      </c>
      <c r="G11" s="59">
        <v>12.500000000000005</v>
      </c>
      <c r="H11" s="47" t="s">
        <v>191</v>
      </c>
      <c r="I11" s="48">
        <v>2.1428571428571428</v>
      </c>
      <c r="J11" s="47" t="s">
        <v>265</v>
      </c>
      <c r="K11" s="49">
        <v>0.4</v>
      </c>
      <c r="L11" s="47" t="s">
        <v>191</v>
      </c>
      <c r="M11" s="49">
        <v>7.1428571428571425E-2</v>
      </c>
      <c r="N11" s="47" t="s">
        <v>169</v>
      </c>
      <c r="O11" s="49">
        <v>0.6428571428571429</v>
      </c>
      <c r="P11" s="47" t="s">
        <v>162</v>
      </c>
      <c r="Q11" s="50">
        <v>0.26923076923076922</v>
      </c>
      <c r="R11" s="47" t="s">
        <v>177</v>
      </c>
      <c r="S11" s="50">
        <v>0.10526315789473684</v>
      </c>
      <c r="T11" s="47" t="s">
        <v>231</v>
      </c>
      <c r="U11" s="51">
        <v>7975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164</v>
      </c>
      <c r="AA11" s="50">
        <v>0.256198347107438</v>
      </c>
      <c r="AB11" s="47" t="s">
        <v>263</v>
      </c>
      <c r="AC11" s="50">
        <v>0.7142857142857143</v>
      </c>
      <c r="AD11" s="47" t="s">
        <v>263</v>
      </c>
      <c r="AE11" s="50">
        <v>0.4375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235</v>
      </c>
      <c r="C12" s="107">
        <v>16</v>
      </c>
      <c r="D12" s="45" t="s">
        <v>231</v>
      </c>
      <c r="E12" s="46">
        <v>112.5</v>
      </c>
      <c r="F12" s="47" t="s">
        <v>265</v>
      </c>
      <c r="G12" s="59">
        <v>10.653333333333334</v>
      </c>
      <c r="H12" s="47" t="s">
        <v>263</v>
      </c>
      <c r="I12" s="48">
        <v>2.1764705882352939</v>
      </c>
      <c r="J12" s="47" t="s">
        <v>168</v>
      </c>
      <c r="K12" s="49">
        <v>0.3888888888888889</v>
      </c>
      <c r="L12" s="47" t="s">
        <v>272</v>
      </c>
      <c r="M12" s="49">
        <v>7.1428571428571425E-2</v>
      </c>
      <c r="N12" s="47" t="s">
        <v>272</v>
      </c>
      <c r="O12" s="49">
        <v>0.6428571428571429</v>
      </c>
      <c r="P12" s="47" t="s">
        <v>265</v>
      </c>
      <c r="Q12" s="50">
        <v>0.25742574257425743</v>
      </c>
      <c r="R12" s="47" t="s">
        <v>179</v>
      </c>
      <c r="S12" s="50">
        <v>0.10687022900763359</v>
      </c>
      <c r="T12" s="47" t="s">
        <v>264</v>
      </c>
      <c r="U12" s="51">
        <v>7966.666666666667</v>
      </c>
      <c r="V12" s="47" t="s">
        <v>272</v>
      </c>
      <c r="W12" s="51">
        <v>-4681.818181818182</v>
      </c>
      <c r="X12" s="47" t="s">
        <v>195</v>
      </c>
      <c r="Y12" s="50">
        <v>0.25605536332179929</v>
      </c>
      <c r="Z12" s="47" t="s">
        <v>179</v>
      </c>
      <c r="AA12" s="50">
        <v>0.25190839694656486</v>
      </c>
      <c r="AB12" s="47" t="s">
        <v>276</v>
      </c>
      <c r="AC12" s="50">
        <v>0.66666666666666663</v>
      </c>
      <c r="AD12" s="47" t="s">
        <v>272</v>
      </c>
      <c r="AE12" s="50">
        <v>0.43478260869565216</v>
      </c>
      <c r="AF12" s="47" t="s">
        <v>276</v>
      </c>
      <c r="AG12" s="50">
        <v>0.47058823529411764</v>
      </c>
      <c r="AH12" s="47" t="s">
        <v>276</v>
      </c>
      <c r="AI12" s="54">
        <v>60800</v>
      </c>
    </row>
    <row r="13" spans="1:35">
      <c r="A13" s="44">
        <v>11</v>
      </c>
      <c r="B13" s="45" t="s">
        <v>164</v>
      </c>
      <c r="C13" s="107">
        <v>15</v>
      </c>
      <c r="D13" s="45" t="s">
        <v>255</v>
      </c>
      <c r="E13" s="46">
        <v>82.5</v>
      </c>
      <c r="F13" s="47" t="s">
        <v>263</v>
      </c>
      <c r="G13" s="59">
        <v>9.6999999999999993</v>
      </c>
      <c r="H13" s="47" t="s">
        <v>276</v>
      </c>
      <c r="I13" s="48">
        <v>2.1818181818181817</v>
      </c>
      <c r="J13" s="47" t="s">
        <v>163</v>
      </c>
      <c r="K13" s="49">
        <v>0.375</v>
      </c>
      <c r="L13" s="47" t="s">
        <v>263</v>
      </c>
      <c r="M13" s="49">
        <v>0.11764705882352941</v>
      </c>
      <c r="N13" s="47" t="s">
        <v>255</v>
      </c>
      <c r="O13" s="49">
        <v>0.63636363636363635</v>
      </c>
      <c r="P13" s="47" t="s">
        <v>179</v>
      </c>
      <c r="Q13" s="50">
        <v>0.24427480916030533</v>
      </c>
      <c r="R13" s="47" t="s">
        <v>263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196</v>
      </c>
      <c r="AA13" s="50">
        <v>0.25</v>
      </c>
      <c r="AB13" s="47" t="s">
        <v>169</v>
      </c>
      <c r="AC13" s="50">
        <v>0.64814814814814814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265</v>
      </c>
      <c r="C14" s="107">
        <v>15</v>
      </c>
      <c r="D14" s="45" t="s">
        <v>191</v>
      </c>
      <c r="E14" s="46">
        <v>79.299999999999983</v>
      </c>
      <c r="F14" s="47" t="s">
        <v>168</v>
      </c>
      <c r="G14" s="59">
        <v>8.5777777777777757</v>
      </c>
      <c r="H14" s="47" t="s">
        <v>265</v>
      </c>
      <c r="I14" s="48">
        <v>2.2000000000000002</v>
      </c>
      <c r="J14" s="47" t="s">
        <v>276</v>
      </c>
      <c r="K14" s="49">
        <v>0.36363636363636365</v>
      </c>
      <c r="L14" s="47" t="s">
        <v>195</v>
      </c>
      <c r="M14" s="49">
        <v>0.12195121951219512</v>
      </c>
      <c r="N14" s="47" t="s">
        <v>276</v>
      </c>
      <c r="O14" s="49">
        <v>0.63636363636363635</v>
      </c>
      <c r="P14" s="47" t="s">
        <v>264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7552.7777777777774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263</v>
      </c>
      <c r="AA14" s="50">
        <v>0.24427480916030533</v>
      </c>
      <c r="AB14" s="47" t="s">
        <v>238</v>
      </c>
      <c r="AC14" s="50">
        <v>0.63157894736842102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191</v>
      </c>
      <c r="C15" s="107">
        <v>14</v>
      </c>
      <c r="D15" s="45" t="s">
        <v>264</v>
      </c>
      <c r="E15" s="46">
        <v>63.300000000000004</v>
      </c>
      <c r="F15" s="47" t="s">
        <v>255</v>
      </c>
      <c r="G15" s="59">
        <v>7.5</v>
      </c>
      <c r="H15" s="47" t="s">
        <v>255</v>
      </c>
      <c r="I15" s="48">
        <v>2.2727272727272729</v>
      </c>
      <c r="J15" s="47" t="s">
        <v>169</v>
      </c>
      <c r="K15" s="49">
        <v>0.35714285714285715</v>
      </c>
      <c r="L15" s="47" t="s">
        <v>169</v>
      </c>
      <c r="M15" s="49">
        <v>0.14285714285714285</v>
      </c>
      <c r="N15" s="47" t="s">
        <v>164</v>
      </c>
      <c r="O15" s="49">
        <v>0.6</v>
      </c>
      <c r="P15" s="47" t="s">
        <v>169</v>
      </c>
      <c r="Q15" s="50">
        <v>0.22929936305732485</v>
      </c>
      <c r="R15" s="47" t="s">
        <v>272</v>
      </c>
      <c r="S15" s="50">
        <v>0.10891089108910891</v>
      </c>
      <c r="T15" s="47" t="s">
        <v>164</v>
      </c>
      <c r="U15" s="51">
        <v>7355</v>
      </c>
      <c r="V15" s="47" t="s">
        <v>169</v>
      </c>
      <c r="W15" s="51">
        <v>-5039.2857142857147</v>
      </c>
      <c r="X15" s="47" t="s">
        <v>265</v>
      </c>
      <c r="Y15" s="50">
        <v>0.24752475247524752</v>
      </c>
      <c r="Z15" s="47" t="s">
        <v>191</v>
      </c>
      <c r="AA15" s="50">
        <v>0.24347826086956523</v>
      </c>
      <c r="AB15" s="47" t="s">
        <v>272</v>
      </c>
      <c r="AC15" s="50">
        <v>0.62068965517241381</v>
      </c>
      <c r="AD15" s="47" t="s">
        <v>195</v>
      </c>
      <c r="AE15" s="50">
        <v>0.375</v>
      </c>
      <c r="AF15" s="47" t="s">
        <v>255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227</v>
      </c>
      <c r="C16" s="107">
        <v>14</v>
      </c>
      <c r="D16" s="45" t="s">
        <v>244</v>
      </c>
      <c r="E16" s="46">
        <v>62.199999999999989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238</v>
      </c>
      <c r="M16" s="49">
        <v>0.16666666666666666</v>
      </c>
      <c r="N16" s="47" t="s">
        <v>265</v>
      </c>
      <c r="O16" s="49">
        <v>0.6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255</v>
      </c>
      <c r="U16" s="51">
        <v>7212.5</v>
      </c>
      <c r="V16" s="47" t="s">
        <v>203</v>
      </c>
      <c r="W16" s="51">
        <v>-5080</v>
      </c>
      <c r="X16" s="47" t="s">
        <v>276</v>
      </c>
      <c r="Y16" s="50">
        <v>0.23076923076923078</v>
      </c>
      <c r="Z16" s="47" t="s">
        <v>161</v>
      </c>
      <c r="AA16" s="50">
        <v>0.23376623376623376</v>
      </c>
      <c r="AB16" s="47" t="s">
        <v>228</v>
      </c>
      <c r="AC16" s="50">
        <v>0.61904761904761907</v>
      </c>
      <c r="AD16" s="47" t="s">
        <v>169</v>
      </c>
      <c r="AE16" s="50">
        <v>0.37096774193548387</v>
      </c>
      <c r="AF16" s="47" t="s">
        <v>162</v>
      </c>
      <c r="AG16" s="50">
        <v>0.42857142857142855</v>
      </c>
      <c r="AH16" s="47" t="s">
        <v>265</v>
      </c>
      <c r="AI16" s="54">
        <v>53900</v>
      </c>
    </row>
    <row r="17" spans="1:35">
      <c r="A17" s="44">
        <v>15</v>
      </c>
      <c r="B17" s="45" t="s">
        <v>272</v>
      </c>
      <c r="C17" s="107">
        <v>14</v>
      </c>
      <c r="D17" s="45" t="s">
        <v>268</v>
      </c>
      <c r="E17" s="46">
        <v>52.1</v>
      </c>
      <c r="F17" s="47" t="s">
        <v>195</v>
      </c>
      <c r="G17" s="59">
        <v>5.5365853658536581</v>
      </c>
      <c r="H17" s="47" t="s">
        <v>195</v>
      </c>
      <c r="I17" s="48">
        <v>2.3658536585365852</v>
      </c>
      <c r="J17" s="47" t="s">
        <v>263</v>
      </c>
      <c r="K17" s="49">
        <v>0.29411764705882354</v>
      </c>
      <c r="L17" s="47" t="s">
        <v>255</v>
      </c>
      <c r="M17" s="49">
        <v>0.18181818181818182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263</v>
      </c>
      <c r="W17" s="51">
        <v>-5107.1428571428569</v>
      </c>
      <c r="X17" s="47" t="s">
        <v>277</v>
      </c>
      <c r="Y17" s="50">
        <v>0.22340425531914893</v>
      </c>
      <c r="Z17" s="47" t="s">
        <v>255</v>
      </c>
      <c r="AA17" s="50">
        <v>0.23376623376623376</v>
      </c>
      <c r="AB17" s="47" t="s">
        <v>244</v>
      </c>
      <c r="AC17" s="50">
        <v>0.61111111111111116</v>
      </c>
      <c r="AD17" s="47" t="s">
        <v>191</v>
      </c>
      <c r="AE17" s="50">
        <v>0.35714285714285715</v>
      </c>
      <c r="AF17" s="47" t="s">
        <v>244</v>
      </c>
      <c r="AG17" s="50">
        <v>0.42105263157894735</v>
      </c>
      <c r="AH17" s="47" t="s">
        <v>179</v>
      </c>
      <c r="AI17" s="54">
        <v>53200</v>
      </c>
    </row>
    <row r="18" spans="1:35">
      <c r="A18" s="44">
        <v>16</v>
      </c>
      <c r="B18" s="45" t="s">
        <v>277</v>
      </c>
      <c r="C18" s="107">
        <v>13</v>
      </c>
      <c r="D18" s="45" t="s">
        <v>164</v>
      </c>
      <c r="E18" s="46">
        <v>22.499999999999993</v>
      </c>
      <c r="F18" s="47" t="s">
        <v>244</v>
      </c>
      <c r="G18" s="59">
        <v>5.1833333333333327</v>
      </c>
      <c r="H18" s="47" t="s">
        <v>244</v>
      </c>
      <c r="I18" s="48">
        <v>2.4166666666666665</v>
      </c>
      <c r="J18" s="47" t="s">
        <v>255</v>
      </c>
      <c r="K18" s="49">
        <v>0.27272727272727271</v>
      </c>
      <c r="L18" s="47" t="s">
        <v>276</v>
      </c>
      <c r="M18" s="49">
        <v>0.18181818181818182</v>
      </c>
      <c r="N18" s="47" t="s">
        <v>241</v>
      </c>
      <c r="O18" s="49">
        <v>0.5714285714285714</v>
      </c>
      <c r="P18" s="47" t="s">
        <v>244</v>
      </c>
      <c r="Q18" s="50">
        <v>0.22093023255813954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265</v>
      </c>
      <c r="AC18" s="50">
        <v>0.6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244</v>
      </c>
      <c r="C19" s="107">
        <v>12</v>
      </c>
      <c r="D19" s="45" t="s">
        <v>163</v>
      </c>
      <c r="E19" s="46">
        <v>20.300000000000004</v>
      </c>
      <c r="F19" s="47" t="s">
        <v>163</v>
      </c>
      <c r="G19" s="59">
        <v>2.5375000000000005</v>
      </c>
      <c r="H19" s="47" t="s">
        <v>179</v>
      </c>
      <c r="I19" s="48">
        <v>2.4375</v>
      </c>
      <c r="J19" s="47" t="s">
        <v>195</v>
      </c>
      <c r="K19" s="49">
        <v>0.26829268292682928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276</v>
      </c>
      <c r="Q19" s="50">
        <v>0.21794871794871795</v>
      </c>
      <c r="R19" s="47" t="s">
        <v>195</v>
      </c>
      <c r="S19" s="50">
        <v>0.11764705882352941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255</v>
      </c>
      <c r="Y19" s="50">
        <v>0.22077922077922077</v>
      </c>
      <c r="Z19" s="47" t="s">
        <v>272</v>
      </c>
      <c r="AA19" s="50">
        <v>0.22772277227722773</v>
      </c>
      <c r="AB19" s="47" t="s">
        <v>235</v>
      </c>
      <c r="AC19" s="50">
        <v>0.58823529411764708</v>
      </c>
      <c r="AD19" s="47" t="s">
        <v>114</v>
      </c>
      <c r="AE19" s="50">
        <v>0.33577712609970672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255</v>
      </c>
      <c r="C20" s="107">
        <v>11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213</v>
      </c>
      <c r="M20" s="49">
        <v>0.2</v>
      </c>
      <c r="N20" s="47" t="s">
        <v>114</v>
      </c>
      <c r="O20" s="49">
        <v>0.50115473441108549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263</v>
      </c>
      <c r="Y20" s="50">
        <v>0.21374045801526717</v>
      </c>
      <c r="Z20" s="47" t="s">
        <v>114</v>
      </c>
      <c r="AA20" s="50">
        <v>0.21520984537709056</v>
      </c>
      <c r="AB20" s="47" t="s">
        <v>114</v>
      </c>
      <c r="AC20" s="50">
        <v>0.54545454545454541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276</v>
      </c>
      <c r="C21" s="107">
        <v>11</v>
      </c>
      <c r="D21" s="45" t="s">
        <v>177</v>
      </c>
      <c r="E21" s="46">
        <v>3.8999999999999986</v>
      </c>
      <c r="F21" s="47" t="s">
        <v>164</v>
      </c>
      <c r="G21" s="59">
        <v>1.4999999999999996</v>
      </c>
      <c r="H21" s="47" t="s">
        <v>114</v>
      </c>
      <c r="I21" s="48">
        <v>2.4919168591224019</v>
      </c>
      <c r="J21" s="47" t="s">
        <v>114</v>
      </c>
      <c r="K21" s="49">
        <v>0.2540415704387991</v>
      </c>
      <c r="L21" s="47" t="s">
        <v>265</v>
      </c>
      <c r="M21" s="49">
        <v>0.2</v>
      </c>
      <c r="N21" s="47" t="s">
        <v>161</v>
      </c>
      <c r="O21" s="49">
        <v>0.5</v>
      </c>
      <c r="P21" s="47" t="s">
        <v>114</v>
      </c>
      <c r="Q21" s="50">
        <v>0.21205427579678132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276</v>
      </c>
      <c r="W21" s="51">
        <v>-5614.2857142857147</v>
      </c>
      <c r="X21" s="47" t="s">
        <v>177</v>
      </c>
      <c r="Y21" s="50">
        <v>0.21052631578947367</v>
      </c>
      <c r="Z21" s="47" t="s">
        <v>205</v>
      </c>
      <c r="AA21" s="50">
        <v>0.21428571428571427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238</v>
      </c>
      <c r="AG21" s="50">
        <v>0.39130434782608697</v>
      </c>
      <c r="AH21" s="47" t="s">
        <v>263</v>
      </c>
      <c r="AI21" s="54">
        <v>44100</v>
      </c>
    </row>
    <row r="22" spans="1:35">
      <c r="A22" s="44">
        <v>20</v>
      </c>
      <c r="B22" s="45" t="s">
        <v>161</v>
      </c>
      <c r="C22" s="107">
        <v>10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179</v>
      </c>
      <c r="K22" s="49">
        <v>0.25</v>
      </c>
      <c r="L22" s="47" t="s">
        <v>162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6660.7142857142853</v>
      </c>
      <c r="V22" s="47" t="s">
        <v>265</v>
      </c>
      <c r="W22" s="51">
        <v>-5722.2222222222226</v>
      </c>
      <c r="X22" s="47" t="s">
        <v>244</v>
      </c>
      <c r="Y22" s="50">
        <v>0.20930232558139536</v>
      </c>
      <c r="Z22" s="47" t="s">
        <v>235</v>
      </c>
      <c r="AA22" s="50">
        <v>0.21138211382113822</v>
      </c>
      <c r="AB22" s="47" t="s">
        <v>227</v>
      </c>
      <c r="AC22" s="50">
        <v>0.53125</v>
      </c>
      <c r="AD22" s="47" t="s">
        <v>238</v>
      </c>
      <c r="AE22" s="50">
        <v>0.32</v>
      </c>
      <c r="AF22" s="47" t="s">
        <v>265</v>
      </c>
      <c r="AG22" s="50">
        <v>0.38461538461538464</v>
      </c>
      <c r="AH22" s="47" t="s">
        <v>177</v>
      </c>
      <c r="AI22" s="54">
        <v>42500</v>
      </c>
    </row>
    <row r="23" spans="1:35">
      <c r="A23" s="44">
        <v>21</v>
      </c>
      <c r="B23" s="45" t="s">
        <v>213</v>
      </c>
      <c r="C23" s="107">
        <v>10</v>
      </c>
      <c r="D23" s="45" t="s">
        <v>175</v>
      </c>
      <c r="E23" s="46">
        <v>-2.2000000000000011</v>
      </c>
      <c r="F23" s="47" t="s">
        <v>114</v>
      </c>
      <c r="G23" s="59">
        <v>-0.20184757505773707</v>
      </c>
      <c r="H23" s="47" t="s">
        <v>163</v>
      </c>
      <c r="I23" s="48">
        <v>2.5</v>
      </c>
      <c r="J23" s="47" t="s">
        <v>228</v>
      </c>
      <c r="K23" s="49">
        <v>0.23529411764705882</v>
      </c>
      <c r="L23" s="47" t="s">
        <v>114</v>
      </c>
      <c r="M23" s="49">
        <v>0.24711316397228639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195</v>
      </c>
      <c r="U23" s="51">
        <v>6493.6708860759491</v>
      </c>
      <c r="V23" s="47" t="s">
        <v>168</v>
      </c>
      <c r="W23" s="51">
        <v>-5835.7142857142853</v>
      </c>
      <c r="X23" s="47" t="s">
        <v>203</v>
      </c>
      <c r="Y23" s="50">
        <v>0.20930232558139536</v>
      </c>
      <c r="Z23" s="47" t="s">
        <v>277</v>
      </c>
      <c r="AA23" s="50">
        <v>0.20212765957446807</v>
      </c>
      <c r="AB23" s="47" t="s">
        <v>195</v>
      </c>
      <c r="AC23" s="50">
        <v>0.52702702702702697</v>
      </c>
      <c r="AD23" s="47" t="s">
        <v>163</v>
      </c>
      <c r="AE23" s="50">
        <v>0.31818181818181818</v>
      </c>
      <c r="AF23" s="47" t="s">
        <v>195</v>
      </c>
      <c r="AG23" s="50">
        <v>0.379746835443038</v>
      </c>
      <c r="AH23" s="47" t="s">
        <v>163</v>
      </c>
      <c r="AI23" s="54">
        <v>41700</v>
      </c>
    </row>
    <row r="24" spans="1:35">
      <c r="A24" s="44">
        <v>22</v>
      </c>
      <c r="B24" s="45" t="s">
        <v>269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244</v>
      </c>
      <c r="M24" s="49">
        <v>0.25</v>
      </c>
      <c r="N24" s="47" t="s">
        <v>163</v>
      </c>
      <c r="O24" s="49">
        <v>0.5</v>
      </c>
      <c r="P24" s="47" t="s">
        <v>255</v>
      </c>
      <c r="Q24" s="50">
        <v>0.20779220779220781</v>
      </c>
      <c r="R24" s="47" t="s">
        <v>216</v>
      </c>
      <c r="S24" s="50">
        <v>0.13407821229050279</v>
      </c>
      <c r="T24" s="47" t="s">
        <v>203</v>
      </c>
      <c r="U24" s="51">
        <v>6275</v>
      </c>
      <c r="V24" s="47" t="s">
        <v>177</v>
      </c>
      <c r="W24" s="51">
        <v>-5950</v>
      </c>
      <c r="X24" s="47" t="s">
        <v>114</v>
      </c>
      <c r="Y24" s="50">
        <v>0.20479646576207006</v>
      </c>
      <c r="Z24" s="47" t="s">
        <v>228</v>
      </c>
      <c r="AA24" s="50">
        <v>0.19834710743801653</v>
      </c>
      <c r="AB24" s="47" t="s">
        <v>216</v>
      </c>
      <c r="AC24" s="50">
        <v>0.51515151515151514</v>
      </c>
      <c r="AD24" s="47" t="s">
        <v>244</v>
      </c>
      <c r="AE24" s="50">
        <v>0.29411764705882354</v>
      </c>
      <c r="AF24" s="47" t="s">
        <v>272</v>
      </c>
      <c r="AG24" s="50">
        <v>0.37931034482758619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164</v>
      </c>
      <c r="K25" s="49">
        <v>0.2</v>
      </c>
      <c r="L25" s="47" t="s">
        <v>223</v>
      </c>
      <c r="M25" s="49">
        <v>0.25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0.13411170716314294</v>
      </c>
      <c r="T25" s="47" t="s">
        <v>238</v>
      </c>
      <c r="U25" s="51">
        <v>6152.173913043478</v>
      </c>
      <c r="V25" s="47" t="s">
        <v>213</v>
      </c>
      <c r="W25" s="51">
        <v>-5966.666666666667</v>
      </c>
      <c r="X25" s="47" t="s">
        <v>163</v>
      </c>
      <c r="Y25" s="50">
        <v>0.20289855072463769</v>
      </c>
      <c r="Z25" s="47" t="s">
        <v>244</v>
      </c>
      <c r="AA25" s="50">
        <v>0.19767441860465115</v>
      </c>
      <c r="AB25" s="47" t="s">
        <v>213</v>
      </c>
      <c r="AC25" s="50">
        <v>0.5</v>
      </c>
      <c r="AD25" s="47" t="s">
        <v>255</v>
      </c>
      <c r="AE25" s="50">
        <v>0.27777777777777779</v>
      </c>
      <c r="AF25" s="47" t="s">
        <v>179</v>
      </c>
      <c r="AG25" s="50">
        <v>0.375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164</v>
      </c>
      <c r="M26" s="49">
        <v>0.26666666666666666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238</v>
      </c>
      <c r="S26" s="50">
        <v>0.13846153846153847</v>
      </c>
      <c r="T26" s="47" t="s">
        <v>163</v>
      </c>
      <c r="U26" s="51">
        <v>5993.333333333333</v>
      </c>
      <c r="V26" s="47" t="s">
        <v>227</v>
      </c>
      <c r="W26" s="51">
        <v>-5992.8571428571431</v>
      </c>
      <c r="X26" s="47" t="s">
        <v>268</v>
      </c>
      <c r="Y26" s="50">
        <v>0.2</v>
      </c>
      <c r="Z26" s="47" t="s">
        <v>169</v>
      </c>
      <c r="AA26" s="50">
        <v>0.19745222929936307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213</v>
      </c>
      <c r="AG26" s="50">
        <v>0.375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258</v>
      </c>
      <c r="K27" s="49">
        <v>0.14285714285714285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269</v>
      </c>
      <c r="S27" s="50">
        <v>0.140625</v>
      </c>
      <c r="T27" s="47" t="s">
        <v>168</v>
      </c>
      <c r="U27" s="51">
        <v>5988.3720930232557</v>
      </c>
      <c r="V27" s="47" t="s">
        <v>114</v>
      </c>
      <c r="W27" s="51">
        <v>-6120.4705882352937</v>
      </c>
      <c r="X27" s="47" t="s">
        <v>168</v>
      </c>
      <c r="Y27" s="50">
        <v>0.19718309859154928</v>
      </c>
      <c r="Z27" s="47" t="s">
        <v>238</v>
      </c>
      <c r="AA27" s="50">
        <v>0.19230769230769232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114</v>
      </c>
      <c r="AG27" s="50">
        <v>0.36607142857142855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180</v>
      </c>
      <c r="E28" s="46">
        <v>-52.6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0.125</v>
      </c>
      <c r="L28" s="47" t="s">
        <v>227</v>
      </c>
      <c r="M28" s="49">
        <v>0.2857142857142857</v>
      </c>
      <c r="N28" s="47" t="s">
        <v>195</v>
      </c>
      <c r="O28" s="49">
        <v>0.48780487804878048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277</v>
      </c>
      <c r="U28" s="51">
        <v>5960</v>
      </c>
      <c r="V28" s="47" t="s">
        <v>208</v>
      </c>
      <c r="W28" s="51">
        <v>-6340</v>
      </c>
      <c r="X28" s="47" t="s">
        <v>179</v>
      </c>
      <c r="Y28" s="50">
        <v>0.19083969465648856</v>
      </c>
      <c r="Z28" s="47" t="s">
        <v>202</v>
      </c>
      <c r="AA28" s="50">
        <v>0.17647058823529413</v>
      </c>
      <c r="AB28" s="47" t="s">
        <v>258</v>
      </c>
      <c r="AC28" s="50">
        <v>0.5</v>
      </c>
      <c r="AD28" s="47" t="s">
        <v>227</v>
      </c>
      <c r="AE28" s="50">
        <v>0.23076923076923078</v>
      </c>
      <c r="AF28" s="47" t="s">
        <v>241</v>
      </c>
      <c r="AG28" s="50">
        <v>0.36363636363636365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262</v>
      </c>
      <c r="E29" s="46">
        <v>-59.2</v>
      </c>
      <c r="F29" s="47" t="s">
        <v>258</v>
      </c>
      <c r="G29" s="59">
        <v>-10.6</v>
      </c>
      <c r="H29" s="47" t="s">
        <v>228</v>
      </c>
      <c r="I29" s="48">
        <v>2.7058823529411766</v>
      </c>
      <c r="J29" s="47" t="s">
        <v>277</v>
      </c>
      <c r="K29" s="49">
        <v>7.6923076923076927E-2</v>
      </c>
      <c r="L29" s="47" t="s">
        <v>241</v>
      </c>
      <c r="M29" s="49">
        <v>0.2857142857142857</v>
      </c>
      <c r="N29" s="47" t="s">
        <v>238</v>
      </c>
      <c r="O29" s="49">
        <v>0.44444444444444442</v>
      </c>
      <c r="P29" s="47" t="s">
        <v>258</v>
      </c>
      <c r="Q29" s="50">
        <v>0.18</v>
      </c>
      <c r="R29" s="47" t="s">
        <v>244</v>
      </c>
      <c r="S29" s="50">
        <v>0.15116279069767441</v>
      </c>
      <c r="T29" s="47" t="s">
        <v>272</v>
      </c>
      <c r="U29" s="51">
        <v>5951.7241379310344</v>
      </c>
      <c r="V29" s="47" t="s">
        <v>235</v>
      </c>
      <c r="W29" s="51">
        <v>-6373.913043478261</v>
      </c>
      <c r="X29" s="47" t="s">
        <v>216</v>
      </c>
      <c r="Y29" s="50">
        <v>0.18435754189944134</v>
      </c>
      <c r="Z29" s="47" t="s">
        <v>262</v>
      </c>
      <c r="AA29" s="50">
        <v>0.17391304347826086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175</v>
      </c>
      <c r="AG29" s="50">
        <v>0.33333333333333331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241</v>
      </c>
      <c r="I30" s="48">
        <v>2.7142857142857144</v>
      </c>
      <c r="J30" s="47" t="s">
        <v>213</v>
      </c>
      <c r="K30" s="49">
        <v>0</v>
      </c>
      <c r="L30" s="47" t="s">
        <v>258</v>
      </c>
      <c r="M30" s="49">
        <v>0.2857142857142857</v>
      </c>
      <c r="N30" s="47" t="s">
        <v>258</v>
      </c>
      <c r="O30" s="49">
        <v>0.42857142857142855</v>
      </c>
      <c r="P30" s="47" t="s">
        <v>238</v>
      </c>
      <c r="Q30" s="50">
        <v>0.17692307692307693</v>
      </c>
      <c r="R30" s="47" t="s">
        <v>264</v>
      </c>
      <c r="S30" s="50">
        <v>0.15384615384615385</v>
      </c>
      <c r="T30" s="47" t="s">
        <v>265</v>
      </c>
      <c r="U30" s="51">
        <v>5900</v>
      </c>
      <c r="V30" s="47" t="s">
        <v>161</v>
      </c>
      <c r="W30" s="51">
        <v>-6514.2857142857147</v>
      </c>
      <c r="X30" s="47" t="s">
        <v>262</v>
      </c>
      <c r="Y30" s="50">
        <v>0.17391304347826086</v>
      </c>
      <c r="Z30" s="47" t="s">
        <v>166</v>
      </c>
      <c r="AA30" s="50">
        <v>0.17142857142857143</v>
      </c>
      <c r="AB30" s="47" t="s">
        <v>255</v>
      </c>
      <c r="AC30" s="50">
        <v>0.47058823529411764</v>
      </c>
      <c r="AD30" s="47" t="s">
        <v>231</v>
      </c>
      <c r="AE30" s="50">
        <v>0.2</v>
      </c>
      <c r="AF30" s="47" t="s">
        <v>228</v>
      </c>
      <c r="AG30" s="50">
        <v>0.31818181818181818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258</v>
      </c>
      <c r="I31" s="48">
        <v>2.7142857142857144</v>
      </c>
      <c r="J31" s="47" t="s">
        <v>238</v>
      </c>
      <c r="K31" s="49">
        <v>0</v>
      </c>
      <c r="L31" s="47" t="s">
        <v>216</v>
      </c>
      <c r="M31" s="49">
        <v>0.29629629629629628</v>
      </c>
      <c r="N31" s="47" t="s">
        <v>244</v>
      </c>
      <c r="O31" s="49">
        <v>0.41666666666666669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177</v>
      </c>
      <c r="U31" s="51">
        <v>5900</v>
      </c>
      <c r="V31" s="47" t="s">
        <v>180</v>
      </c>
      <c r="W31" s="51">
        <v>-6600</v>
      </c>
      <c r="X31" s="47" t="s">
        <v>228</v>
      </c>
      <c r="Y31" s="50">
        <v>0.17355371900826447</v>
      </c>
      <c r="Z31" s="47" t="s">
        <v>265</v>
      </c>
      <c r="AA31" s="50">
        <v>0.16831683168316833</v>
      </c>
      <c r="AB31" s="47" t="s">
        <v>269</v>
      </c>
      <c r="AC31" s="50">
        <v>0.44444444444444442</v>
      </c>
      <c r="AD31" s="47" t="s">
        <v>203</v>
      </c>
      <c r="AE31" s="50">
        <v>0.16666666666666666</v>
      </c>
      <c r="AF31" s="47" t="s">
        <v>263</v>
      </c>
      <c r="AG31" s="50">
        <v>0.30769230769230771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238</v>
      </c>
      <c r="G32" s="59">
        <v>-14.238888888888887</v>
      </c>
      <c r="H32" s="47" t="s">
        <v>238</v>
      </c>
      <c r="I32" s="48">
        <v>2.7222222222222223</v>
      </c>
      <c r="J32" s="47" t="s">
        <v>269</v>
      </c>
      <c r="K32" s="49">
        <v>0</v>
      </c>
      <c r="L32" s="47" t="s">
        <v>161</v>
      </c>
      <c r="M32" s="49">
        <v>0.3</v>
      </c>
      <c r="N32" s="47" t="s">
        <v>228</v>
      </c>
      <c r="O32" s="49">
        <v>0.41176470588235292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258</v>
      </c>
      <c r="U32" s="51">
        <v>5766.666666666667</v>
      </c>
      <c r="V32" s="47" t="s">
        <v>269</v>
      </c>
      <c r="W32" s="51">
        <v>-6611.1111111111113</v>
      </c>
      <c r="X32" s="47" t="s">
        <v>169</v>
      </c>
      <c r="Y32" s="50">
        <v>0.17197452229299362</v>
      </c>
      <c r="Z32" s="47" t="s">
        <v>215</v>
      </c>
      <c r="AA32" s="50">
        <v>0.16666666666666666</v>
      </c>
      <c r="AB32" s="47" t="s">
        <v>179</v>
      </c>
      <c r="AC32" s="50">
        <v>0.4</v>
      </c>
      <c r="AD32" s="47" t="s">
        <v>277</v>
      </c>
      <c r="AE32" s="50">
        <v>0.15789473684210525</v>
      </c>
      <c r="AF32" s="47" t="s">
        <v>169</v>
      </c>
      <c r="AG32" s="50">
        <v>0.2638888888888889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-87.400000000000148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166</v>
      </c>
      <c r="K33" s="49">
        <v>0</v>
      </c>
      <c r="L33" s="47" t="s">
        <v>262</v>
      </c>
      <c r="M33" s="49">
        <v>0.33333333333333331</v>
      </c>
      <c r="N33" s="47" t="s">
        <v>216</v>
      </c>
      <c r="O33" s="49">
        <v>0.40740740740740738</v>
      </c>
      <c r="P33" s="47" t="s">
        <v>164</v>
      </c>
      <c r="Q33" s="50">
        <v>0.16528925619834711</v>
      </c>
      <c r="R33" s="47" t="s">
        <v>202</v>
      </c>
      <c r="S33" s="50">
        <v>0.17647058823529413</v>
      </c>
      <c r="T33" s="47" t="s">
        <v>269</v>
      </c>
      <c r="U33" s="51">
        <v>5633.333333333333</v>
      </c>
      <c r="V33" s="47" t="s">
        <v>255</v>
      </c>
      <c r="W33" s="51">
        <v>-6885.7142857142853</v>
      </c>
      <c r="X33" s="47" t="s">
        <v>161</v>
      </c>
      <c r="Y33" s="50">
        <v>0.16883116883116883</v>
      </c>
      <c r="Z33" s="47" t="s">
        <v>258</v>
      </c>
      <c r="AA33" s="50">
        <v>0.16</v>
      </c>
      <c r="AB33" s="47" t="s">
        <v>241</v>
      </c>
      <c r="AC33" s="50">
        <v>0.375</v>
      </c>
      <c r="AD33" s="47" t="s">
        <v>235</v>
      </c>
      <c r="AE33" s="50">
        <v>0.15384615384615385</v>
      </c>
      <c r="AF33" s="47" t="s">
        <v>177</v>
      </c>
      <c r="AG33" s="50">
        <v>0.25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167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277</v>
      </c>
      <c r="S34" s="50">
        <v>0.18085106382978725</v>
      </c>
      <c r="T34" s="47" t="s">
        <v>263</v>
      </c>
      <c r="U34" s="51">
        <v>5341.0256410256407</v>
      </c>
      <c r="V34" s="47" t="s">
        <v>228</v>
      </c>
      <c r="W34" s="51">
        <v>-6926.9230769230771</v>
      </c>
      <c r="X34" s="47" t="s">
        <v>241</v>
      </c>
      <c r="Y34" s="50">
        <v>0.16666666666666666</v>
      </c>
      <c r="Z34" s="47" t="s">
        <v>177</v>
      </c>
      <c r="AA34" s="50">
        <v>0.15789473684210525</v>
      </c>
      <c r="AB34" s="47" t="s">
        <v>191</v>
      </c>
      <c r="AC34" s="50">
        <v>0.33333333333333331</v>
      </c>
      <c r="AD34" s="47" t="s">
        <v>258</v>
      </c>
      <c r="AE34" s="50">
        <v>0.125</v>
      </c>
      <c r="AF34" s="47" t="s">
        <v>231</v>
      </c>
      <c r="AG34" s="50">
        <v>0.25</v>
      </c>
      <c r="AH34" s="47" t="s">
        <v>268</v>
      </c>
      <c r="AI34" s="54">
        <v>32100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175</v>
      </c>
      <c r="K35" s="49">
        <v>0</v>
      </c>
      <c r="L35" s="47" t="s">
        <v>163</v>
      </c>
      <c r="M35" s="49">
        <v>0.375</v>
      </c>
      <c r="N35" s="47" t="s">
        <v>235</v>
      </c>
      <c r="O35" s="49">
        <v>0.25</v>
      </c>
      <c r="P35" s="47" t="s">
        <v>213</v>
      </c>
      <c r="Q35" s="50">
        <v>0.14814814814814814</v>
      </c>
      <c r="R35" s="47" t="s">
        <v>161</v>
      </c>
      <c r="S35" s="50">
        <v>0.18181818181818182</v>
      </c>
      <c r="T35" s="47" t="s">
        <v>241</v>
      </c>
      <c r="U35" s="51">
        <v>5090.909090909091</v>
      </c>
      <c r="V35" s="47" t="s">
        <v>195</v>
      </c>
      <c r="W35" s="51">
        <v>-6932.3529411764703</v>
      </c>
      <c r="X35" s="47" t="s">
        <v>231</v>
      </c>
      <c r="Y35" s="50">
        <v>0.15384615384615385</v>
      </c>
      <c r="Z35" s="47" t="s">
        <v>216</v>
      </c>
      <c r="AA35" s="50">
        <v>0.14525139664804471</v>
      </c>
      <c r="AB35" s="47" t="s">
        <v>277</v>
      </c>
      <c r="AC35" s="50">
        <v>0.33333333333333331</v>
      </c>
      <c r="AD35" s="47" t="s">
        <v>276</v>
      </c>
      <c r="AE35" s="50">
        <v>0.12</v>
      </c>
      <c r="AF35" s="47" t="s">
        <v>262</v>
      </c>
      <c r="AG35" s="50">
        <v>0.25</v>
      </c>
      <c r="AH35" s="47" t="s">
        <v>269</v>
      </c>
      <c r="AI35" s="54">
        <v>31700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235</v>
      </c>
      <c r="G36" s="59">
        <v>-23.975000000000001</v>
      </c>
      <c r="H36" s="47" t="s">
        <v>262</v>
      </c>
      <c r="I36" s="48">
        <v>3</v>
      </c>
      <c r="J36" s="47" t="s">
        <v>180</v>
      </c>
      <c r="K36" s="49">
        <v>0</v>
      </c>
      <c r="L36" s="47" t="s">
        <v>203</v>
      </c>
      <c r="M36" s="49">
        <v>0.4</v>
      </c>
      <c r="N36" s="47" t="s">
        <v>166</v>
      </c>
      <c r="O36" s="49">
        <v>0.25</v>
      </c>
      <c r="P36" s="47" t="s">
        <v>235</v>
      </c>
      <c r="Q36" s="50">
        <v>0.14634146341463414</v>
      </c>
      <c r="R36" s="47" t="s">
        <v>235</v>
      </c>
      <c r="S36" s="50">
        <v>0.18699186991869918</v>
      </c>
      <c r="T36" s="47" t="s">
        <v>179</v>
      </c>
      <c r="U36" s="51">
        <v>4909.375</v>
      </c>
      <c r="V36" s="47" t="s">
        <v>244</v>
      </c>
      <c r="W36" s="51">
        <v>-7107.6923076923076</v>
      </c>
      <c r="X36" s="47" t="s">
        <v>238</v>
      </c>
      <c r="Y36" s="50">
        <v>0.14615384615384616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262</v>
      </c>
      <c r="AI36" s="54">
        <v>28000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196</v>
      </c>
      <c r="G37" s="59">
        <v>-27.1</v>
      </c>
      <c r="H37" s="47" t="s">
        <v>235</v>
      </c>
      <c r="I37" s="48">
        <v>3.125</v>
      </c>
      <c r="J37" s="47" t="s">
        <v>199</v>
      </c>
      <c r="K37" s="49">
        <v>0</v>
      </c>
      <c r="L37" s="47" t="s">
        <v>235</v>
      </c>
      <c r="M37" s="49">
        <v>0.5</v>
      </c>
      <c r="N37" s="47" t="s">
        <v>277</v>
      </c>
      <c r="O37" s="49">
        <v>0.23076923076923078</v>
      </c>
      <c r="P37" s="47" t="s">
        <v>196</v>
      </c>
      <c r="Q37" s="50">
        <v>0.125</v>
      </c>
      <c r="R37" s="47" t="s">
        <v>223</v>
      </c>
      <c r="S37" s="50">
        <v>0.19047619047619047</v>
      </c>
      <c r="T37" s="47" t="s">
        <v>235</v>
      </c>
      <c r="U37" s="51">
        <v>4866.666666666667</v>
      </c>
      <c r="V37" s="47" t="s">
        <v>163</v>
      </c>
      <c r="W37" s="51">
        <v>-7212.5</v>
      </c>
      <c r="X37" s="47" t="s">
        <v>180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269</v>
      </c>
      <c r="AE37" s="50">
        <v>0</v>
      </c>
      <c r="AF37" s="47" t="s">
        <v>227</v>
      </c>
      <c r="AG37" s="50">
        <v>0.19047619047619047</v>
      </c>
      <c r="AH37" s="47" t="s">
        <v>215</v>
      </c>
      <c r="AI37" s="54">
        <v>25600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277</v>
      </c>
      <c r="G38" s="59">
        <v>-27.11538461538461</v>
      </c>
      <c r="H38" s="47" t="s">
        <v>277</v>
      </c>
      <c r="I38" s="48">
        <v>3.2307692307692308</v>
      </c>
      <c r="J38" s="47" t="s">
        <v>196</v>
      </c>
      <c r="K38" s="49">
        <v>0</v>
      </c>
      <c r="L38" s="47" t="s">
        <v>166</v>
      </c>
      <c r="M38" s="49">
        <v>0.5</v>
      </c>
      <c r="N38" s="47" t="s">
        <v>269</v>
      </c>
      <c r="O38" s="49">
        <v>0.1</v>
      </c>
      <c r="P38" s="47" t="s">
        <v>277</v>
      </c>
      <c r="Q38" s="50">
        <v>0.10638297872340426</v>
      </c>
      <c r="R38" s="47" t="s">
        <v>168</v>
      </c>
      <c r="S38" s="50">
        <v>0.19718309859154928</v>
      </c>
      <c r="T38" s="47" t="s">
        <v>262</v>
      </c>
      <c r="U38" s="51">
        <v>4525</v>
      </c>
      <c r="V38" s="47" t="s">
        <v>216</v>
      </c>
      <c r="W38" s="51">
        <v>-7266.666666666667</v>
      </c>
      <c r="X38" s="47" t="s">
        <v>269</v>
      </c>
      <c r="Y38" s="50">
        <v>0.140625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167</v>
      </c>
      <c r="AE38" s="50">
        <v>0</v>
      </c>
      <c r="AF38" s="47" t="s">
        <v>191</v>
      </c>
      <c r="AG38" s="50">
        <v>0.14285714285714285</v>
      </c>
      <c r="AH38" s="47" t="s">
        <v>203</v>
      </c>
      <c r="AI38" s="54">
        <v>25000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166</v>
      </c>
      <c r="G39" s="59">
        <v>-31.999999999999996</v>
      </c>
      <c r="H39" s="47" t="s">
        <v>166</v>
      </c>
      <c r="I39" s="48">
        <v>3.25</v>
      </c>
      <c r="J39" s="47" t="s">
        <v>203</v>
      </c>
      <c r="K39" s="49">
        <v>0</v>
      </c>
      <c r="L39" s="47" t="s">
        <v>177</v>
      </c>
      <c r="M39" s="49">
        <v>0.5</v>
      </c>
      <c r="N39" s="47" t="s">
        <v>180</v>
      </c>
      <c r="O39" s="49">
        <v>0</v>
      </c>
      <c r="P39" s="47" t="s">
        <v>223</v>
      </c>
      <c r="Q39" s="50">
        <v>9.5238095238095233E-2</v>
      </c>
      <c r="R39" s="47" t="s">
        <v>258</v>
      </c>
      <c r="S39" s="50">
        <v>0.2</v>
      </c>
      <c r="T39" s="47" t="s">
        <v>215</v>
      </c>
      <c r="U39" s="51">
        <v>3900</v>
      </c>
      <c r="V39" s="47" t="s">
        <v>238</v>
      </c>
      <c r="W39" s="51">
        <v>-7461.1111111111113</v>
      </c>
      <c r="X39" s="47" t="s">
        <v>235</v>
      </c>
      <c r="Y39" s="50">
        <v>0.13821138211382114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175</v>
      </c>
      <c r="AE39" s="50">
        <v>0</v>
      </c>
      <c r="AF39" s="47" t="s">
        <v>180</v>
      </c>
      <c r="AG39" s="50">
        <v>0</v>
      </c>
      <c r="AH39" s="47" t="s">
        <v>166</v>
      </c>
      <c r="AI39" s="54">
        <v>23700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202</v>
      </c>
      <c r="K40" s="49">
        <v>0</v>
      </c>
      <c r="L40" s="47" t="s">
        <v>277</v>
      </c>
      <c r="M40" s="49">
        <v>0.53846153846153844</v>
      </c>
      <c r="N40" s="47" t="s">
        <v>199</v>
      </c>
      <c r="O40" s="49">
        <v>0</v>
      </c>
      <c r="P40" s="47" t="s">
        <v>269</v>
      </c>
      <c r="Q40" s="50">
        <v>9.375E-2</v>
      </c>
      <c r="R40" s="47" t="s">
        <v>268</v>
      </c>
      <c r="S40" s="50">
        <v>0.2</v>
      </c>
      <c r="T40" s="47" t="s">
        <v>166</v>
      </c>
      <c r="U40" s="51">
        <v>2928.5714285714284</v>
      </c>
      <c r="V40" s="47" t="s">
        <v>241</v>
      </c>
      <c r="W40" s="51">
        <v>-7687.5</v>
      </c>
      <c r="X40" s="47" t="s">
        <v>202</v>
      </c>
      <c r="Y40" s="50">
        <v>0.11764705882352941</v>
      </c>
      <c r="Z40" s="47" t="s">
        <v>269</v>
      </c>
      <c r="AA40" s="50">
        <v>0.109375</v>
      </c>
      <c r="AB40" s="47" t="s">
        <v>199</v>
      </c>
      <c r="AC40" s="50">
        <v>0</v>
      </c>
      <c r="AD40" s="47" t="s">
        <v>180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-33.820000000000007</v>
      </c>
      <c r="H41" s="47" t="s">
        <v>269</v>
      </c>
      <c r="I41" s="48">
        <v>3.5</v>
      </c>
      <c r="J41" s="47" t="s">
        <v>208</v>
      </c>
      <c r="K41" s="49">
        <v>0</v>
      </c>
      <c r="L41" s="47" t="s">
        <v>269</v>
      </c>
      <c r="M41" s="49">
        <v>0.6</v>
      </c>
      <c r="N41" s="47" t="s">
        <v>196</v>
      </c>
      <c r="O41" s="49">
        <v>0</v>
      </c>
      <c r="P41" s="47" t="s">
        <v>203</v>
      </c>
      <c r="Q41" s="50">
        <v>9.3023255813953487E-2</v>
      </c>
      <c r="R41" s="47" t="s">
        <v>228</v>
      </c>
      <c r="S41" s="50">
        <v>0.21487603305785125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166</v>
      </c>
      <c r="Y41" s="50">
        <v>0.11428571428571428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199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238</v>
      </c>
      <c r="E42" s="46">
        <v>-256.29999999999995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215</v>
      </c>
      <c r="K42" s="49">
        <v>0</v>
      </c>
      <c r="L42" s="47" t="s">
        <v>208</v>
      </c>
      <c r="M42" s="49">
        <v>0.66666666666666663</v>
      </c>
      <c r="N42" s="47" t="s">
        <v>203</v>
      </c>
      <c r="O42" s="49">
        <v>0</v>
      </c>
      <c r="P42" s="47" t="s">
        <v>202</v>
      </c>
      <c r="Q42" s="50">
        <v>5.8823529411764705E-2</v>
      </c>
      <c r="R42" s="47" t="s">
        <v>208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191</v>
      </c>
      <c r="Y42" s="50">
        <v>0.10434782608695652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202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269</v>
      </c>
      <c r="E43" s="46">
        <v>-338.20000000000005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223</v>
      </c>
      <c r="K43" s="49">
        <v>0</v>
      </c>
      <c r="L43" s="47" t="s">
        <v>180</v>
      </c>
      <c r="M43" s="49">
        <v>1</v>
      </c>
      <c r="N43" s="47" t="s">
        <v>202</v>
      </c>
      <c r="O43" s="49">
        <v>0</v>
      </c>
      <c r="P43" s="47" t="s">
        <v>180</v>
      </c>
      <c r="Q43" s="50">
        <v>0</v>
      </c>
      <c r="R43" s="47" t="s">
        <v>262</v>
      </c>
      <c r="S43" s="50">
        <v>0.21739130434782608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208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-352.49999999999994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241</v>
      </c>
      <c r="K44" s="49">
        <v>0</v>
      </c>
      <c r="L44" s="47" t="s">
        <v>199</v>
      </c>
      <c r="M44" s="49">
        <v>1</v>
      </c>
      <c r="N44" s="47" t="s">
        <v>208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223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-383.6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262</v>
      </c>
      <c r="K45" s="49">
        <v>0</v>
      </c>
      <c r="L45" s="47" t="s">
        <v>202</v>
      </c>
      <c r="M45" s="49">
        <v>1</v>
      </c>
      <c r="N45" s="47" t="s">
        <v>215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2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433</v>
      </c>
      <c r="C2" s="121"/>
      <c r="E2" s="32" t="s">
        <v>54</v>
      </c>
      <c r="F2" s="29" t="s">
        <v>20</v>
      </c>
      <c r="G2" s="12">
        <v>372</v>
      </c>
      <c r="H2" s="93">
        <f>IF(B$17=0,0,G2/B$17)</f>
        <v>0.5535714285714286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-60.046189376443415</v>
      </c>
      <c r="P2" s="79">
        <v>433</v>
      </c>
      <c r="Q2" s="63">
        <v>-26000</v>
      </c>
    </row>
    <row r="3" spans="1:17">
      <c r="A3" s="19" t="s">
        <v>8</v>
      </c>
      <c r="B3" s="122">
        <v>3169</v>
      </c>
      <c r="C3" s="123"/>
      <c r="E3" s="33" t="s">
        <v>181</v>
      </c>
      <c r="F3" s="30" t="s">
        <v>156</v>
      </c>
      <c r="G3" s="13">
        <v>351</v>
      </c>
      <c r="H3" s="94">
        <f>IF(B$17=0,0,G3/B$17)</f>
        <v>0.5223214285714286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-17.090069284064665</v>
      </c>
      <c r="P3" s="80">
        <v>433</v>
      </c>
      <c r="Q3" s="64">
        <v>-7400</v>
      </c>
    </row>
    <row r="4" spans="1:17">
      <c r="A4" s="19" t="s">
        <v>6</v>
      </c>
      <c r="B4" s="124">
        <v>-87.400000000000148</v>
      </c>
      <c r="C4" s="125"/>
      <c r="E4" s="33" t="s">
        <v>184</v>
      </c>
      <c r="F4" s="30" t="s">
        <v>187</v>
      </c>
      <c r="G4" s="13">
        <v>322</v>
      </c>
      <c r="H4" s="94">
        <f>IF(B$17=0,0,G4/B$17)</f>
        <v>0.47916666666666669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-18.352941176470587</v>
      </c>
      <c r="P4" s="80">
        <v>425</v>
      </c>
      <c r="Q4" s="64">
        <v>-7800</v>
      </c>
    </row>
    <row r="5" spans="1:17">
      <c r="A5" s="19" t="s">
        <v>7</v>
      </c>
      <c r="B5" s="126">
        <f>IF(B$2=0,0,B$4/B$2)</f>
        <v>-0.20184757505773707</v>
      </c>
      <c r="C5" s="127"/>
      <c r="E5" s="33" t="s">
        <v>60</v>
      </c>
      <c r="F5" s="30" t="s">
        <v>24</v>
      </c>
      <c r="G5" s="13">
        <v>270</v>
      </c>
      <c r="H5" s="94">
        <f>IF(B$17=0,0,G5/B$17)</f>
        <v>0.4017857142857143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-53.435114503816791</v>
      </c>
      <c r="P5" s="80">
        <v>393</v>
      </c>
      <c r="Q5" s="64">
        <v>-21000</v>
      </c>
    </row>
    <row r="6" spans="1:17">
      <c r="A6" s="19" t="s">
        <v>1</v>
      </c>
      <c r="B6" s="128">
        <f>IF(B$2=0,0,(B$7*1+B$8*2+B$9*3+B$10*4)/B$2)</f>
        <v>2.4919168591224019</v>
      </c>
      <c r="C6" s="129"/>
      <c r="E6" s="33" t="s">
        <v>56</v>
      </c>
      <c r="F6" s="30" t="s">
        <v>185</v>
      </c>
      <c r="G6" s="13">
        <v>174</v>
      </c>
      <c r="H6" s="94">
        <f>IF(B$17=0,0,G6/B$17)</f>
        <v>0.25892857142857145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-14.492753623188406</v>
      </c>
      <c r="P6" s="80">
        <v>276</v>
      </c>
      <c r="Q6" s="64">
        <v>-4000</v>
      </c>
    </row>
    <row r="7" spans="1:17">
      <c r="A7" s="19" t="s">
        <v>2</v>
      </c>
      <c r="B7" s="13">
        <v>110</v>
      </c>
      <c r="C7" s="6">
        <f t="shared" ref="C7:C12" si="2">IF(B$2=0,0,B7/B$2)</f>
        <v>0.2540415704387991</v>
      </c>
      <c r="E7" s="33" t="s">
        <v>57</v>
      </c>
      <c r="F7" s="30" t="s">
        <v>21</v>
      </c>
      <c r="G7" s="13">
        <v>160</v>
      </c>
      <c r="H7" s="94">
        <f>IF(B$17=0,0,G7/B$17)</f>
        <v>0.23809523809523808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-42.553191489361701</v>
      </c>
      <c r="P7" s="80">
        <v>188</v>
      </c>
      <c r="Q7" s="64">
        <v>-8000</v>
      </c>
    </row>
    <row r="8" spans="1:17">
      <c r="A8" s="19" t="s">
        <v>3</v>
      </c>
      <c r="B8" s="13">
        <v>107</v>
      </c>
      <c r="C8" s="6">
        <f>IF(B$2=0,0,B8/B$2)</f>
        <v>0.24711316397228639</v>
      </c>
      <c r="E8" s="33" t="s">
        <v>55</v>
      </c>
      <c r="F8" s="30" t="s">
        <v>155</v>
      </c>
      <c r="G8" s="13">
        <v>159</v>
      </c>
      <c r="H8" s="94">
        <f>IF(B$17=0,0,G8/B$17)</f>
        <v>0.23660714285714285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112</v>
      </c>
      <c r="Q8" s="64">
        <v>0</v>
      </c>
    </row>
    <row r="9" spans="1:17">
      <c r="A9" s="20" t="s">
        <v>4</v>
      </c>
      <c r="B9" s="14">
        <v>109</v>
      </c>
      <c r="C9" s="7">
        <f>IF(B$2=0,0,B9/B$2)</f>
        <v>0.25173210161662818</v>
      </c>
      <c r="E9" s="33" t="s">
        <v>59</v>
      </c>
      <c r="F9" s="30" t="s">
        <v>23</v>
      </c>
      <c r="G9" s="13">
        <v>104</v>
      </c>
      <c r="H9" s="94">
        <f>IF(B$17=0,0,G9/B$17)</f>
        <v>0.15476190476190477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107</v>
      </c>
      <c r="C10" s="7">
        <f>IF(B$2=0,0,B10/B$2)</f>
        <v>0.24711316397228639</v>
      </c>
      <c r="E10" s="33" t="s">
        <v>182</v>
      </c>
      <c r="F10" s="30" t="s">
        <v>19</v>
      </c>
      <c r="G10" s="13">
        <v>74</v>
      </c>
      <c r="H10" s="94">
        <f>IF(B$17=0,0,G10/B$17)</f>
        <v>0.11011904761904762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217</v>
      </c>
      <c r="C11" s="7">
        <f>IF(B$2=0,0,B11/B$2)</f>
        <v>0.50115473441108549</v>
      </c>
      <c r="E11" s="33" t="s">
        <v>58</v>
      </c>
      <c r="F11" s="30" t="s">
        <v>22</v>
      </c>
      <c r="G11" s="13">
        <v>47</v>
      </c>
      <c r="H11" s="94">
        <f>IF(B$17=0,0,G11/B$17)</f>
        <v>6.9940476190476192E-2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4.1570438799076209E-2</v>
      </c>
      <c r="E12" s="33" t="s">
        <v>77</v>
      </c>
      <c r="F12" s="30" t="s">
        <v>41</v>
      </c>
      <c r="G12" s="13">
        <v>29</v>
      </c>
      <c r="H12" s="94">
        <f>IF(B$17=0,0,G12/B$17)</f>
        <v>4.3154761904761904E-2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-2.1688073394495402</v>
      </c>
      <c r="P12" s="79">
        <v>109</v>
      </c>
      <c r="Q12" s="67">
        <v>-236.39999999999986</v>
      </c>
    </row>
    <row r="13" spans="1:17">
      <c r="A13" s="22" t="s">
        <v>97</v>
      </c>
      <c r="B13" s="15">
        <v>649</v>
      </c>
      <c r="C13" s="11">
        <f>IF(B$3=0,0,B13/B$3)</f>
        <v>0.20479646576207006</v>
      </c>
      <c r="E13" s="33" t="s">
        <v>183</v>
      </c>
      <c r="F13" s="30" t="s">
        <v>186</v>
      </c>
      <c r="G13" s="13">
        <v>25</v>
      </c>
      <c r="H13" s="94">
        <f>IF(B$17=0,0,G13/B$17)</f>
        <v>3.7202380952380952E-2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4.2788990825688042</v>
      </c>
      <c r="P13" s="80">
        <v>109</v>
      </c>
      <c r="Q13" s="68">
        <v>466.39999999999964</v>
      </c>
    </row>
    <row r="14" spans="1:17">
      <c r="A14" s="19" t="s">
        <v>94</v>
      </c>
      <c r="B14" s="13">
        <v>682</v>
      </c>
      <c r="C14" s="6">
        <f>IF(B$3=0,0,B14/B$3)</f>
        <v>0.21520984537709056</v>
      </c>
      <c r="E14" s="33" t="s">
        <v>71</v>
      </c>
      <c r="F14" s="30" t="s">
        <v>35</v>
      </c>
      <c r="G14" s="13">
        <v>23</v>
      </c>
      <c r="H14" s="94">
        <f>IF(B$17=0,0,G14/B$17)</f>
        <v>3.4226190476190479E-2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-4.2605504587155947</v>
      </c>
      <c r="P14" s="80">
        <v>109</v>
      </c>
      <c r="Q14" s="68">
        <v>-464.39999999999981</v>
      </c>
    </row>
    <row r="15" spans="1:17">
      <c r="A15" s="18" t="s">
        <v>99</v>
      </c>
      <c r="B15" s="12">
        <f>B21</f>
        <v>354</v>
      </c>
      <c r="C15" s="4">
        <f>IF(B$13=0,0,B15/B$13)</f>
        <v>0.54545454545454541</v>
      </c>
      <c r="E15" s="33" t="s">
        <v>74</v>
      </c>
      <c r="F15" s="30" t="s">
        <v>38</v>
      </c>
      <c r="G15" s="13">
        <v>15</v>
      </c>
      <c r="H15" s="94">
        <f>IF(B$17=0,0,G15/B$17)</f>
        <v>2.2321428571428572E-2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1.3486238532110091</v>
      </c>
      <c r="P15" s="81">
        <v>109</v>
      </c>
      <c r="Q15" s="69">
        <v>147</v>
      </c>
    </row>
    <row r="16" spans="1:17">
      <c r="A16" s="18" t="s">
        <v>100</v>
      </c>
      <c r="B16" s="12">
        <f>B22</f>
        <v>229</v>
      </c>
      <c r="C16" s="4">
        <f>IF(B$14=0,0,B16/B$14)</f>
        <v>0.33577712609970672</v>
      </c>
      <c r="E16" s="33" t="s">
        <v>66</v>
      </c>
      <c r="F16" s="30" t="s">
        <v>30</v>
      </c>
      <c r="G16" s="13">
        <v>9</v>
      </c>
      <c r="H16" s="94">
        <f>IF(B$17=0,0,G16/B$17)</f>
        <v>1.3392857142857142E-2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672</v>
      </c>
      <c r="C17" s="4">
        <f>IF(B$3=0,0,B17/B$3)</f>
        <v>0.21205427579678132</v>
      </c>
      <c r="E17" s="33" t="s">
        <v>67</v>
      </c>
      <c r="F17" s="30" t="s">
        <v>31</v>
      </c>
      <c r="G17" s="13">
        <v>7</v>
      </c>
      <c r="H17" s="94">
        <f>IF(B$17=0,0,G17/B$17)</f>
        <v>1.0416666666666666E-2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425</v>
      </c>
      <c r="C18" s="6">
        <f>IF(B$3=0,0,B18/B$3)</f>
        <v>0.13411170716314294</v>
      </c>
      <c r="E18" s="33" t="s">
        <v>78</v>
      </c>
      <c r="F18" s="30" t="s">
        <v>42</v>
      </c>
      <c r="G18" s="13">
        <v>7</v>
      </c>
      <c r="H18" s="94">
        <f>IF(B$17=0,0,G18/B$17)</f>
        <v>1.0416666666666666E-2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246</v>
      </c>
      <c r="C19" s="6">
        <f>IF(B$17=0,0,B19/B$17)</f>
        <v>0.36607142857142855</v>
      </c>
      <c r="E19" s="33" t="s">
        <v>69</v>
      </c>
      <c r="F19" s="30" t="s">
        <v>33</v>
      </c>
      <c r="G19" s="13">
        <v>6</v>
      </c>
      <c r="H19" s="94">
        <f>IF(B$17=0,0,G19/B$17)</f>
        <v>8.9285714285714281E-3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426</v>
      </c>
      <c r="C20" s="6">
        <f>IF(B$17=0,0,B20/B$17)</f>
        <v>0.6339285714285714</v>
      </c>
      <c r="E20" s="33" t="s">
        <v>61</v>
      </c>
      <c r="F20" s="30" t="s">
        <v>25</v>
      </c>
      <c r="G20" s="13">
        <v>5</v>
      </c>
      <c r="H20" s="94">
        <f>IF(B$17=0,0,G20/B$17)</f>
        <v>7.4404761904761901E-3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354</v>
      </c>
      <c r="C21" s="6">
        <f>IF(B$17=0,0,B21/B$17)</f>
        <v>0.5267857142857143</v>
      </c>
      <c r="E21" s="33" t="s">
        <v>62</v>
      </c>
      <c r="F21" s="30" t="s">
        <v>26</v>
      </c>
      <c r="G21" s="13">
        <v>4</v>
      </c>
      <c r="H21" s="94">
        <f>IF(B$17=0,0,G21/B$17)</f>
        <v>5.9523809523809521E-3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229</v>
      </c>
      <c r="C22" s="6">
        <f>IF(B$17=0,0,B22/B$17)</f>
        <v>0.34077380952380953</v>
      </c>
      <c r="E22" s="33" t="s">
        <v>76</v>
      </c>
      <c r="F22" s="30" t="s">
        <v>40</v>
      </c>
      <c r="G22" s="13">
        <v>3</v>
      </c>
      <c r="H22" s="94">
        <f>IF(B$17=0,0,G22/B$17)</f>
        <v>4.464285714285714E-3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44.513333333333335</v>
      </c>
      <c r="P22" s="80">
        <v>30</v>
      </c>
      <c r="Q22" s="68">
        <v>1335.4</v>
      </c>
    </row>
    <row r="23" spans="1:17">
      <c r="A23" s="19" t="s">
        <v>150</v>
      </c>
      <c r="B23" s="13">
        <v>89</v>
      </c>
      <c r="C23" s="6">
        <f>IF(B$17=0,0,B23/B$17)</f>
        <v>0.13244047619047619</v>
      </c>
      <c r="E23" s="33" t="s">
        <v>72</v>
      </c>
      <c r="F23" s="30" t="s">
        <v>36</v>
      </c>
      <c r="G23" s="13">
        <v>2</v>
      </c>
      <c r="H23" s="94">
        <f>IF(B$17=0,0,G23/B$17)</f>
        <v>2.976190476190476E-3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6660.7142857142853</v>
      </c>
      <c r="C24" s="8">
        <v>4476000</v>
      </c>
      <c r="E24" s="33" t="s">
        <v>75</v>
      </c>
      <c r="F24" s="30" t="s">
        <v>39</v>
      </c>
      <c r="G24" s="13">
        <v>2</v>
      </c>
      <c r="H24" s="94">
        <f>IF(B$17=0,0,G24/B$17)</f>
        <v>2.976190476190476E-3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7646.2753950338601</v>
      </c>
      <c r="C25" s="98">
        <v>3387300</v>
      </c>
      <c r="E25" s="33" t="s">
        <v>79</v>
      </c>
      <c r="F25" s="30" t="s">
        <v>43</v>
      </c>
      <c r="G25" s="13">
        <v>1</v>
      </c>
      <c r="H25" s="94">
        <f>IF(B$17=0,0,G25/B$17)</f>
        <v>1.488095238095238E-3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4754.1484716157202</v>
      </c>
      <c r="C26" s="98">
        <v>1088700</v>
      </c>
      <c r="E26" s="33" t="s">
        <v>80</v>
      </c>
      <c r="F26" s="30" t="s">
        <v>44</v>
      </c>
      <c r="G26" s="13">
        <v>1</v>
      </c>
      <c r="H26" s="94">
        <f>IF(B$17=0,0,G26/B$17)</f>
        <v>1.488095238095238E-3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-6120.4705882352937</v>
      </c>
      <c r="C27" s="98">
        <v>-2601200</v>
      </c>
      <c r="E27" s="33" t="s">
        <v>82</v>
      </c>
      <c r="F27" s="30" t="s">
        <v>46</v>
      </c>
      <c r="G27" s="13">
        <v>1</v>
      </c>
      <c r="H27" s="94">
        <f>IF(B$17=0,0,G27/B$17)</f>
        <v>1.488095238095238E-3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31.395833333333332</v>
      </c>
      <c r="P27" s="80">
        <v>48</v>
      </c>
      <c r="Q27" s="68">
        <v>1507</v>
      </c>
    </row>
    <row r="28" spans="1:17">
      <c r="A28" s="19" t="s">
        <v>130</v>
      </c>
      <c r="B28" s="13">
        <v>5</v>
      </c>
      <c r="C28" s="96">
        <v>2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5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18.799999999999997</v>
      </c>
      <c r="P31" s="80">
        <v>54</v>
      </c>
      <c r="Q31" s="68">
        <v>1015.1999999999998</v>
      </c>
    </row>
    <row r="32" spans="1:17">
      <c r="A32" s="21" t="s">
        <v>112</v>
      </c>
      <c r="B32" s="26">
        <v>9</v>
      </c>
      <c r="C32" s="9">
        <f>IF(B$3=0,0,B32/B$3)</f>
        <v>2.8400126222783212E-3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74</v>
      </c>
      <c r="C35" s="102">
        <f t="shared" ref="C35:C47" si="3">IF(B$17=0,0,B35/B$17)</f>
        <v>0.11011904761904762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136</v>
      </c>
      <c r="C36" s="6">
        <f t="shared" si="3"/>
        <v>0.20238095238095238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154</v>
      </c>
      <c r="C37" s="6">
        <f t="shared" si="3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140</v>
      </c>
      <c r="C38" s="6">
        <f t="shared" si="3"/>
        <v>0.20833333333333334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74</v>
      </c>
      <c r="C39" s="6">
        <f t="shared" si="3"/>
        <v>0.11011904761904762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65</v>
      </c>
      <c r="C40" s="6">
        <f t="shared" si="3"/>
        <v>9.6726190476190479E-2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20</v>
      </c>
      <c r="C41" s="6">
        <f t="shared" si="3"/>
        <v>2.976190476190476E-2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3</v>
      </c>
      <c r="C42" s="6">
        <f t="shared" si="3"/>
        <v>4.464285714285714E-3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2</v>
      </c>
      <c r="C43" s="6">
        <f t="shared" si="3"/>
        <v>2.976190476190476E-3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1</v>
      </c>
      <c r="C44" s="6">
        <f t="shared" si="3"/>
        <v>1.488095238095238E-3</v>
      </c>
      <c r="K44" s="5">
        <v>42</v>
      </c>
      <c r="L44" s="61">
        <v>-59.29999999999999</v>
      </c>
      <c r="N44" s="76" t="s">
        <v>195</v>
      </c>
      <c r="O44" s="86">
        <f>IF(P44=0,0,Q44/P44)</f>
        <v>-7.4634146341463437</v>
      </c>
      <c r="P44" s="80">
        <v>123</v>
      </c>
      <c r="Q44" s="68">
        <v>-918.00000000000023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244</v>
      </c>
      <c r="O45" s="86">
        <f>IF(P45=0,0,Q45/P45)</f>
        <v>-7.4666666666666703</v>
      </c>
      <c r="P45" s="80">
        <v>36</v>
      </c>
      <c r="Q45" s="68">
        <v>-268.80000000000013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4.464285714285714E-3</v>
      </c>
      <c r="K47" s="5">
        <v>45</v>
      </c>
      <c r="L47" s="61">
        <v>-52.099999999999987</v>
      </c>
      <c r="N47" s="76" t="s">
        <v>255</v>
      </c>
      <c r="O47" s="86">
        <f>IF(P47=0,0,Q47/P47)</f>
        <v>-10.909090909090898</v>
      </c>
      <c r="P47" s="80">
        <v>33</v>
      </c>
      <c r="Q47" s="68">
        <v>-359.9999999999996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263</v>
      </c>
      <c r="O49" s="86">
        <f>IF(P49=0,0,Q49/P49)</f>
        <v>-12.933333333333335</v>
      </c>
      <c r="P49" s="80">
        <v>51</v>
      </c>
      <c r="Q49" s="68">
        <v>-659.60000000000014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-14.591111111111109</v>
      </c>
      <c r="P50" s="80">
        <v>45</v>
      </c>
      <c r="Q50" s="68">
        <v>-656.59999999999991</v>
      </c>
    </row>
    <row r="51" spans="11:17">
      <c r="K51" s="5">
        <v>49</v>
      </c>
      <c r="L51" s="61">
        <v>-73.599999999999994</v>
      </c>
      <c r="N51" s="76" t="s">
        <v>276</v>
      </c>
      <c r="O51" s="86">
        <f>IF(P51=0,0,Q51/P51)</f>
        <v>-16.890909090909091</v>
      </c>
      <c r="P51" s="80">
        <v>33</v>
      </c>
      <c r="Q51" s="68">
        <v>-557.4</v>
      </c>
    </row>
    <row r="52" spans="11:17">
      <c r="K52" s="5">
        <v>50</v>
      </c>
      <c r="L52" s="61">
        <v>-72.8</v>
      </c>
      <c r="N52" s="76" t="s">
        <v>167</v>
      </c>
      <c r="O52" s="86">
        <f>IF(P52=0,0,Q52/P52)</f>
        <v>-18.666666666666664</v>
      </c>
      <c r="P52" s="80">
        <v>3</v>
      </c>
      <c r="Q52" s="68">
        <v>-55.999999999999993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-20.453968253968267</v>
      </c>
      <c r="P53" s="80">
        <v>126</v>
      </c>
      <c r="Q53" s="68">
        <v>-2577.2000000000016</v>
      </c>
    </row>
    <row r="54" spans="11:17">
      <c r="K54" s="5">
        <v>52</v>
      </c>
      <c r="L54" s="61">
        <v>-20</v>
      </c>
      <c r="N54" s="76" t="s">
        <v>272</v>
      </c>
      <c r="O54" s="86">
        <f>IF(P54=0,0,Q54/P54)</f>
        <v>-31.371428571428584</v>
      </c>
      <c r="P54" s="80">
        <v>42</v>
      </c>
      <c r="Q54" s="68">
        <v>-1317.6000000000006</v>
      </c>
    </row>
    <row r="55" spans="11:17">
      <c r="K55" s="5">
        <v>53</v>
      </c>
      <c r="L55" s="61">
        <v>-10.1</v>
      </c>
      <c r="N55" s="76" t="s">
        <v>162</v>
      </c>
      <c r="O55" s="86">
        <f>IF(P55=0,0,Q55/P55)</f>
        <v>-39.703703703703681</v>
      </c>
      <c r="P55" s="80">
        <v>27</v>
      </c>
      <c r="Q55" s="68">
        <v>-1071.9999999999993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-42.199999999999989</v>
      </c>
      <c r="P56" s="80">
        <v>6</v>
      </c>
      <c r="Q56" s="68">
        <v>-253.19999999999993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24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11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59</v>
      </c>
      <c r="H2" s="93">
        <f>IF(B$17=0,0,G2/B$17)</f>
        <v>0.81944444444444442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883.33333333333337</v>
      </c>
      <c r="P2" s="79">
        <v>42</v>
      </c>
      <c r="Q2" s="63">
        <v>37100</v>
      </c>
    </row>
    <row r="3" spans="1:17">
      <c r="A3" s="19" t="s">
        <v>8</v>
      </c>
      <c r="B3" s="122">
        <v>314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0.69444444444444442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1488.0952380952381</v>
      </c>
      <c r="P3" s="80">
        <v>42</v>
      </c>
      <c r="Q3" s="64">
        <v>62500</v>
      </c>
    </row>
    <row r="4" spans="1:17">
      <c r="A4" s="19" t="s">
        <v>6</v>
      </c>
      <c r="B4" s="124">
        <v>641.79999999999995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0.4861111111111111</v>
      </c>
      <c r="I4" s="56">
        <v>29</v>
      </c>
      <c r="K4" s="5">
        <v>2</v>
      </c>
      <c r="L4" s="61">
        <v>0.60000000000000142</v>
      </c>
      <c r="N4" s="76" t="s">
        <v>105</v>
      </c>
      <c r="O4" s="83">
        <f t="shared" si="0"/>
        <v>1456.0975609756097</v>
      </c>
      <c r="P4" s="80">
        <v>41</v>
      </c>
      <c r="Q4" s="64">
        <v>59700</v>
      </c>
    </row>
    <row r="5" spans="1:17">
      <c r="A5" s="19" t="s">
        <v>7</v>
      </c>
      <c r="B5" s="126">
        <f>IF(B$2=0,0,B$4/B$2)</f>
        <v>15.28095238095238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0.34722222222222221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848.64864864864865</v>
      </c>
      <c r="P5" s="80">
        <v>37</v>
      </c>
      <c r="Q5" s="64">
        <v>31400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23</v>
      </c>
      <c r="H6" s="94">
        <f>IF(B$17=0,0,G6/B$17)</f>
        <v>0.31944444444444442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1280.7692307692307</v>
      </c>
      <c r="P6" s="80">
        <v>26</v>
      </c>
      <c r="Q6" s="64">
        <v>33300</v>
      </c>
    </row>
    <row r="7" spans="1:17">
      <c r="A7" s="19" t="s">
        <v>2</v>
      </c>
      <c r="B7" s="13">
        <v>15</v>
      </c>
      <c r="C7" s="6">
        <f t="shared" ref="C7:C12" si="2">IF(B$2=0,0,B7/B$2)</f>
        <v>0.35714285714285715</v>
      </c>
      <c r="E7" s="33" t="s">
        <v>55</v>
      </c>
      <c r="F7" s="30" t="s">
        <v>155</v>
      </c>
      <c r="G7" s="13">
        <v>18</v>
      </c>
      <c r="H7" s="94">
        <f>IF(B$17=0,0,G7/B$17)</f>
        <v>0.25</v>
      </c>
      <c r="I7" s="56">
        <v>14</v>
      </c>
      <c r="K7" s="5">
        <v>5</v>
      </c>
      <c r="L7" s="61">
        <v>-39</v>
      </c>
      <c r="N7" s="76" t="s">
        <v>107</v>
      </c>
      <c r="O7" s="83">
        <f t="shared" si="0"/>
        <v>1533.3333333333333</v>
      </c>
      <c r="P7" s="80">
        <v>18</v>
      </c>
      <c r="Q7" s="64">
        <v>27600</v>
      </c>
    </row>
    <row r="8" spans="1:17">
      <c r="A8" s="19" t="s">
        <v>3</v>
      </c>
      <c r="B8" s="13">
        <v>12</v>
      </c>
      <c r="C8" s="6">
        <f>IF(B$2=0,0,B8/B$2)</f>
        <v>0.2857142857142857</v>
      </c>
      <c r="E8" s="33" t="s">
        <v>59</v>
      </c>
      <c r="F8" s="30" t="s">
        <v>23</v>
      </c>
      <c r="G8" s="13">
        <v>17</v>
      </c>
      <c r="H8" s="94">
        <f>IF(B$17=0,0,G8/B$17)</f>
        <v>0.2361111111111111</v>
      </c>
      <c r="I8" s="56">
        <v>10</v>
      </c>
      <c r="K8" s="5">
        <v>6</v>
      </c>
      <c r="L8" s="61">
        <v>43.8</v>
      </c>
      <c r="N8" s="76" t="s">
        <v>108</v>
      </c>
      <c r="O8" s="83">
        <f t="shared" si="0"/>
        <v>1438.4615384615386</v>
      </c>
      <c r="P8" s="80">
        <v>13</v>
      </c>
      <c r="Q8" s="64">
        <v>18700</v>
      </c>
    </row>
    <row r="9" spans="1:17">
      <c r="A9" s="20" t="s">
        <v>4</v>
      </c>
      <c r="B9" s="14">
        <v>9</v>
      </c>
      <c r="C9" s="7">
        <f>IF(B$2=0,0,B9/B$2)</f>
        <v>0.21428571428571427</v>
      </c>
      <c r="E9" s="33" t="s">
        <v>56</v>
      </c>
      <c r="F9" s="30" t="s">
        <v>185</v>
      </c>
      <c r="G9" s="13">
        <v>13</v>
      </c>
      <c r="H9" s="94">
        <f>IF(B$17=0,0,G9/B$17)</f>
        <v>0.18055555555555555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0.14285714285714285</v>
      </c>
      <c r="E10" s="33" t="s">
        <v>58</v>
      </c>
      <c r="F10" s="30" t="s">
        <v>22</v>
      </c>
      <c r="G10" s="13">
        <v>8</v>
      </c>
      <c r="H10" s="94">
        <f>IF(B$17=0,0,G10/B$17)</f>
        <v>0.1111111111111111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0.6428571428571429</v>
      </c>
      <c r="E11" s="33" t="s">
        <v>182</v>
      </c>
      <c r="F11" s="30" t="s">
        <v>19</v>
      </c>
      <c r="G11" s="13">
        <v>6</v>
      </c>
      <c r="H11" s="94">
        <f>IF(B$17=0,0,G11/B$17)</f>
        <v>8.3333333333333329E-2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6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54</v>
      </c>
      <c r="C13" s="11">
        <f>IF(B$3=0,0,B13/B$3)</f>
        <v>0.17197452229299362</v>
      </c>
      <c r="E13" s="33" t="s">
        <v>62</v>
      </c>
      <c r="F13" s="30" t="s">
        <v>26</v>
      </c>
      <c r="G13" s="13">
        <v>1</v>
      </c>
      <c r="H13" s="94">
        <f>IF(B$17=0,0,G13/B$17)</f>
        <v>1.3888888888888888E-2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62</v>
      </c>
      <c r="C14" s="6">
        <f>IF(B$3=0,0,B14/B$3)</f>
        <v>0.19745222929936307</v>
      </c>
      <c r="E14" s="33" t="s">
        <v>66</v>
      </c>
      <c r="F14" s="30" t="s">
        <v>30</v>
      </c>
      <c r="G14" s="13">
        <v>1</v>
      </c>
      <c r="H14" s="94">
        <f>IF(B$17=0,0,G14/B$17)</f>
        <v>1.3888888888888888E-2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1.9428571428571411</v>
      </c>
      <c r="P14" s="80">
        <v>7</v>
      </c>
      <c r="Q14" s="68">
        <v>13.599999999999987</v>
      </c>
    </row>
    <row r="15" spans="1:17">
      <c r="A15" s="18" t="s">
        <v>99</v>
      </c>
      <c r="B15" s="12">
        <f>B21</f>
        <v>35</v>
      </c>
      <c r="C15" s="4">
        <f>IF(B$13=0,0,B15/B$13)</f>
        <v>0.64814814814814814</v>
      </c>
      <c r="E15" s="33" t="s">
        <v>183</v>
      </c>
      <c r="F15" s="30" t="s">
        <v>186</v>
      </c>
      <c r="G15" s="13">
        <v>1</v>
      </c>
      <c r="H15" s="94">
        <f>IF(B$17=0,0,G15/B$17)</f>
        <v>1.3888888888888888E-2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20.506666666666668</v>
      </c>
      <c r="P15" s="81">
        <v>15</v>
      </c>
      <c r="Q15" s="69">
        <v>307.60000000000002</v>
      </c>
    </row>
    <row r="16" spans="1:17">
      <c r="A16" s="18" t="s">
        <v>100</v>
      </c>
      <c r="B16" s="12">
        <f>B22</f>
        <v>23</v>
      </c>
      <c r="C16" s="4">
        <f>IF(B$14=0,0,B16/B$14)</f>
        <v>0.37096774193548387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0.22929936305732485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8.9171974522292988E-2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8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19</v>
      </c>
      <c r="C19" s="6">
        <f>IF(B$17=0,0,B19/B$17)</f>
        <v>0.2638888888888889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53</v>
      </c>
      <c r="C20" s="6">
        <f>IF(B$17=0,0,B20/B$17)</f>
        <v>0.73611111111111116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23</v>
      </c>
      <c r="C22" s="6">
        <f>IF(B$17=0,0,B22/B$17)</f>
        <v>0.31944444444444442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14</v>
      </c>
      <c r="C23" s="6">
        <f>IF(B$17=0,0,B23/B$17)</f>
        <v>0.19444444444444445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7552.7777777777774</v>
      </c>
      <c r="C24" s="8">
        <v>543800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8295.9183673469379</v>
      </c>
      <c r="C25" s="98">
        <v>406500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5969.565217391304</v>
      </c>
      <c r="C26" s="98">
        <v>137300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-5039.2857142857147</v>
      </c>
      <c r="C27" s="98">
        <v>-141100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 t="shared" si="3"/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2</v>
      </c>
      <c r="C35" s="102">
        <f t="shared" ref="C35:C47" si="4">IF(B$17=0,0,B35/B$17)</f>
        <v>2.7777777777777776E-2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14</v>
      </c>
      <c r="C36" s="6">
        <f t="shared" si="4"/>
        <v>0.19444444444444445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15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263</v>
      </c>
      <c r="O37" s="86">
        <f t="shared" si="3"/>
        <v>17.099999999999998</v>
      </c>
      <c r="P37" s="80">
        <v>3</v>
      </c>
      <c r="Q37" s="68">
        <v>51.3</v>
      </c>
    </row>
    <row r="38" spans="1:17">
      <c r="A38" s="19" t="s">
        <v>137</v>
      </c>
      <c r="B38" s="100">
        <v>21</v>
      </c>
      <c r="C38" s="6">
        <f t="shared" si="4"/>
        <v>0.29166666666666669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3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7.25</v>
      </c>
      <c r="P39" s="80">
        <v>4</v>
      </c>
      <c r="Q39" s="68">
        <v>29</v>
      </c>
    </row>
    <row r="40" spans="1:17">
      <c r="A40" s="19" t="s">
        <v>140</v>
      </c>
      <c r="B40" s="100">
        <v>10</v>
      </c>
      <c r="C40" s="6">
        <f t="shared" si="4"/>
        <v>0.1388888888888889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195</v>
      </c>
      <c r="O40" s="86">
        <f t="shared" si="3"/>
        <v>-4.2812500000000053</v>
      </c>
      <c r="P40" s="80">
        <v>16</v>
      </c>
      <c r="Q40" s="68">
        <v>-68.500000000000085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164</v>
      </c>
      <c r="O41" s="86">
        <f t="shared" si="3"/>
        <v>-7.6999999999999975</v>
      </c>
      <c r="P41" s="80">
        <v>7</v>
      </c>
      <c r="Q41" s="68">
        <v>-53.899999999999984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177</v>
      </c>
      <c r="O42" s="86">
        <f t="shared" si="3"/>
        <v>-10.999999999999996</v>
      </c>
      <c r="P42" s="80">
        <v>2</v>
      </c>
      <c r="Q42" s="68">
        <v>-21.999999999999993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584.79999999999995</v>
      </c>
      <c r="N43" s="76" t="s">
        <v>168</v>
      </c>
      <c r="O43" s="86">
        <f t="shared" si="3"/>
        <v>-14.5625</v>
      </c>
      <c r="P43" s="80">
        <v>8</v>
      </c>
      <c r="Q43" s="68">
        <v>-116.5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269</v>
      </c>
      <c r="O44" s="86">
        <f t="shared" si="3"/>
        <v>-22.5</v>
      </c>
      <c r="P44" s="80">
        <v>1</v>
      </c>
      <c r="Q44" s="68">
        <v>-22.5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272</v>
      </c>
      <c r="O45" s="86">
        <f t="shared" si="3"/>
        <v>-26.100000000000005</v>
      </c>
      <c r="P45" s="80">
        <v>3</v>
      </c>
      <c r="Q45" s="68">
        <v>-78.300000000000011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167</v>
      </c>
      <c r="O46" s="86">
        <f t="shared" si="3"/>
        <v>-28.2</v>
      </c>
      <c r="P46" s="80">
        <v>1</v>
      </c>
      <c r="Q46" s="68">
        <v>-28.2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162</v>
      </c>
      <c r="O47" s="86">
        <f t="shared" si="3"/>
        <v>-38.020000000000003</v>
      </c>
      <c r="P47" s="80">
        <v>5</v>
      </c>
      <c r="Q47" s="68">
        <v>-190.10000000000002</v>
      </c>
    </row>
    <row r="48" spans="1:17">
      <c r="N48" s="76" t="s">
        <v>255</v>
      </c>
      <c r="O48" s="86">
        <f t="shared" si="3"/>
        <v>-86.333333333333314</v>
      </c>
      <c r="P48" s="80">
        <v>3</v>
      </c>
      <c r="Q48" s="68">
        <v>-258.99999999999994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12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45</v>
      </c>
      <c r="H2" s="93">
        <f>IF(B$17=0,0,G2/B$17)</f>
        <v>0.569620253164557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1126.8292682926829</v>
      </c>
      <c r="P2" s="79">
        <v>41</v>
      </c>
      <c r="Q2" s="63">
        <v>46200</v>
      </c>
    </row>
    <row r="3" spans="1:17">
      <c r="A3" s="19" t="s">
        <v>8</v>
      </c>
      <c r="B3" s="122">
        <v>289</v>
      </c>
      <c r="C3" s="123"/>
      <c r="E3" s="33" t="s">
        <v>181</v>
      </c>
      <c r="F3" s="30" t="s">
        <v>156</v>
      </c>
      <c r="G3" s="13">
        <v>39</v>
      </c>
      <c r="H3" s="94">
        <f>IF(B$17=0,0,G3/B$17)</f>
        <v>0.49367088607594939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812.19512195121956</v>
      </c>
      <c r="P3" s="80">
        <v>41</v>
      </c>
      <c r="Q3" s="64">
        <v>33300</v>
      </c>
    </row>
    <row r="4" spans="1:17">
      <c r="A4" s="19" t="s">
        <v>6</v>
      </c>
      <c r="B4" s="124">
        <v>227</v>
      </c>
      <c r="C4" s="125"/>
      <c r="E4" s="33" t="s">
        <v>184</v>
      </c>
      <c r="F4" s="30" t="s">
        <v>187</v>
      </c>
      <c r="G4" s="13">
        <v>36</v>
      </c>
      <c r="H4" s="94">
        <f>IF(B$17=0,0,G4/B$17)</f>
        <v>0.45569620253164556</v>
      </c>
      <c r="I4" s="56">
        <v>20</v>
      </c>
      <c r="K4" s="5">
        <v>2</v>
      </c>
      <c r="L4" s="61">
        <v>-12.200000000000001</v>
      </c>
      <c r="N4" s="76" t="s">
        <v>105</v>
      </c>
      <c r="O4" s="83">
        <f t="shared" si="0"/>
        <v>1062.5</v>
      </c>
      <c r="P4" s="80">
        <v>40</v>
      </c>
      <c r="Q4" s="64">
        <v>42500</v>
      </c>
    </row>
    <row r="5" spans="1:17">
      <c r="A5" s="19" t="s">
        <v>7</v>
      </c>
      <c r="B5" s="126">
        <f>IF(B$2=0,0,B$4/B$2)</f>
        <v>5.5365853658536581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0.39240506329113922</v>
      </c>
      <c r="I5" s="56">
        <v>20</v>
      </c>
      <c r="K5" s="5">
        <v>3</v>
      </c>
      <c r="L5" s="61">
        <v>-68.400000000000006</v>
      </c>
      <c r="N5" s="76" t="s">
        <v>157</v>
      </c>
      <c r="O5" s="83">
        <f>IF(P5=0,0,Q5/P5)</f>
        <v>-161.11111111111111</v>
      </c>
      <c r="P5" s="80">
        <v>36</v>
      </c>
      <c r="Q5" s="64">
        <v>-5800</v>
      </c>
    </row>
    <row r="6" spans="1:17">
      <c r="A6" s="19" t="s">
        <v>1</v>
      </c>
      <c r="B6" s="128">
        <f>IF(B$2=0,0,(B$7*1+B$8*2+B$9*3+B$10*4)/B$2)</f>
        <v>2.3658536585365852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0.25316455696202533</v>
      </c>
      <c r="I6" s="56">
        <v>13</v>
      </c>
      <c r="K6" s="5">
        <v>4</v>
      </c>
      <c r="L6" s="61">
        <v>-96.4</v>
      </c>
      <c r="N6" s="76" t="s">
        <v>106</v>
      </c>
      <c r="O6" s="83">
        <f t="shared" ref="O6" si="1">IF(P6=0,0,Q6/P6)</f>
        <v>263.63636363636363</v>
      </c>
      <c r="P6" s="80">
        <v>22</v>
      </c>
      <c r="Q6" s="64">
        <v>5800</v>
      </c>
    </row>
    <row r="7" spans="1:17">
      <c r="A7" s="19" t="s">
        <v>2</v>
      </c>
      <c r="B7" s="13">
        <v>11</v>
      </c>
      <c r="C7" s="6">
        <f t="shared" ref="C7:C12" si="2">IF(B$2=0,0,B7/B$2)</f>
        <v>0.26829268292682928</v>
      </c>
      <c r="E7" s="33" t="s">
        <v>56</v>
      </c>
      <c r="F7" s="30" t="s">
        <v>185</v>
      </c>
      <c r="G7" s="13">
        <v>19</v>
      </c>
      <c r="H7" s="94">
        <f>IF(B$17=0,0,G7/B$17)</f>
        <v>0.24050632911392406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0.21951219512195122</v>
      </c>
      <c r="E8" s="33" t="s">
        <v>59</v>
      </c>
      <c r="F8" s="30" t="s">
        <v>23</v>
      </c>
      <c r="G8" s="13">
        <v>14</v>
      </c>
      <c r="H8" s="94">
        <f>IF(B$17=0,0,G8/B$17)</f>
        <v>0.17721518987341772</v>
      </c>
      <c r="I8" s="56">
        <v>16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16</v>
      </c>
      <c r="C9" s="7">
        <f>IF(B$2=0,0,B9/B$2)</f>
        <v>0.3902439024390244</v>
      </c>
      <c r="E9" s="33" t="s">
        <v>57</v>
      </c>
      <c r="F9" s="30" t="s">
        <v>21</v>
      </c>
      <c r="G9" s="13">
        <v>13</v>
      </c>
      <c r="H9" s="94">
        <f>IF(B$17=0,0,G9/B$17)</f>
        <v>0.16455696202531644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0.12195121951219512</v>
      </c>
      <c r="E10" s="33" t="s">
        <v>182</v>
      </c>
      <c r="F10" s="30" t="s">
        <v>19</v>
      </c>
      <c r="G10" s="13">
        <v>8</v>
      </c>
      <c r="H10" s="94">
        <f>IF(B$17=0,0,G10/B$17)</f>
        <v>0.10126582278481013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0.48780487804878048</v>
      </c>
      <c r="E11" s="33" t="s">
        <v>58</v>
      </c>
      <c r="F11" s="30" t="s">
        <v>22</v>
      </c>
      <c r="G11" s="13">
        <v>6</v>
      </c>
      <c r="H11" s="94">
        <f>IF(B$17=0,0,G11/B$17)</f>
        <v>7.5949367088607597E-2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7.3170731707317069E-2</v>
      </c>
      <c r="E12" s="33" t="s">
        <v>77</v>
      </c>
      <c r="F12" s="30" t="s">
        <v>41</v>
      </c>
      <c r="G12" s="13">
        <v>6</v>
      </c>
      <c r="H12" s="94">
        <f>IF(B$17=0,0,G12/B$17)</f>
        <v>7.5949367088607597E-2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74</v>
      </c>
      <c r="C13" s="11">
        <f>IF(B$3=0,0,B13/B$3)</f>
        <v>0.25605536332179929</v>
      </c>
      <c r="E13" s="33" t="s">
        <v>71</v>
      </c>
      <c r="F13" s="30" t="s">
        <v>35</v>
      </c>
      <c r="G13" s="13">
        <v>5</v>
      </c>
      <c r="H13" s="94">
        <f>IF(B$17=0,0,G13/B$17)</f>
        <v>6.3291139240506333E-2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88</v>
      </c>
      <c r="C14" s="6">
        <f>IF(B$3=0,0,B14/B$3)</f>
        <v>0.30449826989619377</v>
      </c>
      <c r="E14" s="33" t="s">
        <v>74</v>
      </c>
      <c r="F14" s="30" t="s">
        <v>38</v>
      </c>
      <c r="G14" s="13">
        <v>3</v>
      </c>
      <c r="H14" s="94">
        <f>IF(B$17=0,0,G14/B$17)</f>
        <v>3.7974683544303799E-2</v>
      </c>
      <c r="I14" s="56">
        <v>10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39</v>
      </c>
      <c r="C15" s="4">
        <f>IF(B$13=0,0,B15/B$13)</f>
        <v>0.52702702702702697</v>
      </c>
      <c r="E15" s="33" t="s">
        <v>183</v>
      </c>
      <c r="F15" s="30" t="s">
        <v>186</v>
      </c>
      <c r="G15" s="13">
        <v>2</v>
      </c>
      <c r="H15" s="94">
        <f>IF(B$17=0,0,G15/B$17)</f>
        <v>2.5316455696202531E-2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33</v>
      </c>
      <c r="C16" s="4">
        <f>IF(B$14=0,0,B16/B$14)</f>
        <v>0.375</v>
      </c>
      <c r="E16" s="33" t="s">
        <v>78</v>
      </c>
      <c r="F16" s="30" t="s">
        <v>42</v>
      </c>
      <c r="G16" s="13">
        <v>2</v>
      </c>
      <c r="H16" s="94">
        <f>IF(B$17=0,0,G16/B$17)</f>
        <v>2.5316455696202531E-2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79</v>
      </c>
      <c r="C17" s="4">
        <f>IF(B$3=0,0,B17/B$3)</f>
        <v>0.27335640138408307</v>
      </c>
      <c r="E17" s="33" t="s">
        <v>62</v>
      </c>
      <c r="F17" s="30" t="s">
        <v>26</v>
      </c>
      <c r="G17" s="13">
        <v>1</v>
      </c>
      <c r="H17" s="94">
        <f>IF(B$17=0,0,G17/B$17)</f>
        <v>1.2658227848101266E-2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0.11764705882352941</v>
      </c>
      <c r="E18" s="33" t="s">
        <v>66</v>
      </c>
      <c r="F18" s="30" t="s">
        <v>30</v>
      </c>
      <c r="G18" s="13">
        <v>1</v>
      </c>
      <c r="H18" s="94">
        <f>IF(B$17=0,0,G18/B$17)</f>
        <v>1.2658227848101266E-2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7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30</v>
      </c>
      <c r="C19" s="6">
        <f>IF(B$17=0,0,B19/B$17)</f>
        <v>0.379746835443038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49</v>
      </c>
      <c r="C20" s="6">
        <f>IF(B$17=0,0,B20/B$17)</f>
        <v>0.620253164556962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39</v>
      </c>
      <c r="C21" s="6">
        <f>IF(B$17=0,0,B21/B$17)</f>
        <v>0.49367088607594939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33</v>
      </c>
      <c r="C22" s="6">
        <f>IF(B$17=0,0,B22/B$17)</f>
        <v>0.41772151898734178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8.8607594936708861E-2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6493.6708860759491</v>
      </c>
      <c r="C24" s="8">
        <v>513000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7771.739130434783</v>
      </c>
      <c r="C25" s="98">
        <v>357500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4712.121212121212</v>
      </c>
      <c r="C26" s="98">
        <v>155500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-6932.3529411764703</v>
      </c>
      <c r="C27" s="98">
        <v>-235700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272</v>
      </c>
      <c r="O27" s="86">
        <f t="shared" si="3"/>
        <v>29</v>
      </c>
      <c r="P27" s="80">
        <v>1</v>
      </c>
      <c r="Q27" s="68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 t="shared" si="3"/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215</v>
      </c>
      <c r="O30" s="86">
        <f t="shared" si="3"/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 t="shared" si="3"/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1</v>
      </c>
      <c r="C32" s="9">
        <f>IF(B$3=0,0,B32/B$3)</f>
        <v>3.4602076124567475E-3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 t="shared" si="3"/>
        <v>14.16666666666667</v>
      </c>
      <c r="P32" s="80">
        <v>3</v>
      </c>
      <c r="Q32" s="68">
        <v>42.500000000000007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7.5949367088607597E-2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19</v>
      </c>
      <c r="C36" s="6">
        <f t="shared" si="4"/>
        <v>0.24050632911392406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-9.375</v>
      </c>
      <c r="P36" s="80">
        <v>4</v>
      </c>
      <c r="Q36" s="68">
        <v>-37.5</v>
      </c>
    </row>
    <row r="37" spans="1:17">
      <c r="A37" s="19" t="s">
        <v>136</v>
      </c>
      <c r="B37" s="100">
        <v>24</v>
      </c>
      <c r="C37" s="6">
        <f t="shared" si="4"/>
        <v>0.30379746835443039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263</v>
      </c>
      <c r="O37" s="86">
        <f t="shared" si="3"/>
        <v>-11.95</v>
      </c>
      <c r="P37" s="80">
        <v>2</v>
      </c>
      <c r="Q37" s="68">
        <v>-23.9</v>
      </c>
    </row>
    <row r="38" spans="1:17">
      <c r="A38" s="19" t="s">
        <v>137</v>
      </c>
      <c r="B38" s="100">
        <v>6</v>
      </c>
      <c r="C38" s="6">
        <f t="shared" si="4"/>
        <v>7.5949367088607597E-2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164</v>
      </c>
      <c r="O38" s="86">
        <f t="shared" si="3"/>
        <v>-19.399999999999999</v>
      </c>
      <c r="P38" s="80">
        <v>4</v>
      </c>
      <c r="Q38" s="68">
        <v>-77.599999999999994</v>
      </c>
    </row>
    <row r="39" spans="1:17">
      <c r="A39" s="19" t="s">
        <v>138</v>
      </c>
      <c r="B39" s="100">
        <v>12</v>
      </c>
      <c r="C39" s="6">
        <f t="shared" si="4"/>
        <v>0.15189873417721519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161</v>
      </c>
      <c r="O39" s="86">
        <f t="shared" si="3"/>
        <v>-20.650000000000006</v>
      </c>
      <c r="P39" s="80">
        <v>2</v>
      </c>
      <c r="Q39" s="68">
        <v>-41.300000000000011</v>
      </c>
    </row>
    <row r="40" spans="1:17">
      <c r="A40" s="19" t="s">
        <v>140</v>
      </c>
      <c r="B40" s="100">
        <v>8</v>
      </c>
      <c r="C40" s="6">
        <f t="shared" si="4"/>
        <v>0.10126582278481013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 t="shared" si="3"/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4"/>
        <v>5.0632911392405063E-2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 t="shared" si="3"/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 t="shared" si="3"/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5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11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-2987.5</v>
      </c>
      <c r="P2" s="79">
        <v>16</v>
      </c>
      <c r="Q2" s="63">
        <v>-47800</v>
      </c>
    </row>
    <row r="3" spans="1:17">
      <c r="A3" s="19" t="s">
        <v>8</v>
      </c>
      <c r="B3" s="122">
        <v>123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0.55555555555555558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-2687.5</v>
      </c>
      <c r="P3" s="80">
        <v>16</v>
      </c>
      <c r="Q3" s="64">
        <v>-43000</v>
      </c>
    </row>
    <row r="4" spans="1:17">
      <c r="A4" s="19" t="s">
        <v>6</v>
      </c>
      <c r="B4" s="124">
        <v>-383.6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0.44444444444444442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-2118.75</v>
      </c>
      <c r="P4" s="80">
        <v>16</v>
      </c>
      <c r="Q4" s="64">
        <v>-33900</v>
      </c>
    </row>
    <row r="5" spans="1:17">
      <c r="A5" s="19" t="s">
        <v>7</v>
      </c>
      <c r="B5" s="126">
        <f>IF(B$2=0,0,B$4/B$2)</f>
        <v>-23.975000000000001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0.27777777777777779</v>
      </c>
      <c r="I5" s="56">
        <v>33</v>
      </c>
      <c r="K5" s="5">
        <v>3</v>
      </c>
      <c r="L5" s="61">
        <v>-67.200000000000017</v>
      </c>
      <c r="N5" s="76" t="s">
        <v>157</v>
      </c>
      <c r="O5" s="83">
        <f>IF(P5=0,0,Q5/P5)</f>
        <v>-1400</v>
      </c>
      <c r="P5" s="80">
        <v>15</v>
      </c>
      <c r="Q5" s="64">
        <v>-21000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60</v>
      </c>
      <c r="F6" s="30" t="s">
        <v>24</v>
      </c>
      <c r="G6" s="13">
        <v>4</v>
      </c>
      <c r="H6" s="94">
        <f>IF(B$17=0,0,G6/B$17)</f>
        <v>0.22222222222222221</v>
      </c>
      <c r="I6" s="56">
        <v>33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-408.33333333333331</v>
      </c>
      <c r="P6" s="80">
        <v>12</v>
      </c>
      <c r="Q6" s="64">
        <v>-4900</v>
      </c>
    </row>
    <row r="7" spans="1:17">
      <c r="A7" s="19" t="s">
        <v>2</v>
      </c>
      <c r="B7" s="13">
        <v>2</v>
      </c>
      <c r="C7" s="6">
        <f t="shared" ref="C7:C12" si="2">IF(B$2=0,0,B7/B$2)</f>
        <v>0.125</v>
      </c>
      <c r="E7" s="33" t="s">
        <v>55</v>
      </c>
      <c r="F7" s="30" t="s">
        <v>155</v>
      </c>
      <c r="G7" s="13">
        <v>3</v>
      </c>
      <c r="H7" s="94">
        <f>IF(B$17=0,0,G7/B$17)</f>
        <v>0.16666666666666666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57</v>
      </c>
      <c r="F8" s="30" t="s">
        <v>21</v>
      </c>
      <c r="G8" s="13">
        <v>3</v>
      </c>
      <c r="H8" s="94">
        <f>IF(B$17=0,0,G8/B$17)</f>
        <v>0.16666666666666666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0.25</v>
      </c>
      <c r="E9" s="33" t="s">
        <v>182</v>
      </c>
      <c r="F9" s="30" t="s">
        <v>19</v>
      </c>
      <c r="G9" s="13">
        <v>2</v>
      </c>
      <c r="H9" s="94">
        <f>IF(B$17=0,0,G9/B$17)</f>
        <v>0.1111111111111111</v>
      </c>
      <c r="I9" s="56">
        <v>15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8</v>
      </c>
      <c r="C10" s="7">
        <f>IF(B$2=0,0,B10/B$2)</f>
        <v>0.5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0.25</v>
      </c>
      <c r="E11" s="33" t="s">
        <v>61</v>
      </c>
      <c r="F11" s="30" t="s">
        <v>25</v>
      </c>
      <c r="G11" s="13">
        <v>1</v>
      </c>
      <c r="H11" s="94">
        <f>IF(B$17=0,0,G11/B$17)</f>
        <v>5.5555555555555552E-2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17</v>
      </c>
      <c r="C13" s="11">
        <f>IF(B$3=0,0,B13/B$3)</f>
        <v>0.13821138211382114</v>
      </c>
      <c r="E13" s="33" t="s">
        <v>71</v>
      </c>
      <c r="F13" s="30" t="s">
        <v>35</v>
      </c>
      <c r="G13" s="13">
        <v>1</v>
      </c>
      <c r="H13" s="94">
        <f>IF(B$17=0,0,G13/B$17)</f>
        <v>5.5555555555555552E-2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26</v>
      </c>
      <c r="C14" s="6">
        <f>IF(B$3=0,0,B14/B$3)</f>
        <v>0.21138211382113822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24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4</v>
      </c>
      <c r="C16" s="4">
        <f>IF(B$14=0,0,B16/B$14)</f>
        <v>0.15384615384615385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0.14634146341463414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0.18699186991869918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0.55555555555555558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8</v>
      </c>
      <c r="C20" s="6">
        <f>IF(B$17=0,0,B20/B$17)</f>
        <v>0.44444444444444442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>IF(P20=0,0,Q20/P20)</f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>IF(P22=0,0,Q22/P22)</f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0.22222222222222221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4866.666666666667</v>
      </c>
      <c r="C24" s="8">
        <v>87600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>IF(P25=0,0,Q25/P25)</f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2425</v>
      </c>
      <c r="C26" s="98">
        <v>9700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  <c r="N26" s="76" t="s">
        <v>241</v>
      </c>
      <c r="O26" s="86">
        <f>IF(P26=0,0,Q26/P26)</f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-6373.913043478261</v>
      </c>
      <c r="C27" s="98">
        <v>-146600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255</v>
      </c>
      <c r="O29" s="86">
        <f>IF(P29=0,0,Q29/P29)</f>
        <v>-46.175000000000011</v>
      </c>
      <c r="P29" s="80">
        <v>4</v>
      </c>
      <c r="Q29" s="68">
        <v>-184.70000000000005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-52.9</v>
      </c>
      <c r="P30" s="80">
        <v>3</v>
      </c>
      <c r="Q30" s="68">
        <v>-158.69999999999999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-59.824999999999996</v>
      </c>
      <c r="P31" s="80">
        <v>4</v>
      </c>
      <c r="Q31" s="68">
        <v>-239.29999999999998</v>
      </c>
    </row>
    <row r="32" spans="1:17">
      <c r="A32" s="21" t="s">
        <v>112</v>
      </c>
      <c r="B32" s="26">
        <v>1</v>
      </c>
      <c r="C32" s="9">
        <f>IF(B$3=0,0,B32/B$3)</f>
        <v>8.130081300813009E-3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>IF(P32=0,0,Q32/P32)</f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-102.8</v>
      </c>
      <c r="P33" s="80">
        <v>3</v>
      </c>
      <c r="Q33" s="68">
        <v>-308.39999999999998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3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0.3888888888888889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15</v>
      </c>
      <c r="H2" s="93">
        <f>IF(B$17=0,0,G2/B$17)</f>
        <v>0.65217391304347827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-222.22222222222223</v>
      </c>
      <c r="P2" s="79">
        <v>18</v>
      </c>
      <c r="Q2" s="63">
        <v>-4000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0.52173913043478259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433.33333333333331</v>
      </c>
      <c r="P3" s="80">
        <v>18</v>
      </c>
      <c r="Q3" s="64">
        <v>7800</v>
      </c>
    </row>
    <row r="4" spans="1:17">
      <c r="A4" s="19" t="s">
        <v>6</v>
      </c>
      <c r="B4" s="124">
        <v>-256.29999999999995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0.52173913043478259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-829.41176470588232</v>
      </c>
      <c r="P4" s="80">
        <v>17</v>
      </c>
      <c r="Q4" s="64">
        <v>-14100</v>
      </c>
    </row>
    <row r="5" spans="1:17">
      <c r="A5" s="19" t="s">
        <v>7</v>
      </c>
      <c r="B5" s="126">
        <f>IF(B$2=0,0,B$4/B$2)</f>
        <v>-14.238888888888887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0.30434782608695654</v>
      </c>
      <c r="I5" s="56">
        <v>10</v>
      </c>
      <c r="K5" s="5">
        <v>3</v>
      </c>
      <c r="L5" s="61">
        <v>-44.9</v>
      </c>
      <c r="N5" s="76" t="s">
        <v>157</v>
      </c>
      <c r="O5" s="83">
        <f>IF(P5=0,0,Q5/P5)</f>
        <v>-743.75</v>
      </c>
      <c r="P5" s="80">
        <v>16</v>
      </c>
      <c r="Q5" s="64">
        <v>-11900</v>
      </c>
    </row>
    <row r="6" spans="1:17">
      <c r="A6" s="19" t="s">
        <v>1</v>
      </c>
      <c r="B6" s="128">
        <f>IF(B$2=0,0,(B$7*1+B$8*2+B$9*3+B$10*4)/B$2)</f>
        <v>2.7222222222222223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0.30434782608695654</v>
      </c>
      <c r="I6" s="56">
        <v>31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-2788.8888888888887</v>
      </c>
      <c r="P6" s="80">
        <v>9</v>
      </c>
      <c r="Q6" s="64">
        <v>-25100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6</v>
      </c>
      <c r="H7" s="94">
        <f>IF(B$17=0,0,G7/B$17)</f>
        <v>0.2608695652173913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-3833.3333333333335</v>
      </c>
      <c r="P7" s="80">
        <v>6</v>
      </c>
      <c r="Q7" s="64">
        <v>-23000</v>
      </c>
    </row>
    <row r="8" spans="1:17">
      <c r="A8" s="19" t="s">
        <v>3</v>
      </c>
      <c r="B8" s="13">
        <v>8</v>
      </c>
      <c r="C8" s="6">
        <f>IF(B$2=0,0,B8/B$2)</f>
        <v>0.44444444444444442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5</v>
      </c>
      <c r="K8" s="5">
        <v>6</v>
      </c>
      <c r="L8" s="61">
        <v>-123.29999999999998</v>
      </c>
      <c r="N8" s="76" t="s">
        <v>108</v>
      </c>
      <c r="O8" s="83">
        <f t="shared" si="0"/>
        <v>-1550</v>
      </c>
      <c r="P8" s="80">
        <v>2</v>
      </c>
      <c r="Q8" s="64">
        <v>-3100</v>
      </c>
    </row>
    <row r="9" spans="1:17">
      <c r="A9" s="20" t="s">
        <v>4</v>
      </c>
      <c r="B9" s="14">
        <v>7</v>
      </c>
      <c r="C9" s="7">
        <f>IF(B$2=0,0,B9/B$2)</f>
        <v>0.3888888888888889</v>
      </c>
      <c r="E9" s="33" t="s">
        <v>55</v>
      </c>
      <c r="F9" s="30" t="s">
        <v>155</v>
      </c>
      <c r="G9" s="13">
        <v>5</v>
      </c>
      <c r="H9" s="94">
        <f>IF(B$17=0,0,G9/B$17)</f>
        <v>0.21739130434782608</v>
      </c>
      <c r="I9" s="56">
        <v>22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0.17391304347826086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0.44444444444444442</v>
      </c>
      <c r="E11" s="33" t="s">
        <v>58</v>
      </c>
      <c r="F11" s="30" t="s">
        <v>22</v>
      </c>
      <c r="G11" s="13">
        <v>1</v>
      </c>
      <c r="H11" s="94">
        <f>IF(B$17=0,0,G11/B$17)</f>
        <v>4.3478260869565216E-2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69</v>
      </c>
      <c r="F12" s="30" t="s">
        <v>33</v>
      </c>
      <c r="G12" s="13">
        <v>1</v>
      </c>
      <c r="H12" s="94">
        <f>IF(B$17=0,0,G12/B$17)</f>
        <v>4.3478260869565216E-2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19</v>
      </c>
      <c r="C13" s="11">
        <f>IF(B$3=0,0,B13/B$3)</f>
        <v>0.14615384615384616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-246.89999999999998</v>
      </c>
      <c r="N13" s="76" t="s">
        <v>127</v>
      </c>
      <c r="O13" s="86">
        <f>IF(P13=0,0,Q13/P13)</f>
        <v>-7.7750000000000004</v>
      </c>
      <c r="P13" s="80">
        <v>4</v>
      </c>
      <c r="Q13" s="68">
        <v>-31.1</v>
      </c>
    </row>
    <row r="14" spans="1:17">
      <c r="A14" s="19" t="s">
        <v>94</v>
      </c>
      <c r="B14" s="13">
        <v>25</v>
      </c>
      <c r="C14" s="6">
        <f>IF(B$3=0,0,B14/B$3)</f>
        <v>0.19230769230769232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0.17692307692307693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0.13846153846153847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9</v>
      </c>
      <c r="C19" s="6">
        <f>IF(B$17=0,0,B19/B$17)</f>
        <v>0.39130434782608697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-210.49999999999994</v>
      </c>
      <c r="N19" s="76" t="s">
        <v>276</v>
      </c>
      <c r="O19" s="86">
        <f>IF(P19=0,0,Q19/P19)</f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14</v>
      </c>
      <c r="C20" s="6">
        <f>IF(B$17=0,0,B20/B$17)</f>
        <v>0.60869565217391308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-256.29999999999995</v>
      </c>
      <c r="N20" s="76" t="s">
        <v>277</v>
      </c>
      <c r="O20" s="86">
        <f>IF(P20=0,0,Q20/P20)</f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12</v>
      </c>
      <c r="C21" s="6">
        <f>IF(B$17=0,0,B21/B$17)</f>
        <v>0.52173913043478259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8</v>
      </c>
      <c r="C22" s="6">
        <f>IF(B$17=0,0,B22/B$17)</f>
        <v>0.34782608695652173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263</v>
      </c>
      <c r="O23" s="86">
        <f>IF(P23=0,0,Q23/P23)</f>
        <v>3.4500000000000006</v>
      </c>
      <c r="P23" s="80">
        <v>2</v>
      </c>
      <c r="Q23" s="68">
        <v>6.9000000000000012</v>
      </c>
    </row>
    <row r="24" spans="1:17">
      <c r="A24" s="19" t="s">
        <v>5</v>
      </c>
      <c r="B24" s="16">
        <f>IF(B$17=0,0,C24/B$17)</f>
        <v>6152.173913043478</v>
      </c>
      <c r="C24" s="8">
        <v>141500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-7.2500000000000009</v>
      </c>
      <c r="P24" s="80">
        <v>4</v>
      </c>
      <c r="Q24" s="68">
        <v>-29.000000000000004</v>
      </c>
    </row>
    <row r="25" spans="1:17">
      <c r="A25" s="20" t="s">
        <v>133</v>
      </c>
      <c r="B25" s="97">
        <f>IF($B$17-B$16=0,0,C25/($B$17-B$16))</f>
        <v>8213.3333333333339</v>
      </c>
      <c r="C25" s="98">
        <v>123200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>IF(P25=0,0,Q25/P25)</f>
        <v>-10.849999999999998</v>
      </c>
      <c r="P25" s="80">
        <v>2</v>
      </c>
      <c r="Q25" s="68">
        <v>-21.699999999999996</v>
      </c>
    </row>
    <row r="26" spans="1:17">
      <c r="A26" s="20" t="s">
        <v>134</v>
      </c>
      <c r="B26" s="97">
        <f>IF(B$16=0,0,C26/B$16)</f>
        <v>2287.5</v>
      </c>
      <c r="C26" s="98">
        <v>18300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  <c r="N26" s="76" t="s">
        <v>227</v>
      </c>
      <c r="O26" s="86">
        <f>IF(P26=0,0,Q26/P26)</f>
        <v>-17.225000000000001</v>
      </c>
      <c r="P26" s="80">
        <v>8</v>
      </c>
      <c r="Q26" s="68">
        <v>-137.80000000000001</v>
      </c>
    </row>
    <row r="27" spans="1:17">
      <c r="A27" s="20" t="s">
        <v>132</v>
      </c>
      <c r="B27" s="97">
        <f>IF(B$18=0,0,C27/B$18)</f>
        <v>-7461.1111111111113</v>
      </c>
      <c r="C27" s="98">
        <v>-134300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>IF(P27=0,0,Q27/P27)</f>
        <v>-29.55</v>
      </c>
      <c r="P27" s="80">
        <v>4</v>
      </c>
      <c r="Q27" s="68">
        <v>-118.2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>IF(P28=0,0,Q28/P28)</f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255</v>
      </c>
      <c r="O29" s="86">
        <f>IF(P29=0,0,Q29/P29)</f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>IF(P30=0,0,Q30/P30)</f>
        <v>-57.325000000000003</v>
      </c>
      <c r="P30" s="80">
        <v>4</v>
      </c>
      <c r="Q30" s="68">
        <v>-229.3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0.21739130434782608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0.21739130434782608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0.17391304347826086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8.6956521739130432E-2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8.6956521739130432E-2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4.3478260869565216E-2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-3183.3333333333335</v>
      </c>
      <c r="P2" s="79">
        <v>12</v>
      </c>
      <c r="Q2" s="63">
        <v>-38200</v>
      </c>
    </row>
    <row r="3" spans="1:17">
      <c r="A3" s="19" t="s">
        <v>8</v>
      </c>
      <c r="B3" s="122">
        <v>86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15</v>
      </c>
      <c r="K3" s="5">
        <v>1</v>
      </c>
      <c r="L3" s="61">
        <v>-72.8</v>
      </c>
      <c r="N3" s="76" t="s">
        <v>104</v>
      </c>
      <c r="O3" s="83">
        <f t="shared" si="0"/>
        <v>-800</v>
      </c>
      <c r="P3" s="80">
        <v>12</v>
      </c>
      <c r="Q3" s="64">
        <v>-9600</v>
      </c>
    </row>
    <row r="4" spans="1:17">
      <c r="A4" s="19" t="s">
        <v>6</v>
      </c>
      <c r="B4" s="124">
        <v>62.199999999999989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0.42105263157894735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900</v>
      </c>
      <c r="P4" s="80">
        <v>11</v>
      </c>
      <c r="Q4" s="64">
        <v>9900</v>
      </c>
    </row>
    <row r="5" spans="1:17">
      <c r="A5" s="19" t="s">
        <v>7</v>
      </c>
      <c r="B5" s="126">
        <f>IF(B$2=0,0,B$4/B$2)</f>
        <v>5.1833333333333327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0.36842105263157893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2600</v>
      </c>
      <c r="P5" s="80">
        <v>9</v>
      </c>
      <c r="Q5" s="64">
        <v>23400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0.31578947368421051</v>
      </c>
      <c r="I6" s="56">
        <v>27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5</v>
      </c>
      <c r="H7" s="94">
        <f>IF(B$17=0,0,G7/B$17)</f>
        <v>0.26315789473684209</v>
      </c>
      <c r="I7" s="56">
        <v>12</v>
      </c>
      <c r="K7" s="5">
        <v>5</v>
      </c>
      <c r="L7" s="61">
        <v>20.899999999999991</v>
      </c>
      <c r="N7" s="76" t="s">
        <v>107</v>
      </c>
      <c r="O7" s="83">
        <f t="shared" si="0"/>
        <v>3966.6666666666665</v>
      </c>
      <c r="P7" s="80">
        <v>3</v>
      </c>
      <c r="Q7" s="64">
        <v>11900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0.21052631578947367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4</v>
      </c>
      <c r="H9" s="94">
        <f>IF(B$17=0,0,G9/B$17)</f>
        <v>0.21052631578947367</v>
      </c>
      <c r="I9" s="56">
        <v>11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183</v>
      </c>
      <c r="F10" s="30" t="s">
        <v>186</v>
      </c>
      <c r="G10" s="13">
        <v>3</v>
      </c>
      <c r="H10" s="94">
        <f>IF(B$17=0,0,G10/B$17)</f>
        <v>0.15789473684210525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182</v>
      </c>
      <c r="F11" s="30" t="s">
        <v>19</v>
      </c>
      <c r="G11" s="13">
        <v>2</v>
      </c>
      <c r="H11" s="94">
        <f>IF(B$17=0,0,G11/B$17)</f>
        <v>0.10526315789473684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2</v>
      </c>
      <c r="H12" s="94">
        <f>IF(B$17=0,0,G12/B$17)</f>
        <v>0.10526315789473684</v>
      </c>
      <c r="I12" s="56">
        <v>9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0.10526315789473684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17</v>
      </c>
      <c r="C14" s="6">
        <f>IF(B$3=0,0,B14/B$3)</f>
        <v>0.19767441860465115</v>
      </c>
      <c r="E14" s="33" t="s">
        <v>66</v>
      </c>
      <c r="F14" s="30" t="s">
        <v>30</v>
      </c>
      <c r="G14" s="13">
        <v>1</v>
      </c>
      <c r="H14" s="94">
        <f>IF(B$17=0,0,G14/B$17)</f>
        <v>5.2631578947368418E-2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67</v>
      </c>
      <c r="F15" s="30" t="s">
        <v>31</v>
      </c>
      <c r="G15" s="13">
        <v>1</v>
      </c>
      <c r="H15" s="94">
        <f>IF(B$17=0,0,G15/B$17)</f>
        <v>5.2631578947368418E-2</v>
      </c>
      <c r="I15" s="56">
        <v>4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0.29411764705882354</v>
      </c>
      <c r="E16" s="33" t="s">
        <v>69</v>
      </c>
      <c r="F16" s="30" t="s">
        <v>33</v>
      </c>
      <c r="G16" s="13">
        <v>1</v>
      </c>
      <c r="H16" s="94">
        <f>IF(B$17=0,0,G16/B$17)</f>
        <v>5.2631578947368418E-2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0.22093023255813954</v>
      </c>
      <c r="E17" s="33" t="s">
        <v>78</v>
      </c>
      <c r="F17" s="30" t="s">
        <v>42</v>
      </c>
      <c r="G17" s="13">
        <v>1</v>
      </c>
      <c r="H17" s="94">
        <f>IF(B$17=0,0,G17/B$17)</f>
        <v>5.2631578947368418E-2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0.15116279069767441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>IF(P19=0,0,Q19/P19)</f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>IF(P20=0,0,Q20/P20)</f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29.55</v>
      </c>
      <c r="P22" s="80">
        <v>4</v>
      </c>
      <c r="Q22" s="68">
        <v>118.2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>IF(P23=0,0,Q23/P23)</f>
        <v>4.4333333333333398</v>
      </c>
      <c r="P23" s="80">
        <v>3</v>
      </c>
      <c r="Q23" s="68">
        <v>13.300000000000018</v>
      </c>
    </row>
    <row r="24" spans="1:17">
      <c r="A24" s="19" t="s">
        <v>5</v>
      </c>
      <c r="B24" s="16">
        <f>IF(B$17=0,0,C24/B$17)</f>
        <v>8768.4210526315783</v>
      </c>
      <c r="C24" s="8">
        <v>166600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>IF(P24=0,0,Q24/P24)</f>
        <v>-0.59999999999999942</v>
      </c>
      <c r="P24" s="80">
        <v>7</v>
      </c>
      <c r="Q24" s="68">
        <v>-4.1999999999999957</v>
      </c>
    </row>
    <row r="25" spans="1:17">
      <c r="A25" s="20" t="s">
        <v>133</v>
      </c>
      <c r="B25" s="97">
        <f>IF($B$17-B$16=0,0,C25/($B$17-B$16))</f>
        <v>9235.7142857142862</v>
      </c>
      <c r="C25" s="98">
        <v>129300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-5.3333333333333321</v>
      </c>
      <c r="P25" s="80">
        <v>3</v>
      </c>
      <c r="Q25" s="68">
        <v>-15.999999999999996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227</v>
      </c>
      <c r="O26" s="86">
        <f>IF(P26=0,0,Q26/P26)</f>
        <v>-13.475</v>
      </c>
      <c r="P26" s="80">
        <v>4</v>
      </c>
      <c r="Q26" s="68">
        <v>-53.9</v>
      </c>
    </row>
    <row r="27" spans="1:17">
      <c r="A27" s="20" t="s">
        <v>132</v>
      </c>
      <c r="B27" s="97">
        <f>IF(B$18=0,0,C27/B$18)</f>
        <v>-7107.6923076923076</v>
      </c>
      <c r="C27" s="98">
        <v>-92400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  <c r="N27" s="76" t="s">
        <v>276</v>
      </c>
      <c r="O27" s="86">
        <f>IF(P27=0,0,Q27/P27)</f>
        <v>-16.200000000000006</v>
      </c>
      <c r="P27" s="80">
        <v>2</v>
      </c>
      <c r="Q27" s="68">
        <v>-32.400000000000013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>IF(P28=0,0,Q28/P28)</f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>IF(P29=0,0,Q29/P29)</f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  <c r="N30" s="76" t="s">
        <v>169</v>
      </c>
      <c r="O30" s="86">
        <f>IF(P30=0,0,Q30/P30)</f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0.15789473684210525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5.2631578947368418E-2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0.21052631578947367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0.625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-2063.6363636363635</v>
      </c>
      <c r="P2" s="79">
        <v>11</v>
      </c>
      <c r="Q2" s="63">
        <v>-22700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80</v>
      </c>
      <c r="N3" s="76" t="s">
        <v>104</v>
      </c>
      <c r="O3" s="83">
        <f t="shared" si="0"/>
        <v>709.09090909090912</v>
      </c>
      <c r="P3" s="80">
        <v>11</v>
      </c>
      <c r="Q3" s="64">
        <v>7800</v>
      </c>
    </row>
    <row r="4" spans="1:17">
      <c r="A4" s="19" t="s">
        <v>6</v>
      </c>
      <c r="B4" s="124">
        <v>82.5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21</v>
      </c>
      <c r="K4" s="5">
        <v>2</v>
      </c>
      <c r="L4" s="61">
        <v>145.19999999999999</v>
      </c>
      <c r="N4" s="76" t="s">
        <v>105</v>
      </c>
      <c r="O4" s="83">
        <f t="shared" si="0"/>
        <v>380</v>
      </c>
      <c r="P4" s="80">
        <v>10</v>
      </c>
      <c r="Q4" s="64">
        <v>3800</v>
      </c>
    </row>
    <row r="5" spans="1:17">
      <c r="A5" s="19" t="s">
        <v>7</v>
      </c>
      <c r="B5" s="126">
        <f>IF(B$2=0,0,B$4/B$2)</f>
        <v>7.5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0.4375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1210</v>
      </c>
      <c r="P5" s="80">
        <v>10</v>
      </c>
      <c r="Q5" s="64">
        <v>12100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0.375</v>
      </c>
      <c r="I6" s="56">
        <v>10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1400</v>
      </c>
      <c r="P6" s="80">
        <v>8</v>
      </c>
      <c r="Q6" s="64">
        <v>11200</v>
      </c>
    </row>
    <row r="7" spans="1:17">
      <c r="A7" s="19" t="s">
        <v>2</v>
      </c>
      <c r="B7" s="13">
        <v>3</v>
      </c>
      <c r="C7" s="6">
        <f t="shared" ref="C7:C12" si="2">IF(B$2=0,0,B7/B$2)</f>
        <v>0.27272727272727271</v>
      </c>
      <c r="E7" s="33" t="s">
        <v>59</v>
      </c>
      <c r="F7" s="30" t="s">
        <v>23</v>
      </c>
      <c r="G7" s="13">
        <v>5</v>
      </c>
      <c r="H7" s="94">
        <f>IF(B$17=0,0,G7/B$17)</f>
        <v>0.3125</v>
      </c>
      <c r="I7" s="56">
        <v>4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0.36363636363636365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182</v>
      </c>
      <c r="F9" s="30" t="s">
        <v>19</v>
      </c>
      <c r="G9" s="13">
        <v>3</v>
      </c>
      <c r="H9" s="94">
        <f>IF(B$17=0,0,G9/B$17)</f>
        <v>0.1875</v>
      </c>
      <c r="I9" s="56">
        <v>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0.18181818181818182</v>
      </c>
      <c r="E10" s="33" t="s">
        <v>55</v>
      </c>
      <c r="F10" s="30" t="s">
        <v>155</v>
      </c>
      <c r="G10" s="13">
        <v>3</v>
      </c>
      <c r="H10" s="94">
        <f>IF(B$17=0,0,G10/B$17)</f>
        <v>0.1875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17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6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17</v>
      </c>
      <c r="C13" s="11">
        <f>IF(B$3=0,0,B13/B$3)</f>
        <v>0.22077922077922077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9.0909090909090912E-2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N18" s="75" t="s">
        <v>169</v>
      </c>
      <c r="O18" s="85">
        <f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55.85</v>
      </c>
      <c r="P19" s="80">
        <v>2</v>
      </c>
      <c r="Q19" s="68">
        <v>111.7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238</v>
      </c>
      <c r="O20" s="86">
        <f>IF(P20=0,0,Q20/P20)</f>
        <v>53.325000000000003</v>
      </c>
      <c r="P20" s="80">
        <v>4</v>
      </c>
      <c r="Q20" s="68">
        <v>213.3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269</v>
      </c>
      <c r="O21" s="86">
        <f>IF(P21=0,0,Q21/P21)</f>
        <v>48.4</v>
      </c>
      <c r="P21" s="80">
        <v>1</v>
      </c>
      <c r="Q21" s="68">
        <v>48.4</v>
      </c>
    </row>
    <row r="22" spans="1:17">
      <c r="A22" s="19" t="s">
        <v>149</v>
      </c>
      <c r="B22" s="13">
        <v>5</v>
      </c>
      <c r="C22" s="6">
        <f>IF(B$17=0,0,B22/B$17)</f>
        <v>0.3125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46.175000000000011</v>
      </c>
      <c r="P22" s="80">
        <v>4</v>
      </c>
      <c r="Q22" s="68">
        <v>184.70000000000005</v>
      </c>
    </row>
    <row r="23" spans="1:17">
      <c r="A23" s="19" t="s">
        <v>150</v>
      </c>
      <c r="B23" s="13">
        <v>3</v>
      </c>
      <c r="C23" s="6">
        <f>IF(B$17=0,0,B23/B$17)</f>
        <v>0.1875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258</v>
      </c>
      <c r="O23" s="86">
        <f>IF(P23=0,0,Q23/P23)</f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7212.5</v>
      </c>
      <c r="C24" s="8">
        <v>115400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>IF(P24=0,0,Q24/P24)</f>
        <v>-4.4333333333333345</v>
      </c>
      <c r="P24" s="80">
        <v>3</v>
      </c>
      <c r="Q24" s="68">
        <v>-13.300000000000004</v>
      </c>
    </row>
    <row r="25" spans="1:17">
      <c r="A25" s="20" t="s">
        <v>133</v>
      </c>
      <c r="B25" s="97">
        <f>IF($B$17-B$16=0,0,C25/($B$17-B$16))</f>
        <v>8681.818181818182</v>
      </c>
      <c r="C25" s="98">
        <v>95500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-4.6333333333333329</v>
      </c>
      <c r="P25" s="80">
        <v>3</v>
      </c>
      <c r="Q25" s="68">
        <v>-13.899999999999999</v>
      </c>
    </row>
    <row r="26" spans="1:17">
      <c r="A26" s="20" t="s">
        <v>134</v>
      </c>
      <c r="B26" s="97">
        <f>IF(B$16=0,0,C26/B$16)</f>
        <v>3980</v>
      </c>
      <c r="C26" s="98">
        <v>19900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  <c r="N26" s="76" t="s">
        <v>228</v>
      </c>
      <c r="O26" s="86">
        <f>IF(P26=0,0,Q26/P26)</f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-6885.7142857142853</v>
      </c>
      <c r="C27" s="98">
        <v>-48200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-10.149999999999999</v>
      </c>
      <c r="P27" s="80">
        <v>2</v>
      </c>
      <c r="Q27" s="68">
        <v>-20.299999999999997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265</v>
      </c>
      <c r="O28" s="86">
        <f>IF(P28=0,0,Q28/P28)</f>
        <v>-55.45</v>
      </c>
      <c r="P28" s="80">
        <v>2</v>
      </c>
      <c r="Q28" s="68">
        <v>-110.9</v>
      </c>
    </row>
    <row r="29" spans="1:17">
      <c r="A29" s="19" t="s">
        <v>131</v>
      </c>
      <c r="B29" s="13">
        <v>24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>IF(P29=0,0,Q29/P29)</f>
        <v>-72.7</v>
      </c>
      <c r="P29" s="80">
        <v>1</v>
      </c>
      <c r="Q29" s="68">
        <v>-72.7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-110.7</v>
      </c>
      <c r="P30" s="80">
        <v>1</v>
      </c>
      <c r="Q30" s="68">
        <v>-110.7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-116</v>
      </c>
      <c r="P31" s="80">
        <v>1</v>
      </c>
      <c r="Q31" s="68">
        <v>-116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30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0.69230769230769229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840</v>
      </c>
      <c r="P2" s="79">
        <v>15</v>
      </c>
      <c r="Q2" s="63">
        <v>12600</v>
      </c>
    </row>
    <row r="3" spans="1:17">
      <c r="A3" s="19" t="s">
        <v>8</v>
      </c>
      <c r="B3" s="122">
        <v>101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0.57692307692307687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-400</v>
      </c>
      <c r="P3" s="80">
        <v>15</v>
      </c>
      <c r="Q3" s="64">
        <v>-6000</v>
      </c>
    </row>
    <row r="4" spans="1:17">
      <c r="A4" s="19" t="s">
        <v>6</v>
      </c>
      <c r="B4" s="124">
        <v>159.80000000000001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0.46153846153846156</v>
      </c>
      <c r="I4" s="56">
        <v>19</v>
      </c>
      <c r="K4" s="5">
        <v>2</v>
      </c>
      <c r="L4" s="61">
        <v>24.700000000000003</v>
      </c>
      <c r="N4" s="76" t="s">
        <v>105</v>
      </c>
      <c r="O4" s="83">
        <f t="shared" si="0"/>
        <v>640</v>
      </c>
      <c r="P4" s="80">
        <v>15</v>
      </c>
      <c r="Q4" s="64">
        <v>9600</v>
      </c>
    </row>
    <row r="5" spans="1:17">
      <c r="A5" s="19" t="s">
        <v>7</v>
      </c>
      <c r="B5" s="126">
        <f>IF(B$2=0,0,B$4/B$2)</f>
        <v>10.653333333333334</v>
      </c>
      <c r="C5" s="127"/>
      <c r="E5" s="33" t="s">
        <v>60</v>
      </c>
      <c r="F5" s="30" t="s">
        <v>24</v>
      </c>
      <c r="G5" s="13">
        <v>11</v>
      </c>
      <c r="H5" s="94">
        <f>IF(B$17=0,0,G5/B$17)</f>
        <v>0.42307692307692307</v>
      </c>
      <c r="I5" s="56">
        <v>18</v>
      </c>
      <c r="K5" s="5">
        <v>3</v>
      </c>
      <c r="L5" s="61">
        <v>27.400000000000002</v>
      </c>
      <c r="N5" s="76" t="s">
        <v>157</v>
      </c>
      <c r="O5" s="83">
        <f>IF(P5=0,0,Q5/P5)</f>
        <v>-846.66666666666663</v>
      </c>
      <c r="P5" s="80">
        <v>15</v>
      </c>
      <c r="Q5" s="64">
        <v>-12700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0.30769230769230771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-100</v>
      </c>
      <c r="P6" s="80">
        <v>10</v>
      </c>
      <c r="Q6" s="64">
        <v>-1000</v>
      </c>
    </row>
    <row r="7" spans="1:17">
      <c r="A7" s="19" t="s">
        <v>2</v>
      </c>
      <c r="B7" s="13">
        <v>6</v>
      </c>
      <c r="C7" s="6">
        <f t="shared" ref="C7:C12" si="2">IF(B$2=0,0,B7/B$2)</f>
        <v>0.4</v>
      </c>
      <c r="E7" s="33" t="s">
        <v>55</v>
      </c>
      <c r="F7" s="30" t="s">
        <v>155</v>
      </c>
      <c r="G7" s="13">
        <v>7</v>
      </c>
      <c r="H7" s="94">
        <f>IF(B$17=0,0,G7/B$17)</f>
        <v>0.26923076923076922</v>
      </c>
      <c r="I7" s="56">
        <v>11</v>
      </c>
      <c r="K7" s="5">
        <v>5</v>
      </c>
      <c r="L7" s="61">
        <v>20.200000000000003</v>
      </c>
      <c r="N7" s="76" t="s">
        <v>107</v>
      </c>
      <c r="O7" s="83">
        <f t="shared" si="0"/>
        <v>2340</v>
      </c>
      <c r="P7" s="80">
        <v>5</v>
      </c>
      <c r="Q7" s="64">
        <v>11700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2900</v>
      </c>
      <c r="P8" s="80">
        <v>3</v>
      </c>
      <c r="Q8" s="64">
        <v>8700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58</v>
      </c>
      <c r="F9" s="30" t="s">
        <v>22</v>
      </c>
      <c r="G9" s="13">
        <v>3</v>
      </c>
      <c r="H9" s="94">
        <f>IF(B$17=0,0,G9/B$17)</f>
        <v>0.11538461538461539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3</v>
      </c>
      <c r="C10" s="7">
        <f>IF(B$2=0,0,B10/B$2)</f>
        <v>0.2</v>
      </c>
      <c r="E10" s="33" t="s">
        <v>59</v>
      </c>
      <c r="F10" s="30" t="s">
        <v>23</v>
      </c>
      <c r="G10" s="13">
        <v>2</v>
      </c>
      <c r="H10" s="94">
        <f>IF(B$17=0,0,G10/B$17)</f>
        <v>7.6923076923076927E-2</v>
      </c>
      <c r="I10" s="56">
        <v>21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27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3.8461538461538464E-2</v>
      </c>
      <c r="I12" s="56">
        <v>4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25</v>
      </c>
      <c r="C13" s="11">
        <f>IF(B$3=0,0,B13/B$3)</f>
        <v>0.24752475247524752</v>
      </c>
      <c r="E13" s="33" t="s">
        <v>183</v>
      </c>
      <c r="F13" s="30" t="s">
        <v>186</v>
      </c>
      <c r="G13" s="13">
        <v>1</v>
      </c>
      <c r="H13" s="94">
        <f>IF(B$17=0,0,G13/B$17)</f>
        <v>3.8461538461538464E-2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11.500000000000004</v>
      </c>
      <c r="P13" s="80">
        <v>2</v>
      </c>
      <c r="Q13" s="68">
        <v>23.000000000000007</v>
      </c>
    </row>
    <row r="14" spans="1:17">
      <c r="A14" s="19" t="s">
        <v>94</v>
      </c>
      <c r="B14" s="13">
        <v>17</v>
      </c>
      <c r="C14" s="6">
        <f>IF(B$3=0,0,B14/B$3)</f>
        <v>0.16831683168316833</v>
      </c>
      <c r="E14" s="33" t="s">
        <v>74</v>
      </c>
      <c r="F14" s="30" t="s">
        <v>38</v>
      </c>
      <c r="G14" s="13">
        <v>1</v>
      </c>
      <c r="H14" s="94">
        <f>IF(B$17=0,0,G14/B$17)</f>
        <v>3.8461538461538464E-2</v>
      </c>
      <c r="I14" s="56">
        <v>9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15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113.9</v>
      </c>
      <c r="N15" s="77" t="s">
        <v>159</v>
      </c>
      <c r="O15" s="87">
        <f>IF(P15=0,0,Q15/P15)</f>
        <v>-6.9</v>
      </c>
      <c r="P15" s="81">
        <v>5</v>
      </c>
      <c r="Q15" s="69">
        <v>-34.5</v>
      </c>
    </row>
    <row r="16" spans="1:17">
      <c r="A16" s="18" t="s">
        <v>100</v>
      </c>
      <c r="B16" s="12">
        <f>B22</f>
        <v>10</v>
      </c>
      <c r="C16" s="4">
        <f>IF(B$14=0,0,B16/B$14)</f>
        <v>0.58823529411764708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0.25742574257425743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8.9108910891089105E-2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10</v>
      </c>
      <c r="C19" s="6">
        <f>IF(B$17=0,0,B19/B$17)</f>
        <v>0.38461538461538464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11</v>
      </c>
      <c r="N19" s="76" t="s">
        <v>269</v>
      </c>
      <c r="O19" s="86">
        <f>IF(P19=0,0,Q19/P19)</f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16</v>
      </c>
      <c r="C20" s="6">
        <f>IF(B$17=0,0,B20/B$17)</f>
        <v>0.61538461538461542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255</v>
      </c>
      <c r="O20" s="86">
        <f>IF(P20=0,0,Q20/P20)</f>
        <v>55.45</v>
      </c>
      <c r="P20" s="80">
        <v>2</v>
      </c>
      <c r="Q20" s="68">
        <v>110.9</v>
      </c>
    </row>
    <row r="21" spans="1:17">
      <c r="A21" s="19" t="s">
        <v>151</v>
      </c>
      <c r="B21" s="13">
        <v>15</v>
      </c>
      <c r="C21" s="6">
        <f>IF(B$17=0,0,B21/B$17)</f>
        <v>0.57692307692307687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52.9</v>
      </c>
      <c r="P21" s="80">
        <v>3</v>
      </c>
      <c r="Q21" s="68">
        <v>158.69999999999999</v>
      </c>
    </row>
    <row r="22" spans="1:17">
      <c r="A22" s="19" t="s">
        <v>149</v>
      </c>
      <c r="B22" s="13">
        <v>10</v>
      </c>
      <c r="C22" s="6">
        <f>IF(B$17=0,0,B22/B$17)</f>
        <v>0.38461538461538464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1</v>
      </c>
      <c r="C23" s="6">
        <f>IF(B$17=0,0,B23/B$17)</f>
        <v>3.8461538461538464E-2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5900</v>
      </c>
      <c r="C24" s="8">
        <v>153400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262</v>
      </c>
      <c r="O24" s="86">
        <f>IF(P24=0,0,Q24/P24)</f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7856.25</v>
      </c>
      <c r="C25" s="98">
        <v>125700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>IF(P25=0,0,Q25/P25)</f>
        <v>9.375</v>
      </c>
      <c r="P25" s="80">
        <v>4</v>
      </c>
      <c r="Q25" s="68">
        <v>37.5</v>
      </c>
    </row>
    <row r="26" spans="1:17">
      <c r="A26" s="20" t="s">
        <v>134</v>
      </c>
      <c r="B26" s="97">
        <f>IF(B$16=0,0,C26/B$16)</f>
        <v>2770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5.9750000000000014</v>
      </c>
      <c r="P26" s="80">
        <v>4</v>
      </c>
      <c r="Q26" s="68">
        <v>23.900000000000006</v>
      </c>
    </row>
    <row r="27" spans="1:17">
      <c r="A27" s="20" t="s">
        <v>132</v>
      </c>
      <c r="B27" s="97">
        <f>IF(B$18=0,0,C27/B$18)</f>
        <v>-5722.2222222222226</v>
      </c>
      <c r="C27" s="98">
        <v>-51500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5.76</v>
      </c>
      <c r="P27" s="80">
        <v>5</v>
      </c>
      <c r="Q27" s="68">
        <v>28.8</v>
      </c>
    </row>
    <row r="28" spans="1:17">
      <c r="A28" s="19" t="s">
        <v>130</v>
      </c>
      <c r="B28" s="13">
        <v>3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>IF(P28=0,0,Q28/P28)</f>
        <v>-17.166666666666664</v>
      </c>
      <c r="P28" s="80">
        <v>6</v>
      </c>
      <c r="Q28" s="68">
        <v>-102.99999999999999</v>
      </c>
    </row>
    <row r="29" spans="1:17">
      <c r="A29" s="19" t="s">
        <v>131</v>
      </c>
      <c r="B29" s="13">
        <v>21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264</v>
      </c>
      <c r="O29" s="86">
        <f>IF(P29=0,0,Q29/P29)</f>
        <v>-29.150000000000006</v>
      </c>
      <c r="P29" s="80">
        <v>2</v>
      </c>
      <c r="Q29" s="68">
        <v>-58.300000000000011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>IF(P30=0,0,Q30/P30)</f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-68.8</v>
      </c>
      <c r="P31" s="80">
        <v>1</v>
      </c>
      <c r="Q31" s="68">
        <v>-68.8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-99.8</v>
      </c>
      <c r="P32" s="80">
        <v>1</v>
      </c>
      <c r="Q32" s="68">
        <v>-99.8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0.26923076923076922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0.15384615384615385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0.15384615384615385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3.8461538461538464E-2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0.51282051282051277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647.05882352941171</v>
      </c>
      <c r="P2" s="79">
        <v>17</v>
      </c>
      <c r="Q2" s="63">
        <v>11000</v>
      </c>
    </row>
    <row r="3" spans="1:17">
      <c r="A3" s="19" t="s">
        <v>8</v>
      </c>
      <c r="B3" s="122">
        <v>131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0.48717948717948717</v>
      </c>
      <c r="I3" s="56">
        <v>17</v>
      </c>
      <c r="K3" s="5">
        <v>1</v>
      </c>
      <c r="L3" s="61">
        <v>10.3</v>
      </c>
      <c r="N3" s="76" t="s">
        <v>104</v>
      </c>
      <c r="O3" s="83">
        <f t="shared" si="0"/>
        <v>776.47058823529414</v>
      </c>
      <c r="P3" s="80">
        <v>17</v>
      </c>
      <c r="Q3" s="64">
        <v>13200</v>
      </c>
    </row>
    <row r="4" spans="1:17">
      <c r="A4" s="19" t="s">
        <v>6</v>
      </c>
      <c r="B4" s="124">
        <v>164.89999999999998</v>
      </c>
      <c r="C4" s="125"/>
      <c r="E4" s="33" t="s">
        <v>60</v>
      </c>
      <c r="F4" s="30" t="s">
        <v>24</v>
      </c>
      <c r="G4" s="13">
        <v>15</v>
      </c>
      <c r="H4" s="94">
        <f>IF(B$17=0,0,G4/B$17)</f>
        <v>0.38461538461538464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-882.35294117647061</v>
      </c>
      <c r="P4" s="80">
        <v>17</v>
      </c>
      <c r="Q4" s="64">
        <v>-15000</v>
      </c>
    </row>
    <row r="5" spans="1:17">
      <c r="A5" s="19" t="s">
        <v>7</v>
      </c>
      <c r="B5" s="126">
        <f>IF(B$2=0,0,B$4/B$2)</f>
        <v>9.6999999999999993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0.28205128205128205</v>
      </c>
      <c r="I5" s="56">
        <v>19</v>
      </c>
      <c r="K5" s="5">
        <v>3</v>
      </c>
      <c r="L5" s="61">
        <v>-4.8999999999999995</v>
      </c>
      <c r="N5" s="76" t="s">
        <v>157</v>
      </c>
      <c r="O5" s="83">
        <f>IF(P5=0,0,Q5/P5)</f>
        <v>1220</v>
      </c>
      <c r="P5" s="80">
        <v>15</v>
      </c>
      <c r="Q5" s="64">
        <v>18300</v>
      </c>
    </row>
    <row r="6" spans="1:17">
      <c r="A6" s="19" t="s">
        <v>1</v>
      </c>
      <c r="B6" s="128">
        <f>IF(B$2=0,0,(B$7*1+B$8*2+B$9*3+B$10*4)/B$2)</f>
        <v>2.1764705882352939</v>
      </c>
      <c r="C6" s="129"/>
      <c r="E6" s="33" t="s">
        <v>55</v>
      </c>
      <c r="F6" s="30" t="s">
        <v>155</v>
      </c>
      <c r="G6" s="13">
        <v>9</v>
      </c>
      <c r="H6" s="94">
        <f>IF(B$17=0,0,G6/B$17)</f>
        <v>0.23076923076923078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1278.5714285714287</v>
      </c>
      <c r="P6" s="80">
        <v>14</v>
      </c>
      <c r="Q6" s="64">
        <v>17900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54</v>
      </c>
      <c r="F7" s="30" t="s">
        <v>20</v>
      </c>
      <c r="G7" s="13">
        <v>8</v>
      </c>
      <c r="H7" s="94">
        <f>IF(B$17=0,0,G7/B$17)</f>
        <v>0.20512820512820512</v>
      </c>
      <c r="I7" s="56">
        <v>32</v>
      </c>
      <c r="K7" s="5">
        <v>5</v>
      </c>
      <c r="L7" s="61">
        <v>26.900000000000002</v>
      </c>
      <c r="N7" s="76" t="s">
        <v>107</v>
      </c>
      <c r="O7" s="83">
        <f t="shared" si="0"/>
        <v>1481.8181818181818</v>
      </c>
      <c r="P7" s="80">
        <v>11</v>
      </c>
      <c r="Q7" s="64">
        <v>16300</v>
      </c>
    </row>
    <row r="8" spans="1:17">
      <c r="A8" s="19" t="s">
        <v>3</v>
      </c>
      <c r="B8" s="13">
        <v>6</v>
      </c>
      <c r="C8" s="6">
        <f>IF(B$2=0,0,B8/B$2)</f>
        <v>0.35294117647058826</v>
      </c>
      <c r="E8" s="33" t="s">
        <v>57</v>
      </c>
      <c r="F8" s="30" t="s">
        <v>21</v>
      </c>
      <c r="G8" s="13">
        <v>8</v>
      </c>
      <c r="H8" s="94">
        <f>IF(B$17=0,0,G8/B$17)</f>
        <v>0.20512820512820512</v>
      </c>
      <c r="I8" s="56">
        <v>21</v>
      </c>
      <c r="K8" s="5">
        <v>6</v>
      </c>
      <c r="L8" s="61">
        <v>44.5</v>
      </c>
      <c r="N8" s="76" t="s">
        <v>108</v>
      </c>
      <c r="O8" s="83">
        <f t="shared" si="0"/>
        <v>-2587.5</v>
      </c>
      <c r="P8" s="80">
        <v>8</v>
      </c>
      <c r="Q8" s="64">
        <v>-20700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7</v>
      </c>
      <c r="H9" s="94">
        <f>IF(B$17=0,0,G9/B$17)</f>
        <v>0.17948717948717949</v>
      </c>
      <c r="I9" s="56">
        <v>9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0.11764705882352941</v>
      </c>
      <c r="E10" s="33" t="s">
        <v>59</v>
      </c>
      <c r="F10" s="30" t="s">
        <v>23</v>
      </c>
      <c r="G10" s="13">
        <v>7</v>
      </c>
      <c r="H10" s="94">
        <f>IF(B$17=0,0,G10/B$17)</f>
        <v>0.17948717948717949</v>
      </c>
      <c r="I10" s="56">
        <v>15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0.6470588235294118</v>
      </c>
      <c r="E11" s="33" t="s">
        <v>183</v>
      </c>
      <c r="F11" s="30" t="s">
        <v>186</v>
      </c>
      <c r="G11" s="13">
        <v>2</v>
      </c>
      <c r="H11" s="94">
        <f>IF(B$17=0,0,G11/B$17)</f>
        <v>5.128205128205128E-2</v>
      </c>
      <c r="I11" s="56">
        <v>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2.564102564102564E-2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7.8749999999999982</v>
      </c>
      <c r="P12" s="79">
        <v>8</v>
      </c>
      <c r="Q12" s="67">
        <v>62.999999999999986</v>
      </c>
    </row>
    <row r="13" spans="1:17">
      <c r="A13" s="22" t="s">
        <v>97</v>
      </c>
      <c r="B13" s="15">
        <v>28</v>
      </c>
      <c r="C13" s="11">
        <f>IF(B$3=0,0,B13/B$3)</f>
        <v>0.21374045801526717</v>
      </c>
      <c r="E13" s="33" t="s">
        <v>77</v>
      </c>
      <c r="F13" s="30" t="s">
        <v>41</v>
      </c>
      <c r="G13" s="13">
        <v>1</v>
      </c>
      <c r="H13" s="94">
        <f>IF(B$17=0,0,G13/B$17)</f>
        <v>2.564102564102564E-2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32</v>
      </c>
      <c r="C14" s="6">
        <f>IF(B$3=0,0,B14/B$3)</f>
        <v>0.24427480916030533</v>
      </c>
      <c r="E14" s="33" t="s">
        <v>78</v>
      </c>
      <c r="F14" s="30" t="s">
        <v>42</v>
      </c>
      <c r="G14" s="13">
        <v>1</v>
      </c>
      <c r="H14" s="94">
        <f>IF(B$17=0,0,G14/B$17)</f>
        <v>2.564102564102564E-2</v>
      </c>
      <c r="I14" s="56">
        <v>5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14</v>
      </c>
      <c r="C16" s="4">
        <f>IF(B$14=0,0,B16/B$14)</f>
        <v>0.4375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39</v>
      </c>
      <c r="C17" s="4">
        <f>IF(B$3=0,0,B17/B$3)</f>
        <v>0.29770992366412213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269</v>
      </c>
      <c r="O18" s="85">
        <f>IF(P18=0,0,Q18/P18)</f>
        <v>64.3</v>
      </c>
      <c r="P18" s="79">
        <v>2</v>
      </c>
      <c r="Q18" s="67">
        <v>128.6</v>
      </c>
    </row>
    <row r="19" spans="1:17">
      <c r="A19" s="19" t="s">
        <v>12</v>
      </c>
      <c r="B19" s="13">
        <v>12</v>
      </c>
      <c r="C19" s="6">
        <f>IF(B$17=0,0,B19/B$17)</f>
        <v>0.30769230769230771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277</v>
      </c>
      <c r="O19" s="86">
        <f>IF(P19=0,0,Q19/P19)</f>
        <v>59.8</v>
      </c>
      <c r="P19" s="80">
        <v>4</v>
      </c>
      <c r="Q19" s="68">
        <v>239.2</v>
      </c>
    </row>
    <row r="20" spans="1:17">
      <c r="A20" s="19" t="s">
        <v>11</v>
      </c>
      <c r="B20" s="13">
        <v>27</v>
      </c>
      <c r="C20" s="6">
        <f>IF(B$17=0,0,B20/B$17)</f>
        <v>0.69230769230769229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20</v>
      </c>
      <c r="C21" s="6">
        <f>IF(B$17=0,0,B21/B$17)</f>
        <v>0.51282051282051277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>IF(P21=0,0,Q21/P21)</f>
        <v>20.3</v>
      </c>
      <c r="P21" s="80">
        <v>5</v>
      </c>
      <c r="Q21" s="68">
        <v>101.5</v>
      </c>
    </row>
    <row r="22" spans="1:17">
      <c r="A22" s="19" t="s">
        <v>149</v>
      </c>
      <c r="B22" s="13">
        <v>14</v>
      </c>
      <c r="C22" s="6">
        <f>IF(B$17=0,0,B22/B$17)</f>
        <v>0.35897435897435898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5</v>
      </c>
      <c r="C23" s="6">
        <f>IF(B$17=0,0,B23/B$17)</f>
        <v>0.12820512820512819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>IF(P23=0,0,Q23/P23)</f>
        <v>17.166666666666661</v>
      </c>
      <c r="P23" s="80">
        <v>6</v>
      </c>
      <c r="Q23" s="68">
        <v>102.99999999999997</v>
      </c>
    </row>
    <row r="24" spans="1:17">
      <c r="A24" s="19" t="s">
        <v>5</v>
      </c>
      <c r="B24" s="16">
        <f>IF(B$17=0,0,C24/B$17)</f>
        <v>5341.0256410256407</v>
      </c>
      <c r="C24" s="8">
        <v>208300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195</v>
      </c>
      <c r="O24" s="86">
        <f>IF(P24=0,0,Q24/P24)</f>
        <v>11.95</v>
      </c>
      <c r="P24" s="80">
        <v>2</v>
      </c>
      <c r="Q24" s="68">
        <v>23.9</v>
      </c>
    </row>
    <row r="25" spans="1:17">
      <c r="A25" s="20" t="s">
        <v>133</v>
      </c>
      <c r="B25" s="97">
        <f>IF($B$17-B$16=0,0,C25/($B$17-B$16))</f>
        <v>6580</v>
      </c>
      <c r="C25" s="98">
        <v>164500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10.171428571428573</v>
      </c>
      <c r="P25" s="80">
        <v>7</v>
      </c>
      <c r="Q25" s="68">
        <v>71.2</v>
      </c>
    </row>
    <row r="26" spans="1:17">
      <c r="A26" s="20" t="s">
        <v>134</v>
      </c>
      <c r="B26" s="97">
        <f>IF(B$16=0,0,C26/B$16)</f>
        <v>3128.5714285714284</v>
      </c>
      <c r="C26" s="98">
        <v>43800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>IF(P26=0,0,Q26/P26)</f>
        <v>5.333333333333333</v>
      </c>
      <c r="P26" s="80">
        <v>3</v>
      </c>
      <c r="Q26" s="68">
        <v>16</v>
      </c>
    </row>
    <row r="27" spans="1:17">
      <c r="A27" s="20" t="s">
        <v>132</v>
      </c>
      <c r="B27" s="97">
        <f>IF(B$18=0,0,C27/B$18)</f>
        <v>-5107.1428571428569</v>
      </c>
      <c r="C27" s="98">
        <v>-71500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>IF(P27=0,0,Q27/P27)</f>
        <v>4.633333333333332</v>
      </c>
      <c r="P27" s="80">
        <v>3</v>
      </c>
      <c r="Q27" s="68">
        <v>13.899999999999995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13</v>
      </c>
      <c r="N28" s="76" t="s">
        <v>228</v>
      </c>
      <c r="O28" s="86">
        <f>IF(P28=0,0,Q28/P28)</f>
        <v>-2.7499999999999964</v>
      </c>
      <c r="P28" s="80">
        <v>2</v>
      </c>
      <c r="Q28" s="68">
        <v>-5.4999999999999929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238</v>
      </c>
      <c r="O29" s="86">
        <f>IF(P29=0,0,Q29/P29)</f>
        <v>-3.4499999999999993</v>
      </c>
      <c r="P29" s="80">
        <v>2</v>
      </c>
      <c r="Q29" s="68">
        <v>-6.8999999999999986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-15.140000000000004</v>
      </c>
      <c r="P30" s="80">
        <v>5</v>
      </c>
      <c r="Q30" s="68">
        <v>-75.700000000000017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-17.099999999999998</v>
      </c>
      <c r="P31" s="80">
        <v>3</v>
      </c>
      <c r="Q31" s="68">
        <v>-51.3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-45.3</v>
      </c>
      <c r="P32" s="80">
        <v>1</v>
      </c>
      <c r="Q32" s="68">
        <v>-45.3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0.17948717948717949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0.17948717948717949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14</v>
      </c>
      <c r="C37" s="6">
        <f t="shared" si="3"/>
        <v>0.35897435897435898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0.15384615384615385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2.564102564102564E-2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2.564102564102564E-2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-1450</v>
      </c>
      <c r="P2" s="79">
        <v>10</v>
      </c>
      <c r="Q2" s="63">
        <v>-14500</v>
      </c>
    </row>
    <row r="3" spans="1:17">
      <c r="A3" s="19" t="s">
        <v>8</v>
      </c>
      <c r="B3" s="122">
        <v>64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-1100</v>
      </c>
      <c r="P3" s="80">
        <v>10</v>
      </c>
      <c r="Q3" s="64">
        <v>-11000</v>
      </c>
    </row>
    <row r="4" spans="1:17">
      <c r="A4" s="19" t="s">
        <v>6</v>
      </c>
      <c r="B4" s="124">
        <v>-338.20000000000005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0.5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-5540</v>
      </c>
      <c r="P4" s="80">
        <v>10</v>
      </c>
      <c r="Q4" s="64">
        <v>-55400</v>
      </c>
    </row>
    <row r="5" spans="1:17">
      <c r="A5" s="19" t="s">
        <v>7</v>
      </c>
      <c r="B5" s="126">
        <f>IF(B$2=0,0,B$4/B$2)</f>
        <v>-33.820000000000007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0.5</v>
      </c>
      <c r="I5" s="56">
        <v>13</v>
      </c>
      <c r="K5" s="5">
        <v>3</v>
      </c>
      <c r="L5" s="61">
        <v>-90.1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11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55</v>
      </c>
      <c r="F9" s="30" t="s">
        <v>155</v>
      </c>
      <c r="G9" s="13">
        <v>1</v>
      </c>
      <c r="H9" s="94">
        <f>IF(B$17=0,0,G9/B$17)</f>
        <v>0.16666666666666666</v>
      </c>
      <c r="I9" s="56">
        <v>26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0.6</v>
      </c>
      <c r="E10" s="33" t="s">
        <v>74</v>
      </c>
      <c r="F10" s="30" t="s">
        <v>38</v>
      </c>
      <c r="G10" s="13">
        <v>1</v>
      </c>
      <c r="H10" s="94">
        <f>IF(B$17=0,0,G10/B$17)</f>
        <v>0.16666666666666666</v>
      </c>
      <c r="I10" s="56">
        <v>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-45.5</v>
      </c>
      <c r="P12" s="79">
        <v>2</v>
      </c>
      <c r="Q12" s="67">
        <v>-91</v>
      </c>
    </row>
    <row r="13" spans="1:17">
      <c r="A13" s="22" t="s">
        <v>97</v>
      </c>
      <c r="B13" s="15">
        <v>9</v>
      </c>
      <c r="C13" s="11">
        <f>IF(B$3=0,0,B13/B$3)</f>
        <v>0.140625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7</v>
      </c>
      <c r="C14" s="6">
        <f>IF(B$3=0,0,B14/B$3)</f>
        <v>0.109375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11.7</v>
      </c>
      <c r="P14" s="80">
        <v>1</v>
      </c>
      <c r="Q14" s="68">
        <v>11.7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9.375E-2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0.140625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>IF(P19=0,0,Q19/P19)</f>
        <v>22.5</v>
      </c>
      <c r="P19" s="80">
        <v>1</v>
      </c>
      <c r="Q19" s="68">
        <v>22.5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>IF(P20=0,0,Q20/P20)</f>
        <v>-22.840000000000011</v>
      </c>
      <c r="P20" s="80">
        <v>5</v>
      </c>
      <c r="Q20" s="68">
        <v>-114.20000000000006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>IF(P21=0,0,Q21/P21)</f>
        <v>-30</v>
      </c>
      <c r="P21" s="80">
        <v>1</v>
      </c>
      <c r="Q21" s="68">
        <v>-30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>IF(P22=0,0,Q22/P22)</f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5633.333333333333</v>
      </c>
      <c r="C24" s="8">
        <v>33800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>IF(P24=0,0,Q24/P24)</f>
        <v>-48.4</v>
      </c>
      <c r="P24" s="80">
        <v>1</v>
      </c>
      <c r="Q24" s="68">
        <v>-48.4</v>
      </c>
    </row>
    <row r="25" spans="1:17">
      <c r="A25" s="20" t="s">
        <v>133</v>
      </c>
      <c r="B25" s="97">
        <f>IF($B$17-B$16=0,0,C25/($B$17-B$16))</f>
        <v>5633.333333333333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>IF(P25=0,0,Q25/P25)</f>
        <v>-58.74285714285714</v>
      </c>
      <c r="P25" s="80">
        <v>7</v>
      </c>
      <c r="Q25" s="68">
        <v>-411.2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-64.300000000000011</v>
      </c>
      <c r="P26" s="80">
        <v>2</v>
      </c>
      <c r="Q26" s="68">
        <v>-128.60000000000002</v>
      </c>
    </row>
    <row r="27" spans="1:17">
      <c r="A27" s="20" t="s">
        <v>132</v>
      </c>
      <c r="B27" s="97">
        <f>IF(B$18=0,0,C27/B$18)</f>
        <v>-6611.1111111111113</v>
      </c>
      <c r="C27" s="98">
        <v>-59500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-69.433333333333337</v>
      </c>
      <c r="P27" s="80">
        <v>3</v>
      </c>
      <c r="Q27" s="68">
        <v>-208.3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268</v>
      </c>
      <c r="O28" s="86">
        <f>IF(P28=0,0,Q28/P28)</f>
        <v>-99.5</v>
      </c>
      <c r="P28" s="80">
        <v>1</v>
      </c>
      <c r="Q28" s="68">
        <v>-99.5</v>
      </c>
    </row>
    <row r="29" spans="1:17">
      <c r="A29" s="19" t="s">
        <v>131</v>
      </c>
      <c r="B29" s="13">
        <v>23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244</v>
      </c>
      <c r="O29" s="86">
        <f>IF(P29=0,0,Q29/P29)</f>
        <v>-149</v>
      </c>
      <c r="P29" s="80">
        <v>1</v>
      </c>
      <c r="Q29" s="68">
        <v>-149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0.62068965517241381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885.71428571428567</v>
      </c>
      <c r="P2" s="79">
        <v>14</v>
      </c>
      <c r="Q2" s="63">
        <v>12400</v>
      </c>
    </row>
    <row r="3" spans="1:17">
      <c r="A3" s="19" t="s">
        <v>8</v>
      </c>
      <c r="B3" s="122">
        <v>101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0.48275862068965519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3500</v>
      </c>
      <c r="P3" s="80">
        <v>14</v>
      </c>
      <c r="Q3" s="64">
        <v>49000</v>
      </c>
    </row>
    <row r="4" spans="1:17">
      <c r="A4" s="19" t="s">
        <v>6</v>
      </c>
      <c r="B4" s="124">
        <v>329.4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0.37931034482758619</v>
      </c>
      <c r="I4" s="56">
        <v>24</v>
      </c>
      <c r="K4" s="5">
        <v>2</v>
      </c>
      <c r="L4" s="61">
        <v>15.8</v>
      </c>
      <c r="N4" s="76" t="s">
        <v>105</v>
      </c>
      <c r="O4" s="83">
        <f t="shared" si="0"/>
        <v>2550</v>
      </c>
      <c r="P4" s="80">
        <v>14</v>
      </c>
      <c r="Q4" s="64">
        <v>35700</v>
      </c>
    </row>
    <row r="5" spans="1:17">
      <c r="A5" s="19" t="s">
        <v>7</v>
      </c>
      <c r="B5" s="126">
        <f>IF(B$2=0,0,B$4/B$2)</f>
        <v>23.528571428571428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0.34482758620689657</v>
      </c>
      <c r="I5" s="56">
        <v>24</v>
      </c>
      <c r="K5" s="5">
        <v>3</v>
      </c>
      <c r="L5" s="61">
        <v>0.60000000000000142</v>
      </c>
      <c r="N5" s="76" t="s">
        <v>157</v>
      </c>
      <c r="O5" s="83">
        <f>IF(P5=0,0,Q5/P5)</f>
        <v>2000</v>
      </c>
      <c r="P5" s="80">
        <v>14</v>
      </c>
      <c r="Q5" s="64">
        <v>28000</v>
      </c>
    </row>
    <row r="6" spans="1:17">
      <c r="A6" s="19" t="s">
        <v>1</v>
      </c>
      <c r="B6" s="128">
        <f>IF(B$2=0,0,(B$7*1+B$8*2+B$9*3+B$10*4)/B$2)</f>
        <v>1.9285714285714286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0.31034482758620691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-1130</v>
      </c>
      <c r="P6" s="80">
        <v>10</v>
      </c>
      <c r="Q6" s="64">
        <v>-11300</v>
      </c>
    </row>
    <row r="7" spans="1:17">
      <c r="A7" s="19" t="s">
        <v>2</v>
      </c>
      <c r="B7" s="13">
        <v>7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-762.5</v>
      </c>
      <c r="P7" s="80">
        <v>8</v>
      </c>
      <c r="Q7" s="64">
        <v>-6100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57</v>
      </c>
      <c r="F8" s="30" t="s">
        <v>21</v>
      </c>
      <c r="G8" s="13">
        <v>5</v>
      </c>
      <c r="H8" s="94">
        <f>IF(B$17=0,0,G8/B$17)</f>
        <v>0.17241379310344829</v>
      </c>
      <c r="I8" s="56">
        <v>25</v>
      </c>
      <c r="K8" s="5">
        <v>6</v>
      </c>
      <c r="L8" s="61">
        <v>189.9</v>
      </c>
      <c r="N8" s="76" t="s">
        <v>108</v>
      </c>
      <c r="O8" s="83">
        <f t="shared" si="0"/>
        <v>-1766.6666666666667</v>
      </c>
      <c r="P8" s="80">
        <v>3</v>
      </c>
      <c r="Q8" s="64">
        <v>-5300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182</v>
      </c>
      <c r="F9" s="30" t="s">
        <v>19</v>
      </c>
      <c r="G9" s="13">
        <v>3</v>
      </c>
      <c r="H9" s="94">
        <f>IF(B$17=0,0,G9/B$17)</f>
        <v>0.10344827586206896</v>
      </c>
      <c r="I9" s="56">
        <v>18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58</v>
      </c>
      <c r="F10" s="30" t="s">
        <v>22</v>
      </c>
      <c r="G10" s="13">
        <v>2</v>
      </c>
      <c r="H10" s="94">
        <f>IF(B$17=0,0,G10/B$17)</f>
        <v>6.8965517241379309E-2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23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6.8965517241379309E-2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29</v>
      </c>
      <c r="C13" s="11">
        <f>IF(B$3=0,0,B13/B$3)</f>
        <v>0.28712871287128711</v>
      </c>
      <c r="E13" s="33" t="s">
        <v>74</v>
      </c>
      <c r="F13" s="30" t="s">
        <v>38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23</v>
      </c>
      <c r="C14" s="6">
        <f>IF(B$3=0,0,B14/B$3)</f>
        <v>0.22772277227722773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7</v>
      </c>
      <c r="K14" s="5">
        <v>12</v>
      </c>
      <c r="L14" s="61">
        <v>369.3</v>
      </c>
      <c r="N14" s="76" t="s">
        <v>128</v>
      </c>
      <c r="O14" s="86">
        <f>IF(P14=0,0,Q14/P14)</f>
        <v>-6.3</v>
      </c>
      <c r="P14" s="80">
        <v>4</v>
      </c>
      <c r="Q14" s="68">
        <v>-25.2</v>
      </c>
    </row>
    <row r="15" spans="1:17">
      <c r="A15" s="18" t="s">
        <v>99</v>
      </c>
      <c r="B15" s="12">
        <f>B21</f>
        <v>18</v>
      </c>
      <c r="C15" s="4">
        <f>IF(B$13=0,0,B15/B$13)</f>
        <v>0.62068965517241381</v>
      </c>
      <c r="E15" s="33" t="s">
        <v>69</v>
      </c>
      <c r="F15" s="30" t="s">
        <v>33</v>
      </c>
      <c r="G15" s="13">
        <v>1</v>
      </c>
      <c r="H15" s="94">
        <f>IF(B$17=0,0,G15/B$17)</f>
        <v>3.4482758620689655E-2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10</v>
      </c>
      <c r="C16" s="4">
        <f>IF(B$14=0,0,B16/B$14)</f>
        <v>0.43478260869565216</v>
      </c>
      <c r="E16" s="33" t="s">
        <v>76</v>
      </c>
      <c r="F16" s="30" t="s">
        <v>40</v>
      </c>
      <c r="G16" s="13">
        <v>1</v>
      </c>
      <c r="H16" s="94">
        <f>IF(B$17=0,0,G16/B$17)</f>
        <v>3.4482758620689655E-2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0.28712871287128711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0.10891089108910891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277</v>
      </c>
      <c r="O18" s="85">
        <f t="shared" ref="O18:O31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11</v>
      </c>
      <c r="C19" s="6">
        <f>IF(B$17=0,0,B19/B$17)</f>
        <v>0.37931034482758619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 t="shared" si="3"/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18</v>
      </c>
      <c r="C20" s="6">
        <f>IF(B$17=0,0,B20/B$17)</f>
        <v>0.62068965517241381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 t="shared" si="3"/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18</v>
      </c>
      <c r="C21" s="6">
        <f>IF(B$17=0,0,B21/B$17)</f>
        <v>0.62068965517241381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57.32500000000001</v>
      </c>
      <c r="P21" s="80">
        <v>4</v>
      </c>
      <c r="Q21" s="68">
        <v>229.30000000000004</v>
      </c>
    </row>
    <row r="22" spans="1:17">
      <c r="A22" s="19" t="s">
        <v>149</v>
      </c>
      <c r="B22" s="13">
        <v>10</v>
      </c>
      <c r="C22" s="6">
        <f>IF(B$17=0,0,B22/B$17)</f>
        <v>0.34482758620689657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258</v>
      </c>
      <c r="O22" s="86">
        <f t="shared" si="3"/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3.4482758620689655E-2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5951.7241379310344</v>
      </c>
      <c r="C24" s="8">
        <v>172600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 t="shared" si="3"/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7610.5263157894733</v>
      </c>
      <c r="C25" s="98">
        <v>144600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169</v>
      </c>
      <c r="O25" s="86">
        <f t="shared" si="3"/>
        <v>26.100000000000005</v>
      </c>
      <c r="P25" s="80">
        <v>3</v>
      </c>
      <c r="Q25" s="68">
        <v>78.300000000000011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 t="shared" si="3"/>
        <v>10.149999999999999</v>
      </c>
      <c r="P26" s="80">
        <v>2</v>
      </c>
      <c r="Q26" s="68">
        <v>20.299999999999997</v>
      </c>
    </row>
    <row r="27" spans="1:17">
      <c r="A27" s="20" t="s">
        <v>132</v>
      </c>
      <c r="B27" s="97">
        <f>IF(B$18=0,0,C27/B$18)</f>
        <v>-4681.818181818182</v>
      </c>
      <c r="C27" s="98">
        <v>-51500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265</v>
      </c>
      <c r="O27" s="86">
        <f t="shared" si="3"/>
        <v>-5.7600000000000007</v>
      </c>
      <c r="P27" s="80">
        <v>5</v>
      </c>
      <c r="Q27" s="68">
        <v>-28.800000000000004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-10.171428571428573</v>
      </c>
      <c r="P28" s="80">
        <v>7</v>
      </c>
      <c r="Q28" s="68">
        <v>-71.2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228</v>
      </c>
      <c r="O29" s="86">
        <f t="shared" si="3"/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-29</v>
      </c>
      <c r="P31" s="80">
        <v>1</v>
      </c>
      <c r="Q31" s="68">
        <v>-29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0.2413793103448276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0.17241379310344829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0.17241379310344829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13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0.6470588235294118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3127.2727272727275</v>
      </c>
      <c r="P2" s="79">
        <v>11</v>
      </c>
      <c r="Q2" s="63">
        <v>34400</v>
      </c>
    </row>
    <row r="3" spans="1:17">
      <c r="A3" s="19" t="s">
        <v>8</v>
      </c>
      <c r="B3" s="122">
        <v>78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0.52941176470588236</v>
      </c>
      <c r="I3" s="56">
        <v>11</v>
      </c>
      <c r="K3" s="5">
        <v>1</v>
      </c>
      <c r="L3" s="61">
        <v>10.6</v>
      </c>
      <c r="N3" s="76" t="s">
        <v>104</v>
      </c>
      <c r="O3" s="83">
        <f t="shared" si="0"/>
        <v>-436.36363636363637</v>
      </c>
      <c r="P3" s="80">
        <v>11</v>
      </c>
      <c r="Q3" s="64">
        <v>-4800</v>
      </c>
    </row>
    <row r="4" spans="1:17">
      <c r="A4" s="19" t="s">
        <v>6</v>
      </c>
      <c r="B4" s="124">
        <v>137.50000000000006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0.41176470588235292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1745.4545454545455</v>
      </c>
      <c r="P4" s="80">
        <v>11</v>
      </c>
      <c r="Q4" s="64">
        <v>19200</v>
      </c>
    </row>
    <row r="5" spans="1:17">
      <c r="A5" s="19" t="s">
        <v>7</v>
      </c>
      <c r="B5" s="126">
        <f>IF(B$2=0,0,B$4/B$2)</f>
        <v>12.500000000000005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0.29411764705882354</v>
      </c>
      <c r="I5" s="56">
        <v>12</v>
      </c>
      <c r="K5" s="5">
        <v>3</v>
      </c>
      <c r="L5" s="61">
        <v>144.5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0.29411764705882354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-1200</v>
      </c>
      <c r="P6" s="80">
        <v>6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54</v>
      </c>
      <c r="F7" s="30" t="s">
        <v>20</v>
      </c>
      <c r="G7" s="13">
        <v>3</v>
      </c>
      <c r="H7" s="94">
        <f>IF(B$17=0,0,G7/B$17)</f>
        <v>0.17647058823529413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900</v>
      </c>
      <c r="P7" s="80">
        <v>5</v>
      </c>
      <c r="Q7" s="64">
        <v>4500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58</v>
      </c>
      <c r="F8" s="30" t="s">
        <v>22</v>
      </c>
      <c r="G8" s="13">
        <v>3</v>
      </c>
      <c r="H8" s="94">
        <f>IF(B$17=0,0,G8/B$17)</f>
        <v>0.17647058823529413</v>
      </c>
      <c r="I8" s="56">
        <v>3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14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2</v>
      </c>
      <c r="C10" s="7">
        <f>IF(B$2=0,0,B10/B$2)</f>
        <v>0.18181818181818182</v>
      </c>
      <c r="E10" s="33" t="s">
        <v>55</v>
      </c>
      <c r="F10" s="30" t="s">
        <v>155</v>
      </c>
      <c r="G10" s="13">
        <v>2</v>
      </c>
      <c r="H10" s="94">
        <f>IF(B$17=0,0,G10/B$17)</f>
        <v>0.11764705882352941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77</v>
      </c>
      <c r="F11" s="30" t="s">
        <v>41</v>
      </c>
      <c r="G11" s="13">
        <v>2</v>
      </c>
      <c r="H11" s="94">
        <f>IF(B$17=0,0,G11/B$17)</f>
        <v>0.11764705882352941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5.8823529411764705E-2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-23.68</v>
      </c>
      <c r="P12" s="79">
        <v>5</v>
      </c>
      <c r="Q12" s="67">
        <v>-118.4</v>
      </c>
    </row>
    <row r="13" spans="1:17">
      <c r="A13" s="22" t="s">
        <v>97</v>
      </c>
      <c r="B13" s="15">
        <v>18</v>
      </c>
      <c r="C13" s="11">
        <f>IF(B$3=0,0,B13/B$3)</f>
        <v>0.23076923076923078</v>
      </c>
      <c r="E13" s="33" t="s">
        <v>78</v>
      </c>
      <c r="F13" s="30" t="s">
        <v>42</v>
      </c>
      <c r="G13" s="13">
        <v>1</v>
      </c>
      <c r="H13" s="94">
        <f>IF(B$17=0,0,G13/B$17)</f>
        <v>5.8823529411764705E-2</v>
      </c>
      <c r="I13" s="56">
        <v>1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25</v>
      </c>
      <c r="C14" s="6">
        <f>IF(B$3=0,0,B14/B$3)</f>
        <v>0.32051282051282054</v>
      </c>
      <c r="E14" s="33" t="s">
        <v>79</v>
      </c>
      <c r="F14" s="30" t="s">
        <v>43</v>
      </c>
      <c r="G14" s="13">
        <v>1</v>
      </c>
      <c r="H14" s="94">
        <f>IF(B$17=0,0,G14/B$17)</f>
        <v>5.8823529411764705E-2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12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0.21794871794871795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8.9743589743589744E-2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255</v>
      </c>
      <c r="O18" s="85">
        <f>IF(P18=0,0,Q18/P18)</f>
        <v>110.7</v>
      </c>
      <c r="P18" s="79">
        <v>1</v>
      </c>
      <c r="Q18" s="67">
        <v>110.7</v>
      </c>
    </row>
    <row r="19" spans="1:17">
      <c r="A19" s="19" t="s">
        <v>12</v>
      </c>
      <c r="B19" s="13">
        <v>8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12</v>
      </c>
      <c r="C21" s="6">
        <f>IF(B$17=0,0,B21/B$17)</f>
        <v>0.70588235294117652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>IF(P21=0,0,Q21/P21)</f>
        <v>48.5</v>
      </c>
      <c r="P21" s="80">
        <v>1</v>
      </c>
      <c r="Q21" s="68">
        <v>48.5</v>
      </c>
    </row>
    <row r="22" spans="1:17">
      <c r="A22" s="19" t="s">
        <v>149</v>
      </c>
      <c r="B22" s="13">
        <v>3</v>
      </c>
      <c r="C22" s="6">
        <f>IF(B$17=0,0,B22/B$17)</f>
        <v>0.17647058823529413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>IF(P22=0,0,Q22/P22)</f>
        <v>36.333333333333336</v>
      </c>
      <c r="P22" s="80">
        <v>3</v>
      </c>
      <c r="Q22" s="68">
        <v>109</v>
      </c>
    </row>
    <row r="23" spans="1:17">
      <c r="A23" s="19" t="s">
        <v>150</v>
      </c>
      <c r="B23" s="13">
        <v>2</v>
      </c>
      <c r="C23" s="6">
        <f>IF(B$17=0,0,B23/B$17)</f>
        <v>0.11764705882352941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>IF(P23=0,0,Q23/P23)</f>
        <v>22.840000000000003</v>
      </c>
      <c r="P23" s="80">
        <v>5</v>
      </c>
      <c r="Q23" s="68">
        <v>114.20000000000002</v>
      </c>
    </row>
    <row r="24" spans="1:17">
      <c r="A24" s="19" t="s">
        <v>5</v>
      </c>
      <c r="B24" s="16">
        <f>IF(B$17=0,0,C24/B$17)</f>
        <v>8923.5294117647063</v>
      </c>
      <c r="C24" s="8">
        <v>151700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244</v>
      </c>
      <c r="O24" s="86">
        <f>IF(P24=0,0,Q24/P24)</f>
        <v>16.20000000000001</v>
      </c>
      <c r="P24" s="80">
        <v>2</v>
      </c>
      <c r="Q24" s="68">
        <v>32.40000000000002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15.14</v>
      </c>
      <c r="P25" s="80">
        <v>5</v>
      </c>
      <c r="Q25" s="68">
        <v>75.7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265</v>
      </c>
      <c r="O26" s="86">
        <f>IF(P26=0,0,Q26/P26)</f>
        <v>-5.9749999999999979</v>
      </c>
      <c r="P26" s="80">
        <v>4</v>
      </c>
      <c r="Q26" s="68">
        <v>-23.899999999999991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>IF(P28=0,0,Q28/P28)</f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13</v>
      </c>
      <c r="N29" s="76" t="s">
        <v>272</v>
      </c>
      <c r="O29" s="86">
        <f>IF(P29=0,0,Q29/P29)</f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1.282051282051282E-2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0.11764705882352941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0.35294117647058826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0.11764705882352941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5.8823529411764705E-2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2023-10-03T09:45:57Z</dcterms:modified>
</cp:coreProperties>
</file>