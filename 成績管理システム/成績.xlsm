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DBEC9F53-7125-4CCA-8641-3DECC1174FA1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Template (3)" sheetId="6297" state="hidden" r:id="rId36"/>
    <sheet name="Template" sheetId="2228" state="hidden" r:id="rId37"/>
  </sheets>
  <definedNames>
    <definedName name="アガリ数" localSheetId="3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295" l="1"/>
  <c r="O20" i="6299"/>
  <c r="O18" i="6299"/>
  <c r="O18" i="6303"/>
  <c r="O21" i="6303"/>
  <c r="O21" i="6272"/>
  <c r="O19" i="6304"/>
  <c r="O20" i="6304"/>
  <c r="O18" i="6304"/>
  <c r="C32" i="6304"/>
  <c r="B27" i="6304"/>
  <c r="C18" i="6304"/>
  <c r="B17" i="6304"/>
  <c r="C17" i="6304" s="1"/>
  <c r="H16" i="6304"/>
  <c r="B16" i="6304"/>
  <c r="O15" i="6304"/>
  <c r="H15" i="6304"/>
  <c r="C15" i="6304"/>
  <c r="B15" i="6304"/>
  <c r="O14" i="6304"/>
  <c r="H14" i="6304"/>
  <c r="C14" i="6304"/>
  <c r="O13" i="6304"/>
  <c r="H13" i="6304"/>
  <c r="C13" i="6304"/>
  <c r="O12" i="6304"/>
  <c r="H12" i="6304"/>
  <c r="C12" i="6304"/>
  <c r="H11" i="6304"/>
  <c r="C11" i="6304"/>
  <c r="B11" i="6304"/>
  <c r="H2" i="6304"/>
  <c r="C10" i="6304"/>
  <c r="O9" i="6304"/>
  <c r="H10" i="6304"/>
  <c r="C9" i="6304"/>
  <c r="O8" i="6304"/>
  <c r="H9" i="6304"/>
  <c r="C8" i="6304"/>
  <c r="O7" i="6304"/>
  <c r="H8" i="6304"/>
  <c r="C7" i="6304"/>
  <c r="O6" i="6304"/>
  <c r="H3" i="6304"/>
  <c r="B6" i="6304"/>
  <c r="O5" i="6304"/>
  <c r="H7" i="6304"/>
  <c r="B5" i="6304"/>
  <c r="O4" i="6304"/>
  <c r="H6" i="6304"/>
  <c r="O3" i="6304"/>
  <c r="H5" i="6304"/>
  <c r="O2" i="6304"/>
  <c r="H4" i="6304"/>
  <c r="B26" i="6304" l="1"/>
  <c r="C16" i="6304"/>
  <c r="C47" i="6304"/>
  <c r="C46" i="6304"/>
  <c r="C45" i="6304"/>
  <c r="C44" i="6304"/>
  <c r="C43" i="6304"/>
  <c r="H42" i="6304"/>
  <c r="C42" i="6304"/>
  <c r="H41" i="6304"/>
  <c r="C41" i="6304"/>
  <c r="H40" i="6304"/>
  <c r="C40" i="6304"/>
  <c r="H39" i="6304"/>
  <c r="C39" i="6304"/>
  <c r="H38" i="6304"/>
  <c r="C38" i="6304"/>
  <c r="H37" i="6304"/>
  <c r="C37" i="6304"/>
  <c r="H36" i="6304"/>
  <c r="C36" i="6304"/>
  <c r="H35" i="6304"/>
  <c r="C35" i="6304"/>
  <c r="H34" i="6304"/>
  <c r="H33" i="6304"/>
  <c r="H32" i="6304"/>
  <c r="H31" i="6304"/>
  <c r="H30" i="6304"/>
  <c r="H29" i="6304"/>
  <c r="H28" i="6304"/>
  <c r="H27" i="6304"/>
  <c r="H26" i="6304"/>
  <c r="H25" i="6304"/>
  <c r="B25" i="6304"/>
  <c r="H24" i="6304"/>
  <c r="B24" i="6304"/>
  <c r="H23" i="6304"/>
  <c r="C23" i="6304"/>
  <c r="H22" i="6304"/>
  <c r="C22" i="6304"/>
  <c r="H21" i="6304"/>
  <c r="C21" i="6304"/>
  <c r="H20" i="6304"/>
  <c r="C20" i="6304"/>
  <c r="H19" i="6304"/>
  <c r="C19" i="6304"/>
  <c r="H18" i="6304"/>
  <c r="H17" i="6304"/>
  <c r="O22" i="6302" l="1"/>
  <c r="O19" i="6302"/>
  <c r="O20" i="6295"/>
  <c r="O18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21" i="6298" l="1"/>
  <c r="O19" i="6287"/>
  <c r="O20" i="6302"/>
  <c r="O18" i="6302"/>
  <c r="O21" i="6302"/>
  <c r="C32" i="6302"/>
  <c r="B27" i="6302"/>
  <c r="C18" i="6302"/>
  <c r="B17" i="6302"/>
  <c r="C17" i="6302" s="1"/>
  <c r="H16" i="6302"/>
  <c r="B16" i="6302"/>
  <c r="O15" i="6302"/>
  <c r="H15" i="6302"/>
  <c r="C15" i="6302"/>
  <c r="B15" i="6302"/>
  <c r="O14" i="6302"/>
  <c r="H14" i="6302"/>
  <c r="C14" i="6302"/>
  <c r="O13" i="6302"/>
  <c r="H13" i="6302"/>
  <c r="C13" i="6302"/>
  <c r="O12" i="6302"/>
  <c r="H12" i="6302"/>
  <c r="C12" i="6302"/>
  <c r="H11" i="6302"/>
  <c r="B11" i="6302"/>
  <c r="C11" i="6302" s="1"/>
  <c r="H2" i="6302"/>
  <c r="C10" i="6302"/>
  <c r="O9" i="6302"/>
  <c r="H10" i="6302"/>
  <c r="C9" i="6302"/>
  <c r="O8" i="6302"/>
  <c r="H9" i="6302"/>
  <c r="C8" i="6302"/>
  <c r="O7" i="6302"/>
  <c r="H8" i="6302"/>
  <c r="C7" i="6302"/>
  <c r="O6" i="6302"/>
  <c r="H4" i="6302"/>
  <c r="B6" i="6302"/>
  <c r="O5" i="6302"/>
  <c r="H7" i="6302"/>
  <c r="B5" i="6302"/>
  <c r="O4" i="6302"/>
  <c r="H3" i="6302"/>
  <c r="O3" i="6302"/>
  <c r="H6" i="6302"/>
  <c r="O2" i="6302"/>
  <c r="H5" i="6302"/>
  <c r="O19" i="6299"/>
  <c r="O27" i="6272"/>
  <c r="B26" i="6302" l="1"/>
  <c r="C16" i="6302"/>
  <c r="C47" i="6302"/>
  <c r="C46" i="6302"/>
  <c r="C45" i="6302"/>
  <c r="C44" i="6302"/>
  <c r="C43" i="6302"/>
  <c r="H42" i="6302"/>
  <c r="C42" i="6302"/>
  <c r="H41" i="6302"/>
  <c r="C41" i="6302"/>
  <c r="H40" i="6302"/>
  <c r="C40" i="6302"/>
  <c r="H39" i="6302"/>
  <c r="C39" i="6302"/>
  <c r="H38" i="6302"/>
  <c r="C38" i="6302"/>
  <c r="H37" i="6302"/>
  <c r="C37" i="6302"/>
  <c r="H36" i="6302"/>
  <c r="C36" i="6302"/>
  <c r="H35" i="6302"/>
  <c r="C35" i="6302"/>
  <c r="H34" i="6302"/>
  <c r="H33" i="6302"/>
  <c r="H32" i="6302"/>
  <c r="H31" i="6302"/>
  <c r="H30" i="6302"/>
  <c r="H29" i="6302"/>
  <c r="H28" i="6302"/>
  <c r="H27" i="6302"/>
  <c r="H26" i="6302"/>
  <c r="H25" i="6302"/>
  <c r="B25" i="6302"/>
  <c r="H24" i="6302"/>
  <c r="B24" i="6302"/>
  <c r="H23" i="6302"/>
  <c r="C23" i="6302"/>
  <c r="H22" i="6302"/>
  <c r="C22" i="6302"/>
  <c r="H21" i="6302"/>
  <c r="C21" i="6302"/>
  <c r="H20" i="6302"/>
  <c r="C20" i="6302"/>
  <c r="H19" i="6302"/>
  <c r="C19" i="6302"/>
  <c r="H18" i="6302"/>
  <c r="H17" i="6302"/>
  <c r="O18" i="6287" l="1"/>
  <c r="O23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3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1" i="6295" l="1"/>
  <c r="O24" i="6295"/>
  <c r="O30" i="6295"/>
  <c r="O24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2" i="6287"/>
  <c r="O24" i="6287"/>
  <c r="O21" i="6299"/>
  <c r="O23" i="6299"/>
  <c r="O24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7" i="6299"/>
  <c r="C9" i="6299"/>
  <c r="O8" i="6299"/>
  <c r="H11" i="6299"/>
  <c r="C8" i="6299"/>
  <c r="O7" i="6299"/>
  <c r="H4" i="6299"/>
  <c r="C7" i="6299"/>
  <c r="O6" i="6299"/>
  <c r="H10" i="6299"/>
  <c r="B6" i="6299"/>
  <c r="O5" i="6299"/>
  <c r="H6" i="6299"/>
  <c r="B5" i="6299"/>
  <c r="O4" i="6299"/>
  <c r="H3" i="6299"/>
  <c r="O3" i="6299"/>
  <c r="H8" i="6299"/>
  <c r="O2" i="6299"/>
  <c r="H2" i="6299"/>
  <c r="O29" i="6272"/>
  <c r="O18" i="6298"/>
  <c r="O22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6" i="6298"/>
  <c r="B5" i="6298"/>
  <c r="O4" i="6298"/>
  <c r="H2" i="6298"/>
  <c r="O3" i="6298"/>
  <c r="H11" i="6298"/>
  <c r="O2" i="6298"/>
  <c r="H3" i="6298"/>
  <c r="O35" i="6272"/>
  <c r="B26" i="6299" l="1"/>
  <c r="C16" i="6299"/>
  <c r="B26" i="6298"/>
  <c r="C16" i="6298"/>
  <c r="C47" i="6299"/>
  <c r="C46" i="6299"/>
  <c r="C45" i="6299"/>
  <c r="C44" i="6299"/>
  <c r="C43" i="6299"/>
  <c r="H5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2" i="6295"/>
  <c r="O25" i="6277"/>
  <c r="O20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5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27" i="6277"/>
  <c r="O21" i="6277"/>
  <c r="O32" i="6272"/>
  <c r="O30" i="6272"/>
  <c r="B25" i="6294" l="1"/>
  <c r="C37" i="6294"/>
  <c r="H31" i="6294"/>
  <c r="H11" i="6295"/>
  <c r="H8" i="6295"/>
  <c r="H16" i="6295"/>
  <c r="C21" i="6295"/>
  <c r="C35" i="6295"/>
  <c r="C41" i="6295"/>
  <c r="C47" i="6295"/>
  <c r="H12" i="6295"/>
  <c r="C23" i="6295"/>
  <c r="H13" i="6295"/>
  <c r="C36" i="6295"/>
  <c r="C42" i="6295"/>
  <c r="C19" i="6295"/>
  <c r="B24" i="6295"/>
  <c r="C37" i="6295"/>
  <c r="C43" i="6295"/>
  <c r="H7" i="6295"/>
  <c r="H6" i="6295"/>
  <c r="H15" i="6295"/>
  <c r="H10" i="6295"/>
  <c r="H5" i="6295"/>
  <c r="H9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4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9" i="6287"/>
  <c r="O21" i="6275"/>
  <c r="O31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6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0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6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3" i="6272"/>
  <c r="O44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1" i="6272"/>
  <c r="O46" i="6272"/>
  <c r="O3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3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3" i="6272"/>
  <c r="H9" i="6272"/>
  <c r="H4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4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<sst xmlns="http://schemas.openxmlformats.org/spreadsheetml/2006/main" count="6485" uniqueCount="246">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</sst>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全体!$K$2:$K$247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全体!$L$2:$L$247</c:f>
              <c:numCache>
                <c:formatCode>\+0.0;\-0.0;\±0</c:formatCode>
                <c:ptCount val="2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-48.979591836734691</c:v>
                </c:pt>
                <c:pt idx="1">
                  <c:v>-8.1632653061224492</c:v>
                </c:pt>
                <c:pt idx="2">
                  <c:v>8.9795918367346932</c:v>
                </c:pt>
                <c:pt idx="3">
                  <c:v>0</c:v>
                </c:pt>
                <c:pt idx="4">
                  <c:v>19.23076923076923</c:v>
                </c:pt>
                <c:pt idx="5">
                  <c:v>-71.428571428571431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39</c:v>
                </c:pt>
                <c:pt idx="1">
                  <c:v>77</c:v>
                </c:pt>
                <c:pt idx="2">
                  <c:v>85</c:v>
                </c:pt>
                <c:pt idx="3">
                  <c:v>78</c:v>
                </c:pt>
                <c:pt idx="4">
                  <c:v>40</c:v>
                </c:pt>
                <c:pt idx="5">
                  <c:v>45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柳澤颯吾!$L$2:$L$32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916.66666666666663</c:v>
                </c:pt>
                <c:pt idx="1">
                  <c:v>470</c:v>
                </c:pt>
                <c:pt idx="2">
                  <c:v>450</c:v>
                </c:pt>
                <c:pt idx="3">
                  <c:v>715.38461538461536</c:v>
                </c:pt>
                <c:pt idx="4">
                  <c:v>-1637.5</c:v>
                </c:pt>
                <c:pt idx="5">
                  <c:v>-1333.3333333333333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15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関谷洸佑!$L$2:$L$21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726.31578947368416</c:v>
                </c:pt>
                <c:pt idx="1">
                  <c:v>1010.5263157894736</c:v>
                </c:pt>
                <c:pt idx="2">
                  <c:v>-4073.6842105263158</c:v>
                </c:pt>
                <c:pt idx="3">
                  <c:v>-762.5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伊藤仁城!$L$2:$L$10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1437.5</c:v>
                </c:pt>
                <c:pt idx="1">
                  <c:v>-3087.5</c:v>
                </c:pt>
                <c:pt idx="2">
                  <c:v>-3275</c:v>
                </c:pt>
                <c:pt idx="3">
                  <c:v>-1037.5</c:v>
                </c:pt>
                <c:pt idx="4">
                  <c:v>-1750</c:v>
                </c:pt>
                <c:pt idx="5">
                  <c:v>-2766.6666666666665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西沢武留!$L$2:$L$10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-3725</c:v>
                </c:pt>
                <c:pt idx="1">
                  <c:v>50</c:v>
                </c:pt>
                <c:pt idx="2">
                  <c:v>3550</c:v>
                </c:pt>
                <c:pt idx="3">
                  <c:v>925</c:v>
                </c:pt>
                <c:pt idx="4">
                  <c:v>1500</c:v>
                </c:pt>
                <c:pt idx="5">
                  <c:v>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中村季暉!$L$2:$L$6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-3050</c:v>
                </c:pt>
                <c:pt idx="1">
                  <c:v>-6125</c:v>
                </c:pt>
                <c:pt idx="2">
                  <c:v>325</c:v>
                </c:pt>
                <c:pt idx="3">
                  <c:v>-1575</c:v>
                </c:pt>
                <c:pt idx="4">
                  <c:v>-3000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塩入悠!$L$2:$L$4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-6000</c:v>
                </c:pt>
                <c:pt idx="2">
                  <c:v>-10200</c:v>
                </c:pt>
                <c:pt idx="3">
                  <c:v>-3750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D4DDE3-C333-49BE-9D5E-60DEE4AC9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43E21B-5BF8-4D2B-A635-FDDEEDA78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B5FA7F-118E-4D9A-A999-D25B33C49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19</v>
      </c>
    </row>
    <row r="25" spans="1:2">
      <c r="A25" t="s">
        <v>223</v>
      </c>
      <c r="B25">
        <v>4</v>
      </c>
    </row>
    <row r="26" spans="1:2">
      <c r="A26" t="s">
        <v>228</v>
      </c>
      <c r="B26">
        <v>8</v>
      </c>
    </row>
    <row r="27" spans="1:2">
      <c r="A27" t="s">
        <v>227</v>
      </c>
      <c r="B27">
        <v>8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4</v>
      </c>
    </row>
    <row r="31" spans="1:2">
      <c r="A31" t="s">
        <v>241</v>
      </c>
      <c r="B31">
        <v>4</v>
      </c>
    </row>
    <row r="32" spans="1:2">
      <c r="A32" t="s">
        <v>244</v>
      </c>
      <c r="B32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4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0.67033477754444637</v>
      </c>
      <c r="C2" s="113"/>
      <c r="D2" s="110"/>
      <c r="E2" s="111"/>
      <c r="F2" s="110"/>
      <c r="G2" s="111"/>
      <c r="H2" s="112">
        <v>0.81946784178352505</v>
      </c>
      <c r="I2" s="113"/>
      <c r="J2" s="112">
        <v>0.71794166508368895</v>
      </c>
      <c r="K2" s="113"/>
      <c r="L2" s="112">
        <v>0.51411177964128918</v>
      </c>
      <c r="M2" s="113"/>
      <c r="N2" s="112">
        <v>0.53867672762126451</v>
      </c>
      <c r="O2" s="113"/>
      <c r="P2" s="112">
        <v>0.4260908371007881</v>
      </c>
      <c r="Q2" s="113"/>
      <c r="R2" s="112">
        <v>0.31969775179697457</v>
      </c>
      <c r="S2" s="113"/>
      <c r="T2" s="112">
        <v>0.21728351299354104</v>
      </c>
      <c r="U2" s="113"/>
      <c r="V2" s="112">
        <v>0.51245452524505697</v>
      </c>
      <c r="W2" s="113"/>
      <c r="X2" s="112">
        <v>-0.13659258933404783</v>
      </c>
      <c r="Y2" s="113"/>
      <c r="Z2" s="112">
        <v>0.10025151214267156</v>
      </c>
      <c r="AA2" s="113"/>
      <c r="AB2" s="112">
        <v>0.56009382796364582</v>
      </c>
      <c r="AC2" s="113"/>
      <c r="AD2" s="112">
        <v>-0.171202462973394</v>
      </c>
      <c r="AE2" s="113"/>
      <c r="AF2" s="112">
        <v>-0.42409381390712353</v>
      </c>
      <c r="AG2" s="113"/>
      <c r="AH2" s="112">
        <v>0.84528183467465778</v>
      </c>
      <c r="AI2" s="113"/>
    </row>
    <row r="3" spans="1:35">
      <c r="A3" s="36">
        <v>1</v>
      </c>
      <c r="B3" s="37" t="s">
        <v>114</v>
      </c>
      <c r="C3" s="106">
        <v>61.25</v>
      </c>
      <c r="D3" s="37" t="s">
        <v>169</v>
      </c>
      <c r="E3" s="38">
        <v>613.90000000000009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0.35294117647058826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34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30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175</v>
      </c>
      <c r="U5" s="51">
        <v>8400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19</v>
      </c>
      <c r="D6" s="45" t="s">
        <v>205</v>
      </c>
      <c r="E6" s="46">
        <v>141.1</v>
      </c>
      <c r="F6" s="47" t="s">
        <v>169</v>
      </c>
      <c r="G6" s="59">
        <v>18.055882352941179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241</v>
      </c>
      <c r="O6" s="49">
        <v>0.75</v>
      </c>
      <c r="P6" s="47" t="s">
        <v>227</v>
      </c>
      <c r="Q6" s="50">
        <v>0.29411764705882354</v>
      </c>
      <c r="R6" s="47" t="s">
        <v>169</v>
      </c>
      <c r="S6" s="50">
        <v>8.8803088803088806E-2</v>
      </c>
      <c r="T6" s="47" t="s">
        <v>205</v>
      </c>
      <c r="U6" s="51">
        <v>8333.3333333333339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228</v>
      </c>
      <c r="AC6" s="50">
        <v>0.8571428571428571</v>
      </c>
      <c r="AD6" s="47" t="s">
        <v>196</v>
      </c>
      <c r="AE6" s="50">
        <v>0.5</v>
      </c>
      <c r="AF6" s="47" t="s">
        <v>167</v>
      </c>
      <c r="AG6" s="50">
        <v>0.5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2.0882352941176472</v>
      </c>
      <c r="J7" s="47" t="s">
        <v>168</v>
      </c>
      <c r="K7" s="49">
        <v>0.3888888888888889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8240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180</v>
      </c>
      <c r="AA7" s="50">
        <v>0.2857142857142857</v>
      </c>
      <c r="AB7" s="47" t="s">
        <v>162</v>
      </c>
      <c r="AC7" s="50">
        <v>0.75</v>
      </c>
      <c r="AD7" s="47" t="s">
        <v>241</v>
      </c>
      <c r="AE7" s="50">
        <v>0.5</v>
      </c>
      <c r="AF7" s="47" t="s">
        <v>203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191</v>
      </c>
      <c r="E8" s="46">
        <v>79.299999999999983</v>
      </c>
      <c r="F8" s="47" t="s">
        <v>168</v>
      </c>
      <c r="G8" s="59">
        <v>8.5777777777777757</v>
      </c>
      <c r="H8" s="47" t="s">
        <v>191</v>
      </c>
      <c r="I8" s="48">
        <v>2.1428571428571428</v>
      </c>
      <c r="J8" s="47" t="s">
        <v>169</v>
      </c>
      <c r="K8" s="49">
        <v>0.38235294117647056</v>
      </c>
      <c r="L8" s="47" t="s">
        <v>231</v>
      </c>
      <c r="M8" s="49">
        <v>0</v>
      </c>
      <c r="N8" s="47" t="s">
        <v>162</v>
      </c>
      <c r="O8" s="49">
        <v>0.66666666666666663</v>
      </c>
      <c r="P8" s="47" t="s">
        <v>162</v>
      </c>
      <c r="Q8" s="50">
        <v>0.26923076923076922</v>
      </c>
      <c r="R8" s="47" t="s">
        <v>177</v>
      </c>
      <c r="S8" s="50">
        <v>0.10526315789473684</v>
      </c>
      <c r="T8" s="47" t="s">
        <v>169</v>
      </c>
      <c r="U8" s="51">
        <v>8026.666666666667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195</v>
      </c>
      <c r="AA8" s="50">
        <v>0.2608695652173913</v>
      </c>
      <c r="AB8" s="47" t="s">
        <v>166</v>
      </c>
      <c r="AC8" s="50">
        <v>0.75</v>
      </c>
      <c r="AD8" s="47" t="s">
        <v>179</v>
      </c>
      <c r="AE8" s="50">
        <v>0.45454545454545453</v>
      </c>
      <c r="AF8" s="47" t="s">
        <v>213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195</v>
      </c>
      <c r="E9" s="46">
        <v>64.999999999999972</v>
      </c>
      <c r="F9" s="47" t="s">
        <v>191</v>
      </c>
      <c r="G9" s="59">
        <v>5.6642857142857128</v>
      </c>
      <c r="H9" s="47" t="s">
        <v>168</v>
      </c>
      <c r="I9" s="48">
        <v>2.3333333333333335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169</v>
      </c>
      <c r="O9" s="49">
        <v>0.6470588235294118</v>
      </c>
      <c r="P9" s="47" t="s">
        <v>195</v>
      </c>
      <c r="Q9" s="50">
        <v>0.25120772946859904</v>
      </c>
      <c r="R9" s="47" t="s">
        <v>179</v>
      </c>
      <c r="S9" s="50">
        <v>0.10687022900763359</v>
      </c>
      <c r="T9" s="47" t="s">
        <v>231</v>
      </c>
      <c r="U9" s="51">
        <v>7975</v>
      </c>
      <c r="V9" s="47" t="s">
        <v>241</v>
      </c>
      <c r="W9" s="51">
        <v>-4533.333333333333</v>
      </c>
      <c r="X9" s="47" t="s">
        <v>162</v>
      </c>
      <c r="Y9" s="50">
        <v>0.25641025641025639</v>
      </c>
      <c r="Z9" s="47" t="s">
        <v>164</v>
      </c>
      <c r="AA9" s="50">
        <v>0.256198347107438</v>
      </c>
      <c r="AB9" s="47" t="s">
        <v>175</v>
      </c>
      <c r="AC9" s="50">
        <v>0.75</v>
      </c>
      <c r="AD9" s="47" t="s">
        <v>216</v>
      </c>
      <c r="AE9" s="50">
        <v>0.41666666666666669</v>
      </c>
      <c r="AF9" s="47" t="s">
        <v>223</v>
      </c>
      <c r="AG9" s="50">
        <v>0.5</v>
      </c>
      <c r="AH9" s="47" t="s">
        <v>205</v>
      </c>
      <c r="AI9" s="54">
        <v>57200</v>
      </c>
    </row>
    <row r="10" spans="1:35">
      <c r="A10" s="44">
        <v>8</v>
      </c>
      <c r="B10" s="45" t="s">
        <v>191</v>
      </c>
      <c r="C10" s="107">
        <v>14</v>
      </c>
      <c r="D10" s="45" t="s">
        <v>164</v>
      </c>
      <c r="E10" s="46">
        <v>22.499999999999993</v>
      </c>
      <c r="F10" s="47" t="s">
        <v>163</v>
      </c>
      <c r="G10" s="59">
        <v>2.5375000000000005</v>
      </c>
      <c r="H10" s="47" t="s">
        <v>179</v>
      </c>
      <c r="I10" s="48">
        <v>2.4375</v>
      </c>
      <c r="J10" s="47" t="s">
        <v>161</v>
      </c>
      <c r="K10" s="49">
        <v>0.3</v>
      </c>
      <c r="L10" s="47" t="s">
        <v>169</v>
      </c>
      <c r="M10" s="49">
        <v>0.11764705882352941</v>
      </c>
      <c r="N10" s="47" t="s">
        <v>227</v>
      </c>
      <c r="O10" s="49">
        <v>0.625</v>
      </c>
      <c r="P10" s="47" t="s">
        <v>179</v>
      </c>
      <c r="Q10" s="50">
        <v>0.24427480916030533</v>
      </c>
      <c r="R10" s="47" t="s">
        <v>205</v>
      </c>
      <c r="S10" s="50">
        <v>0.10714285714285714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195</v>
      </c>
      <c r="Y10" s="50">
        <v>0.2560386473429952</v>
      </c>
      <c r="Z10" s="47" t="s">
        <v>179</v>
      </c>
      <c r="AA10" s="50">
        <v>0.25190839694656486</v>
      </c>
      <c r="AB10" s="47" t="s">
        <v>177</v>
      </c>
      <c r="AC10" s="50">
        <v>0.75</v>
      </c>
      <c r="AD10" s="47" t="s">
        <v>161</v>
      </c>
      <c r="AE10" s="50">
        <v>0.3888888888888889</v>
      </c>
      <c r="AF10" s="47" t="s">
        <v>244</v>
      </c>
      <c r="AG10" s="50">
        <v>0.5</v>
      </c>
      <c r="AH10" s="47" t="s">
        <v>161</v>
      </c>
      <c r="AI10" s="54">
        <v>54900</v>
      </c>
    </row>
    <row r="11" spans="1:35">
      <c r="A11" s="44">
        <v>9</v>
      </c>
      <c r="B11" s="45" t="s">
        <v>161</v>
      </c>
      <c r="C11" s="107">
        <v>10</v>
      </c>
      <c r="D11" s="45" t="s">
        <v>163</v>
      </c>
      <c r="E11" s="46">
        <v>20.300000000000004</v>
      </c>
      <c r="F11" s="47" t="s">
        <v>195</v>
      </c>
      <c r="G11" s="59">
        <v>2.1666666666666656</v>
      </c>
      <c r="H11" s="47" t="s">
        <v>164</v>
      </c>
      <c r="I11" s="48">
        <v>2.4666666666666668</v>
      </c>
      <c r="J11" s="47" t="s">
        <v>195</v>
      </c>
      <c r="K11" s="49">
        <v>0.26666666666666666</v>
      </c>
      <c r="L11" s="47" t="s">
        <v>195</v>
      </c>
      <c r="M11" s="49">
        <v>0.13333333333333333</v>
      </c>
      <c r="N11" s="47" t="s">
        <v>164</v>
      </c>
      <c r="O11" s="49">
        <v>0.6</v>
      </c>
      <c r="P11" s="47" t="s">
        <v>169</v>
      </c>
      <c r="Q11" s="50">
        <v>0.23166023166023167</v>
      </c>
      <c r="R11" s="47" t="s">
        <v>166</v>
      </c>
      <c r="S11" s="50">
        <v>0.11428571428571428</v>
      </c>
      <c r="T11" s="47" t="s">
        <v>228</v>
      </c>
      <c r="U11" s="51">
        <v>7537.5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196</v>
      </c>
      <c r="AA11" s="50">
        <v>0.25</v>
      </c>
      <c r="AB11" s="47" t="s">
        <v>168</v>
      </c>
      <c r="AC11" s="50">
        <v>0.7142857142857143</v>
      </c>
      <c r="AD11" s="47" t="s">
        <v>168</v>
      </c>
      <c r="AE11" s="50">
        <v>0.38297872340425532</v>
      </c>
      <c r="AF11" s="47" t="s">
        <v>161</v>
      </c>
      <c r="AG11" s="50">
        <v>0.4375</v>
      </c>
      <c r="AH11" s="47" t="s">
        <v>179</v>
      </c>
      <c r="AI11" s="54">
        <v>53200</v>
      </c>
    </row>
    <row r="12" spans="1:35">
      <c r="A12" s="44">
        <v>10</v>
      </c>
      <c r="B12" s="45" t="s">
        <v>162</v>
      </c>
      <c r="C12" s="107">
        <v>9</v>
      </c>
      <c r="D12" s="45" t="s">
        <v>167</v>
      </c>
      <c r="E12" s="46">
        <v>14</v>
      </c>
      <c r="F12" s="47" t="s">
        <v>177</v>
      </c>
      <c r="G12" s="59">
        <v>1.9499999999999993</v>
      </c>
      <c r="H12" s="47" t="s">
        <v>195</v>
      </c>
      <c r="I12" s="48">
        <v>2.4666666666666668</v>
      </c>
      <c r="J12" s="47" t="s">
        <v>114</v>
      </c>
      <c r="K12" s="49">
        <v>0.25714285714285712</v>
      </c>
      <c r="L12" s="47" t="s">
        <v>179</v>
      </c>
      <c r="M12" s="49">
        <v>0.1875</v>
      </c>
      <c r="N12" s="47" t="s">
        <v>168</v>
      </c>
      <c r="O12" s="49">
        <v>0.55555555555555558</v>
      </c>
      <c r="P12" s="47" t="s">
        <v>241</v>
      </c>
      <c r="Q12" s="50">
        <v>0.23076923076923078</v>
      </c>
      <c r="R12" s="47" t="s">
        <v>241</v>
      </c>
      <c r="S12" s="50">
        <v>0.11538461538461539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191</v>
      </c>
      <c r="AA12" s="50">
        <v>0.24347826086956523</v>
      </c>
      <c r="AB12" s="47" t="s">
        <v>227</v>
      </c>
      <c r="AC12" s="50">
        <v>0.66666666666666663</v>
      </c>
      <c r="AD12" s="47" t="s">
        <v>195</v>
      </c>
      <c r="AE12" s="50">
        <v>0.37037037037037035</v>
      </c>
      <c r="AF12" s="47" t="s">
        <v>162</v>
      </c>
      <c r="AG12" s="50">
        <v>0.42857142857142855</v>
      </c>
      <c r="AH12" s="47" t="s">
        <v>191</v>
      </c>
      <c r="AI12" s="54">
        <v>52500</v>
      </c>
    </row>
    <row r="13" spans="1:35">
      <c r="A13" s="44">
        <v>11</v>
      </c>
      <c r="B13" s="45" t="s">
        <v>213</v>
      </c>
      <c r="C13" s="107">
        <v>9</v>
      </c>
      <c r="D13" s="45" t="s">
        <v>177</v>
      </c>
      <c r="E13" s="46">
        <v>3.8999999999999986</v>
      </c>
      <c r="F13" s="47" t="s">
        <v>164</v>
      </c>
      <c r="G13" s="59">
        <v>1.4999999999999996</v>
      </c>
      <c r="H13" s="47" t="s">
        <v>114</v>
      </c>
      <c r="I13" s="48">
        <v>2.4857142857142858</v>
      </c>
      <c r="J13" s="47" t="s">
        <v>179</v>
      </c>
      <c r="K13" s="49">
        <v>0.25</v>
      </c>
      <c r="L13" s="47" t="s">
        <v>162</v>
      </c>
      <c r="M13" s="49">
        <v>0.22222222222222221</v>
      </c>
      <c r="N13" s="47" t="s">
        <v>213</v>
      </c>
      <c r="O13" s="49">
        <v>0.55555555555555558</v>
      </c>
      <c r="P13" s="47" t="s">
        <v>163</v>
      </c>
      <c r="Q13" s="50">
        <v>0.21739130434782608</v>
      </c>
      <c r="R13" s="47" t="s">
        <v>163</v>
      </c>
      <c r="S13" s="50">
        <v>0.11594202898550725</v>
      </c>
      <c r="T13" s="47" t="s">
        <v>213</v>
      </c>
      <c r="U13" s="51">
        <v>7300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161</v>
      </c>
      <c r="AA13" s="50">
        <v>0.23376623376623376</v>
      </c>
      <c r="AB13" s="47" t="s">
        <v>241</v>
      </c>
      <c r="AC13" s="50">
        <v>0.66666666666666663</v>
      </c>
      <c r="AD13" s="47" t="s">
        <v>169</v>
      </c>
      <c r="AE13" s="50">
        <v>0.36170212765957449</v>
      </c>
      <c r="AF13" s="47" t="s">
        <v>195</v>
      </c>
      <c r="AG13" s="50">
        <v>0.42307692307692307</v>
      </c>
      <c r="AH13" s="47" t="s">
        <v>164</v>
      </c>
      <c r="AI13" s="54">
        <v>52000</v>
      </c>
    </row>
    <row r="14" spans="1:35">
      <c r="A14" s="44">
        <v>12</v>
      </c>
      <c r="B14" s="45" t="s">
        <v>163</v>
      </c>
      <c r="C14" s="107">
        <v>8</v>
      </c>
      <c r="D14" s="45" t="s">
        <v>161</v>
      </c>
      <c r="E14" s="46">
        <v>-0.69999999999998863</v>
      </c>
      <c r="F14" s="47" t="s">
        <v>161</v>
      </c>
      <c r="G14" s="59">
        <v>-6.9999999999998869E-2</v>
      </c>
      <c r="H14" s="47" t="s">
        <v>161</v>
      </c>
      <c r="I14" s="48">
        <v>2.5</v>
      </c>
      <c r="J14" s="47" t="s">
        <v>228</v>
      </c>
      <c r="K14" s="49">
        <v>0.25</v>
      </c>
      <c r="L14" s="47" t="s">
        <v>213</v>
      </c>
      <c r="M14" s="49">
        <v>0.22222222222222221</v>
      </c>
      <c r="N14" s="47" t="s">
        <v>114</v>
      </c>
      <c r="O14" s="49">
        <v>0.50204081632653064</v>
      </c>
      <c r="P14" s="47" t="s">
        <v>177</v>
      </c>
      <c r="Q14" s="50">
        <v>0.21052631578947367</v>
      </c>
      <c r="R14" s="47" t="s">
        <v>195</v>
      </c>
      <c r="S14" s="50">
        <v>0.12077294685990338</v>
      </c>
      <c r="T14" s="47" t="s">
        <v>223</v>
      </c>
      <c r="U14" s="51">
        <v>7200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241</v>
      </c>
      <c r="AA14" s="50">
        <v>0.23076923076923078</v>
      </c>
      <c r="AB14" s="47" t="s">
        <v>169</v>
      </c>
      <c r="AC14" s="50">
        <v>0.65909090909090906</v>
      </c>
      <c r="AD14" s="47" t="s">
        <v>191</v>
      </c>
      <c r="AE14" s="50">
        <v>0.35714285714285715</v>
      </c>
      <c r="AF14" s="47" t="s">
        <v>205</v>
      </c>
      <c r="AG14" s="50">
        <v>0.41666666666666669</v>
      </c>
      <c r="AH14" s="47" t="s">
        <v>216</v>
      </c>
      <c r="AI14" s="54">
        <v>46700</v>
      </c>
    </row>
    <row r="15" spans="1:35">
      <c r="A15" s="44">
        <v>13</v>
      </c>
      <c r="B15" s="45" t="s">
        <v>228</v>
      </c>
      <c r="C15" s="107">
        <v>8</v>
      </c>
      <c r="D15" s="45" t="s">
        <v>175</v>
      </c>
      <c r="E15" s="46">
        <v>-2.2000000000000011</v>
      </c>
      <c r="F15" s="47" t="s">
        <v>114</v>
      </c>
      <c r="G15" s="59">
        <v>-0.12244897959183687</v>
      </c>
      <c r="H15" s="47" t="s">
        <v>163</v>
      </c>
      <c r="I15" s="48">
        <v>2.5</v>
      </c>
      <c r="J15" s="47" t="s">
        <v>191</v>
      </c>
      <c r="K15" s="49">
        <v>0.21428571428571427</v>
      </c>
      <c r="L15" s="47" t="s">
        <v>114</v>
      </c>
      <c r="M15" s="49">
        <v>0.24489795918367346</v>
      </c>
      <c r="N15" s="47" t="s">
        <v>161</v>
      </c>
      <c r="O15" s="49">
        <v>0.5</v>
      </c>
      <c r="P15" s="47" t="s">
        <v>114</v>
      </c>
      <c r="Q15" s="50">
        <v>0.20858558062740781</v>
      </c>
      <c r="R15" s="47" t="s">
        <v>213</v>
      </c>
      <c r="S15" s="50">
        <v>0.12244897959183673</v>
      </c>
      <c r="T15" s="47" t="s">
        <v>161</v>
      </c>
      <c r="U15" s="51">
        <v>7025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244</v>
      </c>
      <c r="AA15" s="50">
        <v>0.23076923076923078</v>
      </c>
      <c r="AB15" s="47" t="s">
        <v>161</v>
      </c>
      <c r="AC15" s="50">
        <v>0.53846153846153844</v>
      </c>
      <c r="AD15" s="47" t="s">
        <v>114</v>
      </c>
      <c r="AE15" s="50">
        <v>0.35278514588859416</v>
      </c>
      <c r="AF15" s="47" t="s">
        <v>216</v>
      </c>
      <c r="AG15" s="50">
        <v>0.4</v>
      </c>
      <c r="AH15" s="47" t="s">
        <v>177</v>
      </c>
      <c r="AI15" s="54">
        <v>42500</v>
      </c>
    </row>
    <row r="16" spans="1:35">
      <c r="A16" s="44">
        <v>14</v>
      </c>
      <c r="B16" s="45" t="s">
        <v>227</v>
      </c>
      <c r="C16" s="107">
        <v>8</v>
      </c>
      <c r="D16" s="45" t="s">
        <v>241</v>
      </c>
      <c r="E16" s="46">
        <v>-9.3000000000000025</v>
      </c>
      <c r="F16" s="47" t="s">
        <v>175</v>
      </c>
      <c r="G16" s="59">
        <v>-1.1000000000000005</v>
      </c>
      <c r="H16" s="47" t="s">
        <v>175</v>
      </c>
      <c r="I16" s="48">
        <v>2.5</v>
      </c>
      <c r="J16" s="47" t="s">
        <v>216</v>
      </c>
      <c r="K16" s="49">
        <v>0.21052631578947367</v>
      </c>
      <c r="L16" s="47" t="s">
        <v>223</v>
      </c>
      <c r="M16" s="49">
        <v>0.25</v>
      </c>
      <c r="N16" s="47" t="s">
        <v>179</v>
      </c>
      <c r="O16" s="49">
        <v>0.5</v>
      </c>
      <c r="P16" s="47" t="s">
        <v>161</v>
      </c>
      <c r="Q16" s="50">
        <v>0.20779220779220781</v>
      </c>
      <c r="R16" s="47" t="s">
        <v>162</v>
      </c>
      <c r="S16" s="50">
        <v>0.12820512820512819</v>
      </c>
      <c r="T16" s="47" t="s">
        <v>227</v>
      </c>
      <c r="U16" s="51">
        <v>7020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238</v>
      </c>
      <c r="AA16" s="50">
        <v>0.22222222222222221</v>
      </c>
      <c r="AB16" s="47" t="s">
        <v>114</v>
      </c>
      <c r="AC16" s="50">
        <v>0.53276353276353272</v>
      </c>
      <c r="AD16" s="47" t="s">
        <v>177</v>
      </c>
      <c r="AE16" s="50">
        <v>0.33333333333333331</v>
      </c>
      <c r="AF16" s="47" t="s">
        <v>168</v>
      </c>
      <c r="AG16" s="50">
        <v>0.39534883720930231</v>
      </c>
      <c r="AH16" s="47" t="s">
        <v>228</v>
      </c>
      <c r="AI16" s="54">
        <v>42500</v>
      </c>
    </row>
    <row r="17" spans="1:35">
      <c r="A17" s="44">
        <v>15</v>
      </c>
      <c r="B17" s="45" t="s">
        <v>203</v>
      </c>
      <c r="C17" s="107">
        <v>5</v>
      </c>
      <c r="D17" s="45" t="s">
        <v>227</v>
      </c>
      <c r="E17" s="46">
        <v>-10.000000000000021</v>
      </c>
      <c r="F17" s="47" t="s">
        <v>227</v>
      </c>
      <c r="G17" s="59">
        <v>-1.2500000000000027</v>
      </c>
      <c r="H17" s="47" t="s">
        <v>177</v>
      </c>
      <c r="I17" s="48">
        <v>2.5</v>
      </c>
      <c r="J17" s="47" t="s">
        <v>164</v>
      </c>
      <c r="K17" s="49">
        <v>0.2</v>
      </c>
      <c r="L17" s="47" t="s">
        <v>227</v>
      </c>
      <c r="M17" s="49">
        <v>0.25</v>
      </c>
      <c r="N17" s="47" t="s">
        <v>163</v>
      </c>
      <c r="O17" s="49">
        <v>0.5</v>
      </c>
      <c r="P17" s="47" t="s">
        <v>166</v>
      </c>
      <c r="Q17" s="50">
        <v>0.2</v>
      </c>
      <c r="R17" s="47" t="s">
        <v>191</v>
      </c>
      <c r="S17" s="50">
        <v>0.13043478260869565</v>
      </c>
      <c r="T17" s="47" t="s">
        <v>114</v>
      </c>
      <c r="U17" s="51">
        <v>6735.3562005277045</v>
      </c>
      <c r="V17" s="47" t="s">
        <v>177</v>
      </c>
      <c r="W17" s="51">
        <v>-5950</v>
      </c>
      <c r="X17" s="47" t="s">
        <v>168</v>
      </c>
      <c r="Y17" s="50">
        <v>0.19718309859154928</v>
      </c>
      <c r="Z17" s="47" t="s">
        <v>205</v>
      </c>
      <c r="AA17" s="50">
        <v>0.21428571428571427</v>
      </c>
      <c r="AB17" s="47" t="s">
        <v>195</v>
      </c>
      <c r="AC17" s="50">
        <v>0.50943396226415094</v>
      </c>
      <c r="AD17" s="47" t="s">
        <v>205</v>
      </c>
      <c r="AE17" s="50">
        <v>0.33333333333333331</v>
      </c>
      <c r="AF17" s="47" t="s">
        <v>179</v>
      </c>
      <c r="AG17" s="50">
        <v>0.375</v>
      </c>
      <c r="AH17" s="47" t="s">
        <v>163</v>
      </c>
      <c r="AI17" s="54">
        <v>41700</v>
      </c>
    </row>
    <row r="18" spans="1:35">
      <c r="A18" s="44">
        <v>16</v>
      </c>
      <c r="B18" s="45" t="s">
        <v>166</v>
      </c>
      <c r="C18" s="107">
        <v>4</v>
      </c>
      <c r="D18" s="45" t="s">
        <v>215</v>
      </c>
      <c r="E18" s="46">
        <v>-14.4</v>
      </c>
      <c r="F18" s="47" t="s">
        <v>179</v>
      </c>
      <c r="G18" s="59">
        <v>-2.1625000000000001</v>
      </c>
      <c r="H18" s="47" t="s">
        <v>227</v>
      </c>
      <c r="I18" s="48">
        <v>2.5</v>
      </c>
      <c r="J18" s="47" t="s">
        <v>227</v>
      </c>
      <c r="K18" s="49">
        <v>0.125</v>
      </c>
      <c r="L18" s="47" t="s">
        <v>238</v>
      </c>
      <c r="M18" s="49">
        <v>0.25</v>
      </c>
      <c r="N18" s="47" t="s">
        <v>175</v>
      </c>
      <c r="O18" s="49">
        <v>0.5</v>
      </c>
      <c r="P18" s="47" t="s">
        <v>175</v>
      </c>
      <c r="Q18" s="50">
        <v>0.2</v>
      </c>
      <c r="R18" s="47" t="s">
        <v>175</v>
      </c>
      <c r="S18" s="50">
        <v>0.13333333333333333</v>
      </c>
      <c r="T18" s="47" t="s">
        <v>191</v>
      </c>
      <c r="U18" s="51">
        <v>6733.333333333333</v>
      </c>
      <c r="V18" s="47" t="s">
        <v>213</v>
      </c>
      <c r="W18" s="51">
        <v>-5966.666666666667</v>
      </c>
      <c r="X18" s="47" t="s">
        <v>114</v>
      </c>
      <c r="Y18" s="50">
        <v>0.19317556411667583</v>
      </c>
      <c r="Z18" s="47" t="s">
        <v>114</v>
      </c>
      <c r="AA18" s="50">
        <v>0.20748486516235554</v>
      </c>
      <c r="AB18" s="47" t="s">
        <v>163</v>
      </c>
      <c r="AC18" s="50">
        <v>0.5</v>
      </c>
      <c r="AD18" s="47" t="s">
        <v>238</v>
      </c>
      <c r="AE18" s="50">
        <v>0.33333333333333331</v>
      </c>
      <c r="AF18" s="47" t="s">
        <v>114</v>
      </c>
      <c r="AG18" s="50">
        <v>0.35092348284960423</v>
      </c>
      <c r="AH18" s="47" t="s">
        <v>231</v>
      </c>
      <c r="AI18" s="54">
        <v>41300</v>
      </c>
    </row>
    <row r="19" spans="1:35">
      <c r="A19" s="44">
        <v>17</v>
      </c>
      <c r="B19" s="45" t="s">
        <v>205</v>
      </c>
      <c r="C19" s="107">
        <v>4</v>
      </c>
      <c r="D19" s="45" t="s">
        <v>196</v>
      </c>
      <c r="E19" s="46">
        <v>-27.1</v>
      </c>
      <c r="F19" s="47" t="s">
        <v>241</v>
      </c>
      <c r="G19" s="59">
        <v>-2.3250000000000006</v>
      </c>
      <c r="H19" s="47" t="s">
        <v>241</v>
      </c>
      <c r="I19" s="48">
        <v>2.5</v>
      </c>
      <c r="J19" s="47" t="s">
        <v>166</v>
      </c>
      <c r="K19" s="49">
        <v>0</v>
      </c>
      <c r="L19" s="47" t="s">
        <v>241</v>
      </c>
      <c r="M19" s="49">
        <v>0.25</v>
      </c>
      <c r="N19" s="47" t="s">
        <v>177</v>
      </c>
      <c r="O19" s="49">
        <v>0.5</v>
      </c>
      <c r="P19" s="47" t="s">
        <v>191</v>
      </c>
      <c r="Q19" s="50">
        <v>0.18260869565217391</v>
      </c>
      <c r="R19" s="47" t="s">
        <v>199</v>
      </c>
      <c r="S19" s="50">
        <v>0.13333333333333333</v>
      </c>
      <c r="T19" s="47" t="s">
        <v>195</v>
      </c>
      <c r="U19" s="51">
        <v>6442.3076923076924</v>
      </c>
      <c r="V19" s="47" t="s">
        <v>208</v>
      </c>
      <c r="W19" s="51">
        <v>-6340</v>
      </c>
      <c r="X19" s="47" t="s">
        <v>179</v>
      </c>
      <c r="Y19" s="50">
        <v>0.19083969465648856</v>
      </c>
      <c r="Z19" s="47" t="s">
        <v>235</v>
      </c>
      <c r="AA19" s="50">
        <v>0.2</v>
      </c>
      <c r="AB19" s="47" t="s">
        <v>167</v>
      </c>
      <c r="AC19" s="50">
        <v>0.5</v>
      </c>
      <c r="AD19" s="47" t="s">
        <v>244</v>
      </c>
      <c r="AE19" s="50">
        <v>0.33333333333333331</v>
      </c>
      <c r="AF19" s="47" t="s">
        <v>175</v>
      </c>
      <c r="AG19" s="50">
        <v>0.33333333333333331</v>
      </c>
      <c r="AH19" s="47" t="s">
        <v>213</v>
      </c>
      <c r="AI19" s="54">
        <v>34800</v>
      </c>
    </row>
    <row r="20" spans="1:35">
      <c r="A20" s="44">
        <v>18</v>
      </c>
      <c r="B20" s="45" t="s">
        <v>223</v>
      </c>
      <c r="C20" s="107">
        <v>4</v>
      </c>
      <c r="D20" s="45" t="s">
        <v>114</v>
      </c>
      <c r="E20" s="46">
        <v>-30.000000000000032</v>
      </c>
      <c r="F20" s="47" t="s">
        <v>216</v>
      </c>
      <c r="G20" s="59">
        <v>-9.568421052631578</v>
      </c>
      <c r="H20" s="47" t="s">
        <v>213</v>
      </c>
      <c r="I20" s="48">
        <v>2.6666666666666665</v>
      </c>
      <c r="J20" s="47" t="s">
        <v>167</v>
      </c>
      <c r="K20" s="49">
        <v>0</v>
      </c>
      <c r="L20" s="47" t="s">
        <v>164</v>
      </c>
      <c r="M20" s="49">
        <v>0.26666666666666666</v>
      </c>
      <c r="N20" s="47" t="s">
        <v>223</v>
      </c>
      <c r="O20" s="49">
        <v>0.5</v>
      </c>
      <c r="P20" s="47" t="s">
        <v>215</v>
      </c>
      <c r="Q20" s="50">
        <v>0.16666666666666666</v>
      </c>
      <c r="R20" s="47" t="s">
        <v>114</v>
      </c>
      <c r="S20" s="50">
        <v>0.13538800220143093</v>
      </c>
      <c r="T20" s="47" t="s">
        <v>203</v>
      </c>
      <c r="U20" s="51">
        <v>6275</v>
      </c>
      <c r="V20" s="47" t="s">
        <v>114</v>
      </c>
      <c r="W20" s="51">
        <v>-6362.6016260162605</v>
      </c>
      <c r="X20" s="47" t="s">
        <v>216</v>
      </c>
      <c r="Y20" s="50">
        <v>0.18032786885245902</v>
      </c>
      <c r="Z20" s="47" t="s">
        <v>169</v>
      </c>
      <c r="AA20" s="50">
        <v>0.18146718146718147</v>
      </c>
      <c r="AB20" s="47" t="s">
        <v>216</v>
      </c>
      <c r="AC20" s="50">
        <v>0.45454545454545453</v>
      </c>
      <c r="AD20" s="47" t="s">
        <v>163</v>
      </c>
      <c r="AE20" s="50">
        <v>0.31818181818181818</v>
      </c>
      <c r="AF20" s="47" t="s">
        <v>238</v>
      </c>
      <c r="AG20" s="50">
        <v>0.33333333333333331</v>
      </c>
      <c r="AH20" s="47" t="s">
        <v>167</v>
      </c>
      <c r="AI20" s="54">
        <v>34000</v>
      </c>
    </row>
    <row r="21" spans="1:35">
      <c r="A21" s="44">
        <v>19</v>
      </c>
      <c r="B21" s="45" t="s">
        <v>238</v>
      </c>
      <c r="C21" s="107">
        <v>4</v>
      </c>
      <c r="D21" s="45" t="s">
        <v>179</v>
      </c>
      <c r="E21" s="46">
        <v>-34.6</v>
      </c>
      <c r="F21" s="47" t="s">
        <v>213</v>
      </c>
      <c r="G21" s="59">
        <v>-11.033333333333335</v>
      </c>
      <c r="H21" s="47" t="s">
        <v>216</v>
      </c>
      <c r="I21" s="48">
        <v>2.6842105263157894</v>
      </c>
      <c r="J21" s="47" t="s">
        <v>175</v>
      </c>
      <c r="K21" s="49">
        <v>0</v>
      </c>
      <c r="L21" s="47" t="s">
        <v>168</v>
      </c>
      <c r="M21" s="49">
        <v>0.27777777777777779</v>
      </c>
      <c r="N21" s="47" t="s">
        <v>216</v>
      </c>
      <c r="O21" s="49">
        <v>0.42105263157894735</v>
      </c>
      <c r="P21" s="47" t="s">
        <v>164</v>
      </c>
      <c r="Q21" s="50">
        <v>0.16528925619834711</v>
      </c>
      <c r="R21" s="47" t="s">
        <v>216</v>
      </c>
      <c r="S21" s="50">
        <v>0.14754098360655737</v>
      </c>
      <c r="T21" s="47" t="s">
        <v>163</v>
      </c>
      <c r="U21" s="51">
        <v>5993.333333333333</v>
      </c>
      <c r="V21" s="47" t="s">
        <v>227</v>
      </c>
      <c r="W21" s="51">
        <v>-6388.8888888888887</v>
      </c>
      <c r="X21" s="47" t="s">
        <v>169</v>
      </c>
      <c r="Y21" s="50">
        <v>0.16988416988416988</v>
      </c>
      <c r="Z21" s="47" t="s">
        <v>202</v>
      </c>
      <c r="AA21" s="50">
        <v>0.17647058823529413</v>
      </c>
      <c r="AB21" s="47" t="s">
        <v>179</v>
      </c>
      <c r="AC21" s="50">
        <v>0.4</v>
      </c>
      <c r="AD21" s="47" t="s">
        <v>227</v>
      </c>
      <c r="AE21" s="50">
        <v>0.2857142857142857</v>
      </c>
      <c r="AF21" s="47" t="s">
        <v>241</v>
      </c>
      <c r="AG21" s="50">
        <v>0.33333333333333331</v>
      </c>
      <c r="AH21" s="47" t="s">
        <v>241</v>
      </c>
      <c r="AI21" s="54">
        <v>34000</v>
      </c>
    </row>
    <row r="22" spans="1:35">
      <c r="A22" s="44">
        <v>20</v>
      </c>
      <c r="B22" s="45" t="s">
        <v>241</v>
      </c>
      <c r="C22" s="107">
        <v>4</v>
      </c>
      <c r="D22" s="45" t="s">
        <v>180</v>
      </c>
      <c r="E22" s="46">
        <v>-52.6</v>
      </c>
      <c r="F22" s="47" t="s">
        <v>215</v>
      </c>
      <c r="G22" s="59">
        <v>-14.4</v>
      </c>
      <c r="H22" s="47" t="s">
        <v>223</v>
      </c>
      <c r="I22" s="48">
        <v>2.75</v>
      </c>
      <c r="J22" s="47" t="s">
        <v>180</v>
      </c>
      <c r="K22" s="49">
        <v>0</v>
      </c>
      <c r="L22" s="47" t="s">
        <v>161</v>
      </c>
      <c r="M22" s="49">
        <v>0.3</v>
      </c>
      <c r="N22" s="47" t="s">
        <v>195</v>
      </c>
      <c r="O22" s="49">
        <v>0.4</v>
      </c>
      <c r="P22" s="47" t="s">
        <v>244</v>
      </c>
      <c r="Q22" s="50">
        <v>0.15384615384615385</v>
      </c>
      <c r="R22" s="47" t="s">
        <v>238</v>
      </c>
      <c r="S22" s="50">
        <v>0.14814814814814814</v>
      </c>
      <c r="T22" s="47" t="s">
        <v>168</v>
      </c>
      <c r="U22" s="51">
        <v>5988.3720930232557</v>
      </c>
      <c r="V22" s="47" t="s">
        <v>161</v>
      </c>
      <c r="W22" s="51">
        <v>-6514.2857142857147</v>
      </c>
      <c r="X22" s="47" t="s">
        <v>161</v>
      </c>
      <c r="Y22" s="50">
        <v>0.16883116883116883</v>
      </c>
      <c r="Z22" s="47" t="s">
        <v>166</v>
      </c>
      <c r="AA22" s="50">
        <v>0.17142857142857143</v>
      </c>
      <c r="AB22" s="47" t="s">
        <v>213</v>
      </c>
      <c r="AC22" s="50">
        <v>0.4</v>
      </c>
      <c r="AD22" s="47" t="s">
        <v>164</v>
      </c>
      <c r="AE22" s="50">
        <v>0.22580645161290322</v>
      </c>
      <c r="AF22" s="47" t="s">
        <v>177</v>
      </c>
      <c r="AG22" s="50">
        <v>0.25</v>
      </c>
      <c r="AH22" s="47" t="s">
        <v>175</v>
      </c>
      <c r="AI22" s="54">
        <v>33600</v>
      </c>
    </row>
    <row r="23" spans="1:35">
      <c r="A23" s="44">
        <v>21</v>
      </c>
      <c r="B23" s="45" t="s">
        <v>208</v>
      </c>
      <c r="C23" s="107">
        <v>3</v>
      </c>
      <c r="D23" s="45" t="s">
        <v>235</v>
      </c>
      <c r="E23" s="46">
        <v>-70.800000000000011</v>
      </c>
      <c r="F23" s="47" t="s">
        <v>228</v>
      </c>
      <c r="G23" s="59">
        <v>-15.624999999999998</v>
      </c>
      <c r="H23" s="47" t="s">
        <v>228</v>
      </c>
      <c r="I23" s="48">
        <v>2.875</v>
      </c>
      <c r="J23" s="47" t="s">
        <v>199</v>
      </c>
      <c r="K23" s="49">
        <v>0</v>
      </c>
      <c r="L23" s="47" t="s">
        <v>216</v>
      </c>
      <c r="M23" s="49">
        <v>0.31578947368421051</v>
      </c>
      <c r="N23" s="47" t="s">
        <v>228</v>
      </c>
      <c r="O23" s="49">
        <v>0.375</v>
      </c>
      <c r="P23" s="47" t="s">
        <v>228</v>
      </c>
      <c r="Q23" s="50">
        <v>0.15094339622641509</v>
      </c>
      <c r="R23" s="47" t="s">
        <v>215</v>
      </c>
      <c r="S23" s="50">
        <v>0.16666666666666666</v>
      </c>
      <c r="T23" s="47" t="s">
        <v>177</v>
      </c>
      <c r="U23" s="51">
        <v>5900</v>
      </c>
      <c r="V23" s="47" t="s">
        <v>180</v>
      </c>
      <c r="W23" s="51">
        <v>-6600</v>
      </c>
      <c r="X23" s="47" t="s">
        <v>231</v>
      </c>
      <c r="Y23" s="50">
        <v>0.15384615384615385</v>
      </c>
      <c r="Z23" s="47" t="s">
        <v>215</v>
      </c>
      <c r="AA23" s="50">
        <v>0.16666666666666666</v>
      </c>
      <c r="AB23" s="47" t="s">
        <v>191</v>
      </c>
      <c r="AC23" s="50">
        <v>0.33333333333333331</v>
      </c>
      <c r="AD23" s="47" t="s">
        <v>231</v>
      </c>
      <c r="AE23" s="50">
        <v>0.2</v>
      </c>
      <c r="AF23" s="47" t="s">
        <v>228</v>
      </c>
      <c r="AG23" s="50">
        <v>0.25</v>
      </c>
      <c r="AH23" s="47" t="s">
        <v>238</v>
      </c>
      <c r="AI23" s="54">
        <v>27400</v>
      </c>
    </row>
    <row r="24" spans="1:35">
      <c r="A24" s="44">
        <v>22</v>
      </c>
      <c r="B24" s="45" t="s">
        <v>175</v>
      </c>
      <c r="C24" s="107">
        <v>2</v>
      </c>
      <c r="D24" s="45" t="s">
        <v>223</v>
      </c>
      <c r="E24" s="46">
        <v>-72.5</v>
      </c>
      <c r="F24" s="47" t="s">
        <v>223</v>
      </c>
      <c r="G24" s="59">
        <v>-18.125</v>
      </c>
      <c r="H24" s="47" t="s">
        <v>196</v>
      </c>
      <c r="I24" s="48">
        <v>3</v>
      </c>
      <c r="J24" s="47" t="s">
        <v>196</v>
      </c>
      <c r="K24" s="49">
        <v>0</v>
      </c>
      <c r="L24" s="47" t="s">
        <v>163</v>
      </c>
      <c r="M24" s="49">
        <v>0.375</v>
      </c>
      <c r="N24" s="47" t="s">
        <v>166</v>
      </c>
      <c r="O24" s="49">
        <v>0.25</v>
      </c>
      <c r="P24" s="47" t="s">
        <v>196</v>
      </c>
      <c r="Q24" s="50">
        <v>0.125</v>
      </c>
      <c r="R24" s="47" t="s">
        <v>202</v>
      </c>
      <c r="S24" s="50">
        <v>0.17647058823529413</v>
      </c>
      <c r="T24" s="47" t="s">
        <v>241</v>
      </c>
      <c r="U24" s="51">
        <v>5233.333333333333</v>
      </c>
      <c r="V24" s="47" t="s">
        <v>195</v>
      </c>
      <c r="W24" s="51">
        <v>-6816</v>
      </c>
      <c r="X24" s="47" t="s">
        <v>180</v>
      </c>
      <c r="Y24" s="50">
        <v>0.14285714285714285</v>
      </c>
      <c r="Z24" s="47" t="s">
        <v>177</v>
      </c>
      <c r="AA24" s="50">
        <v>0.15789473684210525</v>
      </c>
      <c r="AB24" s="47" t="s">
        <v>203</v>
      </c>
      <c r="AC24" s="50">
        <v>0.33333333333333331</v>
      </c>
      <c r="AD24" s="47" t="s">
        <v>203</v>
      </c>
      <c r="AE24" s="50">
        <v>0.16666666666666666</v>
      </c>
      <c r="AF24" s="47" t="s">
        <v>231</v>
      </c>
      <c r="AG24" s="50">
        <v>0.25</v>
      </c>
      <c r="AH24" s="47" t="s">
        <v>215</v>
      </c>
      <c r="AI24" s="54">
        <v>25600</v>
      </c>
    </row>
    <row r="25" spans="1:35">
      <c r="A25" s="44">
        <v>23</v>
      </c>
      <c r="B25" s="45" t="s">
        <v>177</v>
      </c>
      <c r="C25" s="107">
        <v>2</v>
      </c>
      <c r="D25" s="45" t="s">
        <v>244</v>
      </c>
      <c r="E25" s="46">
        <v>-92.5</v>
      </c>
      <c r="F25" s="47" t="s">
        <v>238</v>
      </c>
      <c r="G25" s="59">
        <v>-26.674999999999997</v>
      </c>
      <c r="H25" s="47" t="s">
        <v>215</v>
      </c>
      <c r="I25" s="48">
        <v>3</v>
      </c>
      <c r="J25" s="47" t="s">
        <v>203</v>
      </c>
      <c r="K25" s="49">
        <v>0</v>
      </c>
      <c r="L25" s="47" t="s">
        <v>203</v>
      </c>
      <c r="M25" s="49">
        <v>0.4</v>
      </c>
      <c r="N25" s="47" t="s">
        <v>238</v>
      </c>
      <c r="O25" s="49">
        <v>0.25</v>
      </c>
      <c r="P25" s="47" t="s">
        <v>216</v>
      </c>
      <c r="Q25" s="50">
        <v>0.12295081967213115</v>
      </c>
      <c r="R25" s="47" t="s">
        <v>227</v>
      </c>
      <c r="S25" s="50">
        <v>0.17647058823529413</v>
      </c>
      <c r="T25" s="47" t="s">
        <v>179</v>
      </c>
      <c r="U25" s="51">
        <v>4909.375</v>
      </c>
      <c r="V25" s="47" t="s">
        <v>163</v>
      </c>
      <c r="W25" s="51">
        <v>-7212.5</v>
      </c>
      <c r="X25" s="47" t="s">
        <v>228</v>
      </c>
      <c r="Y25" s="50">
        <v>0.13207547169811321</v>
      </c>
      <c r="Z25" s="47" t="s">
        <v>167</v>
      </c>
      <c r="AA25" s="50">
        <v>0.14285714285714285</v>
      </c>
      <c r="AB25" s="47" t="s">
        <v>223</v>
      </c>
      <c r="AC25" s="50">
        <v>0.33333333333333331</v>
      </c>
      <c r="AD25" s="47" t="s">
        <v>228</v>
      </c>
      <c r="AE25" s="50">
        <v>0.14285714285714285</v>
      </c>
      <c r="AF25" s="47" t="s">
        <v>169</v>
      </c>
      <c r="AG25" s="50">
        <v>0.21666666666666667</v>
      </c>
      <c r="AH25" s="47" t="s">
        <v>203</v>
      </c>
      <c r="AI25" s="54">
        <v>25000</v>
      </c>
    </row>
    <row r="26" spans="1:35">
      <c r="A26" s="44">
        <v>24</v>
      </c>
      <c r="B26" s="45" t="s">
        <v>199</v>
      </c>
      <c r="C26" s="107">
        <v>2</v>
      </c>
      <c r="D26" s="45" t="s">
        <v>199</v>
      </c>
      <c r="E26" s="46">
        <v>-97.4</v>
      </c>
      <c r="F26" s="47" t="s">
        <v>196</v>
      </c>
      <c r="G26" s="59">
        <v>-27.1</v>
      </c>
      <c r="H26" s="47" t="s">
        <v>238</v>
      </c>
      <c r="I26" s="48">
        <v>3</v>
      </c>
      <c r="J26" s="47" t="s">
        <v>202</v>
      </c>
      <c r="K26" s="49">
        <v>0</v>
      </c>
      <c r="L26" s="47" t="s">
        <v>166</v>
      </c>
      <c r="M26" s="49">
        <v>0.5</v>
      </c>
      <c r="N26" s="47" t="s">
        <v>180</v>
      </c>
      <c r="O26" s="49">
        <v>0</v>
      </c>
      <c r="P26" s="47" t="s">
        <v>213</v>
      </c>
      <c r="Q26" s="50">
        <v>0.12244897959183673</v>
      </c>
      <c r="R26" s="47" t="s">
        <v>161</v>
      </c>
      <c r="S26" s="50">
        <v>0.18181818181818182</v>
      </c>
      <c r="T26" s="47" t="s">
        <v>215</v>
      </c>
      <c r="U26" s="51">
        <v>3900</v>
      </c>
      <c r="V26" s="47" t="s">
        <v>238</v>
      </c>
      <c r="W26" s="51">
        <v>-7275</v>
      </c>
      <c r="X26" s="47" t="s">
        <v>202</v>
      </c>
      <c r="Y26" s="50">
        <v>0.11764705882352941</v>
      </c>
      <c r="Z26" s="47" t="s">
        <v>203</v>
      </c>
      <c r="AA26" s="50">
        <v>0.13953488372093023</v>
      </c>
      <c r="AB26" s="47" t="s">
        <v>164</v>
      </c>
      <c r="AC26" s="50">
        <v>0.3125</v>
      </c>
      <c r="AD26" s="47" t="s">
        <v>167</v>
      </c>
      <c r="AE26" s="50">
        <v>0</v>
      </c>
      <c r="AF26" s="47" t="s">
        <v>164</v>
      </c>
      <c r="AG26" s="50">
        <v>0.2</v>
      </c>
      <c r="AH26" s="47" t="s">
        <v>166</v>
      </c>
      <c r="AI26" s="54">
        <v>23700</v>
      </c>
    </row>
    <row r="27" spans="1:35">
      <c r="A27" s="44">
        <v>25</v>
      </c>
      <c r="B27" s="45" t="s">
        <v>202</v>
      </c>
      <c r="C27" s="107">
        <v>2</v>
      </c>
      <c r="D27" s="45" t="s">
        <v>213</v>
      </c>
      <c r="E27" s="46">
        <v>-99.300000000000011</v>
      </c>
      <c r="F27" s="47" t="s">
        <v>166</v>
      </c>
      <c r="G27" s="59">
        <v>-31.999999999999996</v>
      </c>
      <c r="H27" s="47" t="s">
        <v>166</v>
      </c>
      <c r="I27" s="48">
        <v>3.25</v>
      </c>
      <c r="J27" s="47" t="s">
        <v>208</v>
      </c>
      <c r="K27" s="49">
        <v>0</v>
      </c>
      <c r="L27" s="47" t="s">
        <v>177</v>
      </c>
      <c r="M27" s="49">
        <v>0.5</v>
      </c>
      <c r="N27" s="47" t="s">
        <v>199</v>
      </c>
      <c r="O27" s="49">
        <v>0</v>
      </c>
      <c r="P27" s="47" t="s">
        <v>238</v>
      </c>
      <c r="Q27" s="50">
        <v>0.1111111111111111</v>
      </c>
      <c r="R27" s="47" t="s">
        <v>223</v>
      </c>
      <c r="S27" s="50">
        <v>0.19047619047619047</v>
      </c>
      <c r="T27" s="47" t="s">
        <v>238</v>
      </c>
      <c r="U27" s="51">
        <v>3266.6666666666665</v>
      </c>
      <c r="V27" s="47" t="s">
        <v>244</v>
      </c>
      <c r="W27" s="51">
        <v>-7440</v>
      </c>
      <c r="X27" s="47" t="s">
        <v>241</v>
      </c>
      <c r="Y27" s="50">
        <v>0.11538461538461539</v>
      </c>
      <c r="Z27" s="47" t="s">
        <v>227</v>
      </c>
      <c r="AA27" s="50">
        <v>0.13725490196078433</v>
      </c>
      <c r="AB27" s="47" t="s">
        <v>180</v>
      </c>
      <c r="AC27" s="50">
        <v>0</v>
      </c>
      <c r="AD27" s="47" t="s">
        <v>175</v>
      </c>
      <c r="AE27" s="50">
        <v>0</v>
      </c>
      <c r="AF27" s="47" t="s">
        <v>227</v>
      </c>
      <c r="AG27" s="50">
        <v>0.2</v>
      </c>
      <c r="AH27" s="47" t="s">
        <v>235</v>
      </c>
      <c r="AI27" s="54">
        <v>22900</v>
      </c>
    </row>
    <row r="28" spans="1:35">
      <c r="A28" s="44">
        <v>26</v>
      </c>
      <c r="B28" s="45" t="s">
        <v>231</v>
      </c>
      <c r="C28" s="107">
        <v>2</v>
      </c>
      <c r="D28" s="45" t="s">
        <v>202</v>
      </c>
      <c r="E28" s="46">
        <v>-105.9</v>
      </c>
      <c r="F28" s="47" t="s">
        <v>203</v>
      </c>
      <c r="G28" s="59">
        <v>-32.279999999999994</v>
      </c>
      <c r="H28" s="47" t="s">
        <v>203</v>
      </c>
      <c r="I28" s="48">
        <v>3.4</v>
      </c>
      <c r="J28" s="47" t="s">
        <v>213</v>
      </c>
      <c r="K28" s="49">
        <v>0</v>
      </c>
      <c r="L28" s="47" t="s">
        <v>228</v>
      </c>
      <c r="M28" s="49">
        <v>0.5</v>
      </c>
      <c r="N28" s="47" t="s">
        <v>196</v>
      </c>
      <c r="O28" s="49">
        <v>0</v>
      </c>
      <c r="P28" s="47" t="s">
        <v>223</v>
      </c>
      <c r="Q28" s="50">
        <v>9.5238095238095233E-2</v>
      </c>
      <c r="R28" s="47" t="s">
        <v>168</v>
      </c>
      <c r="S28" s="50">
        <v>0.19718309859154928</v>
      </c>
      <c r="T28" s="47" t="s">
        <v>166</v>
      </c>
      <c r="U28" s="51">
        <v>2928.5714285714284</v>
      </c>
      <c r="V28" s="47" t="s">
        <v>216</v>
      </c>
      <c r="W28" s="51">
        <v>-7766.666666666667</v>
      </c>
      <c r="X28" s="47" t="s">
        <v>166</v>
      </c>
      <c r="Y28" s="50">
        <v>0.11428571428571428</v>
      </c>
      <c r="Z28" s="47" t="s">
        <v>228</v>
      </c>
      <c r="AA28" s="50">
        <v>0.13207547169811321</v>
      </c>
      <c r="AB28" s="47" t="s">
        <v>199</v>
      </c>
      <c r="AC28" s="50">
        <v>0</v>
      </c>
      <c r="AD28" s="47" t="s">
        <v>180</v>
      </c>
      <c r="AE28" s="50">
        <v>0</v>
      </c>
      <c r="AF28" s="47" t="s">
        <v>191</v>
      </c>
      <c r="AG28" s="50">
        <v>0.14285714285714285</v>
      </c>
      <c r="AH28" s="47" t="s">
        <v>223</v>
      </c>
      <c r="AI28" s="54">
        <v>22100</v>
      </c>
    </row>
    <row r="29" spans="1:35">
      <c r="A29" s="44">
        <v>27</v>
      </c>
      <c r="B29" s="45" t="s">
        <v>235</v>
      </c>
      <c r="C29" s="107">
        <v>2</v>
      </c>
      <c r="D29" s="45" t="s">
        <v>238</v>
      </c>
      <c r="E29" s="46">
        <v>-106.69999999999999</v>
      </c>
      <c r="F29" s="47" t="s">
        <v>235</v>
      </c>
      <c r="G29" s="59">
        <v>-35.400000000000006</v>
      </c>
      <c r="H29" s="47" t="s">
        <v>235</v>
      </c>
      <c r="I29" s="48">
        <v>3.5</v>
      </c>
      <c r="J29" s="47" t="s">
        <v>215</v>
      </c>
      <c r="K29" s="49">
        <v>0</v>
      </c>
      <c r="L29" s="47" t="s">
        <v>235</v>
      </c>
      <c r="M29" s="49">
        <v>0.5</v>
      </c>
      <c r="N29" s="47" t="s">
        <v>203</v>
      </c>
      <c r="O29" s="49">
        <v>0</v>
      </c>
      <c r="P29" s="47" t="s">
        <v>203</v>
      </c>
      <c r="Q29" s="50">
        <v>9.3023255813953487E-2</v>
      </c>
      <c r="R29" s="47" t="s">
        <v>235</v>
      </c>
      <c r="S29" s="50">
        <v>0.2</v>
      </c>
      <c r="T29" s="47" t="s">
        <v>244</v>
      </c>
      <c r="U29" s="51">
        <v>2200</v>
      </c>
      <c r="V29" s="47" t="s">
        <v>179</v>
      </c>
      <c r="W29" s="51">
        <v>-8157.1428571428569</v>
      </c>
      <c r="X29" s="47" t="s">
        <v>191</v>
      </c>
      <c r="Y29" s="50">
        <v>0.10434782608695652</v>
      </c>
      <c r="Z29" s="47" t="s">
        <v>162</v>
      </c>
      <c r="AA29" s="50">
        <v>0.11538461538461539</v>
      </c>
      <c r="AB29" s="47" t="s">
        <v>196</v>
      </c>
      <c r="AC29" s="50">
        <v>0</v>
      </c>
      <c r="AD29" s="47" t="s">
        <v>199</v>
      </c>
      <c r="AE29" s="50">
        <v>0</v>
      </c>
      <c r="AF29" s="47" t="s">
        <v>180</v>
      </c>
      <c r="AG29" s="50">
        <v>0</v>
      </c>
      <c r="AH29" s="47" t="s">
        <v>244</v>
      </c>
      <c r="AI29" s="54">
        <v>20300</v>
      </c>
    </row>
    <row r="30" spans="1:35">
      <c r="A30" s="44">
        <v>28</v>
      </c>
      <c r="B30" s="45" t="s">
        <v>244</v>
      </c>
      <c r="C30" s="107">
        <v>2</v>
      </c>
      <c r="D30" s="45" t="s">
        <v>228</v>
      </c>
      <c r="E30" s="46">
        <v>-124.99999999999999</v>
      </c>
      <c r="F30" s="47" t="s">
        <v>208</v>
      </c>
      <c r="G30" s="59">
        <v>-44.233333333333327</v>
      </c>
      <c r="H30" s="47" t="s">
        <v>244</v>
      </c>
      <c r="I30" s="48">
        <v>3.5</v>
      </c>
      <c r="J30" s="47" t="s">
        <v>223</v>
      </c>
      <c r="K30" s="49">
        <v>0</v>
      </c>
      <c r="L30" s="47" t="s">
        <v>244</v>
      </c>
      <c r="M30" s="49">
        <v>0.5</v>
      </c>
      <c r="N30" s="47" t="s">
        <v>202</v>
      </c>
      <c r="O30" s="49">
        <v>0</v>
      </c>
      <c r="P30" s="47" t="s">
        <v>235</v>
      </c>
      <c r="Q30" s="50">
        <v>6.6666666666666666E-2</v>
      </c>
      <c r="R30" s="47" t="s">
        <v>228</v>
      </c>
      <c r="S30" s="50">
        <v>0.20754716981132076</v>
      </c>
      <c r="T30" s="47" t="s">
        <v>202</v>
      </c>
      <c r="U30" s="51">
        <v>1300</v>
      </c>
      <c r="V30" s="47" t="s">
        <v>228</v>
      </c>
      <c r="W30" s="51">
        <v>-8163.636363636364</v>
      </c>
      <c r="X30" s="47" t="s">
        <v>199</v>
      </c>
      <c r="Y30" s="50">
        <v>6.6666666666666666E-2</v>
      </c>
      <c r="Z30" s="47" t="s">
        <v>216</v>
      </c>
      <c r="AA30" s="50">
        <v>9.8360655737704916E-2</v>
      </c>
      <c r="AB30" s="47" t="s">
        <v>202</v>
      </c>
      <c r="AC30" s="50">
        <v>0</v>
      </c>
      <c r="AD30" s="47" t="s">
        <v>202</v>
      </c>
      <c r="AE30" s="50">
        <v>0</v>
      </c>
      <c r="AF30" s="47" t="s">
        <v>199</v>
      </c>
      <c r="AG30" s="50">
        <v>0</v>
      </c>
      <c r="AH30" s="47" t="s">
        <v>199</v>
      </c>
      <c r="AI30" s="54">
        <v>14100</v>
      </c>
    </row>
    <row r="31" spans="1:35">
      <c r="A31" s="44">
        <v>29</v>
      </c>
      <c r="B31" s="45" t="s">
        <v>167</v>
      </c>
      <c r="C31" s="107">
        <v>1</v>
      </c>
      <c r="D31" s="45" t="s">
        <v>166</v>
      </c>
      <c r="E31" s="46">
        <v>-127.99999999999999</v>
      </c>
      <c r="F31" s="47" t="s">
        <v>244</v>
      </c>
      <c r="G31" s="59">
        <v>-46.25</v>
      </c>
      <c r="H31" s="47" t="s">
        <v>208</v>
      </c>
      <c r="I31" s="48">
        <v>3.6666666666666665</v>
      </c>
      <c r="J31" s="47" t="s">
        <v>235</v>
      </c>
      <c r="K31" s="49">
        <v>0</v>
      </c>
      <c r="L31" s="47" t="s">
        <v>208</v>
      </c>
      <c r="M31" s="49">
        <v>0.66666666666666663</v>
      </c>
      <c r="N31" s="47" t="s">
        <v>208</v>
      </c>
      <c r="O31" s="49">
        <v>0</v>
      </c>
      <c r="P31" s="47" t="s">
        <v>202</v>
      </c>
      <c r="Q31" s="50">
        <v>5.8823529411764705E-2</v>
      </c>
      <c r="R31" s="47" t="s">
        <v>208</v>
      </c>
      <c r="S31" s="50">
        <v>0.21739130434782608</v>
      </c>
      <c r="T31" s="47" t="s">
        <v>196</v>
      </c>
      <c r="U31" s="51">
        <v>1000</v>
      </c>
      <c r="V31" s="47" t="s">
        <v>205</v>
      </c>
      <c r="W31" s="51">
        <v>-9466.6666666666661</v>
      </c>
      <c r="X31" s="47" t="s">
        <v>235</v>
      </c>
      <c r="Y31" s="50">
        <v>6.6666666666666666E-2</v>
      </c>
      <c r="Z31" s="47" t="s">
        <v>213</v>
      </c>
      <c r="AA31" s="50">
        <v>4.0816326530612242E-2</v>
      </c>
      <c r="AB31" s="47" t="s">
        <v>208</v>
      </c>
      <c r="AC31" s="50">
        <v>0</v>
      </c>
      <c r="AD31" s="47" t="s">
        <v>208</v>
      </c>
      <c r="AE31" s="50">
        <v>0</v>
      </c>
      <c r="AF31" s="47" t="s">
        <v>196</v>
      </c>
      <c r="AG31" s="50">
        <v>0</v>
      </c>
      <c r="AH31" s="47" t="s">
        <v>202</v>
      </c>
      <c r="AI31" s="54">
        <v>13500</v>
      </c>
    </row>
    <row r="32" spans="1:35">
      <c r="A32" s="44">
        <v>30</v>
      </c>
      <c r="B32" s="45" t="s">
        <v>180</v>
      </c>
      <c r="C32" s="107">
        <v>1</v>
      </c>
      <c r="D32" s="45" t="s">
        <v>208</v>
      </c>
      <c r="E32" s="46">
        <v>-132.69999999999999</v>
      </c>
      <c r="F32" s="47" t="s">
        <v>199</v>
      </c>
      <c r="G32" s="59">
        <v>-48.7</v>
      </c>
      <c r="H32" s="47" t="s">
        <v>180</v>
      </c>
      <c r="I32" s="48">
        <v>4</v>
      </c>
      <c r="J32" s="47" t="s">
        <v>238</v>
      </c>
      <c r="K32" s="49">
        <v>0</v>
      </c>
      <c r="L32" s="47" t="s">
        <v>180</v>
      </c>
      <c r="M32" s="49">
        <v>1</v>
      </c>
      <c r="N32" s="47" t="s">
        <v>215</v>
      </c>
      <c r="O32" s="49">
        <v>0</v>
      </c>
      <c r="P32" s="47" t="s">
        <v>180</v>
      </c>
      <c r="Q32" s="50">
        <v>0</v>
      </c>
      <c r="R32" s="47" t="s">
        <v>203</v>
      </c>
      <c r="S32" s="50">
        <v>0.23255813953488372</v>
      </c>
      <c r="T32" s="47" t="s">
        <v>180</v>
      </c>
      <c r="U32" s="51">
        <v>0</v>
      </c>
      <c r="V32" s="47" t="s">
        <v>235</v>
      </c>
      <c r="W32" s="51">
        <v>-9533.3333333333339</v>
      </c>
      <c r="X32" s="47" t="s">
        <v>208</v>
      </c>
      <c r="Y32" s="50">
        <v>4.3478260869565216E-2</v>
      </c>
      <c r="Z32" s="47" t="s">
        <v>175</v>
      </c>
      <c r="AA32" s="50">
        <v>0</v>
      </c>
      <c r="AB32" s="47" t="s">
        <v>215</v>
      </c>
      <c r="AC32" s="50">
        <v>0</v>
      </c>
      <c r="AD32" s="47" t="s">
        <v>213</v>
      </c>
      <c r="AE32" s="50">
        <v>0</v>
      </c>
      <c r="AF32" s="47" t="s">
        <v>202</v>
      </c>
      <c r="AG32" s="50">
        <v>0</v>
      </c>
      <c r="AH32" s="47" t="s">
        <v>196</v>
      </c>
      <c r="AI32" s="54">
        <v>12900</v>
      </c>
    </row>
    <row r="33" spans="1:35">
      <c r="A33" s="44">
        <v>31</v>
      </c>
      <c r="B33" s="45" t="s">
        <v>196</v>
      </c>
      <c r="C33" s="107">
        <v>1</v>
      </c>
      <c r="D33" s="45" t="s">
        <v>203</v>
      </c>
      <c r="E33" s="46">
        <v>-161.39999999999998</v>
      </c>
      <c r="F33" s="47" t="s">
        <v>180</v>
      </c>
      <c r="G33" s="59">
        <v>-52.6</v>
      </c>
      <c r="H33" s="47" t="s">
        <v>199</v>
      </c>
      <c r="I33" s="48">
        <v>4</v>
      </c>
      <c r="J33" s="47" t="s">
        <v>241</v>
      </c>
      <c r="K33" s="49">
        <v>0</v>
      </c>
      <c r="L33" s="47" t="s">
        <v>199</v>
      </c>
      <c r="M33" s="49">
        <v>1</v>
      </c>
      <c r="N33" s="47" t="s">
        <v>235</v>
      </c>
      <c r="O33" s="49">
        <v>0</v>
      </c>
      <c r="P33" s="47" t="s">
        <v>199</v>
      </c>
      <c r="Q33" s="50">
        <v>0</v>
      </c>
      <c r="R33" s="47" t="s">
        <v>180</v>
      </c>
      <c r="S33" s="50">
        <v>0.2857142857142857</v>
      </c>
      <c r="T33" s="47" t="s">
        <v>199</v>
      </c>
      <c r="U33" s="51">
        <v>0</v>
      </c>
      <c r="V33" s="47" t="s">
        <v>199</v>
      </c>
      <c r="W33" s="51">
        <v>-10000</v>
      </c>
      <c r="X33" s="47" t="s">
        <v>238</v>
      </c>
      <c r="Y33" s="50">
        <v>0</v>
      </c>
      <c r="Z33" s="47" t="s">
        <v>208</v>
      </c>
      <c r="AA33" s="50">
        <v>0</v>
      </c>
      <c r="AB33" s="47" t="s">
        <v>238</v>
      </c>
      <c r="AC33" s="50">
        <v>0</v>
      </c>
      <c r="AD33" s="47" t="s">
        <v>223</v>
      </c>
      <c r="AE33" s="50">
        <v>0</v>
      </c>
      <c r="AF33" s="47" t="s">
        <v>208</v>
      </c>
      <c r="AG33" s="50">
        <v>0</v>
      </c>
      <c r="AH33" s="47" t="s">
        <v>208</v>
      </c>
      <c r="AI33" s="54">
        <v>10700</v>
      </c>
    </row>
    <row r="34" spans="1:35">
      <c r="A34" s="44">
        <v>32</v>
      </c>
      <c r="B34" s="45" t="s">
        <v>215</v>
      </c>
      <c r="C34" s="107">
        <v>1</v>
      </c>
      <c r="D34" s="45" t="s">
        <v>216</v>
      </c>
      <c r="E34" s="46">
        <v>-181.79999999999998</v>
      </c>
      <c r="F34" s="47" t="s">
        <v>202</v>
      </c>
      <c r="G34" s="59">
        <v>-52.95</v>
      </c>
      <c r="H34" s="47" t="s">
        <v>202</v>
      </c>
      <c r="I34" s="48">
        <v>4</v>
      </c>
      <c r="J34" s="47" t="s">
        <v>244</v>
      </c>
      <c r="K34" s="49">
        <v>0</v>
      </c>
      <c r="L34" s="47" t="s">
        <v>202</v>
      </c>
      <c r="M34" s="49">
        <v>1</v>
      </c>
      <c r="N34" s="47" t="s">
        <v>244</v>
      </c>
      <c r="O34" s="49">
        <v>0</v>
      </c>
      <c r="P34" s="47" t="s">
        <v>208</v>
      </c>
      <c r="Q34" s="50">
        <v>0</v>
      </c>
      <c r="R34" s="47" t="s">
        <v>244</v>
      </c>
      <c r="S34" s="50">
        <v>0.38461538461538464</v>
      </c>
      <c r="T34" s="47" t="s">
        <v>208</v>
      </c>
      <c r="U34" s="51">
        <v>0</v>
      </c>
      <c r="V34" s="47" t="s">
        <v>166</v>
      </c>
      <c r="W34" s="51">
        <v>-11400</v>
      </c>
      <c r="X34" s="47" t="s">
        <v>244</v>
      </c>
      <c r="Y34" s="50">
        <v>0</v>
      </c>
      <c r="Z34" s="47" t="s">
        <v>223</v>
      </c>
      <c r="AA34" s="50">
        <v>0</v>
      </c>
      <c r="AB34" s="47" t="s">
        <v>244</v>
      </c>
      <c r="AC34" s="50">
        <v>0</v>
      </c>
      <c r="AD34" s="47" t="s">
        <v>235</v>
      </c>
      <c r="AE34" s="50">
        <v>0</v>
      </c>
      <c r="AF34" s="47" t="s">
        <v>215</v>
      </c>
      <c r="AG34" s="50">
        <v>0</v>
      </c>
      <c r="AH34" s="47" t="s">
        <v>180</v>
      </c>
      <c r="AI34" s="54">
        <v>7400</v>
      </c>
    </row>
  </sheetData>
  <sortState xmlns:xlrd2="http://schemas.microsoft.com/office/spreadsheetml/2017/richdata2" ref="AH3:AI8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245</v>
      </c>
      <c r="C2" s="121"/>
      <c r="E2" s="32" t="s">
        <v>54</v>
      </c>
      <c r="F2" s="29" t="s">
        <v>20</v>
      </c>
      <c r="G2" s="12">
        <v>237</v>
      </c>
      <c r="H2" s="93">
        <f>IF(B$17=0,0,G2/B$17)</f>
        <v>0.62532981530343013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-48.979591836734691</v>
      </c>
      <c r="P2" s="79">
        <v>245</v>
      </c>
      <c r="Q2" s="63">
        <v>-12000</v>
      </c>
    </row>
    <row r="3" spans="1:17">
      <c r="A3" s="19" t="s">
        <v>8</v>
      </c>
      <c r="B3" s="122">
        <v>1817</v>
      </c>
      <c r="C3" s="123"/>
      <c r="E3" s="33" t="s">
        <v>181</v>
      </c>
      <c r="F3" s="30" t="s">
        <v>156</v>
      </c>
      <c r="G3" s="13">
        <v>185</v>
      </c>
      <c r="H3" s="94">
        <f>IF(B$17=0,0,G3/B$17)</f>
        <v>0.48812664907651715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-8.1632653061224492</v>
      </c>
      <c r="P3" s="80">
        <v>245</v>
      </c>
      <c r="Q3" s="64">
        <v>-2000</v>
      </c>
    </row>
    <row r="4" spans="1:17">
      <c r="A4" s="19" t="s">
        <v>6</v>
      </c>
      <c r="B4" s="124">
        <v>-30.000000000000032</v>
      </c>
      <c r="C4" s="125"/>
      <c r="E4" s="33" t="s">
        <v>184</v>
      </c>
      <c r="F4" s="30" t="s">
        <v>187</v>
      </c>
      <c r="G4" s="13">
        <v>183</v>
      </c>
      <c r="H4" s="94">
        <f>IF(B$17=0,0,G4/B$17)</f>
        <v>0.48284960422163586</v>
      </c>
      <c r="I4" s="56">
        <v>12</v>
      </c>
      <c r="K4" s="5">
        <v>2</v>
      </c>
      <c r="L4" s="61">
        <v>86.800000000000011</v>
      </c>
      <c r="N4" s="76" t="s">
        <v>105</v>
      </c>
      <c r="O4" s="83">
        <f t="shared" si="0"/>
        <v>8.9795918367346932</v>
      </c>
      <c r="P4" s="80">
        <v>245</v>
      </c>
      <c r="Q4" s="64">
        <v>2200</v>
      </c>
    </row>
    <row r="5" spans="1:17">
      <c r="A5" s="19" t="s">
        <v>7</v>
      </c>
      <c r="B5" s="126">
        <f>IF(B$2=0,0,B$4/B$2)</f>
        <v>-0.12244897959183687</v>
      </c>
      <c r="C5" s="127"/>
      <c r="E5" s="33" t="s">
        <v>60</v>
      </c>
      <c r="F5" s="30" t="s">
        <v>24</v>
      </c>
      <c r="G5" s="13">
        <v>155</v>
      </c>
      <c r="H5" s="94">
        <f>IF(B$17=0,0,G5/B$17)</f>
        <v>0.40897097625329815</v>
      </c>
      <c r="I5" s="56">
        <v>15</v>
      </c>
      <c r="K5" s="5">
        <v>3</v>
      </c>
      <c r="L5" s="61">
        <v>25.100000000000009</v>
      </c>
      <c r="N5" s="76" t="s">
        <v>157</v>
      </c>
      <c r="O5" s="83">
        <f>IF(P5=0,0,Q5/P5)</f>
        <v>0</v>
      </c>
      <c r="P5" s="80">
        <v>225</v>
      </c>
      <c r="Q5" s="64">
        <v>0</v>
      </c>
    </row>
    <row r="6" spans="1:17">
      <c r="A6" s="19" t="s">
        <v>1</v>
      </c>
      <c r="B6" s="128">
        <f>IF(B$2=0,0,(B$7*1+B$8*2+B$9*3+B$10*4)/B$2)</f>
        <v>2.4857142857142858</v>
      </c>
      <c r="C6" s="129"/>
      <c r="E6" s="33" t="s">
        <v>55</v>
      </c>
      <c r="F6" s="30" t="s">
        <v>155</v>
      </c>
      <c r="G6" s="13">
        <v>97</v>
      </c>
      <c r="H6" s="94">
        <f>IF(B$17=0,0,G6/B$17)</f>
        <v>0.25593667546174143</v>
      </c>
      <c r="I6" s="56">
        <v>13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19.23076923076923</v>
      </c>
      <c r="P6" s="80">
        <v>156</v>
      </c>
      <c r="Q6" s="64">
        <v>3000</v>
      </c>
    </row>
    <row r="7" spans="1:17">
      <c r="A7" s="19" t="s">
        <v>2</v>
      </c>
      <c r="B7" s="13">
        <v>63</v>
      </c>
      <c r="C7" s="6">
        <f t="shared" ref="C7:C12" si="2">IF(B$2=0,0,B7/B$2)</f>
        <v>0.25714285714285712</v>
      </c>
      <c r="E7" s="33" t="s">
        <v>57</v>
      </c>
      <c r="F7" s="30" t="s">
        <v>21</v>
      </c>
      <c r="G7" s="13">
        <v>95</v>
      </c>
      <c r="H7" s="94">
        <f>IF(B$17=0,0,G7/B$17)</f>
        <v>0.25065963060686014</v>
      </c>
      <c r="I7" s="56">
        <v>12</v>
      </c>
      <c r="K7" s="5">
        <v>5</v>
      </c>
      <c r="L7" s="61">
        <v>-14.199999999999992</v>
      </c>
      <c r="N7" s="76" t="s">
        <v>107</v>
      </c>
      <c r="O7" s="83">
        <f t="shared" si="0"/>
        <v>-71.428571428571431</v>
      </c>
      <c r="P7" s="80">
        <v>112</v>
      </c>
      <c r="Q7" s="64">
        <v>-8000</v>
      </c>
    </row>
    <row r="8" spans="1:17">
      <c r="A8" s="19" t="s">
        <v>3</v>
      </c>
      <c r="B8" s="13">
        <v>60</v>
      </c>
      <c r="C8" s="6">
        <f>IF(B$2=0,0,B8/B$2)</f>
        <v>0.24489795918367346</v>
      </c>
      <c r="E8" s="33" t="s">
        <v>56</v>
      </c>
      <c r="F8" s="30" t="s">
        <v>185</v>
      </c>
      <c r="G8" s="13">
        <v>90</v>
      </c>
      <c r="H8" s="94">
        <f>IF(B$17=0,0,G8/B$17)</f>
        <v>0.23746701846965698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62</v>
      </c>
      <c r="C9" s="7">
        <f>IF(B$2=0,0,B9/B$2)</f>
        <v>0.2530612244897959</v>
      </c>
      <c r="E9" s="33" t="s">
        <v>59</v>
      </c>
      <c r="F9" s="30" t="s">
        <v>23</v>
      </c>
      <c r="G9" s="13">
        <v>64</v>
      </c>
      <c r="H9" s="94">
        <f>IF(B$17=0,0,G9/B$17)</f>
        <v>0.16886543535620052</v>
      </c>
      <c r="I9" s="56">
        <v>11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60</v>
      </c>
      <c r="C10" s="7">
        <f>IF(B$2=0,0,B10/B$2)</f>
        <v>0.24489795918367346</v>
      </c>
      <c r="E10" s="33" t="s">
        <v>182</v>
      </c>
      <c r="F10" s="30" t="s">
        <v>19</v>
      </c>
      <c r="G10" s="13">
        <v>41</v>
      </c>
      <c r="H10" s="94">
        <f>IF(B$17=0,0,G10/B$17)</f>
        <v>0.10817941952506596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123</v>
      </c>
      <c r="C11" s="7">
        <f>IF(B$2=0,0,B11/B$2)</f>
        <v>0.50204081632653064</v>
      </c>
      <c r="E11" s="33" t="s">
        <v>58</v>
      </c>
      <c r="F11" s="30" t="s">
        <v>22</v>
      </c>
      <c r="G11" s="13">
        <v>26</v>
      </c>
      <c r="H11" s="94">
        <f>IF(B$17=0,0,G11/B$17)</f>
        <v>6.860158311345646E-2</v>
      </c>
      <c r="I11" s="56">
        <v>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13</v>
      </c>
      <c r="C12" s="9">
        <f t="shared" si="2"/>
        <v>5.3061224489795916E-2</v>
      </c>
      <c r="E12" s="33" t="s">
        <v>183</v>
      </c>
      <c r="F12" s="30" t="s">
        <v>186</v>
      </c>
      <c r="G12" s="13">
        <v>14</v>
      </c>
      <c r="H12" s="94">
        <f>IF(B$17=0,0,G12/B$17)</f>
        <v>3.6939313984168866E-2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-3.0370967741935488</v>
      </c>
      <c r="P12" s="79">
        <v>62</v>
      </c>
      <c r="Q12" s="67">
        <v>-188.30000000000004</v>
      </c>
    </row>
    <row r="13" spans="1:17">
      <c r="A13" s="22" t="s">
        <v>97</v>
      </c>
      <c r="B13" s="15">
        <v>351</v>
      </c>
      <c r="C13" s="11">
        <f>IF(B$3=0,0,B13/B$3)</f>
        <v>0.19317556411667583</v>
      </c>
      <c r="E13" s="33" t="s">
        <v>77</v>
      </c>
      <c r="F13" s="30" t="s">
        <v>41</v>
      </c>
      <c r="G13" s="13">
        <v>14</v>
      </c>
      <c r="H13" s="94">
        <f>IF(B$17=0,0,G13/B$17)</f>
        <v>3.6939313984168866E-2</v>
      </c>
      <c r="I13" s="56">
        <v>6</v>
      </c>
      <c r="K13" s="5">
        <v>11</v>
      </c>
      <c r="L13" s="61">
        <v>18.100000000000009</v>
      </c>
      <c r="N13" s="76" t="s">
        <v>127</v>
      </c>
      <c r="O13" s="86">
        <f>IF(P13=0,0,Q13/P13)</f>
        <v>2.4338709677419339</v>
      </c>
      <c r="P13" s="80">
        <v>62</v>
      </c>
      <c r="Q13" s="68">
        <v>150.89999999999989</v>
      </c>
    </row>
    <row r="14" spans="1:17">
      <c r="A14" s="19" t="s">
        <v>94</v>
      </c>
      <c r="B14" s="13">
        <v>377</v>
      </c>
      <c r="C14" s="6">
        <f>IF(B$3=0,0,B14/B$3)</f>
        <v>0.20748486516235554</v>
      </c>
      <c r="E14" s="33" t="s">
        <v>71</v>
      </c>
      <c r="F14" s="30" t="s">
        <v>35</v>
      </c>
      <c r="G14" s="13">
        <v>13</v>
      </c>
      <c r="H14" s="94">
        <f>IF(B$17=0,0,G14/B$17)</f>
        <v>3.430079155672823E-2</v>
      </c>
      <c r="I14" s="56">
        <v>6</v>
      </c>
      <c r="K14" s="5">
        <v>12</v>
      </c>
      <c r="L14" s="61">
        <v>7.1054273576010019E-15</v>
      </c>
      <c r="N14" s="76" t="s">
        <v>128</v>
      </c>
      <c r="O14" s="86">
        <f>IF(P14=0,0,Q14/P14)</f>
        <v>0.84838709677419588</v>
      </c>
      <c r="P14" s="80">
        <v>62</v>
      </c>
      <c r="Q14" s="68">
        <v>52.600000000000144</v>
      </c>
    </row>
    <row r="15" spans="1:17">
      <c r="A15" s="18" t="s">
        <v>99</v>
      </c>
      <c r="B15" s="12">
        <f>B21</f>
        <v>187</v>
      </c>
      <c r="C15" s="4">
        <f>IF(B$13=0,0,B15/B$13)</f>
        <v>0.53276353276353272</v>
      </c>
      <c r="E15" s="33" t="s">
        <v>74</v>
      </c>
      <c r="F15" s="30" t="s">
        <v>38</v>
      </c>
      <c r="G15" s="13">
        <v>8</v>
      </c>
      <c r="H15" s="94">
        <f>IF(B$17=0,0,G15/B$17)</f>
        <v>2.1108179419525065E-2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-0.72903225806451577</v>
      </c>
      <c r="P15" s="81">
        <v>62</v>
      </c>
      <c r="Q15" s="69">
        <v>-45.199999999999974</v>
      </c>
    </row>
    <row r="16" spans="1:17">
      <c r="A16" s="18" t="s">
        <v>100</v>
      </c>
      <c r="B16" s="12">
        <f>B22</f>
        <v>133</v>
      </c>
      <c r="C16" s="4">
        <f>IF(B$14=0,0,B16/B$14)</f>
        <v>0.35278514588859416</v>
      </c>
      <c r="E16" s="33" t="s">
        <v>67</v>
      </c>
      <c r="F16" s="30" t="s">
        <v>31</v>
      </c>
      <c r="G16" s="13">
        <v>6</v>
      </c>
      <c r="H16" s="94">
        <f>IF(B$17=0,0,G16/B$17)</f>
        <v>1.5831134564643801E-2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379</v>
      </c>
      <c r="C17" s="4">
        <f>IF(B$3=0,0,B17/B$3)</f>
        <v>0.20858558062740781</v>
      </c>
      <c r="E17" s="33" t="s">
        <v>62</v>
      </c>
      <c r="F17" s="30" t="s">
        <v>26</v>
      </c>
      <c r="G17" s="13">
        <v>4</v>
      </c>
      <c r="H17" s="94">
        <f>IF(B$17=0,0,G17/B$17)</f>
        <v>1.0554089709762533E-2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246</v>
      </c>
      <c r="C18" s="6">
        <f>IF(B$3=0,0,B18/B$3)</f>
        <v>0.13538800220143093</v>
      </c>
      <c r="E18" s="33" t="s">
        <v>66</v>
      </c>
      <c r="F18" s="30" t="s">
        <v>30</v>
      </c>
      <c r="G18" s="13">
        <v>4</v>
      </c>
      <c r="H18" s="94">
        <f>IF(B$17=0,0,G18/B$17)</f>
        <v>1.0554089709762533E-2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133</v>
      </c>
      <c r="C19" s="6">
        <f>IF(B$17=0,0,B19/B$17)</f>
        <v>0.35092348284960423</v>
      </c>
      <c r="E19" s="33" t="s">
        <v>78</v>
      </c>
      <c r="F19" s="30" t="s">
        <v>42</v>
      </c>
      <c r="G19" s="13">
        <v>4</v>
      </c>
      <c r="H19" s="94">
        <f>IF(B$17=0,0,G19/B$17)</f>
        <v>1.0554089709762533E-2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246</v>
      </c>
      <c r="C20" s="6">
        <f>IF(B$17=0,0,B20/B$17)</f>
        <v>0.64907651715039583</v>
      </c>
      <c r="E20" s="33" t="s">
        <v>69</v>
      </c>
      <c r="F20" s="30" t="s">
        <v>33</v>
      </c>
      <c r="G20" s="13">
        <v>2</v>
      </c>
      <c r="H20" s="94">
        <f>IF(B$17=0,0,G20/B$17)</f>
        <v>5.2770448548812663E-3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187</v>
      </c>
      <c r="C21" s="6">
        <f>IF(B$17=0,0,B21/B$17)</f>
        <v>0.49340369393139843</v>
      </c>
      <c r="E21" s="33" t="s">
        <v>72</v>
      </c>
      <c r="F21" s="30" t="s">
        <v>36</v>
      </c>
      <c r="G21" s="13">
        <v>2</v>
      </c>
      <c r="H21" s="94">
        <f>IF(B$17=0,0,G21/B$17)</f>
        <v>5.2770448548812663E-3</v>
      </c>
      <c r="I21" s="56">
        <v>3</v>
      </c>
      <c r="K21" s="5">
        <v>19</v>
      </c>
      <c r="L21" s="61">
        <v>-3.6999999999999886</v>
      </c>
      <c r="N21" s="76" t="s">
        <v>244</v>
      </c>
      <c r="O21" s="86">
        <f>IF(P21=0,0,Q21/P21)</f>
        <v>61.666666666666664</v>
      </c>
      <c r="P21" s="80">
        <v>6</v>
      </c>
      <c r="Q21" s="68">
        <v>370</v>
      </c>
    </row>
    <row r="22" spans="1:17">
      <c r="A22" s="19" t="s">
        <v>149</v>
      </c>
      <c r="B22" s="13">
        <v>133</v>
      </c>
      <c r="C22" s="6">
        <f>IF(B$17=0,0,B22/B$17)</f>
        <v>0.35092348284960423</v>
      </c>
      <c r="E22" s="33" t="s">
        <v>75</v>
      </c>
      <c r="F22" s="30" t="s">
        <v>39</v>
      </c>
      <c r="G22" s="13">
        <v>2</v>
      </c>
      <c r="H22" s="94">
        <f>IF(B$17=0,0,G22/B$17)</f>
        <v>5.2770448548812663E-3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59</v>
      </c>
      <c r="C23" s="6">
        <f>IF(B$17=0,0,B23/B$17)</f>
        <v>0.15567282321899736</v>
      </c>
      <c r="E23" s="33" t="s">
        <v>76</v>
      </c>
      <c r="F23" s="30" t="s">
        <v>40</v>
      </c>
      <c r="G23" s="13">
        <v>2</v>
      </c>
      <c r="H23" s="94">
        <f>IF(B$17=0,0,G23/B$17)</f>
        <v>5.2770448548812663E-3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47.20000000000001</v>
      </c>
      <c r="P23" s="80">
        <v>6</v>
      </c>
      <c r="Q23" s="68">
        <v>283.20000000000005</v>
      </c>
    </row>
    <row r="24" spans="1:17">
      <c r="A24" s="19" t="s">
        <v>5</v>
      </c>
      <c r="B24" s="16">
        <f>IF(B$17=0,0,C24/B$17)</f>
        <v>6735.3562005277045</v>
      </c>
      <c r="C24" s="8">
        <v>2552700</v>
      </c>
      <c r="E24" s="33" t="s">
        <v>61</v>
      </c>
      <c r="F24" s="30" t="s">
        <v>25</v>
      </c>
      <c r="G24" s="13">
        <v>1</v>
      </c>
      <c r="H24" s="94">
        <f>IF(B$17=0,0,G24/B$17)</f>
        <v>2.6385224274406332E-3</v>
      </c>
      <c r="I24" s="56">
        <v>2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7743.4959349593491</v>
      </c>
      <c r="C25" s="98">
        <v>1904900</v>
      </c>
      <c r="E25" s="33" t="s">
        <v>80</v>
      </c>
      <c r="F25" s="30" t="s">
        <v>44</v>
      </c>
      <c r="G25" s="13">
        <v>1</v>
      </c>
      <c r="H25" s="94">
        <f>IF(B$17=0,0,G25/B$17)</f>
        <v>2.6385224274406332E-3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4870.6766917293235</v>
      </c>
      <c r="C26" s="98">
        <v>647800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-6362.6016260162605</v>
      </c>
      <c r="C27" s="98">
        <v>-1565200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35.56666666666667</v>
      </c>
      <c r="P27" s="80">
        <v>12</v>
      </c>
      <c r="Q27" s="68">
        <v>426.80000000000007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31</v>
      </c>
      <c r="C29" s="96">
        <v>3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20.833333333333336</v>
      </c>
      <c r="P29" s="80">
        <v>24</v>
      </c>
      <c r="Q29" s="68">
        <v>500.00000000000006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14.71111111111111</v>
      </c>
      <c r="P31" s="80">
        <v>27</v>
      </c>
      <c r="Q31" s="68">
        <v>397.2</v>
      </c>
    </row>
    <row r="32" spans="1:17">
      <c r="A32" s="21" t="s">
        <v>112</v>
      </c>
      <c r="B32" s="26">
        <v>3</v>
      </c>
      <c r="C32" s="9">
        <f>IF(B$3=0,0,B32/B$3)</f>
        <v>1.6510731975784259E-3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216</v>
      </c>
      <c r="O32" s="86">
        <f>IF(P32=0,0,Q32/P32)</f>
        <v>12.757894736842102</v>
      </c>
      <c r="P32" s="80">
        <v>57</v>
      </c>
      <c r="Q32" s="68">
        <v>727.19999999999982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3.0999999999999983</v>
      </c>
      <c r="P33" s="80">
        <v>12</v>
      </c>
      <c r="Q33" s="68">
        <v>37.199999999999982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39</v>
      </c>
      <c r="C35" s="102">
        <f t="shared" ref="C35:C47" si="3">IF(B$17=0,0,B35/B$17)</f>
        <v>0.10290237467018469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227</v>
      </c>
      <c r="O35" s="86">
        <f>IF(P35=0,0,Q35/P35)</f>
        <v>1.6666666666666679</v>
      </c>
      <c r="P35" s="80">
        <v>24</v>
      </c>
      <c r="Q35" s="68">
        <v>40.000000000000028</v>
      </c>
    </row>
    <row r="36" spans="1:17">
      <c r="A36" s="19" t="s">
        <v>135</v>
      </c>
      <c r="B36" s="13">
        <v>77</v>
      </c>
      <c r="C36" s="6">
        <f t="shared" si="3"/>
        <v>0.20316622691292877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175</v>
      </c>
      <c r="O36" s="86">
        <f>IF(P36=0,0,Q36/P36)</f>
        <v>1.4666666666666668</v>
      </c>
      <c r="P36" s="80">
        <v>6</v>
      </c>
      <c r="Q36" s="68">
        <v>8.8000000000000007</v>
      </c>
    </row>
    <row r="37" spans="1:17">
      <c r="A37" s="19" t="s">
        <v>136</v>
      </c>
      <c r="B37" s="100">
        <v>85</v>
      </c>
      <c r="C37" s="6">
        <f t="shared" si="3"/>
        <v>0.22427440633245382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161</v>
      </c>
      <c r="O37" s="86">
        <f>IF(P37=0,0,Q37/P37)</f>
        <v>-0.57333333333333036</v>
      </c>
      <c r="P37" s="80">
        <v>30</v>
      </c>
      <c r="Q37" s="68">
        <v>-17.19999999999991</v>
      </c>
    </row>
    <row r="38" spans="1:17">
      <c r="A38" s="19" t="s">
        <v>137</v>
      </c>
      <c r="B38" s="100">
        <v>78</v>
      </c>
      <c r="C38" s="6">
        <f t="shared" si="3"/>
        <v>0.20580474934036938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164</v>
      </c>
      <c r="O38" s="86">
        <f>IF(P38=0,0,Q38/P38)</f>
        <v>-2.2222222222222197</v>
      </c>
      <c r="P38" s="80">
        <v>45</v>
      </c>
      <c r="Q38" s="68">
        <v>-99.999999999999886</v>
      </c>
    </row>
    <row r="39" spans="1:17">
      <c r="A39" s="19" t="s">
        <v>138</v>
      </c>
      <c r="B39" s="100">
        <v>40</v>
      </c>
      <c r="C39" s="6">
        <f t="shared" si="3"/>
        <v>0.10554089709762533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177</v>
      </c>
      <c r="O39" s="86">
        <f>IF(P39=0,0,Q39/P39)</f>
        <v>-2.6</v>
      </c>
      <c r="P39" s="80">
        <v>6</v>
      </c>
      <c r="Q39" s="68">
        <v>-15.600000000000001</v>
      </c>
    </row>
    <row r="40" spans="1:17">
      <c r="A40" s="19" t="s">
        <v>140</v>
      </c>
      <c r="B40" s="100">
        <v>45</v>
      </c>
      <c r="C40" s="6">
        <f t="shared" si="3"/>
        <v>0.11873350923482849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195</v>
      </c>
      <c r="O40" s="86">
        <f>IF(P40=0,0,Q40/P40)</f>
        <v>-3.0000000000000004</v>
      </c>
      <c r="P40" s="80">
        <v>90</v>
      </c>
      <c r="Q40" s="68">
        <v>-270.00000000000006</v>
      </c>
    </row>
    <row r="41" spans="1:17">
      <c r="A41" s="19" t="s">
        <v>141</v>
      </c>
      <c r="B41" s="100">
        <v>13</v>
      </c>
      <c r="C41" s="6">
        <f t="shared" si="3"/>
        <v>3.430079155672823E-2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163</v>
      </c>
      <c r="O41" s="86">
        <f>IF(P41=0,0,Q41/P41)</f>
        <v>-3.7999999999999949</v>
      </c>
      <c r="P41" s="80">
        <v>24</v>
      </c>
      <c r="Q41" s="68">
        <v>-91.199999999999875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191</v>
      </c>
      <c r="O42" s="86">
        <f>IF(P42=0,0,Q42/P42)</f>
        <v>-7.5523809523809531</v>
      </c>
      <c r="P42" s="80">
        <v>42</v>
      </c>
      <c r="Q42" s="68">
        <v>-317.20000000000005</v>
      </c>
    </row>
    <row r="43" spans="1:17">
      <c r="A43" s="19" t="s">
        <v>143</v>
      </c>
      <c r="B43" s="100">
        <v>1</v>
      </c>
      <c r="C43" s="6">
        <f t="shared" si="3"/>
        <v>2.6385224274406332E-3</v>
      </c>
      <c r="K43" s="5">
        <v>41</v>
      </c>
      <c r="L43" s="61">
        <v>-66.399999999999991</v>
      </c>
      <c r="N43" s="76" t="s">
        <v>168</v>
      </c>
      <c r="O43" s="86">
        <f>IF(P43=0,0,Q43/P43)</f>
        <v>-11.807407407407409</v>
      </c>
      <c r="P43" s="80">
        <v>54</v>
      </c>
      <c r="Q43" s="68">
        <v>-637.6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167</v>
      </c>
      <c r="O44" s="86">
        <f>IF(P44=0,0,Q44/P44)</f>
        <v>-18.666666666666664</v>
      </c>
      <c r="P44" s="80">
        <v>3</v>
      </c>
      <c r="Q44" s="68">
        <v>-55.999999999999993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-24.172549019607843</v>
      </c>
      <c r="P45" s="80">
        <v>102</v>
      </c>
      <c r="Q45" s="68">
        <v>-2465.6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2.6385224274406332E-3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19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11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4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4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21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0.8833333333333333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750</v>
      </c>
      <c r="P2" s="79">
        <v>34</v>
      </c>
      <c r="Q2" s="63">
        <v>25500</v>
      </c>
    </row>
    <row r="3" spans="1:17">
      <c r="A3" s="19" t="s">
        <v>8</v>
      </c>
      <c r="B3" s="122">
        <v>259</v>
      </c>
      <c r="C3" s="123"/>
      <c r="E3" s="33" t="s">
        <v>184</v>
      </c>
      <c r="F3" s="30" t="s">
        <v>187</v>
      </c>
      <c r="G3" s="13">
        <v>41</v>
      </c>
      <c r="H3" s="94">
        <f>IF(B$17=0,0,G3/B$17)</f>
        <v>0.68333333333333335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1826.4705882352941</v>
      </c>
      <c r="P3" s="80">
        <v>34</v>
      </c>
      <c r="Q3" s="64">
        <v>62100</v>
      </c>
    </row>
    <row r="4" spans="1:17">
      <c r="A4" s="19" t="s">
        <v>6</v>
      </c>
      <c r="B4" s="124">
        <v>613.90000000000009</v>
      </c>
      <c r="C4" s="125"/>
      <c r="E4" s="33" t="s">
        <v>181</v>
      </c>
      <c r="F4" s="30" t="s">
        <v>156</v>
      </c>
      <c r="G4" s="13">
        <v>29</v>
      </c>
      <c r="H4" s="94">
        <f>IF(B$17=0,0,G4/B$17)</f>
        <v>0.48333333333333334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1682.3529411764705</v>
      </c>
      <c r="P4" s="80">
        <v>34</v>
      </c>
      <c r="Q4" s="64">
        <v>57200</v>
      </c>
    </row>
    <row r="5" spans="1:17">
      <c r="A5" s="19" t="s">
        <v>7</v>
      </c>
      <c r="B5" s="126">
        <f>IF(B$2=0,0,B$4/B$2)</f>
        <v>18.055882352941179</v>
      </c>
      <c r="C5" s="127"/>
      <c r="E5" s="33" t="s">
        <v>57</v>
      </c>
      <c r="F5" s="30" t="s">
        <v>21</v>
      </c>
      <c r="G5" s="13">
        <v>21</v>
      </c>
      <c r="H5" s="94">
        <f>IF(B$17=0,0,G5/B$17)</f>
        <v>0.35</v>
      </c>
      <c r="I5" s="56">
        <v>5</v>
      </c>
      <c r="K5" s="5">
        <v>3</v>
      </c>
      <c r="L5" s="61">
        <v>-32.299999999999997</v>
      </c>
      <c r="N5" s="76" t="s">
        <v>157</v>
      </c>
      <c r="O5" s="83">
        <f>IF(P5=0,0,Q5/P5)</f>
        <v>1293.3333333333333</v>
      </c>
      <c r="P5" s="80">
        <v>30</v>
      </c>
      <c r="Q5" s="64">
        <v>38800</v>
      </c>
    </row>
    <row r="6" spans="1:17">
      <c r="A6" s="19" t="s">
        <v>1</v>
      </c>
      <c r="B6" s="128">
        <f>IF(B$2=0,0,(B$7*1+B$8*2+B$9*3+B$10*4)/B$2)</f>
        <v>2.0882352941176472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0.35</v>
      </c>
      <c r="I6" s="56">
        <v>18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13</v>
      </c>
      <c r="C7" s="6">
        <f t="shared" ref="C7:C12" si="2">IF(B$2=0,0,B7/B$2)</f>
        <v>0.38235294117647056</v>
      </c>
      <c r="E7" s="33" t="s">
        <v>55</v>
      </c>
      <c r="F7" s="30" t="s">
        <v>155</v>
      </c>
      <c r="G7" s="13">
        <v>16</v>
      </c>
      <c r="H7" s="94">
        <f>IF(B$17=0,0,G7/B$17)</f>
        <v>0.26666666666666666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9</v>
      </c>
      <c r="C8" s="6">
        <f>IF(B$2=0,0,B8/B$2)</f>
        <v>0.26470588235294118</v>
      </c>
      <c r="E8" s="33" t="s">
        <v>59</v>
      </c>
      <c r="F8" s="30" t="s">
        <v>23</v>
      </c>
      <c r="G8" s="13">
        <v>14</v>
      </c>
      <c r="H8" s="94">
        <f>IF(B$17=0,0,G8/B$17)</f>
        <v>0.23333333333333334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0.23529411764705882</v>
      </c>
      <c r="E9" s="33" t="s">
        <v>56</v>
      </c>
      <c r="F9" s="30" t="s">
        <v>185</v>
      </c>
      <c r="G9" s="13">
        <v>10</v>
      </c>
      <c r="H9" s="94">
        <f>IF(B$17=0,0,G9/B$17)</f>
        <v>0.16666666666666666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58</v>
      </c>
      <c r="F10" s="30" t="s">
        <v>22</v>
      </c>
      <c r="G10" s="13">
        <v>8</v>
      </c>
      <c r="H10" s="94">
        <f>IF(B$17=0,0,G10/B$17)</f>
        <v>0.13333333333333333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0.6470588235294118</v>
      </c>
      <c r="E11" s="33" t="s">
        <v>182</v>
      </c>
      <c r="F11" s="30" t="s">
        <v>19</v>
      </c>
      <c r="G11" s="13">
        <v>6</v>
      </c>
      <c r="H11" s="94">
        <f>IF(B$17=0,0,G11/B$17)</f>
        <v>0.1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8.3333333333333329E-2</v>
      </c>
      <c r="I12" s="56">
        <v>2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44</v>
      </c>
      <c r="C13" s="11">
        <f>IF(B$3=0,0,B13/B$3)</f>
        <v>0.16988416988416988</v>
      </c>
      <c r="E13" s="33" t="s">
        <v>62</v>
      </c>
      <c r="F13" s="30" t="s">
        <v>26</v>
      </c>
      <c r="G13" s="13">
        <v>1</v>
      </c>
      <c r="H13" s="94">
        <f>IF(B$17=0,0,G13/B$17)</f>
        <v>1.6666666666666666E-2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12.328571428571427</v>
      </c>
      <c r="P13" s="80">
        <v>7</v>
      </c>
      <c r="Q13" s="68">
        <v>86.3</v>
      </c>
    </row>
    <row r="14" spans="1:17">
      <c r="A14" s="19" t="s">
        <v>94</v>
      </c>
      <c r="B14" s="13">
        <v>47</v>
      </c>
      <c r="C14" s="6">
        <f>IF(B$3=0,0,B14/B$3)</f>
        <v>0.18146718146718147</v>
      </c>
      <c r="E14" s="33" t="s">
        <v>66</v>
      </c>
      <c r="F14" s="30" t="s">
        <v>30</v>
      </c>
      <c r="G14" s="13">
        <v>1</v>
      </c>
      <c r="H14" s="94">
        <f>IF(B$17=0,0,G14/B$17)</f>
        <v>1.6666666666666666E-2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29</v>
      </c>
      <c r="C15" s="4">
        <f>IF(B$13=0,0,B15/B$13)</f>
        <v>0.65909090909090906</v>
      </c>
      <c r="E15" s="33" t="s">
        <v>183</v>
      </c>
      <c r="F15" s="30" t="s">
        <v>186</v>
      </c>
      <c r="G15" s="13">
        <v>1</v>
      </c>
      <c r="H15" s="94">
        <f>IF(B$17=0,0,G15/B$17)</f>
        <v>1.6666666666666666E-2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17.145454545454545</v>
      </c>
      <c r="P15" s="81">
        <v>11</v>
      </c>
      <c r="Q15" s="69">
        <v>188.6</v>
      </c>
    </row>
    <row r="16" spans="1:17">
      <c r="A16" s="18" t="s">
        <v>100</v>
      </c>
      <c r="B16" s="12">
        <f>B22</f>
        <v>17</v>
      </c>
      <c r="C16" s="4">
        <f>IF(B$14=0,0,B16/B$14)</f>
        <v>0.36170212765957449</v>
      </c>
      <c r="E16" s="33" t="s">
        <v>71</v>
      </c>
      <c r="F16" s="30" t="s">
        <v>35</v>
      </c>
      <c r="G16" s="13">
        <v>1</v>
      </c>
      <c r="H16" s="94">
        <f>IF(B$17=0,0,G16/B$17)</f>
        <v>1.6666666666666666E-2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0.23166023166023167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8.8803088803088806E-2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38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13</v>
      </c>
      <c r="C19" s="6">
        <f>IF(B$17=0,0,B19/B$17)</f>
        <v>0.21666666666666667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47</v>
      </c>
      <c r="C20" s="6">
        <f>IF(B$17=0,0,B20/B$17)</f>
        <v>0.78333333333333333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29</v>
      </c>
      <c r="C21" s="6">
        <f>IF(B$17=0,0,B21/B$17)</f>
        <v>0.48333333333333334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215</v>
      </c>
      <c r="O21" s="86">
        <f t="shared" si="3"/>
        <v>66.400000000000006</v>
      </c>
      <c r="P21" s="80">
        <v>1</v>
      </c>
      <c r="Q21" s="68">
        <v>66.400000000000006</v>
      </c>
    </row>
    <row r="22" spans="1:17">
      <c r="A22" s="19" t="s">
        <v>149</v>
      </c>
      <c r="B22" s="13">
        <v>17</v>
      </c>
      <c r="C22" s="6">
        <f>IF(B$17=0,0,B22/B$17)</f>
        <v>0.28333333333333333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166</v>
      </c>
      <c r="O22" s="86">
        <f t="shared" si="3"/>
        <v>53.75</v>
      </c>
      <c r="P22" s="80">
        <v>4</v>
      </c>
      <c r="Q22" s="68">
        <v>215</v>
      </c>
    </row>
    <row r="23" spans="1:17">
      <c r="A23" s="19" t="s">
        <v>150</v>
      </c>
      <c r="B23" s="13">
        <v>14</v>
      </c>
      <c r="C23" s="6">
        <f>IF(B$17=0,0,B23/B$17)</f>
        <v>0.23333333333333334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196</v>
      </c>
      <c r="O23" s="86">
        <f t="shared" si="3"/>
        <v>49.7</v>
      </c>
      <c r="P23" s="80">
        <v>1</v>
      </c>
      <c r="Q23" s="68">
        <v>49.7</v>
      </c>
    </row>
    <row r="24" spans="1:17">
      <c r="A24" s="19" t="s">
        <v>5</v>
      </c>
      <c r="B24" s="16">
        <f>IF(B$17=0,0,C24/B$17)</f>
        <v>8026.666666666667</v>
      </c>
      <c r="C24" s="8">
        <v>481600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179</v>
      </c>
      <c r="O24" s="86">
        <f t="shared" si="3"/>
        <v>46.750000000000014</v>
      </c>
      <c r="P24" s="80">
        <v>8</v>
      </c>
      <c r="Q24" s="68">
        <v>374.00000000000011</v>
      </c>
    </row>
    <row r="25" spans="1:17">
      <c r="A25" s="20" t="s">
        <v>133</v>
      </c>
      <c r="B25" s="97">
        <f>IF($B$17-B$16=0,0,C25/($B$17-B$16))</f>
        <v>8748.8372093023263</v>
      </c>
      <c r="C25" s="98">
        <v>376200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223</v>
      </c>
      <c r="O25" s="86">
        <f t="shared" si="3"/>
        <v>42.033333333333339</v>
      </c>
      <c r="P25" s="80">
        <v>3</v>
      </c>
      <c r="Q25" s="68">
        <v>126.10000000000001</v>
      </c>
    </row>
    <row r="26" spans="1:17">
      <c r="A26" s="20" t="s">
        <v>134</v>
      </c>
      <c r="B26" s="97">
        <f>IF(B$16=0,0,C26/B$16)</f>
        <v>6200</v>
      </c>
      <c r="C26" s="98">
        <v>105400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161</v>
      </c>
      <c r="O26" s="86">
        <f t="shared" si="3"/>
        <v>40.43333333333333</v>
      </c>
      <c r="P26" s="80">
        <v>6</v>
      </c>
      <c r="Q26" s="68">
        <v>242.6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216</v>
      </c>
      <c r="O27" s="86">
        <f t="shared" si="3"/>
        <v>39.80833333333333</v>
      </c>
      <c r="P27" s="80">
        <v>12</v>
      </c>
      <c r="Q27" s="68">
        <v>477.7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213</v>
      </c>
      <c r="O29" s="86">
        <f t="shared" si="3"/>
        <v>37.4</v>
      </c>
      <c r="P29" s="80">
        <v>6</v>
      </c>
      <c r="Q29" s="68">
        <v>224.39999999999998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235</v>
      </c>
      <c r="O30" s="86">
        <f t="shared" si="3"/>
        <v>36.950000000000003</v>
      </c>
      <c r="P30" s="80">
        <v>2</v>
      </c>
      <c r="Q30" s="68">
        <v>73.900000000000006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191</v>
      </c>
      <c r="O31" s="86">
        <f t="shared" si="3"/>
        <v>32.150000000000006</v>
      </c>
      <c r="P31" s="80">
        <v>8</v>
      </c>
      <c r="Q31" s="68">
        <v>257.20000000000005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 t="shared" si="3"/>
        <v>24.933333333333337</v>
      </c>
      <c r="P32" s="80">
        <v>3</v>
      </c>
      <c r="Q32" s="68">
        <v>74.800000000000011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195</v>
      </c>
      <c r="O33" s="86">
        <f t="shared" si="3"/>
        <v>-4.2812500000000053</v>
      </c>
      <c r="P33" s="80">
        <v>16</v>
      </c>
      <c r="Q33" s="68">
        <v>-68.500000000000085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164</v>
      </c>
      <c r="O34" s="86">
        <f t="shared" si="3"/>
        <v>-7.6999999999999975</v>
      </c>
      <c r="P34" s="80">
        <v>7</v>
      </c>
      <c r="Q34" s="68">
        <v>-53.899999999999984</v>
      </c>
    </row>
    <row r="35" spans="1:17">
      <c r="A35" s="52" t="s">
        <v>139</v>
      </c>
      <c r="B35" s="99">
        <v>2</v>
      </c>
      <c r="C35" s="102">
        <f t="shared" ref="C35:C47" si="4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177</v>
      </c>
      <c r="O35" s="86">
        <f t="shared" si="3"/>
        <v>-10.999999999999996</v>
      </c>
      <c r="P35" s="80">
        <v>2</v>
      </c>
      <c r="Q35" s="68">
        <v>-21.999999999999993</v>
      </c>
    </row>
    <row r="36" spans="1:17">
      <c r="A36" s="19" t="s">
        <v>135</v>
      </c>
      <c r="B36" s="13">
        <v>11</v>
      </c>
      <c r="C36" s="6">
        <f t="shared" si="4"/>
        <v>0.18333333333333332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168</v>
      </c>
      <c r="O36" s="86">
        <f t="shared" si="3"/>
        <v>-14.5625</v>
      </c>
      <c r="P36" s="80">
        <v>8</v>
      </c>
      <c r="Q36" s="68">
        <v>-116.5</v>
      </c>
    </row>
    <row r="37" spans="1:17">
      <c r="A37" s="19" t="s">
        <v>136</v>
      </c>
      <c r="B37" s="100">
        <v>9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167</v>
      </c>
      <c r="O37" s="86">
        <f t="shared" si="3"/>
        <v>-28.2</v>
      </c>
      <c r="P37" s="80">
        <v>1</v>
      </c>
      <c r="Q37" s="68">
        <v>-28.2</v>
      </c>
    </row>
    <row r="38" spans="1:17">
      <c r="A38" s="19" t="s">
        <v>137</v>
      </c>
      <c r="B38" s="100">
        <v>19</v>
      </c>
      <c r="C38" s="6">
        <f t="shared" si="4"/>
        <v>0.31666666666666665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162</v>
      </c>
      <c r="O38" s="86">
        <f t="shared" si="3"/>
        <v>-38.020000000000003</v>
      </c>
      <c r="P38" s="80">
        <v>5</v>
      </c>
      <c r="Q38" s="68">
        <v>-190.10000000000002</v>
      </c>
    </row>
    <row r="39" spans="1:17">
      <c r="A39" s="19" t="s">
        <v>138</v>
      </c>
      <c r="B39" s="100">
        <v>5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10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18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17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6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19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23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13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19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23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27</v>
      </c>
      <c r="H2" s="93">
        <f>IF(B$17=0,0,G2/B$17)</f>
        <v>0.51923076923076927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916.66666666666663</v>
      </c>
      <c r="P2" s="79">
        <v>30</v>
      </c>
      <c r="Q2" s="63">
        <v>27500</v>
      </c>
    </row>
    <row r="3" spans="1:17">
      <c r="A3" s="19" t="s">
        <v>8</v>
      </c>
      <c r="B3" s="122">
        <v>207</v>
      </c>
      <c r="C3" s="123"/>
      <c r="E3" s="33" t="s">
        <v>54</v>
      </c>
      <c r="F3" s="30" t="s">
        <v>20</v>
      </c>
      <c r="G3" s="13">
        <v>25</v>
      </c>
      <c r="H3" s="94">
        <f>IF(B$17=0,0,G3/B$17)</f>
        <v>0.48076923076923078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470</v>
      </c>
      <c r="P3" s="80">
        <v>30</v>
      </c>
      <c r="Q3" s="64">
        <v>14100</v>
      </c>
    </row>
    <row r="4" spans="1:17">
      <c r="A4" s="19" t="s">
        <v>6</v>
      </c>
      <c r="B4" s="124">
        <v>64.999999999999972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0.42307692307692307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450</v>
      </c>
      <c r="P4" s="80">
        <v>30</v>
      </c>
      <c r="Q4" s="64">
        <v>13500</v>
      </c>
    </row>
    <row r="5" spans="1:17">
      <c r="A5" s="19" t="s">
        <v>7</v>
      </c>
      <c r="B5" s="126">
        <f>IF(B$2=0,0,B$4/B$2)</f>
        <v>2.1666666666666656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0.32692307692307693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715.38461538461536</v>
      </c>
      <c r="P5" s="80">
        <v>26</v>
      </c>
      <c r="Q5" s="64">
        <v>18600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16</v>
      </c>
      <c r="H6" s="94">
        <f>IF(B$17=0,0,G6/B$17)</f>
        <v>0.30769230769230771</v>
      </c>
      <c r="I6" s="56">
        <v>10</v>
      </c>
      <c r="K6" s="5">
        <v>4</v>
      </c>
      <c r="L6" s="61">
        <v>-96.4</v>
      </c>
      <c r="N6" s="76" t="s">
        <v>106</v>
      </c>
      <c r="O6" s="83">
        <f t="shared" ref="O6" si="1">IF(P6=0,0,Q6/P6)</f>
        <v>-1637.5</v>
      </c>
      <c r="P6" s="80">
        <v>16</v>
      </c>
      <c r="Q6" s="64">
        <v>-26200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56</v>
      </c>
      <c r="F7" s="30" t="s">
        <v>185</v>
      </c>
      <c r="G7" s="13">
        <v>14</v>
      </c>
      <c r="H7" s="94">
        <f>IF(B$17=0,0,G7/B$17)</f>
        <v>0.26923076923076922</v>
      </c>
      <c r="I7" s="56">
        <v>12</v>
      </c>
      <c r="K7" s="5">
        <v>5</v>
      </c>
      <c r="L7" s="61">
        <v>-160.60000000000002</v>
      </c>
      <c r="N7" s="76" t="s">
        <v>107</v>
      </c>
      <c r="O7" s="83">
        <f t="shared" si="0"/>
        <v>-1333.3333333333333</v>
      </c>
      <c r="P7" s="80">
        <v>12</v>
      </c>
      <c r="Q7" s="64">
        <v>-16000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59</v>
      </c>
      <c r="F8" s="30" t="s">
        <v>23</v>
      </c>
      <c r="G8" s="13">
        <v>11</v>
      </c>
      <c r="H8" s="94">
        <f>IF(B$17=0,0,G8/B$17)</f>
        <v>0.21153846153846154</v>
      </c>
      <c r="I8" s="56">
        <v>8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57</v>
      </c>
      <c r="F10" s="30" t="s">
        <v>21</v>
      </c>
      <c r="G10" s="13">
        <v>7</v>
      </c>
      <c r="H10" s="94">
        <f>IF(B$17=0,0,G10/B$17)</f>
        <v>0.13461538461538461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77</v>
      </c>
      <c r="F11" s="30" t="s">
        <v>41</v>
      </c>
      <c r="G11" s="13">
        <v>4</v>
      </c>
      <c r="H11" s="94">
        <f>IF(B$17=0,0,G11/B$17)</f>
        <v>7.6923076923076927E-2</v>
      </c>
      <c r="I11" s="56">
        <v>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58</v>
      </c>
      <c r="F12" s="30" t="s">
        <v>22</v>
      </c>
      <c r="G12" s="13">
        <v>3</v>
      </c>
      <c r="H12" s="94">
        <f>IF(B$17=0,0,G12/B$17)</f>
        <v>5.7692307692307696E-2</v>
      </c>
      <c r="I12" s="56">
        <v>12</v>
      </c>
      <c r="K12" s="5">
        <v>10</v>
      </c>
      <c r="L12" s="61">
        <v>-239.90000000000003</v>
      </c>
      <c r="N12" s="75" t="s">
        <v>126</v>
      </c>
      <c r="O12" s="85">
        <f>IF(P12=0,0,Q12/P12)</f>
        <v>-25.266666666666669</v>
      </c>
      <c r="P12" s="79">
        <v>3</v>
      </c>
      <c r="Q12" s="67">
        <v>-75.800000000000011</v>
      </c>
    </row>
    <row r="13" spans="1:17">
      <c r="A13" s="22" t="s">
        <v>97</v>
      </c>
      <c r="B13" s="15">
        <v>53</v>
      </c>
      <c r="C13" s="11">
        <f>IF(B$3=0,0,B13/B$3)</f>
        <v>0.2560386473429952</v>
      </c>
      <c r="E13" s="33" t="s">
        <v>71</v>
      </c>
      <c r="F13" s="30" t="s">
        <v>35</v>
      </c>
      <c r="G13" s="13">
        <v>3</v>
      </c>
      <c r="H13" s="94">
        <f>IF(B$17=0,0,G13/B$17)</f>
        <v>5.7692307692307696E-2</v>
      </c>
      <c r="I13" s="56">
        <v>3</v>
      </c>
      <c r="K13" s="5">
        <v>11</v>
      </c>
      <c r="L13" s="61">
        <v>-300.00000000000006</v>
      </c>
      <c r="N13" s="76" t="s">
        <v>127</v>
      </c>
      <c r="O13" s="86">
        <f>IF(P13=0,0,Q13/P13)</f>
        <v>12.98</v>
      </c>
      <c r="P13" s="80">
        <v>5</v>
      </c>
      <c r="Q13" s="68">
        <v>64.900000000000006</v>
      </c>
    </row>
    <row r="14" spans="1:17">
      <c r="A14" s="19" t="s">
        <v>94</v>
      </c>
      <c r="B14" s="13">
        <v>54</v>
      </c>
      <c r="C14" s="6">
        <f>IF(B$3=0,0,B14/B$3)</f>
        <v>0.2608695652173913</v>
      </c>
      <c r="E14" s="33" t="s">
        <v>74</v>
      </c>
      <c r="F14" s="30" t="s">
        <v>38</v>
      </c>
      <c r="G14" s="13">
        <v>3</v>
      </c>
      <c r="H14" s="94">
        <f>IF(B$17=0,0,G14/B$17)</f>
        <v>5.7692307692307696E-2</v>
      </c>
      <c r="I14" s="56">
        <v>4</v>
      </c>
      <c r="K14" s="5">
        <v>12</v>
      </c>
      <c r="L14" s="61">
        <v>-290.00000000000006</v>
      </c>
      <c r="N14" s="76" t="s">
        <v>128</v>
      </c>
      <c r="O14" s="86">
        <f>IF(P14=0,0,Q14/P14)</f>
        <v>11.562499999999998</v>
      </c>
      <c r="P14" s="80">
        <v>8</v>
      </c>
      <c r="Q14" s="68">
        <v>92.499999999999986</v>
      </c>
    </row>
    <row r="15" spans="1:17">
      <c r="A15" s="18" t="s">
        <v>99</v>
      </c>
      <c r="B15" s="12">
        <f>B21</f>
        <v>27</v>
      </c>
      <c r="C15" s="4">
        <f>IF(B$13=0,0,B15/B$13)</f>
        <v>0.50943396226415094</v>
      </c>
      <c r="E15" s="33" t="s">
        <v>78</v>
      </c>
      <c r="F15" s="30" t="s">
        <v>42</v>
      </c>
      <c r="G15" s="13">
        <v>2</v>
      </c>
      <c r="H15" s="94">
        <f>IF(B$17=0,0,G15/B$17)</f>
        <v>3.8461538461538464E-2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20</v>
      </c>
      <c r="C16" s="4">
        <f>IF(B$14=0,0,B16/B$14)</f>
        <v>0.37037037037037035</v>
      </c>
      <c r="E16" s="33" t="s">
        <v>62</v>
      </c>
      <c r="F16" s="30" t="s">
        <v>26</v>
      </c>
      <c r="G16" s="13">
        <v>1</v>
      </c>
      <c r="H16" s="94">
        <f>IF(B$17=0,0,G16/B$17)</f>
        <v>1.9230769230769232E-2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0.25120772946859904</v>
      </c>
      <c r="E17" s="33" t="s">
        <v>66</v>
      </c>
      <c r="F17" s="30" t="s">
        <v>30</v>
      </c>
      <c r="G17" s="13">
        <v>1</v>
      </c>
      <c r="H17" s="94">
        <f>IF(B$17=0,0,G17/B$17)</f>
        <v>1.9230769230769232E-2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0.12077294685990338</v>
      </c>
      <c r="E18" s="33" t="s">
        <v>183</v>
      </c>
      <c r="F18" s="30" t="s">
        <v>186</v>
      </c>
      <c r="G18" s="13">
        <v>1</v>
      </c>
      <c r="H18" s="94">
        <f>IF(B$17=0,0,G18/B$17)</f>
        <v>1.9230769230769232E-2</v>
      </c>
      <c r="I18" s="56">
        <v>9</v>
      </c>
      <c r="K18" s="5">
        <v>16</v>
      </c>
      <c r="L18" s="61">
        <v>-275</v>
      </c>
      <c r="N18" s="75" t="s">
        <v>235</v>
      </c>
      <c r="O18" s="85">
        <f t="shared" ref="O18:O37" si="3"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22</v>
      </c>
      <c r="C19" s="6">
        <f>IF(B$17=0,0,B19/B$17)</f>
        <v>0.42307692307692307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 t="shared" si="3"/>
        <v>55.199999999999989</v>
      </c>
      <c r="P19" s="80">
        <v>4</v>
      </c>
      <c r="Q19" s="68">
        <v>220.79999999999995</v>
      </c>
    </row>
    <row r="20" spans="1:17">
      <c r="A20" s="19" t="s">
        <v>11</v>
      </c>
      <c r="B20" s="13">
        <v>30</v>
      </c>
      <c r="C20" s="6">
        <f>IF(B$17=0,0,B20/B$17)</f>
        <v>0.57692307692307687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 t="shared" si="3"/>
        <v>47.5</v>
      </c>
      <c r="P20" s="80">
        <v>2</v>
      </c>
      <c r="Q20" s="68">
        <v>95</v>
      </c>
    </row>
    <row r="21" spans="1:17">
      <c r="A21" s="19" t="s">
        <v>151</v>
      </c>
      <c r="B21" s="13">
        <v>27</v>
      </c>
      <c r="C21" s="6">
        <f>IF(B$17=0,0,B21/B$17)</f>
        <v>0.51923076923076927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 t="shared" si="3"/>
        <v>45.5</v>
      </c>
      <c r="P21" s="80">
        <v>2</v>
      </c>
      <c r="Q21" s="68">
        <v>91</v>
      </c>
    </row>
    <row r="22" spans="1:17">
      <c r="A22" s="19" t="s">
        <v>149</v>
      </c>
      <c r="B22" s="13">
        <v>20</v>
      </c>
      <c r="C22" s="6">
        <f>IF(B$17=0,0,B22/B$17)</f>
        <v>0.38461538461538464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227</v>
      </c>
      <c r="O22" s="86">
        <f t="shared" si="3"/>
        <v>34.349999999999994</v>
      </c>
      <c r="P22" s="80">
        <v>4</v>
      </c>
      <c r="Q22" s="68">
        <v>137.39999999999998</v>
      </c>
    </row>
    <row r="23" spans="1:17">
      <c r="A23" s="19" t="s">
        <v>150</v>
      </c>
      <c r="B23" s="13">
        <v>5</v>
      </c>
      <c r="C23" s="6">
        <f>IF(B$17=0,0,B23/B$17)</f>
        <v>9.6153846153846159E-2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 t="shared" si="3"/>
        <v>31.93076923076924</v>
      </c>
      <c r="P23" s="80">
        <v>13</v>
      </c>
      <c r="Q23" s="68">
        <v>415.10000000000014</v>
      </c>
    </row>
    <row r="24" spans="1:17">
      <c r="A24" s="19" t="s">
        <v>5</v>
      </c>
      <c r="B24" s="16">
        <f>IF(B$17=0,0,C24/B$17)</f>
        <v>6442.3076923076924</v>
      </c>
      <c r="C24" s="8">
        <v>335000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228</v>
      </c>
      <c r="O24" s="86">
        <f t="shared" si="3"/>
        <v>29.3</v>
      </c>
      <c r="P24" s="80">
        <v>6</v>
      </c>
      <c r="Q24" s="68">
        <v>175.8</v>
      </c>
    </row>
    <row r="25" spans="1:17">
      <c r="A25" s="20" t="s">
        <v>133</v>
      </c>
      <c r="B25" s="97">
        <f>IF($B$17-B$16=0,0,C25/($B$17-B$16))</f>
        <v>7821.875</v>
      </c>
      <c r="C25" s="98">
        <v>250300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 t="shared" si="3"/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4235</v>
      </c>
      <c r="C26" s="98">
        <v>84700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 t="shared" si="3"/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-6816</v>
      </c>
      <c r="C27" s="98">
        <v>-170400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 t="shared" si="3"/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20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 t="shared" si="3"/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 t="shared" si="3"/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 t="shared" si="3"/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4.830917874396135E-3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 t="shared" si="3"/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 t="shared" si="3"/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N34" s="76" t="s">
        <v>179</v>
      </c>
      <c r="O34" s="86">
        <f t="shared" si="3"/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4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191</v>
      </c>
      <c r="O36" s="86">
        <f t="shared" si="3"/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 t="shared" si="3"/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3</v>
      </c>
      <c r="C38" s="6">
        <f t="shared" si="4"/>
        <v>5.7692307692307696E-2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0.17307692307692307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4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23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8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6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20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184</v>
      </c>
      <c r="F2" s="29" t="s">
        <v>187</v>
      </c>
      <c r="G2" s="12">
        <v>13</v>
      </c>
      <c r="H2" s="93">
        <f>IF(B$17=0,0,G2/B$17)</f>
        <v>0.8666666666666667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726.31578947368416</v>
      </c>
      <c r="P2" s="79">
        <v>19</v>
      </c>
      <c r="Q2" s="63">
        <v>13800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0.66666666666666663</v>
      </c>
      <c r="I3" s="56">
        <v>8</v>
      </c>
      <c r="K3" s="5">
        <v>1</v>
      </c>
      <c r="L3" s="61">
        <v>-47.6</v>
      </c>
      <c r="N3" s="76" t="s">
        <v>104</v>
      </c>
      <c r="O3" s="83">
        <f t="shared" si="0"/>
        <v>1010.5263157894736</v>
      </c>
      <c r="P3" s="80">
        <v>19</v>
      </c>
      <c r="Q3" s="64">
        <v>19200</v>
      </c>
    </row>
    <row r="4" spans="1:17">
      <c r="A4" s="19" t="s">
        <v>6</v>
      </c>
      <c r="B4" s="124">
        <v>-181.79999999999998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0.53333333333333333</v>
      </c>
      <c r="I4" s="56">
        <v>15</v>
      </c>
      <c r="K4" s="5">
        <v>2</v>
      </c>
      <c r="L4" s="61">
        <v>-102</v>
      </c>
      <c r="N4" s="76" t="s">
        <v>105</v>
      </c>
      <c r="O4" s="83">
        <f t="shared" si="0"/>
        <v>-4073.6842105263158</v>
      </c>
      <c r="P4" s="80">
        <v>19</v>
      </c>
      <c r="Q4" s="64">
        <v>-77400</v>
      </c>
    </row>
    <row r="5" spans="1:17">
      <c r="A5" s="19" t="s">
        <v>7</v>
      </c>
      <c r="B5" s="126">
        <f>IF(B$2=0,0,B$4/B$2)</f>
        <v>-9.568421052631578</v>
      </c>
      <c r="C5" s="127"/>
      <c r="E5" s="33" t="s">
        <v>55</v>
      </c>
      <c r="F5" s="30" t="s">
        <v>155</v>
      </c>
      <c r="G5" s="13">
        <v>8</v>
      </c>
      <c r="H5" s="94">
        <f>IF(B$17=0,0,G5/B$17)</f>
        <v>0.53333333333333333</v>
      </c>
      <c r="I5" s="56">
        <v>3</v>
      </c>
      <c r="K5" s="5">
        <v>3</v>
      </c>
      <c r="L5" s="61">
        <v>-97.3</v>
      </c>
      <c r="N5" s="76" t="s">
        <v>157</v>
      </c>
      <c r="O5" s="83">
        <f>IF(P5=0,0,Q5/P5)</f>
        <v>-762.5</v>
      </c>
      <c r="P5" s="80">
        <v>16</v>
      </c>
      <c r="Q5" s="64">
        <v>-12200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0.4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-3585.7142857142858</v>
      </c>
      <c r="P6" s="80">
        <v>7</v>
      </c>
      <c r="Q6" s="64">
        <v>-25100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4</v>
      </c>
      <c r="H7" s="94">
        <f>IF(B$17=0,0,G7/B$17)</f>
        <v>0.26666666666666666</v>
      </c>
      <c r="I7" s="56">
        <v>13</v>
      </c>
      <c r="K7" s="5">
        <v>5</v>
      </c>
      <c r="L7" s="61">
        <v>-133.4</v>
      </c>
      <c r="N7" s="76" t="s">
        <v>107</v>
      </c>
      <c r="O7" s="83">
        <f t="shared" si="0"/>
        <v>-3525</v>
      </c>
      <c r="P7" s="80">
        <v>4</v>
      </c>
      <c r="Q7" s="64">
        <v>-14100</v>
      </c>
    </row>
    <row r="8" spans="1:17">
      <c r="A8" s="19" t="s">
        <v>3</v>
      </c>
      <c r="B8" s="13">
        <v>4</v>
      </c>
      <c r="C8" s="6">
        <f>IF(B$2=0,0,B8/B$2)</f>
        <v>0.21052631578947367</v>
      </c>
      <c r="E8" s="33" t="s">
        <v>57</v>
      </c>
      <c r="F8" s="30" t="s">
        <v>21</v>
      </c>
      <c r="G8" s="13">
        <v>4</v>
      </c>
      <c r="H8" s="94">
        <f>IF(B$17=0,0,G8/B$17)</f>
        <v>0.26666666666666666</v>
      </c>
      <c r="I8" s="56">
        <v>10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0.26315789473684209</v>
      </c>
      <c r="E9" s="33" t="s">
        <v>59</v>
      </c>
      <c r="F9" s="30" t="s">
        <v>23</v>
      </c>
      <c r="G9" s="13">
        <v>2</v>
      </c>
      <c r="H9" s="94">
        <f>IF(B$17=0,0,G9/B$17)</f>
        <v>0.13333333333333333</v>
      </c>
      <c r="I9" s="56">
        <v>12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12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1</v>
      </c>
      <c r="H11" s="94">
        <f>IF(B$17=0,0,G11/B$17)</f>
        <v>6.6666666666666666E-2</v>
      </c>
      <c r="I11" s="56">
        <v>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5.2631578947368418E-2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4</v>
      </c>
      <c r="K12" s="5">
        <v>10</v>
      </c>
      <c r="L12" s="61">
        <v>-213.49999999999997</v>
      </c>
      <c r="N12" s="75" t="s">
        <v>126</v>
      </c>
      <c r="O12" s="85">
        <f>IF(P12=0,0,Q12/P12)</f>
        <v>-18.833333333333336</v>
      </c>
      <c r="P12" s="79">
        <v>6</v>
      </c>
      <c r="Q12" s="67">
        <v>-113.00000000000001</v>
      </c>
    </row>
    <row r="13" spans="1:17">
      <c r="A13" s="22" t="s">
        <v>97</v>
      </c>
      <c r="B13" s="15">
        <v>22</v>
      </c>
      <c r="C13" s="11">
        <f>IF(B$3=0,0,B13/B$3)</f>
        <v>0.18032786885245902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12</v>
      </c>
      <c r="C14" s="6">
        <f>IF(B$3=0,0,B14/B$3)</f>
        <v>9.8360655737704916E-2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-265.09999999999997</v>
      </c>
      <c r="N14" s="76" t="s">
        <v>128</v>
      </c>
      <c r="O14" s="86">
        <f>IF(P14=0,0,Q14/P14)</f>
        <v>12.942857142857145</v>
      </c>
      <c r="P14" s="80">
        <v>7</v>
      </c>
      <c r="Q14" s="68">
        <v>90.600000000000009</v>
      </c>
    </row>
    <row r="15" spans="1:17">
      <c r="A15" s="18" t="s">
        <v>99</v>
      </c>
      <c r="B15" s="12">
        <f>B21</f>
        <v>10</v>
      </c>
      <c r="C15" s="4">
        <f>IF(B$13=0,0,B15/B$13)</f>
        <v>0.45454545454545453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-21.000000000000004</v>
      </c>
      <c r="P15" s="81">
        <v>5</v>
      </c>
      <c r="Q15" s="69">
        <v>-105.00000000000001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0.12295081967213115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0.14754098360655737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238</v>
      </c>
      <c r="O18" s="85">
        <f>IF(P18=0,0,Q18/P18)</f>
        <v>86.9</v>
      </c>
      <c r="P18" s="79">
        <v>2</v>
      </c>
      <c r="Q18" s="67">
        <v>173.8</v>
      </c>
    </row>
    <row r="19" spans="1:17">
      <c r="A19" s="19" t="s">
        <v>12</v>
      </c>
      <c r="B19" s="13">
        <v>6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244</v>
      </c>
      <c r="O19" s="86">
        <f>IF(P19=0,0,Q19/P19)</f>
        <v>61.85</v>
      </c>
      <c r="P19" s="80">
        <v>2</v>
      </c>
      <c r="Q19" s="68">
        <v>123.7</v>
      </c>
    </row>
    <row r="20" spans="1:17">
      <c r="A20" s="19" t="s">
        <v>11</v>
      </c>
      <c r="B20" s="13">
        <v>9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>IF(P20=0,0,Q20/P20)</f>
        <v>39.975000000000001</v>
      </c>
      <c r="P20" s="80">
        <v>4</v>
      </c>
      <c r="Q20" s="68">
        <v>159.9</v>
      </c>
    </row>
    <row r="21" spans="1:17">
      <c r="A21" s="19" t="s">
        <v>151</v>
      </c>
      <c r="B21" s="13">
        <v>10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228</v>
      </c>
      <c r="O21" s="86">
        <f>IF(P21=0,0,Q21/P21)</f>
        <v>19.174999999999997</v>
      </c>
      <c r="P21" s="80">
        <v>4</v>
      </c>
      <c r="Q21" s="68">
        <v>76.699999999999989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223</v>
      </c>
      <c r="O22" s="86">
        <f>IF(P22=0,0,Q22/P22)</f>
        <v>3.2500000000000036</v>
      </c>
      <c r="P22" s="80">
        <v>4</v>
      </c>
      <c r="Q22" s="68">
        <v>13.000000000000014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-4.0999999999999979</v>
      </c>
      <c r="P23" s="80">
        <v>2</v>
      </c>
      <c r="Q23" s="68">
        <v>-8.1999999999999957</v>
      </c>
    </row>
    <row r="24" spans="1:17">
      <c r="A24" s="19" t="s">
        <v>5</v>
      </c>
      <c r="B24" s="16">
        <f>IF(B$17=0,0,C24/B$17)</f>
        <v>8240</v>
      </c>
      <c r="C24" s="8">
        <v>123600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227</v>
      </c>
      <c r="O24" s="86">
        <f>IF(P24=0,0,Q24/P24)</f>
        <v>-4.8749999999999982</v>
      </c>
      <c r="P24" s="80">
        <v>4</v>
      </c>
      <c r="Q24" s="68">
        <v>-19.499999999999993</v>
      </c>
    </row>
    <row r="25" spans="1:17">
      <c r="A25" s="20" t="s">
        <v>133</v>
      </c>
      <c r="B25" s="97">
        <f>IF($B$17-B$16=0,0,C25/($B$17-B$16))</f>
        <v>8970</v>
      </c>
      <c r="C25" s="98">
        <v>89700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>IF(P25=0,0,Q25/P25)</f>
        <v>-9.2750000000000004</v>
      </c>
      <c r="P25" s="80">
        <v>4</v>
      </c>
      <c r="Q25" s="68">
        <v>-37.1</v>
      </c>
    </row>
    <row r="26" spans="1:17">
      <c r="A26" s="20" t="s">
        <v>134</v>
      </c>
      <c r="B26" s="97">
        <f>IF(B$16=0,0,C26/B$16)</f>
        <v>6780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-31.930769230769236</v>
      </c>
      <c r="P26" s="80">
        <v>13</v>
      </c>
      <c r="Q26" s="68">
        <v>-415.10000000000008</v>
      </c>
    </row>
    <row r="27" spans="1:17">
      <c r="A27" s="20" t="s">
        <v>132</v>
      </c>
      <c r="B27" s="97">
        <f>IF(B$18=0,0,C27/B$18)</f>
        <v>-7766.666666666667</v>
      </c>
      <c r="C27" s="98">
        <v>-139800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215</v>
      </c>
      <c r="O27" s="86">
        <f>IF(P27=0,0,Q27/P27)</f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>IF(P28=0,0,Q28/P28)</f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20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-39.808333333333337</v>
      </c>
      <c r="P29" s="80">
        <v>12</v>
      </c>
      <c r="Q29" s="68">
        <v>-477.70000000000005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>IF(P30=0,0,Q30/P30)</f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46700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>IF(P31=0,0,Q31/P31)</f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0.26666666666666666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1437.5</v>
      </c>
      <c r="P2" s="79">
        <v>8</v>
      </c>
      <c r="Q2" s="63">
        <v>11500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0.75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-3087.5</v>
      </c>
      <c r="P3" s="80">
        <v>8</v>
      </c>
      <c r="Q3" s="64">
        <v>-24700</v>
      </c>
    </row>
    <row r="4" spans="1:17">
      <c r="A4" s="19" t="s">
        <v>6</v>
      </c>
      <c r="B4" s="124">
        <v>-124.99999999999999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0.375</v>
      </c>
      <c r="I4" s="56">
        <v>17</v>
      </c>
      <c r="K4" s="5">
        <v>2</v>
      </c>
      <c r="L4" s="61">
        <v>122.9</v>
      </c>
      <c r="N4" s="76" t="s">
        <v>105</v>
      </c>
      <c r="O4" s="83">
        <f t="shared" si="0"/>
        <v>-3275</v>
      </c>
      <c r="P4" s="80">
        <v>8</v>
      </c>
      <c r="Q4" s="64">
        <v>-26200</v>
      </c>
    </row>
    <row r="5" spans="1:17">
      <c r="A5" s="19" t="s">
        <v>7</v>
      </c>
      <c r="B5" s="126">
        <f>IF(B$2=0,0,B$4/B$2)</f>
        <v>-15.624999999999998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16</v>
      </c>
      <c r="K5" s="5">
        <v>3</v>
      </c>
      <c r="L5" s="61">
        <v>69.800000000000011</v>
      </c>
      <c r="N5" s="76" t="s">
        <v>157</v>
      </c>
      <c r="O5" s="83">
        <f>IF(P5=0,0,Q5/P5)</f>
        <v>-1037.5</v>
      </c>
      <c r="P5" s="80">
        <v>8</v>
      </c>
      <c r="Q5" s="64">
        <v>-8300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-1750</v>
      </c>
      <c r="P6" s="80">
        <v>4</v>
      </c>
      <c r="Q6" s="64">
        <v>-7000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1</v>
      </c>
      <c r="H7" s="94">
        <f>IF(B$17=0,0,G7/B$17)</f>
        <v>0.125</v>
      </c>
      <c r="I7" s="56">
        <v>25</v>
      </c>
      <c r="K7" s="5">
        <v>5</v>
      </c>
      <c r="L7" s="61">
        <v>23.200000000000014</v>
      </c>
      <c r="N7" s="76" t="s">
        <v>107</v>
      </c>
      <c r="O7" s="83">
        <f t="shared" si="0"/>
        <v>-2766.6666666666665</v>
      </c>
      <c r="P7" s="80">
        <v>3</v>
      </c>
      <c r="Q7" s="64">
        <v>-8300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19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183</v>
      </c>
      <c r="F10" s="30" t="s">
        <v>186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7</v>
      </c>
      <c r="C13" s="11">
        <f>IF(B$3=0,0,B13/B$3)</f>
        <v>0.13207547169811321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-41.8</v>
      </c>
      <c r="P13" s="80">
        <v>1</v>
      </c>
      <c r="Q13" s="68">
        <v>-41.8</v>
      </c>
    </row>
    <row r="14" spans="1:17">
      <c r="A14" s="19" t="s">
        <v>94</v>
      </c>
      <c r="B14" s="13">
        <v>7</v>
      </c>
      <c r="C14" s="6">
        <f>IF(B$3=0,0,B14/B$3)</f>
        <v>0.13207547169811321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-16.3</v>
      </c>
      <c r="P14" s="80">
        <v>3</v>
      </c>
      <c r="Q14" s="68">
        <v>-48.9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-31.566666666666663</v>
      </c>
      <c r="P15" s="81">
        <v>3</v>
      </c>
      <c r="Q15" s="69">
        <v>-94.699999999999989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0.20754716981132076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4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2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227</v>
      </c>
      <c r="O19" s="86">
        <f t="shared" si="3"/>
        <v>-5.8</v>
      </c>
      <c r="P19" s="80">
        <v>6</v>
      </c>
      <c r="Q19" s="68">
        <v>-34.799999999999997</v>
      </c>
    </row>
    <row r="20" spans="1:17">
      <c r="A20" s="19" t="s">
        <v>11</v>
      </c>
      <c r="B20" s="13">
        <v>6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-19.175000000000001</v>
      </c>
      <c r="P20" s="80">
        <v>4</v>
      </c>
      <c r="Q20" s="68">
        <v>-76.7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-29.199999999999996</v>
      </c>
      <c r="P21" s="80">
        <v>2</v>
      </c>
      <c r="Q21" s="68">
        <v>-58.399999999999991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-29.3</v>
      </c>
      <c r="P22" s="80">
        <v>6</v>
      </c>
      <c r="Q22" s="68">
        <v>-175.8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7537.5</v>
      </c>
      <c r="C24" s="8">
        <v>60300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231</v>
      </c>
      <c r="O24" s="86">
        <f t="shared" si="3"/>
        <v>-103.69999999999999</v>
      </c>
      <c r="P24" s="80">
        <v>2</v>
      </c>
      <c r="Q24" s="68">
        <v>-207.39999999999998</v>
      </c>
    </row>
    <row r="25" spans="1:17">
      <c r="A25" s="20" t="s">
        <v>133</v>
      </c>
      <c r="B25" s="97">
        <f>IF($B$17-B$16=0,0,C25/($B$17-B$16))</f>
        <v>6900</v>
      </c>
      <c r="C25" s="98">
        <v>48300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-8163.636363636364</v>
      </c>
      <c r="C27" s="98">
        <v>-89800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0.8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-3725</v>
      </c>
      <c r="P2" s="79">
        <v>8</v>
      </c>
      <c r="Q2" s="63">
        <v>-29800</v>
      </c>
    </row>
    <row r="3" spans="1:17">
      <c r="A3" s="19" t="s">
        <v>8</v>
      </c>
      <c r="B3" s="122">
        <v>51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0.53333333333333333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50</v>
      </c>
      <c r="P3" s="80">
        <v>8</v>
      </c>
      <c r="Q3" s="64">
        <v>400</v>
      </c>
    </row>
    <row r="4" spans="1:17">
      <c r="A4" s="19" t="s">
        <v>6</v>
      </c>
      <c r="B4" s="124">
        <v>-10.000000000000021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0.53333333333333333</v>
      </c>
      <c r="I4" s="56">
        <v>2</v>
      </c>
      <c r="K4" s="5">
        <v>2</v>
      </c>
      <c r="L4" s="61">
        <v>-62.100000000000009</v>
      </c>
      <c r="N4" s="76" t="s">
        <v>105</v>
      </c>
      <c r="O4" s="83">
        <f t="shared" si="0"/>
        <v>3550</v>
      </c>
      <c r="P4" s="80">
        <v>8</v>
      </c>
      <c r="Q4" s="64">
        <v>28400</v>
      </c>
    </row>
    <row r="5" spans="1:17">
      <c r="A5" s="19" t="s">
        <v>7</v>
      </c>
      <c r="B5" s="126">
        <f>IF(B$2=0,0,B$4/B$2)</f>
        <v>-1.2500000000000027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0.46666666666666667</v>
      </c>
      <c r="I5" s="56">
        <v>13</v>
      </c>
      <c r="K5" s="5">
        <v>3</v>
      </c>
      <c r="L5" s="61">
        <v>-49.70000000000001</v>
      </c>
      <c r="N5" s="76" t="s">
        <v>157</v>
      </c>
      <c r="O5" s="83">
        <f>IF(P5=0,0,Q5/P5)</f>
        <v>925</v>
      </c>
      <c r="P5" s="80">
        <v>8</v>
      </c>
      <c r="Q5" s="64">
        <v>7400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0.33333333333333331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1500</v>
      </c>
      <c r="P6" s="80">
        <v>2</v>
      </c>
      <c r="Q6" s="64">
        <v>3000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59</v>
      </c>
      <c r="F7" s="30" t="s">
        <v>23</v>
      </c>
      <c r="G7" s="13">
        <v>4</v>
      </c>
      <c r="H7" s="94">
        <f>IF(B$17=0,0,G7/B$17)</f>
        <v>0.26666666666666666</v>
      </c>
      <c r="I7" s="56">
        <v>4</v>
      </c>
      <c r="K7" s="5">
        <v>5</v>
      </c>
      <c r="L7" s="61">
        <v>-66.200000000000017</v>
      </c>
      <c r="N7" s="76" t="s">
        <v>107</v>
      </c>
      <c r="O7" s="83">
        <f t="shared" si="0"/>
        <v>1300</v>
      </c>
      <c r="P7" s="80">
        <v>2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0.5</v>
      </c>
      <c r="E8" s="33" t="s">
        <v>182</v>
      </c>
      <c r="F8" s="30" t="s">
        <v>19</v>
      </c>
      <c r="G8" s="13">
        <v>3</v>
      </c>
      <c r="H8" s="94">
        <f>IF(B$17=0,0,G8/B$17)</f>
        <v>0.2</v>
      </c>
      <c r="I8" s="56">
        <v>6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60</v>
      </c>
      <c r="F9" s="30" t="s">
        <v>24</v>
      </c>
      <c r="G9" s="13">
        <v>3</v>
      </c>
      <c r="H9" s="94">
        <f>IF(B$17=0,0,G9/B$17)</f>
        <v>0.2</v>
      </c>
      <c r="I9" s="56">
        <v>25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56</v>
      </c>
      <c r="F10" s="30" t="s">
        <v>185</v>
      </c>
      <c r="G10" s="13">
        <v>2</v>
      </c>
      <c r="H10" s="94">
        <f>IF(B$17=0,0,G10/B$17)</f>
        <v>0.13333333333333333</v>
      </c>
      <c r="I10" s="56">
        <v>24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0.625</v>
      </c>
      <c r="E11" s="33" t="s">
        <v>58</v>
      </c>
      <c r="F11" s="30" t="s">
        <v>22</v>
      </c>
      <c r="G11" s="13">
        <v>1</v>
      </c>
      <c r="H11" s="94">
        <f>IF(B$17=0,0,G11/B$17)</f>
        <v>6.6666666666666666E-2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62</v>
      </c>
      <c r="F12" s="30" t="s">
        <v>26</v>
      </c>
      <c r="G12" s="13">
        <v>1</v>
      </c>
      <c r="H12" s="94">
        <f>IF(B$17=0,0,G12/B$17)</f>
        <v>6.6666666666666666E-2</v>
      </c>
      <c r="I12" s="56">
        <v>1</v>
      </c>
      <c r="N12" s="75" t="s">
        <v>126</v>
      </c>
      <c r="O12" s="85">
        <f>IF(P12=0,0,Q12/P12)</f>
        <v>-11.2</v>
      </c>
      <c r="P12" s="79">
        <v>4</v>
      </c>
      <c r="Q12" s="67">
        <v>-44.8</v>
      </c>
    </row>
    <row r="13" spans="1:17">
      <c r="A13" s="22" t="s">
        <v>97</v>
      </c>
      <c r="B13" s="15">
        <v>18</v>
      </c>
      <c r="C13" s="11">
        <f>IF(B$3=0,0,B13/B$3)</f>
        <v>0.35294117647058826</v>
      </c>
      <c r="E13" s="33" t="s">
        <v>76</v>
      </c>
      <c r="F13" s="30" t="s">
        <v>40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-16.56666666666667</v>
      </c>
      <c r="P13" s="80">
        <v>3</v>
      </c>
      <c r="Q13" s="68">
        <v>-49.70000000000001</v>
      </c>
    </row>
    <row r="14" spans="1:17">
      <c r="A14" s="19" t="s">
        <v>94</v>
      </c>
      <c r="B14" s="13">
        <v>7</v>
      </c>
      <c r="C14" s="6">
        <f>IF(B$3=0,0,B14/B$3)</f>
        <v>0.13725490196078433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84.5</v>
      </c>
      <c r="P14" s="80">
        <v>1</v>
      </c>
      <c r="Q14" s="68">
        <v>84.5</v>
      </c>
    </row>
    <row r="15" spans="1:17">
      <c r="A15" s="18" t="s">
        <v>99</v>
      </c>
      <c r="B15" s="12">
        <f>B21</f>
        <v>12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0.29411764705882354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0.17647058823529413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244</v>
      </c>
      <c r="O18" s="85">
        <f>IF(P18=0,0,Q18/P18)</f>
        <v>65.2</v>
      </c>
      <c r="P18" s="79">
        <v>2</v>
      </c>
      <c r="Q18" s="67">
        <v>130.4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238</v>
      </c>
      <c r="O19" s="86">
        <f>IF(P19=0,0,Q19/P19)</f>
        <v>34.450000000000003</v>
      </c>
      <c r="P19" s="80">
        <v>2</v>
      </c>
      <c r="Q19" s="68">
        <v>68.900000000000006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241</v>
      </c>
      <c r="O20" s="86">
        <f>IF(P20=0,0,Q20/P20)</f>
        <v>7.2499999999999991</v>
      </c>
      <c r="P20" s="80">
        <v>2</v>
      </c>
      <c r="Q20" s="68">
        <v>14.499999999999998</v>
      </c>
    </row>
    <row r="21" spans="1:17">
      <c r="A21" s="19" t="s">
        <v>151</v>
      </c>
      <c r="B21" s="13">
        <v>12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5.7999999999999972</v>
      </c>
      <c r="P21" s="80">
        <v>6</v>
      </c>
      <c r="Q21" s="68">
        <v>34.799999999999983</v>
      </c>
    </row>
    <row r="22" spans="1:17">
      <c r="A22" s="19" t="s">
        <v>149</v>
      </c>
      <c r="B22" s="13">
        <v>2</v>
      </c>
      <c r="C22" s="6">
        <f>IF(B$17=0,0,B22/B$17)</f>
        <v>0.13333333333333333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216</v>
      </c>
      <c r="O22" s="86">
        <f>IF(P22=0,0,Q22/P22)</f>
        <v>4.8750000000000018</v>
      </c>
      <c r="P22" s="80">
        <v>4</v>
      </c>
      <c r="Q22" s="68">
        <v>19.500000000000007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-27.900000000000002</v>
      </c>
      <c r="P23" s="80">
        <v>2</v>
      </c>
      <c r="Q23" s="68">
        <v>-55.800000000000004</v>
      </c>
    </row>
    <row r="24" spans="1:17">
      <c r="A24" s="19" t="s">
        <v>5</v>
      </c>
      <c r="B24" s="16">
        <f>IF(B$17=0,0,C24/B$17)</f>
        <v>7020</v>
      </c>
      <c r="C24" s="8">
        <v>105300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195</v>
      </c>
      <c r="O24" s="86">
        <f>IF(P24=0,0,Q24/P24)</f>
        <v>-34.35</v>
      </c>
      <c r="P24" s="80">
        <v>4</v>
      </c>
      <c r="Q24" s="68">
        <v>-137.4</v>
      </c>
    </row>
    <row r="25" spans="1:17">
      <c r="A25" s="20" t="s">
        <v>133</v>
      </c>
      <c r="B25" s="97">
        <f>IF($B$17-B$16=0,0,C25/($B$17-B$16))</f>
        <v>7684.6153846153848</v>
      </c>
      <c r="C25" s="98">
        <v>99900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>IF(P25=0,0,Q25/P25)</f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-6388.8888888888887</v>
      </c>
      <c r="C27" s="98">
        <v>-57500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6.6666666666666666E-2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4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18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23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20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-3050</v>
      </c>
      <c r="P2" s="79">
        <v>4</v>
      </c>
      <c r="Q2" s="63">
        <v>-12200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0.66666666666666663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-6125</v>
      </c>
      <c r="P3" s="80">
        <v>4</v>
      </c>
      <c r="Q3" s="64">
        <v>-24500</v>
      </c>
    </row>
    <row r="4" spans="1:17">
      <c r="A4" s="19" t="s">
        <v>6</v>
      </c>
      <c r="B4" s="124">
        <v>-106.69999999999999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9</v>
      </c>
      <c r="K4" s="5">
        <v>2</v>
      </c>
      <c r="L4" s="61">
        <v>-52.3</v>
      </c>
      <c r="N4" s="76" t="s">
        <v>105</v>
      </c>
      <c r="O4" s="83">
        <f t="shared" si="0"/>
        <v>325</v>
      </c>
      <c r="P4" s="80">
        <v>4</v>
      </c>
      <c r="Q4" s="64">
        <v>1300</v>
      </c>
    </row>
    <row r="5" spans="1:17">
      <c r="A5" s="19" t="s">
        <v>7</v>
      </c>
      <c r="B5" s="126">
        <f>IF(B$2=0,0,B$4/B$2)</f>
        <v>-26.674999999999997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25</v>
      </c>
      <c r="K5" s="5">
        <v>3</v>
      </c>
      <c r="L5" s="61">
        <v>-44.9</v>
      </c>
      <c r="N5" s="76" t="s">
        <v>157</v>
      </c>
      <c r="O5" s="83">
        <f>IF(P5=0,0,Q5/P5)</f>
        <v>-1575</v>
      </c>
      <c r="P5" s="80">
        <v>4</v>
      </c>
      <c r="Q5" s="64">
        <v>-6300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-3000</v>
      </c>
      <c r="P6" s="80">
        <v>1</v>
      </c>
      <c r="Q6" s="64">
        <v>-3000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-26.15</v>
      </c>
      <c r="P13" s="80">
        <v>2</v>
      </c>
      <c r="Q13" s="68">
        <v>-52.3</v>
      </c>
    </row>
    <row r="14" spans="1:17">
      <c r="A14" s="19" t="s">
        <v>94</v>
      </c>
      <c r="B14" s="13">
        <v>6</v>
      </c>
      <c r="C14" s="6">
        <f>IF(B$3=0,0,B14/B$3)</f>
        <v>0.22222222222222221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-61.8</v>
      </c>
      <c r="P14" s="80">
        <v>1</v>
      </c>
      <c r="Q14" s="68">
        <v>-61.8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7.4</v>
      </c>
      <c r="P15" s="81">
        <v>1</v>
      </c>
      <c r="Q15" s="69">
        <v>7.4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0.1111111111111111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0.14814814814814814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228</v>
      </c>
      <c r="O18" s="85">
        <f>IF(P18=0,0,Q18/P18)</f>
        <v>29.199999999999996</v>
      </c>
      <c r="P18" s="79">
        <v>2</v>
      </c>
      <c r="Q18" s="67">
        <v>58.399999999999991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-34.450000000000003</v>
      </c>
      <c r="P20" s="80">
        <v>2</v>
      </c>
      <c r="Q20" s="68">
        <v>-68.900000000000006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-55.199999999999996</v>
      </c>
      <c r="P21" s="80">
        <v>4</v>
      </c>
      <c r="Q21" s="68">
        <v>-220.79999999999998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>IF(P22=0,0,Q22/P22)</f>
        <v>-86.9</v>
      </c>
      <c r="P22" s="80">
        <v>2</v>
      </c>
      <c r="Q22" s="68">
        <v>-173.8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3266.6666666666665</v>
      </c>
      <c r="C24" s="8">
        <v>9800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2000</v>
      </c>
      <c r="C25" s="98">
        <v>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7800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-7275</v>
      </c>
      <c r="C27" s="98">
        <v>-29100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7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8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22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2</v>
      </c>
      <c r="Q2" s="63">
        <v>-2600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-72.8</v>
      </c>
      <c r="N3" s="76" t="s">
        <v>104</v>
      </c>
      <c r="O3" s="83">
        <f t="shared" si="0"/>
        <v>-6000</v>
      </c>
      <c r="P3" s="80">
        <v>2</v>
      </c>
      <c r="Q3" s="64">
        <v>-12000</v>
      </c>
    </row>
    <row r="4" spans="1:17">
      <c r="A4" s="19" t="s">
        <v>6</v>
      </c>
      <c r="B4" s="124">
        <v>-92.5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-10200</v>
      </c>
      <c r="P4" s="80">
        <v>2</v>
      </c>
      <c r="Q4" s="64">
        <v>-20400</v>
      </c>
    </row>
    <row r="5" spans="1:17">
      <c r="A5" s="19" t="s">
        <v>7</v>
      </c>
      <c r="B5" s="126">
        <f>IF(B$2=0,0,B$4/B$2)</f>
        <v>-46.25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17</v>
      </c>
      <c r="N5" s="76" t="s">
        <v>157</v>
      </c>
      <c r="O5" s="83">
        <f>IF(P5=0,0,Q5/P5)</f>
        <v>-3750</v>
      </c>
      <c r="P5" s="80">
        <v>2</v>
      </c>
      <c r="Q5" s="64">
        <v>-7500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-72.8</v>
      </c>
      <c r="P12" s="79">
        <v>1</v>
      </c>
      <c r="Q12" s="67">
        <v>-72.8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-19.7</v>
      </c>
      <c r="P15" s="81">
        <v>1</v>
      </c>
      <c r="Q15" s="69">
        <v>-19.7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0.15384615384615385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0.38461538461538464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241</v>
      </c>
      <c r="O18" s="85">
        <f>IF(P18=0,0,Q18/P18)</f>
        <v>-57.95</v>
      </c>
      <c r="P18" s="79">
        <v>2</v>
      </c>
      <c r="Q18" s="67">
        <v>-115.9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-61.849999999999994</v>
      </c>
      <c r="P19" s="80">
        <v>2</v>
      </c>
      <c r="Q19" s="68">
        <v>-123.69999999999999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-65.2</v>
      </c>
      <c r="P20" s="80">
        <v>2</v>
      </c>
      <c r="Q20" s="68">
        <v>-130.4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2200</v>
      </c>
      <c r="C24" s="8">
        <v>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1500</v>
      </c>
      <c r="C25" s="98">
        <v>1500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2900</v>
      </c>
      <c r="C26" s="98">
        <v>2900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-7440</v>
      </c>
      <c r="C27" s="98">
        <v>-37200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1938</vt:i4>
      </vt:variant>
    </vt:vector>
  </HeadingPairs>
  <TitlesOfParts>
    <vt:vector size="197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2022-11-01T09:42:45Z</dcterms:modified>
</cp:coreProperties>
</file>