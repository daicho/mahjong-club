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FD346EB0-C3BF-43F0-827B-C66E126A3C7E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Template (3)" sheetId="6297" state="hidden" r:id="rId33"/>
    <sheet name="Template" sheetId="2228" state="hidden" r:id="rId34"/>
  </sheets>
  <definedNames>
    <definedName name="アガリ数" localSheetId="32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2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2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2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2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2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2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2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2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2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2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2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2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2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2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2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2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2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2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2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2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2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2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2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2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2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2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2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2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2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2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2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2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2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2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2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2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2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2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2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2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2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2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2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2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2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2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2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2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2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2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2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2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2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2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2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2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2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2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2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2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2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287" l="1"/>
  <c r="O20" i="6295"/>
  <c r="O19" i="6301"/>
  <c r="O20" i="6301"/>
  <c r="O18" i="6301"/>
  <c r="C32" i="6301"/>
  <c r="B27" i="6301"/>
  <c r="C18" i="6301"/>
  <c r="B17" i="6301"/>
  <c r="C17" i="6301" s="1"/>
  <c r="H16" i="6301"/>
  <c r="C16" i="6301"/>
  <c r="B16" i="6301"/>
  <c r="B26" i="6301" s="1"/>
  <c r="O15" i="6301"/>
  <c r="H15" i="6301"/>
  <c r="C15" i="6301"/>
  <c r="B15" i="6301"/>
  <c r="O14" i="6301"/>
  <c r="H14" i="6301"/>
  <c r="C14" i="6301"/>
  <c r="O13" i="6301"/>
  <c r="H13" i="6301"/>
  <c r="C13" i="6301"/>
  <c r="O12" i="6301"/>
  <c r="H12" i="6301"/>
  <c r="C12" i="6301"/>
  <c r="H11" i="6301"/>
  <c r="C11" i="6301"/>
  <c r="B11" i="6301"/>
  <c r="H10" i="6301"/>
  <c r="C10" i="6301"/>
  <c r="O9" i="6301"/>
  <c r="H9" i="6301"/>
  <c r="C9" i="6301"/>
  <c r="O8" i="6301"/>
  <c r="H8" i="6301"/>
  <c r="C8" i="6301"/>
  <c r="O7" i="6301"/>
  <c r="H7" i="6301"/>
  <c r="C7" i="6301"/>
  <c r="O6" i="6301"/>
  <c r="H5" i="6301"/>
  <c r="B6" i="6301"/>
  <c r="O5" i="6301"/>
  <c r="H6" i="6301"/>
  <c r="B5" i="6301"/>
  <c r="O4" i="6301"/>
  <c r="H2" i="6301"/>
  <c r="O3" i="6301"/>
  <c r="H4" i="6301"/>
  <c r="O2" i="6301"/>
  <c r="H3" i="6301"/>
  <c r="O30" i="6277"/>
  <c r="O22" i="6272"/>
  <c r="C47" i="6301" l="1"/>
  <c r="C46" i="6301"/>
  <c r="C45" i="6301"/>
  <c r="C44" i="6301"/>
  <c r="C43" i="6301"/>
  <c r="H42" i="6301"/>
  <c r="C42" i="6301"/>
  <c r="H41" i="6301"/>
  <c r="C41" i="6301"/>
  <c r="H40" i="6301"/>
  <c r="C40" i="6301"/>
  <c r="H39" i="6301"/>
  <c r="C39" i="6301"/>
  <c r="H38" i="6301"/>
  <c r="C38" i="6301"/>
  <c r="H37" i="6301"/>
  <c r="C37" i="6301"/>
  <c r="H36" i="6301"/>
  <c r="C36" i="6301"/>
  <c r="H35" i="6301"/>
  <c r="C35" i="6301"/>
  <c r="H34" i="6301"/>
  <c r="H33" i="6301"/>
  <c r="H32" i="6301"/>
  <c r="H31" i="6301"/>
  <c r="H30" i="6301"/>
  <c r="H29" i="6301"/>
  <c r="H28" i="6301"/>
  <c r="H27" i="6301"/>
  <c r="H26" i="6301"/>
  <c r="H25" i="6301"/>
  <c r="B25" i="6301"/>
  <c r="H24" i="6301"/>
  <c r="B24" i="6301"/>
  <c r="H23" i="6301"/>
  <c r="C23" i="6301"/>
  <c r="H22" i="6301"/>
  <c r="C22" i="6301"/>
  <c r="H21" i="6301"/>
  <c r="C21" i="6301"/>
  <c r="H20" i="6301"/>
  <c r="C20" i="6301"/>
  <c r="H19" i="6301"/>
  <c r="C19" i="6301"/>
  <c r="H18" i="6301"/>
  <c r="H17" i="6301"/>
  <c r="O22" i="6298" l="1"/>
  <c r="O28" i="6277"/>
  <c r="O18" i="6295" l="1"/>
  <c r="O21" i="6295"/>
  <c r="O27" i="6295"/>
  <c r="O23" i="6298"/>
  <c r="O21" i="6298"/>
  <c r="O22" i="6299"/>
  <c r="O18" i="6299"/>
  <c r="O45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5" i="6287"/>
  <c r="O28" i="6287"/>
  <c r="O20" i="6299"/>
  <c r="O21" i="6299"/>
  <c r="O19" i="6299"/>
  <c r="C32" i="6299"/>
  <c r="B27" i="6299"/>
  <c r="C18" i="6299"/>
  <c r="B17" i="6299"/>
  <c r="C17" i="6299" s="1"/>
  <c r="H17" i="6299"/>
  <c r="B16" i="6299"/>
  <c r="O15" i="6299"/>
  <c r="H16" i="6299"/>
  <c r="B15" i="6299"/>
  <c r="C15" i="6299" s="1"/>
  <c r="O14" i="6299"/>
  <c r="H15" i="6299"/>
  <c r="C14" i="6299"/>
  <c r="O13" i="6299"/>
  <c r="H14" i="6299"/>
  <c r="C13" i="6299"/>
  <c r="O12" i="6299"/>
  <c r="H13" i="6299"/>
  <c r="C12" i="6299"/>
  <c r="H12" i="6299"/>
  <c r="B11" i="6299"/>
  <c r="C11" i="6299" s="1"/>
  <c r="H9" i="6299"/>
  <c r="C10" i="6299"/>
  <c r="O9" i="6299"/>
  <c r="H5" i="6299"/>
  <c r="C9" i="6299"/>
  <c r="O8" i="6299"/>
  <c r="H11" i="6299"/>
  <c r="C8" i="6299"/>
  <c r="O7" i="6299"/>
  <c r="H3" i="6299"/>
  <c r="C7" i="6299"/>
  <c r="O6" i="6299"/>
  <c r="H8" i="6299"/>
  <c r="B6" i="6299"/>
  <c r="O5" i="6299"/>
  <c r="H4" i="6299"/>
  <c r="B5" i="6299"/>
  <c r="O4" i="6299"/>
  <c r="H10" i="6299"/>
  <c r="O3" i="6299"/>
  <c r="H7" i="6299"/>
  <c r="O2" i="6299"/>
  <c r="H2" i="6299"/>
  <c r="O31" i="6272"/>
  <c r="O18" i="6298"/>
  <c r="O20" i="6298"/>
  <c r="O19" i="6298"/>
  <c r="C32" i="6298"/>
  <c r="B27" i="6298"/>
  <c r="C18" i="6298"/>
  <c r="B17" i="6298"/>
  <c r="C17" i="6298" s="1"/>
  <c r="H18" i="6298"/>
  <c r="B16" i="6298"/>
  <c r="O15" i="6298"/>
  <c r="H17" i="6298"/>
  <c r="B15" i="6298"/>
  <c r="C15" i="6298" s="1"/>
  <c r="O14" i="6298"/>
  <c r="H16" i="6298"/>
  <c r="C14" i="6298"/>
  <c r="O13" i="6298"/>
  <c r="H15" i="6298"/>
  <c r="C13" i="6298"/>
  <c r="O12" i="6298"/>
  <c r="H14" i="6298"/>
  <c r="C12" i="6298"/>
  <c r="H13" i="6298"/>
  <c r="B11" i="6298"/>
  <c r="C11" i="6298" s="1"/>
  <c r="H4" i="6298"/>
  <c r="C10" i="6298"/>
  <c r="O9" i="6298"/>
  <c r="H9" i="6298"/>
  <c r="C9" i="6298"/>
  <c r="O8" i="6298"/>
  <c r="H12" i="6298"/>
  <c r="C8" i="6298"/>
  <c r="O7" i="6298"/>
  <c r="H8" i="6298"/>
  <c r="C7" i="6298"/>
  <c r="O6" i="6298"/>
  <c r="H7" i="6298"/>
  <c r="B6" i="6298"/>
  <c r="O5" i="6298"/>
  <c r="H5" i="6298"/>
  <c r="B5" i="6298"/>
  <c r="O4" i="6298"/>
  <c r="H2" i="6298"/>
  <c r="O3" i="6298"/>
  <c r="H11" i="6298"/>
  <c r="O2" i="6298"/>
  <c r="H3" i="6298"/>
  <c r="O28" i="6272"/>
  <c r="B26" i="6299" l="1"/>
  <c r="C16" i="6299"/>
  <c r="B26" i="6298"/>
  <c r="C16" i="6298"/>
  <c r="C47" i="6299"/>
  <c r="C46" i="6299"/>
  <c r="C45" i="6299"/>
  <c r="C44" i="6299"/>
  <c r="C43" i="6299"/>
  <c r="H6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28" i="6299"/>
  <c r="H27" i="6299"/>
  <c r="H26" i="6299"/>
  <c r="B25" i="6299"/>
  <c r="H25" i="6299"/>
  <c r="B24" i="6299"/>
  <c r="H24" i="6299"/>
  <c r="C23" i="6299"/>
  <c r="H23" i="6299"/>
  <c r="C22" i="6299"/>
  <c r="H22" i="6299"/>
  <c r="C21" i="6299"/>
  <c r="H21" i="6299"/>
  <c r="C20" i="6299"/>
  <c r="H20" i="6299"/>
  <c r="C19" i="6299"/>
  <c r="H19" i="6299"/>
  <c r="H18" i="6299"/>
  <c r="C47" i="6298"/>
  <c r="C46" i="6298"/>
  <c r="C45" i="6298"/>
  <c r="C44" i="6298"/>
  <c r="C43" i="6298"/>
  <c r="H6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0" i="6298"/>
  <c r="H19" i="6298"/>
  <c r="O28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19" i="6295"/>
  <c r="O25" i="6277"/>
  <c r="O20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2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4" i="6295" l="1"/>
  <c r="O28" i="6275"/>
  <c r="O29" i="6287" l="1"/>
  <c r="O21" i="6274"/>
  <c r="O24" i="6274"/>
  <c r="O22" i="6293"/>
  <c r="O23" i="6295" l="1"/>
  <c r="O26" i="6295"/>
  <c r="O25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19" i="6287"/>
  <c r="O22" i="6287"/>
  <c r="O27" i="6277"/>
  <c r="O21" i="6277"/>
  <c r="O26" i="6272"/>
  <c r="O29" i="6272"/>
  <c r="B25" i="6294" l="1"/>
  <c r="C37" i="6294"/>
  <c r="H31" i="6294"/>
  <c r="H11" i="6295"/>
  <c r="H7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6" i="6295"/>
  <c r="H9" i="6295"/>
  <c r="H13" i="6295"/>
  <c r="H10" i="6295"/>
  <c r="H4" i="6295"/>
  <c r="H8" i="6295"/>
  <c r="H16" i="6295"/>
  <c r="C17" i="6295"/>
  <c r="C20" i="6295"/>
  <c r="H27" i="6295"/>
  <c r="H34" i="6295"/>
  <c r="H38" i="6295"/>
  <c r="C45" i="6295"/>
  <c r="C16" i="6295"/>
  <c r="C38" i="6295"/>
  <c r="H31" i="6295"/>
  <c r="H3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5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9" i="6277"/>
  <c r="O26" i="6287"/>
  <c r="O21" i="6275"/>
  <c r="O30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1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3" i="6287"/>
  <c r="O20" i="6291"/>
  <c r="O24" i="6291"/>
  <c r="O20" i="6289"/>
  <c r="O24" i="6289"/>
  <c r="O21" i="6280"/>
  <c r="O22" i="6289"/>
  <c r="O35" i="6287" l="1"/>
  <c r="O31" i="6284"/>
  <c r="O20" i="6273"/>
  <c r="O44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5" i="6272"/>
  <c r="O34" i="6287"/>
  <c r="O32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3" i="6277" l="1"/>
  <c r="O27" i="6287"/>
  <c r="O24" i="6287"/>
  <c r="O21" i="6273"/>
  <c r="O31" i="6287"/>
  <c r="O30" i="6287"/>
  <c r="O3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33" i="6272"/>
  <c r="C39" i="6287" l="1"/>
  <c r="H41" i="6287"/>
  <c r="H5" i="6287"/>
  <c r="H11" i="6287"/>
  <c r="H24" i="6287"/>
  <c r="H10" i="6287"/>
  <c r="C20" i="6287"/>
  <c r="H15" i="6287"/>
  <c r="H3" i="6287"/>
  <c r="B24" i="6287"/>
  <c r="H19" i="6287"/>
  <c r="H6" i="6287"/>
  <c r="H17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9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8" i="6287"/>
  <c r="H27" i="6287"/>
  <c r="H32" i="6287"/>
  <c r="H39" i="6287"/>
  <c r="C47" i="6287"/>
  <c r="H34" i="6287"/>
  <c r="C38" i="6287"/>
  <c r="C42" i="6287"/>
  <c r="H25" i="6287"/>
  <c r="H28" i="6287"/>
  <c r="H14" i="6287"/>
  <c r="H36" i="6287"/>
  <c r="H40" i="6287"/>
  <c r="C44" i="6287"/>
  <c r="H8" i="6287"/>
  <c r="H16" i="6287"/>
  <c r="C21" i="6287"/>
  <c r="B25" i="6287"/>
  <c r="H31" i="6287"/>
  <c r="C36" i="6287"/>
  <c r="C40" i="6287"/>
  <c r="O29" i="6286" l="1"/>
  <c r="O24" i="6284"/>
  <c r="O24" i="6275"/>
  <c r="O24" i="6276"/>
  <c r="O31" i="6277"/>
  <c r="O28" i="6284"/>
  <c r="O27" i="6286"/>
  <c r="O24" i="6286"/>
  <c r="O20" i="6278" l="1"/>
  <c r="O19" i="6278"/>
  <c r="O24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2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2" i="6272"/>
  <c r="O23" i="6278"/>
  <c r="O18" i="6278"/>
  <c r="O18" i="6275"/>
  <c r="O26" i="6275"/>
  <c r="O22" i="6275"/>
  <c r="O21" i="6282"/>
  <c r="O22" i="6282"/>
  <c r="O38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5" i="6277"/>
  <c r="O34" i="6277"/>
  <c r="O26" i="6277"/>
  <c r="O37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2" i="6272"/>
  <c r="O36" i="6277"/>
  <c r="O37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0" i="6272"/>
  <c r="O41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6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8" i="6272"/>
  <c r="O43" i="6272"/>
  <c r="O3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3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4" i="6272"/>
  <c r="C42" i="6272"/>
  <c r="H19" i="6272"/>
  <c r="C22" i="6272"/>
  <c r="H32" i="6272"/>
  <c r="C37" i="6272"/>
  <c r="H2" i="6272"/>
  <c r="H16" i="6272"/>
  <c r="H25" i="6272"/>
  <c r="C38" i="6272"/>
  <c r="H28" i="6272"/>
  <c r="H21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2" i="6272"/>
  <c r="H13" i="6272"/>
  <c r="H22" i="6272"/>
  <c r="H33" i="6272"/>
  <c r="H38" i="6272"/>
  <c r="H42" i="6272"/>
  <c r="H20" i="6272"/>
  <c r="H31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<sst xmlns="http://schemas.openxmlformats.org/spreadsheetml/2006/main" count="5908" uniqueCount="237">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</sst>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全体!$K$2:$K$223</c:f>
              <c:numCache>
                <c:formatCode>General</c:formatCode>
                <c:ptCount val="2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</c:numCache>
            </c:numRef>
          </c:xVal>
          <c:yVal>
            <c:numRef>
              <c:f>全体!$L$2:$L$223</c:f>
              <c:numCache>
                <c:formatCode>\+0.0;\-0.0;\±0</c:formatCode>
                <c:ptCount val="22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-49.773755656108598</c:v>
                </c:pt>
                <c:pt idx="1">
                  <c:v>-13.574660633484163</c:v>
                </c:pt>
                <c:pt idx="2">
                  <c:v>9.9547511312217196</c:v>
                </c:pt>
                <c:pt idx="3">
                  <c:v>0</c:v>
                </c:pt>
                <c:pt idx="4">
                  <c:v>19.736842105263158</c:v>
                </c:pt>
                <c:pt idx="5">
                  <c:v>-74.074074074074076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37</c:v>
                </c:pt>
                <c:pt idx="1">
                  <c:v>71</c:v>
                </c:pt>
                <c:pt idx="2">
                  <c:v>75</c:v>
                </c:pt>
                <c:pt idx="3">
                  <c:v>71</c:v>
                </c:pt>
                <c:pt idx="4">
                  <c:v>37</c:v>
                </c:pt>
                <c:pt idx="5">
                  <c:v>42</c:v>
                </c:pt>
                <c:pt idx="6">
                  <c:v>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佐藤成浩!$L$2:$L$36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750</c:v>
                </c:pt>
                <c:pt idx="1">
                  <c:v>1826.4705882352941</c:v>
                </c:pt>
                <c:pt idx="2">
                  <c:v>1682.3529411764705</c:v>
                </c:pt>
                <c:pt idx="3">
                  <c:v>1293.3333333333333</c:v>
                </c:pt>
                <c:pt idx="4">
                  <c:v>1618.1818181818182</c:v>
                </c:pt>
                <c:pt idx="5">
                  <c:v>1440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9</c:v>
                </c:pt>
                <c:pt idx="3">
                  <c:v>19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柳澤颯吾!$L$2:$L$28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392.30769230769232</c:v>
                </c:pt>
                <c:pt idx="1">
                  <c:v>169.23076923076923</c:v>
                </c:pt>
                <c:pt idx="2">
                  <c:v>284.61538461538464</c:v>
                </c:pt>
                <c:pt idx="3">
                  <c:v>472.72727272727275</c:v>
                </c:pt>
                <c:pt idx="4">
                  <c:v>-2546.6666666666665</c:v>
                </c:pt>
                <c:pt idx="5">
                  <c:v>-981.81818181818187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12</c:v>
                </c:pt>
                <c:pt idx="3">
                  <c:v>3</c:v>
                </c:pt>
                <c:pt idx="4">
                  <c:v>7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関谷洸佑!$L$2:$L$17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220</c:v>
                </c:pt>
                <c:pt idx="1">
                  <c:v>-473.33333333333331</c:v>
                </c:pt>
                <c:pt idx="2">
                  <c:v>-4220</c:v>
                </c:pt>
                <c:pt idx="3">
                  <c:v>-1675</c:v>
                </c:pt>
                <c:pt idx="4">
                  <c:v>-3585.7142857142858</c:v>
                </c:pt>
                <c:pt idx="5">
                  <c:v>-3525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伊藤仁城!$L$2:$L$8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3416.6666666666665</c:v>
                </c:pt>
                <c:pt idx="1">
                  <c:v>-3600</c:v>
                </c:pt>
                <c:pt idx="2">
                  <c:v>-316.66666666666669</c:v>
                </c:pt>
                <c:pt idx="3">
                  <c:v>-1500</c:v>
                </c:pt>
                <c:pt idx="4">
                  <c:v>-1333.3333333333333</c:v>
                </c:pt>
                <c:pt idx="5">
                  <c:v>-4150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西沢武留!$L$2:$L$6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-6700</c:v>
                </c:pt>
                <c:pt idx="1">
                  <c:v>-2200</c:v>
                </c:pt>
                <c:pt idx="2">
                  <c:v>-1350</c:v>
                </c:pt>
                <c:pt idx="3">
                  <c:v>2525</c:v>
                </c:pt>
                <c:pt idx="4">
                  <c:v>9000</c:v>
                </c:pt>
                <c:pt idx="5">
                  <c:v>-2600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中村花菜!$L$2:$L$4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500</c:v>
                </c:pt>
                <c:pt idx="1">
                  <c:v>-2050</c:v>
                </c:pt>
                <c:pt idx="2">
                  <c:v>0</c:v>
                </c:pt>
                <c:pt idx="3">
                  <c:v>-10100</c:v>
                </c:pt>
                <c:pt idx="4">
                  <c:v>-500</c:v>
                </c:pt>
                <c:pt idx="5">
                  <c:v>12000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086F79-F960-43DD-81D0-EB103F60D6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6FE27D-69F8-4F75-B5F3-2AA4C84C7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D50E2F-3D90-449B-AD3D-2B8E50B43E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6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44743.457037037035</v>
      </c>
      <c r="C2" s="24" t="s">
        <v>102</v>
      </c>
    </row>
    <row r="3" spans="1:4">
      <c r="A3" s="24" t="s">
        <v>165</v>
      </c>
      <c r="B3" s="25">
        <v>44743.457037037035</v>
      </c>
      <c r="C3" s="24" t="s">
        <v>102</v>
      </c>
    </row>
    <row r="4" spans="1:4">
      <c r="A4" s="24" t="s">
        <v>174</v>
      </c>
      <c r="B4" s="25">
        <v>44743.457037037035</v>
      </c>
      <c r="C4" s="24" t="s">
        <v>102</v>
      </c>
      <c r="D4" s="24" t="s">
        <v>176</v>
      </c>
    </row>
    <row r="5" spans="1:4">
      <c r="A5" s="24" t="s">
        <v>178</v>
      </c>
      <c r="B5" s="25">
        <v>44743.457037037035</v>
      </c>
      <c r="C5" s="24" t="s">
        <v>102</v>
      </c>
      <c r="D5" s="24" t="s">
        <v>176</v>
      </c>
    </row>
    <row r="6" spans="1:4">
      <c r="A6" s="24" t="s">
        <v>188</v>
      </c>
      <c r="B6" s="25">
        <v>44743.457037037035</v>
      </c>
      <c r="C6" s="24" t="s">
        <v>102</v>
      </c>
      <c r="D6" s="24" t="s">
        <v>176</v>
      </c>
    </row>
    <row r="7" spans="1:4">
      <c r="A7" s="24" t="s">
        <v>189</v>
      </c>
      <c r="B7" s="25">
        <v>44743.457037037035</v>
      </c>
      <c r="C7" s="24" t="s">
        <v>102</v>
      </c>
      <c r="D7" s="24" t="s">
        <v>176</v>
      </c>
    </row>
    <row r="8" spans="1:4">
      <c r="A8" s="24" t="s">
        <v>190</v>
      </c>
      <c r="B8" s="25">
        <v>44743.457037037035</v>
      </c>
      <c r="C8" s="24" t="s">
        <v>102</v>
      </c>
      <c r="D8" s="24" t="s">
        <v>176</v>
      </c>
    </row>
    <row r="9" spans="1:4">
      <c r="A9" s="24" t="s">
        <v>192</v>
      </c>
      <c r="B9" s="25">
        <v>44743.457037037035</v>
      </c>
      <c r="C9" s="24" t="s">
        <v>102</v>
      </c>
      <c r="D9" s="24" t="s">
        <v>176</v>
      </c>
    </row>
    <row r="10" spans="1:4">
      <c r="A10" s="24" t="s">
        <v>193</v>
      </c>
      <c r="B10" s="25">
        <v>44743.457037037035</v>
      </c>
      <c r="C10" s="24" t="s">
        <v>102</v>
      </c>
      <c r="D10" s="24" t="s">
        <v>176</v>
      </c>
    </row>
    <row r="11" spans="1:4">
      <c r="A11" s="24" t="s">
        <v>194</v>
      </c>
      <c r="B11" s="25">
        <v>44743.457037037035</v>
      </c>
      <c r="C11" s="24" t="s">
        <v>102</v>
      </c>
      <c r="D11" s="24" t="s">
        <v>176</v>
      </c>
    </row>
    <row r="12" spans="1:4">
      <c r="A12" s="24" t="s">
        <v>197</v>
      </c>
      <c r="B12" s="25">
        <v>44743.457037037035</v>
      </c>
      <c r="C12" s="24" t="s">
        <v>102</v>
      </c>
      <c r="D12" s="24" t="s">
        <v>176</v>
      </c>
    </row>
    <row r="13" spans="1:4">
      <c r="A13" s="24" t="s">
        <v>198</v>
      </c>
      <c r="B13" s="25">
        <v>44743.457037037035</v>
      </c>
      <c r="C13" s="24" t="s">
        <v>102</v>
      </c>
      <c r="D13" s="24" t="s">
        <v>176</v>
      </c>
    </row>
    <row r="14" spans="1:4">
      <c r="A14" s="24" t="s">
        <v>201</v>
      </c>
      <c r="B14" s="25">
        <v>44743.457037037035</v>
      </c>
      <c r="C14" s="24" t="s">
        <v>102</v>
      </c>
      <c r="D14" s="24" t="s">
        <v>176</v>
      </c>
    </row>
    <row r="15" spans="1:4">
      <c r="A15" s="24" t="s">
        <v>204</v>
      </c>
      <c r="B15" s="25">
        <v>44743.457037037035</v>
      </c>
      <c r="C15" s="24" t="s">
        <v>102</v>
      </c>
      <c r="D15" s="24" t="s">
        <v>176</v>
      </c>
    </row>
    <row r="16" spans="1:4">
      <c r="A16" s="24" t="s">
        <v>206</v>
      </c>
      <c r="B16" s="25">
        <v>44743.457037037035</v>
      </c>
      <c r="C16" s="24" t="s">
        <v>102</v>
      </c>
      <c r="D16" s="24" t="s">
        <v>176</v>
      </c>
    </row>
    <row r="17" spans="1:5">
      <c r="A17" s="24" t="s">
        <v>207</v>
      </c>
      <c r="B17" s="25">
        <v>44743.457037037035</v>
      </c>
      <c r="C17" s="24" t="s">
        <v>102</v>
      </c>
      <c r="D17" s="24" t="s">
        <v>176</v>
      </c>
    </row>
    <row r="18" spans="1:5">
      <c r="A18" s="24" t="s">
        <v>209</v>
      </c>
      <c r="B18" s="25">
        <v>44743.457037037035</v>
      </c>
      <c r="C18" s="24" t="s">
        <v>102</v>
      </c>
    </row>
    <row r="19" spans="1:5">
      <c r="A19" s="24" t="s">
        <v>210</v>
      </c>
      <c r="B19" s="25">
        <v>44743.457037037035</v>
      </c>
      <c r="C19" s="24" t="s">
        <v>102</v>
      </c>
      <c r="D19" s="24" t="s">
        <v>176</v>
      </c>
    </row>
    <row r="20" spans="1:5">
      <c r="A20" s="24" t="s">
        <v>211</v>
      </c>
      <c r="B20" s="25">
        <v>44743.457037037035</v>
      </c>
      <c r="C20" s="24" t="s">
        <v>102</v>
      </c>
      <c r="D20" s="24" t="s">
        <v>176</v>
      </c>
    </row>
    <row r="21" spans="1:5">
      <c r="A21" s="24" t="s">
        <v>212</v>
      </c>
      <c r="B21" s="25">
        <v>44743.457037037035</v>
      </c>
      <c r="C21" s="24" t="s">
        <v>102</v>
      </c>
    </row>
    <row r="22" spans="1:5">
      <c r="A22" s="24" t="s">
        <v>214</v>
      </c>
      <c r="B22" s="25">
        <v>44743.457037037035</v>
      </c>
      <c r="C22" s="24" t="s">
        <v>102</v>
      </c>
    </row>
    <row r="23" spans="1:5">
      <c r="A23" s="24" t="s">
        <v>217</v>
      </c>
      <c r="B23" s="25">
        <v>44743.457037037035</v>
      </c>
      <c r="C23" s="24" t="s">
        <v>102</v>
      </c>
    </row>
    <row r="24" spans="1:5">
      <c r="A24" s="24" t="s">
        <v>218</v>
      </c>
      <c r="B24" s="25">
        <v>44743.457037037035</v>
      </c>
      <c r="C24" s="24" t="s">
        <v>102</v>
      </c>
    </row>
    <row r="25" spans="1:5">
      <c r="A25" s="24" t="s">
        <v>219</v>
      </c>
      <c r="B25" s="25">
        <v>44743.457037037035</v>
      </c>
      <c r="C25" s="24" t="s">
        <v>102</v>
      </c>
      <c r="D25" s="24" t="s">
        <v>176</v>
      </c>
    </row>
    <row r="26" spans="1:5">
      <c r="A26" s="24" t="s">
        <v>220</v>
      </c>
      <c r="B26" s="25">
        <v>44743.457037037035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44743.457037037035</v>
      </c>
      <c r="C27" s="24" t="s">
        <v>102</v>
      </c>
      <c r="D27" s="24" t="s">
        <v>176</v>
      </c>
    </row>
    <row r="28" spans="1:5">
      <c r="A28" s="24" t="s">
        <v>224</v>
      </c>
      <c r="B28" s="25">
        <v>44743.457037037035</v>
      </c>
      <c r="C28" s="24" t="s">
        <v>102</v>
      </c>
    </row>
    <row r="29" spans="1:5">
      <c r="A29" s="24" t="s">
        <v>225</v>
      </c>
      <c r="B29" s="25">
        <v>44743.457037037035</v>
      </c>
      <c r="C29" s="24" t="s">
        <v>102</v>
      </c>
      <c r="D29" s="24" t="s">
        <v>176</v>
      </c>
    </row>
    <row r="30" spans="1:5">
      <c r="A30" s="24" t="s">
        <v>226</v>
      </c>
      <c r="B30" s="25">
        <v>44743.457037037035</v>
      </c>
      <c r="C30" s="24" t="s">
        <v>102</v>
      </c>
    </row>
    <row r="31" spans="1:5">
      <c r="A31" s="24" t="s">
        <v>229</v>
      </c>
      <c r="B31" s="25">
        <v>44743.457037037035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9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221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26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15</v>
      </c>
    </row>
    <row r="25" spans="1:2">
      <c r="A25" t="s">
        <v>223</v>
      </c>
      <c r="B25">
        <v>4</v>
      </c>
    </row>
    <row r="26" spans="1:2">
      <c r="A26" t="s">
        <v>228</v>
      </c>
      <c r="B26">
        <v>6</v>
      </c>
    </row>
    <row r="27" spans="1:2">
      <c r="A27" t="s">
        <v>227</v>
      </c>
      <c r="B27">
        <v>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1"/>
  <sheetViews>
    <sheetView showGridLines="0" tabSelected="1" zoomScale="130" zoomScaleNormal="130" workbookViewId="0">
      <selection activeCell="E10" sqref="E10"/>
    </sheetView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62" t="s">
        <v>9</v>
      </c>
      <c r="C1" s="163"/>
      <c r="D1" s="162" t="s">
        <v>6</v>
      </c>
      <c r="E1" s="163"/>
      <c r="F1" s="162" t="s">
        <v>7</v>
      </c>
      <c r="G1" s="163"/>
      <c r="H1" s="162" t="s">
        <v>15</v>
      </c>
      <c r="I1" s="163"/>
      <c r="J1" s="162" t="s">
        <v>14</v>
      </c>
      <c r="K1" s="163"/>
      <c r="L1" s="162" t="s">
        <v>125</v>
      </c>
      <c r="M1" s="163"/>
      <c r="N1" s="162" t="s">
        <v>154</v>
      </c>
      <c r="O1" s="163"/>
      <c r="P1" s="162" t="s">
        <v>115</v>
      </c>
      <c r="Q1" s="163"/>
      <c r="R1" s="162" t="s">
        <v>116</v>
      </c>
      <c r="S1" s="163"/>
      <c r="T1" s="162" t="s">
        <v>5</v>
      </c>
      <c r="U1" s="163"/>
      <c r="V1" s="162" t="s">
        <v>16</v>
      </c>
      <c r="W1" s="163"/>
      <c r="X1" s="162" t="s">
        <v>98</v>
      </c>
      <c r="Y1" s="163"/>
      <c r="Z1" s="162" t="s">
        <v>95</v>
      </c>
      <c r="AA1" s="163"/>
      <c r="AB1" s="162" t="s">
        <v>101</v>
      </c>
      <c r="AC1" s="163"/>
      <c r="AD1" s="162" t="s">
        <v>117</v>
      </c>
      <c r="AE1" s="163"/>
      <c r="AF1" s="162" t="s">
        <v>113</v>
      </c>
      <c r="AG1" s="163"/>
      <c r="AH1" s="162" t="s">
        <v>148</v>
      </c>
      <c r="AI1" s="163"/>
    </row>
    <row r="2" spans="1:35">
      <c r="A2" s="58" t="s">
        <v>124</v>
      </c>
      <c r="B2" s="166">
        <v>0.68529352649813691</v>
      </c>
      <c r="C2" s="167"/>
      <c r="D2" s="164"/>
      <c r="E2" s="165"/>
      <c r="F2" s="164"/>
      <c r="G2" s="165"/>
      <c r="H2" s="166">
        <v>0.8524029134970299</v>
      </c>
      <c r="I2" s="167"/>
      <c r="J2" s="166">
        <v>0.81261323719705902</v>
      </c>
      <c r="K2" s="167"/>
      <c r="L2" s="166">
        <v>0.5990565377529935</v>
      </c>
      <c r="M2" s="167"/>
      <c r="N2" s="166">
        <v>0.695035382137424</v>
      </c>
      <c r="O2" s="167"/>
      <c r="P2" s="166">
        <v>0.49496969163776777</v>
      </c>
      <c r="Q2" s="167"/>
      <c r="R2" s="166">
        <v>0.43680812826550075</v>
      </c>
      <c r="S2" s="167"/>
      <c r="T2" s="166">
        <v>0.18351967259188887</v>
      </c>
      <c r="U2" s="167"/>
      <c r="V2" s="166">
        <v>0.57526290478097142</v>
      </c>
      <c r="W2" s="167"/>
      <c r="X2" s="166">
        <v>-0.20449827449112576</v>
      </c>
      <c r="Y2" s="167"/>
      <c r="Z2" s="166">
        <v>0.28726026104995533</v>
      </c>
      <c r="AA2" s="167"/>
      <c r="AB2" s="166">
        <v>0.52040286031333549</v>
      </c>
      <c r="AC2" s="167"/>
      <c r="AD2" s="166">
        <v>4.438418037568935E-2</v>
      </c>
      <c r="AE2" s="167"/>
      <c r="AF2" s="166">
        <v>-0.47568462443927301</v>
      </c>
      <c r="AG2" s="167"/>
      <c r="AH2" s="166">
        <v>0.81948578860643995</v>
      </c>
      <c r="AI2" s="167"/>
    </row>
    <row r="3" spans="1:35">
      <c r="A3" s="60">
        <v>1</v>
      </c>
      <c r="B3" s="61" t="s">
        <v>114</v>
      </c>
      <c r="C3" s="132">
        <v>55.25</v>
      </c>
      <c r="D3" s="61" t="s">
        <v>169</v>
      </c>
      <c r="E3" s="62">
        <v>613.90000000000009</v>
      </c>
      <c r="F3" s="63" t="s">
        <v>231</v>
      </c>
      <c r="G3" s="82">
        <v>56.25</v>
      </c>
      <c r="H3" s="63" t="s">
        <v>231</v>
      </c>
      <c r="I3" s="64">
        <v>1</v>
      </c>
      <c r="J3" s="63" t="s">
        <v>231</v>
      </c>
      <c r="K3" s="65">
        <v>1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235</v>
      </c>
      <c r="U3" s="67">
        <v>12000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231</v>
      </c>
      <c r="AA3" s="66">
        <v>0.38461538461538464</v>
      </c>
      <c r="AB3" s="63" t="s">
        <v>231</v>
      </c>
      <c r="AC3" s="66">
        <v>1</v>
      </c>
      <c r="AD3" s="63" t="s">
        <v>215</v>
      </c>
      <c r="AE3" s="66">
        <v>1</v>
      </c>
      <c r="AF3" s="63" t="s">
        <v>235</v>
      </c>
      <c r="AG3" s="66">
        <v>1</v>
      </c>
      <c r="AH3" s="63" t="s">
        <v>169</v>
      </c>
      <c r="AI3" s="77">
        <v>72200</v>
      </c>
    </row>
    <row r="4" spans="1:35">
      <c r="A4" s="68">
        <v>2</v>
      </c>
      <c r="B4" s="69" t="s">
        <v>169</v>
      </c>
      <c r="C4" s="133">
        <v>34</v>
      </c>
      <c r="D4" s="69" t="s">
        <v>162</v>
      </c>
      <c r="E4" s="70">
        <v>268</v>
      </c>
      <c r="F4" s="71" t="s">
        <v>205</v>
      </c>
      <c r="G4" s="83">
        <v>35.274999999999999</v>
      </c>
      <c r="H4" s="71" t="s">
        <v>205</v>
      </c>
      <c r="I4" s="72">
        <v>1.75</v>
      </c>
      <c r="J4" s="71" t="s">
        <v>162</v>
      </c>
      <c r="K4" s="73">
        <v>0.66666666666666663</v>
      </c>
      <c r="L4" s="71" t="s">
        <v>175</v>
      </c>
      <c r="M4" s="73">
        <v>0</v>
      </c>
      <c r="N4" s="71" t="s">
        <v>231</v>
      </c>
      <c r="O4" s="73">
        <v>1</v>
      </c>
      <c r="P4" s="71" t="s">
        <v>231</v>
      </c>
      <c r="Q4" s="74">
        <v>0.30769230769230771</v>
      </c>
      <c r="R4" s="71" t="s">
        <v>196</v>
      </c>
      <c r="S4" s="74">
        <v>0</v>
      </c>
      <c r="T4" s="71" t="s">
        <v>167</v>
      </c>
      <c r="U4" s="75">
        <v>8600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199</v>
      </c>
      <c r="AA4" s="74">
        <v>0.33333333333333331</v>
      </c>
      <c r="AB4" s="71" t="s">
        <v>235</v>
      </c>
      <c r="AC4" s="74">
        <v>1</v>
      </c>
      <c r="AD4" s="71" t="s">
        <v>166</v>
      </c>
      <c r="AE4" s="74">
        <v>0.66666666666666663</v>
      </c>
      <c r="AF4" s="71" t="s">
        <v>163</v>
      </c>
      <c r="AG4" s="74">
        <v>0.6</v>
      </c>
      <c r="AH4" s="71" t="s">
        <v>114</v>
      </c>
      <c r="AI4" s="78">
        <v>72200</v>
      </c>
    </row>
    <row r="5" spans="1:35">
      <c r="A5" s="68">
        <v>3</v>
      </c>
      <c r="B5" s="69" t="s">
        <v>195</v>
      </c>
      <c r="C5" s="133">
        <v>26</v>
      </c>
      <c r="D5" s="69" t="s">
        <v>168</v>
      </c>
      <c r="E5" s="70">
        <v>154.39999999999998</v>
      </c>
      <c r="F5" s="71" t="s">
        <v>162</v>
      </c>
      <c r="G5" s="83">
        <v>29.777777777777779</v>
      </c>
      <c r="H5" s="71" t="s">
        <v>162</v>
      </c>
      <c r="I5" s="72">
        <v>1.8888888888888888</v>
      </c>
      <c r="J5" s="71" t="s">
        <v>177</v>
      </c>
      <c r="K5" s="73">
        <v>0.5</v>
      </c>
      <c r="L5" s="71" t="s">
        <v>196</v>
      </c>
      <c r="M5" s="73">
        <v>0</v>
      </c>
      <c r="N5" s="71" t="s">
        <v>205</v>
      </c>
      <c r="O5" s="73">
        <v>0.75</v>
      </c>
      <c r="P5" s="71" t="s">
        <v>168</v>
      </c>
      <c r="Q5" s="74">
        <v>0.30281690140845069</v>
      </c>
      <c r="R5" s="71" t="s">
        <v>231</v>
      </c>
      <c r="S5" s="74">
        <v>7.6923076923076927E-2</v>
      </c>
      <c r="T5" s="71" t="s">
        <v>175</v>
      </c>
      <c r="U5" s="75">
        <v>8400</v>
      </c>
      <c r="V5" s="71" t="s">
        <v>175</v>
      </c>
      <c r="W5" s="75">
        <v>-2950</v>
      </c>
      <c r="X5" s="71" t="s">
        <v>223</v>
      </c>
      <c r="Y5" s="74">
        <v>0.2857142857142857</v>
      </c>
      <c r="Z5" s="71" t="s">
        <v>168</v>
      </c>
      <c r="AA5" s="74">
        <v>0.33098591549295775</v>
      </c>
      <c r="AB5" s="71" t="s">
        <v>205</v>
      </c>
      <c r="AC5" s="74">
        <v>0.8571428571428571</v>
      </c>
      <c r="AD5" s="71" t="s">
        <v>162</v>
      </c>
      <c r="AE5" s="74">
        <v>0.55555555555555558</v>
      </c>
      <c r="AF5" s="71" t="s">
        <v>166</v>
      </c>
      <c r="AG5" s="74">
        <v>0.5714285714285714</v>
      </c>
      <c r="AH5" s="71" t="s">
        <v>162</v>
      </c>
      <c r="AI5" s="78">
        <v>67800</v>
      </c>
    </row>
    <row r="6" spans="1:35">
      <c r="A6" s="68">
        <v>4</v>
      </c>
      <c r="B6" s="69" t="s">
        <v>168</v>
      </c>
      <c r="C6" s="133">
        <v>18</v>
      </c>
      <c r="D6" s="69" t="s">
        <v>205</v>
      </c>
      <c r="E6" s="70">
        <v>141.1</v>
      </c>
      <c r="F6" s="71" t="s">
        <v>169</v>
      </c>
      <c r="G6" s="83">
        <v>18.055882352941179</v>
      </c>
      <c r="H6" s="71" t="s">
        <v>167</v>
      </c>
      <c r="I6" s="72">
        <v>2</v>
      </c>
      <c r="J6" s="71" t="s">
        <v>205</v>
      </c>
      <c r="K6" s="73">
        <v>0.5</v>
      </c>
      <c r="L6" s="71" t="s">
        <v>205</v>
      </c>
      <c r="M6" s="73">
        <v>0</v>
      </c>
      <c r="N6" s="71" t="s">
        <v>191</v>
      </c>
      <c r="O6" s="73">
        <v>0.7142857142857143</v>
      </c>
      <c r="P6" s="71" t="s">
        <v>167</v>
      </c>
      <c r="Q6" s="74">
        <v>0.2857142857142857</v>
      </c>
      <c r="R6" s="71" t="s">
        <v>169</v>
      </c>
      <c r="S6" s="74">
        <v>8.8803088803088806E-2</v>
      </c>
      <c r="T6" s="71" t="s">
        <v>205</v>
      </c>
      <c r="U6" s="75">
        <v>8333.3333333333339</v>
      </c>
      <c r="V6" s="71" t="s">
        <v>191</v>
      </c>
      <c r="W6" s="75">
        <v>-3740</v>
      </c>
      <c r="X6" s="71" t="s">
        <v>175</v>
      </c>
      <c r="Y6" s="74">
        <v>0.26666666666666666</v>
      </c>
      <c r="Z6" s="71" t="s">
        <v>163</v>
      </c>
      <c r="AA6" s="74">
        <v>0.3188405797101449</v>
      </c>
      <c r="AB6" s="71" t="s">
        <v>228</v>
      </c>
      <c r="AC6" s="74">
        <v>0.83333333333333337</v>
      </c>
      <c r="AD6" s="71" t="s">
        <v>196</v>
      </c>
      <c r="AE6" s="74">
        <v>0.5</v>
      </c>
      <c r="AF6" s="71" t="s">
        <v>167</v>
      </c>
      <c r="AG6" s="74">
        <v>0.5</v>
      </c>
      <c r="AH6" s="71" t="s">
        <v>168</v>
      </c>
      <c r="AI6" s="78">
        <v>65600</v>
      </c>
    </row>
    <row r="7" spans="1:35">
      <c r="A7" s="68">
        <v>5</v>
      </c>
      <c r="B7" s="69" t="s">
        <v>179</v>
      </c>
      <c r="C7" s="133">
        <v>16</v>
      </c>
      <c r="D7" s="69" t="s">
        <v>231</v>
      </c>
      <c r="E7" s="70">
        <v>112.5</v>
      </c>
      <c r="F7" s="71" t="s">
        <v>167</v>
      </c>
      <c r="G7" s="83">
        <v>14</v>
      </c>
      <c r="H7" s="71" t="s">
        <v>169</v>
      </c>
      <c r="I7" s="72">
        <v>2.0882352941176472</v>
      </c>
      <c r="J7" s="71" t="s">
        <v>168</v>
      </c>
      <c r="K7" s="73">
        <v>0.3888888888888889</v>
      </c>
      <c r="L7" s="71" t="s">
        <v>215</v>
      </c>
      <c r="M7" s="73">
        <v>0</v>
      </c>
      <c r="N7" s="71" t="s">
        <v>162</v>
      </c>
      <c r="O7" s="73">
        <v>0.66666666666666663</v>
      </c>
      <c r="P7" s="71" t="s">
        <v>162</v>
      </c>
      <c r="Q7" s="74">
        <v>0.26923076923076922</v>
      </c>
      <c r="R7" s="71" t="s">
        <v>164</v>
      </c>
      <c r="S7" s="74">
        <v>9.0909090909090912E-2</v>
      </c>
      <c r="T7" s="71" t="s">
        <v>169</v>
      </c>
      <c r="U7" s="75">
        <v>8026.666666666667</v>
      </c>
      <c r="V7" s="71" t="s">
        <v>215</v>
      </c>
      <c r="W7" s="75">
        <v>-3900</v>
      </c>
      <c r="X7" s="71" t="s">
        <v>164</v>
      </c>
      <c r="Y7" s="74">
        <v>0.26446280991735538</v>
      </c>
      <c r="Z7" s="71" t="s">
        <v>180</v>
      </c>
      <c r="AA7" s="74">
        <v>0.2857142857142857</v>
      </c>
      <c r="AB7" s="71" t="s">
        <v>162</v>
      </c>
      <c r="AC7" s="74">
        <v>0.75</v>
      </c>
      <c r="AD7" s="71" t="s">
        <v>179</v>
      </c>
      <c r="AE7" s="74">
        <v>0.45454545454545453</v>
      </c>
      <c r="AF7" s="71" t="s">
        <v>203</v>
      </c>
      <c r="AG7" s="74">
        <v>0.5</v>
      </c>
      <c r="AH7" s="71" t="s">
        <v>195</v>
      </c>
      <c r="AI7" s="78">
        <v>65500</v>
      </c>
    </row>
    <row r="8" spans="1:35">
      <c r="A8" s="68">
        <v>6</v>
      </c>
      <c r="B8" s="69" t="s">
        <v>164</v>
      </c>
      <c r="C8" s="133">
        <v>15</v>
      </c>
      <c r="D8" s="69" t="s">
        <v>191</v>
      </c>
      <c r="E8" s="70">
        <v>79.299999999999983</v>
      </c>
      <c r="F8" s="71" t="s">
        <v>168</v>
      </c>
      <c r="G8" s="83">
        <v>8.5777777777777757</v>
      </c>
      <c r="H8" s="71" t="s">
        <v>191</v>
      </c>
      <c r="I8" s="72">
        <v>2.1428571428571428</v>
      </c>
      <c r="J8" s="71" t="s">
        <v>169</v>
      </c>
      <c r="K8" s="73">
        <v>0.38235294117647056</v>
      </c>
      <c r="L8" s="71" t="s">
        <v>231</v>
      </c>
      <c r="M8" s="73">
        <v>0</v>
      </c>
      <c r="N8" s="71" t="s">
        <v>169</v>
      </c>
      <c r="O8" s="73">
        <v>0.6470588235294118</v>
      </c>
      <c r="P8" s="71" t="s">
        <v>195</v>
      </c>
      <c r="Q8" s="74">
        <v>0.25</v>
      </c>
      <c r="R8" s="71" t="s">
        <v>177</v>
      </c>
      <c r="S8" s="74">
        <v>0.10526315789473684</v>
      </c>
      <c r="T8" s="71" t="s">
        <v>231</v>
      </c>
      <c r="U8" s="75">
        <v>7975</v>
      </c>
      <c r="V8" s="71" t="s">
        <v>231</v>
      </c>
      <c r="W8" s="75">
        <v>-3900</v>
      </c>
      <c r="X8" s="71" t="s">
        <v>162</v>
      </c>
      <c r="Y8" s="74">
        <v>0.25641025641025639</v>
      </c>
      <c r="Z8" s="71" t="s">
        <v>195</v>
      </c>
      <c r="AA8" s="74">
        <v>0.26111111111111113</v>
      </c>
      <c r="AB8" s="71" t="s">
        <v>166</v>
      </c>
      <c r="AC8" s="74">
        <v>0.75</v>
      </c>
      <c r="AD8" s="71" t="s">
        <v>161</v>
      </c>
      <c r="AE8" s="74">
        <v>0.3888888888888889</v>
      </c>
      <c r="AF8" s="71" t="s">
        <v>213</v>
      </c>
      <c r="AG8" s="74">
        <v>0.5</v>
      </c>
      <c r="AH8" s="71" t="s">
        <v>205</v>
      </c>
      <c r="AI8" s="78">
        <v>57200</v>
      </c>
    </row>
    <row r="9" spans="1:35">
      <c r="A9" s="68">
        <v>7</v>
      </c>
      <c r="B9" s="69" t="s">
        <v>216</v>
      </c>
      <c r="C9" s="133">
        <v>15</v>
      </c>
      <c r="D9" s="69" t="s">
        <v>164</v>
      </c>
      <c r="E9" s="70">
        <v>22.499999999999993</v>
      </c>
      <c r="F9" s="71" t="s">
        <v>191</v>
      </c>
      <c r="G9" s="83">
        <v>5.6642857142857128</v>
      </c>
      <c r="H9" s="71" t="s">
        <v>168</v>
      </c>
      <c r="I9" s="72">
        <v>2.3333333333333335</v>
      </c>
      <c r="J9" s="71" t="s">
        <v>163</v>
      </c>
      <c r="K9" s="73">
        <v>0.375</v>
      </c>
      <c r="L9" s="71" t="s">
        <v>191</v>
      </c>
      <c r="M9" s="73">
        <v>7.1428571428571425E-2</v>
      </c>
      <c r="N9" s="71" t="s">
        <v>164</v>
      </c>
      <c r="O9" s="73">
        <v>0.6</v>
      </c>
      <c r="P9" s="71" t="s">
        <v>179</v>
      </c>
      <c r="Q9" s="74">
        <v>0.24427480916030533</v>
      </c>
      <c r="R9" s="71" t="s">
        <v>179</v>
      </c>
      <c r="S9" s="74">
        <v>0.10687022900763359</v>
      </c>
      <c r="T9" s="71" t="s">
        <v>216</v>
      </c>
      <c r="U9" s="75">
        <v>7970</v>
      </c>
      <c r="V9" s="71" t="s">
        <v>202</v>
      </c>
      <c r="W9" s="75">
        <v>-4800</v>
      </c>
      <c r="X9" s="71" t="s">
        <v>196</v>
      </c>
      <c r="Y9" s="74">
        <v>0.25</v>
      </c>
      <c r="Z9" s="71" t="s">
        <v>164</v>
      </c>
      <c r="AA9" s="74">
        <v>0.256198347107438</v>
      </c>
      <c r="AB9" s="71" t="s">
        <v>175</v>
      </c>
      <c r="AC9" s="74">
        <v>0.75</v>
      </c>
      <c r="AD9" s="71" t="s">
        <v>168</v>
      </c>
      <c r="AE9" s="74">
        <v>0.38297872340425532</v>
      </c>
      <c r="AF9" s="71" t="s">
        <v>223</v>
      </c>
      <c r="AG9" s="74">
        <v>0.5</v>
      </c>
      <c r="AH9" s="71" t="s">
        <v>161</v>
      </c>
      <c r="AI9" s="78">
        <v>54900</v>
      </c>
    </row>
    <row r="10" spans="1:35">
      <c r="A10" s="68">
        <v>8</v>
      </c>
      <c r="B10" s="69" t="s">
        <v>191</v>
      </c>
      <c r="C10" s="133">
        <v>14</v>
      </c>
      <c r="D10" s="69" t="s">
        <v>163</v>
      </c>
      <c r="E10" s="70">
        <v>20.300000000000004</v>
      </c>
      <c r="F10" s="71" t="s">
        <v>163</v>
      </c>
      <c r="G10" s="83">
        <v>2.5375000000000005</v>
      </c>
      <c r="H10" s="71" t="s">
        <v>179</v>
      </c>
      <c r="I10" s="72">
        <v>2.4375</v>
      </c>
      <c r="J10" s="71" t="s">
        <v>228</v>
      </c>
      <c r="K10" s="73">
        <v>0.33333333333333331</v>
      </c>
      <c r="L10" s="71" t="s">
        <v>169</v>
      </c>
      <c r="M10" s="73">
        <v>0.11764705882352941</v>
      </c>
      <c r="N10" s="71" t="s">
        <v>168</v>
      </c>
      <c r="O10" s="73">
        <v>0.55555555555555558</v>
      </c>
      <c r="P10" s="71" t="s">
        <v>169</v>
      </c>
      <c r="Q10" s="74">
        <v>0.23166023166023167</v>
      </c>
      <c r="R10" s="71" t="s">
        <v>205</v>
      </c>
      <c r="S10" s="74">
        <v>0.10714285714285714</v>
      </c>
      <c r="T10" s="71" t="s">
        <v>162</v>
      </c>
      <c r="U10" s="75">
        <v>7942.8571428571431</v>
      </c>
      <c r="V10" s="71" t="s">
        <v>162</v>
      </c>
      <c r="W10" s="75">
        <v>-5000</v>
      </c>
      <c r="X10" s="71" t="s">
        <v>205</v>
      </c>
      <c r="Y10" s="74">
        <v>0.25</v>
      </c>
      <c r="Z10" s="71" t="s">
        <v>179</v>
      </c>
      <c r="AA10" s="74">
        <v>0.25190839694656486</v>
      </c>
      <c r="AB10" s="71" t="s">
        <v>177</v>
      </c>
      <c r="AC10" s="74">
        <v>0.75</v>
      </c>
      <c r="AD10" s="71" t="s">
        <v>195</v>
      </c>
      <c r="AE10" s="74">
        <v>0.38297872340425532</v>
      </c>
      <c r="AF10" s="71" t="s">
        <v>161</v>
      </c>
      <c r="AG10" s="74">
        <v>0.4375</v>
      </c>
      <c r="AH10" s="71" t="s">
        <v>179</v>
      </c>
      <c r="AI10" s="78">
        <v>53200</v>
      </c>
    </row>
    <row r="11" spans="1:35">
      <c r="A11" s="68">
        <v>9</v>
      </c>
      <c r="B11" s="69" t="s">
        <v>161</v>
      </c>
      <c r="C11" s="133">
        <v>10</v>
      </c>
      <c r="D11" s="69" t="s">
        <v>167</v>
      </c>
      <c r="E11" s="70">
        <v>14</v>
      </c>
      <c r="F11" s="71" t="s">
        <v>177</v>
      </c>
      <c r="G11" s="83">
        <v>1.9499999999999993</v>
      </c>
      <c r="H11" s="71" t="s">
        <v>164</v>
      </c>
      <c r="I11" s="72">
        <v>2.4666666666666668</v>
      </c>
      <c r="J11" s="71" t="s">
        <v>161</v>
      </c>
      <c r="K11" s="73">
        <v>0.3</v>
      </c>
      <c r="L11" s="71" t="s">
        <v>195</v>
      </c>
      <c r="M11" s="73">
        <v>0.15384615384615385</v>
      </c>
      <c r="N11" s="71" t="s">
        <v>213</v>
      </c>
      <c r="O11" s="73">
        <v>0.55555555555555558</v>
      </c>
      <c r="P11" s="71" t="s">
        <v>163</v>
      </c>
      <c r="Q11" s="74">
        <v>0.21739130434782608</v>
      </c>
      <c r="R11" s="71" t="s">
        <v>166</v>
      </c>
      <c r="S11" s="74">
        <v>0.11428571428571428</v>
      </c>
      <c r="T11" s="71" t="s">
        <v>228</v>
      </c>
      <c r="U11" s="75">
        <v>7871.4285714285716</v>
      </c>
      <c r="V11" s="71" t="s">
        <v>203</v>
      </c>
      <c r="W11" s="75">
        <v>-5080</v>
      </c>
      <c r="X11" s="71" t="s">
        <v>227</v>
      </c>
      <c r="Y11" s="74">
        <v>0.25</v>
      </c>
      <c r="Z11" s="71" t="s">
        <v>196</v>
      </c>
      <c r="AA11" s="74">
        <v>0.25</v>
      </c>
      <c r="AB11" s="71" t="s">
        <v>168</v>
      </c>
      <c r="AC11" s="74">
        <v>0.7142857142857143</v>
      </c>
      <c r="AD11" s="71" t="s">
        <v>169</v>
      </c>
      <c r="AE11" s="74">
        <v>0.36170212765957449</v>
      </c>
      <c r="AF11" s="71" t="s">
        <v>162</v>
      </c>
      <c r="AG11" s="74">
        <v>0.42857142857142855</v>
      </c>
      <c r="AH11" s="71" t="s">
        <v>191</v>
      </c>
      <c r="AI11" s="78">
        <v>52500</v>
      </c>
    </row>
    <row r="12" spans="1:35">
      <c r="A12" s="68">
        <v>10</v>
      </c>
      <c r="B12" s="69" t="s">
        <v>162</v>
      </c>
      <c r="C12" s="133">
        <v>9</v>
      </c>
      <c r="D12" s="69" t="s">
        <v>177</v>
      </c>
      <c r="E12" s="70">
        <v>3.8999999999999986</v>
      </c>
      <c r="F12" s="71" t="s">
        <v>164</v>
      </c>
      <c r="G12" s="83">
        <v>1.4999999999999996</v>
      </c>
      <c r="H12" s="71" t="s">
        <v>114</v>
      </c>
      <c r="I12" s="72">
        <v>2.4841628959276019</v>
      </c>
      <c r="J12" s="71" t="s">
        <v>114</v>
      </c>
      <c r="K12" s="73">
        <v>0.25791855203619912</v>
      </c>
      <c r="L12" s="71" t="s">
        <v>179</v>
      </c>
      <c r="M12" s="73">
        <v>0.1875</v>
      </c>
      <c r="N12" s="71" t="s">
        <v>114</v>
      </c>
      <c r="O12" s="73">
        <v>0.50226244343891402</v>
      </c>
      <c r="P12" s="71" t="s">
        <v>177</v>
      </c>
      <c r="Q12" s="74">
        <v>0.21052631578947367</v>
      </c>
      <c r="R12" s="71" t="s">
        <v>163</v>
      </c>
      <c r="S12" s="74">
        <v>0.11594202898550725</v>
      </c>
      <c r="T12" s="71" t="s">
        <v>164</v>
      </c>
      <c r="U12" s="75">
        <v>7355</v>
      </c>
      <c r="V12" s="71" t="s">
        <v>169</v>
      </c>
      <c r="W12" s="75">
        <v>-5165.217391304348</v>
      </c>
      <c r="X12" s="71" t="s">
        <v>195</v>
      </c>
      <c r="Y12" s="74">
        <v>0.24444444444444444</v>
      </c>
      <c r="Z12" s="71" t="s">
        <v>191</v>
      </c>
      <c r="AA12" s="74">
        <v>0.24347826086956523</v>
      </c>
      <c r="AB12" s="71" t="s">
        <v>227</v>
      </c>
      <c r="AC12" s="74">
        <v>0.66666666666666663</v>
      </c>
      <c r="AD12" s="71" t="s">
        <v>191</v>
      </c>
      <c r="AE12" s="74">
        <v>0.35714285714285715</v>
      </c>
      <c r="AF12" s="71" t="s">
        <v>205</v>
      </c>
      <c r="AG12" s="74">
        <v>0.41666666666666669</v>
      </c>
      <c r="AH12" s="71" t="s">
        <v>164</v>
      </c>
      <c r="AI12" s="78">
        <v>52000</v>
      </c>
    </row>
    <row r="13" spans="1:35">
      <c r="A13" s="68">
        <v>11</v>
      </c>
      <c r="B13" s="69" t="s">
        <v>213</v>
      </c>
      <c r="C13" s="133">
        <v>9</v>
      </c>
      <c r="D13" s="69" t="s">
        <v>161</v>
      </c>
      <c r="E13" s="70">
        <v>-0.69999999999998863</v>
      </c>
      <c r="F13" s="71" t="s">
        <v>161</v>
      </c>
      <c r="G13" s="83">
        <v>-6.9999999999998869E-2</v>
      </c>
      <c r="H13" s="71" t="s">
        <v>161</v>
      </c>
      <c r="I13" s="72">
        <v>2.5</v>
      </c>
      <c r="J13" s="71" t="s">
        <v>179</v>
      </c>
      <c r="K13" s="73">
        <v>0.25</v>
      </c>
      <c r="L13" s="71" t="s">
        <v>162</v>
      </c>
      <c r="M13" s="73">
        <v>0.22222222222222221</v>
      </c>
      <c r="N13" s="71" t="s">
        <v>161</v>
      </c>
      <c r="O13" s="73">
        <v>0.5</v>
      </c>
      <c r="P13" s="71" t="s">
        <v>227</v>
      </c>
      <c r="Q13" s="74">
        <v>0.20833333333333334</v>
      </c>
      <c r="R13" s="71" t="s">
        <v>213</v>
      </c>
      <c r="S13" s="74">
        <v>0.12244897959183673</v>
      </c>
      <c r="T13" s="71" t="s">
        <v>213</v>
      </c>
      <c r="U13" s="75">
        <v>7300</v>
      </c>
      <c r="V13" s="71" t="s">
        <v>223</v>
      </c>
      <c r="W13" s="75">
        <v>-5450</v>
      </c>
      <c r="X13" s="71" t="s">
        <v>177</v>
      </c>
      <c r="Y13" s="74">
        <v>0.21052631578947367</v>
      </c>
      <c r="Z13" s="71" t="s">
        <v>161</v>
      </c>
      <c r="AA13" s="74">
        <v>0.23376623376623376</v>
      </c>
      <c r="AB13" s="71" t="s">
        <v>169</v>
      </c>
      <c r="AC13" s="74">
        <v>0.65909090909090906</v>
      </c>
      <c r="AD13" s="71" t="s">
        <v>114</v>
      </c>
      <c r="AE13" s="74">
        <v>0.34971098265895956</v>
      </c>
      <c r="AF13" s="71" t="s">
        <v>195</v>
      </c>
      <c r="AG13" s="74">
        <v>0.4</v>
      </c>
      <c r="AH13" s="71" t="s">
        <v>177</v>
      </c>
      <c r="AI13" s="78">
        <v>42500</v>
      </c>
    </row>
    <row r="14" spans="1:35">
      <c r="A14" s="68">
        <v>12</v>
      </c>
      <c r="B14" s="69" t="s">
        <v>163</v>
      </c>
      <c r="C14" s="133">
        <v>8</v>
      </c>
      <c r="D14" s="69" t="s">
        <v>175</v>
      </c>
      <c r="E14" s="70">
        <v>-2.2000000000000011</v>
      </c>
      <c r="F14" s="71" t="s">
        <v>114</v>
      </c>
      <c r="G14" s="83">
        <v>-0.13574660633484179</v>
      </c>
      <c r="H14" s="71" t="s">
        <v>163</v>
      </c>
      <c r="I14" s="72">
        <v>2.5</v>
      </c>
      <c r="J14" s="71" t="s">
        <v>195</v>
      </c>
      <c r="K14" s="73">
        <v>0.23076923076923078</v>
      </c>
      <c r="L14" s="71" t="s">
        <v>213</v>
      </c>
      <c r="M14" s="73">
        <v>0.22222222222222221</v>
      </c>
      <c r="N14" s="71" t="s">
        <v>179</v>
      </c>
      <c r="O14" s="73">
        <v>0.5</v>
      </c>
      <c r="P14" s="71" t="s">
        <v>114</v>
      </c>
      <c r="Q14" s="74">
        <v>0.20820760410380204</v>
      </c>
      <c r="R14" s="71" t="s">
        <v>162</v>
      </c>
      <c r="S14" s="74">
        <v>0.12820512820512819</v>
      </c>
      <c r="T14" s="71" t="s">
        <v>223</v>
      </c>
      <c r="U14" s="75">
        <v>7200</v>
      </c>
      <c r="V14" s="71" t="s">
        <v>164</v>
      </c>
      <c r="W14" s="75">
        <v>-5500</v>
      </c>
      <c r="X14" s="71" t="s">
        <v>203</v>
      </c>
      <c r="Y14" s="74">
        <v>0.20930232558139536</v>
      </c>
      <c r="Z14" s="71" t="s">
        <v>205</v>
      </c>
      <c r="AA14" s="74">
        <v>0.21428571428571427</v>
      </c>
      <c r="AB14" s="71" t="s">
        <v>161</v>
      </c>
      <c r="AC14" s="74">
        <v>0.53846153846153844</v>
      </c>
      <c r="AD14" s="71" t="s">
        <v>216</v>
      </c>
      <c r="AE14" s="74">
        <v>0.33333333333333331</v>
      </c>
      <c r="AF14" s="71" t="s">
        <v>216</v>
      </c>
      <c r="AG14" s="74">
        <v>0.4</v>
      </c>
      <c r="AH14" s="71" t="s">
        <v>228</v>
      </c>
      <c r="AI14" s="78">
        <v>42500</v>
      </c>
    </row>
    <row r="15" spans="1:35">
      <c r="A15" s="68">
        <v>13</v>
      </c>
      <c r="B15" s="69" t="s">
        <v>228</v>
      </c>
      <c r="C15" s="133">
        <v>6</v>
      </c>
      <c r="D15" s="69" t="s">
        <v>228</v>
      </c>
      <c r="E15" s="70">
        <v>-14.299999999999986</v>
      </c>
      <c r="F15" s="71" t="s">
        <v>175</v>
      </c>
      <c r="G15" s="83">
        <v>-1.1000000000000005</v>
      </c>
      <c r="H15" s="71" t="s">
        <v>175</v>
      </c>
      <c r="I15" s="72">
        <v>2.5</v>
      </c>
      <c r="J15" s="71" t="s">
        <v>191</v>
      </c>
      <c r="K15" s="73">
        <v>0.21428571428571427</v>
      </c>
      <c r="L15" s="71" t="s">
        <v>114</v>
      </c>
      <c r="M15" s="73">
        <v>0.24434389140271492</v>
      </c>
      <c r="N15" s="71" t="s">
        <v>163</v>
      </c>
      <c r="O15" s="73">
        <v>0.5</v>
      </c>
      <c r="P15" s="71" t="s">
        <v>161</v>
      </c>
      <c r="Q15" s="74">
        <v>0.20779220779220781</v>
      </c>
      <c r="R15" s="71" t="s">
        <v>191</v>
      </c>
      <c r="S15" s="74">
        <v>0.13043478260869565</v>
      </c>
      <c r="T15" s="71" t="s">
        <v>161</v>
      </c>
      <c r="U15" s="75">
        <v>7025</v>
      </c>
      <c r="V15" s="71" t="s">
        <v>168</v>
      </c>
      <c r="W15" s="75">
        <v>-5835.7142857142853</v>
      </c>
      <c r="X15" s="71" t="s">
        <v>213</v>
      </c>
      <c r="Y15" s="74">
        <v>0.20408163265306123</v>
      </c>
      <c r="Z15" s="71" t="s">
        <v>114</v>
      </c>
      <c r="AA15" s="74">
        <v>0.2088111044055522</v>
      </c>
      <c r="AB15" s="71" t="s">
        <v>114</v>
      </c>
      <c r="AC15" s="74">
        <v>0.52484472049689446</v>
      </c>
      <c r="AD15" s="71" t="s">
        <v>177</v>
      </c>
      <c r="AE15" s="74">
        <v>0.33333333333333331</v>
      </c>
      <c r="AF15" s="71" t="s">
        <v>168</v>
      </c>
      <c r="AG15" s="74">
        <v>0.39534883720930231</v>
      </c>
      <c r="AH15" s="71" t="s">
        <v>163</v>
      </c>
      <c r="AI15" s="78">
        <v>41700</v>
      </c>
    </row>
    <row r="16" spans="1:35">
      <c r="A16" s="68">
        <v>14</v>
      </c>
      <c r="B16" s="69" t="s">
        <v>203</v>
      </c>
      <c r="C16" s="133">
        <v>5</v>
      </c>
      <c r="D16" s="69" t="s">
        <v>215</v>
      </c>
      <c r="E16" s="70">
        <v>-14.4</v>
      </c>
      <c r="F16" s="71" t="s">
        <v>195</v>
      </c>
      <c r="G16" s="83">
        <v>-1.8884615384615389</v>
      </c>
      <c r="H16" s="71" t="s">
        <v>177</v>
      </c>
      <c r="I16" s="72">
        <v>2.5</v>
      </c>
      <c r="J16" s="71" t="s">
        <v>164</v>
      </c>
      <c r="K16" s="73">
        <v>0.2</v>
      </c>
      <c r="L16" s="71" t="s">
        <v>223</v>
      </c>
      <c r="M16" s="73">
        <v>0.25</v>
      </c>
      <c r="N16" s="71" t="s">
        <v>175</v>
      </c>
      <c r="O16" s="73">
        <v>0.5</v>
      </c>
      <c r="P16" s="71" t="s">
        <v>166</v>
      </c>
      <c r="Q16" s="74">
        <v>0.2</v>
      </c>
      <c r="R16" s="71" t="s">
        <v>195</v>
      </c>
      <c r="S16" s="74">
        <v>0.13333333333333333</v>
      </c>
      <c r="T16" s="71" t="s">
        <v>191</v>
      </c>
      <c r="U16" s="75">
        <v>6733.333333333333</v>
      </c>
      <c r="V16" s="71" t="s">
        <v>177</v>
      </c>
      <c r="W16" s="75">
        <v>-5950</v>
      </c>
      <c r="X16" s="71" t="s">
        <v>163</v>
      </c>
      <c r="Y16" s="74">
        <v>0.20289855072463769</v>
      </c>
      <c r="Z16" s="71" t="s">
        <v>227</v>
      </c>
      <c r="AA16" s="74">
        <v>0.20833333333333334</v>
      </c>
      <c r="AB16" s="71" t="s">
        <v>195</v>
      </c>
      <c r="AC16" s="74">
        <v>0.5</v>
      </c>
      <c r="AD16" s="71" t="s">
        <v>205</v>
      </c>
      <c r="AE16" s="74">
        <v>0.33333333333333331</v>
      </c>
      <c r="AF16" s="71" t="s">
        <v>179</v>
      </c>
      <c r="AG16" s="74">
        <v>0.375</v>
      </c>
      <c r="AH16" s="71" t="s">
        <v>231</v>
      </c>
      <c r="AI16" s="78">
        <v>41300</v>
      </c>
    </row>
    <row r="17" spans="1:35">
      <c r="A17" s="68">
        <v>15</v>
      </c>
      <c r="B17" s="69" t="s">
        <v>166</v>
      </c>
      <c r="C17" s="133">
        <v>4</v>
      </c>
      <c r="D17" s="69" t="s">
        <v>196</v>
      </c>
      <c r="E17" s="70">
        <v>-27.1</v>
      </c>
      <c r="F17" s="71" t="s">
        <v>179</v>
      </c>
      <c r="G17" s="83">
        <v>-2.1625000000000001</v>
      </c>
      <c r="H17" s="71" t="s">
        <v>228</v>
      </c>
      <c r="I17" s="72">
        <v>2.5</v>
      </c>
      <c r="J17" s="71" t="s">
        <v>216</v>
      </c>
      <c r="K17" s="73">
        <v>6.6666666666666666E-2</v>
      </c>
      <c r="L17" s="71" t="s">
        <v>227</v>
      </c>
      <c r="M17" s="73">
        <v>0.25</v>
      </c>
      <c r="N17" s="71" t="s">
        <v>177</v>
      </c>
      <c r="O17" s="73">
        <v>0.5</v>
      </c>
      <c r="P17" s="71" t="s">
        <v>175</v>
      </c>
      <c r="Q17" s="74">
        <v>0.2</v>
      </c>
      <c r="R17" s="71" t="s">
        <v>175</v>
      </c>
      <c r="S17" s="74">
        <v>0.13333333333333333</v>
      </c>
      <c r="T17" s="71" t="s">
        <v>114</v>
      </c>
      <c r="U17" s="75">
        <v>6719.710144927536</v>
      </c>
      <c r="V17" s="71" t="s">
        <v>213</v>
      </c>
      <c r="W17" s="75">
        <v>-5966.666666666667</v>
      </c>
      <c r="X17" s="71" t="s">
        <v>168</v>
      </c>
      <c r="Y17" s="74">
        <v>0.19718309859154928</v>
      </c>
      <c r="Z17" s="71" t="s">
        <v>235</v>
      </c>
      <c r="AA17" s="74">
        <v>0.2</v>
      </c>
      <c r="AB17" s="71" t="s">
        <v>163</v>
      </c>
      <c r="AC17" s="74">
        <v>0.5</v>
      </c>
      <c r="AD17" s="71" t="s">
        <v>163</v>
      </c>
      <c r="AE17" s="74">
        <v>0.31818181818181818</v>
      </c>
      <c r="AF17" s="71" t="s">
        <v>114</v>
      </c>
      <c r="AG17" s="74">
        <v>0.35072463768115941</v>
      </c>
      <c r="AH17" s="71" t="s">
        <v>216</v>
      </c>
      <c r="AI17" s="78">
        <v>36500</v>
      </c>
    </row>
    <row r="18" spans="1:35">
      <c r="A18" s="68">
        <v>16</v>
      </c>
      <c r="B18" s="69" t="s">
        <v>205</v>
      </c>
      <c r="C18" s="133">
        <v>4</v>
      </c>
      <c r="D18" s="69" t="s">
        <v>114</v>
      </c>
      <c r="E18" s="70">
        <v>-30.000000000000032</v>
      </c>
      <c r="F18" s="71" t="s">
        <v>228</v>
      </c>
      <c r="G18" s="83">
        <v>-2.3833333333333311</v>
      </c>
      <c r="H18" s="71" t="s">
        <v>195</v>
      </c>
      <c r="I18" s="72">
        <v>2.5384615384615383</v>
      </c>
      <c r="J18" s="71" t="s">
        <v>166</v>
      </c>
      <c r="K18" s="73">
        <v>0</v>
      </c>
      <c r="L18" s="71" t="s">
        <v>164</v>
      </c>
      <c r="M18" s="73">
        <v>0.26666666666666666</v>
      </c>
      <c r="N18" s="71" t="s">
        <v>223</v>
      </c>
      <c r="O18" s="73">
        <v>0.5</v>
      </c>
      <c r="P18" s="71" t="s">
        <v>191</v>
      </c>
      <c r="Q18" s="74">
        <v>0.18260869565217391</v>
      </c>
      <c r="R18" s="71" t="s">
        <v>199</v>
      </c>
      <c r="S18" s="74">
        <v>0.13333333333333333</v>
      </c>
      <c r="T18" s="71" t="s">
        <v>203</v>
      </c>
      <c r="U18" s="75">
        <v>6275</v>
      </c>
      <c r="V18" s="71" t="s">
        <v>114</v>
      </c>
      <c r="W18" s="75">
        <v>-6327.2321428571431</v>
      </c>
      <c r="X18" s="71" t="s">
        <v>114</v>
      </c>
      <c r="Y18" s="74">
        <v>0.1943270971635486</v>
      </c>
      <c r="Z18" s="71" t="s">
        <v>169</v>
      </c>
      <c r="AA18" s="74">
        <v>0.18146718146718147</v>
      </c>
      <c r="AB18" s="71" t="s">
        <v>167</v>
      </c>
      <c r="AC18" s="74">
        <v>0.5</v>
      </c>
      <c r="AD18" s="71" t="s">
        <v>164</v>
      </c>
      <c r="AE18" s="74">
        <v>0.22580645161290322</v>
      </c>
      <c r="AF18" s="71" t="s">
        <v>175</v>
      </c>
      <c r="AG18" s="74">
        <v>0.33333333333333331</v>
      </c>
      <c r="AH18" s="71" t="s">
        <v>213</v>
      </c>
      <c r="AI18" s="78">
        <v>34800</v>
      </c>
    </row>
    <row r="19" spans="1:35">
      <c r="A19" s="68">
        <v>17</v>
      </c>
      <c r="B19" s="69" t="s">
        <v>223</v>
      </c>
      <c r="C19" s="133">
        <v>4</v>
      </c>
      <c r="D19" s="69" t="s">
        <v>179</v>
      </c>
      <c r="E19" s="70">
        <v>-34.6</v>
      </c>
      <c r="F19" s="71" t="s">
        <v>213</v>
      </c>
      <c r="G19" s="83">
        <v>-11.033333333333335</v>
      </c>
      <c r="H19" s="71" t="s">
        <v>213</v>
      </c>
      <c r="I19" s="72">
        <v>2.6666666666666665</v>
      </c>
      <c r="J19" s="71" t="s">
        <v>167</v>
      </c>
      <c r="K19" s="73">
        <v>0</v>
      </c>
      <c r="L19" s="71" t="s">
        <v>168</v>
      </c>
      <c r="M19" s="73">
        <v>0.27777777777777779</v>
      </c>
      <c r="N19" s="71" t="s">
        <v>228</v>
      </c>
      <c r="O19" s="73">
        <v>0.5</v>
      </c>
      <c r="P19" s="71" t="s">
        <v>228</v>
      </c>
      <c r="Q19" s="74">
        <v>0.17948717948717949</v>
      </c>
      <c r="R19" s="71" t="s">
        <v>114</v>
      </c>
      <c r="S19" s="74">
        <v>0.1351840675920338</v>
      </c>
      <c r="T19" s="71" t="s">
        <v>195</v>
      </c>
      <c r="U19" s="75">
        <v>6071.1111111111113</v>
      </c>
      <c r="V19" s="71" t="s">
        <v>208</v>
      </c>
      <c r="W19" s="75">
        <v>-6340</v>
      </c>
      <c r="X19" s="71" t="s">
        <v>179</v>
      </c>
      <c r="Y19" s="74">
        <v>0.19083969465648856</v>
      </c>
      <c r="Z19" s="71" t="s">
        <v>202</v>
      </c>
      <c r="AA19" s="74">
        <v>0.17647058823529413</v>
      </c>
      <c r="AB19" s="71" t="s">
        <v>216</v>
      </c>
      <c r="AC19" s="74">
        <v>0.44444444444444442</v>
      </c>
      <c r="AD19" s="71" t="s">
        <v>227</v>
      </c>
      <c r="AE19" s="74">
        <v>0.2</v>
      </c>
      <c r="AF19" s="71" t="s">
        <v>228</v>
      </c>
      <c r="AG19" s="74">
        <v>0.2857142857142857</v>
      </c>
      <c r="AH19" s="71" t="s">
        <v>167</v>
      </c>
      <c r="AI19" s="78">
        <v>34000</v>
      </c>
    </row>
    <row r="20" spans="1:35">
      <c r="A20" s="68">
        <v>18</v>
      </c>
      <c r="B20" s="69" t="s">
        <v>227</v>
      </c>
      <c r="C20" s="133">
        <v>4</v>
      </c>
      <c r="D20" s="69" t="s">
        <v>195</v>
      </c>
      <c r="E20" s="70">
        <v>-49.100000000000009</v>
      </c>
      <c r="F20" s="71" t="s">
        <v>215</v>
      </c>
      <c r="G20" s="83">
        <v>-14.4</v>
      </c>
      <c r="H20" s="71" t="s">
        <v>223</v>
      </c>
      <c r="I20" s="72">
        <v>2.75</v>
      </c>
      <c r="J20" s="71" t="s">
        <v>175</v>
      </c>
      <c r="K20" s="73">
        <v>0</v>
      </c>
      <c r="L20" s="71" t="s">
        <v>161</v>
      </c>
      <c r="M20" s="73">
        <v>0.3</v>
      </c>
      <c r="N20" s="71" t="s">
        <v>227</v>
      </c>
      <c r="O20" s="73">
        <v>0.5</v>
      </c>
      <c r="P20" s="71" t="s">
        <v>215</v>
      </c>
      <c r="Q20" s="74">
        <v>0.16666666666666666</v>
      </c>
      <c r="R20" s="71" t="s">
        <v>215</v>
      </c>
      <c r="S20" s="74">
        <v>0.16666666666666666</v>
      </c>
      <c r="T20" s="71" t="s">
        <v>163</v>
      </c>
      <c r="U20" s="75">
        <v>5993.333333333333</v>
      </c>
      <c r="V20" s="71" t="s">
        <v>161</v>
      </c>
      <c r="W20" s="75">
        <v>-6514.2857142857147</v>
      </c>
      <c r="X20" s="71" t="s">
        <v>216</v>
      </c>
      <c r="Y20" s="74">
        <v>0.1875</v>
      </c>
      <c r="Z20" s="71" t="s">
        <v>166</v>
      </c>
      <c r="AA20" s="74">
        <v>0.17142857142857143</v>
      </c>
      <c r="AB20" s="71" t="s">
        <v>179</v>
      </c>
      <c r="AC20" s="74">
        <v>0.4</v>
      </c>
      <c r="AD20" s="71" t="s">
        <v>231</v>
      </c>
      <c r="AE20" s="74">
        <v>0.2</v>
      </c>
      <c r="AF20" s="71" t="s">
        <v>177</v>
      </c>
      <c r="AG20" s="74">
        <v>0.25</v>
      </c>
      <c r="AH20" s="71" t="s">
        <v>175</v>
      </c>
      <c r="AI20" s="78">
        <v>33600</v>
      </c>
    </row>
    <row r="21" spans="1:35">
      <c r="A21" s="68">
        <v>19</v>
      </c>
      <c r="B21" s="69" t="s">
        <v>208</v>
      </c>
      <c r="C21" s="133">
        <v>3</v>
      </c>
      <c r="D21" s="69" t="s">
        <v>180</v>
      </c>
      <c r="E21" s="70">
        <v>-52.6</v>
      </c>
      <c r="F21" s="71" t="s">
        <v>227</v>
      </c>
      <c r="G21" s="83">
        <v>-16.125000000000004</v>
      </c>
      <c r="H21" s="71" t="s">
        <v>227</v>
      </c>
      <c r="I21" s="72">
        <v>2.75</v>
      </c>
      <c r="J21" s="71" t="s">
        <v>180</v>
      </c>
      <c r="K21" s="73">
        <v>0</v>
      </c>
      <c r="L21" s="71" t="s">
        <v>228</v>
      </c>
      <c r="M21" s="73">
        <v>0.33333333333333331</v>
      </c>
      <c r="N21" s="71" t="s">
        <v>195</v>
      </c>
      <c r="O21" s="73">
        <v>0.38461538461538464</v>
      </c>
      <c r="P21" s="71" t="s">
        <v>164</v>
      </c>
      <c r="Q21" s="74">
        <v>0.16528925619834711</v>
      </c>
      <c r="R21" s="71" t="s">
        <v>227</v>
      </c>
      <c r="S21" s="74">
        <v>0.16666666666666666</v>
      </c>
      <c r="T21" s="71" t="s">
        <v>168</v>
      </c>
      <c r="U21" s="75">
        <v>5988.3720930232557</v>
      </c>
      <c r="V21" s="71" t="s">
        <v>180</v>
      </c>
      <c r="W21" s="75">
        <v>-6600</v>
      </c>
      <c r="X21" s="71" t="s">
        <v>169</v>
      </c>
      <c r="Y21" s="74">
        <v>0.16988416988416988</v>
      </c>
      <c r="Z21" s="71" t="s">
        <v>215</v>
      </c>
      <c r="AA21" s="74">
        <v>0.16666666666666666</v>
      </c>
      <c r="AB21" s="71" t="s">
        <v>213</v>
      </c>
      <c r="AC21" s="74">
        <v>0.4</v>
      </c>
      <c r="AD21" s="71" t="s">
        <v>203</v>
      </c>
      <c r="AE21" s="74">
        <v>0.16666666666666666</v>
      </c>
      <c r="AF21" s="71" t="s">
        <v>231</v>
      </c>
      <c r="AG21" s="74">
        <v>0.25</v>
      </c>
      <c r="AH21" s="71" t="s">
        <v>227</v>
      </c>
      <c r="AI21" s="78">
        <v>32400</v>
      </c>
    </row>
    <row r="22" spans="1:35">
      <c r="A22" s="68">
        <v>20</v>
      </c>
      <c r="B22" s="69" t="s">
        <v>175</v>
      </c>
      <c r="C22" s="133">
        <v>2</v>
      </c>
      <c r="D22" s="69" t="s">
        <v>227</v>
      </c>
      <c r="E22" s="70">
        <v>-64.500000000000014</v>
      </c>
      <c r="F22" s="71" t="s">
        <v>223</v>
      </c>
      <c r="G22" s="83">
        <v>-18.125</v>
      </c>
      <c r="H22" s="71" t="s">
        <v>216</v>
      </c>
      <c r="I22" s="72">
        <v>3</v>
      </c>
      <c r="J22" s="71" t="s">
        <v>199</v>
      </c>
      <c r="K22" s="73">
        <v>0</v>
      </c>
      <c r="L22" s="71" t="s">
        <v>163</v>
      </c>
      <c r="M22" s="73">
        <v>0.375</v>
      </c>
      <c r="N22" s="71" t="s">
        <v>216</v>
      </c>
      <c r="O22" s="73">
        <v>0.33333333333333331</v>
      </c>
      <c r="P22" s="71" t="s">
        <v>196</v>
      </c>
      <c r="Q22" s="74">
        <v>0.125</v>
      </c>
      <c r="R22" s="71" t="s">
        <v>202</v>
      </c>
      <c r="S22" s="74">
        <v>0.17647058823529413</v>
      </c>
      <c r="T22" s="71" t="s">
        <v>177</v>
      </c>
      <c r="U22" s="75">
        <v>5900</v>
      </c>
      <c r="V22" s="71" t="s">
        <v>195</v>
      </c>
      <c r="W22" s="75">
        <v>-6883.333333333333</v>
      </c>
      <c r="X22" s="71" t="s">
        <v>161</v>
      </c>
      <c r="Y22" s="74">
        <v>0.16883116883116883</v>
      </c>
      <c r="Z22" s="71" t="s">
        <v>177</v>
      </c>
      <c r="AA22" s="74">
        <v>0.15789473684210525</v>
      </c>
      <c r="AB22" s="71" t="s">
        <v>191</v>
      </c>
      <c r="AC22" s="74">
        <v>0.33333333333333331</v>
      </c>
      <c r="AD22" s="71" t="s">
        <v>228</v>
      </c>
      <c r="AE22" s="74">
        <v>0.16666666666666666</v>
      </c>
      <c r="AF22" s="71" t="s">
        <v>169</v>
      </c>
      <c r="AG22" s="74">
        <v>0.21666666666666667</v>
      </c>
      <c r="AH22" s="71" t="s">
        <v>215</v>
      </c>
      <c r="AI22" s="78">
        <v>25600</v>
      </c>
    </row>
    <row r="23" spans="1:35">
      <c r="A23" s="68">
        <v>21</v>
      </c>
      <c r="B23" s="69" t="s">
        <v>177</v>
      </c>
      <c r="C23" s="133">
        <v>2</v>
      </c>
      <c r="D23" s="69" t="s">
        <v>235</v>
      </c>
      <c r="E23" s="70">
        <v>-70.800000000000011</v>
      </c>
      <c r="F23" s="71" t="s">
        <v>216</v>
      </c>
      <c r="G23" s="83">
        <v>-22.16</v>
      </c>
      <c r="H23" s="71" t="s">
        <v>196</v>
      </c>
      <c r="I23" s="72">
        <v>3</v>
      </c>
      <c r="J23" s="71" t="s">
        <v>196</v>
      </c>
      <c r="K23" s="73">
        <v>0</v>
      </c>
      <c r="L23" s="71" t="s">
        <v>216</v>
      </c>
      <c r="M23" s="73">
        <v>0.4</v>
      </c>
      <c r="N23" s="71" t="s">
        <v>166</v>
      </c>
      <c r="O23" s="73">
        <v>0.25</v>
      </c>
      <c r="P23" s="71" t="s">
        <v>213</v>
      </c>
      <c r="Q23" s="74">
        <v>0.12244897959183673</v>
      </c>
      <c r="R23" s="71" t="s">
        <v>216</v>
      </c>
      <c r="S23" s="74">
        <v>0.17708333333333334</v>
      </c>
      <c r="T23" s="71" t="s">
        <v>227</v>
      </c>
      <c r="U23" s="75">
        <v>5480</v>
      </c>
      <c r="V23" s="71" t="s">
        <v>163</v>
      </c>
      <c r="W23" s="75">
        <v>-7212.5</v>
      </c>
      <c r="X23" s="71" t="s">
        <v>228</v>
      </c>
      <c r="Y23" s="74">
        <v>0.15384615384615385</v>
      </c>
      <c r="Z23" s="71" t="s">
        <v>228</v>
      </c>
      <c r="AA23" s="74">
        <v>0.15384615384615385</v>
      </c>
      <c r="AB23" s="71" t="s">
        <v>203</v>
      </c>
      <c r="AC23" s="74">
        <v>0.33333333333333331</v>
      </c>
      <c r="AD23" s="71" t="s">
        <v>167</v>
      </c>
      <c r="AE23" s="74">
        <v>0</v>
      </c>
      <c r="AF23" s="71" t="s">
        <v>164</v>
      </c>
      <c r="AG23" s="74">
        <v>0.2</v>
      </c>
      <c r="AH23" s="71" t="s">
        <v>203</v>
      </c>
      <c r="AI23" s="78">
        <v>25000</v>
      </c>
    </row>
    <row r="24" spans="1:35">
      <c r="A24" s="68">
        <v>22</v>
      </c>
      <c r="B24" s="69" t="s">
        <v>199</v>
      </c>
      <c r="C24" s="133">
        <v>2</v>
      </c>
      <c r="D24" s="69" t="s">
        <v>223</v>
      </c>
      <c r="E24" s="70">
        <v>-72.5</v>
      </c>
      <c r="F24" s="71" t="s">
        <v>196</v>
      </c>
      <c r="G24" s="83">
        <v>-27.1</v>
      </c>
      <c r="H24" s="71" t="s">
        <v>215</v>
      </c>
      <c r="I24" s="72">
        <v>3</v>
      </c>
      <c r="J24" s="71" t="s">
        <v>203</v>
      </c>
      <c r="K24" s="73">
        <v>0</v>
      </c>
      <c r="L24" s="71" t="s">
        <v>203</v>
      </c>
      <c r="M24" s="73">
        <v>0.4</v>
      </c>
      <c r="N24" s="71" t="s">
        <v>180</v>
      </c>
      <c r="O24" s="73">
        <v>0</v>
      </c>
      <c r="P24" s="71" t="s">
        <v>216</v>
      </c>
      <c r="Q24" s="74">
        <v>0.10416666666666667</v>
      </c>
      <c r="R24" s="71" t="s">
        <v>161</v>
      </c>
      <c r="S24" s="74">
        <v>0.18181818181818182</v>
      </c>
      <c r="T24" s="71" t="s">
        <v>179</v>
      </c>
      <c r="U24" s="75">
        <v>4909.375</v>
      </c>
      <c r="V24" s="71" t="s">
        <v>228</v>
      </c>
      <c r="W24" s="75">
        <v>-7225</v>
      </c>
      <c r="X24" s="71" t="s">
        <v>231</v>
      </c>
      <c r="Y24" s="74">
        <v>0.15384615384615385</v>
      </c>
      <c r="Z24" s="71" t="s">
        <v>167</v>
      </c>
      <c r="AA24" s="74">
        <v>0.14285714285714285</v>
      </c>
      <c r="AB24" s="71" t="s">
        <v>223</v>
      </c>
      <c r="AC24" s="74">
        <v>0.33333333333333331</v>
      </c>
      <c r="AD24" s="71" t="s">
        <v>175</v>
      </c>
      <c r="AE24" s="74">
        <v>0</v>
      </c>
      <c r="AF24" s="71" t="s">
        <v>227</v>
      </c>
      <c r="AG24" s="74">
        <v>0.2</v>
      </c>
      <c r="AH24" s="71" t="s">
        <v>166</v>
      </c>
      <c r="AI24" s="78">
        <v>23700</v>
      </c>
    </row>
    <row r="25" spans="1:35">
      <c r="A25" s="68">
        <v>23</v>
      </c>
      <c r="B25" s="69" t="s">
        <v>202</v>
      </c>
      <c r="C25" s="133">
        <v>2</v>
      </c>
      <c r="D25" s="69" t="s">
        <v>199</v>
      </c>
      <c r="E25" s="70">
        <v>-97.4</v>
      </c>
      <c r="F25" s="71" t="s">
        <v>166</v>
      </c>
      <c r="G25" s="83">
        <v>-31.999999999999996</v>
      </c>
      <c r="H25" s="71" t="s">
        <v>166</v>
      </c>
      <c r="I25" s="72">
        <v>3.25</v>
      </c>
      <c r="J25" s="71" t="s">
        <v>202</v>
      </c>
      <c r="K25" s="73">
        <v>0</v>
      </c>
      <c r="L25" s="71" t="s">
        <v>166</v>
      </c>
      <c r="M25" s="73">
        <v>0.5</v>
      </c>
      <c r="N25" s="71" t="s">
        <v>199</v>
      </c>
      <c r="O25" s="73">
        <v>0</v>
      </c>
      <c r="P25" s="71" t="s">
        <v>223</v>
      </c>
      <c r="Q25" s="74">
        <v>9.5238095238095233E-2</v>
      </c>
      <c r="R25" s="71" t="s">
        <v>223</v>
      </c>
      <c r="S25" s="74">
        <v>0.19047619047619047</v>
      </c>
      <c r="T25" s="71" t="s">
        <v>215</v>
      </c>
      <c r="U25" s="75">
        <v>3900</v>
      </c>
      <c r="V25" s="71" t="s">
        <v>216</v>
      </c>
      <c r="W25" s="75">
        <v>-7882.3529411764703</v>
      </c>
      <c r="X25" s="71" t="s">
        <v>180</v>
      </c>
      <c r="Y25" s="74">
        <v>0.14285714285714285</v>
      </c>
      <c r="Z25" s="71" t="s">
        <v>203</v>
      </c>
      <c r="AA25" s="74">
        <v>0.13953488372093023</v>
      </c>
      <c r="AB25" s="71" t="s">
        <v>164</v>
      </c>
      <c r="AC25" s="74">
        <v>0.3125</v>
      </c>
      <c r="AD25" s="71" t="s">
        <v>180</v>
      </c>
      <c r="AE25" s="74">
        <v>0</v>
      </c>
      <c r="AF25" s="71" t="s">
        <v>191</v>
      </c>
      <c r="AG25" s="74">
        <v>0.14285714285714285</v>
      </c>
      <c r="AH25" s="71" t="s">
        <v>235</v>
      </c>
      <c r="AI25" s="78">
        <v>22900</v>
      </c>
    </row>
    <row r="26" spans="1:35">
      <c r="A26" s="68">
        <v>24</v>
      </c>
      <c r="B26" s="69" t="s">
        <v>231</v>
      </c>
      <c r="C26" s="133">
        <v>2</v>
      </c>
      <c r="D26" s="69" t="s">
        <v>213</v>
      </c>
      <c r="E26" s="70">
        <v>-99.300000000000011</v>
      </c>
      <c r="F26" s="71" t="s">
        <v>203</v>
      </c>
      <c r="G26" s="83">
        <v>-32.279999999999994</v>
      </c>
      <c r="H26" s="71" t="s">
        <v>203</v>
      </c>
      <c r="I26" s="72">
        <v>3.4</v>
      </c>
      <c r="J26" s="71" t="s">
        <v>208</v>
      </c>
      <c r="K26" s="73">
        <v>0</v>
      </c>
      <c r="L26" s="71" t="s">
        <v>177</v>
      </c>
      <c r="M26" s="73">
        <v>0.5</v>
      </c>
      <c r="N26" s="71" t="s">
        <v>196</v>
      </c>
      <c r="O26" s="73">
        <v>0</v>
      </c>
      <c r="P26" s="71" t="s">
        <v>203</v>
      </c>
      <c r="Q26" s="74">
        <v>9.3023255813953487E-2</v>
      </c>
      <c r="R26" s="71" t="s">
        <v>168</v>
      </c>
      <c r="S26" s="74">
        <v>0.19718309859154928</v>
      </c>
      <c r="T26" s="71" t="s">
        <v>166</v>
      </c>
      <c r="U26" s="75">
        <v>2928.5714285714284</v>
      </c>
      <c r="V26" s="71" t="s">
        <v>227</v>
      </c>
      <c r="W26" s="75">
        <v>-8125</v>
      </c>
      <c r="X26" s="71" t="s">
        <v>202</v>
      </c>
      <c r="Y26" s="74">
        <v>0.11764705882352941</v>
      </c>
      <c r="Z26" s="71" t="s">
        <v>162</v>
      </c>
      <c r="AA26" s="74">
        <v>0.11538461538461539</v>
      </c>
      <c r="AB26" s="71" t="s">
        <v>180</v>
      </c>
      <c r="AC26" s="74">
        <v>0</v>
      </c>
      <c r="AD26" s="71" t="s">
        <v>199</v>
      </c>
      <c r="AE26" s="74">
        <v>0</v>
      </c>
      <c r="AF26" s="71" t="s">
        <v>180</v>
      </c>
      <c r="AG26" s="74">
        <v>0</v>
      </c>
      <c r="AH26" s="71" t="s">
        <v>223</v>
      </c>
      <c r="AI26" s="78">
        <v>22100</v>
      </c>
    </row>
    <row r="27" spans="1:35">
      <c r="A27" s="68">
        <v>25</v>
      </c>
      <c r="B27" s="69" t="s">
        <v>235</v>
      </c>
      <c r="C27" s="133">
        <v>2</v>
      </c>
      <c r="D27" s="69" t="s">
        <v>202</v>
      </c>
      <c r="E27" s="70">
        <v>-105.9</v>
      </c>
      <c r="F27" s="71" t="s">
        <v>235</v>
      </c>
      <c r="G27" s="83">
        <v>-35.400000000000006</v>
      </c>
      <c r="H27" s="71" t="s">
        <v>235</v>
      </c>
      <c r="I27" s="72">
        <v>3.5</v>
      </c>
      <c r="J27" s="71" t="s">
        <v>213</v>
      </c>
      <c r="K27" s="73">
        <v>0</v>
      </c>
      <c r="L27" s="71" t="s">
        <v>235</v>
      </c>
      <c r="M27" s="73">
        <v>0.5</v>
      </c>
      <c r="N27" s="71" t="s">
        <v>203</v>
      </c>
      <c r="O27" s="73">
        <v>0</v>
      </c>
      <c r="P27" s="71" t="s">
        <v>235</v>
      </c>
      <c r="Q27" s="74">
        <v>6.6666666666666666E-2</v>
      </c>
      <c r="R27" s="71" t="s">
        <v>235</v>
      </c>
      <c r="S27" s="74">
        <v>0.2</v>
      </c>
      <c r="T27" s="71" t="s">
        <v>202</v>
      </c>
      <c r="U27" s="75">
        <v>1300</v>
      </c>
      <c r="V27" s="71" t="s">
        <v>179</v>
      </c>
      <c r="W27" s="75">
        <v>-8157.1428571428569</v>
      </c>
      <c r="X27" s="71" t="s">
        <v>166</v>
      </c>
      <c r="Y27" s="74">
        <v>0.11428571428571428</v>
      </c>
      <c r="Z27" s="71" t="s">
        <v>216</v>
      </c>
      <c r="AA27" s="74">
        <v>6.25E-2</v>
      </c>
      <c r="AB27" s="71" t="s">
        <v>199</v>
      </c>
      <c r="AC27" s="74">
        <v>0</v>
      </c>
      <c r="AD27" s="71" t="s">
        <v>202</v>
      </c>
      <c r="AE27" s="74">
        <v>0</v>
      </c>
      <c r="AF27" s="71" t="s">
        <v>199</v>
      </c>
      <c r="AG27" s="74">
        <v>0</v>
      </c>
      <c r="AH27" s="71" t="s">
        <v>199</v>
      </c>
      <c r="AI27" s="78">
        <v>14100</v>
      </c>
    </row>
    <row r="28" spans="1:35">
      <c r="A28" s="68">
        <v>26</v>
      </c>
      <c r="B28" s="69" t="s">
        <v>167</v>
      </c>
      <c r="C28" s="133">
        <v>1</v>
      </c>
      <c r="D28" s="69" t="s">
        <v>166</v>
      </c>
      <c r="E28" s="70">
        <v>-127.99999999999999</v>
      </c>
      <c r="F28" s="71" t="s">
        <v>208</v>
      </c>
      <c r="G28" s="83">
        <v>-44.233333333333327</v>
      </c>
      <c r="H28" s="71" t="s">
        <v>208</v>
      </c>
      <c r="I28" s="72">
        <v>3.6666666666666665</v>
      </c>
      <c r="J28" s="71" t="s">
        <v>215</v>
      </c>
      <c r="K28" s="73">
        <v>0</v>
      </c>
      <c r="L28" s="71" t="s">
        <v>208</v>
      </c>
      <c r="M28" s="73">
        <v>0.66666666666666663</v>
      </c>
      <c r="N28" s="71" t="s">
        <v>202</v>
      </c>
      <c r="O28" s="73">
        <v>0</v>
      </c>
      <c r="P28" s="71" t="s">
        <v>202</v>
      </c>
      <c r="Q28" s="74">
        <v>5.8823529411764705E-2</v>
      </c>
      <c r="R28" s="71" t="s">
        <v>228</v>
      </c>
      <c r="S28" s="74">
        <v>0.20512820512820512</v>
      </c>
      <c r="T28" s="71" t="s">
        <v>196</v>
      </c>
      <c r="U28" s="75">
        <v>1000</v>
      </c>
      <c r="V28" s="71" t="s">
        <v>205</v>
      </c>
      <c r="W28" s="75">
        <v>-9466.6666666666661</v>
      </c>
      <c r="X28" s="71" t="s">
        <v>191</v>
      </c>
      <c r="Y28" s="74">
        <v>0.10434782608695652</v>
      </c>
      <c r="Z28" s="71" t="s">
        <v>213</v>
      </c>
      <c r="AA28" s="74">
        <v>4.0816326530612242E-2</v>
      </c>
      <c r="AB28" s="71" t="s">
        <v>196</v>
      </c>
      <c r="AC28" s="74">
        <v>0</v>
      </c>
      <c r="AD28" s="71" t="s">
        <v>208</v>
      </c>
      <c r="AE28" s="74">
        <v>0</v>
      </c>
      <c r="AF28" s="71" t="s">
        <v>196</v>
      </c>
      <c r="AG28" s="74">
        <v>0</v>
      </c>
      <c r="AH28" s="71" t="s">
        <v>202</v>
      </c>
      <c r="AI28" s="78">
        <v>13500</v>
      </c>
    </row>
    <row r="29" spans="1:35">
      <c r="A29" s="68">
        <v>27</v>
      </c>
      <c r="B29" s="69" t="s">
        <v>180</v>
      </c>
      <c r="C29" s="133">
        <v>1</v>
      </c>
      <c r="D29" s="69" t="s">
        <v>208</v>
      </c>
      <c r="E29" s="70">
        <v>-132.69999999999999</v>
      </c>
      <c r="F29" s="71" t="s">
        <v>199</v>
      </c>
      <c r="G29" s="83">
        <v>-48.7</v>
      </c>
      <c r="H29" s="71" t="s">
        <v>180</v>
      </c>
      <c r="I29" s="72">
        <v>4</v>
      </c>
      <c r="J29" s="71" t="s">
        <v>223</v>
      </c>
      <c r="K29" s="73">
        <v>0</v>
      </c>
      <c r="L29" s="71" t="s">
        <v>180</v>
      </c>
      <c r="M29" s="73">
        <v>1</v>
      </c>
      <c r="N29" s="71" t="s">
        <v>208</v>
      </c>
      <c r="O29" s="73">
        <v>0</v>
      </c>
      <c r="P29" s="71" t="s">
        <v>180</v>
      </c>
      <c r="Q29" s="74">
        <v>0</v>
      </c>
      <c r="R29" s="71" t="s">
        <v>208</v>
      </c>
      <c r="S29" s="74">
        <v>0.21739130434782608</v>
      </c>
      <c r="T29" s="71" t="s">
        <v>180</v>
      </c>
      <c r="U29" s="75">
        <v>0</v>
      </c>
      <c r="V29" s="71" t="s">
        <v>235</v>
      </c>
      <c r="W29" s="75">
        <v>-9533.3333333333339</v>
      </c>
      <c r="X29" s="71" t="s">
        <v>199</v>
      </c>
      <c r="Y29" s="74">
        <v>6.6666666666666666E-2</v>
      </c>
      <c r="Z29" s="71" t="s">
        <v>175</v>
      </c>
      <c r="AA29" s="74">
        <v>0</v>
      </c>
      <c r="AB29" s="71" t="s">
        <v>202</v>
      </c>
      <c r="AC29" s="74">
        <v>0</v>
      </c>
      <c r="AD29" s="71" t="s">
        <v>213</v>
      </c>
      <c r="AE29" s="74">
        <v>0</v>
      </c>
      <c r="AF29" s="71" t="s">
        <v>202</v>
      </c>
      <c r="AG29" s="74">
        <v>0</v>
      </c>
      <c r="AH29" s="71" t="s">
        <v>196</v>
      </c>
      <c r="AI29" s="78">
        <v>12900</v>
      </c>
    </row>
    <row r="30" spans="1:35">
      <c r="A30" s="68">
        <v>28</v>
      </c>
      <c r="B30" s="69" t="s">
        <v>196</v>
      </c>
      <c r="C30" s="133">
        <v>1</v>
      </c>
      <c r="D30" s="69" t="s">
        <v>203</v>
      </c>
      <c r="E30" s="70">
        <v>-161.39999999999998</v>
      </c>
      <c r="F30" s="71" t="s">
        <v>180</v>
      </c>
      <c r="G30" s="83">
        <v>-52.6</v>
      </c>
      <c r="H30" s="71" t="s">
        <v>199</v>
      </c>
      <c r="I30" s="72">
        <v>4</v>
      </c>
      <c r="J30" s="71" t="s">
        <v>227</v>
      </c>
      <c r="K30" s="73">
        <v>0</v>
      </c>
      <c r="L30" s="71" t="s">
        <v>199</v>
      </c>
      <c r="M30" s="73">
        <v>1</v>
      </c>
      <c r="N30" s="71" t="s">
        <v>215</v>
      </c>
      <c r="O30" s="73">
        <v>0</v>
      </c>
      <c r="P30" s="71" t="s">
        <v>199</v>
      </c>
      <c r="Q30" s="74">
        <v>0</v>
      </c>
      <c r="R30" s="71" t="s">
        <v>203</v>
      </c>
      <c r="S30" s="74">
        <v>0.23255813953488372</v>
      </c>
      <c r="T30" s="71" t="s">
        <v>199</v>
      </c>
      <c r="U30" s="75">
        <v>0</v>
      </c>
      <c r="V30" s="71" t="s">
        <v>199</v>
      </c>
      <c r="W30" s="75">
        <v>-10000</v>
      </c>
      <c r="X30" s="71" t="s">
        <v>235</v>
      </c>
      <c r="Y30" s="74">
        <v>6.6666666666666666E-2</v>
      </c>
      <c r="Z30" s="71" t="s">
        <v>208</v>
      </c>
      <c r="AA30" s="74">
        <v>0</v>
      </c>
      <c r="AB30" s="71" t="s">
        <v>208</v>
      </c>
      <c r="AC30" s="74">
        <v>0</v>
      </c>
      <c r="AD30" s="71" t="s">
        <v>223</v>
      </c>
      <c r="AE30" s="74">
        <v>0</v>
      </c>
      <c r="AF30" s="71" t="s">
        <v>208</v>
      </c>
      <c r="AG30" s="74">
        <v>0</v>
      </c>
      <c r="AH30" s="71" t="s">
        <v>208</v>
      </c>
      <c r="AI30" s="78">
        <v>10700</v>
      </c>
    </row>
    <row r="31" spans="1:35">
      <c r="A31" s="68">
        <v>29</v>
      </c>
      <c r="B31" s="69" t="s">
        <v>215</v>
      </c>
      <c r="C31" s="133">
        <v>1</v>
      </c>
      <c r="D31" s="69" t="s">
        <v>216</v>
      </c>
      <c r="E31" s="70">
        <v>-332.4</v>
      </c>
      <c r="F31" s="71" t="s">
        <v>202</v>
      </c>
      <c r="G31" s="83">
        <v>-52.95</v>
      </c>
      <c r="H31" s="71" t="s">
        <v>202</v>
      </c>
      <c r="I31" s="72">
        <v>4</v>
      </c>
      <c r="J31" s="71" t="s">
        <v>235</v>
      </c>
      <c r="K31" s="73">
        <v>0</v>
      </c>
      <c r="L31" s="71" t="s">
        <v>202</v>
      </c>
      <c r="M31" s="73">
        <v>1</v>
      </c>
      <c r="N31" s="71" t="s">
        <v>235</v>
      </c>
      <c r="O31" s="73">
        <v>0</v>
      </c>
      <c r="P31" s="71" t="s">
        <v>208</v>
      </c>
      <c r="Q31" s="74">
        <v>0</v>
      </c>
      <c r="R31" s="71" t="s">
        <v>180</v>
      </c>
      <c r="S31" s="74">
        <v>0.2857142857142857</v>
      </c>
      <c r="T31" s="71" t="s">
        <v>208</v>
      </c>
      <c r="U31" s="75">
        <v>0</v>
      </c>
      <c r="V31" s="71" t="s">
        <v>166</v>
      </c>
      <c r="W31" s="75">
        <v>-11400</v>
      </c>
      <c r="X31" s="71" t="s">
        <v>208</v>
      </c>
      <c r="Y31" s="74">
        <v>4.3478260869565216E-2</v>
      </c>
      <c r="Z31" s="71" t="s">
        <v>223</v>
      </c>
      <c r="AA31" s="74">
        <v>0</v>
      </c>
      <c r="AB31" s="71" t="s">
        <v>215</v>
      </c>
      <c r="AC31" s="74">
        <v>0</v>
      </c>
      <c r="AD31" s="71" t="s">
        <v>235</v>
      </c>
      <c r="AE31" s="74">
        <v>0</v>
      </c>
      <c r="AF31" s="71" t="s">
        <v>215</v>
      </c>
      <c r="AG31" s="74">
        <v>0</v>
      </c>
      <c r="AH31" s="71" t="s">
        <v>180</v>
      </c>
      <c r="AI31" s="78">
        <v>7400</v>
      </c>
    </row>
  </sheetData>
  <sortState xmlns:xlrd2="http://schemas.microsoft.com/office/spreadsheetml/2017/richdata2" ref="AH3:AI7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23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114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221</v>
      </c>
      <c r="C2" s="175"/>
      <c r="E2" s="54" t="s">
        <v>54</v>
      </c>
      <c r="F2" s="51" t="s">
        <v>20</v>
      </c>
      <c r="G2" s="39">
        <v>213</v>
      </c>
      <c r="H2" s="117">
        <f>IF(B$17=0,0,G2/B$17)</f>
        <v>0.61739130434782608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-49.773755656108598</v>
      </c>
      <c r="P2" s="103">
        <v>221</v>
      </c>
      <c r="Q2" s="87">
        <v>-11000</v>
      </c>
    </row>
    <row r="3" spans="1:17">
      <c r="A3" s="47" t="s">
        <v>8</v>
      </c>
      <c r="B3" s="176">
        <v>1657</v>
      </c>
      <c r="C3" s="177"/>
      <c r="E3" s="55" t="s">
        <v>181</v>
      </c>
      <c r="F3" s="52" t="s">
        <v>156</v>
      </c>
      <c r="G3" s="40">
        <v>167</v>
      </c>
      <c r="H3" s="118">
        <f>IF(B$17=0,0,G3/B$17)</f>
        <v>0.48405797101449277</v>
      </c>
      <c r="I3" s="80">
        <v>16</v>
      </c>
      <c r="K3" s="32">
        <v>1</v>
      </c>
      <c r="L3" s="85">
        <v>11.9</v>
      </c>
      <c r="N3" s="100" t="s">
        <v>104</v>
      </c>
      <c r="O3" s="107">
        <f t="shared" si="0"/>
        <v>-13.574660633484163</v>
      </c>
      <c r="P3" s="104">
        <v>221</v>
      </c>
      <c r="Q3" s="88">
        <v>-3000</v>
      </c>
    </row>
    <row r="4" spans="1:17">
      <c r="A4" s="47" t="s">
        <v>6</v>
      </c>
      <c r="B4" s="178">
        <v>-30.000000000000032</v>
      </c>
      <c r="C4" s="179"/>
      <c r="E4" s="55" t="s">
        <v>184</v>
      </c>
      <c r="F4" s="52" t="s">
        <v>187</v>
      </c>
      <c r="G4" s="40">
        <v>167</v>
      </c>
      <c r="H4" s="118">
        <f>IF(B$17=0,0,G4/B$17)</f>
        <v>0.48405797101449277</v>
      </c>
      <c r="I4" s="80">
        <v>11</v>
      </c>
      <c r="K4" s="32">
        <v>2</v>
      </c>
      <c r="L4" s="85">
        <v>86.800000000000011</v>
      </c>
      <c r="N4" s="100" t="s">
        <v>105</v>
      </c>
      <c r="O4" s="107">
        <f t="shared" si="0"/>
        <v>9.9547511312217196</v>
      </c>
      <c r="P4" s="104">
        <v>221</v>
      </c>
      <c r="Q4" s="88">
        <v>2200</v>
      </c>
    </row>
    <row r="5" spans="1:17">
      <c r="A5" s="47" t="s">
        <v>7</v>
      </c>
      <c r="B5" s="180">
        <f>IF(B$2=0,0,B$4/B$2)</f>
        <v>-0.13574660633484179</v>
      </c>
      <c r="C5" s="181"/>
      <c r="E5" s="55" t="s">
        <v>60</v>
      </c>
      <c r="F5" s="52" t="s">
        <v>24</v>
      </c>
      <c r="G5" s="40">
        <v>138</v>
      </c>
      <c r="H5" s="118">
        <f>IF(B$17=0,0,G5/B$17)</f>
        <v>0.4</v>
      </c>
      <c r="I5" s="80">
        <v>13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201</v>
      </c>
      <c r="Q5" s="88">
        <v>0</v>
      </c>
    </row>
    <row r="6" spans="1:17">
      <c r="A6" s="47" t="s">
        <v>1</v>
      </c>
      <c r="B6" s="182">
        <f>IF(B$2=0,0,(B$7*1+B$8*2+B$9*3+B$10*4)/B$2)</f>
        <v>2.4841628959276019</v>
      </c>
      <c r="C6" s="183"/>
      <c r="E6" s="55" t="s">
        <v>55</v>
      </c>
      <c r="F6" s="52" t="s">
        <v>155</v>
      </c>
      <c r="G6" s="40">
        <v>87</v>
      </c>
      <c r="H6" s="118">
        <f>IF(B$17=0,0,G6/B$17)</f>
        <v>0.25217391304347825</v>
      </c>
      <c r="I6" s="80">
        <v>14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19.736842105263158</v>
      </c>
      <c r="P6" s="104">
        <v>152</v>
      </c>
      <c r="Q6" s="88">
        <v>3000</v>
      </c>
    </row>
    <row r="7" spans="1:17">
      <c r="A7" s="47" t="s">
        <v>2</v>
      </c>
      <c r="B7" s="40">
        <v>57</v>
      </c>
      <c r="C7" s="33">
        <f t="shared" ref="C7:C12" si="2">IF(B$2=0,0,B7/B$2)</f>
        <v>0.25791855203619912</v>
      </c>
      <c r="E7" s="55" t="s">
        <v>57</v>
      </c>
      <c r="F7" s="52" t="s">
        <v>21</v>
      </c>
      <c r="G7" s="40">
        <v>84</v>
      </c>
      <c r="H7" s="118">
        <f>IF(B$17=0,0,G7/B$17)</f>
        <v>0.24347826086956523</v>
      </c>
      <c r="I7" s="80">
        <v>13</v>
      </c>
      <c r="K7" s="32">
        <v>5</v>
      </c>
      <c r="L7" s="85">
        <v>-14.199999999999992</v>
      </c>
      <c r="N7" s="100" t="s">
        <v>107</v>
      </c>
      <c r="O7" s="107">
        <f t="shared" si="0"/>
        <v>-74.074074074074076</v>
      </c>
      <c r="P7" s="104">
        <v>108</v>
      </c>
      <c r="Q7" s="88">
        <v>-8000</v>
      </c>
    </row>
    <row r="8" spans="1:17">
      <c r="A8" s="47" t="s">
        <v>3</v>
      </c>
      <c r="B8" s="40">
        <v>54</v>
      </c>
      <c r="C8" s="33">
        <f>IF(B$2=0,0,B8/B$2)</f>
        <v>0.24434389140271492</v>
      </c>
      <c r="E8" s="55" t="s">
        <v>56</v>
      </c>
      <c r="F8" s="52" t="s">
        <v>185</v>
      </c>
      <c r="G8" s="40">
        <v>81</v>
      </c>
      <c r="H8" s="118">
        <f>IF(B$17=0,0,G8/B$17)</f>
        <v>0.23478260869565218</v>
      </c>
      <c r="I8" s="80">
        <v>16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76</v>
      </c>
      <c r="Q8" s="88">
        <v>0</v>
      </c>
    </row>
    <row r="9" spans="1:17">
      <c r="A9" s="48" t="s">
        <v>4</v>
      </c>
      <c r="B9" s="41">
        <v>56</v>
      </c>
      <c r="C9" s="34">
        <f>IF(B$2=0,0,B9/B$2)</f>
        <v>0.25339366515837103</v>
      </c>
      <c r="E9" s="55" t="s">
        <v>59</v>
      </c>
      <c r="F9" s="52" t="s">
        <v>23</v>
      </c>
      <c r="G9" s="40">
        <v>60</v>
      </c>
      <c r="H9" s="118">
        <f>IF(B$17=0,0,G9/B$17)</f>
        <v>0.17391304347826086</v>
      </c>
      <c r="I9" s="80">
        <v>12</v>
      </c>
      <c r="K9" s="32">
        <v>7</v>
      </c>
      <c r="L9" s="85">
        <v>-61.099999999999994</v>
      </c>
      <c r="N9" s="101" t="s">
        <v>158</v>
      </c>
      <c r="O9" s="108">
        <f t="shared" si="0"/>
        <v>31.25</v>
      </c>
      <c r="P9" s="105">
        <v>32</v>
      </c>
      <c r="Q9" s="89">
        <v>1000</v>
      </c>
    </row>
    <row r="10" spans="1:17">
      <c r="A10" s="48" t="s">
        <v>152</v>
      </c>
      <c r="B10" s="41">
        <v>54</v>
      </c>
      <c r="C10" s="34">
        <f>IF(B$2=0,0,B10/B$2)</f>
        <v>0.24434389140271492</v>
      </c>
      <c r="E10" s="55" t="s">
        <v>182</v>
      </c>
      <c r="F10" s="52" t="s">
        <v>19</v>
      </c>
      <c r="G10" s="40">
        <v>37</v>
      </c>
      <c r="H10" s="118">
        <f>IF(B$17=0,0,G10/B$17)</f>
        <v>0.1072463768115942</v>
      </c>
      <c r="I10" s="80">
        <v>10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111</v>
      </c>
      <c r="C11" s="34">
        <f>IF(B$2=0,0,B11/B$2)</f>
        <v>0.50226244343891402</v>
      </c>
      <c r="E11" s="55" t="s">
        <v>58</v>
      </c>
      <c r="F11" s="52" t="s">
        <v>22</v>
      </c>
      <c r="G11" s="40">
        <v>23</v>
      </c>
      <c r="H11" s="118">
        <f>IF(B$17=0,0,G11/B$17)</f>
        <v>6.6666666666666666E-2</v>
      </c>
      <c r="I11" s="80">
        <v>9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11</v>
      </c>
      <c r="C12" s="36">
        <f t="shared" si="2"/>
        <v>4.9773755656108594E-2</v>
      </c>
      <c r="E12" s="55" t="s">
        <v>183</v>
      </c>
      <c r="F12" s="52" t="s">
        <v>186</v>
      </c>
      <c r="G12" s="40">
        <v>13</v>
      </c>
      <c r="H12" s="118">
        <f>IF(B$17=0,0,G12/B$17)</f>
        <v>3.7681159420289857E-2</v>
      </c>
      <c r="I12" s="80">
        <v>7</v>
      </c>
      <c r="K12" s="32">
        <v>10</v>
      </c>
      <c r="L12" s="85">
        <v>-38.499999999999993</v>
      </c>
      <c r="N12" s="99" t="s">
        <v>126</v>
      </c>
      <c r="O12" s="109">
        <f>IF(P12=0,0,Q12/P12)</f>
        <v>-2.4607142857142867</v>
      </c>
      <c r="P12" s="103">
        <v>56</v>
      </c>
      <c r="Q12" s="91">
        <v>-137.80000000000007</v>
      </c>
    </row>
    <row r="13" spans="1:17">
      <c r="A13" s="50" t="s">
        <v>97</v>
      </c>
      <c r="B13" s="43">
        <v>322</v>
      </c>
      <c r="C13" s="38">
        <f>IF(B$3=0,0,B13/B$3)</f>
        <v>0.1943270971635486</v>
      </c>
      <c r="E13" s="55" t="s">
        <v>71</v>
      </c>
      <c r="F13" s="52" t="s">
        <v>35</v>
      </c>
      <c r="G13" s="40">
        <v>12</v>
      </c>
      <c r="H13" s="118">
        <f>IF(B$17=0,0,G13/B$17)</f>
        <v>3.4782608695652174E-2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3.794642857142855</v>
      </c>
      <c r="P13" s="104">
        <v>56</v>
      </c>
      <c r="Q13" s="92">
        <v>212.49999999999989</v>
      </c>
    </row>
    <row r="14" spans="1:17">
      <c r="A14" s="47" t="s">
        <v>94</v>
      </c>
      <c r="B14" s="40">
        <v>346</v>
      </c>
      <c r="C14" s="33">
        <f>IF(B$3=0,0,B14/B$3)</f>
        <v>0.2088111044055522</v>
      </c>
      <c r="E14" s="55" t="s">
        <v>77</v>
      </c>
      <c r="F14" s="52" t="s">
        <v>41</v>
      </c>
      <c r="G14" s="40">
        <v>12</v>
      </c>
      <c r="H14" s="118">
        <f>IF(B$17=0,0,G14/B$17)</f>
        <v>3.4782608695652174E-2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-1.9017857142857117</v>
      </c>
      <c r="P14" s="104">
        <v>56</v>
      </c>
      <c r="Q14" s="92">
        <v>-106.49999999999986</v>
      </c>
    </row>
    <row r="15" spans="1:17">
      <c r="A15" s="46" t="s">
        <v>99</v>
      </c>
      <c r="B15" s="39">
        <f>B21</f>
        <v>169</v>
      </c>
      <c r="C15" s="31">
        <f>IF(B$13=0,0,B15/B$13)</f>
        <v>0.52484472049689446</v>
      </c>
      <c r="E15" s="55" t="s">
        <v>74</v>
      </c>
      <c r="F15" s="52" t="s">
        <v>38</v>
      </c>
      <c r="G15" s="40">
        <v>8</v>
      </c>
      <c r="H15" s="118">
        <f>IF(B$17=0,0,G15/B$17)</f>
        <v>2.318840579710145E-2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3.2142857142857646E-2</v>
      </c>
      <c r="P15" s="105">
        <v>56</v>
      </c>
      <c r="Q15" s="93">
        <v>1.8000000000000282</v>
      </c>
    </row>
    <row r="16" spans="1:17">
      <c r="A16" s="46" t="s">
        <v>100</v>
      </c>
      <c r="B16" s="39">
        <f>B22</f>
        <v>121</v>
      </c>
      <c r="C16" s="31">
        <f>IF(B$14=0,0,B16/B$14)</f>
        <v>0.34971098265895956</v>
      </c>
      <c r="E16" s="55" t="s">
        <v>67</v>
      </c>
      <c r="F16" s="52" t="s">
        <v>31</v>
      </c>
      <c r="G16" s="40">
        <v>6</v>
      </c>
      <c r="H16" s="118">
        <f>IF(B$17=0,0,G16/B$17)</f>
        <v>1.7391304347826087E-2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345</v>
      </c>
      <c r="C17" s="31">
        <f>IF(B$3=0,0,B17/B$3)</f>
        <v>0.20820760410380204</v>
      </c>
      <c r="E17" s="55" t="s">
        <v>66</v>
      </c>
      <c r="F17" s="52" t="s">
        <v>30</v>
      </c>
      <c r="G17" s="40">
        <v>4</v>
      </c>
      <c r="H17" s="118">
        <f>IF(B$17=0,0,G17/B$17)</f>
        <v>1.1594202898550725E-2</v>
      </c>
      <c r="I17" s="80">
        <v>5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224</v>
      </c>
      <c r="C18" s="33">
        <f>IF(B$3=0,0,B18/B$3)</f>
        <v>0.1351840675920338</v>
      </c>
      <c r="E18" s="55" t="s">
        <v>78</v>
      </c>
      <c r="F18" s="52" t="s">
        <v>42</v>
      </c>
      <c r="G18" s="40">
        <v>4</v>
      </c>
      <c r="H18" s="118">
        <f>IF(B$17=0,0,G18/B$17)</f>
        <v>1.1594202898550725E-2</v>
      </c>
      <c r="I18" s="80">
        <v>4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121</v>
      </c>
      <c r="C19" s="33">
        <f>IF(B$17=0,0,B19/B$17)</f>
        <v>0.35072463768115941</v>
      </c>
      <c r="E19" s="55" t="s">
        <v>62</v>
      </c>
      <c r="F19" s="52" t="s">
        <v>26</v>
      </c>
      <c r="G19" s="40">
        <v>3</v>
      </c>
      <c r="H19" s="118">
        <f>IF(B$17=0,0,G19/B$17)</f>
        <v>8.6956521739130436E-3</v>
      </c>
      <c r="I19" s="80">
        <v>4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224</v>
      </c>
      <c r="C20" s="33">
        <f>IF(B$17=0,0,B20/B$17)</f>
        <v>0.64927536231884053</v>
      </c>
      <c r="E20" s="55" t="s">
        <v>69</v>
      </c>
      <c r="F20" s="52" t="s">
        <v>33</v>
      </c>
      <c r="G20" s="40">
        <v>2</v>
      </c>
      <c r="H20" s="118">
        <f>IF(B$17=0,0,G20/B$17)</f>
        <v>5.7971014492753624E-3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169</v>
      </c>
      <c r="C21" s="33">
        <f>IF(B$17=0,0,B21/B$17)</f>
        <v>0.48985507246376814</v>
      </c>
      <c r="E21" s="55" t="s">
        <v>72</v>
      </c>
      <c r="F21" s="52" t="s">
        <v>36</v>
      </c>
      <c r="G21" s="40">
        <v>2</v>
      </c>
      <c r="H21" s="118">
        <f>IF(B$17=0,0,G21/B$17)</f>
        <v>5.7971014492753624E-3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121</v>
      </c>
      <c r="C22" s="33">
        <f>IF(B$17=0,0,B22/B$17)</f>
        <v>0.35072463768115941</v>
      </c>
      <c r="E22" s="55" t="s">
        <v>75</v>
      </c>
      <c r="F22" s="52" t="s">
        <v>39</v>
      </c>
      <c r="G22" s="40">
        <v>2</v>
      </c>
      <c r="H22" s="118">
        <f>IF(B$17=0,0,G22/B$17)</f>
        <v>5.7971014492753624E-3</v>
      </c>
      <c r="I22" s="80">
        <v>3</v>
      </c>
      <c r="K22" s="32">
        <v>20</v>
      </c>
      <c r="L22" s="85">
        <v>1.1546319456101628E-14</v>
      </c>
      <c r="N22" s="100" t="s">
        <v>235</v>
      </c>
      <c r="O22" s="110">
        <f>IF(P22=0,0,Q22/P22)</f>
        <v>47.20000000000001</v>
      </c>
      <c r="P22" s="104">
        <v>6</v>
      </c>
      <c r="Q22" s="92">
        <v>283.20000000000005</v>
      </c>
    </row>
    <row r="23" spans="1:17">
      <c r="A23" s="47" t="s">
        <v>150</v>
      </c>
      <c r="B23" s="40">
        <v>55</v>
      </c>
      <c r="C23" s="33">
        <f>IF(B$17=0,0,B23/B$17)</f>
        <v>0.15942028985507245</v>
      </c>
      <c r="E23" s="55" t="s">
        <v>61</v>
      </c>
      <c r="F23" s="52" t="s">
        <v>25</v>
      </c>
      <c r="G23" s="40">
        <v>1</v>
      </c>
      <c r="H23" s="118">
        <f>IF(B$17=0,0,G23/B$17)</f>
        <v>2.8985507246376812E-3</v>
      </c>
      <c r="I23" s="80">
        <v>2</v>
      </c>
      <c r="K23" s="32">
        <v>21</v>
      </c>
      <c r="L23" s="85">
        <v>-52.599999999999987</v>
      </c>
      <c r="N23" s="100" t="s">
        <v>203</v>
      </c>
      <c r="O23" s="110">
        <f>IF(P23=0,0,Q23/P23)</f>
        <v>43.040000000000006</v>
      </c>
      <c r="P23" s="104">
        <v>15</v>
      </c>
      <c r="Q23" s="92">
        <v>645.60000000000014</v>
      </c>
    </row>
    <row r="24" spans="1:17">
      <c r="A24" s="47" t="s">
        <v>5</v>
      </c>
      <c r="B24" s="44">
        <f>IF(B$17=0,0,C24/B$17)</f>
        <v>6719.710144927536</v>
      </c>
      <c r="C24" s="35">
        <v>2318300</v>
      </c>
      <c r="E24" s="55" t="s">
        <v>76</v>
      </c>
      <c r="F24" s="52" t="s">
        <v>40</v>
      </c>
      <c r="G24" s="40">
        <v>1</v>
      </c>
      <c r="H24" s="118">
        <f>IF(B$17=0,0,G24/B$17)</f>
        <v>2.8985507246376812E-3</v>
      </c>
      <c r="I24" s="80">
        <v>2</v>
      </c>
      <c r="K24" s="32">
        <v>22</v>
      </c>
      <c r="L24" s="85">
        <v>-68.399999999999991</v>
      </c>
      <c r="N24" s="100" t="s">
        <v>166</v>
      </c>
      <c r="O24" s="110">
        <f>IF(P24=0,0,Q24/P24)</f>
        <v>42.666666666666664</v>
      </c>
      <c r="P24" s="104">
        <v>12</v>
      </c>
      <c r="Q24" s="92">
        <v>512</v>
      </c>
    </row>
    <row r="25" spans="1:17">
      <c r="A25" s="48" t="s">
        <v>133</v>
      </c>
      <c r="B25" s="121">
        <f>IF($B$17-B$16=0,0,C25/($B$17-B$16))</f>
        <v>7725</v>
      </c>
      <c r="C25" s="122">
        <v>1730400</v>
      </c>
      <c r="E25" s="55" t="s">
        <v>80</v>
      </c>
      <c r="F25" s="52" t="s">
        <v>44</v>
      </c>
      <c r="G25" s="40">
        <v>1</v>
      </c>
      <c r="H25" s="118">
        <f>IF(B$17=0,0,G25/B$17)</f>
        <v>2.8985507246376812E-3</v>
      </c>
      <c r="I25" s="80">
        <v>2</v>
      </c>
      <c r="K25" s="32">
        <v>23</v>
      </c>
      <c r="L25" s="85">
        <v>-13.199999999999989</v>
      </c>
      <c r="N25" s="100" t="s">
        <v>196</v>
      </c>
      <c r="O25" s="110">
        <f>IF(P25=0,0,Q25/P25)</f>
        <v>36.133333333333333</v>
      </c>
      <c r="P25" s="104">
        <v>3</v>
      </c>
      <c r="Q25" s="92">
        <v>108.4</v>
      </c>
    </row>
    <row r="26" spans="1:17">
      <c r="A26" s="48" t="s">
        <v>134</v>
      </c>
      <c r="B26" s="121">
        <f>IF(B$16=0,0,C26/B$16)</f>
        <v>4858.6776859504134</v>
      </c>
      <c r="C26" s="122">
        <v>587900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216</v>
      </c>
      <c r="O26" s="110">
        <f>IF(P26=0,0,Q26/P26)</f>
        <v>29.546666666666663</v>
      </c>
      <c r="P26" s="104">
        <v>45</v>
      </c>
      <c r="Q26" s="92">
        <v>1329.6</v>
      </c>
    </row>
    <row r="27" spans="1:17">
      <c r="A27" s="48" t="s">
        <v>132</v>
      </c>
      <c r="B27" s="121">
        <f>IF(B$18=0,0,C27/B$18)</f>
        <v>-6327.2321428571431</v>
      </c>
      <c r="C27" s="122">
        <v>-1417300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223</v>
      </c>
      <c r="O27" s="110">
        <f>IF(P27=0,0,Q27/P27)</f>
        <v>24.166666666666671</v>
      </c>
      <c r="P27" s="104">
        <v>12</v>
      </c>
      <c r="Q27" s="92">
        <v>290.00000000000006</v>
      </c>
    </row>
    <row r="28" spans="1:17">
      <c r="A28" s="47" t="s">
        <v>130</v>
      </c>
      <c r="B28" s="40">
        <v>5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227</v>
      </c>
      <c r="O28" s="110">
        <f>IF(P28=0,0,Q28/P28)</f>
        <v>21.500000000000004</v>
      </c>
      <c r="P28" s="104">
        <v>12</v>
      </c>
      <c r="Q28" s="92">
        <v>258.00000000000006</v>
      </c>
    </row>
    <row r="29" spans="1:17">
      <c r="A29" s="47" t="s">
        <v>131</v>
      </c>
      <c r="B29" s="40">
        <v>31</v>
      </c>
      <c r="C29" s="120">
        <v>4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215</v>
      </c>
      <c r="O29" s="110">
        <f>IF(P29=0,0,Q29/P29)</f>
        <v>19.200000000000003</v>
      </c>
      <c r="P29" s="104">
        <v>3</v>
      </c>
      <c r="Q29" s="92">
        <v>57.600000000000009</v>
      </c>
    </row>
    <row r="30" spans="1:17">
      <c r="A30" s="76" t="s">
        <v>111</v>
      </c>
      <c r="B30" s="168">
        <v>5</v>
      </c>
      <c r="C30" s="169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213</v>
      </c>
      <c r="O30" s="110">
        <f>IF(P30=0,0,Q30/P30)</f>
        <v>14.71111111111111</v>
      </c>
      <c r="P30" s="104">
        <v>27</v>
      </c>
      <c r="Q30" s="92">
        <v>397.2</v>
      </c>
    </row>
    <row r="31" spans="1:17">
      <c r="A31" s="50" t="s">
        <v>148</v>
      </c>
      <c r="B31" s="170">
        <v>72200</v>
      </c>
      <c r="C31" s="171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228</v>
      </c>
      <c r="O31" s="110">
        <f>IF(P31=0,0,Q31/P31)</f>
        <v>3.1777777777777776</v>
      </c>
      <c r="P31" s="104">
        <v>18</v>
      </c>
      <c r="Q31" s="92">
        <v>57.199999999999996</v>
      </c>
    </row>
    <row r="32" spans="1:17">
      <c r="A32" s="49" t="s">
        <v>112</v>
      </c>
      <c r="B32" s="57">
        <v>3</v>
      </c>
      <c r="C32" s="36">
        <f>IF(B$3=0,0,B32/B$3)</f>
        <v>1.8105009052504525E-3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179</v>
      </c>
      <c r="O32" s="110">
        <f>IF(P32=0,0,Q32/P32)</f>
        <v>2.4666666666666663</v>
      </c>
      <c r="P32" s="104">
        <v>48</v>
      </c>
      <c r="Q32" s="92">
        <v>118.39999999999998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195</v>
      </c>
      <c r="O33" s="110">
        <f>IF(P33=0,0,Q33/P33)</f>
        <v>2.389743589743591</v>
      </c>
      <c r="P33" s="104">
        <v>78</v>
      </c>
      <c r="Q33" s="92">
        <v>186.40000000000009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175</v>
      </c>
      <c r="O34" s="110">
        <f>IF(P34=0,0,Q34/P34)</f>
        <v>1.4666666666666668</v>
      </c>
      <c r="P34" s="104">
        <v>6</v>
      </c>
      <c r="Q34" s="92">
        <v>8.8000000000000007</v>
      </c>
    </row>
    <row r="35" spans="1:17">
      <c r="A35" s="76" t="s">
        <v>139</v>
      </c>
      <c r="B35" s="136">
        <v>37</v>
      </c>
      <c r="C35" s="126">
        <f t="shared" ref="C35:C47" si="3">IF(B$17=0,0,B35/B$17)</f>
        <v>0.1072463768115942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161</v>
      </c>
      <c r="O35" s="110">
        <f>IF(P35=0,0,Q35/P35)</f>
        <v>-0.57333333333333036</v>
      </c>
      <c r="P35" s="104">
        <v>30</v>
      </c>
      <c r="Q35" s="92">
        <v>-17.19999999999991</v>
      </c>
    </row>
    <row r="36" spans="1:17">
      <c r="A36" s="47" t="s">
        <v>135</v>
      </c>
      <c r="B36" s="40">
        <v>71</v>
      </c>
      <c r="C36" s="33">
        <f t="shared" si="3"/>
        <v>0.20579710144927535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164</v>
      </c>
      <c r="O36" s="110">
        <f>IF(P36=0,0,Q36/P36)</f>
        <v>-2.2222222222222197</v>
      </c>
      <c r="P36" s="104">
        <v>45</v>
      </c>
      <c r="Q36" s="92">
        <v>-99.999999999999886</v>
      </c>
    </row>
    <row r="37" spans="1:17">
      <c r="A37" s="47" t="s">
        <v>136</v>
      </c>
      <c r="B37" s="137">
        <v>75</v>
      </c>
      <c r="C37" s="33">
        <f t="shared" si="3"/>
        <v>0.21739130434782608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177</v>
      </c>
      <c r="O37" s="110">
        <f>IF(P37=0,0,Q37/P37)</f>
        <v>-2.6</v>
      </c>
      <c r="P37" s="104">
        <v>6</v>
      </c>
      <c r="Q37" s="92">
        <v>-15.600000000000001</v>
      </c>
    </row>
    <row r="38" spans="1:17">
      <c r="A38" s="47" t="s">
        <v>137</v>
      </c>
      <c r="B38" s="137">
        <v>71</v>
      </c>
      <c r="C38" s="33">
        <f t="shared" si="3"/>
        <v>0.20579710144927535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163</v>
      </c>
      <c r="O38" s="110">
        <f>IF(P38=0,0,Q38/P38)</f>
        <v>-3.7999999999999949</v>
      </c>
      <c r="P38" s="104">
        <v>24</v>
      </c>
      <c r="Q38" s="92">
        <v>-91.199999999999875</v>
      </c>
    </row>
    <row r="39" spans="1:17">
      <c r="A39" s="47" t="s">
        <v>138</v>
      </c>
      <c r="B39" s="137">
        <v>37</v>
      </c>
      <c r="C39" s="33">
        <f t="shared" si="3"/>
        <v>0.1072463768115942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191</v>
      </c>
      <c r="O39" s="110">
        <f>IF(P39=0,0,Q39/P39)</f>
        <v>-7.5523809523809531</v>
      </c>
      <c r="P39" s="104">
        <v>42</v>
      </c>
      <c r="Q39" s="92">
        <v>-317.20000000000005</v>
      </c>
    </row>
    <row r="40" spans="1:17">
      <c r="A40" s="47" t="s">
        <v>140</v>
      </c>
      <c r="B40" s="137">
        <v>42</v>
      </c>
      <c r="C40" s="33">
        <f t="shared" si="3"/>
        <v>0.12173913043478261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168</v>
      </c>
      <c r="O40" s="110">
        <f>IF(P40=0,0,Q40/P40)</f>
        <v>-11.807407407407409</v>
      </c>
      <c r="P40" s="104">
        <v>54</v>
      </c>
      <c r="Q40" s="92">
        <v>-637.6</v>
      </c>
    </row>
    <row r="41" spans="1:17">
      <c r="A41" s="47" t="s">
        <v>141</v>
      </c>
      <c r="B41" s="137">
        <v>11</v>
      </c>
      <c r="C41" s="33">
        <f t="shared" si="3"/>
        <v>3.1884057971014491E-2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  <c r="N41" s="100" t="s">
        <v>167</v>
      </c>
      <c r="O41" s="110">
        <f>IF(P41=0,0,Q41/P41)</f>
        <v>-18.666666666666664</v>
      </c>
      <c r="P41" s="104">
        <v>3</v>
      </c>
      <c r="Q41" s="92">
        <v>-55.999999999999993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  <c r="N42" s="100" t="s">
        <v>169</v>
      </c>
      <c r="O42" s="110">
        <f>IF(P42=0,0,Q42/P42)</f>
        <v>-24.172549019607843</v>
      </c>
      <c r="P42" s="104">
        <v>102</v>
      </c>
      <c r="Q42" s="92">
        <v>-2465.6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  <c r="N43" s="100" t="s">
        <v>162</v>
      </c>
      <c r="O43" s="110">
        <f>IF(P43=0,0,Q43/P43)</f>
        <v>-39.703703703703681</v>
      </c>
      <c r="P43" s="104">
        <v>27</v>
      </c>
      <c r="Q43" s="92">
        <v>-1071.9999999999993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  <c r="N44" s="100" t="s">
        <v>205</v>
      </c>
      <c r="O44" s="110">
        <f>IF(P44=0,0,Q44/P44)</f>
        <v>-47.866666666666667</v>
      </c>
      <c r="P44" s="104">
        <v>12</v>
      </c>
      <c r="Q44" s="92">
        <v>-574.4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  <c r="N45" s="100" t="s">
        <v>231</v>
      </c>
      <c r="O45" s="110">
        <f>IF(P45=0,0,Q45/P45)</f>
        <v>-75</v>
      </c>
      <c r="P45" s="104">
        <v>6</v>
      </c>
      <c r="Q45" s="92">
        <v>-450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2.8985507246376812E-3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  <row r="180" spans="11:12">
      <c r="K180" s="32">
        <v>178</v>
      </c>
      <c r="L180" s="85">
        <v>-54.6</v>
      </c>
    </row>
    <row r="181" spans="11:12">
      <c r="K181" s="32">
        <v>179</v>
      </c>
      <c r="L181" s="85">
        <v>-52.5</v>
      </c>
    </row>
    <row r="182" spans="11:12">
      <c r="K182" s="32">
        <v>180</v>
      </c>
      <c r="L182" s="85">
        <v>14.799999999999997</v>
      </c>
    </row>
    <row r="183" spans="11:12">
      <c r="K183" s="32">
        <v>181</v>
      </c>
      <c r="L183" s="85">
        <v>-30</v>
      </c>
    </row>
    <row r="184" spans="11:12">
      <c r="K184" s="32">
        <v>182</v>
      </c>
      <c r="L184" s="85">
        <v>35.799999999999997</v>
      </c>
    </row>
    <row r="185" spans="11:12">
      <c r="K185" s="32">
        <v>183</v>
      </c>
      <c r="L185" s="85">
        <v>35.199999999999996</v>
      </c>
    </row>
    <row r="186" spans="11:12">
      <c r="K186" s="32">
        <v>184</v>
      </c>
      <c r="L186" s="85">
        <v>-7.9000000000000057</v>
      </c>
    </row>
    <row r="187" spans="11:12">
      <c r="K187" s="32">
        <v>185</v>
      </c>
      <c r="L187" s="85">
        <v>-30.000000000000007</v>
      </c>
    </row>
    <row r="188" spans="11:12">
      <c r="K188" s="32">
        <v>186</v>
      </c>
      <c r="L188" s="85">
        <v>-99.300000000000011</v>
      </c>
    </row>
    <row r="189" spans="11:12">
      <c r="K189" s="32">
        <v>187</v>
      </c>
      <c r="L189" s="85">
        <v>-94.300000000000011</v>
      </c>
    </row>
    <row r="190" spans="11:12">
      <c r="K190" s="32">
        <v>188</v>
      </c>
      <c r="L190" s="85">
        <v>-121.30000000000001</v>
      </c>
    </row>
    <row r="191" spans="11:12">
      <c r="K191" s="32">
        <v>189</v>
      </c>
      <c r="L191" s="85">
        <v>-30.000000000000014</v>
      </c>
    </row>
    <row r="192" spans="11:12">
      <c r="K192" s="32">
        <v>190</v>
      </c>
      <c r="L192" s="85">
        <v>30.399999999999984</v>
      </c>
    </row>
    <row r="193" spans="11:12">
      <c r="K193" s="32">
        <v>191</v>
      </c>
      <c r="L193" s="85">
        <v>-34.500000000000021</v>
      </c>
    </row>
    <row r="194" spans="11:12">
      <c r="K194" s="32">
        <v>192</v>
      </c>
      <c r="L194" s="85">
        <v>-44.800000000000026</v>
      </c>
    </row>
    <row r="195" spans="11:12">
      <c r="K195" s="32">
        <v>193</v>
      </c>
      <c r="L195" s="85">
        <v>-30.000000000000025</v>
      </c>
    </row>
    <row r="196" spans="11:12">
      <c r="K196" s="32">
        <v>194</v>
      </c>
      <c r="L196" s="85">
        <v>-74.200000000000031</v>
      </c>
    </row>
    <row r="197" spans="11:12">
      <c r="K197" s="32">
        <v>195</v>
      </c>
      <c r="L197" s="85">
        <v>-71.400000000000034</v>
      </c>
    </row>
    <row r="198" spans="11:12">
      <c r="K198" s="32">
        <v>196</v>
      </c>
      <c r="L198" s="85">
        <v>-8.9000000000000341</v>
      </c>
    </row>
    <row r="199" spans="11:12">
      <c r="K199" s="32">
        <v>197</v>
      </c>
      <c r="L199" s="85">
        <v>-30.000000000000036</v>
      </c>
    </row>
    <row r="200" spans="11:12">
      <c r="K200" s="32">
        <v>198</v>
      </c>
      <c r="L200" s="85">
        <v>31.299999999999962</v>
      </c>
    </row>
    <row r="201" spans="11:12">
      <c r="K201" s="32">
        <v>199</v>
      </c>
      <c r="L201" s="85">
        <v>43.69999999999996</v>
      </c>
    </row>
    <row r="202" spans="11:12">
      <c r="K202" s="32">
        <v>200</v>
      </c>
      <c r="L202" s="85">
        <v>-9.4000000000000412</v>
      </c>
    </row>
    <row r="203" spans="11:12">
      <c r="K203" s="32">
        <v>201</v>
      </c>
      <c r="L203" s="85">
        <v>-30.000000000000043</v>
      </c>
    </row>
    <row r="204" spans="11:12">
      <c r="K204" s="32">
        <v>202</v>
      </c>
      <c r="L204" s="85">
        <v>-44.80000000000004</v>
      </c>
    </row>
    <row r="205" spans="11:12">
      <c r="K205" s="32">
        <v>203</v>
      </c>
      <c r="L205" s="85">
        <v>-86.600000000000037</v>
      </c>
    </row>
    <row r="206" spans="11:12">
      <c r="K206" s="32">
        <v>204</v>
      </c>
      <c r="L206" s="85">
        <v>-81.200000000000031</v>
      </c>
    </row>
    <row r="207" spans="11:12">
      <c r="K207" s="32">
        <v>205</v>
      </c>
      <c r="L207" s="85">
        <v>-30.000000000000028</v>
      </c>
    </row>
    <row r="208" spans="11:12">
      <c r="K208" s="32">
        <v>206</v>
      </c>
      <c r="L208" s="85">
        <v>62.199999999999974</v>
      </c>
    </row>
    <row r="209" spans="11:12">
      <c r="K209" s="32">
        <v>207</v>
      </c>
      <c r="L209" s="85">
        <v>31.799999999999976</v>
      </c>
    </row>
    <row r="210" spans="11:12">
      <c r="K210" s="32">
        <v>208</v>
      </c>
      <c r="L210" s="85">
        <v>-25.200000000000024</v>
      </c>
    </row>
    <row r="211" spans="11:12">
      <c r="K211" s="32">
        <v>209</v>
      </c>
      <c r="L211" s="85">
        <v>-30.000000000000025</v>
      </c>
    </row>
    <row r="212" spans="11:12">
      <c r="K212" s="32">
        <v>210</v>
      </c>
      <c r="L212" s="85">
        <v>-18.300000000000026</v>
      </c>
    </row>
    <row r="213" spans="11:12">
      <c r="K213" s="32">
        <v>211</v>
      </c>
      <c r="L213" s="85">
        <v>65.899999999999977</v>
      </c>
    </row>
    <row r="214" spans="11:12">
      <c r="K214" s="32">
        <v>212</v>
      </c>
      <c r="L214" s="85">
        <v>7.4999999999999787</v>
      </c>
    </row>
    <row r="215" spans="11:12">
      <c r="K215" s="32">
        <v>213</v>
      </c>
      <c r="L215" s="85">
        <v>-30.000000000000021</v>
      </c>
    </row>
    <row r="216" spans="11:12">
      <c r="K216" s="32">
        <v>214</v>
      </c>
      <c r="L216" s="85">
        <v>-33.200000000000017</v>
      </c>
    </row>
    <row r="217" spans="11:12">
      <c r="K217" s="32">
        <v>215</v>
      </c>
      <c r="L217" s="85">
        <v>-86.90000000000002</v>
      </c>
    </row>
    <row r="218" spans="11:12">
      <c r="K218" s="32">
        <v>216</v>
      </c>
      <c r="L218" s="85">
        <v>-115.50000000000003</v>
      </c>
    </row>
    <row r="219" spans="11:12">
      <c r="K219" s="32">
        <v>217</v>
      </c>
      <c r="L219" s="85">
        <v>-30.000000000000028</v>
      </c>
    </row>
    <row r="220" spans="11:12">
      <c r="K220" s="32">
        <v>218</v>
      </c>
      <c r="L220" s="85">
        <v>-80.400000000000034</v>
      </c>
    </row>
    <row r="221" spans="11:12">
      <c r="K221" s="32">
        <v>219</v>
      </c>
      <c r="L221" s="85">
        <v>-19.200000000000031</v>
      </c>
    </row>
    <row r="222" spans="11:12">
      <c r="K222" s="32">
        <v>220</v>
      </c>
      <c r="L222" s="85">
        <v>-36.300000000000033</v>
      </c>
    </row>
    <row r="223" spans="11:12">
      <c r="K223" s="32">
        <v>221</v>
      </c>
      <c r="L223" s="85">
        <v>-30.000000000000032</v>
      </c>
    </row>
  </sheetData>
  <sortState xmlns:xlrd2="http://schemas.microsoft.com/office/spreadsheetml/2017/richdata2" ref="N18:Q4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164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15</v>
      </c>
      <c r="C2" s="175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12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76">
        <v>121</v>
      </c>
      <c r="C3" s="177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11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78">
        <v>22.499999999999993</v>
      </c>
      <c r="C4" s="179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12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80">
        <f>IF(B$2=0,0,B$4/B$2)</f>
        <v>1.4999999999999996</v>
      </c>
      <c r="C5" s="181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15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82">
        <f>IF(B$2=0,0,(B$7*1+B$8*2+B$9*3+B$10*4)/B$2)</f>
        <v>2.4666666666666668</v>
      </c>
      <c r="C6" s="183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10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8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18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5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16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4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5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68">
        <v>4</v>
      </c>
      <c r="C30" s="16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70">
        <v>52000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161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10</v>
      </c>
      <c r="C2" s="175"/>
      <c r="E2" s="54" t="s">
        <v>54</v>
      </c>
      <c r="F2" s="51" t="s">
        <v>20</v>
      </c>
      <c r="G2" s="39">
        <v>11</v>
      </c>
      <c r="H2" s="117">
        <f>IF(B$17=0,0,G2/B$17)</f>
        <v>0.6875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-950</v>
      </c>
      <c r="P2" s="103">
        <v>10</v>
      </c>
      <c r="Q2" s="87">
        <v>-9500</v>
      </c>
    </row>
    <row r="3" spans="1:17">
      <c r="A3" s="47" t="s">
        <v>8</v>
      </c>
      <c r="B3" s="176">
        <v>77</v>
      </c>
      <c r="C3" s="177"/>
      <c r="E3" s="55" t="s">
        <v>184</v>
      </c>
      <c r="F3" s="52" t="s">
        <v>187</v>
      </c>
      <c r="G3" s="40">
        <v>9</v>
      </c>
      <c r="H3" s="118">
        <f>IF(B$17=0,0,G3/B$17)</f>
        <v>0.5625</v>
      </c>
      <c r="I3" s="80">
        <v>6</v>
      </c>
      <c r="K3" s="32">
        <v>1</v>
      </c>
      <c r="L3" s="85">
        <v>74.900000000000006</v>
      </c>
      <c r="N3" s="100" t="s">
        <v>104</v>
      </c>
      <c r="O3" s="107">
        <f t="shared" si="0"/>
        <v>1400</v>
      </c>
      <c r="P3" s="104">
        <v>10</v>
      </c>
      <c r="Q3" s="88">
        <v>14000</v>
      </c>
    </row>
    <row r="4" spans="1:17">
      <c r="A4" s="47" t="s">
        <v>6</v>
      </c>
      <c r="B4" s="178">
        <v>-0.69999999999998863</v>
      </c>
      <c r="C4" s="179"/>
      <c r="E4" s="55" t="s">
        <v>181</v>
      </c>
      <c r="F4" s="52" t="s">
        <v>156</v>
      </c>
      <c r="G4" s="40">
        <v>7</v>
      </c>
      <c r="H4" s="118">
        <f>IF(B$17=0,0,G4/B$17)</f>
        <v>0.4375</v>
      </c>
      <c r="I4" s="80">
        <v>19</v>
      </c>
      <c r="K4" s="32">
        <v>2</v>
      </c>
      <c r="L4" s="85">
        <v>56.800000000000004</v>
      </c>
      <c r="N4" s="100" t="s">
        <v>105</v>
      </c>
      <c r="O4" s="107">
        <f t="shared" si="0"/>
        <v>1840</v>
      </c>
      <c r="P4" s="104">
        <v>10</v>
      </c>
      <c r="Q4" s="88">
        <v>18400</v>
      </c>
    </row>
    <row r="5" spans="1:17">
      <c r="A5" s="47" t="s">
        <v>7</v>
      </c>
      <c r="B5" s="180">
        <f>IF(B$2=0,0,B$4/B$2)</f>
        <v>-6.9999999999998869E-2</v>
      </c>
      <c r="C5" s="181"/>
      <c r="E5" s="55" t="s">
        <v>60</v>
      </c>
      <c r="F5" s="52" t="s">
        <v>24</v>
      </c>
      <c r="G5" s="40">
        <v>7</v>
      </c>
      <c r="H5" s="118">
        <f>IF(B$17=0,0,G5/B$17)</f>
        <v>0.4375</v>
      </c>
      <c r="I5" s="80">
        <v>8</v>
      </c>
      <c r="K5" s="32">
        <v>3</v>
      </c>
      <c r="L5" s="85">
        <v>-7.4999999999999929</v>
      </c>
      <c r="N5" s="100" t="s">
        <v>157</v>
      </c>
      <c r="O5" s="107">
        <f>IF(P5=0,0,Q5/P5)</f>
        <v>-1220</v>
      </c>
      <c r="P5" s="104">
        <v>10</v>
      </c>
      <c r="Q5" s="88">
        <v>-12200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56</v>
      </c>
      <c r="F6" s="52" t="s">
        <v>185</v>
      </c>
      <c r="G6" s="40">
        <v>4</v>
      </c>
      <c r="H6" s="118">
        <f>IF(B$17=0,0,G6/B$17)</f>
        <v>0.25</v>
      </c>
      <c r="I6" s="80">
        <v>13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655.55555555555554</v>
      </c>
      <c r="P6" s="104">
        <v>9</v>
      </c>
      <c r="Q6" s="88">
        <v>5900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55</v>
      </c>
      <c r="F7" s="52" t="s">
        <v>155</v>
      </c>
      <c r="G7" s="40">
        <v>3</v>
      </c>
      <c r="H7" s="118">
        <f>IF(B$17=0,0,G7/B$17)</f>
        <v>0.1875</v>
      </c>
      <c r="I7" s="80">
        <v>16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</v>
      </c>
      <c r="E8" s="55" t="s">
        <v>57</v>
      </c>
      <c r="F8" s="52" t="s">
        <v>21</v>
      </c>
      <c r="G8" s="40">
        <v>3</v>
      </c>
      <c r="H8" s="118">
        <f>IF(B$17=0,0,G8/B$17)</f>
        <v>0.1875</v>
      </c>
      <c r="I8" s="80">
        <v>15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</v>
      </c>
      <c r="E9" s="55" t="s">
        <v>58</v>
      </c>
      <c r="F9" s="52" t="s">
        <v>22</v>
      </c>
      <c r="G9" s="40">
        <v>2</v>
      </c>
      <c r="H9" s="118">
        <f>IF(B$17=0,0,G9/B$17)</f>
        <v>0.125</v>
      </c>
      <c r="I9" s="80">
        <v>4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</v>
      </c>
      <c r="E10" s="55" t="s">
        <v>183</v>
      </c>
      <c r="F10" s="52" t="s">
        <v>186</v>
      </c>
      <c r="G10" s="40">
        <v>2</v>
      </c>
      <c r="H10" s="118">
        <f>IF(B$17=0,0,G10/B$17)</f>
        <v>0.125</v>
      </c>
      <c r="I10" s="80">
        <v>2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</v>
      </c>
      <c r="E11" s="55" t="s">
        <v>74</v>
      </c>
      <c r="F11" s="52" t="s">
        <v>38</v>
      </c>
      <c r="G11" s="40">
        <v>2</v>
      </c>
      <c r="H11" s="118">
        <f>IF(B$17=0,0,G11/B$17)</f>
        <v>0.125</v>
      </c>
      <c r="I11" s="80">
        <v>1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182</v>
      </c>
      <c r="F12" s="52" t="s">
        <v>19</v>
      </c>
      <c r="G12" s="40">
        <v>1</v>
      </c>
      <c r="H12" s="118">
        <f>IF(B$17=0,0,G12/B$17)</f>
        <v>6.25E-2</v>
      </c>
      <c r="I12" s="80">
        <v>14</v>
      </c>
      <c r="K12" s="32">
        <v>10</v>
      </c>
      <c r="L12" s="85">
        <v>-0.69999999999998863</v>
      </c>
      <c r="N12" s="99" t="s">
        <v>126</v>
      </c>
      <c r="O12" s="109">
        <f>IF(P12=0,0,Q12/P12)</f>
        <v>7.1749999999999989</v>
      </c>
      <c r="P12" s="103">
        <v>4</v>
      </c>
      <c r="Q12" s="91">
        <v>28.699999999999996</v>
      </c>
    </row>
    <row r="13" spans="1:17">
      <c r="A13" s="50" t="s">
        <v>97</v>
      </c>
      <c r="B13" s="43">
        <v>13</v>
      </c>
      <c r="C13" s="38">
        <f>IF(B$3=0,0,B13/B$3)</f>
        <v>0.16883116883116883</v>
      </c>
      <c r="E13" s="55" t="s">
        <v>59</v>
      </c>
      <c r="F13" s="52" t="s">
        <v>23</v>
      </c>
      <c r="G13" s="40">
        <v>1</v>
      </c>
      <c r="H13" s="118">
        <f>IF(B$17=0,0,G13/B$17)</f>
        <v>6.25E-2</v>
      </c>
      <c r="I13" s="80">
        <v>16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18</v>
      </c>
      <c r="C14" s="33">
        <f>IF(B$3=0,0,B14/B$3)</f>
        <v>0.23376623376623376</v>
      </c>
      <c r="E14" s="55" t="s">
        <v>75</v>
      </c>
      <c r="F14" s="52" t="s">
        <v>39</v>
      </c>
      <c r="G14" s="40">
        <v>1</v>
      </c>
      <c r="H14" s="118">
        <f>IF(B$17=0,0,G14/B$17)</f>
        <v>6.25E-2</v>
      </c>
      <c r="I14" s="80">
        <v>1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7</v>
      </c>
      <c r="C15" s="31">
        <f>IF(B$13=0,0,B15/B$13)</f>
        <v>0.53846153846153844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7</v>
      </c>
      <c r="C16" s="31">
        <f>IF(B$14=0,0,B16/B$14)</f>
        <v>0.3888888888888889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0.20779220779220781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0.18181818181818182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31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7</v>
      </c>
      <c r="C19" s="33">
        <f>IF(B$17=0,0,B19/B$17)</f>
        <v>0.4375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 t="shared" si="3"/>
        <v>87.9</v>
      </c>
      <c r="P19" s="104">
        <v>1</v>
      </c>
      <c r="Q19" s="92">
        <v>87.9</v>
      </c>
    </row>
    <row r="20" spans="1:17">
      <c r="A20" s="47" t="s">
        <v>11</v>
      </c>
      <c r="B20" s="40">
        <v>9</v>
      </c>
      <c r="C20" s="33">
        <f>IF(B$17=0,0,B20/B$17)</f>
        <v>0.5625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223</v>
      </c>
      <c r="O20" s="110">
        <f t="shared" si="3"/>
        <v>66.399999999999991</v>
      </c>
      <c r="P20" s="104">
        <v>1</v>
      </c>
      <c r="Q20" s="92">
        <v>66.399999999999991</v>
      </c>
    </row>
    <row r="21" spans="1:17">
      <c r="A21" s="47" t="s">
        <v>151</v>
      </c>
      <c r="B21" s="40">
        <v>7</v>
      </c>
      <c r="C21" s="33">
        <f>IF(B$17=0,0,B21/B$17)</f>
        <v>0.4375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32.56666666666667</v>
      </c>
      <c r="P21" s="104">
        <v>3</v>
      </c>
      <c r="Q21" s="92">
        <v>97.7</v>
      </c>
    </row>
    <row r="22" spans="1:17">
      <c r="A22" s="47" t="s">
        <v>149</v>
      </c>
      <c r="B22" s="40">
        <v>7</v>
      </c>
      <c r="C22" s="33">
        <f>IF(B$17=0,0,B22/B$17)</f>
        <v>0.4375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199</v>
      </c>
      <c r="O22" s="110">
        <f t="shared" si="3"/>
        <v>23.9</v>
      </c>
      <c r="P22" s="104">
        <v>1</v>
      </c>
      <c r="Q22" s="92">
        <v>23.9</v>
      </c>
    </row>
    <row r="23" spans="1:17">
      <c r="A23" s="47" t="s">
        <v>150</v>
      </c>
      <c r="B23" s="40">
        <v>2</v>
      </c>
      <c r="C23" s="33">
        <f>IF(B$17=0,0,B23/B$17)</f>
        <v>0.125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22.449999999999996</v>
      </c>
      <c r="P23" s="104">
        <v>2</v>
      </c>
      <c r="Q23" s="92">
        <v>44.899999999999991</v>
      </c>
    </row>
    <row r="24" spans="1:17">
      <c r="A24" s="47" t="s">
        <v>5</v>
      </c>
      <c r="B24" s="44">
        <f>IF(B$17=0,0,C24/B$17)</f>
        <v>7025</v>
      </c>
      <c r="C24" s="35">
        <v>112400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195</v>
      </c>
      <c r="O24" s="110">
        <f t="shared" si="3"/>
        <v>20.650000000000002</v>
      </c>
      <c r="P24" s="104">
        <v>2</v>
      </c>
      <c r="Q24" s="92">
        <v>41.300000000000004</v>
      </c>
    </row>
    <row r="25" spans="1:17">
      <c r="A25" s="48" t="s">
        <v>133</v>
      </c>
      <c r="B25" s="121">
        <f>IF($B$17-B$16=0,0,C25/($B$17-B$16))</f>
        <v>10222.222222222223</v>
      </c>
      <c r="C25" s="122">
        <v>92000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164</v>
      </c>
      <c r="O25" s="110">
        <f t="shared" si="3"/>
        <v>15.233333333333334</v>
      </c>
      <c r="P25" s="104">
        <v>3</v>
      </c>
      <c r="Q25" s="92">
        <v>45.7</v>
      </c>
    </row>
    <row r="26" spans="1:17">
      <c r="A26" s="48" t="s">
        <v>134</v>
      </c>
      <c r="B26" s="121">
        <f>IF(B$16=0,0,C26/B$16)</f>
        <v>2914.2857142857142</v>
      </c>
      <c r="C26" s="122">
        <v>20400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166</v>
      </c>
      <c r="O26" s="110">
        <f t="shared" si="3"/>
        <v>13.549999999999997</v>
      </c>
      <c r="P26" s="104">
        <v>2</v>
      </c>
      <c r="Q26" s="92">
        <v>27.099999999999994</v>
      </c>
    </row>
    <row r="27" spans="1:17">
      <c r="A27" s="48" t="s">
        <v>132</v>
      </c>
      <c r="B27" s="121">
        <f>IF(B$18=0,0,C27/B$18)</f>
        <v>-6514.2857142857147</v>
      </c>
      <c r="C27" s="122">
        <v>-91200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179</v>
      </c>
      <c r="O27" s="110">
        <f t="shared" si="3"/>
        <v>-20.166666666666664</v>
      </c>
      <c r="P27" s="104">
        <v>3</v>
      </c>
      <c r="Q27" s="92">
        <v>-60.499999999999993</v>
      </c>
    </row>
    <row r="28" spans="1:17">
      <c r="A28" s="47" t="s">
        <v>130</v>
      </c>
      <c r="B28" s="40">
        <v>2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168</v>
      </c>
      <c r="O28" s="110">
        <f t="shared" si="3"/>
        <v>-30.900000000000006</v>
      </c>
      <c r="P28" s="104">
        <v>3</v>
      </c>
      <c r="Q28" s="92">
        <v>-92.700000000000017</v>
      </c>
    </row>
    <row r="29" spans="1:17">
      <c r="A29" s="47" t="s">
        <v>131</v>
      </c>
      <c r="B29" s="40">
        <v>17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175</v>
      </c>
      <c r="O29" s="110">
        <f t="shared" si="3"/>
        <v>-31.700000000000003</v>
      </c>
      <c r="P29" s="104">
        <v>1</v>
      </c>
      <c r="Q29" s="92">
        <v>-31.700000000000003</v>
      </c>
    </row>
    <row r="30" spans="1:17">
      <c r="A30" s="76" t="s">
        <v>111</v>
      </c>
      <c r="B30" s="168">
        <v>3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169</v>
      </c>
      <c r="O30" s="110">
        <f t="shared" si="3"/>
        <v>-40.43333333333333</v>
      </c>
      <c r="P30" s="104">
        <v>6</v>
      </c>
      <c r="Q30" s="92">
        <v>-242.59999999999997</v>
      </c>
    </row>
    <row r="31" spans="1:17">
      <c r="A31" s="50" t="s">
        <v>148</v>
      </c>
      <c r="B31" s="170">
        <v>54900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177</v>
      </c>
      <c r="O31" s="110">
        <f t="shared" si="3"/>
        <v>-126.8</v>
      </c>
      <c r="P31" s="104">
        <v>1</v>
      </c>
      <c r="Q31" s="92">
        <v>-126.8</v>
      </c>
    </row>
    <row r="32" spans="1:17">
      <c r="A32" s="49" t="s">
        <v>112</v>
      </c>
      <c r="B32" s="57">
        <v>1</v>
      </c>
      <c r="C32" s="36">
        <f>IF(B$3=0,0,B32/B$3)</f>
        <v>1.2987012987012988E-2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0.1875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6.25E-2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0.1875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162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9</v>
      </c>
      <c r="C2" s="175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76">
        <v>78</v>
      </c>
      <c r="C3" s="177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7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78">
        <v>268</v>
      </c>
      <c r="C4" s="179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4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80">
        <f>IF(B$2=0,0,B$4/B$2)</f>
        <v>29.777777777777779</v>
      </c>
      <c r="C5" s="181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9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82">
        <f>IF(B$2=0,0,(B$7*1+B$8*2+B$9*3+B$10*4)/B$2)</f>
        <v>1.8888888888888888</v>
      </c>
      <c r="C6" s="183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7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4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3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19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7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14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5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3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5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70">
        <v>67800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163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8</v>
      </c>
      <c r="C2" s="175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76">
        <v>69</v>
      </c>
      <c r="C3" s="177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21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78">
        <v>20.300000000000004</v>
      </c>
      <c r="C4" s="179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16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80">
        <f>IF(B$2=0,0,B$4/B$2)</f>
        <v>2.5375000000000005</v>
      </c>
      <c r="C5" s="181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11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10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20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8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20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14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10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3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41700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169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34</v>
      </c>
      <c r="C2" s="175"/>
      <c r="E2" s="54" t="s">
        <v>54</v>
      </c>
      <c r="F2" s="51" t="s">
        <v>20</v>
      </c>
      <c r="G2" s="39">
        <v>53</v>
      </c>
      <c r="H2" s="117">
        <f>IF(B$17=0,0,G2/B$17)</f>
        <v>0.8833333333333333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750</v>
      </c>
      <c r="P2" s="103">
        <v>34</v>
      </c>
      <c r="Q2" s="87">
        <v>25500</v>
      </c>
    </row>
    <row r="3" spans="1:17">
      <c r="A3" s="47" t="s">
        <v>8</v>
      </c>
      <c r="B3" s="176">
        <v>259</v>
      </c>
      <c r="C3" s="177"/>
      <c r="E3" s="55" t="s">
        <v>184</v>
      </c>
      <c r="F3" s="52" t="s">
        <v>187</v>
      </c>
      <c r="G3" s="40">
        <v>41</v>
      </c>
      <c r="H3" s="118">
        <f>IF(B$17=0,0,G3/B$17)</f>
        <v>0.68333333333333335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0"/>
        <v>1826.4705882352941</v>
      </c>
      <c r="P3" s="104">
        <v>34</v>
      </c>
      <c r="Q3" s="88">
        <v>62100</v>
      </c>
    </row>
    <row r="4" spans="1:17">
      <c r="A4" s="47" t="s">
        <v>6</v>
      </c>
      <c r="B4" s="178">
        <v>613.90000000000009</v>
      </c>
      <c r="C4" s="179"/>
      <c r="E4" s="55" t="s">
        <v>181</v>
      </c>
      <c r="F4" s="52" t="s">
        <v>156</v>
      </c>
      <c r="G4" s="40">
        <v>29</v>
      </c>
      <c r="H4" s="118">
        <f>IF(B$17=0,0,G4/B$17)</f>
        <v>0.48333333333333334</v>
      </c>
      <c r="I4" s="80">
        <v>17</v>
      </c>
      <c r="K4" s="32">
        <v>2</v>
      </c>
      <c r="L4" s="85">
        <v>0.60000000000000142</v>
      </c>
      <c r="N4" s="100" t="s">
        <v>105</v>
      </c>
      <c r="O4" s="107">
        <f t="shared" si="0"/>
        <v>1682.3529411764705</v>
      </c>
      <c r="P4" s="104">
        <v>34</v>
      </c>
      <c r="Q4" s="88">
        <v>57200</v>
      </c>
    </row>
    <row r="5" spans="1:17">
      <c r="A5" s="47" t="s">
        <v>7</v>
      </c>
      <c r="B5" s="180">
        <f>IF(B$2=0,0,B$4/B$2)</f>
        <v>18.055882352941179</v>
      </c>
      <c r="C5" s="181"/>
      <c r="E5" s="55" t="s">
        <v>57</v>
      </c>
      <c r="F5" s="52" t="s">
        <v>21</v>
      </c>
      <c r="G5" s="40">
        <v>21</v>
      </c>
      <c r="H5" s="118">
        <f>IF(B$17=0,0,G5/B$17)</f>
        <v>0.35</v>
      </c>
      <c r="I5" s="80">
        <v>5</v>
      </c>
      <c r="K5" s="32">
        <v>3</v>
      </c>
      <c r="L5" s="85">
        <v>-32.299999999999997</v>
      </c>
      <c r="N5" s="100" t="s">
        <v>157</v>
      </c>
      <c r="O5" s="107">
        <f>IF(P5=0,0,Q5/P5)</f>
        <v>1293.3333333333333</v>
      </c>
      <c r="P5" s="104">
        <v>30</v>
      </c>
      <c r="Q5" s="88">
        <v>38800</v>
      </c>
    </row>
    <row r="6" spans="1:17">
      <c r="A6" s="47" t="s">
        <v>1</v>
      </c>
      <c r="B6" s="182">
        <f>IF(B$2=0,0,(B$7*1+B$8*2+B$9*3+B$10*4)/B$2)</f>
        <v>2.0882352941176472</v>
      </c>
      <c r="C6" s="183"/>
      <c r="E6" s="55" t="s">
        <v>60</v>
      </c>
      <c r="F6" s="52" t="s">
        <v>24</v>
      </c>
      <c r="G6" s="40">
        <v>21</v>
      </c>
      <c r="H6" s="118">
        <f>IF(B$17=0,0,G6/B$17)</f>
        <v>0.35</v>
      </c>
      <c r="I6" s="80">
        <v>15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1618.1818181818182</v>
      </c>
      <c r="P6" s="104">
        <v>22</v>
      </c>
      <c r="Q6" s="88">
        <v>35600</v>
      </c>
    </row>
    <row r="7" spans="1:17">
      <c r="A7" s="47" t="s">
        <v>2</v>
      </c>
      <c r="B7" s="40">
        <v>13</v>
      </c>
      <c r="C7" s="33">
        <f t="shared" ref="C7:C12" si="2">IF(B$2=0,0,B7/B$2)</f>
        <v>0.38235294117647056</v>
      </c>
      <c r="E7" s="55" t="s">
        <v>55</v>
      </c>
      <c r="F7" s="52" t="s">
        <v>155</v>
      </c>
      <c r="G7" s="40">
        <v>16</v>
      </c>
      <c r="H7" s="118">
        <f>IF(B$17=0,0,G7/B$17)</f>
        <v>0.26666666666666666</v>
      </c>
      <c r="I7" s="80">
        <v>12</v>
      </c>
      <c r="K7" s="32">
        <v>5</v>
      </c>
      <c r="L7" s="85">
        <v>-39</v>
      </c>
      <c r="N7" s="100" t="s">
        <v>107</v>
      </c>
      <c r="O7" s="107">
        <f t="shared" si="0"/>
        <v>1440</v>
      </c>
      <c r="P7" s="104">
        <v>15</v>
      </c>
      <c r="Q7" s="88">
        <v>21600</v>
      </c>
    </row>
    <row r="8" spans="1:17">
      <c r="A8" s="47" t="s">
        <v>3</v>
      </c>
      <c r="B8" s="40">
        <v>9</v>
      </c>
      <c r="C8" s="33">
        <f>IF(B$2=0,0,B8/B$2)</f>
        <v>0.26470588235294118</v>
      </c>
      <c r="E8" s="55" t="s">
        <v>59</v>
      </c>
      <c r="F8" s="52" t="s">
        <v>23</v>
      </c>
      <c r="G8" s="40">
        <v>14</v>
      </c>
      <c r="H8" s="118">
        <f>IF(B$17=0,0,G8/B$17)</f>
        <v>0.23333333333333334</v>
      </c>
      <c r="I8" s="80">
        <v>7</v>
      </c>
      <c r="K8" s="32">
        <v>6</v>
      </c>
      <c r="L8" s="85">
        <v>43.8</v>
      </c>
      <c r="N8" s="100" t="s">
        <v>108</v>
      </c>
      <c r="O8" s="107">
        <f t="shared" si="0"/>
        <v>891.66666666666663</v>
      </c>
      <c r="P8" s="104">
        <v>12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0.23529411764705882</v>
      </c>
      <c r="E9" s="55" t="s">
        <v>56</v>
      </c>
      <c r="F9" s="52" t="s">
        <v>185</v>
      </c>
      <c r="G9" s="40">
        <v>10</v>
      </c>
      <c r="H9" s="118">
        <f>IF(B$17=0,0,G9/B$17)</f>
        <v>0.16666666666666666</v>
      </c>
      <c r="I9" s="80">
        <v>21</v>
      </c>
      <c r="K9" s="32">
        <v>7</v>
      </c>
      <c r="L9" s="85">
        <v>95.1</v>
      </c>
      <c r="N9" s="101" t="s">
        <v>158</v>
      </c>
      <c r="O9" s="108">
        <f t="shared" si="0"/>
        <v>-1520</v>
      </c>
      <c r="P9" s="105">
        <v>5</v>
      </c>
      <c r="Q9" s="89">
        <v>-7600</v>
      </c>
    </row>
    <row r="10" spans="1:17">
      <c r="A10" s="48" t="s">
        <v>152</v>
      </c>
      <c r="B10" s="41">
        <v>4</v>
      </c>
      <c r="C10" s="34">
        <f>IF(B$2=0,0,B10/B$2)</f>
        <v>0.11764705882352941</v>
      </c>
      <c r="E10" s="55" t="s">
        <v>58</v>
      </c>
      <c r="F10" s="52" t="s">
        <v>22</v>
      </c>
      <c r="G10" s="40">
        <v>8</v>
      </c>
      <c r="H10" s="118">
        <f>IF(B$17=0,0,G10/B$17)</f>
        <v>0.13333333333333333</v>
      </c>
      <c r="I10" s="80">
        <v>3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22</v>
      </c>
      <c r="C11" s="34">
        <f>IF(B$2=0,0,B11/B$2)</f>
        <v>0.6470588235294118</v>
      </c>
      <c r="E11" s="55" t="s">
        <v>182</v>
      </c>
      <c r="F11" s="52" t="s">
        <v>19</v>
      </c>
      <c r="G11" s="40">
        <v>6</v>
      </c>
      <c r="H11" s="118">
        <f>IF(B$17=0,0,G11/B$17)</f>
        <v>0.1</v>
      </c>
      <c r="I11" s="80">
        <v>11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5</v>
      </c>
      <c r="H12" s="118">
        <f>IF(B$17=0,0,G12/B$17)</f>
        <v>8.3333333333333329E-2</v>
      </c>
      <c r="I12" s="80">
        <v>2</v>
      </c>
      <c r="K12" s="32">
        <v>10</v>
      </c>
      <c r="L12" s="85">
        <v>88.5</v>
      </c>
      <c r="N12" s="99" t="s">
        <v>126</v>
      </c>
      <c r="O12" s="109">
        <f>IF(P12=0,0,Q12/P12)</f>
        <v>27.690000000000005</v>
      </c>
      <c r="P12" s="103">
        <v>10</v>
      </c>
      <c r="Q12" s="91">
        <v>276.90000000000003</v>
      </c>
    </row>
    <row r="13" spans="1:17">
      <c r="A13" s="50" t="s">
        <v>97</v>
      </c>
      <c r="B13" s="43">
        <v>44</v>
      </c>
      <c r="C13" s="38">
        <f>IF(B$3=0,0,B13/B$3)</f>
        <v>0.16988416988416988</v>
      </c>
      <c r="E13" s="55" t="s">
        <v>62</v>
      </c>
      <c r="F13" s="52" t="s">
        <v>26</v>
      </c>
      <c r="G13" s="40">
        <v>1</v>
      </c>
      <c r="H13" s="118">
        <f>IF(B$17=0,0,G13/B$17)</f>
        <v>1.6666666666666666E-2</v>
      </c>
      <c r="I13" s="80">
        <v>3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47</v>
      </c>
      <c r="C14" s="33">
        <f>IF(B$3=0,0,B14/B$3)</f>
        <v>0.18146718146718147</v>
      </c>
      <c r="E14" s="55" t="s">
        <v>66</v>
      </c>
      <c r="F14" s="52" t="s">
        <v>30</v>
      </c>
      <c r="G14" s="40">
        <v>1</v>
      </c>
      <c r="H14" s="118">
        <f>IF(B$17=0,0,G14/B$17)</f>
        <v>1.6666666666666666E-2</v>
      </c>
      <c r="I14" s="80">
        <v>4</v>
      </c>
      <c r="K14" s="32">
        <v>12</v>
      </c>
      <c r="L14" s="85">
        <v>97.9</v>
      </c>
      <c r="N14" s="100" t="s">
        <v>128</v>
      </c>
      <c r="O14" s="110">
        <f>IF(P14=0,0,Q14/P14)</f>
        <v>10.349999999999998</v>
      </c>
      <c r="P14" s="104">
        <v>6</v>
      </c>
      <c r="Q14" s="92">
        <v>62.099999999999987</v>
      </c>
    </row>
    <row r="15" spans="1:17">
      <c r="A15" s="46" t="s">
        <v>99</v>
      </c>
      <c r="B15" s="39">
        <f>B21</f>
        <v>29</v>
      </c>
      <c r="C15" s="31">
        <f>IF(B$13=0,0,B15/B$13)</f>
        <v>0.65909090909090906</v>
      </c>
      <c r="E15" s="55" t="s">
        <v>183</v>
      </c>
      <c r="F15" s="52" t="s">
        <v>186</v>
      </c>
      <c r="G15" s="40">
        <v>1</v>
      </c>
      <c r="H15" s="118">
        <f>IF(B$17=0,0,G15/B$17)</f>
        <v>1.6666666666666666E-2</v>
      </c>
      <c r="I15" s="80">
        <v>9</v>
      </c>
      <c r="K15" s="32">
        <v>13</v>
      </c>
      <c r="L15" s="85">
        <v>168.9</v>
      </c>
      <c r="N15" s="101" t="s">
        <v>159</v>
      </c>
      <c r="O15" s="111">
        <f>IF(P15=0,0,Q15/P15)</f>
        <v>17.145454545454545</v>
      </c>
      <c r="P15" s="105">
        <v>11</v>
      </c>
      <c r="Q15" s="93">
        <v>188.6</v>
      </c>
    </row>
    <row r="16" spans="1:17">
      <c r="A16" s="46" t="s">
        <v>100</v>
      </c>
      <c r="B16" s="39">
        <f>B22</f>
        <v>17</v>
      </c>
      <c r="C16" s="31">
        <f>IF(B$14=0,0,B16/B$14)</f>
        <v>0.36170212765957449</v>
      </c>
      <c r="E16" s="55" t="s">
        <v>71</v>
      </c>
      <c r="F16" s="52" t="s">
        <v>35</v>
      </c>
      <c r="G16" s="40">
        <v>1</v>
      </c>
      <c r="H16" s="118">
        <f>IF(B$17=0,0,G16/B$17)</f>
        <v>1.6666666666666666E-2</v>
      </c>
      <c r="I16" s="80">
        <v>7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60</v>
      </c>
      <c r="C17" s="31">
        <f>IF(B$3=0,0,B17/B$3)</f>
        <v>0.23166023166023167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23</v>
      </c>
      <c r="C18" s="33">
        <f>IF(B$3=0,0,B18/B$3)</f>
        <v>8.8803088803088806E-2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13</v>
      </c>
      <c r="C19" s="33">
        <f>IF(B$17=0,0,B19/B$17)</f>
        <v>0.21666666666666667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>IF(P19=0,0,Q19/P19)</f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47</v>
      </c>
      <c r="C20" s="33">
        <f>IF(B$17=0,0,B20/B$17)</f>
        <v>0.78333333333333333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333.8</v>
      </c>
      <c r="N20" s="100" t="s">
        <v>203</v>
      </c>
      <c r="O20" s="110">
        <f>IF(P20=0,0,Q20/P20)</f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29</v>
      </c>
      <c r="C21" s="33">
        <f>IF(B$17=0,0,B21/B$17)</f>
        <v>0.48333333333333334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>IF(P21=0,0,Q21/P21)</f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17</v>
      </c>
      <c r="C22" s="33">
        <f>IF(B$17=0,0,B22/B$17)</f>
        <v>0.28333333333333333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>IF(P22=0,0,Q22/P22)</f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14</v>
      </c>
      <c r="C23" s="33">
        <f>IF(B$17=0,0,B23/B$17)</f>
        <v>0.23333333333333334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>IF(P23=0,0,Q23/P23)</f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8026.666666666667</v>
      </c>
      <c r="C24" s="35">
        <v>481600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>IF(P24=0,0,Q24/P24)</f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8748.8372093023263</v>
      </c>
      <c r="C25" s="122">
        <v>376200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223</v>
      </c>
      <c r="O25" s="110">
        <f>IF(P25=0,0,Q25/P25)</f>
        <v>42.033333333333339</v>
      </c>
      <c r="P25" s="104">
        <v>3</v>
      </c>
      <c r="Q25" s="92">
        <v>126.10000000000001</v>
      </c>
    </row>
    <row r="26" spans="1:17">
      <c r="A26" s="48" t="s">
        <v>134</v>
      </c>
      <c r="B26" s="121">
        <f>IF(B$16=0,0,C26/B$16)</f>
        <v>6200</v>
      </c>
      <c r="C26" s="122">
        <v>105400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>IF(P26=0,0,Q26/P26)</f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-5165.217391304348</v>
      </c>
      <c r="C27" s="122">
        <v>-118800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216</v>
      </c>
      <c r="O27" s="110">
        <f>IF(P27=0,0,Q27/P27)</f>
        <v>39.80833333333333</v>
      </c>
      <c r="P27" s="104">
        <v>12</v>
      </c>
      <c r="Q27" s="92">
        <v>477.7</v>
      </c>
    </row>
    <row r="28" spans="1:17">
      <c r="A28" s="47" t="s">
        <v>130</v>
      </c>
      <c r="B28" s="40">
        <v>5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228</v>
      </c>
      <c r="O28" s="110">
        <f>IF(P28=0,0,Q28/P28)</f>
        <v>38.049999999999997</v>
      </c>
      <c r="P28" s="104">
        <v>2</v>
      </c>
      <c r="Q28" s="92">
        <v>76.099999999999994</v>
      </c>
    </row>
    <row r="29" spans="1:17">
      <c r="A29" s="47" t="s">
        <v>131</v>
      </c>
      <c r="B29" s="40">
        <v>42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213</v>
      </c>
      <c r="O29" s="110">
        <f>IF(P29=0,0,Q29/P29)</f>
        <v>37.4</v>
      </c>
      <c r="P29" s="104">
        <v>6</v>
      </c>
      <c r="Q29" s="92">
        <v>224.39999999999998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K30" s="32">
        <v>28</v>
      </c>
      <c r="L30" s="85">
        <v>530.50000000000011</v>
      </c>
      <c r="N30" s="100" t="s">
        <v>235</v>
      </c>
      <c r="O30" s="110">
        <f>IF(P30=0,0,Q30/P30)</f>
        <v>36.950000000000003</v>
      </c>
      <c r="P30" s="104">
        <v>2</v>
      </c>
      <c r="Q30" s="92">
        <v>73.900000000000006</v>
      </c>
    </row>
    <row r="31" spans="1:17">
      <c r="A31" s="50" t="s">
        <v>148</v>
      </c>
      <c r="B31" s="170">
        <v>72200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485.7000000000001</v>
      </c>
      <c r="N31" s="100" t="s">
        <v>191</v>
      </c>
      <c r="O31" s="110">
        <f>IF(P31=0,0,Q31/P31)</f>
        <v>32.150000000000006</v>
      </c>
      <c r="P31" s="104">
        <v>8</v>
      </c>
      <c r="Q31" s="92">
        <v>257.20000000000005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K32" s="32">
        <v>30</v>
      </c>
      <c r="L32" s="85">
        <v>577.00000000000011</v>
      </c>
      <c r="N32" s="100" t="s">
        <v>163</v>
      </c>
      <c r="O32" s="110">
        <f>IF(P32=0,0,Q32/P32)</f>
        <v>24.933333333333337</v>
      </c>
      <c r="P32" s="104">
        <v>3</v>
      </c>
      <c r="Q32" s="92">
        <v>74.800000000000011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669.20000000000016</v>
      </c>
      <c r="N33" s="100" t="s">
        <v>195</v>
      </c>
      <c r="O33" s="110">
        <f>IF(P33=0,0,Q33/P33)</f>
        <v>-4.2812500000000053</v>
      </c>
      <c r="P33" s="104">
        <v>16</v>
      </c>
      <c r="Q33" s="92">
        <v>-68.500000000000085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610.80000000000018</v>
      </c>
      <c r="N34" s="100" t="s">
        <v>164</v>
      </c>
      <c r="O34" s="110">
        <f>IF(P34=0,0,Q34/P34)</f>
        <v>-7.6999999999999975</v>
      </c>
      <c r="P34" s="104">
        <v>7</v>
      </c>
      <c r="Q34" s="92">
        <v>-53.899999999999984</v>
      </c>
    </row>
    <row r="35" spans="1:17">
      <c r="A35" s="76" t="s">
        <v>139</v>
      </c>
      <c r="B35" s="136">
        <v>2</v>
      </c>
      <c r="C35" s="126">
        <f t="shared" ref="C35:C47" si="3">IF(B$17=0,0,B35/B$17)</f>
        <v>3.3333333333333333E-2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607.60000000000014</v>
      </c>
      <c r="N35" s="100" t="s">
        <v>177</v>
      </c>
      <c r="O35" s="110">
        <f>IF(P35=0,0,Q35/P35)</f>
        <v>-10.999999999999996</v>
      </c>
      <c r="P35" s="104">
        <v>2</v>
      </c>
      <c r="Q35" s="92">
        <v>-21.999999999999993</v>
      </c>
    </row>
    <row r="36" spans="1:17">
      <c r="A36" s="47" t="s">
        <v>135</v>
      </c>
      <c r="B36" s="40">
        <v>11</v>
      </c>
      <c r="C36" s="33">
        <f t="shared" si="3"/>
        <v>0.18333333333333332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613.90000000000009</v>
      </c>
      <c r="N36" s="100" t="s">
        <v>168</v>
      </c>
      <c r="O36" s="110">
        <f>IF(P36=0,0,Q36/P36)</f>
        <v>-14.5625</v>
      </c>
      <c r="P36" s="104">
        <v>8</v>
      </c>
      <c r="Q36" s="92">
        <v>-116.5</v>
      </c>
    </row>
    <row r="37" spans="1:17">
      <c r="A37" s="47" t="s">
        <v>136</v>
      </c>
      <c r="B37" s="137">
        <v>9</v>
      </c>
      <c r="C37" s="33">
        <f t="shared" si="3"/>
        <v>0.15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N37" s="100" t="s">
        <v>167</v>
      </c>
      <c r="O37" s="110">
        <f>IF(P37=0,0,Q37/P37)</f>
        <v>-28.2</v>
      </c>
      <c r="P37" s="104">
        <v>1</v>
      </c>
      <c r="Q37" s="92">
        <v>-28.2</v>
      </c>
    </row>
    <row r="38" spans="1:17">
      <c r="A38" s="47" t="s">
        <v>137</v>
      </c>
      <c r="B38" s="137">
        <v>19</v>
      </c>
      <c r="C38" s="33">
        <f t="shared" si="3"/>
        <v>0.31666666666666665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N38" s="100" t="s">
        <v>162</v>
      </c>
      <c r="O38" s="110">
        <f>IF(P38=0,0,Q38/P38)</f>
        <v>-38.020000000000003</v>
      </c>
      <c r="P38" s="104">
        <v>5</v>
      </c>
      <c r="Q38" s="92">
        <v>-190.10000000000002</v>
      </c>
    </row>
    <row r="39" spans="1:17">
      <c r="A39" s="47" t="s">
        <v>138</v>
      </c>
      <c r="B39" s="137">
        <v>5</v>
      </c>
      <c r="C39" s="33">
        <f t="shared" si="3"/>
        <v>8.3333333333333329E-2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10</v>
      </c>
      <c r="C40" s="33">
        <f t="shared" si="3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4</v>
      </c>
      <c r="C41" s="33">
        <f t="shared" si="3"/>
        <v>6.6666666666666666E-2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166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4</v>
      </c>
      <c r="C2" s="175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20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76">
        <v>35</v>
      </c>
      <c r="C3" s="177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6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78">
        <v>-127.99999999999999</v>
      </c>
      <c r="C4" s="179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80">
        <f>IF(B$2=0,0,B$4/B$2)</f>
        <v>-31.999999999999996</v>
      </c>
      <c r="C5" s="181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18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82">
        <f>IF(B$2=0,0,(B$7*1+B$8*2+B$9*3+B$10*4)/B$2)</f>
        <v>3.25</v>
      </c>
      <c r="C6" s="183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18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2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17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18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5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1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23700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167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</v>
      </c>
      <c r="C2" s="175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76">
        <v>7</v>
      </c>
      <c r="C3" s="177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78">
        <v>14</v>
      </c>
      <c r="C4" s="179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11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80">
        <f>IF(B$2=0,0,B$4/B$2)</f>
        <v>14</v>
      </c>
      <c r="C5" s="181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14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82">
        <f>IF(B$2=0,0,(B$7*1+B$8*2+B$9*3+B$10*4)/B$2)</f>
        <v>2</v>
      </c>
      <c r="C6" s="183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17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34000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168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18</v>
      </c>
      <c r="C2" s="175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11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76">
        <v>142</v>
      </c>
      <c r="C3" s="177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18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78">
        <v>154.39999999999998</v>
      </c>
      <c r="C4" s="179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16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80">
        <f>IF(B$2=0,0,B$4/B$2)</f>
        <v>8.5777777777777757</v>
      </c>
      <c r="C5" s="181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9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82">
        <f>IF(B$2=0,0,(B$7*1+B$8*2+B$9*3+B$10*4)/B$2)</f>
        <v>2.3333333333333335</v>
      </c>
      <c r="C6" s="183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19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12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11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8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16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3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4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12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7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5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68">
        <v>5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70">
        <v>65600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175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76">
        <v>15</v>
      </c>
      <c r="C3" s="177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78">
        <v>-2.2000000000000011</v>
      </c>
      <c r="C4" s="179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80">
        <f>IF(B$2=0,0,B$4/B$2)</f>
        <v>-1.1000000000000005</v>
      </c>
      <c r="C5" s="181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7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8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6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17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17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3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33600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177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76">
        <v>19</v>
      </c>
      <c r="C3" s="177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19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78">
        <v>3.8999999999999986</v>
      </c>
      <c r="C4" s="179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15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80">
        <f>IF(B$2=0,0,B$4/B$2)</f>
        <v>1.9499999999999993</v>
      </c>
      <c r="C5" s="181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13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11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20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5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10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2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42500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180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</v>
      </c>
      <c r="C2" s="17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76">
        <v>7</v>
      </c>
      <c r="C3" s="17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78">
        <v>-52.6</v>
      </c>
      <c r="C4" s="17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21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80">
        <f>IF(B$2=0,0,B$4/B$2)</f>
        <v>-52.6</v>
      </c>
      <c r="C5" s="18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82">
        <f>IF(B$2=0,0,(B$7*1+B$8*2+B$9*3+B$10*4)/B$2)</f>
        <v>4</v>
      </c>
      <c r="C6" s="18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7400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179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16</v>
      </c>
      <c r="C2" s="175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76">
        <v>131</v>
      </c>
      <c r="C3" s="177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10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78">
        <v>-34.6</v>
      </c>
      <c r="C4" s="179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15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80">
        <f>IF(B$2=0,0,B$4/B$2)</f>
        <v>-2.1625000000000001</v>
      </c>
      <c r="C5" s="181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22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82">
        <f>IF(B$2=0,0,(B$7*1+B$8*2+B$9*3+B$10*4)/B$2)</f>
        <v>2.4375</v>
      </c>
      <c r="C6" s="183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11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20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18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14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10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17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6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3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10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68">
        <v>5</v>
      </c>
      <c r="C30" s="169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70">
        <v>53200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199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76">
        <v>15</v>
      </c>
      <c r="C3" s="17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78">
        <v>-97.4</v>
      </c>
      <c r="C4" s="17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21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80">
        <f>IF(B$2=0,0,B$4/B$2)</f>
        <v>-48.7</v>
      </c>
      <c r="C5" s="18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82">
        <f>IF(B$2=0,0,(B$7*1+B$8*2+B$9*3+B$10*4)/B$2)</f>
        <v>4</v>
      </c>
      <c r="C6" s="18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14100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191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14</v>
      </c>
      <c r="C2" s="175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76">
        <v>115</v>
      </c>
      <c r="C3" s="177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7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78">
        <v>79.299999999999983</v>
      </c>
      <c r="C4" s="179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9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80">
        <f>IF(B$2=0,0,B$4/B$2)</f>
        <v>5.6642857142857128</v>
      </c>
      <c r="C5" s="181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82">
        <f>IF(B$2=0,0,(B$7*1+B$8*2+B$9*3+B$10*4)/B$2)</f>
        <v>2.1428571428571428</v>
      </c>
      <c r="C6" s="183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14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23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21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23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11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2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5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4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17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68">
        <v>5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52500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195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26</v>
      </c>
      <c r="C2" s="175"/>
      <c r="E2" s="54" t="s">
        <v>54</v>
      </c>
      <c r="F2" s="51" t="s">
        <v>20</v>
      </c>
      <c r="G2" s="39">
        <v>23</v>
      </c>
      <c r="H2" s="117">
        <f>IF(B$17=0,0,G2/B$17)</f>
        <v>0.51111111111111107</v>
      </c>
      <c r="I2" s="79">
        <v>13</v>
      </c>
      <c r="K2" s="30">
        <v>0</v>
      </c>
      <c r="L2" s="84">
        <v>0</v>
      </c>
      <c r="N2" s="99" t="s">
        <v>103</v>
      </c>
      <c r="O2" s="106">
        <f t="shared" ref="O2:O9" si="0">IF(P2=0,0,Q2/P2)</f>
        <v>392.30769230769232</v>
      </c>
      <c r="P2" s="103">
        <v>26</v>
      </c>
      <c r="Q2" s="87">
        <v>10200</v>
      </c>
    </row>
    <row r="3" spans="1:17">
      <c r="A3" s="47" t="s">
        <v>8</v>
      </c>
      <c r="B3" s="176">
        <v>180</v>
      </c>
      <c r="C3" s="177"/>
      <c r="E3" s="55" t="s">
        <v>181</v>
      </c>
      <c r="F3" s="52" t="s">
        <v>156</v>
      </c>
      <c r="G3" s="40">
        <v>22</v>
      </c>
      <c r="H3" s="118">
        <f>IF(B$17=0,0,G3/B$17)</f>
        <v>0.48888888888888887</v>
      </c>
      <c r="I3" s="80">
        <v>15</v>
      </c>
      <c r="K3" s="32">
        <v>1</v>
      </c>
      <c r="L3" s="85">
        <v>-21.3</v>
      </c>
      <c r="N3" s="100" t="s">
        <v>104</v>
      </c>
      <c r="O3" s="107">
        <f t="shared" si="0"/>
        <v>169.23076923076923</v>
      </c>
      <c r="P3" s="104">
        <v>26</v>
      </c>
      <c r="Q3" s="88">
        <v>4400</v>
      </c>
    </row>
    <row r="4" spans="1:17">
      <c r="A4" s="47" t="s">
        <v>6</v>
      </c>
      <c r="B4" s="178">
        <v>-49.100000000000009</v>
      </c>
      <c r="C4" s="179"/>
      <c r="E4" s="55" t="s">
        <v>184</v>
      </c>
      <c r="F4" s="52" t="s">
        <v>187</v>
      </c>
      <c r="G4" s="40">
        <v>18</v>
      </c>
      <c r="H4" s="118">
        <f>IF(B$17=0,0,G4/B$17)</f>
        <v>0.4</v>
      </c>
      <c r="I4" s="80">
        <v>13</v>
      </c>
      <c r="K4" s="32">
        <v>2</v>
      </c>
      <c r="L4" s="85">
        <v>-12.200000000000001</v>
      </c>
      <c r="N4" s="100" t="s">
        <v>105</v>
      </c>
      <c r="O4" s="107">
        <f t="shared" si="0"/>
        <v>284.61538461538464</v>
      </c>
      <c r="P4" s="104">
        <v>26</v>
      </c>
      <c r="Q4" s="88">
        <v>7400</v>
      </c>
    </row>
    <row r="5" spans="1:17">
      <c r="A5" s="47" t="s">
        <v>7</v>
      </c>
      <c r="B5" s="180">
        <f>IF(B$2=0,0,B$4/B$2)</f>
        <v>-1.8884615384615389</v>
      </c>
      <c r="C5" s="181"/>
      <c r="E5" s="55" t="s">
        <v>60</v>
      </c>
      <c r="F5" s="52" t="s">
        <v>24</v>
      </c>
      <c r="G5" s="40">
        <v>16</v>
      </c>
      <c r="H5" s="118">
        <f>IF(B$17=0,0,G5/B$17)</f>
        <v>0.35555555555555557</v>
      </c>
      <c r="I5" s="80">
        <v>14</v>
      </c>
      <c r="K5" s="32">
        <v>3</v>
      </c>
      <c r="L5" s="85">
        <v>-68.400000000000006</v>
      </c>
      <c r="N5" s="100" t="s">
        <v>157</v>
      </c>
      <c r="O5" s="107">
        <f>IF(P5=0,0,Q5/P5)</f>
        <v>472.72727272727275</v>
      </c>
      <c r="P5" s="104">
        <v>22</v>
      </c>
      <c r="Q5" s="88">
        <v>10400</v>
      </c>
    </row>
    <row r="6" spans="1:17">
      <c r="A6" s="47" t="s">
        <v>1</v>
      </c>
      <c r="B6" s="182">
        <f>IF(B$2=0,0,(B$7*1+B$8*2+B$9*3+B$10*4)/B$2)</f>
        <v>2.5384615384615383</v>
      </c>
      <c r="C6" s="183"/>
      <c r="E6" s="55" t="s">
        <v>55</v>
      </c>
      <c r="F6" s="52" t="s">
        <v>155</v>
      </c>
      <c r="G6" s="40">
        <v>12</v>
      </c>
      <c r="H6" s="118">
        <f>IF(B$17=0,0,G6/B$17)</f>
        <v>0.26666666666666666</v>
      </c>
      <c r="I6" s="80">
        <v>12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-2546.6666666666665</v>
      </c>
      <c r="P6" s="104">
        <v>15</v>
      </c>
      <c r="Q6" s="88">
        <v>-38200</v>
      </c>
    </row>
    <row r="7" spans="1:17">
      <c r="A7" s="47" t="s">
        <v>2</v>
      </c>
      <c r="B7" s="40">
        <v>6</v>
      </c>
      <c r="C7" s="33">
        <f t="shared" ref="C7:C12" si="2">IF(B$2=0,0,B7/B$2)</f>
        <v>0.23076923076923078</v>
      </c>
      <c r="E7" s="55" t="s">
        <v>56</v>
      </c>
      <c r="F7" s="52" t="s">
        <v>185</v>
      </c>
      <c r="G7" s="40">
        <v>10</v>
      </c>
      <c r="H7" s="118">
        <f>IF(B$17=0,0,G7/B$17)</f>
        <v>0.22222222222222221</v>
      </c>
      <c r="I7" s="80">
        <v>17</v>
      </c>
      <c r="K7" s="32">
        <v>5</v>
      </c>
      <c r="L7" s="85">
        <v>-160.60000000000002</v>
      </c>
      <c r="N7" s="100" t="s">
        <v>107</v>
      </c>
      <c r="O7" s="107">
        <f t="shared" si="0"/>
        <v>-981.81818181818187</v>
      </c>
      <c r="P7" s="104">
        <v>11</v>
      </c>
      <c r="Q7" s="88">
        <v>-10800</v>
      </c>
    </row>
    <row r="8" spans="1:17">
      <c r="A8" s="47" t="s">
        <v>3</v>
      </c>
      <c r="B8" s="40">
        <v>4</v>
      </c>
      <c r="C8" s="33">
        <f>IF(B$2=0,0,B8/B$2)</f>
        <v>0.15384615384615385</v>
      </c>
      <c r="E8" s="55" t="s">
        <v>59</v>
      </c>
      <c r="F8" s="52" t="s">
        <v>23</v>
      </c>
      <c r="G8" s="40">
        <v>9</v>
      </c>
      <c r="H8" s="118">
        <f>IF(B$17=0,0,G8/B$17)</f>
        <v>0.2</v>
      </c>
      <c r="I8" s="80">
        <v>8</v>
      </c>
      <c r="K8" s="32">
        <v>6</v>
      </c>
      <c r="L8" s="85">
        <v>-199.10000000000002</v>
      </c>
      <c r="N8" s="100" t="s">
        <v>108</v>
      </c>
      <c r="O8" s="107">
        <f t="shared" si="0"/>
        <v>-214.28571428571428</v>
      </c>
      <c r="P8" s="104">
        <v>7</v>
      </c>
      <c r="Q8" s="88">
        <v>-1500</v>
      </c>
    </row>
    <row r="9" spans="1:17">
      <c r="A9" s="48" t="s">
        <v>4</v>
      </c>
      <c r="B9" s="41">
        <v>12</v>
      </c>
      <c r="C9" s="34">
        <f>IF(B$2=0,0,B9/B$2)</f>
        <v>0.46153846153846156</v>
      </c>
      <c r="E9" s="55" t="s">
        <v>182</v>
      </c>
      <c r="F9" s="52" t="s">
        <v>19</v>
      </c>
      <c r="G9" s="40">
        <v>5</v>
      </c>
      <c r="H9" s="118">
        <f>IF(B$17=0,0,G9/B$17)</f>
        <v>0.1111111111111111</v>
      </c>
      <c r="I9" s="80">
        <v>9</v>
      </c>
      <c r="K9" s="32">
        <v>7</v>
      </c>
      <c r="L9" s="85">
        <v>-223.60000000000002</v>
      </c>
      <c r="N9" s="101" t="s">
        <v>158</v>
      </c>
      <c r="O9" s="108">
        <f t="shared" si="0"/>
        <v>-500</v>
      </c>
      <c r="P9" s="105">
        <v>2</v>
      </c>
      <c r="Q9" s="89">
        <v>-1000</v>
      </c>
    </row>
    <row r="10" spans="1:17">
      <c r="A10" s="48" t="s">
        <v>152</v>
      </c>
      <c r="B10" s="41">
        <v>4</v>
      </c>
      <c r="C10" s="34">
        <f>IF(B$2=0,0,B10/B$2)</f>
        <v>0.15384615384615385</v>
      </c>
      <c r="E10" s="55" t="s">
        <v>57</v>
      </c>
      <c r="F10" s="52" t="s">
        <v>21</v>
      </c>
      <c r="G10" s="40">
        <v>4</v>
      </c>
      <c r="H10" s="118">
        <f>IF(B$17=0,0,G10/B$17)</f>
        <v>8.8888888888888892E-2</v>
      </c>
      <c r="I10" s="80">
        <v>18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0.38461538461538464</v>
      </c>
      <c r="E11" s="55" t="s">
        <v>74</v>
      </c>
      <c r="F11" s="52" t="s">
        <v>38</v>
      </c>
      <c r="G11" s="40">
        <v>3</v>
      </c>
      <c r="H11" s="118">
        <f>IF(B$17=0,0,G11/B$17)</f>
        <v>6.6666666666666666E-2</v>
      </c>
      <c r="I11" s="80">
        <v>3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7.6923076923076927E-2</v>
      </c>
      <c r="E12" s="55" t="s">
        <v>77</v>
      </c>
      <c r="F12" s="52" t="s">
        <v>41</v>
      </c>
      <c r="G12" s="40">
        <v>3</v>
      </c>
      <c r="H12" s="118">
        <f>IF(B$17=0,0,G12/B$17)</f>
        <v>6.6666666666666666E-2</v>
      </c>
      <c r="I12" s="80">
        <v>3</v>
      </c>
      <c r="K12" s="32">
        <v>10</v>
      </c>
      <c r="L12" s="85">
        <v>-239.90000000000003</v>
      </c>
      <c r="N12" s="99" t="s">
        <v>126</v>
      </c>
      <c r="O12" s="109">
        <f>IF(P12=0,0,Q12/P12)</f>
        <v>-30.700000000000003</v>
      </c>
      <c r="P12" s="103">
        <v>2</v>
      </c>
      <c r="Q12" s="91">
        <v>-61.400000000000006</v>
      </c>
    </row>
    <row r="13" spans="1:17">
      <c r="A13" s="50" t="s">
        <v>97</v>
      </c>
      <c r="B13" s="43">
        <v>44</v>
      </c>
      <c r="C13" s="38">
        <f>IF(B$3=0,0,B13/B$3)</f>
        <v>0.24444444444444444</v>
      </c>
      <c r="E13" s="55" t="s">
        <v>71</v>
      </c>
      <c r="F13" s="52" t="s">
        <v>35</v>
      </c>
      <c r="G13" s="40">
        <v>2</v>
      </c>
      <c r="H13" s="118">
        <f>IF(B$17=0,0,G13/B$17)</f>
        <v>4.4444444444444446E-2</v>
      </c>
      <c r="I13" s="80">
        <v>5</v>
      </c>
      <c r="K13" s="32">
        <v>11</v>
      </c>
      <c r="L13" s="85">
        <v>-300.00000000000006</v>
      </c>
      <c r="N13" s="100" t="s">
        <v>127</v>
      </c>
      <c r="O13" s="110">
        <f>IF(P13=0,0,Q13/P13)</f>
        <v>12.98</v>
      </c>
      <c r="P13" s="104">
        <v>5</v>
      </c>
      <c r="Q13" s="92">
        <v>64.900000000000006</v>
      </c>
    </row>
    <row r="14" spans="1:17">
      <c r="A14" s="47" t="s">
        <v>94</v>
      </c>
      <c r="B14" s="40">
        <v>47</v>
      </c>
      <c r="C14" s="33">
        <f>IF(B$3=0,0,B14/B$3)</f>
        <v>0.26111111111111113</v>
      </c>
      <c r="E14" s="55" t="s">
        <v>78</v>
      </c>
      <c r="F14" s="52" t="s">
        <v>42</v>
      </c>
      <c r="G14" s="40">
        <v>2</v>
      </c>
      <c r="H14" s="118">
        <f>IF(B$17=0,0,G14/B$17)</f>
        <v>4.4444444444444446E-2</v>
      </c>
      <c r="I14" s="80">
        <v>2</v>
      </c>
      <c r="K14" s="32">
        <v>12</v>
      </c>
      <c r="L14" s="85">
        <v>-290.00000000000006</v>
      </c>
      <c r="N14" s="100" t="s">
        <v>128</v>
      </c>
      <c r="O14" s="110">
        <f>IF(P14=0,0,Q14/P14)</f>
        <v>1.0571428571428565</v>
      </c>
      <c r="P14" s="104">
        <v>7</v>
      </c>
      <c r="Q14" s="92">
        <v>7.399999999999995</v>
      </c>
    </row>
    <row r="15" spans="1:17">
      <c r="A15" s="46" t="s">
        <v>99</v>
      </c>
      <c r="B15" s="39">
        <f>B21</f>
        <v>22</v>
      </c>
      <c r="C15" s="31">
        <f>IF(B$13=0,0,B15/B$13)</f>
        <v>0.5</v>
      </c>
      <c r="E15" s="55" t="s">
        <v>58</v>
      </c>
      <c r="F15" s="52" t="s">
        <v>22</v>
      </c>
      <c r="G15" s="40">
        <v>1</v>
      </c>
      <c r="H15" s="118">
        <f>IF(B$17=0,0,G15/B$17)</f>
        <v>2.2222222222222223E-2</v>
      </c>
      <c r="I15" s="80">
        <v>13</v>
      </c>
      <c r="K15" s="32">
        <v>13</v>
      </c>
      <c r="L15" s="85">
        <v>-302.70000000000005</v>
      </c>
      <c r="N15" s="101" t="s">
        <v>159</v>
      </c>
      <c r="O15" s="111">
        <f>IF(P15=0,0,Q15/P15)</f>
        <v>-5</v>
      </c>
      <c r="P15" s="105">
        <v>12</v>
      </c>
      <c r="Q15" s="93">
        <v>-60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62</v>
      </c>
      <c r="F16" s="52" t="s">
        <v>26</v>
      </c>
      <c r="G16" s="40">
        <v>1</v>
      </c>
      <c r="H16" s="118">
        <f>IF(B$17=0,0,G16/B$17)</f>
        <v>2.2222222222222223E-2</v>
      </c>
      <c r="I16" s="80">
        <v>2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45</v>
      </c>
      <c r="C17" s="31">
        <f>IF(B$3=0,0,B17/B$3)</f>
        <v>0.25</v>
      </c>
      <c r="E17" s="55" t="s">
        <v>66</v>
      </c>
      <c r="F17" s="52" t="s">
        <v>30</v>
      </c>
      <c r="G17" s="40">
        <v>1</v>
      </c>
      <c r="H17" s="118">
        <f>IF(B$17=0,0,G17/B$17)</f>
        <v>2.2222222222222223E-2</v>
      </c>
      <c r="I17" s="80">
        <v>3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24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1</v>
      </c>
      <c r="H18" s="118">
        <f>IF(B$17=0,0,G18/B$17)</f>
        <v>2.2222222222222223E-2</v>
      </c>
      <c r="I18" s="80">
        <v>8</v>
      </c>
      <c r="K18" s="32">
        <v>16</v>
      </c>
      <c r="L18" s="85">
        <v>-275</v>
      </c>
      <c r="N18" s="99" t="s">
        <v>235</v>
      </c>
      <c r="O18" s="109">
        <f>IF(P18=0,0,Q18/P18)</f>
        <v>108.74999999999999</v>
      </c>
      <c r="P18" s="103">
        <v>2</v>
      </c>
      <c r="Q18" s="91">
        <v>217.49999999999997</v>
      </c>
    </row>
    <row r="19" spans="1:17">
      <c r="A19" s="47" t="s">
        <v>12</v>
      </c>
      <c r="B19" s="40">
        <v>18</v>
      </c>
      <c r="C19" s="33">
        <f>IF(B$17=0,0,B19/B$17)</f>
        <v>0.4</v>
      </c>
      <c r="E19" s="55" t="s">
        <v>61</v>
      </c>
      <c r="F19" s="52" t="s">
        <v>25</v>
      </c>
      <c r="G19" s="40">
        <v>0</v>
      </c>
      <c r="H19" s="118">
        <f>IF(B$17=0,0,G19/B$17)</f>
        <v>0</v>
      </c>
      <c r="I19" s="80">
        <v>3</v>
      </c>
      <c r="K19" s="32">
        <v>17</v>
      </c>
      <c r="L19" s="85">
        <v>-298.60000000000002</v>
      </c>
      <c r="N19" s="100" t="s">
        <v>216</v>
      </c>
      <c r="O19" s="110">
        <f>IF(P19=0,0,Q19/P19)</f>
        <v>51.527272727272731</v>
      </c>
      <c r="P19" s="104">
        <v>11</v>
      </c>
      <c r="Q19" s="92">
        <v>566.80000000000007</v>
      </c>
    </row>
    <row r="20" spans="1:17">
      <c r="A20" s="47" t="s">
        <v>11</v>
      </c>
      <c r="B20" s="40">
        <v>27</v>
      </c>
      <c r="C20" s="33">
        <f>IF(B$17=0,0,B20/B$17)</f>
        <v>0.6</v>
      </c>
      <c r="E20" s="55" t="s">
        <v>63</v>
      </c>
      <c r="F20" s="52" t="s">
        <v>27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-245.20000000000002</v>
      </c>
      <c r="N20" s="100" t="s">
        <v>223</v>
      </c>
      <c r="O20" s="110">
        <f>IF(P20=0,0,Q20/P20)</f>
        <v>47.5</v>
      </c>
      <c r="P20" s="104">
        <v>2</v>
      </c>
      <c r="Q20" s="92">
        <v>95</v>
      </c>
    </row>
    <row r="21" spans="1:17">
      <c r="A21" s="47" t="s">
        <v>151</v>
      </c>
      <c r="B21" s="40">
        <v>22</v>
      </c>
      <c r="C21" s="33">
        <f>IF(B$17=0,0,B21/B$17)</f>
        <v>0.48888888888888887</v>
      </c>
      <c r="E21" s="55" t="s">
        <v>64</v>
      </c>
      <c r="F21" s="52" t="s">
        <v>28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-262.40000000000003</v>
      </c>
      <c r="N21" s="100" t="s">
        <v>208</v>
      </c>
      <c r="O21" s="110">
        <f>IF(P21=0,0,Q21/P21)</f>
        <v>45.5</v>
      </c>
      <c r="P21" s="104">
        <v>2</v>
      </c>
      <c r="Q21" s="92">
        <v>91</v>
      </c>
    </row>
    <row r="22" spans="1:17">
      <c r="A22" s="47" t="s">
        <v>149</v>
      </c>
      <c r="B22" s="40">
        <v>18</v>
      </c>
      <c r="C22" s="33">
        <f>IF(B$17=0,0,B22/B$17)</f>
        <v>0.4</v>
      </c>
      <c r="E22" s="55" t="s">
        <v>65</v>
      </c>
      <c r="F22" s="52" t="s">
        <v>29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-195.10000000000002</v>
      </c>
      <c r="N22" s="100" t="s">
        <v>215</v>
      </c>
      <c r="O22" s="110">
        <f>IF(P22=0,0,Q22/P22)</f>
        <v>24.4</v>
      </c>
      <c r="P22" s="104">
        <v>1</v>
      </c>
      <c r="Q22" s="92">
        <v>24.4</v>
      </c>
    </row>
    <row r="23" spans="1:17">
      <c r="A23" s="47" t="s">
        <v>150</v>
      </c>
      <c r="B23" s="40">
        <v>5</v>
      </c>
      <c r="C23" s="33">
        <f>IF(B$17=0,0,B23/B$17)</f>
        <v>0.1111111111111111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K23" s="32">
        <v>21</v>
      </c>
      <c r="L23" s="85">
        <v>-205.40000000000003</v>
      </c>
      <c r="N23" s="100" t="s">
        <v>203</v>
      </c>
      <c r="O23" s="110">
        <f>IF(P23=0,0,Q23/P23)</f>
        <v>20.5</v>
      </c>
      <c r="P23" s="104">
        <v>1</v>
      </c>
      <c r="Q23" s="92">
        <v>20.5</v>
      </c>
    </row>
    <row r="24" spans="1:17">
      <c r="A24" s="47" t="s">
        <v>5</v>
      </c>
      <c r="B24" s="44">
        <f>IF(B$17=0,0,C24/B$17)</f>
        <v>6071.1111111111113</v>
      </c>
      <c r="C24" s="35">
        <v>273200</v>
      </c>
      <c r="E24" s="55" t="s">
        <v>68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-249.60000000000002</v>
      </c>
      <c r="N24" s="100" t="s">
        <v>169</v>
      </c>
      <c r="O24" s="110">
        <f>IF(P24=0,0,Q24/P24)</f>
        <v>4.2812500000000044</v>
      </c>
      <c r="P24" s="104">
        <v>16</v>
      </c>
      <c r="Q24" s="92">
        <v>68.500000000000071</v>
      </c>
    </row>
    <row r="25" spans="1:17">
      <c r="A25" s="48" t="s">
        <v>133</v>
      </c>
      <c r="B25" s="121">
        <f>IF($B$17-B$16=0,0,C25/($B$17-B$16))</f>
        <v>7492.5925925925922</v>
      </c>
      <c r="C25" s="122">
        <v>202300</v>
      </c>
      <c r="E25" s="55" t="s">
        <v>69</v>
      </c>
      <c r="F25" s="52" t="s">
        <v>33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-280</v>
      </c>
      <c r="N25" s="100" t="s">
        <v>227</v>
      </c>
      <c r="O25" s="110">
        <f>IF(P25=0,0,Q25/P25)</f>
        <v>3.8000000000000029</v>
      </c>
      <c r="P25" s="104">
        <v>2</v>
      </c>
      <c r="Q25" s="92">
        <v>7.6000000000000059</v>
      </c>
    </row>
    <row r="26" spans="1:17">
      <c r="A26" s="48" t="s">
        <v>134</v>
      </c>
      <c r="B26" s="121">
        <f>IF(B$16=0,0,C26/B$16)</f>
        <v>3938.8888888888887</v>
      </c>
      <c r="C26" s="122">
        <v>70900</v>
      </c>
      <c r="E26" s="55" t="s">
        <v>70</v>
      </c>
      <c r="F26" s="52" t="s">
        <v>34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-195.8</v>
      </c>
      <c r="N26" s="100" t="s">
        <v>213</v>
      </c>
      <c r="O26" s="110">
        <f>IF(P26=0,0,Q26/P26)</f>
        <v>-8.4571428571428537</v>
      </c>
      <c r="P26" s="104">
        <v>7</v>
      </c>
      <c r="Q26" s="92">
        <v>-59.199999999999982</v>
      </c>
    </row>
    <row r="27" spans="1:17">
      <c r="A27" s="48" t="s">
        <v>132</v>
      </c>
      <c r="B27" s="121">
        <f>IF(B$18=0,0,C27/B$18)</f>
        <v>-6883.333333333333</v>
      </c>
      <c r="C27" s="122">
        <v>-165200</v>
      </c>
      <c r="E27" s="55" t="s">
        <v>72</v>
      </c>
      <c r="F27" s="52" t="s">
        <v>36</v>
      </c>
      <c r="G27" s="40">
        <v>0</v>
      </c>
      <c r="H27" s="118">
        <f>IF(B$17=0,0,G27/B$17)</f>
        <v>0</v>
      </c>
      <c r="I27" s="80">
        <v>4</v>
      </c>
      <c r="K27" s="32">
        <v>25</v>
      </c>
      <c r="L27" s="85">
        <v>-110.30000000000001</v>
      </c>
      <c r="N27" s="100" t="s">
        <v>164</v>
      </c>
      <c r="O27" s="110">
        <f>IF(P27=0,0,Q27/P27)</f>
        <v>-19.399999999999999</v>
      </c>
      <c r="P27" s="104">
        <v>4</v>
      </c>
      <c r="Q27" s="92">
        <v>-77.599999999999994</v>
      </c>
    </row>
    <row r="28" spans="1:17">
      <c r="A28" s="47" t="s">
        <v>130</v>
      </c>
      <c r="B28" s="40">
        <v>4</v>
      </c>
      <c r="C28" s="120">
        <v>0</v>
      </c>
      <c r="E28" s="55" t="s">
        <v>73</v>
      </c>
      <c r="F28" s="52" t="s">
        <v>37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-49.100000000000009</v>
      </c>
      <c r="N28" s="100" t="s">
        <v>228</v>
      </c>
      <c r="O28" s="110">
        <f>IF(P28=0,0,Q28/P28)</f>
        <v>-20.324999999999999</v>
      </c>
      <c r="P28" s="104">
        <v>4</v>
      </c>
      <c r="Q28" s="92">
        <v>-81.3</v>
      </c>
    </row>
    <row r="29" spans="1:17">
      <c r="A29" s="47" t="s">
        <v>131</v>
      </c>
      <c r="B29" s="40">
        <v>28</v>
      </c>
      <c r="C29" s="120">
        <v>28</v>
      </c>
      <c r="E29" s="55" t="s">
        <v>75</v>
      </c>
      <c r="F29" s="52" t="s">
        <v>39</v>
      </c>
      <c r="G29" s="40">
        <v>0</v>
      </c>
      <c r="H29" s="118">
        <f>IF(B$17=0,0,G29/B$17)</f>
        <v>0</v>
      </c>
      <c r="I29" s="80">
        <v>4</v>
      </c>
      <c r="N29" s="100" t="s">
        <v>161</v>
      </c>
      <c r="O29" s="110">
        <f>IF(P29=0,0,Q29/P29)</f>
        <v>-20.650000000000006</v>
      </c>
      <c r="P29" s="104">
        <v>2</v>
      </c>
      <c r="Q29" s="92">
        <v>-41.300000000000011</v>
      </c>
    </row>
    <row r="30" spans="1:17">
      <c r="A30" s="76" t="s">
        <v>111</v>
      </c>
      <c r="B30" s="168">
        <v>4</v>
      </c>
      <c r="C30" s="169"/>
      <c r="E30" s="55" t="s">
        <v>76</v>
      </c>
      <c r="F30" s="52" t="s">
        <v>40</v>
      </c>
      <c r="G30" s="40">
        <v>0</v>
      </c>
      <c r="H30" s="118">
        <f>IF(B$17=0,0,G30/B$17)</f>
        <v>0</v>
      </c>
      <c r="I30" s="80">
        <v>3</v>
      </c>
      <c r="N30" s="100" t="s">
        <v>168</v>
      </c>
      <c r="O30" s="110">
        <f>IF(P30=0,0,Q30/P30)</f>
        <v>-25.7</v>
      </c>
      <c r="P30" s="104">
        <v>7</v>
      </c>
      <c r="Q30" s="92">
        <v>-179.9</v>
      </c>
    </row>
    <row r="31" spans="1:17">
      <c r="A31" s="50" t="s">
        <v>148</v>
      </c>
      <c r="B31" s="170">
        <v>65500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>IF(P31=0,0,Q31/P31)</f>
        <v>-30.9</v>
      </c>
      <c r="P31" s="104">
        <v>1</v>
      </c>
      <c r="Q31" s="92">
        <v>-30.9</v>
      </c>
    </row>
    <row r="32" spans="1:17">
      <c r="A32" s="49" t="s">
        <v>112</v>
      </c>
      <c r="B32" s="57">
        <v>1</v>
      </c>
      <c r="C32" s="36">
        <f>IF(B$3=0,0,B32/B$3)</f>
        <v>5.5555555555555558E-3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179</v>
      </c>
      <c r="O32" s="110">
        <f>IF(P32=0,0,Q32/P32)</f>
        <v>-34.119999999999997</v>
      </c>
      <c r="P32" s="104">
        <v>5</v>
      </c>
      <c r="Q32" s="92">
        <v>-170.6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>IF(P33=0,0,Q33/P33)</f>
        <v>-43.699999999999996</v>
      </c>
      <c r="P33" s="104">
        <v>4</v>
      </c>
      <c r="Q33" s="92">
        <v>-174.79999999999998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191</v>
      </c>
      <c r="O34" s="110">
        <f>IF(P34=0,0,Q34/P34)</f>
        <v>-65.966666666666669</v>
      </c>
      <c r="P34" s="104">
        <v>3</v>
      </c>
      <c r="Q34" s="92">
        <v>-197.9</v>
      </c>
    </row>
    <row r="35" spans="1:17">
      <c r="A35" s="76" t="s">
        <v>139</v>
      </c>
      <c r="B35" s="136">
        <v>4</v>
      </c>
      <c r="C35" s="126">
        <f t="shared" ref="C35:C47" si="3">IF(B$17=0,0,B35/B$17)</f>
        <v>8.8888888888888892E-2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205</v>
      </c>
      <c r="O35" s="110">
        <f>IF(P35=0,0,Q35/P35)</f>
        <v>-66.05</v>
      </c>
      <c r="P35" s="104">
        <v>4</v>
      </c>
      <c r="Q35" s="92">
        <v>-264.2</v>
      </c>
    </row>
    <row r="36" spans="1:17">
      <c r="A36" s="47" t="s">
        <v>135</v>
      </c>
      <c r="B36" s="40">
        <v>13</v>
      </c>
      <c r="C36" s="33">
        <f t="shared" si="3"/>
        <v>0.28888888888888886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12</v>
      </c>
      <c r="C37" s="33">
        <f t="shared" si="3"/>
        <v>0.26666666666666666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3</v>
      </c>
      <c r="C38" s="33">
        <f t="shared" si="3"/>
        <v>6.6666666666666666E-2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7</v>
      </c>
      <c r="C39" s="33">
        <f t="shared" si="3"/>
        <v>0.15555555555555556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3"/>
        <v>8.8888888888888892E-2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2</v>
      </c>
      <c r="C41" s="33">
        <f t="shared" si="3"/>
        <v>4.4444444444444446E-2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196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</v>
      </c>
      <c r="C2" s="175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76">
        <v>8</v>
      </c>
      <c r="C3" s="17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24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78">
        <v>-27.1</v>
      </c>
      <c r="C4" s="17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80">
        <f>IF(B$2=0,0,B$4/B$2)</f>
        <v>-27.1</v>
      </c>
      <c r="C5" s="18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21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82">
        <f>IF(B$2=0,0,(B$7*1+B$8*2+B$9*3+B$10*4)/B$2)</f>
        <v>3</v>
      </c>
      <c r="C6" s="18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12900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203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5</v>
      </c>
      <c r="C2" s="17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76">
        <v>43</v>
      </c>
      <c r="C3" s="177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78">
        <v>-161.39999999999998</v>
      </c>
      <c r="C4" s="179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2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80">
        <f>IF(B$2=0,0,B$4/B$2)</f>
        <v>-32.279999999999994</v>
      </c>
      <c r="C5" s="181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7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82">
        <f>IF(B$2=0,0,(B$7*1+B$8*2+B$9*3+B$10*4)/B$2)</f>
        <v>3.4</v>
      </c>
      <c r="C6" s="183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8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4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19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19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2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25000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202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76">
        <v>17</v>
      </c>
      <c r="C3" s="17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24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78">
        <v>-105.9</v>
      </c>
      <c r="C4" s="17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17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80">
        <f>IF(B$2=0,0,B$4/B$2)</f>
        <v>-52.95</v>
      </c>
      <c r="C5" s="18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21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82">
        <f>IF(B$2=0,0,(B$7*1+B$8*2+B$9*3+B$10*4)/B$2)</f>
        <v>4</v>
      </c>
      <c r="C6" s="18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13500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205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4</v>
      </c>
      <c r="C2" s="175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76">
        <v>28</v>
      </c>
      <c r="C3" s="177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11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78">
        <v>141.1</v>
      </c>
      <c r="C4" s="179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15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80">
        <f>IF(B$2=0,0,B$4/B$2)</f>
        <v>35.274999999999999</v>
      </c>
      <c r="C5" s="181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8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82">
        <f>IF(B$2=0,0,(B$7*1+B$8*2+B$9*3+B$10*4)/B$2)</f>
        <v>1.75</v>
      </c>
      <c r="C6" s="183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6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7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17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23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5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6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10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8">
        <v>3</v>
      </c>
      <c r="C30" s="16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70">
        <v>57200</v>
      </c>
      <c r="C31" s="171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5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208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3</v>
      </c>
      <c r="C2" s="17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76">
        <v>23</v>
      </c>
      <c r="C3" s="17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78">
        <v>-132.69999999999999</v>
      </c>
      <c r="C4" s="17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21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80">
        <f>IF(B$2=0,0,B$4/B$2)</f>
        <v>-44.233333333333327</v>
      </c>
      <c r="C5" s="18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82">
        <f>IF(B$2=0,0,(B$7*1+B$8*2+B$9*3+B$10*4)/B$2)</f>
        <v>3.6666666666666665</v>
      </c>
      <c r="C6" s="18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24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10700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213</v>
      </c>
      <c r="C1" s="17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9</v>
      </c>
      <c r="C2" s="175"/>
      <c r="E2" s="54" t="s">
        <v>181</v>
      </c>
      <c r="F2" s="51" t="s">
        <v>156</v>
      </c>
      <c r="G2" s="39">
        <v>4</v>
      </c>
      <c r="H2" s="117">
        <f>IF(B$17=0,0,G2/B$17)</f>
        <v>0.66666666666666663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1266.6666666666667</v>
      </c>
      <c r="P2" s="103">
        <v>9</v>
      </c>
      <c r="Q2" s="87">
        <v>11400</v>
      </c>
    </row>
    <row r="3" spans="1:17">
      <c r="A3" s="47" t="s">
        <v>8</v>
      </c>
      <c r="B3" s="176">
        <v>49</v>
      </c>
      <c r="C3" s="177"/>
      <c r="E3" s="55" t="s">
        <v>54</v>
      </c>
      <c r="F3" s="52" t="s">
        <v>20</v>
      </c>
      <c r="G3" s="40">
        <v>4</v>
      </c>
      <c r="H3" s="118">
        <f>IF(B$17=0,0,G3/B$17)</f>
        <v>0.66666666666666663</v>
      </c>
      <c r="I3" s="80">
        <v>7</v>
      </c>
      <c r="K3" s="32">
        <v>1</v>
      </c>
      <c r="L3" s="85">
        <v>-19.5</v>
      </c>
      <c r="N3" s="100" t="s">
        <v>104</v>
      </c>
      <c r="O3" s="107">
        <f t="shared" si="0"/>
        <v>-711.11111111111109</v>
      </c>
      <c r="P3" s="104">
        <v>9</v>
      </c>
      <c r="Q3" s="88">
        <v>-6400</v>
      </c>
    </row>
    <row r="4" spans="1:17">
      <c r="A4" s="47" t="s">
        <v>6</v>
      </c>
      <c r="B4" s="178">
        <v>-99.300000000000011</v>
      </c>
      <c r="C4" s="179"/>
      <c r="E4" s="55" t="s">
        <v>57</v>
      </c>
      <c r="F4" s="52" t="s">
        <v>21</v>
      </c>
      <c r="G4" s="40">
        <v>4</v>
      </c>
      <c r="H4" s="118">
        <f>IF(B$17=0,0,G4/B$17)</f>
        <v>0.66666666666666663</v>
      </c>
      <c r="I4" s="80">
        <v>1</v>
      </c>
      <c r="K4" s="32">
        <v>2</v>
      </c>
      <c r="L4" s="85">
        <v>-12.1</v>
      </c>
      <c r="N4" s="100" t="s">
        <v>105</v>
      </c>
      <c r="O4" s="107">
        <f t="shared" si="0"/>
        <v>-1488.8888888888889</v>
      </c>
      <c r="P4" s="104">
        <v>9</v>
      </c>
      <c r="Q4" s="88">
        <v>-13400</v>
      </c>
    </row>
    <row r="5" spans="1:17">
      <c r="A5" s="47" t="s">
        <v>7</v>
      </c>
      <c r="B5" s="180">
        <f>IF(B$2=0,0,B$4/B$2)</f>
        <v>-11.033333333333335</v>
      </c>
      <c r="C5" s="181"/>
      <c r="E5" s="55" t="s">
        <v>56</v>
      </c>
      <c r="F5" s="52" t="s">
        <v>185</v>
      </c>
      <c r="G5" s="40">
        <v>3</v>
      </c>
      <c r="H5" s="118">
        <f>IF(B$17=0,0,G5/B$17)</f>
        <v>0.5</v>
      </c>
      <c r="I5" s="80">
        <v>2</v>
      </c>
      <c r="K5" s="32">
        <v>3</v>
      </c>
      <c r="L5" s="85">
        <v>-2.5999999999999996</v>
      </c>
      <c r="N5" s="100" t="s">
        <v>157</v>
      </c>
      <c r="O5" s="107">
        <f>IF(P5=0,0,Q5/P5)</f>
        <v>-1875</v>
      </c>
      <c r="P5" s="104">
        <v>8</v>
      </c>
      <c r="Q5" s="88">
        <v>-15000</v>
      </c>
    </row>
    <row r="6" spans="1:17">
      <c r="A6" s="47" t="s">
        <v>1</v>
      </c>
      <c r="B6" s="182">
        <f>IF(B$2=0,0,(B$7*1+B$8*2+B$9*3+B$10*4)/B$2)</f>
        <v>2.6666666666666665</v>
      </c>
      <c r="C6" s="183"/>
      <c r="E6" s="55" t="s">
        <v>184</v>
      </c>
      <c r="F6" s="52" t="s">
        <v>187</v>
      </c>
      <c r="G6" s="40">
        <v>3</v>
      </c>
      <c r="H6" s="118">
        <f>IF(B$17=0,0,G6/B$17)</f>
        <v>0.5</v>
      </c>
      <c r="I6" s="80">
        <v>8</v>
      </c>
      <c r="K6" s="32">
        <v>4</v>
      </c>
      <c r="L6" s="85">
        <v>0</v>
      </c>
      <c r="N6" s="100" t="s">
        <v>106</v>
      </c>
      <c r="O6" s="107">
        <f t="shared" ref="O6" si="1">IF(P6=0,0,Q6/P6)</f>
        <v>-300</v>
      </c>
      <c r="P6" s="104">
        <v>3</v>
      </c>
      <c r="Q6" s="88">
        <v>-900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2</v>
      </c>
      <c r="H7" s="118">
        <f>IF(B$17=0,0,G7/B$17)</f>
        <v>0.33333333333333331</v>
      </c>
      <c r="I7" s="80">
        <v>7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5</v>
      </c>
      <c r="C8" s="33">
        <f>IF(B$2=0,0,B8/B$2)</f>
        <v>0.55555555555555558</v>
      </c>
      <c r="E8" s="55" t="s">
        <v>59</v>
      </c>
      <c r="F8" s="52" t="s">
        <v>23</v>
      </c>
      <c r="G8" s="40">
        <v>2</v>
      </c>
      <c r="H8" s="118">
        <f>IF(B$17=0,0,G8/B$17)</f>
        <v>0.33333333333333331</v>
      </c>
      <c r="I8" s="80">
        <v>3</v>
      </c>
      <c r="K8" s="32">
        <v>6</v>
      </c>
      <c r="L8" s="85">
        <v>-98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60</v>
      </c>
      <c r="F9" s="52" t="s">
        <v>24</v>
      </c>
      <c r="G9" s="40">
        <v>2</v>
      </c>
      <c r="H9" s="118">
        <f>IF(B$17=0,0,G9/B$17)</f>
        <v>0.33333333333333331</v>
      </c>
      <c r="I9" s="80">
        <v>17</v>
      </c>
      <c r="K9" s="32">
        <v>7</v>
      </c>
      <c r="L9" s="85">
        <v>-93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1</v>
      </c>
      <c r="H10" s="118">
        <f>IF(B$17=0,0,G10/B$17)</f>
        <v>0.16666666666666666</v>
      </c>
      <c r="I10" s="80">
        <v>1</v>
      </c>
      <c r="K10" s="32">
        <v>8</v>
      </c>
      <c r="L10" s="85">
        <v>-78.2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0.55555555555555558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17</v>
      </c>
      <c r="K11" s="32">
        <v>9</v>
      </c>
      <c r="L11" s="85">
        <v>-99.300000000000011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10</v>
      </c>
      <c r="C13" s="38">
        <f>IF(B$3=0,0,B13/B$3)</f>
        <v>0.20408163265306123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-13.466666666666667</v>
      </c>
      <c r="P13" s="104">
        <v>3</v>
      </c>
      <c r="Q13" s="92">
        <v>-40.4</v>
      </c>
    </row>
    <row r="14" spans="1:17">
      <c r="A14" s="47" t="s">
        <v>94</v>
      </c>
      <c r="B14" s="40">
        <v>2</v>
      </c>
      <c r="C14" s="33">
        <f>IF(B$3=0,0,B14/B$3)</f>
        <v>4.0816326530612242E-2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-20.25</v>
      </c>
      <c r="P14" s="104">
        <v>2</v>
      </c>
      <c r="Q14" s="92">
        <v>-40.5</v>
      </c>
    </row>
    <row r="15" spans="1:17">
      <c r="A15" s="46" t="s">
        <v>99</v>
      </c>
      <c r="B15" s="39">
        <f>B21</f>
        <v>4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-8.6</v>
      </c>
      <c r="P15" s="105">
        <v>3</v>
      </c>
      <c r="Q15" s="93">
        <v>-25.8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0.12244897959183673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6</v>
      </c>
      <c r="C18" s="33">
        <f>IF(B$3=0,0,B18/B$3)</f>
        <v>0.12244897959183673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227</v>
      </c>
      <c r="O18" s="109">
        <f t="shared" ref="O18:O25" si="3">IF(P18=0,0,Q18/P18)</f>
        <v>27.900000000000002</v>
      </c>
      <c r="P18" s="103">
        <v>2</v>
      </c>
      <c r="Q18" s="91">
        <v>55.800000000000004</v>
      </c>
    </row>
    <row r="19" spans="1:17">
      <c r="A19" s="47" t="s">
        <v>12</v>
      </c>
      <c r="B19" s="40">
        <v>3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216</v>
      </c>
      <c r="O19" s="110">
        <f t="shared" si="3"/>
        <v>9.2750000000000004</v>
      </c>
      <c r="P19" s="104">
        <v>4</v>
      </c>
      <c r="Q19" s="92">
        <v>37.1</v>
      </c>
    </row>
    <row r="20" spans="1:17">
      <c r="A20" s="47" t="s">
        <v>11</v>
      </c>
      <c r="B20" s="40">
        <v>3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8.4571428571428537</v>
      </c>
      <c r="P20" s="104">
        <v>7</v>
      </c>
      <c r="Q20" s="92">
        <v>59.199999999999982</v>
      </c>
    </row>
    <row r="21" spans="1:17">
      <c r="A21" s="47" t="s">
        <v>151</v>
      </c>
      <c r="B21" s="40">
        <v>4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223</v>
      </c>
      <c r="O21" s="110">
        <f t="shared" si="3"/>
        <v>-5.25</v>
      </c>
      <c r="P21" s="104">
        <v>2</v>
      </c>
      <c r="Q21" s="92">
        <v>-10.5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161</v>
      </c>
      <c r="O22" s="110">
        <f t="shared" si="3"/>
        <v>-32.56666666666667</v>
      </c>
      <c r="P22" s="104">
        <v>3</v>
      </c>
      <c r="Q22" s="92">
        <v>-97.7</v>
      </c>
    </row>
    <row r="23" spans="1:17">
      <c r="A23" s="47" t="s">
        <v>150</v>
      </c>
      <c r="B23" s="40">
        <v>2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-37.4</v>
      </c>
      <c r="P23" s="104">
        <v>6</v>
      </c>
      <c r="Q23" s="92">
        <v>-224.39999999999998</v>
      </c>
    </row>
    <row r="24" spans="1:17">
      <c r="A24" s="47" t="s">
        <v>5</v>
      </c>
      <c r="B24" s="44">
        <f>IF(B$17=0,0,C24/B$17)</f>
        <v>7300</v>
      </c>
      <c r="C24" s="35">
        <v>43800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228</v>
      </c>
      <c r="O24" s="110">
        <f t="shared" si="3"/>
        <v>-64.599999999999994</v>
      </c>
      <c r="P24" s="104">
        <v>2</v>
      </c>
      <c r="Q24" s="92">
        <v>-129.19999999999999</v>
      </c>
    </row>
    <row r="25" spans="1:17">
      <c r="A25" s="48" t="s">
        <v>133</v>
      </c>
      <c r="B25" s="121">
        <f>IF($B$17-B$16=0,0,C25/($B$17-B$16))</f>
        <v>7300</v>
      </c>
      <c r="C25" s="122">
        <v>43800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 t="shared" si="3"/>
        <v>-87.5</v>
      </c>
      <c r="P25" s="104">
        <v>1</v>
      </c>
      <c r="Q25" s="92">
        <v>-87.5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-5966.666666666667</v>
      </c>
      <c r="C27" s="122">
        <v>-35800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2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34800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3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215</v>
      </c>
      <c r="C1" s="17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</v>
      </c>
      <c r="C2" s="175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76">
        <v>6</v>
      </c>
      <c r="C3" s="17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24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78">
        <v>-14.4</v>
      </c>
      <c r="C4" s="17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80">
        <f>IF(B$2=0,0,B$4/B$2)</f>
        <v>-14.4</v>
      </c>
      <c r="C5" s="18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21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82">
        <f>IF(B$2=0,0,(B$7*1+B$8*2+B$9*3+B$10*4)/B$2)</f>
        <v>3</v>
      </c>
      <c r="C6" s="18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25600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216</v>
      </c>
      <c r="C1" s="17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15</v>
      </c>
      <c r="C2" s="175"/>
      <c r="E2" s="54" t="s">
        <v>184</v>
      </c>
      <c r="F2" s="51" t="s">
        <v>187</v>
      </c>
      <c r="G2" s="39">
        <v>10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220</v>
      </c>
      <c r="P2" s="103">
        <v>15</v>
      </c>
      <c r="Q2" s="87">
        <v>3300</v>
      </c>
    </row>
    <row r="3" spans="1:17">
      <c r="A3" s="47" t="s">
        <v>8</v>
      </c>
      <c r="B3" s="176">
        <v>96</v>
      </c>
      <c r="C3" s="177"/>
      <c r="E3" s="55" t="s">
        <v>181</v>
      </c>
      <c r="F3" s="52" t="s">
        <v>156</v>
      </c>
      <c r="G3" s="40">
        <v>8</v>
      </c>
      <c r="H3" s="118">
        <f>IF(B$17=0,0,G3/B$17)</f>
        <v>0.8</v>
      </c>
      <c r="I3" s="80">
        <v>4</v>
      </c>
      <c r="K3" s="32">
        <v>1</v>
      </c>
      <c r="L3" s="85">
        <v>-47.6</v>
      </c>
      <c r="N3" s="100" t="s">
        <v>104</v>
      </c>
      <c r="O3" s="107">
        <f t="shared" si="0"/>
        <v>-473.33333333333331</v>
      </c>
      <c r="P3" s="104">
        <v>15</v>
      </c>
      <c r="Q3" s="88">
        <v>-7100</v>
      </c>
    </row>
    <row r="4" spans="1:17">
      <c r="A4" s="47" t="s">
        <v>6</v>
      </c>
      <c r="B4" s="178">
        <v>-332.4</v>
      </c>
      <c r="C4" s="179"/>
      <c r="E4" s="55" t="s">
        <v>55</v>
      </c>
      <c r="F4" s="52" t="s">
        <v>155</v>
      </c>
      <c r="G4" s="40">
        <v>6</v>
      </c>
      <c r="H4" s="118">
        <f>IF(B$17=0,0,G4/B$17)</f>
        <v>0.6</v>
      </c>
      <c r="I4" s="80">
        <v>3</v>
      </c>
      <c r="K4" s="32">
        <v>2</v>
      </c>
      <c r="L4" s="85">
        <v>-102</v>
      </c>
      <c r="N4" s="100" t="s">
        <v>105</v>
      </c>
      <c r="O4" s="107">
        <f t="shared" si="0"/>
        <v>-4220</v>
      </c>
      <c r="P4" s="104">
        <v>15</v>
      </c>
      <c r="Q4" s="88">
        <v>-63300</v>
      </c>
    </row>
    <row r="5" spans="1:17">
      <c r="A5" s="47" t="s">
        <v>7</v>
      </c>
      <c r="B5" s="180">
        <f>IF(B$2=0,0,B$4/B$2)</f>
        <v>-22.16</v>
      </c>
      <c r="C5" s="181"/>
      <c r="E5" s="55" t="s">
        <v>54</v>
      </c>
      <c r="F5" s="52" t="s">
        <v>20</v>
      </c>
      <c r="G5" s="40">
        <v>3</v>
      </c>
      <c r="H5" s="118">
        <f>IF(B$17=0,0,G5/B$17)</f>
        <v>0.3</v>
      </c>
      <c r="I5" s="80">
        <v>17</v>
      </c>
      <c r="K5" s="32">
        <v>3</v>
      </c>
      <c r="L5" s="85">
        <v>-97.3</v>
      </c>
      <c r="N5" s="100" t="s">
        <v>157</v>
      </c>
      <c r="O5" s="107">
        <f>IF(P5=0,0,Q5/P5)</f>
        <v>-1675</v>
      </c>
      <c r="P5" s="104">
        <v>12</v>
      </c>
      <c r="Q5" s="88">
        <v>-20100</v>
      </c>
    </row>
    <row r="6" spans="1:17">
      <c r="A6" s="47" t="s">
        <v>1</v>
      </c>
      <c r="B6" s="182">
        <f>IF(B$2=0,0,(B$7*1+B$8*2+B$9*3+B$10*4)/B$2)</f>
        <v>3</v>
      </c>
      <c r="C6" s="183"/>
      <c r="E6" s="55" t="s">
        <v>56</v>
      </c>
      <c r="F6" s="52" t="s">
        <v>185</v>
      </c>
      <c r="G6" s="40">
        <v>3</v>
      </c>
      <c r="H6" s="118">
        <f>IF(B$17=0,0,G6/B$17)</f>
        <v>0.3</v>
      </c>
      <c r="I6" s="80">
        <v>10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-3585.7142857142858</v>
      </c>
      <c r="P6" s="104">
        <v>7</v>
      </c>
      <c r="Q6" s="88">
        <v>-25100</v>
      </c>
    </row>
    <row r="7" spans="1:17">
      <c r="A7" s="47" t="s">
        <v>2</v>
      </c>
      <c r="B7" s="40">
        <v>1</v>
      </c>
      <c r="C7" s="33">
        <f t="shared" ref="C7:C12" si="2">IF(B$2=0,0,B7/B$2)</f>
        <v>6.6666666666666666E-2</v>
      </c>
      <c r="E7" s="55" t="s">
        <v>57</v>
      </c>
      <c r="F7" s="52" t="s">
        <v>21</v>
      </c>
      <c r="G7" s="40">
        <v>3</v>
      </c>
      <c r="H7" s="118">
        <f>IF(B$17=0,0,G7/B$17)</f>
        <v>0.3</v>
      </c>
      <c r="I7" s="80">
        <v>8</v>
      </c>
      <c r="K7" s="32">
        <v>5</v>
      </c>
      <c r="L7" s="85">
        <v>-133.4</v>
      </c>
      <c r="N7" s="100" t="s">
        <v>107</v>
      </c>
      <c r="O7" s="107">
        <f t="shared" si="0"/>
        <v>-3525</v>
      </c>
      <c r="P7" s="104">
        <v>4</v>
      </c>
      <c r="Q7" s="88">
        <v>-14100</v>
      </c>
    </row>
    <row r="8" spans="1:17">
      <c r="A8" s="47" t="s">
        <v>3</v>
      </c>
      <c r="B8" s="40">
        <v>4</v>
      </c>
      <c r="C8" s="33">
        <f>IF(B$2=0,0,B8/B$2)</f>
        <v>0.26666666666666666</v>
      </c>
      <c r="E8" s="55" t="s">
        <v>59</v>
      </c>
      <c r="F8" s="52" t="s">
        <v>23</v>
      </c>
      <c r="G8" s="40">
        <v>2</v>
      </c>
      <c r="H8" s="118">
        <f>IF(B$17=0,0,G8/B$17)</f>
        <v>0.2</v>
      </c>
      <c r="I8" s="80">
        <v>8</v>
      </c>
      <c r="K8" s="32">
        <v>6</v>
      </c>
      <c r="L8" s="85">
        <v>-76.900000000000006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4</v>
      </c>
      <c r="C9" s="34">
        <f>IF(B$2=0,0,B9/B$2)</f>
        <v>0.26666666666666666</v>
      </c>
      <c r="E9" s="55" t="s">
        <v>60</v>
      </c>
      <c r="F9" s="52" t="s">
        <v>24</v>
      </c>
      <c r="G9" s="40">
        <v>2</v>
      </c>
      <c r="H9" s="118">
        <f>IF(B$17=0,0,G9/B$17)</f>
        <v>0.2</v>
      </c>
      <c r="I9" s="80">
        <v>21</v>
      </c>
      <c r="K9" s="32">
        <v>7</v>
      </c>
      <c r="L9" s="85">
        <v>-101.5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6</v>
      </c>
      <c r="C10" s="34">
        <f>IF(B$2=0,0,B10/B$2)</f>
        <v>0.4</v>
      </c>
      <c r="E10" s="55" t="s">
        <v>182</v>
      </c>
      <c r="F10" s="52" t="s">
        <v>19</v>
      </c>
      <c r="G10" s="40">
        <v>1</v>
      </c>
      <c r="H10" s="118">
        <f>IF(B$17=0,0,G10/B$17)</f>
        <v>0.1</v>
      </c>
      <c r="I10" s="80">
        <v>11</v>
      </c>
      <c r="K10" s="32">
        <v>8</v>
      </c>
      <c r="L10" s="85">
        <v>-123.6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0.33333333333333331</v>
      </c>
      <c r="E11" s="55" t="s">
        <v>58</v>
      </c>
      <c r="F11" s="52" t="s">
        <v>22</v>
      </c>
      <c r="G11" s="40">
        <v>1</v>
      </c>
      <c r="H11" s="118">
        <f>IF(B$17=0,0,G11/B$17)</f>
        <v>0.1</v>
      </c>
      <c r="I11" s="80">
        <v>5</v>
      </c>
      <c r="K11" s="32">
        <v>9</v>
      </c>
      <c r="L11" s="85">
        <v>-192.89999999999998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K12" s="32">
        <v>10</v>
      </c>
      <c r="L12" s="85">
        <v>-213.49999999999997</v>
      </c>
      <c r="N12" s="99" t="s">
        <v>126</v>
      </c>
      <c r="O12" s="109">
        <f>IF(P12=0,0,Q12/P12)</f>
        <v>-35.940000000000005</v>
      </c>
      <c r="P12" s="103">
        <v>5</v>
      </c>
      <c r="Q12" s="91">
        <v>-179.70000000000002</v>
      </c>
    </row>
    <row r="13" spans="1:17">
      <c r="A13" s="50" t="s">
        <v>97</v>
      </c>
      <c r="B13" s="43">
        <v>18</v>
      </c>
      <c r="C13" s="38">
        <f>IF(B$3=0,0,B13/B$3)</f>
        <v>0.1875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K13" s="32">
        <v>11</v>
      </c>
      <c r="L13" s="85">
        <v>-208.09999999999997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6</v>
      </c>
      <c r="C14" s="33">
        <f>IF(B$3=0,0,B14/B$3)</f>
        <v>6.25E-2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K14" s="32">
        <v>12</v>
      </c>
      <c r="L14" s="85">
        <v>-265.09999999999997</v>
      </c>
      <c r="N14" s="100" t="s">
        <v>128</v>
      </c>
      <c r="O14" s="110">
        <f>IF(P14=0,0,Q14/P14)</f>
        <v>-3.7999999999999985</v>
      </c>
      <c r="P14" s="104">
        <v>5</v>
      </c>
      <c r="Q14" s="92">
        <v>-18.999999999999993</v>
      </c>
    </row>
    <row r="15" spans="1:17">
      <c r="A15" s="46" t="s">
        <v>99</v>
      </c>
      <c r="B15" s="39">
        <f>B21</f>
        <v>8</v>
      </c>
      <c r="C15" s="31">
        <f>IF(B$13=0,0,B15/B$13)</f>
        <v>0.44444444444444442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K15" s="32">
        <v>13</v>
      </c>
      <c r="L15" s="85">
        <v>-253.39999999999998</v>
      </c>
      <c r="N15" s="101" t="s">
        <v>159</v>
      </c>
      <c r="O15" s="111">
        <f>IF(P15=0,0,Q15/P15)</f>
        <v>-19.825000000000003</v>
      </c>
      <c r="P15" s="105">
        <v>4</v>
      </c>
      <c r="Q15" s="93">
        <v>-79.300000000000011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-282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10</v>
      </c>
      <c r="C17" s="31">
        <f>IF(B$3=0,0,B17/B$3)</f>
        <v>0.10416666666666667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K17" s="32">
        <v>15</v>
      </c>
      <c r="L17" s="85">
        <v>-332.4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17</v>
      </c>
      <c r="C18" s="33">
        <f>IF(B$3=0,0,B18/B$3)</f>
        <v>0.17708333333333334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228</v>
      </c>
      <c r="O18" s="109">
        <f>IF(P18=0,0,Q18/P18)</f>
        <v>19.174999999999997</v>
      </c>
      <c r="P18" s="103">
        <v>4</v>
      </c>
      <c r="Q18" s="91">
        <v>76.699999999999989</v>
      </c>
    </row>
    <row r="19" spans="1:17">
      <c r="A19" s="47" t="s">
        <v>12</v>
      </c>
      <c r="B19" s="40">
        <v>4</v>
      </c>
      <c r="C19" s="33">
        <f>IF(B$17=0,0,B19/B$17)</f>
        <v>0.4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223</v>
      </c>
      <c r="O19" s="110">
        <f>IF(P19=0,0,Q19/P19)</f>
        <v>3.2500000000000036</v>
      </c>
      <c r="P19" s="104">
        <v>4</v>
      </c>
      <c r="Q19" s="92">
        <v>13.000000000000014</v>
      </c>
    </row>
    <row r="20" spans="1:17">
      <c r="A20" s="47" t="s">
        <v>11</v>
      </c>
      <c r="B20" s="40">
        <v>6</v>
      </c>
      <c r="C20" s="33">
        <f>IF(B$17=0,0,B20/B$17)</f>
        <v>0.6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235</v>
      </c>
      <c r="O20" s="110">
        <f>IF(P20=0,0,Q20/P20)</f>
        <v>-4.0999999999999979</v>
      </c>
      <c r="P20" s="104">
        <v>2</v>
      </c>
      <c r="Q20" s="92">
        <v>-8.1999999999999957</v>
      </c>
    </row>
    <row r="21" spans="1:17">
      <c r="A21" s="47" t="s">
        <v>151</v>
      </c>
      <c r="B21" s="40">
        <v>8</v>
      </c>
      <c r="C21" s="33">
        <f>IF(B$17=0,0,B21/B$17)</f>
        <v>0.8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227</v>
      </c>
      <c r="O21" s="110">
        <f>IF(P21=0,0,Q21/P21)</f>
        <v>-6.4</v>
      </c>
      <c r="P21" s="104">
        <v>2</v>
      </c>
      <c r="Q21" s="92">
        <v>-12.8</v>
      </c>
    </row>
    <row r="22" spans="1:17">
      <c r="A22" s="47" t="s">
        <v>149</v>
      </c>
      <c r="B22" s="40">
        <v>2</v>
      </c>
      <c r="C22" s="33">
        <f>IF(B$17=0,0,B22/B$17)</f>
        <v>0.2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213</v>
      </c>
      <c r="O22" s="110">
        <f>IF(P22=0,0,Q22/P22)</f>
        <v>-9.2750000000000004</v>
      </c>
      <c r="P22" s="104">
        <v>4</v>
      </c>
      <c r="Q22" s="92">
        <v>-37.1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215</v>
      </c>
      <c r="O23" s="110">
        <f>IF(P23=0,0,Q23/P23)</f>
        <v>-33.200000000000003</v>
      </c>
      <c r="P23" s="104">
        <v>1</v>
      </c>
      <c r="Q23" s="92">
        <v>-33.200000000000003</v>
      </c>
    </row>
    <row r="24" spans="1:17">
      <c r="A24" s="47" t="s">
        <v>5</v>
      </c>
      <c r="B24" s="44">
        <f>IF(B$17=0,0,C24/B$17)</f>
        <v>7970</v>
      </c>
      <c r="C24" s="35">
        <v>79700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162</v>
      </c>
      <c r="O24" s="110">
        <f>IF(P24=0,0,Q24/P24)</f>
        <v>-33.950000000000003</v>
      </c>
      <c r="P24" s="104">
        <v>2</v>
      </c>
      <c r="Q24" s="92">
        <v>-67.900000000000006</v>
      </c>
    </row>
    <row r="25" spans="1:17">
      <c r="A25" s="48" t="s">
        <v>133</v>
      </c>
      <c r="B25" s="121">
        <f>IF($B$17-B$16=0,0,C25/($B$17-B$16))</f>
        <v>8212.5</v>
      </c>
      <c r="C25" s="122">
        <v>65700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>IF(P25=0,0,Q25/P25)</f>
        <v>-39.808333333333337</v>
      </c>
      <c r="P25" s="104">
        <v>12</v>
      </c>
      <c r="Q25" s="92">
        <v>-477.70000000000005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  <c r="N26" s="100" t="s">
        <v>195</v>
      </c>
      <c r="O26" s="110">
        <f>IF(P26=0,0,Q26/P26)</f>
        <v>-51.527272727272731</v>
      </c>
      <c r="P26" s="104">
        <v>11</v>
      </c>
      <c r="Q26" s="92">
        <v>-566.80000000000007</v>
      </c>
    </row>
    <row r="27" spans="1:17">
      <c r="A27" s="48" t="s">
        <v>132</v>
      </c>
      <c r="B27" s="121">
        <f>IF(B$18=0,0,C27/B$18)</f>
        <v>-7882.3529411764703</v>
      </c>
      <c r="C27" s="122">
        <v>-134000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231</v>
      </c>
      <c r="O27" s="110">
        <f>IF(P27=0,0,Q27/P27)</f>
        <v>-63.85</v>
      </c>
      <c r="P27" s="104">
        <v>2</v>
      </c>
      <c r="Q27" s="92">
        <v>-127.7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161</v>
      </c>
      <c r="O28" s="110">
        <f>IF(P28=0,0,Q28/P28)</f>
        <v>-87.9</v>
      </c>
      <c r="P28" s="104">
        <v>1</v>
      </c>
      <c r="Q28" s="92">
        <v>-87.9</v>
      </c>
    </row>
    <row r="29" spans="1:17">
      <c r="A29" s="47" t="s">
        <v>131</v>
      </c>
      <c r="B29" s="40">
        <v>15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36500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2</v>
      </c>
      <c r="C37" s="33">
        <f t="shared" si="3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3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3</v>
      </c>
      <c r="C39" s="33">
        <f t="shared" si="3"/>
        <v>0.3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1</v>
      </c>
      <c r="C40" s="33">
        <f t="shared" si="3"/>
        <v>0.1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223</v>
      </c>
      <c r="C1" s="173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4</v>
      </c>
      <c r="C2" s="175"/>
      <c r="E2" s="54" t="s">
        <v>181</v>
      </c>
      <c r="F2" s="51" t="s">
        <v>156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-3300</v>
      </c>
      <c r="P2" s="103">
        <v>4</v>
      </c>
      <c r="Q2" s="87">
        <v>-13200</v>
      </c>
    </row>
    <row r="3" spans="1:17">
      <c r="A3" s="47" t="s">
        <v>8</v>
      </c>
      <c r="B3" s="176">
        <v>21</v>
      </c>
      <c r="C3" s="177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-47</v>
      </c>
      <c r="N3" s="100" t="s">
        <v>104</v>
      </c>
      <c r="O3" s="107">
        <f t="shared" si="0"/>
        <v>-2700</v>
      </c>
      <c r="P3" s="104">
        <v>4</v>
      </c>
      <c r="Q3" s="88">
        <v>-10800</v>
      </c>
    </row>
    <row r="4" spans="1:17">
      <c r="A4" s="47" t="s">
        <v>6</v>
      </c>
      <c r="B4" s="178">
        <v>-72.5</v>
      </c>
      <c r="C4" s="179"/>
      <c r="E4" s="55" t="s">
        <v>60</v>
      </c>
      <c r="F4" s="52" t="s">
        <v>24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-44.9</v>
      </c>
      <c r="N4" s="100" t="s">
        <v>105</v>
      </c>
      <c r="O4" s="107">
        <f t="shared" si="0"/>
        <v>-100</v>
      </c>
      <c r="P4" s="104">
        <v>4</v>
      </c>
      <c r="Q4" s="88">
        <v>-400</v>
      </c>
    </row>
    <row r="5" spans="1:17">
      <c r="A5" s="47" t="s">
        <v>7</v>
      </c>
      <c r="B5" s="180">
        <f>IF(B$2=0,0,B$4/B$2)</f>
        <v>-18.125</v>
      </c>
      <c r="C5" s="181"/>
      <c r="E5" s="55" t="s">
        <v>56</v>
      </c>
      <c r="F5" s="52" t="s">
        <v>185</v>
      </c>
      <c r="G5" s="40">
        <v>1</v>
      </c>
      <c r="H5" s="118">
        <f>IF(B$17=0,0,G5/B$17)</f>
        <v>0.5</v>
      </c>
      <c r="I5" s="80">
        <v>2</v>
      </c>
      <c r="K5" s="32">
        <v>3</v>
      </c>
      <c r="L5" s="85">
        <v>-45.5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82">
        <f>IF(B$2=0,0,(B$7*1+B$8*2+B$9*3+B$10*4)/B$2)</f>
        <v>2.75</v>
      </c>
      <c r="C6" s="183"/>
      <c r="E6" s="55" t="s">
        <v>182</v>
      </c>
      <c r="F6" s="52" t="s">
        <v>19</v>
      </c>
      <c r="G6" s="40">
        <v>0</v>
      </c>
      <c r="H6" s="118">
        <f>IF(B$17=0,0,G6/B$17)</f>
        <v>0</v>
      </c>
      <c r="I6" s="80">
        <v>17</v>
      </c>
      <c r="K6" s="32">
        <v>4</v>
      </c>
      <c r="L6" s="85">
        <v>-72.5</v>
      </c>
      <c r="N6" s="100" t="s">
        <v>106</v>
      </c>
      <c r="O6" s="107">
        <f t="shared" ref="O6" si="1">IF(P6=0,0,Q6/P6)</f>
        <v>-7100</v>
      </c>
      <c r="P6" s="104">
        <v>1</v>
      </c>
      <c r="Q6" s="88">
        <v>-7100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21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6</v>
      </c>
      <c r="C13" s="38">
        <f>IF(B$3=0,0,B13/B$3)</f>
        <v>0.2857142857142857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0.75</v>
      </c>
      <c r="P13" s="104">
        <v>2</v>
      </c>
      <c r="Q13" s="92">
        <v>1.5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-27</v>
      </c>
      <c r="P14" s="104">
        <v>1</v>
      </c>
      <c r="Q14" s="92">
        <v>-27</v>
      </c>
    </row>
    <row r="15" spans="1:17">
      <c r="A15" s="46" t="s">
        <v>99</v>
      </c>
      <c r="B15" s="39">
        <f>B21</f>
        <v>2</v>
      </c>
      <c r="C15" s="31">
        <f>IF(B$13=0,0,B15/B$13)</f>
        <v>0.33333333333333331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9.5238095238095233E-2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0.19047619047619047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213</v>
      </c>
      <c r="O18" s="109">
        <f>IF(P18=0,0,Q18/P18)</f>
        <v>5.25</v>
      </c>
      <c r="P18" s="103">
        <v>2</v>
      </c>
      <c r="Q18" s="91">
        <v>10.5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>IF(P19=0,0,Q19/P19)</f>
        <v>-3.2500000000000036</v>
      </c>
      <c r="P19" s="104">
        <v>4</v>
      </c>
      <c r="Q19" s="92">
        <v>-13.000000000000014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-42.033333333333331</v>
      </c>
      <c r="P20" s="104">
        <v>3</v>
      </c>
      <c r="Q20" s="92">
        <v>-126.1</v>
      </c>
    </row>
    <row r="21" spans="1:17">
      <c r="A21" s="47" t="s">
        <v>151</v>
      </c>
      <c r="B21" s="40">
        <v>2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195</v>
      </c>
      <c r="O21" s="110">
        <f>IF(P21=0,0,Q21/P21)</f>
        <v>-47.5</v>
      </c>
      <c r="P21" s="104">
        <v>2</v>
      </c>
      <c r="Q21" s="92">
        <v>-95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161</v>
      </c>
      <c r="O22" s="110">
        <f>IF(P22=0,0,Q22/P22)</f>
        <v>-66.399999999999991</v>
      </c>
      <c r="P22" s="104">
        <v>1</v>
      </c>
      <c r="Q22" s="92">
        <v>-66.399999999999991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7200</v>
      </c>
      <c r="C24" s="35">
        <v>14400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7200</v>
      </c>
      <c r="C25" s="122">
        <v>14400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-5450</v>
      </c>
      <c r="C27" s="122">
        <v>-21800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4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1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22100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1</v>
      </c>
      <c r="C37" s="33">
        <f t="shared" si="3"/>
        <v>0.5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1</v>
      </c>
      <c r="C38" s="33">
        <f t="shared" si="3"/>
        <v>0.5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228</v>
      </c>
      <c r="C1" s="173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6</v>
      </c>
      <c r="C2" s="175"/>
      <c r="E2" s="54" t="s">
        <v>54</v>
      </c>
      <c r="F2" s="51" t="s">
        <v>20</v>
      </c>
      <c r="G2" s="39">
        <v>6</v>
      </c>
      <c r="H2" s="117">
        <f>IF(B$17=0,0,G2/B$17)</f>
        <v>0.8571428571428571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3416.6666666666665</v>
      </c>
      <c r="P2" s="103">
        <v>6</v>
      </c>
      <c r="Q2" s="87">
        <v>20500</v>
      </c>
    </row>
    <row r="3" spans="1:17">
      <c r="A3" s="47" t="s">
        <v>8</v>
      </c>
      <c r="B3" s="176">
        <v>39</v>
      </c>
      <c r="C3" s="177"/>
      <c r="E3" s="55" t="s">
        <v>181</v>
      </c>
      <c r="F3" s="52" t="s">
        <v>156</v>
      </c>
      <c r="G3" s="40">
        <v>5</v>
      </c>
      <c r="H3" s="118">
        <f>IF(B$17=0,0,G3/B$17)</f>
        <v>0.7142857142857143</v>
      </c>
      <c r="I3" s="80">
        <v>8</v>
      </c>
      <c r="K3" s="32">
        <v>1</v>
      </c>
      <c r="L3" s="85">
        <v>60.4</v>
      </c>
      <c r="N3" s="100" t="s">
        <v>104</v>
      </c>
      <c r="O3" s="107">
        <f t="shared" si="0"/>
        <v>-3600</v>
      </c>
      <c r="P3" s="104">
        <v>6</v>
      </c>
      <c r="Q3" s="88">
        <v>-21600</v>
      </c>
    </row>
    <row r="4" spans="1:17">
      <c r="A4" s="47" t="s">
        <v>6</v>
      </c>
      <c r="B4" s="178">
        <v>-14.299999999999986</v>
      </c>
      <c r="C4" s="179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122.9</v>
      </c>
      <c r="N4" s="100" t="s">
        <v>105</v>
      </c>
      <c r="O4" s="107">
        <f t="shared" si="0"/>
        <v>-316.66666666666669</v>
      </c>
      <c r="P4" s="104">
        <v>6</v>
      </c>
      <c r="Q4" s="88">
        <v>-1900</v>
      </c>
    </row>
    <row r="5" spans="1:17">
      <c r="A5" s="47" t="s">
        <v>7</v>
      </c>
      <c r="B5" s="180">
        <f>IF(B$2=0,0,B$4/B$2)</f>
        <v>-2.3833333333333311</v>
      </c>
      <c r="C5" s="181"/>
      <c r="E5" s="55" t="s">
        <v>55</v>
      </c>
      <c r="F5" s="52" t="s">
        <v>155</v>
      </c>
      <c r="G5" s="40">
        <v>2</v>
      </c>
      <c r="H5" s="118">
        <f>IF(B$17=0,0,G5/B$17)</f>
        <v>0.2857142857142857</v>
      </c>
      <c r="I5" s="80">
        <v>11</v>
      </c>
      <c r="K5" s="32">
        <v>3</v>
      </c>
      <c r="L5" s="85">
        <v>69.800000000000011</v>
      </c>
      <c r="N5" s="100" t="s">
        <v>157</v>
      </c>
      <c r="O5" s="107">
        <f>IF(P5=0,0,Q5/P5)</f>
        <v>-1500</v>
      </c>
      <c r="P5" s="104">
        <v>6</v>
      </c>
      <c r="Q5" s="88">
        <v>-9000</v>
      </c>
    </row>
    <row r="6" spans="1:17">
      <c r="A6" s="47" t="s">
        <v>1</v>
      </c>
      <c r="B6" s="182">
        <f>IF(B$2=0,0,(B$7*1+B$8*2+B$9*3+B$10*4)/B$2)</f>
        <v>2.5</v>
      </c>
      <c r="C6" s="183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18</v>
      </c>
      <c r="K6" s="32">
        <v>4</v>
      </c>
      <c r="L6" s="85">
        <v>28.000000000000014</v>
      </c>
      <c r="N6" s="100" t="s">
        <v>106</v>
      </c>
      <c r="O6" s="107">
        <f t="shared" ref="O6" si="1">IF(P6=0,0,Q6/P6)</f>
        <v>-1333.3333333333333</v>
      </c>
      <c r="P6" s="104">
        <v>3</v>
      </c>
      <c r="Q6" s="88">
        <v>-4000</v>
      </c>
    </row>
    <row r="7" spans="1:17">
      <c r="A7" s="47" t="s">
        <v>2</v>
      </c>
      <c r="B7" s="40">
        <v>2</v>
      </c>
      <c r="C7" s="33">
        <f t="shared" ref="C7:C12" si="2">IF(B$2=0,0,B7/B$2)</f>
        <v>0.33333333333333331</v>
      </c>
      <c r="E7" s="55" t="s">
        <v>56</v>
      </c>
      <c r="F7" s="52" t="s">
        <v>185</v>
      </c>
      <c r="G7" s="40">
        <v>1</v>
      </c>
      <c r="H7" s="118">
        <f>IF(B$17=0,0,G7/B$17)</f>
        <v>0.14285714285714285</v>
      </c>
      <c r="I7" s="80">
        <v>22</v>
      </c>
      <c r="K7" s="32">
        <v>5</v>
      </c>
      <c r="L7" s="85">
        <v>23.200000000000014</v>
      </c>
      <c r="N7" s="100" t="s">
        <v>107</v>
      </c>
      <c r="O7" s="107">
        <f t="shared" si="0"/>
        <v>-4150</v>
      </c>
      <c r="P7" s="104">
        <v>2</v>
      </c>
      <c r="Q7" s="88">
        <v>-8300</v>
      </c>
    </row>
    <row r="8" spans="1:17">
      <c r="A8" s="47" t="s">
        <v>3</v>
      </c>
      <c r="B8" s="40">
        <v>1</v>
      </c>
      <c r="C8" s="33">
        <f>IF(B$2=0,0,B8/B$2)</f>
        <v>0.16666666666666666</v>
      </c>
      <c r="E8" s="55" t="s">
        <v>57</v>
      </c>
      <c r="F8" s="52" t="s">
        <v>21</v>
      </c>
      <c r="G8" s="40">
        <v>1</v>
      </c>
      <c r="H8" s="118">
        <f>IF(B$17=0,0,G8/B$17)</f>
        <v>0.14285714285714285</v>
      </c>
      <c r="I8" s="80">
        <v>17</v>
      </c>
      <c r="K8" s="32">
        <v>6</v>
      </c>
      <c r="L8" s="85">
        <v>-14.299999999999986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59</v>
      </c>
      <c r="F9" s="52" t="s">
        <v>23</v>
      </c>
      <c r="G9" s="40">
        <v>1</v>
      </c>
      <c r="H9" s="118">
        <f>IF(B$17=0,0,G9/B$17)</f>
        <v>0.14285714285714285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0.33333333333333331</v>
      </c>
      <c r="E10" s="55" t="s">
        <v>183</v>
      </c>
      <c r="F10" s="52" t="s">
        <v>186</v>
      </c>
      <c r="G10" s="40">
        <v>1</v>
      </c>
      <c r="H10" s="118">
        <f>IF(B$17=0,0,G10/B$17)</f>
        <v>0.14285714285714285</v>
      </c>
      <c r="I10" s="80">
        <v>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60.4</v>
      </c>
      <c r="P12" s="103">
        <v>1</v>
      </c>
      <c r="Q12" s="91">
        <v>60.4</v>
      </c>
    </row>
    <row r="13" spans="1:17">
      <c r="A13" s="50" t="s">
        <v>97</v>
      </c>
      <c r="B13" s="43">
        <v>6</v>
      </c>
      <c r="C13" s="38">
        <f>IF(B$3=0,0,B13/B$3)</f>
        <v>0.15384615384615385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-41.8</v>
      </c>
      <c r="P13" s="104">
        <v>1</v>
      </c>
      <c r="Q13" s="92">
        <v>-41.8</v>
      </c>
    </row>
    <row r="14" spans="1:17">
      <c r="A14" s="47" t="s">
        <v>94</v>
      </c>
      <c r="B14" s="40">
        <v>6</v>
      </c>
      <c r="C14" s="33">
        <f>IF(B$3=0,0,B14/B$3)</f>
        <v>0.15384615384615385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5</v>
      </c>
      <c r="N14" s="100" t="s">
        <v>128</v>
      </c>
      <c r="O14" s="110">
        <f>IF(P14=0,0,Q14/P14)</f>
        <v>4.6999999999999993</v>
      </c>
      <c r="P14" s="104">
        <v>2</v>
      </c>
      <c r="Q14" s="92">
        <v>9.3999999999999986</v>
      </c>
    </row>
    <row r="15" spans="1:17">
      <c r="A15" s="46" t="s">
        <v>99</v>
      </c>
      <c r="B15" s="39">
        <f>B21</f>
        <v>5</v>
      </c>
      <c r="C15" s="31">
        <f>IF(B$13=0,0,B15/B$13)</f>
        <v>0.83333333333333337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-21.15</v>
      </c>
      <c r="P15" s="105">
        <v>2</v>
      </c>
      <c r="Q15" s="93">
        <v>-42.3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0.17948717948717949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0.20512820512820512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213</v>
      </c>
      <c r="O18" s="109">
        <f t="shared" ref="O18:O23" si="3">IF(P18=0,0,Q18/P18)</f>
        <v>64.599999999999994</v>
      </c>
      <c r="P18" s="103">
        <v>2</v>
      </c>
      <c r="Q18" s="91">
        <v>129.19999999999999</v>
      </c>
    </row>
    <row r="19" spans="1:17">
      <c r="A19" s="47" t="s">
        <v>12</v>
      </c>
      <c r="B19" s="40">
        <v>2</v>
      </c>
      <c r="C19" s="33">
        <f>IF(B$17=0,0,B19/B$17)</f>
        <v>0.2857142857142857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227</v>
      </c>
      <c r="O19" s="110">
        <f t="shared" si="3"/>
        <v>23.125</v>
      </c>
      <c r="P19" s="104">
        <v>4</v>
      </c>
      <c r="Q19" s="92">
        <v>92.5</v>
      </c>
    </row>
    <row r="20" spans="1:17">
      <c r="A20" s="47" t="s">
        <v>11</v>
      </c>
      <c r="B20" s="40">
        <v>5</v>
      </c>
      <c r="C20" s="33">
        <f>IF(B$17=0,0,B20/B$17)</f>
        <v>0.7142857142857143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20.324999999999992</v>
      </c>
      <c r="P20" s="104">
        <v>4</v>
      </c>
      <c r="Q20" s="92">
        <v>81.299999999999969</v>
      </c>
    </row>
    <row r="21" spans="1:17">
      <c r="A21" s="47" t="s">
        <v>151</v>
      </c>
      <c r="B21" s="40">
        <v>5</v>
      </c>
      <c r="C21" s="33">
        <f>IF(B$17=0,0,B21/B$17)</f>
        <v>0.7142857142857143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216</v>
      </c>
      <c r="O21" s="110">
        <f t="shared" si="3"/>
        <v>-19.175000000000001</v>
      </c>
      <c r="P21" s="104">
        <v>4</v>
      </c>
      <c r="Q21" s="92">
        <v>-76.7</v>
      </c>
    </row>
    <row r="22" spans="1:17">
      <c r="A22" s="47" t="s">
        <v>149</v>
      </c>
      <c r="B22" s="40">
        <v>1</v>
      </c>
      <c r="C22" s="33">
        <f>IF(B$17=0,0,B22/B$17)</f>
        <v>0.14285714285714285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169</v>
      </c>
      <c r="O22" s="110">
        <f t="shared" si="3"/>
        <v>-38.049999999999997</v>
      </c>
      <c r="P22" s="104">
        <v>2</v>
      </c>
      <c r="Q22" s="92">
        <v>-76.099999999999994</v>
      </c>
    </row>
    <row r="23" spans="1:17">
      <c r="A23" s="47" t="s">
        <v>150</v>
      </c>
      <c r="B23" s="40">
        <v>1</v>
      </c>
      <c r="C23" s="33">
        <f>IF(B$17=0,0,B23/B$17)</f>
        <v>0.14285714285714285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231</v>
      </c>
      <c r="O23" s="110">
        <f t="shared" si="3"/>
        <v>-103.69999999999999</v>
      </c>
      <c r="P23" s="104">
        <v>2</v>
      </c>
      <c r="Q23" s="92">
        <v>-207.39999999999998</v>
      </c>
    </row>
    <row r="24" spans="1:17">
      <c r="A24" s="47" t="s">
        <v>5</v>
      </c>
      <c r="B24" s="44">
        <f>IF(B$17=0,0,C24/B$17)</f>
        <v>7871.4285714285716</v>
      </c>
      <c r="C24" s="35">
        <v>55100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7183.333333333333</v>
      </c>
      <c r="C25" s="122">
        <v>43100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12000</v>
      </c>
      <c r="C26" s="122">
        <v>12000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-7225</v>
      </c>
      <c r="C27" s="122">
        <v>-57800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12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4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42500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0.2857142857142857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3</v>
      </c>
      <c r="C38" s="33">
        <f t="shared" si="4"/>
        <v>0.42857142857142855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4"/>
        <v>0.14285714285714285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4"/>
        <v>0</v>
      </c>
    </row>
    <row r="44" spans="1:9">
      <c r="A44" s="47" t="s">
        <v>144</v>
      </c>
      <c r="B44" s="153">
        <v>0</v>
      </c>
      <c r="C44" s="33">
        <f t="shared" si="4"/>
        <v>0</v>
      </c>
    </row>
    <row r="45" spans="1:9">
      <c r="A45" s="47" t="s">
        <v>145</v>
      </c>
      <c r="B45" s="153">
        <v>0</v>
      </c>
      <c r="C45" s="33">
        <f t="shared" si="4"/>
        <v>0</v>
      </c>
    </row>
    <row r="46" spans="1:9">
      <c r="A46" s="47" t="s">
        <v>146</v>
      </c>
      <c r="B46" s="153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227</v>
      </c>
      <c r="C1" s="173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4</v>
      </c>
      <c r="C2" s="175"/>
      <c r="E2" s="54" t="s">
        <v>181</v>
      </c>
      <c r="F2" s="51" t="s">
        <v>156</v>
      </c>
      <c r="G2" s="39">
        <v>4</v>
      </c>
      <c r="H2" s="117">
        <f>IF(B$17=0,0,G2/B$17)</f>
        <v>0.8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-6700</v>
      </c>
      <c r="P2" s="103">
        <v>4</v>
      </c>
      <c r="Q2" s="87">
        <v>-26800</v>
      </c>
    </row>
    <row r="3" spans="1:17">
      <c r="A3" s="47" t="s">
        <v>8</v>
      </c>
      <c r="B3" s="176">
        <v>24</v>
      </c>
      <c r="C3" s="177"/>
      <c r="E3" s="55" t="s">
        <v>57</v>
      </c>
      <c r="F3" s="52" t="s">
        <v>21</v>
      </c>
      <c r="G3" s="40">
        <v>3</v>
      </c>
      <c r="H3" s="118">
        <f>IF(B$17=0,0,G3/B$17)</f>
        <v>0.6</v>
      </c>
      <c r="I3" s="80">
        <v>2</v>
      </c>
      <c r="K3" s="32">
        <v>1</v>
      </c>
      <c r="L3" s="85">
        <v>-64.900000000000006</v>
      </c>
      <c r="N3" s="100" t="s">
        <v>104</v>
      </c>
      <c r="O3" s="107">
        <f t="shared" si="0"/>
        <v>-2200</v>
      </c>
      <c r="P3" s="104">
        <v>4</v>
      </c>
      <c r="Q3" s="88">
        <v>-8800</v>
      </c>
    </row>
    <row r="4" spans="1:17">
      <c r="A4" s="47" t="s">
        <v>6</v>
      </c>
      <c r="B4" s="178">
        <v>-64.500000000000014</v>
      </c>
      <c r="C4" s="179"/>
      <c r="E4" s="55" t="s">
        <v>55</v>
      </c>
      <c r="F4" s="52" t="s">
        <v>155</v>
      </c>
      <c r="G4" s="40">
        <v>2</v>
      </c>
      <c r="H4" s="118">
        <f>IF(B$17=0,0,G4/B$17)</f>
        <v>0.4</v>
      </c>
      <c r="I4" s="80">
        <v>6</v>
      </c>
      <c r="K4" s="32">
        <v>2</v>
      </c>
      <c r="L4" s="85">
        <v>-62.100000000000009</v>
      </c>
      <c r="N4" s="100" t="s">
        <v>105</v>
      </c>
      <c r="O4" s="107">
        <f t="shared" si="0"/>
        <v>-1350</v>
      </c>
      <c r="P4" s="104">
        <v>4</v>
      </c>
      <c r="Q4" s="88">
        <v>-5400</v>
      </c>
    </row>
    <row r="5" spans="1:17">
      <c r="A5" s="47" t="s">
        <v>7</v>
      </c>
      <c r="B5" s="180">
        <f>IF(B$2=0,0,B$4/B$2)</f>
        <v>-16.125000000000004</v>
      </c>
      <c r="C5" s="181"/>
      <c r="E5" s="55" t="s">
        <v>59</v>
      </c>
      <c r="F5" s="52" t="s">
        <v>23</v>
      </c>
      <c r="G5" s="40">
        <v>2</v>
      </c>
      <c r="H5" s="118">
        <f>IF(B$17=0,0,G5/B$17)</f>
        <v>0.4</v>
      </c>
      <c r="I5" s="80">
        <v>2</v>
      </c>
      <c r="K5" s="32">
        <v>3</v>
      </c>
      <c r="L5" s="85">
        <v>-49.70000000000001</v>
      </c>
      <c r="N5" s="100" t="s">
        <v>157</v>
      </c>
      <c r="O5" s="107">
        <f>IF(P5=0,0,Q5/P5)</f>
        <v>2525</v>
      </c>
      <c r="P5" s="104">
        <v>4</v>
      </c>
      <c r="Q5" s="88">
        <v>10100</v>
      </c>
    </row>
    <row r="6" spans="1:17">
      <c r="A6" s="47" t="s">
        <v>1</v>
      </c>
      <c r="B6" s="182">
        <f>IF(B$2=0,0,(B$7*1+B$8*2+B$9*3+B$10*4)/B$2)</f>
        <v>2.75</v>
      </c>
      <c r="C6" s="183"/>
      <c r="E6" s="55" t="s">
        <v>184</v>
      </c>
      <c r="F6" s="52" t="s">
        <v>187</v>
      </c>
      <c r="G6" s="40">
        <v>2</v>
      </c>
      <c r="H6" s="118">
        <f>IF(B$17=0,0,G6/B$17)</f>
        <v>0.4</v>
      </c>
      <c r="I6" s="80">
        <v>13</v>
      </c>
      <c r="K6" s="32">
        <v>4</v>
      </c>
      <c r="L6" s="85">
        <v>-64.500000000000014</v>
      </c>
      <c r="N6" s="100" t="s">
        <v>106</v>
      </c>
      <c r="O6" s="107">
        <f t="shared" ref="O6" si="1">IF(P6=0,0,Q6/P6)</f>
        <v>9000</v>
      </c>
      <c r="P6" s="104">
        <v>1</v>
      </c>
      <c r="Q6" s="88">
        <v>9000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</v>
      </c>
      <c r="I7" s="80">
        <v>6</v>
      </c>
      <c r="N7" s="100" t="s">
        <v>107</v>
      </c>
      <c r="O7" s="107">
        <f t="shared" si="0"/>
        <v>-2600</v>
      </c>
      <c r="P7" s="104">
        <v>1</v>
      </c>
      <c r="Q7" s="88">
        <v>-2600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56</v>
      </c>
      <c r="F8" s="52" t="s">
        <v>185</v>
      </c>
      <c r="G8" s="40">
        <v>1</v>
      </c>
      <c r="H8" s="118">
        <f>IF(B$17=0,0,G8/B$17)</f>
        <v>0.2</v>
      </c>
      <c r="I8" s="80">
        <v>18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1</v>
      </c>
      <c r="H9" s="118">
        <f>IF(B$17=0,0,G9/B$17)</f>
        <v>0.2</v>
      </c>
      <c r="I9" s="80">
        <v>21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-14.8</v>
      </c>
      <c r="P12" s="103">
        <v>1</v>
      </c>
      <c r="Q12" s="91">
        <v>-14.8</v>
      </c>
    </row>
    <row r="13" spans="1:17">
      <c r="A13" s="50" t="s">
        <v>97</v>
      </c>
      <c r="B13" s="43">
        <v>6</v>
      </c>
      <c r="C13" s="38">
        <f>IF(B$3=0,0,B13/B$3)</f>
        <v>0.25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5</v>
      </c>
      <c r="N13" s="100" t="s">
        <v>127</v>
      </c>
      <c r="O13" s="110">
        <f>IF(P13=0,0,Q13/P13)</f>
        <v>-16.56666666666667</v>
      </c>
      <c r="P13" s="104">
        <v>3</v>
      </c>
      <c r="Q13" s="92">
        <v>-49.70000000000001</v>
      </c>
    </row>
    <row r="14" spans="1:17">
      <c r="A14" s="47" t="s">
        <v>94</v>
      </c>
      <c r="B14" s="40">
        <v>5</v>
      </c>
      <c r="C14" s="33">
        <f>IF(B$3=0,0,B14/B$3)</f>
        <v>0.20833333333333334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4</v>
      </c>
      <c r="C15" s="31">
        <f>IF(B$13=0,0,B15/B$13)</f>
        <v>0.66666666666666663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0.20833333333333334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0.16666666666666666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6.3999999999999995</v>
      </c>
      <c r="P18" s="103">
        <v>2</v>
      </c>
      <c r="Q18" s="91">
        <v>12.799999999999999</v>
      </c>
    </row>
    <row r="19" spans="1:17">
      <c r="A19" s="47" t="s">
        <v>12</v>
      </c>
      <c r="B19" s="40">
        <v>1</v>
      </c>
      <c r="C19" s="33">
        <f>IF(B$17=0,0,B19/B$17)</f>
        <v>0.2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10</v>
      </c>
      <c r="N19" s="100" t="s">
        <v>195</v>
      </c>
      <c r="O19" s="110">
        <f>IF(P19=0,0,Q19/P19)</f>
        <v>-3.8000000000000043</v>
      </c>
      <c r="P19" s="104">
        <v>2</v>
      </c>
      <c r="Q19" s="92">
        <v>-7.6000000000000085</v>
      </c>
    </row>
    <row r="20" spans="1:17">
      <c r="A20" s="47" t="s">
        <v>11</v>
      </c>
      <c r="B20" s="40">
        <v>4</v>
      </c>
      <c r="C20" s="33">
        <f>IF(B$17=0,0,B20/B$17)</f>
        <v>0.8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228</v>
      </c>
      <c r="O20" s="110">
        <f>IF(P20=0,0,Q20/P20)</f>
        <v>-23.125000000000004</v>
      </c>
      <c r="P20" s="104">
        <v>4</v>
      </c>
      <c r="Q20" s="92">
        <v>-92.500000000000014</v>
      </c>
    </row>
    <row r="21" spans="1:17">
      <c r="A21" s="47" t="s">
        <v>151</v>
      </c>
      <c r="B21" s="40">
        <v>4</v>
      </c>
      <c r="C21" s="33">
        <f>IF(B$17=0,0,B21/B$17)</f>
        <v>0.8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213</v>
      </c>
      <c r="O21" s="110">
        <f>IF(P21=0,0,Q21/P21)</f>
        <v>-27.900000000000002</v>
      </c>
      <c r="P21" s="104">
        <v>2</v>
      </c>
      <c r="Q21" s="92">
        <v>-55.800000000000004</v>
      </c>
    </row>
    <row r="22" spans="1:17">
      <c r="A22" s="47" t="s">
        <v>149</v>
      </c>
      <c r="B22" s="40">
        <v>1</v>
      </c>
      <c r="C22" s="33">
        <f>IF(B$17=0,0,B22/B$17)</f>
        <v>0.2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231</v>
      </c>
      <c r="O22" s="110">
        <f>IF(P22=0,0,Q22/P22)</f>
        <v>-57.45</v>
      </c>
      <c r="P22" s="104">
        <v>2</v>
      </c>
      <c r="Q22" s="92">
        <v>-114.9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5480</v>
      </c>
      <c r="C24" s="35">
        <v>27400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6475</v>
      </c>
      <c r="C25" s="122">
        <v>25900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1500</v>
      </c>
      <c r="C26" s="122">
        <v>1500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-8125</v>
      </c>
      <c r="C27" s="122">
        <v>-32500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13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8">
        <v>3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32400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3">IF(B$17=0,0,B35/B$17)</f>
        <v>0.2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1</v>
      </c>
      <c r="C37" s="33">
        <f t="shared" si="3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1</v>
      </c>
      <c r="C38" s="33">
        <f t="shared" si="3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3"/>
        <v>0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231</v>
      </c>
      <c r="C1" s="173"/>
      <c r="E1" s="114" t="s">
        <v>129</v>
      </c>
      <c r="F1" s="155" t="s">
        <v>91</v>
      </c>
      <c r="G1" s="154" t="s">
        <v>92</v>
      </c>
      <c r="H1" s="115" t="s">
        <v>93</v>
      </c>
      <c r="I1" s="15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60</v>
      </c>
      <c r="F2" s="51" t="s">
        <v>24</v>
      </c>
      <c r="G2" s="39">
        <v>4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3900</v>
      </c>
      <c r="P2" s="103">
        <v>2</v>
      </c>
      <c r="Q2" s="87">
        <v>7800</v>
      </c>
    </row>
    <row r="3" spans="1:17">
      <c r="A3" s="47" t="s">
        <v>8</v>
      </c>
      <c r="B3" s="176">
        <v>13</v>
      </c>
      <c r="C3" s="177"/>
      <c r="E3" s="55" t="s">
        <v>181</v>
      </c>
      <c r="F3" s="52" t="s">
        <v>156</v>
      </c>
      <c r="G3" s="40">
        <v>2</v>
      </c>
      <c r="H3" s="118">
        <f>IF(B$17=0,0,G3/B$17)</f>
        <v>0.5</v>
      </c>
      <c r="I3" s="80">
        <v>11</v>
      </c>
      <c r="K3" s="32">
        <v>1</v>
      </c>
      <c r="L3" s="85">
        <v>61.3</v>
      </c>
      <c r="N3" s="100" t="s">
        <v>104</v>
      </c>
      <c r="O3" s="107">
        <f t="shared" si="0"/>
        <v>-2750</v>
      </c>
      <c r="P3" s="104">
        <v>2</v>
      </c>
      <c r="Q3" s="88">
        <v>-5500</v>
      </c>
    </row>
    <row r="4" spans="1:17">
      <c r="A4" s="47" t="s">
        <v>6</v>
      </c>
      <c r="B4" s="178">
        <v>112.5</v>
      </c>
      <c r="C4" s="179"/>
      <c r="E4" s="55" t="s">
        <v>55</v>
      </c>
      <c r="F4" s="52" t="s">
        <v>155</v>
      </c>
      <c r="G4" s="40">
        <v>2</v>
      </c>
      <c r="H4" s="118">
        <f>IF(B$17=0,0,G4/B$17)</f>
        <v>0.5</v>
      </c>
      <c r="I4" s="80">
        <v>4</v>
      </c>
      <c r="K4" s="32">
        <v>2</v>
      </c>
      <c r="L4" s="85">
        <v>112.5</v>
      </c>
      <c r="N4" s="100" t="s">
        <v>105</v>
      </c>
      <c r="O4" s="107">
        <f t="shared" si="0"/>
        <v>6000</v>
      </c>
      <c r="P4" s="104">
        <v>2</v>
      </c>
      <c r="Q4" s="88">
        <v>12000</v>
      </c>
    </row>
    <row r="5" spans="1:17">
      <c r="A5" s="47" t="s">
        <v>7</v>
      </c>
      <c r="B5" s="180">
        <f>IF(B$2=0,0,B$4/B$2)</f>
        <v>56.25</v>
      </c>
      <c r="C5" s="181"/>
      <c r="E5" s="55" t="s">
        <v>184</v>
      </c>
      <c r="F5" s="52" t="s">
        <v>187</v>
      </c>
      <c r="G5" s="40">
        <v>2</v>
      </c>
      <c r="H5" s="118">
        <f>IF(B$17=0,0,G5/B$17)</f>
        <v>0.5</v>
      </c>
      <c r="I5" s="80">
        <v>8</v>
      </c>
      <c r="N5" s="100" t="s">
        <v>157</v>
      </c>
      <c r="O5" s="107">
        <f>IF(P5=0,0,Q5/P5)</f>
        <v>1950</v>
      </c>
      <c r="P5" s="104">
        <v>2</v>
      </c>
      <c r="Q5" s="88">
        <v>3900</v>
      </c>
    </row>
    <row r="6" spans="1:17">
      <c r="A6" s="47" t="s">
        <v>1</v>
      </c>
      <c r="B6" s="182">
        <f>IF(B$2=0,0,(B$7*1+B$8*2+B$9*3+B$10*4)/B$2)</f>
        <v>1</v>
      </c>
      <c r="C6" s="183"/>
      <c r="E6" s="55" t="s">
        <v>182</v>
      </c>
      <c r="F6" s="52" t="s">
        <v>19</v>
      </c>
      <c r="G6" s="40">
        <v>1</v>
      </c>
      <c r="H6" s="118">
        <f>IF(B$17=0,0,G6/B$17)</f>
        <v>0.25</v>
      </c>
      <c r="I6" s="80">
        <v>4</v>
      </c>
      <c r="N6" s="100" t="s">
        <v>106</v>
      </c>
      <c r="O6" s="107">
        <f t="shared" ref="O6" si="1">IF(P6=0,0,Q6/P6)</f>
        <v>-4000</v>
      </c>
      <c r="P6" s="104">
        <v>1</v>
      </c>
      <c r="Q6" s="88">
        <v>-4000</v>
      </c>
    </row>
    <row r="7" spans="1:17">
      <c r="A7" s="47" t="s">
        <v>2</v>
      </c>
      <c r="B7" s="40">
        <v>2</v>
      </c>
      <c r="C7" s="33">
        <f t="shared" ref="C7:C12" si="2">IF(B$2=0,0,B7/B$2)</f>
        <v>1</v>
      </c>
      <c r="E7" s="55" t="s">
        <v>56</v>
      </c>
      <c r="F7" s="52" t="s">
        <v>185</v>
      </c>
      <c r="G7" s="40">
        <v>1</v>
      </c>
      <c r="H7" s="118">
        <f>IF(B$17=0,0,G7/B$17)</f>
        <v>0.25</v>
      </c>
      <c r="I7" s="80">
        <v>13</v>
      </c>
      <c r="N7" s="100" t="s">
        <v>107</v>
      </c>
      <c r="O7" s="107">
        <f t="shared" si="0"/>
        <v>8300</v>
      </c>
      <c r="P7" s="104">
        <v>1</v>
      </c>
      <c r="Q7" s="88">
        <v>8300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66</v>
      </c>
      <c r="F8" s="52" t="s">
        <v>30</v>
      </c>
      <c r="G8" s="40">
        <v>1</v>
      </c>
      <c r="H8" s="118">
        <f>IF(B$17=0,0,G8/B$17)</f>
        <v>0.25</v>
      </c>
      <c r="I8" s="80">
        <v>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77</v>
      </c>
      <c r="F9" s="52" t="s">
        <v>41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1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61.3</v>
      </c>
      <c r="P12" s="103">
        <v>1</v>
      </c>
      <c r="Q12" s="91">
        <v>61.3</v>
      </c>
    </row>
    <row r="13" spans="1:17">
      <c r="A13" s="50" t="s">
        <v>97</v>
      </c>
      <c r="B13" s="43">
        <v>2</v>
      </c>
      <c r="C13" s="38">
        <f>IF(B$3=0,0,B13/B$3)</f>
        <v>0.15384615384615385</v>
      </c>
      <c r="E13" s="55" t="s">
        <v>59</v>
      </c>
      <c r="F13" s="52" t="s">
        <v>23</v>
      </c>
      <c r="G13" s="40">
        <v>0</v>
      </c>
      <c r="H13" s="118">
        <f>IF(B$17=0,0,G13/B$17)</f>
        <v>0</v>
      </c>
      <c r="I13" s="80">
        <v>18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0.38461538461538464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2</v>
      </c>
      <c r="C15" s="31">
        <f>IF(B$13=0,0,B15/B$13)</f>
        <v>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5</v>
      </c>
      <c r="N15" s="101" t="s">
        <v>159</v>
      </c>
      <c r="O15" s="111">
        <f>IF(P15=0,0,Q15/P15)</f>
        <v>51.2</v>
      </c>
      <c r="P15" s="105">
        <v>1</v>
      </c>
      <c r="Q15" s="93">
        <v>51.2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0.30769230769230771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7.6923076923076927E-2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228</v>
      </c>
      <c r="O18" s="109">
        <f>IF(P18=0,0,Q18/P18)</f>
        <v>103.70000000000002</v>
      </c>
      <c r="P18" s="103">
        <v>2</v>
      </c>
      <c r="Q18" s="91">
        <v>207.40000000000003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216</v>
      </c>
      <c r="O19" s="110">
        <f>IF(P19=0,0,Q19/P19)</f>
        <v>63.850000000000009</v>
      </c>
      <c r="P19" s="104">
        <v>2</v>
      </c>
      <c r="Q19" s="92">
        <v>127.70000000000002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10</v>
      </c>
      <c r="N20" s="100" t="s">
        <v>227</v>
      </c>
      <c r="O20" s="110">
        <f>IF(P20=0,0,Q20/P20)</f>
        <v>57.449999999999996</v>
      </c>
      <c r="P20" s="104">
        <v>2</v>
      </c>
      <c r="Q20" s="92">
        <v>114.89999999999999</v>
      </c>
    </row>
    <row r="21" spans="1:17">
      <c r="A21" s="47" t="s">
        <v>151</v>
      </c>
      <c r="B21" s="40">
        <v>2</v>
      </c>
      <c r="C21" s="33">
        <f>IF(B$17=0,0,B21/B$17)</f>
        <v>0.5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7975</v>
      </c>
      <c r="C24" s="35">
        <v>31900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</row>
    <row r="25" spans="1:17">
      <c r="A25" s="48" t="s">
        <v>133</v>
      </c>
      <c r="B25" s="121">
        <f>IF($B$17-B$16=0,0,C25/($B$17-B$16))</f>
        <v>7966.666666666667</v>
      </c>
      <c r="C25" s="122">
        <v>23900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8000</v>
      </c>
      <c r="C26" s="122">
        <v>8000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</row>
    <row r="28" spans="1:17">
      <c r="A28" s="47" t="s">
        <v>130</v>
      </c>
      <c r="B28" s="40">
        <v>1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10</v>
      </c>
      <c r="C29" s="120">
        <v>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8">
        <v>2</v>
      </c>
      <c r="C30" s="16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5</v>
      </c>
    </row>
    <row r="31" spans="1:17">
      <c r="A31" s="50" t="s">
        <v>148</v>
      </c>
      <c r="B31" s="170">
        <v>41300</v>
      </c>
      <c r="C31" s="17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7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7">
        <v>1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7">
        <v>0</v>
      </c>
      <c r="C43" s="33">
        <f t="shared" si="3"/>
        <v>0</v>
      </c>
    </row>
    <row r="44" spans="1:9">
      <c r="A44" s="47" t="s">
        <v>144</v>
      </c>
      <c r="B44" s="157">
        <v>0</v>
      </c>
      <c r="C44" s="33">
        <f t="shared" si="3"/>
        <v>0</v>
      </c>
    </row>
    <row r="45" spans="1:9">
      <c r="A45" s="47" t="s">
        <v>145</v>
      </c>
      <c r="B45" s="157">
        <v>0</v>
      </c>
      <c r="C45" s="33">
        <f t="shared" si="3"/>
        <v>0</v>
      </c>
    </row>
    <row r="46" spans="1:9">
      <c r="A46" s="47" t="s">
        <v>146</v>
      </c>
      <c r="B46" s="15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 t="s">
        <v>235</v>
      </c>
      <c r="C1" s="173"/>
      <c r="E1" s="114" t="s">
        <v>129</v>
      </c>
      <c r="F1" s="159" t="s">
        <v>91</v>
      </c>
      <c r="G1" s="158" t="s">
        <v>92</v>
      </c>
      <c r="H1" s="115" t="s">
        <v>93</v>
      </c>
      <c r="I1" s="15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2</v>
      </c>
      <c r="C2" s="175"/>
      <c r="E2" s="54" t="s">
        <v>54</v>
      </c>
      <c r="F2" s="51" t="s">
        <v>20</v>
      </c>
      <c r="G2" s="39">
        <v>3</v>
      </c>
      <c r="H2" s="117">
        <f>IF(B$17=0,0,G2/B$17)</f>
        <v>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500</v>
      </c>
      <c r="P2" s="103">
        <v>2</v>
      </c>
      <c r="Q2" s="87">
        <v>1000</v>
      </c>
    </row>
    <row r="3" spans="1:17">
      <c r="A3" s="47" t="s">
        <v>8</v>
      </c>
      <c r="B3" s="176">
        <v>15</v>
      </c>
      <c r="C3" s="177"/>
      <c r="E3" s="55" t="s">
        <v>181</v>
      </c>
      <c r="F3" s="52" t="s">
        <v>156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-53.7</v>
      </c>
      <c r="N3" s="100" t="s">
        <v>104</v>
      </c>
      <c r="O3" s="107">
        <f t="shared" si="0"/>
        <v>-2050</v>
      </c>
      <c r="P3" s="104">
        <v>2</v>
      </c>
      <c r="Q3" s="88">
        <v>-4100</v>
      </c>
    </row>
    <row r="4" spans="1:17">
      <c r="A4" s="47" t="s">
        <v>6</v>
      </c>
      <c r="B4" s="178">
        <v>-70.800000000000011</v>
      </c>
      <c r="C4" s="179"/>
      <c r="E4" s="55" t="s">
        <v>182</v>
      </c>
      <c r="F4" s="52" t="s">
        <v>19</v>
      </c>
      <c r="G4" s="40">
        <v>1</v>
      </c>
      <c r="H4" s="118">
        <f>IF(B$17=0,0,G4/B$17)</f>
        <v>1</v>
      </c>
      <c r="I4" s="80">
        <v>1</v>
      </c>
      <c r="K4" s="32">
        <v>2</v>
      </c>
      <c r="L4" s="85">
        <v>-70.800000000000011</v>
      </c>
      <c r="N4" s="100" t="s">
        <v>105</v>
      </c>
      <c r="O4" s="107">
        <f t="shared" si="0"/>
        <v>0</v>
      </c>
      <c r="P4" s="104">
        <v>2</v>
      </c>
      <c r="Q4" s="88">
        <v>0</v>
      </c>
    </row>
    <row r="5" spans="1:17">
      <c r="A5" s="47" t="s">
        <v>7</v>
      </c>
      <c r="B5" s="180">
        <f>IF(B$2=0,0,B$4/B$2)</f>
        <v>-35.400000000000006</v>
      </c>
      <c r="C5" s="181"/>
      <c r="E5" s="55" t="s">
        <v>56</v>
      </c>
      <c r="F5" s="52" t="s">
        <v>185</v>
      </c>
      <c r="G5" s="40">
        <v>1</v>
      </c>
      <c r="H5" s="118">
        <f>IF(B$17=0,0,G5/B$17)</f>
        <v>1</v>
      </c>
      <c r="I5" s="80">
        <v>1</v>
      </c>
      <c r="N5" s="100" t="s">
        <v>157</v>
      </c>
      <c r="O5" s="107">
        <f>IF(P5=0,0,Q5/P5)</f>
        <v>-10100</v>
      </c>
      <c r="P5" s="104">
        <v>2</v>
      </c>
      <c r="Q5" s="88">
        <v>-20200</v>
      </c>
    </row>
    <row r="6" spans="1:17">
      <c r="A6" s="47" t="s">
        <v>1</v>
      </c>
      <c r="B6" s="182">
        <f>IF(B$2=0,0,(B$7*1+B$8*2+B$9*3+B$10*4)/B$2)</f>
        <v>3.5</v>
      </c>
      <c r="C6" s="18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-500</v>
      </c>
      <c r="P6" s="104">
        <v>1</v>
      </c>
      <c r="Q6" s="88">
        <v>-500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12000</v>
      </c>
      <c r="P7" s="104">
        <v>1</v>
      </c>
      <c r="Q7" s="88">
        <v>12000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-8000</v>
      </c>
      <c r="P8" s="104">
        <v>1</v>
      </c>
      <c r="Q8" s="88">
        <v>-8000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-53.7</v>
      </c>
      <c r="P13" s="104">
        <v>1</v>
      </c>
      <c r="Q13" s="92">
        <v>-53.7</v>
      </c>
    </row>
    <row r="14" spans="1:17">
      <c r="A14" s="47" t="s">
        <v>94</v>
      </c>
      <c r="B14" s="40">
        <v>3</v>
      </c>
      <c r="C14" s="33">
        <f>IF(B$3=0,0,B14/B$3)</f>
        <v>0.2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-17.100000000000001</v>
      </c>
      <c r="P14" s="104">
        <v>1</v>
      </c>
      <c r="Q14" s="92">
        <v>-17.100000000000001</v>
      </c>
    </row>
    <row r="15" spans="1:17">
      <c r="A15" s="46" t="s">
        <v>99</v>
      </c>
      <c r="B15" s="39">
        <f>B21</f>
        <v>1</v>
      </c>
      <c r="C15" s="31">
        <f>IF(B$13=0,0,B15/B$13)</f>
        <v>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6.6666666666666666E-2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0.2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10</v>
      </c>
      <c r="N18" s="99" t="s">
        <v>216</v>
      </c>
      <c r="O18" s="109">
        <f>IF(P18=0,0,Q18/P18)</f>
        <v>4.0999999999999979</v>
      </c>
      <c r="P18" s="103">
        <v>2</v>
      </c>
      <c r="Q18" s="91">
        <v>8.1999999999999957</v>
      </c>
    </row>
    <row r="19" spans="1:17">
      <c r="A19" s="47" t="s">
        <v>12</v>
      </c>
      <c r="B19" s="40">
        <v>1</v>
      </c>
      <c r="C19" s="33">
        <f>IF(B$17=0,0,B19/B$17)</f>
        <v>1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-36.949999999999996</v>
      </c>
      <c r="P19" s="104">
        <v>2</v>
      </c>
      <c r="Q19" s="92">
        <v>-73.899999999999991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>IF(P20=0,0,Q20/P20)</f>
        <v>-108.75</v>
      </c>
      <c r="P20" s="104">
        <v>2</v>
      </c>
      <c r="Q20" s="92">
        <v>-217.5</v>
      </c>
    </row>
    <row r="21" spans="1:17">
      <c r="A21" s="47" t="s">
        <v>151</v>
      </c>
      <c r="B21" s="40">
        <v>1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12000</v>
      </c>
      <c r="C24" s="35">
        <v>12000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12000</v>
      </c>
      <c r="C25" s="122">
        <v>12000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-9533.3333333333339</v>
      </c>
      <c r="C27" s="122">
        <v>-28600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4</v>
      </c>
      <c r="C29" s="120">
        <v>1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5</v>
      </c>
    </row>
    <row r="30" spans="1:17">
      <c r="A30" s="76" t="s">
        <v>111</v>
      </c>
      <c r="B30" s="168">
        <v>3</v>
      </c>
      <c r="C30" s="16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70">
        <v>22900</v>
      </c>
      <c r="C31" s="17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6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6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6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6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61">
        <v>1</v>
      </c>
      <c r="C40" s="33">
        <f t="shared" si="3"/>
        <v>1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6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6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61">
        <v>0</v>
      </c>
      <c r="C43" s="33">
        <f t="shared" si="3"/>
        <v>0</v>
      </c>
    </row>
    <row r="44" spans="1:9">
      <c r="A44" s="47" t="s">
        <v>144</v>
      </c>
      <c r="B44" s="161">
        <v>0</v>
      </c>
      <c r="C44" s="33">
        <f t="shared" si="3"/>
        <v>0</v>
      </c>
    </row>
    <row r="45" spans="1:9">
      <c r="A45" s="47" t="s">
        <v>145</v>
      </c>
      <c r="B45" s="161">
        <v>0</v>
      </c>
      <c r="C45" s="33">
        <f t="shared" si="3"/>
        <v>0</v>
      </c>
    </row>
    <row r="46" spans="1:9">
      <c r="A46" s="47" t="s">
        <v>146</v>
      </c>
      <c r="B46" s="16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72"/>
      <c r="C1" s="173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4">
        <v>0</v>
      </c>
      <c r="C2" s="175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76">
        <v>0</v>
      </c>
      <c r="C3" s="177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78">
        <v>0</v>
      </c>
      <c r="C4" s="179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80">
        <f>IF(B$2=0,0,B$4/B$2)</f>
        <v>0</v>
      </c>
      <c r="C5" s="181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82">
        <f>IF(B$2=0,0,(B$7*1+B$8*2+B$9*3+B$10*4)/B$2)</f>
        <v>0</v>
      </c>
      <c r="C6" s="183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70">
        <v>-1000000</v>
      </c>
      <c r="C31" s="171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72"/>
      <c r="C1" s="173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74">
        <v>0</v>
      </c>
      <c r="C2" s="175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76">
        <v>0</v>
      </c>
      <c r="C3" s="177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78">
        <v>0</v>
      </c>
      <c r="C4" s="179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80">
        <f>IF(B$2=0,0,B$4/B$2)</f>
        <v>0</v>
      </c>
      <c r="C5" s="181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82">
        <f>IF(B$2=0,0,(B$7*1+B$8*2+B$9*3+B$10*4)/B$2)</f>
        <v>0</v>
      </c>
      <c r="C6" s="183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8">
        <v>0</v>
      </c>
      <c r="C30" s="169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70">
        <v>-1000000</v>
      </c>
      <c r="C31" s="171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1767</vt:i4>
      </vt:variant>
    </vt:vector>
  </HeadingPairs>
  <TitlesOfParts>
    <vt:vector size="180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2022-07-14T09:41:25Z</dcterms:modified>
</cp:coreProperties>
</file>