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D004929-27DE-4C7A-B908-280AA2175043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02" l="1"/>
  <c r="O23" i="6315"/>
  <c r="O25" i="6314" l="1"/>
  <c r="O26" i="6309"/>
  <c r="O20" i="6307"/>
  <c r="O20" i="6305"/>
  <c r="O23" i="6305"/>
  <c r="O26" i="6305"/>
  <c r="O29" i="6307" l="1"/>
  <c r="O23" i="6307"/>
  <c r="O20" i="6302"/>
  <c r="O28" i="6302"/>
  <c r="O18" i="6302"/>
  <c r="O22" i="6314"/>
  <c r="O21" i="6314"/>
  <c r="O22" i="6313"/>
  <c r="O18" i="6315" l="1"/>
  <c r="O22" i="6315"/>
  <c r="O27" i="6304"/>
  <c r="O28" i="6304"/>
  <c r="O29" i="6304"/>
  <c r="O24" i="6314"/>
  <c r="O18" i="6314"/>
  <c r="O25" i="6309"/>
  <c r="O18" i="6309"/>
  <c r="O19" i="6309"/>
  <c r="O18" i="6311" l="1"/>
  <c r="O19" i="6315"/>
  <c r="O19" i="6314"/>
  <c r="O23" i="6301"/>
  <c r="O30" i="6301"/>
  <c r="O19" i="6301"/>
  <c r="O24" i="6315" l="1"/>
  <c r="O20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0" i="6313"/>
  <c r="O19" i="6311"/>
  <c r="O22" i="6311"/>
  <c r="O23" i="6311"/>
  <c r="O25" i="6272"/>
  <c r="O23" i="6314"/>
  <c r="O26" i="6314"/>
  <c r="O20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H11" i="6315" l="1"/>
  <c r="H28" i="6315"/>
  <c r="H17" i="6315"/>
  <c r="H7" i="6315"/>
  <c r="H37" i="6315"/>
  <c r="H20" i="6315"/>
  <c r="C37" i="6315"/>
  <c r="H14" i="6315"/>
  <c r="H30" i="6315"/>
  <c r="C19" i="6315"/>
  <c r="H16" i="6315"/>
  <c r="C39" i="6315"/>
  <c r="H8" i="6315"/>
  <c r="H2" i="6315"/>
  <c r="H18" i="6315"/>
  <c r="H9" i="6315"/>
  <c r="C20" i="6315"/>
  <c r="H3" i="6315"/>
  <c r="H10" i="6315"/>
  <c r="H23" i="6315"/>
  <c r="H27" i="6315"/>
  <c r="H41" i="6315"/>
  <c r="C41" i="6315"/>
  <c r="H42" i="6315"/>
  <c r="H24" i="6315"/>
  <c r="H15" i="6315"/>
  <c r="H34" i="6315"/>
  <c r="C42" i="6315"/>
  <c r="H4" i="6315"/>
  <c r="H33" i="6315"/>
  <c r="H13" i="6315"/>
  <c r="C17" i="6315"/>
  <c r="C23" i="6315"/>
  <c r="H6" i="6315"/>
  <c r="H19" i="6315"/>
  <c r="B24" i="6315"/>
  <c r="C35" i="6315"/>
  <c r="C43" i="6315"/>
  <c r="H38" i="6315"/>
  <c r="C46" i="6315"/>
  <c r="C22" i="6315"/>
  <c r="H32" i="6315"/>
  <c r="C38" i="6315"/>
  <c r="C47" i="6315"/>
  <c r="H21" i="6315"/>
  <c r="H25" i="6315"/>
  <c r="H29" i="6315"/>
  <c r="H35" i="6315"/>
  <c r="H39" i="6315"/>
  <c r="H5" i="6315"/>
  <c r="H22" i="6315"/>
  <c r="H26" i="6315"/>
  <c r="H31" i="6315"/>
  <c r="H36" i="6315"/>
  <c r="H40" i="6315"/>
  <c r="C44" i="6315"/>
  <c r="C21" i="6315"/>
  <c r="B25" i="6315"/>
  <c r="H12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4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5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6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3" i="6314"/>
  <c r="H12" i="6314"/>
  <c r="H15" i="6314"/>
  <c r="H17" i="6314"/>
  <c r="C20" i="6314"/>
  <c r="B24" i="6314"/>
  <c r="H29" i="6314"/>
  <c r="C35" i="6314"/>
  <c r="C39" i="6314"/>
  <c r="O28" i="6313" l="1"/>
  <c r="O25" i="6313"/>
  <c r="O24" i="6313"/>
  <c r="O19" i="6310"/>
  <c r="O22" i="6310"/>
  <c r="O27" i="6303"/>
  <c r="O24" i="6303"/>
  <c r="O26" i="6303"/>
  <c r="O26" i="6307"/>
  <c r="O19" i="6307"/>
  <c r="O27" i="6301" l="1"/>
  <c r="O21" i="6313"/>
  <c r="O23" i="6313" l="1"/>
  <c r="O27" i="6313"/>
  <c r="O26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3" i="6309"/>
  <c r="O24" i="6309"/>
  <c r="O56" i="6272"/>
  <c r="H2" i="6313" l="1"/>
  <c r="H14" i="6313"/>
  <c r="C35" i="6313"/>
  <c r="C20" i="6313"/>
  <c r="H10" i="6313"/>
  <c r="H41" i="6313"/>
  <c r="H17" i="6313"/>
  <c r="H19" i="6313"/>
  <c r="C21" i="6313"/>
  <c r="H28" i="6313"/>
  <c r="C36" i="6313"/>
  <c r="C41" i="6313"/>
  <c r="H23" i="6313"/>
  <c r="H29" i="6313"/>
  <c r="H37" i="6313"/>
  <c r="C42" i="6313"/>
  <c r="H31" i="6313"/>
  <c r="H4" i="6313"/>
  <c r="H15" i="6313"/>
  <c r="C37" i="6313"/>
  <c r="H3" i="6313"/>
  <c r="H20" i="6313"/>
  <c r="C23" i="6313"/>
  <c r="H32" i="6313"/>
  <c r="C38" i="6313"/>
  <c r="C43" i="6313"/>
  <c r="H7" i="6313"/>
  <c r="C22" i="6313"/>
  <c r="C45" i="6313"/>
  <c r="C17" i="6313"/>
  <c r="H5" i="6313"/>
  <c r="H11" i="6313"/>
  <c r="H6" i="6313"/>
  <c r="H9" i="6313"/>
  <c r="H18" i="6313"/>
  <c r="H25" i="6313"/>
  <c r="H39" i="6313"/>
  <c r="H16" i="6313"/>
  <c r="C19" i="6313"/>
  <c r="B24" i="6313"/>
  <c r="H34" i="6313"/>
  <c r="C39" i="6313"/>
  <c r="C46" i="6313"/>
  <c r="H8" i="6313"/>
  <c r="H22" i="6313"/>
  <c r="H13" i="6313"/>
  <c r="H35" i="6313"/>
  <c r="C40" i="6313"/>
  <c r="C47" i="6313"/>
  <c r="B25" i="6313"/>
  <c r="H21" i="6313"/>
  <c r="H24" i="6313"/>
  <c r="H27" i="6313"/>
  <c r="H33" i="6313"/>
  <c r="H38" i="6313"/>
  <c r="H42" i="6313"/>
  <c r="H12" i="6313"/>
  <c r="H26" i="6313"/>
  <c r="H30" i="6313"/>
  <c r="H36" i="6313"/>
  <c r="H40" i="6313"/>
  <c r="O20" i="6287" l="1"/>
  <c r="O18" i="6287"/>
  <c r="O23" i="6287"/>
  <c r="O19" i="6306"/>
  <c r="O26" i="6306"/>
  <c r="O27" i="6306"/>
  <c r="O23" i="6308"/>
  <c r="O21" i="6308"/>
  <c r="O29" i="6309"/>
  <c r="O20" i="6309"/>
  <c r="O23" i="6293" l="1"/>
  <c r="O27" i="6293"/>
  <c r="O18" i="6293"/>
  <c r="O28" i="6307"/>
  <c r="O21" i="6307"/>
  <c r="O24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0" i="6311"/>
  <c r="O21" i="6311"/>
  <c r="O24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6" i="6301"/>
  <c r="O32" i="6301"/>
  <c r="O29" i="6301"/>
  <c r="O21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8" i="6309"/>
  <c r="O2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8" i="6309"/>
  <c r="B6" i="6309"/>
  <c r="O5" i="6309"/>
  <c r="B5" i="6309"/>
  <c r="O4" i="6309"/>
  <c r="O3" i="6309"/>
  <c r="H7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27" i="6307"/>
  <c r="O22" i="6307"/>
  <c r="O2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48" i="6272"/>
  <c r="O28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6" i="6307"/>
  <c r="H18" i="6307"/>
  <c r="H4" i="6307"/>
  <c r="C21" i="6307"/>
  <c r="H13" i="6307"/>
  <c r="H8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1" i="6309"/>
  <c r="H35" i="6309"/>
  <c r="H33" i="6309"/>
  <c r="C20" i="6309"/>
  <c r="C39" i="6309"/>
  <c r="H16" i="6309"/>
  <c r="H2" i="6309"/>
  <c r="B24" i="6309"/>
  <c r="H41" i="6309"/>
  <c r="C41" i="6309"/>
  <c r="H23" i="6309"/>
  <c r="H28" i="6309"/>
  <c r="C35" i="6309"/>
  <c r="H42" i="6309"/>
  <c r="H3" i="6309"/>
  <c r="C17" i="6309"/>
  <c r="H11" i="6309"/>
  <c r="H19" i="6309"/>
  <c r="H24" i="6309"/>
  <c r="H29" i="6309"/>
  <c r="C37" i="6309"/>
  <c r="C43" i="6309"/>
  <c r="H14" i="6309"/>
  <c r="C22" i="6309"/>
  <c r="H5" i="6309"/>
  <c r="H17" i="6309"/>
  <c r="C23" i="6309"/>
  <c r="H10" i="6309"/>
  <c r="H38" i="6309"/>
  <c r="C46" i="6309"/>
  <c r="H6" i="6309"/>
  <c r="H37" i="6309"/>
  <c r="H4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2" i="6307"/>
  <c r="C22" i="6307"/>
  <c r="H31" i="6307"/>
  <c r="C37" i="6307"/>
  <c r="H5" i="6307"/>
  <c r="C43" i="6307"/>
  <c r="H37" i="6307"/>
  <c r="H14" i="6307"/>
  <c r="H2" i="6307"/>
  <c r="H32" i="6307"/>
  <c r="H7" i="6307"/>
  <c r="H17" i="6307"/>
  <c r="H24" i="6307"/>
  <c r="H39" i="6307"/>
  <c r="C45" i="6307"/>
  <c r="H29" i="6307"/>
  <c r="H12" i="6307"/>
  <c r="C23" i="6307"/>
  <c r="H3" i="6307"/>
  <c r="H15" i="6307"/>
  <c r="C19" i="6307"/>
  <c r="B24" i="6307"/>
  <c r="H34" i="6307"/>
  <c r="C39" i="6307"/>
  <c r="C46" i="6307"/>
  <c r="C17" i="6307"/>
  <c r="H19" i="6307"/>
  <c r="C38" i="6307"/>
  <c r="H11" i="6307"/>
  <c r="H20" i="6307"/>
  <c r="H26" i="6307"/>
  <c r="H35" i="6307"/>
  <c r="C40" i="6307"/>
  <c r="C47" i="6307"/>
  <c r="B25" i="6307"/>
  <c r="H9" i="6307"/>
  <c r="H23" i="6307"/>
  <c r="H27" i="6307"/>
  <c r="H33" i="6307"/>
  <c r="H38" i="6307"/>
  <c r="H42" i="6307"/>
  <c r="H21" i="6307"/>
  <c r="H25" i="6307"/>
  <c r="H30" i="6307"/>
  <c r="H36" i="6307"/>
  <c r="H40" i="6307"/>
  <c r="O25" i="6305" l="1"/>
  <c r="O23" i="6298"/>
  <c r="O28" i="6305" l="1"/>
  <c r="O27" i="6305"/>
  <c r="O18" i="6295"/>
  <c r="O21" i="6287"/>
  <c r="O24" i="6305"/>
  <c r="O22" i="6305"/>
  <c r="O20" i="6306"/>
  <c r="O24" i="6306"/>
  <c r="O22" i="6306"/>
  <c r="O26" i="6304"/>
  <c r="O24" i="6304"/>
  <c r="O23" i="6304"/>
  <c r="O31" i="6277"/>
  <c r="O23" i="6277"/>
  <c r="O28" i="6301" l="1"/>
  <c r="O22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1" i="6302" l="1"/>
  <c r="O30" i="6302"/>
  <c r="O25" i="6301"/>
  <c r="O21" i="6301"/>
  <c r="O18" i="6305"/>
  <c r="O19" i="6305"/>
  <c r="O21" i="6305"/>
  <c r="C32" i="6305"/>
  <c r="B27" i="6305"/>
  <c r="C18" i="6305"/>
  <c r="B17" i="6305"/>
  <c r="C17" i="6305" s="1"/>
  <c r="H18" i="6305"/>
  <c r="B16" i="6305"/>
  <c r="O15" i="6305"/>
  <c r="H17" i="6305"/>
  <c r="B15" i="6305"/>
  <c r="C15" i="6305" s="1"/>
  <c r="O14" i="6305"/>
  <c r="C14" i="6305"/>
  <c r="O13" i="6305"/>
  <c r="H15" i="6305"/>
  <c r="C13" i="6305"/>
  <c r="O12" i="6305"/>
  <c r="H14" i="6305"/>
  <c r="C12" i="6305"/>
  <c r="B11" i="6305"/>
  <c r="C11" i="6305" s="1"/>
  <c r="H4" i="6305"/>
  <c r="C10" i="6305"/>
  <c r="O9" i="6305"/>
  <c r="H8" i="6305"/>
  <c r="C9" i="6305"/>
  <c r="O8" i="6305"/>
  <c r="H11" i="6305"/>
  <c r="C8" i="6305"/>
  <c r="O7" i="6305"/>
  <c r="H7" i="6305"/>
  <c r="C7" i="6305"/>
  <c r="O6" i="6305"/>
  <c r="H6" i="6305"/>
  <c r="B6" i="6305"/>
  <c r="O5" i="6305"/>
  <c r="H9" i="6305"/>
  <c r="B5" i="6305"/>
  <c r="O4" i="6305"/>
  <c r="H5" i="6305"/>
  <c r="O3" i="6305"/>
  <c r="H10" i="6305"/>
  <c r="O2" i="6305"/>
  <c r="H2" i="6305"/>
  <c r="O43" i="6277"/>
  <c r="O52" i="6272"/>
  <c r="H13" i="6305" l="1"/>
  <c r="H16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6" i="6302" l="1"/>
  <c r="O20" i="6304"/>
  <c r="O30" i="6298" l="1"/>
  <c r="O40" i="6287"/>
  <c r="O18" i="6304"/>
  <c r="O19" i="6304"/>
  <c r="O21" i="6277" l="1"/>
  <c r="O36" i="6277"/>
  <c r="O26" i="6299"/>
  <c r="O23" i="6302"/>
  <c r="O25" i="6295" l="1"/>
  <c r="O21" i="6299"/>
  <c r="O20" i="6299"/>
  <c r="O18" i="6303"/>
  <c r="O21" i="6303"/>
  <c r="O36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7" i="6302" l="1"/>
  <c r="O24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2" i="6302"/>
  <c r="O29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2" i="6302"/>
  <c r="C10" i="6302"/>
  <c r="O9" i="6302"/>
  <c r="H7" i="6302"/>
  <c r="C9" i="6302"/>
  <c r="O8" i="6302"/>
  <c r="H12" i="6302"/>
  <c r="C8" i="6302"/>
  <c r="O7" i="6302"/>
  <c r="H5" i="6302"/>
  <c r="C7" i="6302"/>
  <c r="O6" i="6302"/>
  <c r="H9" i="6302"/>
  <c r="B6" i="6302"/>
  <c r="O5" i="6302"/>
  <c r="H8" i="6302"/>
  <c r="B5" i="6302"/>
  <c r="O4" i="6302"/>
  <c r="H4" i="6302"/>
  <c r="O3" i="6302"/>
  <c r="H10" i="6302"/>
  <c r="O2" i="6302"/>
  <c r="H3" i="6302"/>
  <c r="O19" i="6299"/>
  <c r="O30" i="6272"/>
  <c r="H18" i="6302" l="1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20" i="6301"/>
  <c r="O31" i="6301"/>
  <c r="O18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9" i="6301"/>
  <c r="C7" i="6301"/>
  <c r="O6" i="6301"/>
  <c r="H4" i="6301"/>
  <c r="B6" i="6301"/>
  <c r="O5" i="6301"/>
  <c r="H8" i="6301"/>
  <c r="B5" i="6301"/>
  <c r="O4" i="6301"/>
  <c r="H2" i="6301"/>
  <c r="O3" i="6301"/>
  <c r="H5" i="6301"/>
  <c r="O2" i="6301"/>
  <c r="H3" i="6301"/>
  <c r="O35" i="6277"/>
  <c r="O22" i="6272"/>
  <c r="H12" i="6301" l="1"/>
  <c r="B26" i="6301"/>
  <c r="C16" i="6301"/>
  <c r="C47" i="6301"/>
  <c r="C46" i="6301"/>
  <c r="C45" i="6301"/>
  <c r="C44" i="6301"/>
  <c r="C43" i="6301"/>
  <c r="H7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7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7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0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7" i="6272"/>
  <c r="O49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4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5" i="6272"/>
  <c r="C37" i="6272"/>
  <c r="H2" i="6272"/>
  <c r="H17" i="6272"/>
  <c r="H26" i="6272"/>
  <c r="C38" i="6272"/>
  <c r="H30" i="6272"/>
  <c r="H22" i="6272"/>
  <c r="H39" i="6272"/>
  <c r="C45" i="6272"/>
  <c r="H32" i="6272"/>
  <c r="C43" i="6272"/>
  <c r="H6" i="6272"/>
  <c r="H5" i="6272"/>
  <c r="C19" i="6272"/>
  <c r="H27" i="6272"/>
  <c r="C39" i="6272"/>
  <c r="C46" i="6272"/>
  <c r="H10" i="6272"/>
  <c r="H7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3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<sst xmlns="http://schemas.openxmlformats.org/spreadsheetml/2006/main" count="8683" uniqueCount="284">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</sst>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xVal>
          <c:yVal>
            <c:numRef>
              <c:f>全体!$L$2:$L$367</c:f>
              <c:numCache>
                <c:formatCode>\+0.0;\-0.0;\±0</c:formatCode>
                <c:ptCount val="3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-68.493150684931507</c:v>
                </c:pt>
                <c:pt idx="1">
                  <c:v>0</c:v>
                </c:pt>
                <c:pt idx="2">
                  <c:v>-19.047619047619047</c:v>
                </c:pt>
                <c:pt idx="3">
                  <c:v>-67.692307692307693</c:v>
                </c:pt>
                <c:pt idx="4">
                  <c:v>-21.551724137931036</c:v>
                </c:pt>
                <c:pt idx="5">
                  <c:v>-52.631578947368418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66</c:v>
                </c:pt>
                <c:pt idx="1">
                  <c:v>108</c:v>
                </c:pt>
                <c:pt idx="2">
                  <c:v>130</c:v>
                </c:pt>
                <c:pt idx="3">
                  <c:v>119</c:v>
                </c:pt>
                <c:pt idx="4">
                  <c:v>57</c:v>
                </c:pt>
                <c:pt idx="5">
                  <c:v>58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中村花菜!$L$2:$L$14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-3483.3333333333335</c:v>
                </c:pt>
                <c:pt idx="1">
                  <c:v>-2333.3333333333335</c:v>
                </c:pt>
                <c:pt idx="2">
                  <c:v>-3575</c:v>
                </c:pt>
                <c:pt idx="3">
                  <c:v>-1590.909090909091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中村季暉!$L$2:$L$16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-1114.2857142857142</c:v>
                </c:pt>
                <c:pt idx="1">
                  <c:v>-71.428571428571431</c:v>
                </c:pt>
                <c:pt idx="2">
                  <c:v>-353.84615384615387</c:v>
                </c:pt>
                <c:pt idx="3">
                  <c:v>-1391.6666666666667</c:v>
                </c:pt>
                <c:pt idx="4">
                  <c:v>-2516.6666666666665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塩入悠!$L$2:$L$11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-5177.7777777777774</c:v>
                </c:pt>
                <c:pt idx="1">
                  <c:v>-2233.3333333333335</c:v>
                </c:pt>
                <c:pt idx="2">
                  <c:v>-262.5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宮澤七星!$L$2:$L$9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1585.7142857142858</c:v>
                </c:pt>
                <c:pt idx="2">
                  <c:v>2716.6666666666665</c:v>
                </c:pt>
                <c:pt idx="3">
                  <c:v>1033.3333333333333</c:v>
                </c:pt>
                <c:pt idx="4">
                  <c:v>3550</c:v>
                </c:pt>
                <c:pt idx="5">
                  <c:v>3850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湯本咲蔵!$L$2:$L$8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483.33333333333331</c:v>
                </c:pt>
                <c:pt idx="1">
                  <c:v>1200</c:v>
                </c:pt>
                <c:pt idx="2">
                  <c:v>766.66666666666663</c:v>
                </c:pt>
                <c:pt idx="3">
                  <c:v>-1900</c:v>
                </c:pt>
                <c:pt idx="4">
                  <c:v>780</c:v>
                </c:pt>
                <c:pt idx="5">
                  <c:v>6000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山本悠介!$L$2:$L$10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1962.5</c:v>
                </c:pt>
                <c:pt idx="1">
                  <c:v>912.5</c:v>
                </c:pt>
                <c:pt idx="2">
                  <c:v>275</c:v>
                </c:pt>
                <c:pt idx="3">
                  <c:v>1133.3333333333333</c:v>
                </c:pt>
                <c:pt idx="4">
                  <c:v>-566.66666666666663</c:v>
                </c:pt>
                <c:pt idx="5">
                  <c:v>-500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渡部陵瑛!$L$2:$L$5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-433.33333333333331</c:v>
                </c:pt>
                <c:pt idx="2">
                  <c:v>-7633.333333333333</c:v>
                </c:pt>
                <c:pt idx="3">
                  <c:v>2666.6666666666665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清水常緑!$L$2:$L$8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916.66666666666663</c:v>
                </c:pt>
                <c:pt idx="1">
                  <c:v>3633.3333333333335</c:v>
                </c:pt>
                <c:pt idx="2">
                  <c:v>2483.3333333333335</c:v>
                </c:pt>
                <c:pt idx="3">
                  <c:v>3016.6666666666665</c:v>
                </c:pt>
                <c:pt idx="4">
                  <c:v>200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所附快和!$L$2:$L$9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-2971.4285714285716</c:v>
                </c:pt>
                <c:pt idx="1">
                  <c:v>-2028.5714285714287</c:v>
                </c:pt>
                <c:pt idx="2">
                  <c:v>-2300</c:v>
                </c:pt>
                <c:pt idx="3">
                  <c:v>-360</c:v>
                </c:pt>
                <c:pt idx="4">
                  <c:v>-375</c:v>
                </c:pt>
                <c:pt idx="5">
                  <c:v>-1333.3333333333333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長野柊馬!$L$2:$L$7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5700</c:v>
                </c:pt>
                <c:pt idx="1">
                  <c:v>-620</c:v>
                </c:pt>
                <c:pt idx="2">
                  <c:v>2440</c:v>
                </c:pt>
                <c:pt idx="3">
                  <c:v>-2133.3333333333335</c:v>
                </c:pt>
                <c:pt idx="4">
                  <c:v>-2250</c:v>
                </c:pt>
                <c:pt idx="5">
                  <c:v>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3">
      <c r="A65" s="24" t="s">
        <v>279</v>
      </c>
      <c r="B65" s="25">
        <v>45111.7262962963</v>
      </c>
      <c r="C65" s="24" t="s">
        <v>102</v>
      </c>
    </row>
    <row r="66" spans="1:3">
      <c r="A66" s="24" t="s">
        <v>280</v>
      </c>
      <c r="B66" s="25">
        <v>45111.766608796293</v>
      </c>
      <c r="C66" s="24" t="s">
        <v>102</v>
      </c>
    </row>
    <row r="67" spans="1:3">
      <c r="A67" s="24" t="s">
        <v>281</v>
      </c>
      <c r="B67" s="25">
        <v>45113.762731481482</v>
      </c>
      <c r="C67" s="24" t="s">
        <v>102</v>
      </c>
    </row>
    <row r="68" spans="1:3">
      <c r="A68" s="24" t="s">
        <v>282</v>
      </c>
      <c r="B68" s="25">
        <v>45118.73510416667</v>
      </c>
      <c r="C68" s="24" t="s">
        <v>102</v>
      </c>
    </row>
    <row r="69" spans="1:3">
      <c r="A69" s="24" t="s">
        <v>283</v>
      </c>
      <c r="B69" s="25">
        <v>45118.775081018517</v>
      </c>
      <c r="C6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12</v>
      </c>
    </row>
    <row r="30" spans="1:2">
      <c r="A30" t="s">
        <v>238</v>
      </c>
      <c r="B30">
        <v>14</v>
      </c>
    </row>
    <row r="31" spans="1:2">
      <c r="A31" t="s">
        <v>241</v>
      </c>
      <c r="B31">
        <v>7</v>
      </c>
    </row>
    <row r="32" spans="1:2">
      <c r="A32" t="s">
        <v>244</v>
      </c>
      <c r="B32">
        <v>9</v>
      </c>
    </row>
    <row r="33" spans="1:2">
      <c r="A33" t="s">
        <v>255</v>
      </c>
      <c r="B33">
        <v>7</v>
      </c>
    </row>
    <row r="34" spans="1:2">
      <c r="A34" t="s">
        <v>258</v>
      </c>
      <c r="B34">
        <v>6</v>
      </c>
    </row>
    <row r="35" spans="1:2">
      <c r="A35" t="s">
        <v>265</v>
      </c>
      <c r="B35">
        <v>6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</v>
      </c>
    </row>
    <row r="42" spans="1:2">
      <c r="A42" t="s">
        <v>277</v>
      </c>
      <c r="B42">
        <v>7</v>
      </c>
    </row>
    <row r="43" spans="1:2">
      <c r="A43" t="s">
        <v>276</v>
      </c>
      <c r="B43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0.72162357214336748</v>
      </c>
      <c r="C2" s="113"/>
      <c r="D2" s="110"/>
      <c r="E2" s="111"/>
      <c r="F2" s="110"/>
      <c r="G2" s="111"/>
      <c r="H2" s="112">
        <v>0.83282448293909894</v>
      </c>
      <c r="I2" s="113"/>
      <c r="J2" s="112">
        <v>0.68721100184677519</v>
      </c>
      <c r="K2" s="113"/>
      <c r="L2" s="112">
        <v>0.61486096166006843</v>
      </c>
      <c r="M2" s="113"/>
      <c r="N2" s="112">
        <v>0.70998659289625943</v>
      </c>
      <c r="O2" s="113"/>
      <c r="P2" s="112">
        <v>0.61895003121032044</v>
      </c>
      <c r="Q2" s="113"/>
      <c r="R2" s="112">
        <v>0.54967145006362328</v>
      </c>
      <c r="S2" s="113"/>
      <c r="T2" s="112">
        <v>0.29542724547525279</v>
      </c>
      <c r="U2" s="113"/>
      <c r="V2" s="112">
        <v>0.35438099669612494</v>
      </c>
      <c r="W2" s="113"/>
      <c r="X2" s="112">
        <v>0.20404619379661576</v>
      </c>
      <c r="Y2" s="113"/>
      <c r="Z2" s="112">
        <v>0.21302135642060535</v>
      </c>
      <c r="AA2" s="113"/>
      <c r="AB2" s="112">
        <v>0.15820433191960231</v>
      </c>
      <c r="AC2" s="113"/>
      <c r="AD2" s="112">
        <v>0.40915839282988281</v>
      </c>
      <c r="AE2" s="113"/>
      <c r="AF2" s="112">
        <v>-0.49050630896483494</v>
      </c>
      <c r="AG2" s="113"/>
      <c r="AH2" s="112">
        <v>0.68847422713765349</v>
      </c>
      <c r="AI2" s="113"/>
    </row>
    <row r="3" spans="1:35">
      <c r="A3" s="36">
        <v>1</v>
      </c>
      <c r="B3" s="37" t="s">
        <v>114</v>
      </c>
      <c r="C3" s="106">
        <v>91.25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276</v>
      </c>
      <c r="U4" s="51">
        <v>8877.7777777777774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0.8571428571428571</v>
      </c>
      <c r="AF4" s="47" t="s">
        <v>235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263</v>
      </c>
      <c r="S5" s="50">
        <v>4.7619047619047616E-2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272</v>
      </c>
      <c r="E6" s="46">
        <v>189.9</v>
      </c>
      <c r="F6" s="47" t="s">
        <v>264</v>
      </c>
      <c r="G6" s="59">
        <v>31.650000000000002</v>
      </c>
      <c r="H6" s="47" t="s">
        <v>272</v>
      </c>
      <c r="I6" s="48">
        <v>1.6666666666666667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265</v>
      </c>
      <c r="S6" s="50">
        <v>7.4999999999999997E-2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0.32558139534883723</v>
      </c>
      <c r="Z6" s="47" t="s">
        <v>163</v>
      </c>
      <c r="AA6" s="50">
        <v>0.3188405797101449</v>
      </c>
      <c r="AB6" s="47" t="s">
        <v>263</v>
      </c>
      <c r="AC6" s="50">
        <v>0.76923076923076927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168</v>
      </c>
      <c r="E7" s="46">
        <v>154.39999999999998</v>
      </c>
      <c r="F7" s="47" t="s">
        <v>272</v>
      </c>
      <c r="G7" s="59">
        <v>31.650000000000002</v>
      </c>
      <c r="H7" s="47" t="s">
        <v>205</v>
      </c>
      <c r="I7" s="48">
        <v>1.75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272</v>
      </c>
      <c r="O7" s="49">
        <v>0.83333333333333337</v>
      </c>
      <c r="P7" s="47" t="s">
        <v>265</v>
      </c>
      <c r="Q7" s="50">
        <v>0.3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272</v>
      </c>
      <c r="W7" s="51">
        <v>-3000</v>
      </c>
      <c r="X7" s="47" t="s">
        <v>167</v>
      </c>
      <c r="Y7" s="50">
        <v>0.2857142857142857</v>
      </c>
      <c r="Z7" s="47" t="s">
        <v>263</v>
      </c>
      <c r="AA7" s="50">
        <v>0.31746031746031744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167</v>
      </c>
      <c r="AG7" s="50">
        <v>0.5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205</v>
      </c>
      <c r="E8" s="46">
        <v>141.1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265</v>
      </c>
      <c r="K8" s="49">
        <v>0.5</v>
      </c>
      <c r="L8" s="47" t="s">
        <v>231</v>
      </c>
      <c r="M8" s="49">
        <v>0</v>
      </c>
      <c r="N8" s="47" t="s">
        <v>276</v>
      </c>
      <c r="O8" s="49">
        <v>0.8</v>
      </c>
      <c r="P8" s="47" t="s">
        <v>167</v>
      </c>
      <c r="Q8" s="50">
        <v>0.2857142857142857</v>
      </c>
      <c r="R8" s="47" t="s">
        <v>276</v>
      </c>
      <c r="S8" s="50">
        <v>8.1081081081081086E-2</v>
      </c>
      <c r="T8" s="47" t="s">
        <v>175</v>
      </c>
      <c r="U8" s="51">
        <v>8400</v>
      </c>
      <c r="V8" s="47" t="s">
        <v>191</v>
      </c>
      <c r="W8" s="51">
        <v>-3740</v>
      </c>
      <c r="X8" s="47" t="s">
        <v>223</v>
      </c>
      <c r="Y8" s="50">
        <v>0.2857142857142857</v>
      </c>
      <c r="Z8" s="47" t="s">
        <v>276</v>
      </c>
      <c r="AA8" s="50">
        <v>0.29729729729729731</v>
      </c>
      <c r="AB8" s="47" t="s">
        <v>166</v>
      </c>
      <c r="AC8" s="50">
        <v>0.75</v>
      </c>
      <c r="AD8" s="47" t="s">
        <v>241</v>
      </c>
      <c r="AE8" s="50">
        <v>0.53846153846153844</v>
      </c>
      <c r="AF8" s="47" t="s">
        <v>203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255</v>
      </c>
      <c r="E9" s="46">
        <v>135.5</v>
      </c>
      <c r="F9" s="47" t="s">
        <v>276</v>
      </c>
      <c r="G9" s="59">
        <v>21.340000000000003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263</v>
      </c>
      <c r="M9" s="49">
        <v>0</v>
      </c>
      <c r="N9" s="47" t="s">
        <v>205</v>
      </c>
      <c r="O9" s="49">
        <v>0.75</v>
      </c>
      <c r="P9" s="47" t="s">
        <v>263</v>
      </c>
      <c r="Q9" s="50">
        <v>0.2857142857142857</v>
      </c>
      <c r="R9" s="47" t="s">
        <v>169</v>
      </c>
      <c r="S9" s="50">
        <v>8.191126279863481E-2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276</v>
      </c>
      <c r="Y9" s="50">
        <v>0.27027027027027029</v>
      </c>
      <c r="Z9" s="47" t="s">
        <v>195</v>
      </c>
      <c r="AA9" s="50">
        <v>0.29657794676806082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223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231</v>
      </c>
      <c r="E10" s="46">
        <v>112.5</v>
      </c>
      <c r="F10" s="47" t="s">
        <v>255</v>
      </c>
      <c r="G10" s="59">
        <v>19.357142857142858</v>
      </c>
      <c r="H10" s="47" t="s">
        <v>255</v>
      </c>
      <c r="I10" s="48">
        <v>2</v>
      </c>
      <c r="J10" s="47" t="s">
        <v>272</v>
      </c>
      <c r="K10" s="49">
        <v>0.5</v>
      </c>
      <c r="L10" s="47" t="s">
        <v>264</v>
      </c>
      <c r="M10" s="49">
        <v>0</v>
      </c>
      <c r="N10" s="47" t="s">
        <v>191</v>
      </c>
      <c r="O10" s="49">
        <v>0.7142857142857143</v>
      </c>
      <c r="P10" s="47" t="s">
        <v>272</v>
      </c>
      <c r="Q10" s="50">
        <v>0.27906976744186046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179</v>
      </c>
      <c r="AE10" s="50">
        <v>0.45454545454545453</v>
      </c>
      <c r="AF10" s="47" t="s">
        <v>255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276</v>
      </c>
      <c r="E11" s="46">
        <v>106.70000000000002</v>
      </c>
      <c r="F11" s="47" t="s">
        <v>169</v>
      </c>
      <c r="G11" s="59">
        <v>15.856410256410255</v>
      </c>
      <c r="H11" s="47" t="s">
        <v>276</v>
      </c>
      <c r="I11" s="48">
        <v>2</v>
      </c>
      <c r="J11" s="47" t="s">
        <v>255</v>
      </c>
      <c r="K11" s="49">
        <v>0.42857142857142855</v>
      </c>
      <c r="L11" s="47" t="s">
        <v>268</v>
      </c>
      <c r="M11" s="49">
        <v>0</v>
      </c>
      <c r="N11" s="47" t="s">
        <v>255</v>
      </c>
      <c r="O11" s="49">
        <v>0.7142857142857143</v>
      </c>
      <c r="P11" s="47" t="s">
        <v>195</v>
      </c>
      <c r="Q11" s="50">
        <v>0.27376425855513309</v>
      </c>
      <c r="R11" s="47" t="s">
        <v>272</v>
      </c>
      <c r="S11" s="50">
        <v>9.3023255813953487E-2</v>
      </c>
      <c r="T11" s="47" t="s">
        <v>269</v>
      </c>
      <c r="U11" s="51">
        <v>8000</v>
      </c>
      <c r="V11" s="47" t="s">
        <v>258</v>
      </c>
      <c r="W11" s="51">
        <v>-4022.2222222222222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168</v>
      </c>
      <c r="AC11" s="50">
        <v>0.7142857142857143</v>
      </c>
      <c r="AD11" s="47" t="s">
        <v>263</v>
      </c>
      <c r="AE11" s="50">
        <v>0.4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265</v>
      </c>
      <c r="E12" s="46">
        <v>94.100000000000009</v>
      </c>
      <c r="F12" s="47" t="s">
        <v>265</v>
      </c>
      <c r="G12" s="59">
        <v>15.683333333333335</v>
      </c>
      <c r="H12" s="47" t="s">
        <v>263</v>
      </c>
      <c r="I12" s="48">
        <v>2.125</v>
      </c>
      <c r="J12" s="47" t="s">
        <v>276</v>
      </c>
      <c r="K12" s="49">
        <v>0.4</v>
      </c>
      <c r="L12" s="47" t="s">
        <v>272</v>
      </c>
      <c r="M12" s="49">
        <v>0</v>
      </c>
      <c r="N12" s="47" t="s">
        <v>162</v>
      </c>
      <c r="O12" s="49">
        <v>0.66666666666666663</v>
      </c>
      <c r="P12" s="47" t="s">
        <v>162</v>
      </c>
      <c r="Q12" s="50">
        <v>0.26923076923076922</v>
      </c>
      <c r="R12" s="47" t="s">
        <v>255</v>
      </c>
      <c r="S12" s="50">
        <v>0.10416666666666667</v>
      </c>
      <c r="T12" s="47" t="s">
        <v>231</v>
      </c>
      <c r="U12" s="51">
        <v>7975</v>
      </c>
      <c r="V12" s="47" t="s">
        <v>263</v>
      </c>
      <c r="W12" s="51">
        <v>-4766.666666666667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272</v>
      </c>
      <c r="AC12" s="50">
        <v>0.6428571428571429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238</v>
      </c>
      <c r="C13" s="107">
        <v>14</v>
      </c>
      <c r="D13" s="45" t="s">
        <v>263</v>
      </c>
      <c r="E13" s="46">
        <v>79.699999999999989</v>
      </c>
      <c r="F13" s="47" t="s">
        <v>167</v>
      </c>
      <c r="G13" s="59">
        <v>14</v>
      </c>
      <c r="H13" s="47" t="s">
        <v>169</v>
      </c>
      <c r="I13" s="48">
        <v>2.1282051282051282</v>
      </c>
      <c r="J13" s="47" t="s">
        <v>168</v>
      </c>
      <c r="K13" s="49">
        <v>0.3888888888888889</v>
      </c>
      <c r="L13" s="47" t="s">
        <v>191</v>
      </c>
      <c r="M13" s="49">
        <v>7.1428571428571425E-2</v>
      </c>
      <c r="N13" s="47" t="s">
        <v>265</v>
      </c>
      <c r="O13" s="49">
        <v>0.66666666666666663</v>
      </c>
      <c r="P13" s="47" t="s">
        <v>255</v>
      </c>
      <c r="Q13" s="50">
        <v>0.25</v>
      </c>
      <c r="R13" s="47" t="s">
        <v>177</v>
      </c>
      <c r="S13" s="50">
        <v>0.10526315789473684</v>
      </c>
      <c r="T13" s="47" t="s">
        <v>264</v>
      </c>
      <c r="U13" s="51">
        <v>7966.666666666667</v>
      </c>
      <c r="V13" s="47" t="s">
        <v>202</v>
      </c>
      <c r="W13" s="51">
        <v>-4800</v>
      </c>
      <c r="X13" s="47" t="s">
        <v>195</v>
      </c>
      <c r="Y13" s="50">
        <v>0.2509505703422053</v>
      </c>
      <c r="Z13" s="47" t="s">
        <v>179</v>
      </c>
      <c r="AA13" s="50">
        <v>0.25190839694656486</v>
      </c>
      <c r="AB13" s="47" t="s">
        <v>169</v>
      </c>
      <c r="AC13" s="50">
        <v>0.63461538461538458</v>
      </c>
      <c r="AD13" s="47" t="s">
        <v>238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12</v>
      </c>
      <c r="D14" s="45" t="s">
        <v>191</v>
      </c>
      <c r="E14" s="46">
        <v>79.299999999999983</v>
      </c>
      <c r="F14" s="47" t="s">
        <v>263</v>
      </c>
      <c r="G14" s="59">
        <v>9.9624999999999986</v>
      </c>
      <c r="H14" s="47" t="s">
        <v>191</v>
      </c>
      <c r="I14" s="48">
        <v>2.1428571428571428</v>
      </c>
      <c r="J14" s="47" t="s">
        <v>163</v>
      </c>
      <c r="K14" s="49">
        <v>0.375</v>
      </c>
      <c r="L14" s="47" t="s">
        <v>169</v>
      </c>
      <c r="M14" s="49">
        <v>0.12820512820512819</v>
      </c>
      <c r="N14" s="47" t="s">
        <v>169</v>
      </c>
      <c r="O14" s="49">
        <v>0.64102564102564108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255</v>
      </c>
      <c r="U14" s="51">
        <v>7950</v>
      </c>
      <c r="V14" s="47" t="s">
        <v>162</v>
      </c>
      <c r="W14" s="51">
        <v>-5000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228</v>
      </c>
      <c r="AC14" s="50">
        <v>0.61904761904761907</v>
      </c>
      <c r="AD14" s="47" t="s">
        <v>195</v>
      </c>
      <c r="AE14" s="50">
        <v>0.38461538461538464</v>
      </c>
      <c r="AF14" s="47" t="s">
        <v>276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161</v>
      </c>
      <c r="C15" s="107">
        <v>10</v>
      </c>
      <c r="D15" s="45" t="s">
        <v>264</v>
      </c>
      <c r="E15" s="46">
        <v>63.300000000000004</v>
      </c>
      <c r="F15" s="47" t="s">
        <v>168</v>
      </c>
      <c r="G15" s="59">
        <v>8.5777777777777757</v>
      </c>
      <c r="H15" s="47" t="s">
        <v>265</v>
      </c>
      <c r="I15" s="48">
        <v>2.1666666666666665</v>
      </c>
      <c r="J15" s="47" t="s">
        <v>169</v>
      </c>
      <c r="K15" s="49">
        <v>0.35897435897435898</v>
      </c>
      <c r="L15" s="47" t="s">
        <v>195</v>
      </c>
      <c r="M15" s="49">
        <v>0.13513513513513514</v>
      </c>
      <c r="N15" s="47" t="s">
        <v>263</v>
      </c>
      <c r="O15" s="49">
        <v>0.625</v>
      </c>
      <c r="P15" s="47" t="s">
        <v>276</v>
      </c>
      <c r="Q15" s="50">
        <v>0.24324324324324326</v>
      </c>
      <c r="R15" s="47" t="s">
        <v>205</v>
      </c>
      <c r="S15" s="50">
        <v>0.10714285714285714</v>
      </c>
      <c r="T15" s="47" t="s">
        <v>162</v>
      </c>
      <c r="U15" s="51">
        <v>7942.8571428571431</v>
      </c>
      <c r="V15" s="47" t="s">
        <v>203</v>
      </c>
      <c r="W15" s="51">
        <v>-5080</v>
      </c>
      <c r="X15" s="47" t="s">
        <v>205</v>
      </c>
      <c r="Y15" s="50">
        <v>0.25</v>
      </c>
      <c r="Z15" s="47" t="s">
        <v>235</v>
      </c>
      <c r="AA15" s="50">
        <v>0.24719101123595505</v>
      </c>
      <c r="AB15" s="47" t="s">
        <v>265</v>
      </c>
      <c r="AC15" s="50">
        <v>0.6</v>
      </c>
      <c r="AD15" s="47" t="s">
        <v>168</v>
      </c>
      <c r="AE15" s="50">
        <v>0.38297872340425532</v>
      </c>
      <c r="AF15" s="47" t="s">
        <v>161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213</v>
      </c>
      <c r="C16" s="107">
        <v>10</v>
      </c>
      <c r="D16" s="45" t="s">
        <v>268</v>
      </c>
      <c r="E16" s="46">
        <v>52.1</v>
      </c>
      <c r="F16" s="47" t="s">
        <v>195</v>
      </c>
      <c r="G16" s="59">
        <v>6.4270270270270267</v>
      </c>
      <c r="H16" s="47" t="s">
        <v>168</v>
      </c>
      <c r="I16" s="48">
        <v>2.3333333333333335</v>
      </c>
      <c r="J16" s="47" t="s">
        <v>244</v>
      </c>
      <c r="K16" s="49">
        <v>0.33333333333333331</v>
      </c>
      <c r="L16" s="47" t="s">
        <v>238</v>
      </c>
      <c r="M16" s="49">
        <v>0.14285714285714285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169</v>
      </c>
      <c r="U16" s="51">
        <v>7816.666666666667</v>
      </c>
      <c r="V16" s="47" t="s">
        <v>169</v>
      </c>
      <c r="W16" s="51">
        <v>-5283.333333333333</v>
      </c>
      <c r="X16" s="47" t="s">
        <v>255</v>
      </c>
      <c r="Y16" s="50">
        <v>0.25</v>
      </c>
      <c r="Z16" s="47" t="s">
        <v>191</v>
      </c>
      <c r="AA16" s="50">
        <v>0.24347826086956523</v>
      </c>
      <c r="AB16" s="47" t="s">
        <v>276</v>
      </c>
      <c r="AC16" s="50">
        <v>0.6</v>
      </c>
      <c r="AD16" s="47" t="s">
        <v>169</v>
      </c>
      <c r="AE16" s="50">
        <v>0.35849056603773582</v>
      </c>
      <c r="AF16" s="47" t="s">
        <v>162</v>
      </c>
      <c r="AG16" s="50">
        <v>0.42857142857142855</v>
      </c>
      <c r="AH16" s="47" t="s">
        <v>265</v>
      </c>
      <c r="AI16" s="54">
        <v>53900</v>
      </c>
    </row>
    <row r="17" spans="1:35">
      <c r="A17" s="44">
        <v>15</v>
      </c>
      <c r="B17" s="45" t="s">
        <v>162</v>
      </c>
      <c r="C17" s="107">
        <v>9</v>
      </c>
      <c r="D17" s="45" t="s">
        <v>164</v>
      </c>
      <c r="E17" s="46">
        <v>22.499999999999993</v>
      </c>
      <c r="F17" s="47" t="s">
        <v>191</v>
      </c>
      <c r="G17" s="59">
        <v>5.6642857142857128</v>
      </c>
      <c r="H17" s="47" t="s">
        <v>195</v>
      </c>
      <c r="I17" s="48">
        <v>2.3513513513513513</v>
      </c>
      <c r="J17" s="47" t="s">
        <v>161</v>
      </c>
      <c r="K17" s="49">
        <v>0.3</v>
      </c>
      <c r="L17" s="47" t="s">
        <v>255</v>
      </c>
      <c r="M17" s="49">
        <v>0.14285714285714285</v>
      </c>
      <c r="N17" s="47" t="s">
        <v>227</v>
      </c>
      <c r="O17" s="49">
        <v>0.5714285714285714</v>
      </c>
      <c r="P17" s="47" t="s">
        <v>241</v>
      </c>
      <c r="Q17" s="50">
        <v>0.22916666666666666</v>
      </c>
      <c r="R17" s="47" t="s">
        <v>166</v>
      </c>
      <c r="S17" s="50">
        <v>0.11428571428571428</v>
      </c>
      <c r="T17" s="47" t="s">
        <v>164</v>
      </c>
      <c r="U17" s="51">
        <v>7355</v>
      </c>
      <c r="V17" s="47" t="s">
        <v>262</v>
      </c>
      <c r="W17" s="51">
        <v>-5320</v>
      </c>
      <c r="X17" s="47" t="s">
        <v>265</v>
      </c>
      <c r="Y17" s="50">
        <v>0.25</v>
      </c>
      <c r="Z17" s="47" t="s">
        <v>161</v>
      </c>
      <c r="AA17" s="50">
        <v>0.23376623376623376</v>
      </c>
      <c r="AB17" s="47" t="s">
        <v>255</v>
      </c>
      <c r="AC17" s="50">
        <v>0.58333333333333337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179</v>
      </c>
      <c r="AI17" s="54">
        <v>53200</v>
      </c>
    </row>
    <row r="18" spans="1:35">
      <c r="A18" s="44">
        <v>16</v>
      </c>
      <c r="B18" s="45" t="s">
        <v>244</v>
      </c>
      <c r="C18" s="107">
        <v>9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0.29729729729729731</v>
      </c>
      <c r="L18" s="47" t="s">
        <v>179</v>
      </c>
      <c r="M18" s="49">
        <v>0.1875</v>
      </c>
      <c r="N18" s="47" t="s">
        <v>241</v>
      </c>
      <c r="O18" s="49">
        <v>0.5714285714285714</v>
      </c>
      <c r="P18" s="47" t="s">
        <v>227</v>
      </c>
      <c r="Q18" s="50">
        <v>0.22580645161290322</v>
      </c>
      <c r="R18" s="47" t="s">
        <v>163</v>
      </c>
      <c r="S18" s="50">
        <v>0.11594202898550725</v>
      </c>
      <c r="T18" s="47" t="s">
        <v>223</v>
      </c>
      <c r="U18" s="51">
        <v>7200</v>
      </c>
      <c r="V18" s="47" t="s">
        <v>223</v>
      </c>
      <c r="W18" s="51">
        <v>-5450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238</v>
      </c>
      <c r="AC18" s="50">
        <v>0.5714285714285714</v>
      </c>
      <c r="AD18" s="47" t="s">
        <v>216</v>
      </c>
      <c r="AE18" s="50">
        <v>0.34615384615384615</v>
      </c>
      <c r="AF18" s="47" t="s">
        <v>244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163</v>
      </c>
      <c r="C19" s="107">
        <v>8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168</v>
      </c>
      <c r="O19" s="49">
        <v>0.55555555555555558</v>
      </c>
      <c r="P19" s="47" t="s">
        <v>169</v>
      </c>
      <c r="Q19" s="50">
        <v>0.22525597269624573</v>
      </c>
      <c r="R19" s="47" t="s">
        <v>195</v>
      </c>
      <c r="S19" s="50">
        <v>0.12167300380228137</v>
      </c>
      <c r="T19" s="47" t="s">
        <v>227</v>
      </c>
      <c r="U19" s="51">
        <v>7161.9047619047615</v>
      </c>
      <c r="V19" s="47" t="s">
        <v>164</v>
      </c>
      <c r="W19" s="51">
        <v>-5500</v>
      </c>
      <c r="X19" s="47" t="s">
        <v>177</v>
      </c>
      <c r="Y19" s="50">
        <v>0.21052631578947367</v>
      </c>
      <c r="Z19" s="47" t="s">
        <v>277</v>
      </c>
      <c r="AA19" s="50">
        <v>0.23076923076923078</v>
      </c>
      <c r="AB19" s="47" t="s">
        <v>235</v>
      </c>
      <c r="AC19" s="50">
        <v>0.55555555555555558</v>
      </c>
      <c r="AD19" s="47" t="s">
        <v>114</v>
      </c>
      <c r="AE19" s="50">
        <v>0.33854166666666669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263</v>
      </c>
      <c r="C20" s="107">
        <v>8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2.4904109589041097</v>
      </c>
      <c r="J20" s="47" t="s">
        <v>114</v>
      </c>
      <c r="K20" s="49">
        <v>0.25479452054794521</v>
      </c>
      <c r="L20" s="47" t="s">
        <v>276</v>
      </c>
      <c r="M20" s="49">
        <v>0.2</v>
      </c>
      <c r="N20" s="47" t="s">
        <v>114</v>
      </c>
      <c r="O20" s="49">
        <v>0.50136986301369868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161</v>
      </c>
      <c r="U20" s="51">
        <v>7025</v>
      </c>
      <c r="V20" s="47" t="s">
        <v>277</v>
      </c>
      <c r="W20" s="51">
        <v>-5571.4285714285716</v>
      </c>
      <c r="X20" s="47" t="s">
        <v>269</v>
      </c>
      <c r="Y20" s="50">
        <v>0.21052631578947367</v>
      </c>
      <c r="Z20" s="47" t="s">
        <v>114</v>
      </c>
      <c r="AA20" s="50">
        <v>0.21484520701230883</v>
      </c>
      <c r="AB20" s="47" t="s">
        <v>195</v>
      </c>
      <c r="AC20" s="50">
        <v>0.54545454545454541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272</v>
      </c>
      <c r="AI20" s="54">
        <v>46200</v>
      </c>
    </row>
    <row r="21" spans="1:35">
      <c r="A21" s="44">
        <v>19</v>
      </c>
      <c r="B21" s="45" t="s">
        <v>241</v>
      </c>
      <c r="C21" s="107">
        <v>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177</v>
      </c>
      <c r="Q21" s="50">
        <v>0.21052631578947367</v>
      </c>
      <c r="R21" s="47" t="s">
        <v>191</v>
      </c>
      <c r="S21" s="50">
        <v>0.13043478260869565</v>
      </c>
      <c r="T21" s="47" t="s">
        <v>213</v>
      </c>
      <c r="U21" s="51">
        <v>6962.5</v>
      </c>
      <c r="V21" s="47" t="s">
        <v>265</v>
      </c>
      <c r="W21" s="51">
        <v>-5700</v>
      </c>
      <c r="X21" s="47" t="s">
        <v>203</v>
      </c>
      <c r="Y21" s="50">
        <v>0.20930232558139536</v>
      </c>
      <c r="Z21" s="47" t="s">
        <v>205</v>
      </c>
      <c r="AA21" s="50">
        <v>0.21428571428571427</v>
      </c>
      <c r="AB21" s="47" t="s">
        <v>114</v>
      </c>
      <c r="AC21" s="50">
        <v>0.54074074074074074</v>
      </c>
      <c r="AD21" s="47" t="s">
        <v>205</v>
      </c>
      <c r="AE21" s="50">
        <v>0.33333333333333331</v>
      </c>
      <c r="AF21" s="47" t="s">
        <v>238</v>
      </c>
      <c r="AG21" s="50">
        <v>0.3888888888888889</v>
      </c>
      <c r="AH21" s="47" t="s">
        <v>263</v>
      </c>
      <c r="AI21" s="54">
        <v>44100</v>
      </c>
    </row>
    <row r="22" spans="1:35">
      <c r="A22" s="44">
        <v>20</v>
      </c>
      <c r="B22" s="45" t="s">
        <v>255</v>
      </c>
      <c r="C22" s="107">
        <v>7</v>
      </c>
      <c r="D22" s="45" t="s">
        <v>175</v>
      </c>
      <c r="E22" s="46">
        <v>-2.2000000000000011</v>
      </c>
      <c r="F22" s="47" t="s">
        <v>114</v>
      </c>
      <c r="G22" s="59">
        <v>-0.21917808219178109</v>
      </c>
      <c r="H22" s="47" t="s">
        <v>163</v>
      </c>
      <c r="I22" s="48">
        <v>2.5</v>
      </c>
      <c r="J22" s="47" t="s">
        <v>263</v>
      </c>
      <c r="K22" s="49">
        <v>0.25</v>
      </c>
      <c r="L22" s="47" t="s">
        <v>114</v>
      </c>
      <c r="M22" s="49">
        <v>0.24657534246575341</v>
      </c>
      <c r="N22" s="47" t="s">
        <v>179</v>
      </c>
      <c r="O22" s="49">
        <v>0.5</v>
      </c>
      <c r="P22" s="47" t="s">
        <v>114</v>
      </c>
      <c r="Q22" s="50">
        <v>0.20999627004848936</v>
      </c>
      <c r="R22" s="47" t="s">
        <v>238</v>
      </c>
      <c r="S22" s="50">
        <v>0.1326530612244898</v>
      </c>
      <c r="T22" s="47" t="s">
        <v>114</v>
      </c>
      <c r="U22" s="51">
        <v>6739.0763765541742</v>
      </c>
      <c r="V22" s="47" t="s">
        <v>168</v>
      </c>
      <c r="W22" s="51">
        <v>-5835.7142857142853</v>
      </c>
      <c r="X22" s="47" t="s">
        <v>263</v>
      </c>
      <c r="Y22" s="50">
        <v>0.20634920634920634</v>
      </c>
      <c r="Z22" s="47" t="s">
        <v>255</v>
      </c>
      <c r="AA22" s="50">
        <v>0.20833333333333334</v>
      </c>
      <c r="AB22" s="47" t="s">
        <v>161</v>
      </c>
      <c r="AC22" s="50">
        <v>0.53846153846153844</v>
      </c>
      <c r="AD22" s="47" t="s">
        <v>163</v>
      </c>
      <c r="AE22" s="50">
        <v>0.31818181818181818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277</v>
      </c>
      <c r="C23" s="107">
        <v>7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228</v>
      </c>
      <c r="K23" s="49">
        <v>0.23529411764705882</v>
      </c>
      <c r="L23" s="47" t="s">
        <v>223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177</v>
      </c>
      <c r="W23" s="51">
        <v>-5950</v>
      </c>
      <c r="X23" s="47" t="s">
        <v>163</v>
      </c>
      <c r="Y23" s="50">
        <v>0.20289855072463769</v>
      </c>
      <c r="Z23" s="47" t="s">
        <v>244</v>
      </c>
      <c r="AA23" s="50">
        <v>0.20634920634920634</v>
      </c>
      <c r="AB23" s="47" t="s">
        <v>227</v>
      </c>
      <c r="AC23" s="50">
        <v>0.53125</v>
      </c>
      <c r="AD23" s="47" t="s">
        <v>244</v>
      </c>
      <c r="AE23" s="50">
        <v>0.30769230769230771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258</v>
      </c>
      <c r="C24" s="107">
        <v>6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164</v>
      </c>
      <c r="M24" s="49">
        <v>0.26666666666666666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199</v>
      </c>
      <c r="S24" s="50">
        <v>0.13333333333333333</v>
      </c>
      <c r="T24" s="47" t="s">
        <v>195</v>
      </c>
      <c r="U24" s="51">
        <v>6559.7222222222226</v>
      </c>
      <c r="V24" s="47" t="s">
        <v>213</v>
      </c>
      <c r="W24" s="51">
        <v>-5966.666666666667</v>
      </c>
      <c r="X24" s="47" t="s">
        <v>114</v>
      </c>
      <c r="Y24" s="50">
        <v>0.20141738157403954</v>
      </c>
      <c r="Z24" s="47" t="s">
        <v>228</v>
      </c>
      <c r="AA24" s="50">
        <v>0.19834710743801653</v>
      </c>
      <c r="AB24" s="47" t="s">
        <v>216</v>
      </c>
      <c r="AC24" s="50">
        <v>0.51515151515151514</v>
      </c>
      <c r="AD24" s="47" t="s">
        <v>255</v>
      </c>
      <c r="AE24" s="50">
        <v>0.3</v>
      </c>
      <c r="AF24" s="47" t="s">
        <v>241</v>
      </c>
      <c r="AG24" s="50">
        <v>0.36363636363636365</v>
      </c>
      <c r="AH24" s="47" t="s">
        <v>231</v>
      </c>
      <c r="AI24" s="54">
        <v>41300</v>
      </c>
    </row>
    <row r="25" spans="1:35">
      <c r="A25" s="44">
        <v>23</v>
      </c>
      <c r="B25" s="45" t="s">
        <v>265</v>
      </c>
      <c r="C25" s="107">
        <v>6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164</v>
      </c>
      <c r="K25" s="49">
        <v>0.2</v>
      </c>
      <c r="L25" s="47" t="s">
        <v>168</v>
      </c>
      <c r="M25" s="49">
        <v>0.27777777777777779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216</v>
      </c>
      <c r="S25" s="50">
        <v>0.13407821229050279</v>
      </c>
      <c r="T25" s="47" t="s">
        <v>203</v>
      </c>
      <c r="U25" s="51">
        <v>6275</v>
      </c>
      <c r="V25" s="47" t="s">
        <v>227</v>
      </c>
      <c r="W25" s="51">
        <v>-5992.8571428571431</v>
      </c>
      <c r="X25" s="47" t="s">
        <v>268</v>
      </c>
      <c r="Y25" s="50">
        <v>0.2</v>
      </c>
      <c r="Z25" s="47" t="s">
        <v>272</v>
      </c>
      <c r="AA25" s="50">
        <v>0.18604651162790697</v>
      </c>
      <c r="AB25" s="47" t="s">
        <v>213</v>
      </c>
      <c r="AC25" s="50">
        <v>0.5</v>
      </c>
      <c r="AD25" s="47" t="s">
        <v>228</v>
      </c>
      <c r="AE25" s="50">
        <v>0.25</v>
      </c>
      <c r="AF25" s="47" t="s">
        <v>114</v>
      </c>
      <c r="AG25" s="50">
        <v>0.34991119005328597</v>
      </c>
      <c r="AH25" s="47" t="s">
        <v>258</v>
      </c>
      <c r="AI25" s="54">
        <v>37500</v>
      </c>
    </row>
    <row r="26" spans="1:35">
      <c r="A26" s="44">
        <v>24</v>
      </c>
      <c r="B26" s="45" t="s">
        <v>272</v>
      </c>
      <c r="C26" s="107">
        <v>6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258</v>
      </c>
      <c r="K26" s="49">
        <v>0.16666666666666666</v>
      </c>
      <c r="L26" s="47" t="s">
        <v>227</v>
      </c>
      <c r="M26" s="49">
        <v>0.2857142857142857</v>
      </c>
      <c r="N26" s="47" t="s">
        <v>177</v>
      </c>
      <c r="O26" s="49">
        <v>0.5</v>
      </c>
      <c r="P26" s="47" t="s">
        <v>258</v>
      </c>
      <c r="Q26" s="50">
        <v>0.19047619047619047</v>
      </c>
      <c r="R26" s="47" t="s">
        <v>277</v>
      </c>
      <c r="S26" s="50">
        <v>0.13461538461538461</v>
      </c>
      <c r="T26" s="47" t="s">
        <v>272</v>
      </c>
      <c r="U26" s="51">
        <v>6266.666666666667</v>
      </c>
      <c r="V26" s="47" t="s">
        <v>276</v>
      </c>
      <c r="W26" s="51">
        <v>-6100</v>
      </c>
      <c r="X26" s="47" t="s">
        <v>168</v>
      </c>
      <c r="Y26" s="50">
        <v>0.19718309859154928</v>
      </c>
      <c r="Z26" s="47" t="s">
        <v>238</v>
      </c>
      <c r="AA26" s="50">
        <v>0.18367346938775511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175</v>
      </c>
      <c r="AG26" s="50">
        <v>0.33333333333333331</v>
      </c>
      <c r="AH26" s="47" t="s">
        <v>238</v>
      </c>
      <c r="AI26" s="54">
        <v>35800</v>
      </c>
    </row>
    <row r="27" spans="1:35">
      <c r="A27" s="44">
        <v>25</v>
      </c>
      <c r="B27" s="45" t="s">
        <v>203</v>
      </c>
      <c r="C27" s="107">
        <v>5</v>
      </c>
      <c r="D27" s="45" t="s">
        <v>180</v>
      </c>
      <c r="E27" s="46">
        <v>-52.6</v>
      </c>
      <c r="F27" s="47" t="s">
        <v>244</v>
      </c>
      <c r="G27" s="59">
        <v>-7.7111111111111121</v>
      </c>
      <c r="H27" s="47" t="s">
        <v>244</v>
      </c>
      <c r="I27" s="48">
        <v>2.6666666666666665</v>
      </c>
      <c r="J27" s="47" t="s">
        <v>227</v>
      </c>
      <c r="K27" s="49">
        <v>0.14285714285714285</v>
      </c>
      <c r="L27" s="47" t="s">
        <v>241</v>
      </c>
      <c r="M27" s="49">
        <v>0.2857142857142857</v>
      </c>
      <c r="N27" s="47" t="s">
        <v>223</v>
      </c>
      <c r="O27" s="49">
        <v>0.5</v>
      </c>
      <c r="P27" s="47" t="s">
        <v>238</v>
      </c>
      <c r="Q27" s="50">
        <v>0.18367346938775511</v>
      </c>
      <c r="R27" s="47" t="s">
        <v>114</v>
      </c>
      <c r="S27" s="50">
        <v>0.13651622528907123</v>
      </c>
      <c r="T27" s="47" t="s">
        <v>277</v>
      </c>
      <c r="U27" s="51">
        <v>6200</v>
      </c>
      <c r="V27" s="47" t="s">
        <v>235</v>
      </c>
      <c r="W27" s="51">
        <v>-6118.181818181818</v>
      </c>
      <c r="X27" s="47" t="s">
        <v>179</v>
      </c>
      <c r="Y27" s="50">
        <v>0.19083969465648856</v>
      </c>
      <c r="Z27" s="47" t="s">
        <v>169</v>
      </c>
      <c r="AA27" s="50">
        <v>0.18088737201365188</v>
      </c>
      <c r="AB27" s="47" t="s">
        <v>167</v>
      </c>
      <c r="AC27" s="50">
        <v>0.5</v>
      </c>
      <c r="AD27" s="47" t="s">
        <v>272</v>
      </c>
      <c r="AE27" s="50">
        <v>0.25</v>
      </c>
      <c r="AF27" s="47" t="s">
        <v>228</v>
      </c>
      <c r="AG27" s="50">
        <v>0.31818181818181818</v>
      </c>
      <c r="AH27" s="47" t="s">
        <v>264</v>
      </c>
      <c r="AI27" s="54">
        <v>35600</v>
      </c>
    </row>
    <row r="28" spans="1:35">
      <c r="A28" s="44">
        <v>26</v>
      </c>
      <c r="B28" s="45" t="s">
        <v>276</v>
      </c>
      <c r="C28" s="107">
        <v>5</v>
      </c>
      <c r="D28" s="45" t="s">
        <v>262</v>
      </c>
      <c r="E28" s="46">
        <v>-59.2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8.3333333333333329E-2</v>
      </c>
      <c r="L28" s="47" t="s">
        <v>216</v>
      </c>
      <c r="M28" s="49">
        <v>0.29629629629629628</v>
      </c>
      <c r="N28" s="47" t="s">
        <v>195</v>
      </c>
      <c r="O28" s="49">
        <v>0.48648648648648651</v>
      </c>
      <c r="P28" s="47" t="s">
        <v>191</v>
      </c>
      <c r="Q28" s="50">
        <v>0.18260869565217391</v>
      </c>
      <c r="R28" s="47" t="s">
        <v>227</v>
      </c>
      <c r="S28" s="50">
        <v>0.15053763440860216</v>
      </c>
      <c r="T28" s="47" t="s">
        <v>163</v>
      </c>
      <c r="U28" s="51">
        <v>5993.333333333333</v>
      </c>
      <c r="V28" s="47" t="s">
        <v>269</v>
      </c>
      <c r="W28" s="51">
        <v>-6180</v>
      </c>
      <c r="X28" s="47" t="s">
        <v>216</v>
      </c>
      <c r="Y28" s="50">
        <v>0.18435754189944134</v>
      </c>
      <c r="Z28" s="47" t="s">
        <v>202</v>
      </c>
      <c r="AA28" s="50">
        <v>0.17647058823529413</v>
      </c>
      <c r="AB28" s="47" t="s">
        <v>262</v>
      </c>
      <c r="AC28" s="50">
        <v>0.5</v>
      </c>
      <c r="AD28" s="47" t="s">
        <v>227</v>
      </c>
      <c r="AE28" s="50">
        <v>0.23076923076923078</v>
      </c>
      <c r="AF28" s="47" t="s">
        <v>177</v>
      </c>
      <c r="AG28" s="50">
        <v>0.25</v>
      </c>
      <c r="AH28" s="47" t="s">
        <v>213</v>
      </c>
      <c r="AI28" s="54">
        <v>34800</v>
      </c>
    </row>
    <row r="29" spans="1:35">
      <c r="A29" s="44">
        <v>27</v>
      </c>
      <c r="B29" s="45" t="s">
        <v>166</v>
      </c>
      <c r="C29" s="107">
        <v>4</v>
      </c>
      <c r="D29" s="45" t="s">
        <v>244</v>
      </c>
      <c r="E29" s="46">
        <v>-69.400000000000006</v>
      </c>
      <c r="F29" s="47" t="s">
        <v>241</v>
      </c>
      <c r="G29" s="59">
        <v>-11.285714285714286</v>
      </c>
      <c r="H29" s="47" t="s">
        <v>228</v>
      </c>
      <c r="I29" s="48">
        <v>2.7058823529411766</v>
      </c>
      <c r="J29" s="47" t="s">
        <v>213</v>
      </c>
      <c r="K29" s="49">
        <v>0</v>
      </c>
      <c r="L29" s="47" t="s">
        <v>161</v>
      </c>
      <c r="M29" s="49">
        <v>0.3</v>
      </c>
      <c r="N29" s="47" t="s">
        <v>238</v>
      </c>
      <c r="O29" s="49">
        <v>0.42857142857142855</v>
      </c>
      <c r="P29" s="47" t="s">
        <v>228</v>
      </c>
      <c r="Q29" s="50">
        <v>0.18181818181818182</v>
      </c>
      <c r="R29" s="47" t="s">
        <v>264</v>
      </c>
      <c r="S29" s="50">
        <v>0.15384615384615385</v>
      </c>
      <c r="T29" s="47" t="s">
        <v>168</v>
      </c>
      <c r="U29" s="51">
        <v>5988.3720930232557</v>
      </c>
      <c r="V29" s="47" t="s">
        <v>114</v>
      </c>
      <c r="W29" s="51">
        <v>-6264.4808743169397</v>
      </c>
      <c r="X29" s="47" t="s">
        <v>169</v>
      </c>
      <c r="Y29" s="50">
        <v>0.17747440273037543</v>
      </c>
      <c r="Z29" s="47" t="s">
        <v>265</v>
      </c>
      <c r="AA29" s="50">
        <v>0.17499999999999999</v>
      </c>
      <c r="AB29" s="47" t="s">
        <v>269</v>
      </c>
      <c r="AC29" s="50">
        <v>0.5</v>
      </c>
      <c r="AD29" s="47" t="s">
        <v>164</v>
      </c>
      <c r="AE29" s="50">
        <v>0.22580645161290322</v>
      </c>
      <c r="AF29" s="47" t="s">
        <v>231</v>
      </c>
      <c r="AG29" s="50">
        <v>0.25</v>
      </c>
      <c r="AH29" s="47" t="s">
        <v>167</v>
      </c>
      <c r="AI29" s="54">
        <v>34000</v>
      </c>
    </row>
    <row r="30" spans="1:35">
      <c r="A30" s="44">
        <v>28</v>
      </c>
      <c r="B30" s="45" t="s">
        <v>205</v>
      </c>
      <c r="C30" s="107">
        <v>4</v>
      </c>
      <c r="D30" s="45" t="s">
        <v>223</v>
      </c>
      <c r="E30" s="46">
        <v>-72.5</v>
      </c>
      <c r="F30" s="47" t="s">
        <v>213</v>
      </c>
      <c r="G30" s="59">
        <v>-11.670000000000002</v>
      </c>
      <c r="H30" s="47" t="s">
        <v>238</v>
      </c>
      <c r="I30" s="48">
        <v>2.7142857142857144</v>
      </c>
      <c r="J30" s="47" t="s">
        <v>238</v>
      </c>
      <c r="K30" s="49">
        <v>0</v>
      </c>
      <c r="L30" s="47" t="s">
        <v>244</v>
      </c>
      <c r="M30" s="49">
        <v>0.33333333333333331</v>
      </c>
      <c r="N30" s="47" t="s">
        <v>228</v>
      </c>
      <c r="O30" s="49">
        <v>0.41176470588235292</v>
      </c>
      <c r="P30" s="47" t="s">
        <v>262</v>
      </c>
      <c r="Q30" s="50">
        <v>0.17391304347826086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208</v>
      </c>
      <c r="W30" s="51">
        <v>-6340</v>
      </c>
      <c r="X30" s="47" t="s">
        <v>262</v>
      </c>
      <c r="Y30" s="50">
        <v>0.17391304347826086</v>
      </c>
      <c r="Z30" s="47" t="s">
        <v>262</v>
      </c>
      <c r="AA30" s="50">
        <v>0.17391304347826086</v>
      </c>
      <c r="AB30" s="47" t="s">
        <v>277</v>
      </c>
      <c r="AC30" s="50">
        <v>0.5</v>
      </c>
      <c r="AD30" s="47" t="s">
        <v>231</v>
      </c>
      <c r="AE30" s="50">
        <v>0.2</v>
      </c>
      <c r="AF30" s="47" t="s">
        <v>265</v>
      </c>
      <c r="AG30" s="50">
        <v>0.25</v>
      </c>
      <c r="AH30" s="47" t="s">
        <v>241</v>
      </c>
      <c r="AI30" s="54">
        <v>34000</v>
      </c>
    </row>
    <row r="31" spans="1:35">
      <c r="A31" s="44">
        <v>29</v>
      </c>
      <c r="B31" s="45" t="s">
        <v>223</v>
      </c>
      <c r="C31" s="107">
        <v>4</v>
      </c>
      <c r="D31" s="45" t="s">
        <v>258</v>
      </c>
      <c r="E31" s="46">
        <v>-73.8</v>
      </c>
      <c r="F31" s="47" t="s">
        <v>258</v>
      </c>
      <c r="G31" s="59">
        <v>-12.299999999999999</v>
      </c>
      <c r="H31" s="47" t="s">
        <v>241</v>
      </c>
      <c r="I31" s="48">
        <v>2.7142857142857144</v>
      </c>
      <c r="J31" s="47" t="s">
        <v>166</v>
      </c>
      <c r="K31" s="49">
        <v>0</v>
      </c>
      <c r="L31" s="47" t="s">
        <v>258</v>
      </c>
      <c r="M31" s="49">
        <v>0.33333333333333331</v>
      </c>
      <c r="N31" s="47" t="s">
        <v>216</v>
      </c>
      <c r="O31" s="49">
        <v>0.40740740740740738</v>
      </c>
      <c r="P31" s="47" t="s">
        <v>215</v>
      </c>
      <c r="Q31" s="50">
        <v>0.16666666666666666</v>
      </c>
      <c r="R31" s="47" t="s">
        <v>241</v>
      </c>
      <c r="S31" s="50">
        <v>0.16666666666666666</v>
      </c>
      <c r="T31" s="47" t="s">
        <v>258</v>
      </c>
      <c r="U31" s="51">
        <v>5837.5</v>
      </c>
      <c r="V31" s="47" t="s">
        <v>161</v>
      </c>
      <c r="W31" s="51">
        <v>-6514.2857142857147</v>
      </c>
      <c r="X31" s="47" t="s">
        <v>228</v>
      </c>
      <c r="Y31" s="50">
        <v>0.17355371900826447</v>
      </c>
      <c r="Z31" s="47" t="s">
        <v>166</v>
      </c>
      <c r="AA31" s="50">
        <v>0.17142857142857143</v>
      </c>
      <c r="AB31" s="47" t="s">
        <v>258</v>
      </c>
      <c r="AC31" s="50">
        <v>0.46666666666666667</v>
      </c>
      <c r="AD31" s="47" t="s">
        <v>203</v>
      </c>
      <c r="AE31" s="50">
        <v>0.16666666666666666</v>
      </c>
      <c r="AF31" s="47" t="s">
        <v>262</v>
      </c>
      <c r="AG31" s="50">
        <v>0.25</v>
      </c>
      <c r="AH31" s="47" t="s">
        <v>175</v>
      </c>
      <c r="AI31" s="54">
        <v>33600</v>
      </c>
    </row>
    <row r="32" spans="1:35">
      <c r="A32" s="44">
        <v>30</v>
      </c>
      <c r="B32" s="45" t="s">
        <v>208</v>
      </c>
      <c r="C32" s="107">
        <v>3</v>
      </c>
      <c r="D32" s="45" t="s">
        <v>241</v>
      </c>
      <c r="E32" s="46">
        <v>-79</v>
      </c>
      <c r="F32" s="47" t="s">
        <v>215</v>
      </c>
      <c r="G32" s="59">
        <v>-14.4</v>
      </c>
      <c r="H32" s="47" t="s">
        <v>223</v>
      </c>
      <c r="I32" s="48">
        <v>2.75</v>
      </c>
      <c r="J32" s="47" t="s">
        <v>167</v>
      </c>
      <c r="K32" s="49">
        <v>0</v>
      </c>
      <c r="L32" s="47" t="s">
        <v>265</v>
      </c>
      <c r="M32" s="49">
        <v>0.33333333333333331</v>
      </c>
      <c r="N32" s="47" t="s">
        <v>244</v>
      </c>
      <c r="O32" s="49">
        <v>0.33333333333333331</v>
      </c>
      <c r="P32" s="47" t="s">
        <v>164</v>
      </c>
      <c r="Q32" s="50">
        <v>0.16528925619834711</v>
      </c>
      <c r="R32" s="47" t="s">
        <v>244</v>
      </c>
      <c r="S32" s="50">
        <v>0.17460317460317459</v>
      </c>
      <c r="T32" s="47" t="s">
        <v>238</v>
      </c>
      <c r="U32" s="51">
        <v>5455.5555555555557</v>
      </c>
      <c r="V32" s="47" t="s">
        <v>180</v>
      </c>
      <c r="W32" s="51">
        <v>-6600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244</v>
      </c>
      <c r="AC32" s="50">
        <v>0.44444444444444442</v>
      </c>
      <c r="AD32" s="47" t="s">
        <v>258</v>
      </c>
      <c r="AE32" s="50">
        <v>0.14285714285714285</v>
      </c>
      <c r="AF32" s="47" t="s">
        <v>272</v>
      </c>
      <c r="AG32" s="50">
        <v>0.25</v>
      </c>
      <c r="AH32" s="47" t="s">
        <v>268</v>
      </c>
      <c r="AI32" s="54">
        <v>32100</v>
      </c>
    </row>
    <row r="33" spans="1:35">
      <c r="A33" s="44">
        <v>31</v>
      </c>
      <c r="B33" s="45" t="s">
        <v>262</v>
      </c>
      <c r="C33" s="107">
        <v>3</v>
      </c>
      <c r="D33" s="45" t="s">
        <v>114</v>
      </c>
      <c r="E33" s="46">
        <v>-80.000000000000099</v>
      </c>
      <c r="F33" s="47" t="s">
        <v>238</v>
      </c>
      <c r="G33" s="59">
        <v>-15.09285714285714</v>
      </c>
      <c r="H33" s="47" t="s">
        <v>258</v>
      </c>
      <c r="I33" s="48">
        <v>2.8333333333333335</v>
      </c>
      <c r="J33" s="47" t="s">
        <v>175</v>
      </c>
      <c r="K33" s="49">
        <v>0</v>
      </c>
      <c r="L33" s="47" t="s">
        <v>262</v>
      </c>
      <c r="M33" s="49">
        <v>0.33333333333333331</v>
      </c>
      <c r="N33" s="47" t="s">
        <v>258</v>
      </c>
      <c r="O33" s="49">
        <v>0.33333333333333331</v>
      </c>
      <c r="P33" s="47" t="s">
        <v>244</v>
      </c>
      <c r="Q33" s="50">
        <v>0.15873015873015872</v>
      </c>
      <c r="R33" s="47" t="s">
        <v>202</v>
      </c>
      <c r="S33" s="50">
        <v>0.17647058823529413</v>
      </c>
      <c r="T33" s="47" t="s">
        <v>235</v>
      </c>
      <c r="U33" s="51">
        <v>5170</v>
      </c>
      <c r="V33" s="47" t="s">
        <v>255</v>
      </c>
      <c r="W33" s="51">
        <v>-6720</v>
      </c>
      <c r="X33" s="47" t="s">
        <v>241</v>
      </c>
      <c r="Y33" s="50">
        <v>0.16666666666666666</v>
      </c>
      <c r="Z33" s="47" t="s">
        <v>258</v>
      </c>
      <c r="AA33" s="50">
        <v>0.16666666666666666</v>
      </c>
      <c r="AB33" s="47" t="s">
        <v>179</v>
      </c>
      <c r="AC33" s="50">
        <v>0.4</v>
      </c>
      <c r="AD33" s="47" t="s">
        <v>235</v>
      </c>
      <c r="AE33" s="50">
        <v>0.13636363636363635</v>
      </c>
      <c r="AF33" s="47" t="s">
        <v>169</v>
      </c>
      <c r="AG33" s="50">
        <v>0.24242424242424243</v>
      </c>
      <c r="AH33" s="47" t="s">
        <v>277</v>
      </c>
      <c r="AI33" s="54">
        <v>29000</v>
      </c>
    </row>
    <row r="34" spans="1:35">
      <c r="A34" s="44">
        <v>32</v>
      </c>
      <c r="B34" s="45" t="s">
        <v>269</v>
      </c>
      <c r="C34" s="107">
        <v>3</v>
      </c>
      <c r="D34" s="45" t="s">
        <v>269</v>
      </c>
      <c r="E34" s="46">
        <v>-90.1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180</v>
      </c>
      <c r="K34" s="49">
        <v>0</v>
      </c>
      <c r="L34" s="47" t="s">
        <v>269</v>
      </c>
      <c r="M34" s="49">
        <v>0.33333333333333331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265</v>
      </c>
      <c r="U34" s="51">
        <v>5116.666666666667</v>
      </c>
      <c r="V34" s="47" t="s">
        <v>228</v>
      </c>
      <c r="W34" s="51">
        <v>-6926.9230769230771</v>
      </c>
      <c r="X34" s="47" t="s">
        <v>231</v>
      </c>
      <c r="Y34" s="50">
        <v>0.15384615384615385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276</v>
      </c>
      <c r="AE34" s="50">
        <v>9.0909090909090912E-2</v>
      </c>
      <c r="AF34" s="47" t="s">
        <v>263</v>
      </c>
      <c r="AG34" s="50">
        <v>0.22222222222222221</v>
      </c>
      <c r="AH34" s="47" t="s">
        <v>262</v>
      </c>
      <c r="AI34" s="54">
        <v>28000</v>
      </c>
    </row>
    <row r="35" spans="1:35">
      <c r="A35" s="44">
        <v>33</v>
      </c>
      <c r="B35" s="45" t="s">
        <v>175</v>
      </c>
      <c r="C35" s="107">
        <v>2</v>
      </c>
      <c r="D35" s="45" t="s">
        <v>199</v>
      </c>
      <c r="E35" s="46">
        <v>-97.4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199</v>
      </c>
      <c r="K35" s="49">
        <v>0</v>
      </c>
      <c r="L35" s="47" t="s">
        <v>228</v>
      </c>
      <c r="M35" s="49">
        <v>0.35294117647058826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223</v>
      </c>
      <c r="S35" s="50">
        <v>0.19047619047619047</v>
      </c>
      <c r="T35" s="47" t="s">
        <v>241</v>
      </c>
      <c r="U35" s="51">
        <v>5090.909090909091</v>
      </c>
      <c r="V35" s="47" t="s">
        <v>195</v>
      </c>
      <c r="W35" s="51">
        <v>-7068.75</v>
      </c>
      <c r="X35" s="47" t="s">
        <v>277</v>
      </c>
      <c r="Y35" s="50">
        <v>0.15384615384615385</v>
      </c>
      <c r="Z35" s="47" t="s">
        <v>216</v>
      </c>
      <c r="AA35" s="50">
        <v>0.14525139664804471</v>
      </c>
      <c r="AB35" s="47" t="s">
        <v>191</v>
      </c>
      <c r="AC35" s="50">
        <v>0.33333333333333331</v>
      </c>
      <c r="AD35" s="47" t="s">
        <v>277</v>
      </c>
      <c r="AE35" s="50">
        <v>8.3333333333333329E-2</v>
      </c>
      <c r="AF35" s="47" t="s">
        <v>164</v>
      </c>
      <c r="AG35" s="50">
        <v>0.2</v>
      </c>
      <c r="AH35" s="47" t="s">
        <v>235</v>
      </c>
      <c r="AI35" s="54">
        <v>26900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196</v>
      </c>
      <c r="G36" s="59">
        <v>-27.1</v>
      </c>
      <c r="H36" s="47" t="s">
        <v>262</v>
      </c>
      <c r="I36" s="48">
        <v>3</v>
      </c>
      <c r="J36" s="47" t="s">
        <v>196</v>
      </c>
      <c r="K36" s="49">
        <v>0</v>
      </c>
      <c r="L36" s="47" t="s">
        <v>163</v>
      </c>
      <c r="M36" s="49">
        <v>0.375</v>
      </c>
      <c r="N36" s="47" t="s">
        <v>235</v>
      </c>
      <c r="O36" s="49">
        <v>0.16666666666666666</v>
      </c>
      <c r="P36" s="47" t="s">
        <v>196</v>
      </c>
      <c r="Q36" s="50">
        <v>0.125</v>
      </c>
      <c r="R36" s="47" t="s">
        <v>168</v>
      </c>
      <c r="S36" s="50">
        <v>0.19718309859154928</v>
      </c>
      <c r="T36" s="47" t="s">
        <v>179</v>
      </c>
      <c r="U36" s="51">
        <v>4909.375</v>
      </c>
      <c r="V36" s="47" t="s">
        <v>163</v>
      </c>
      <c r="W36" s="51">
        <v>-7212.5</v>
      </c>
      <c r="X36" s="47" t="s">
        <v>238</v>
      </c>
      <c r="Y36" s="50">
        <v>0.14285714285714285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277</v>
      </c>
      <c r="AG36" s="50">
        <v>0.2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277</v>
      </c>
      <c r="G37" s="59">
        <v>-29.428571428571427</v>
      </c>
      <c r="H37" s="47" t="s">
        <v>166</v>
      </c>
      <c r="I37" s="48">
        <v>3.25</v>
      </c>
      <c r="J37" s="47" t="s">
        <v>203</v>
      </c>
      <c r="K37" s="49">
        <v>0</v>
      </c>
      <c r="L37" s="47" t="s">
        <v>203</v>
      </c>
      <c r="M37" s="49">
        <v>0.4</v>
      </c>
      <c r="N37" s="47" t="s">
        <v>277</v>
      </c>
      <c r="O37" s="49">
        <v>0.14285714285714285</v>
      </c>
      <c r="P37" s="47" t="s">
        <v>235</v>
      </c>
      <c r="Q37" s="50">
        <v>0.11235955056179775</v>
      </c>
      <c r="R37" s="47" t="s">
        <v>268</v>
      </c>
      <c r="S37" s="50">
        <v>0.2</v>
      </c>
      <c r="T37" s="47" t="s">
        <v>263</v>
      </c>
      <c r="U37" s="51">
        <v>4683.333333333333</v>
      </c>
      <c r="V37" s="47" t="s">
        <v>216</v>
      </c>
      <c r="W37" s="51">
        <v>-7266.666666666667</v>
      </c>
      <c r="X37" s="47" t="s">
        <v>180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227</v>
      </c>
      <c r="AG37" s="50">
        <v>0.19047619047619047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166</v>
      </c>
      <c r="E38" s="46">
        <v>-127.99999999999999</v>
      </c>
      <c r="F38" s="47" t="s">
        <v>269</v>
      </c>
      <c r="G38" s="59">
        <v>-30.033333333333331</v>
      </c>
      <c r="H38" s="47" t="s">
        <v>277</v>
      </c>
      <c r="I38" s="48">
        <v>3.2857142857142856</v>
      </c>
      <c r="J38" s="47" t="s">
        <v>202</v>
      </c>
      <c r="K38" s="49">
        <v>0</v>
      </c>
      <c r="L38" s="47" t="s">
        <v>277</v>
      </c>
      <c r="M38" s="49">
        <v>0.42857142857142855</v>
      </c>
      <c r="N38" s="47" t="s">
        <v>180</v>
      </c>
      <c r="O38" s="49">
        <v>0</v>
      </c>
      <c r="P38" s="47" t="s">
        <v>269</v>
      </c>
      <c r="Q38" s="50">
        <v>0.10526315789473684</v>
      </c>
      <c r="R38" s="47" t="s">
        <v>258</v>
      </c>
      <c r="S38" s="50">
        <v>0.21428571428571427</v>
      </c>
      <c r="T38" s="47" t="s">
        <v>262</v>
      </c>
      <c r="U38" s="51">
        <v>4525</v>
      </c>
      <c r="V38" s="47" t="s">
        <v>244</v>
      </c>
      <c r="W38" s="51">
        <v>-7436.363636363636</v>
      </c>
      <c r="X38" s="47" t="s">
        <v>244</v>
      </c>
      <c r="Y38" s="50">
        <v>0.14285714285714285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208</v>
      </c>
      <c r="E39" s="46">
        <v>-132.69999999999999</v>
      </c>
      <c r="F39" s="47" t="s">
        <v>166</v>
      </c>
      <c r="G39" s="59">
        <v>-31.999999999999996</v>
      </c>
      <c r="H39" s="47" t="s">
        <v>269</v>
      </c>
      <c r="I39" s="48">
        <v>3.3333333333333335</v>
      </c>
      <c r="J39" s="47" t="s">
        <v>208</v>
      </c>
      <c r="K39" s="49">
        <v>0</v>
      </c>
      <c r="L39" s="47" t="s">
        <v>166</v>
      </c>
      <c r="M39" s="49">
        <v>0.5</v>
      </c>
      <c r="N39" s="47" t="s">
        <v>199</v>
      </c>
      <c r="O39" s="49">
        <v>0</v>
      </c>
      <c r="P39" s="47" t="s">
        <v>277</v>
      </c>
      <c r="Q39" s="50">
        <v>9.6153846153846159E-2</v>
      </c>
      <c r="R39" s="47" t="s">
        <v>228</v>
      </c>
      <c r="S39" s="50">
        <v>0.21487603305785125</v>
      </c>
      <c r="T39" s="47" t="s">
        <v>215</v>
      </c>
      <c r="U39" s="51">
        <v>3900</v>
      </c>
      <c r="V39" s="47" t="s">
        <v>241</v>
      </c>
      <c r="W39" s="51">
        <v>-7687.5</v>
      </c>
      <c r="X39" s="47" t="s">
        <v>202</v>
      </c>
      <c r="Y39" s="50">
        <v>0.11764705882352941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216</v>
      </c>
      <c r="E40" s="46">
        <v>-133.59999999999997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215</v>
      </c>
      <c r="K40" s="49">
        <v>0</v>
      </c>
      <c r="L40" s="47" t="s">
        <v>177</v>
      </c>
      <c r="M40" s="49">
        <v>0.5</v>
      </c>
      <c r="N40" s="47" t="s">
        <v>196</v>
      </c>
      <c r="O40" s="49">
        <v>0</v>
      </c>
      <c r="P40" s="47" t="s">
        <v>223</v>
      </c>
      <c r="Q40" s="50">
        <v>9.5238095238095233E-2</v>
      </c>
      <c r="R40" s="47" t="s">
        <v>208</v>
      </c>
      <c r="S40" s="50">
        <v>0.21739130434782608</v>
      </c>
      <c r="T40" s="47" t="s">
        <v>166</v>
      </c>
      <c r="U40" s="51">
        <v>2928.5714285714284</v>
      </c>
      <c r="V40" s="47" t="s">
        <v>238</v>
      </c>
      <c r="W40" s="51">
        <v>-7938.4615384615381</v>
      </c>
      <c r="X40" s="47" t="s">
        <v>166</v>
      </c>
      <c r="Y40" s="50">
        <v>0.11428571428571428</v>
      </c>
      <c r="Z40" s="47" t="s">
        <v>269</v>
      </c>
      <c r="AA40" s="50">
        <v>0.10526315789473684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228</v>
      </c>
      <c r="E41" s="46">
        <v>-149.19999999999999</v>
      </c>
      <c r="F41" s="47" t="s">
        <v>235</v>
      </c>
      <c r="G41" s="59">
        <v>-33.65</v>
      </c>
      <c r="H41" s="47" t="s">
        <v>235</v>
      </c>
      <c r="I41" s="48">
        <v>3.4166666666666665</v>
      </c>
      <c r="J41" s="47" t="s">
        <v>223</v>
      </c>
      <c r="K41" s="49">
        <v>0</v>
      </c>
      <c r="L41" s="47" t="s">
        <v>235</v>
      </c>
      <c r="M41" s="49">
        <v>0.66666666666666663</v>
      </c>
      <c r="N41" s="47" t="s">
        <v>203</v>
      </c>
      <c r="O41" s="49">
        <v>0</v>
      </c>
      <c r="P41" s="47" t="s">
        <v>203</v>
      </c>
      <c r="Q41" s="50">
        <v>9.3023255813953487E-2</v>
      </c>
      <c r="R41" s="47" t="s">
        <v>262</v>
      </c>
      <c r="S41" s="50">
        <v>0.21739130434782608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203</v>
      </c>
      <c r="E42" s="46">
        <v>-161.39999999999998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241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203</v>
      </c>
      <c r="S42" s="50">
        <v>0.23255813953488372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235</v>
      </c>
      <c r="Y42" s="50">
        <v>0.10112359550561797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277</v>
      </c>
      <c r="E43" s="46">
        <v>-206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262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235</v>
      </c>
      <c r="S43" s="50">
        <v>0.24719101123595505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238</v>
      </c>
      <c r="E44" s="46">
        <v>-211.29999999999995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269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269</v>
      </c>
      <c r="S44" s="50">
        <v>0.26315789473684209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-403.8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277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365</v>
      </c>
      <c r="C2" s="121"/>
      <c r="E2" s="32" t="s">
        <v>54</v>
      </c>
      <c r="F2" s="29" t="s">
        <v>20</v>
      </c>
      <c r="G2" s="12">
        <v>324</v>
      </c>
      <c r="H2" s="93">
        <f>IF(B$17=0,0,G2/B$17)</f>
        <v>0.57548845470692722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-68.493150684931507</v>
      </c>
      <c r="P2" s="79">
        <v>365</v>
      </c>
      <c r="Q2" s="63">
        <v>-25000</v>
      </c>
    </row>
    <row r="3" spans="1:17">
      <c r="A3" s="19" t="s">
        <v>8</v>
      </c>
      <c r="B3" s="122">
        <v>2681</v>
      </c>
      <c r="C3" s="123"/>
      <c r="E3" s="33" t="s">
        <v>181</v>
      </c>
      <c r="F3" s="30" t="s">
        <v>156</v>
      </c>
      <c r="G3" s="13">
        <v>289</v>
      </c>
      <c r="H3" s="94">
        <f>IF(B$17=0,0,G3/B$17)</f>
        <v>0.51332149200710475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365</v>
      </c>
      <c r="Q3" s="64">
        <v>0</v>
      </c>
    </row>
    <row r="4" spans="1:17">
      <c r="A4" s="19" t="s">
        <v>6</v>
      </c>
      <c r="B4" s="124">
        <v>-80.000000000000099</v>
      </c>
      <c r="C4" s="125"/>
      <c r="E4" s="33" t="s">
        <v>184</v>
      </c>
      <c r="F4" s="30" t="s">
        <v>187</v>
      </c>
      <c r="G4" s="13">
        <v>273</v>
      </c>
      <c r="H4" s="94">
        <f>IF(B$17=0,0,G4/B$17)</f>
        <v>0.48490230905861459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-19.047619047619047</v>
      </c>
      <c r="P4" s="80">
        <v>357</v>
      </c>
      <c r="Q4" s="64">
        <v>-6800</v>
      </c>
    </row>
    <row r="5" spans="1:17">
      <c r="A5" s="19" t="s">
        <v>7</v>
      </c>
      <c r="B5" s="126">
        <f>IF(B$2=0,0,B$4/B$2)</f>
        <v>-0.21917808219178109</v>
      </c>
      <c r="C5" s="127"/>
      <c r="E5" s="33" t="s">
        <v>60</v>
      </c>
      <c r="F5" s="30" t="s">
        <v>24</v>
      </c>
      <c r="G5" s="13">
        <v>227</v>
      </c>
      <c r="H5" s="94">
        <f>IF(B$17=0,0,G5/B$17)</f>
        <v>0.40319715808170514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-67.692307692307693</v>
      </c>
      <c r="P5" s="80">
        <v>325</v>
      </c>
      <c r="Q5" s="64">
        <v>-22000</v>
      </c>
    </row>
    <row r="6" spans="1:17">
      <c r="A6" s="19" t="s">
        <v>1</v>
      </c>
      <c r="B6" s="128">
        <f>IF(B$2=0,0,(B$7*1+B$8*2+B$9*3+B$10*4)/B$2)</f>
        <v>2.4904109589041097</v>
      </c>
      <c r="C6" s="129"/>
      <c r="E6" s="33" t="s">
        <v>57</v>
      </c>
      <c r="F6" s="30" t="s">
        <v>21</v>
      </c>
      <c r="G6" s="13">
        <v>142</v>
      </c>
      <c r="H6" s="94">
        <f>IF(B$17=0,0,G6/B$17)</f>
        <v>0.25222024866785081</v>
      </c>
      <c r="I6" s="56">
        <v>16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-21.551724137931036</v>
      </c>
      <c r="P6" s="80">
        <v>232</v>
      </c>
      <c r="Q6" s="64">
        <v>-5000</v>
      </c>
    </row>
    <row r="7" spans="1:17">
      <c r="A7" s="19" t="s">
        <v>2</v>
      </c>
      <c r="B7" s="13">
        <v>93</v>
      </c>
      <c r="C7" s="6">
        <f t="shared" ref="C7:C12" si="2">IF(B$2=0,0,B7/B$2)</f>
        <v>0.25479452054794521</v>
      </c>
      <c r="E7" s="33" t="s">
        <v>56</v>
      </c>
      <c r="F7" s="30" t="s">
        <v>185</v>
      </c>
      <c r="G7" s="13">
        <v>132</v>
      </c>
      <c r="H7" s="94">
        <f>IF(B$17=0,0,G7/B$17)</f>
        <v>0.23445825932504441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-52.631578947368418</v>
      </c>
      <c r="P7" s="80">
        <v>152</v>
      </c>
      <c r="Q7" s="64">
        <v>-8000</v>
      </c>
    </row>
    <row r="8" spans="1:17">
      <c r="A8" s="19" t="s">
        <v>3</v>
      </c>
      <c r="B8" s="13">
        <v>90</v>
      </c>
      <c r="C8" s="6">
        <f>IF(B$2=0,0,B8/B$2)</f>
        <v>0.24657534246575341</v>
      </c>
      <c r="E8" s="33" t="s">
        <v>55</v>
      </c>
      <c r="F8" s="30" t="s">
        <v>155</v>
      </c>
      <c r="G8" s="13">
        <v>131</v>
      </c>
      <c r="H8" s="94">
        <f>IF(B$17=0,0,G8/B$17)</f>
        <v>0.23268206039076378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92</v>
      </c>
      <c r="C9" s="7">
        <f>IF(B$2=0,0,B9/B$2)</f>
        <v>0.25205479452054796</v>
      </c>
      <c r="E9" s="33" t="s">
        <v>59</v>
      </c>
      <c r="F9" s="30" t="s">
        <v>23</v>
      </c>
      <c r="G9" s="13">
        <v>92</v>
      </c>
      <c r="H9" s="94">
        <f>IF(B$17=0,0,G9/B$17)</f>
        <v>0.16341030195381884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90</v>
      </c>
      <c r="C10" s="7">
        <f>IF(B$2=0,0,B10/B$2)</f>
        <v>0.24657534246575341</v>
      </c>
      <c r="E10" s="33" t="s">
        <v>182</v>
      </c>
      <c r="F10" s="30" t="s">
        <v>19</v>
      </c>
      <c r="G10" s="13">
        <v>61</v>
      </c>
      <c r="H10" s="94">
        <f>IF(B$17=0,0,G10/B$17)</f>
        <v>0.10834813499111901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183</v>
      </c>
      <c r="C11" s="7">
        <f>IF(B$2=0,0,B11/B$2)</f>
        <v>0.50136986301369868</v>
      </c>
      <c r="E11" s="33" t="s">
        <v>58</v>
      </c>
      <c r="F11" s="30" t="s">
        <v>22</v>
      </c>
      <c r="G11" s="13">
        <v>38</v>
      </c>
      <c r="H11" s="94">
        <f>IF(B$17=0,0,G11/B$17)</f>
        <v>6.7495559502664296E-2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4.9315068493150684E-2</v>
      </c>
      <c r="E12" s="33" t="s">
        <v>77</v>
      </c>
      <c r="F12" s="30" t="s">
        <v>41</v>
      </c>
      <c r="G12" s="13">
        <v>25</v>
      </c>
      <c r="H12" s="94">
        <f>IF(B$17=0,0,G12/B$17)</f>
        <v>4.4404973357015987E-2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-2.8054347826086947</v>
      </c>
      <c r="P12" s="79">
        <v>92</v>
      </c>
      <c r="Q12" s="67">
        <v>-258.09999999999991</v>
      </c>
    </row>
    <row r="13" spans="1:17">
      <c r="A13" s="22" t="s">
        <v>97</v>
      </c>
      <c r="B13" s="15">
        <v>540</v>
      </c>
      <c r="C13" s="11">
        <f>IF(B$3=0,0,B13/B$3)</f>
        <v>0.20141738157403954</v>
      </c>
      <c r="E13" s="33" t="s">
        <v>183</v>
      </c>
      <c r="F13" s="30" t="s">
        <v>186</v>
      </c>
      <c r="G13" s="13">
        <v>20</v>
      </c>
      <c r="H13" s="94">
        <f>IF(B$17=0,0,G13/B$17)</f>
        <v>3.5523978685612786E-2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4.9010869565217368</v>
      </c>
      <c r="P13" s="80">
        <v>92</v>
      </c>
      <c r="Q13" s="68">
        <v>450.89999999999975</v>
      </c>
    </row>
    <row r="14" spans="1:17">
      <c r="A14" s="19" t="s">
        <v>94</v>
      </c>
      <c r="B14" s="13">
        <v>576</v>
      </c>
      <c r="C14" s="6">
        <f>IF(B$3=0,0,B14/B$3)</f>
        <v>0.21484520701230883</v>
      </c>
      <c r="E14" s="33" t="s">
        <v>71</v>
      </c>
      <c r="F14" s="30" t="s">
        <v>35</v>
      </c>
      <c r="G14" s="13">
        <v>20</v>
      </c>
      <c r="H14" s="94">
        <f>IF(B$17=0,0,G14/B$17)</f>
        <v>3.5523978685612786E-2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-3.5086956521739112</v>
      </c>
      <c r="P14" s="80">
        <v>92</v>
      </c>
      <c r="Q14" s="68">
        <v>-322.79999999999984</v>
      </c>
    </row>
    <row r="15" spans="1:17">
      <c r="A15" s="18" t="s">
        <v>99</v>
      </c>
      <c r="B15" s="12">
        <f>B21</f>
        <v>292</v>
      </c>
      <c r="C15" s="4">
        <f>IF(B$13=0,0,B15/B$13)</f>
        <v>0.54074074074074074</v>
      </c>
      <c r="E15" s="33" t="s">
        <v>74</v>
      </c>
      <c r="F15" s="30" t="s">
        <v>38</v>
      </c>
      <c r="G15" s="13">
        <v>12</v>
      </c>
      <c r="H15" s="94">
        <f>IF(B$17=0,0,G15/B$17)</f>
        <v>2.1314387211367674E-2</v>
      </c>
      <c r="I15" s="56">
        <v>10</v>
      </c>
      <c r="K15" s="5">
        <v>13</v>
      </c>
      <c r="L15" s="61">
        <v>62.500000000000007</v>
      </c>
      <c r="N15" s="77" t="s">
        <v>159</v>
      </c>
      <c r="O15" s="87">
        <f>IF(P15=0,0,Q15/P15)</f>
        <v>0.54347826086956541</v>
      </c>
      <c r="P15" s="81">
        <v>92</v>
      </c>
      <c r="Q15" s="69">
        <v>50.000000000000014</v>
      </c>
    </row>
    <row r="16" spans="1:17">
      <c r="A16" s="18" t="s">
        <v>100</v>
      </c>
      <c r="B16" s="12">
        <f>B22</f>
        <v>195</v>
      </c>
      <c r="C16" s="4">
        <f>IF(B$14=0,0,B16/B$14)</f>
        <v>0.33854166666666669</v>
      </c>
      <c r="E16" s="33" t="s">
        <v>66</v>
      </c>
      <c r="F16" s="30" t="s">
        <v>30</v>
      </c>
      <c r="G16" s="13">
        <v>7</v>
      </c>
      <c r="H16" s="94">
        <f>IF(B$17=0,0,G16/B$17)</f>
        <v>1.2433392539964476E-2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563</v>
      </c>
      <c r="C17" s="4">
        <f>IF(B$3=0,0,B17/B$3)</f>
        <v>0.20999627004848936</v>
      </c>
      <c r="E17" s="33" t="s">
        <v>67</v>
      </c>
      <c r="F17" s="30" t="s">
        <v>31</v>
      </c>
      <c r="G17" s="13">
        <v>7</v>
      </c>
      <c r="H17" s="94">
        <f>IF(B$17=0,0,G17/B$17)</f>
        <v>1.2433392539964476E-2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366</v>
      </c>
      <c r="C18" s="6">
        <f>IF(B$3=0,0,B18/B$3)</f>
        <v>0.13651622528907123</v>
      </c>
      <c r="E18" s="33" t="s">
        <v>69</v>
      </c>
      <c r="F18" s="30" t="s">
        <v>33</v>
      </c>
      <c r="G18" s="13">
        <v>5</v>
      </c>
      <c r="H18" s="94">
        <f>IF(B$17=0,0,G18/B$17)</f>
        <v>8.8809946714031966E-3</v>
      </c>
      <c r="I18" s="56">
        <v>6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197</v>
      </c>
      <c r="C19" s="6">
        <f>IF(B$17=0,0,B19/B$17)</f>
        <v>0.34991119005328597</v>
      </c>
      <c r="E19" s="33" t="s">
        <v>62</v>
      </c>
      <c r="F19" s="30" t="s">
        <v>26</v>
      </c>
      <c r="G19" s="13">
        <v>4</v>
      </c>
      <c r="H19" s="94">
        <f>IF(B$17=0,0,G19/B$17)</f>
        <v>7.104795737122558E-3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366</v>
      </c>
      <c r="C20" s="6">
        <f>IF(B$17=0,0,B20/B$17)</f>
        <v>0.65008880994671403</v>
      </c>
      <c r="E20" s="33" t="s">
        <v>78</v>
      </c>
      <c r="F20" s="30" t="s">
        <v>42</v>
      </c>
      <c r="G20" s="13">
        <v>4</v>
      </c>
      <c r="H20" s="94">
        <f>IF(B$17=0,0,G20/B$17)</f>
        <v>7.104795737122558E-3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292</v>
      </c>
      <c r="C21" s="6">
        <f>IF(B$17=0,0,B21/B$17)</f>
        <v>0.51865008880994667</v>
      </c>
      <c r="E21" s="33" t="s">
        <v>61</v>
      </c>
      <c r="F21" s="30" t="s">
        <v>25</v>
      </c>
      <c r="G21" s="13">
        <v>3</v>
      </c>
      <c r="H21" s="94">
        <f>IF(B$17=0,0,G21/B$17)</f>
        <v>5.3285968028419185E-3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195</v>
      </c>
      <c r="C22" s="6">
        <f>IF(B$17=0,0,B22/B$17)</f>
        <v>0.34635879218472471</v>
      </c>
      <c r="E22" s="33" t="s">
        <v>72</v>
      </c>
      <c r="F22" s="30" t="s">
        <v>36</v>
      </c>
      <c r="G22" s="13">
        <v>2</v>
      </c>
      <c r="H22" s="94">
        <f>IF(B$17=0,0,G22/B$17)</f>
        <v>3.552397868561279E-3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44.033333333333331</v>
      </c>
      <c r="P22" s="80">
        <v>36</v>
      </c>
      <c r="Q22" s="68">
        <v>1585.2</v>
      </c>
    </row>
    <row r="23" spans="1:17">
      <c r="A23" s="19" t="s">
        <v>150</v>
      </c>
      <c r="B23" s="13">
        <v>76</v>
      </c>
      <c r="C23" s="6">
        <f>IF(B$17=0,0,B23/B$17)</f>
        <v>0.13499111900532859</v>
      </c>
      <c r="E23" s="33" t="s">
        <v>75</v>
      </c>
      <c r="F23" s="30" t="s">
        <v>39</v>
      </c>
      <c r="G23" s="13">
        <v>2</v>
      </c>
      <c r="H23" s="94">
        <f>IF(B$17=0,0,G23/B$17)</f>
        <v>3.552397868561279E-3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6739.0763765541742</v>
      </c>
      <c r="C24" s="8">
        <v>3794100</v>
      </c>
      <c r="E24" s="33" t="s">
        <v>76</v>
      </c>
      <c r="F24" s="30" t="s">
        <v>40</v>
      </c>
      <c r="G24" s="13">
        <v>2</v>
      </c>
      <c r="H24" s="94">
        <f>IF(B$17=0,0,G24/B$17)</f>
        <v>3.552397868561279E-3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7729.076086956522</v>
      </c>
      <c r="C25" s="98">
        <v>2844300</v>
      </c>
      <c r="E25" s="33" t="s">
        <v>79</v>
      </c>
      <c r="F25" s="30" t="s">
        <v>43</v>
      </c>
      <c r="G25" s="13">
        <v>1</v>
      </c>
      <c r="H25" s="94">
        <f>IF(B$17=0,0,G25/B$17)</f>
        <v>1.7761989342806395E-3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39.238095238095241</v>
      </c>
      <c r="P25" s="80">
        <v>21</v>
      </c>
      <c r="Q25" s="68">
        <v>824</v>
      </c>
    </row>
    <row r="26" spans="1:17">
      <c r="A26" s="20" t="s">
        <v>134</v>
      </c>
      <c r="B26" s="97">
        <f>IF(B$16=0,0,C26/B$16)</f>
        <v>4870.7692307692305</v>
      </c>
      <c r="C26" s="98">
        <v>949800</v>
      </c>
      <c r="E26" s="33" t="s">
        <v>80</v>
      </c>
      <c r="F26" s="30" t="s">
        <v>44</v>
      </c>
      <c r="G26" s="13">
        <v>1</v>
      </c>
      <c r="H26" s="94">
        <f>IF(B$17=0,0,G26/B$17)</f>
        <v>1.7761989342806395E-3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>IF(P26=0,0,Q26/P26)</f>
        <v>38.933333333333344</v>
      </c>
      <c r="P26" s="80">
        <v>9</v>
      </c>
      <c r="Q26" s="68">
        <v>350.40000000000009</v>
      </c>
    </row>
    <row r="27" spans="1:17">
      <c r="A27" s="20" t="s">
        <v>132</v>
      </c>
      <c r="B27" s="97">
        <f>IF(B$18=0,0,C27/B$18)</f>
        <v>-6264.4808743169397</v>
      </c>
      <c r="C27" s="98">
        <v>-2292800</v>
      </c>
      <c r="E27" s="33" t="s">
        <v>82</v>
      </c>
      <c r="F27" s="30" t="s">
        <v>46</v>
      </c>
      <c r="G27" s="13">
        <v>1</v>
      </c>
      <c r="H27" s="94">
        <f>IF(B$17=0,0,G27/B$17)</f>
        <v>1.7761989342806395E-3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3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6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19.885714285714283</v>
      </c>
      <c r="P30" s="80">
        <v>42</v>
      </c>
      <c r="Q30" s="68">
        <v>835.19999999999993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8</v>
      </c>
      <c r="C32" s="9">
        <f>IF(B$3=0,0,B32/B$3)</f>
        <v>2.9839612085042896E-3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14.733333333333336</v>
      </c>
      <c r="P34" s="80">
        <v>18</v>
      </c>
      <c r="Q34" s="68">
        <v>265.20000000000005</v>
      </c>
    </row>
    <row r="35" spans="1:17">
      <c r="A35" s="52" t="s">
        <v>139</v>
      </c>
      <c r="B35" s="99">
        <v>66</v>
      </c>
      <c r="C35" s="102">
        <f t="shared" ref="C35:C47" si="3">IF(B$17=0,0,B35/B$17)</f>
        <v>0.11722912966252221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108</v>
      </c>
      <c r="C36" s="6">
        <f t="shared" si="3"/>
        <v>0.19182948490230906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244</v>
      </c>
      <c r="O36" s="86">
        <f>IF(P36=0,0,Q36/P36)</f>
        <v>9.9111111111111097</v>
      </c>
      <c r="P36" s="80">
        <v>27</v>
      </c>
      <c r="Q36" s="68">
        <v>267.59999999999997</v>
      </c>
    </row>
    <row r="37" spans="1:17">
      <c r="A37" s="19" t="s">
        <v>136</v>
      </c>
      <c r="B37" s="100">
        <v>130</v>
      </c>
      <c r="C37" s="6">
        <f t="shared" si="3"/>
        <v>0.23090586145648312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119</v>
      </c>
      <c r="C38" s="6">
        <f t="shared" si="3"/>
        <v>0.21136767317939609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57</v>
      </c>
      <c r="C39" s="6">
        <f t="shared" si="3"/>
        <v>0.10124333925399645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58</v>
      </c>
      <c r="C40" s="6">
        <f t="shared" si="3"/>
        <v>0.10301953818827708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18</v>
      </c>
      <c r="C41" s="6">
        <f t="shared" si="3"/>
        <v>3.1971580817051509E-2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2</v>
      </c>
      <c r="C42" s="6">
        <f t="shared" si="3"/>
        <v>3.552397868561279E-3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3.552397868561279E-3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195</v>
      </c>
      <c r="O46" s="86">
        <f>IF(P46=0,0,Q46/P46)</f>
        <v>-8.6594594594594625</v>
      </c>
      <c r="P46" s="80">
        <v>111</v>
      </c>
      <c r="Q46" s="68">
        <v>-961.20000000000027</v>
      </c>
    </row>
    <row r="47" spans="1:17">
      <c r="A47" s="21" t="s">
        <v>147</v>
      </c>
      <c r="B47" s="101">
        <v>3</v>
      </c>
      <c r="C47" s="9">
        <f t="shared" si="3"/>
        <v>5.3285968028419185E-3</v>
      </c>
      <c r="K47" s="5">
        <v>45</v>
      </c>
      <c r="L47" s="61">
        <v>-52.099999999999987</v>
      </c>
      <c r="N47" s="76" t="s">
        <v>168</v>
      </c>
      <c r="O47" s="86">
        <f>IF(P47=0,0,Q47/P47)</f>
        <v>-11.807407407407409</v>
      </c>
      <c r="P47" s="80">
        <v>54</v>
      </c>
      <c r="Q47" s="68">
        <v>-637.6</v>
      </c>
    </row>
    <row r="48" spans="1:17">
      <c r="K48" s="5">
        <v>46</v>
      </c>
      <c r="L48" s="61">
        <v>-44.199999999999989</v>
      </c>
      <c r="N48" s="76" t="s">
        <v>263</v>
      </c>
      <c r="O48" s="86">
        <f>IF(P48=0,0,Q48/P48)</f>
        <v>-13.283333333333337</v>
      </c>
      <c r="P48" s="80">
        <v>24</v>
      </c>
      <c r="Q48" s="68">
        <v>-318.80000000000007</v>
      </c>
    </row>
    <row r="49" spans="11:17">
      <c r="K49" s="5">
        <v>47</v>
      </c>
      <c r="L49" s="61">
        <v>-76.299999999999983</v>
      </c>
      <c r="N49" s="76" t="s">
        <v>167</v>
      </c>
      <c r="O49" s="86">
        <f>IF(P49=0,0,Q49/P49)</f>
        <v>-18.666666666666664</v>
      </c>
      <c r="P49" s="80">
        <v>3</v>
      </c>
      <c r="Q49" s="68">
        <v>-55.999999999999993</v>
      </c>
    </row>
    <row r="50" spans="11:17">
      <c r="K50" s="5">
        <v>48</v>
      </c>
      <c r="L50" s="61">
        <v>-19.999999999999986</v>
      </c>
      <c r="N50" s="76" t="s">
        <v>169</v>
      </c>
      <c r="O50" s="86">
        <f>IF(P50=0,0,Q50/P50)</f>
        <v>-21.227350427350444</v>
      </c>
      <c r="P50" s="80">
        <v>117</v>
      </c>
      <c r="Q50" s="68">
        <v>-2483.6000000000022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-21.466666666666665</v>
      </c>
      <c r="P51" s="80">
        <v>18</v>
      </c>
      <c r="Q51" s="68">
        <v>-386.4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-27.238095238095223</v>
      </c>
      <c r="P52" s="80">
        <v>21</v>
      </c>
      <c r="Q52" s="68">
        <v>-571.99999999999966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-28.453333333333319</v>
      </c>
      <c r="P53" s="80">
        <v>15</v>
      </c>
      <c r="Q53" s="68">
        <v>-426.79999999999978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272</v>
      </c>
      <c r="O56" s="86">
        <f>IF(P56=0,0,Q56/P56)</f>
        <v>-42.2</v>
      </c>
      <c r="P56" s="80">
        <v>18</v>
      </c>
      <c r="Q56" s="68">
        <v>-759.6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16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32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29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18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9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13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30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14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7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18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13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25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8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12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7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14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-3483.3333333333335</v>
      </c>
      <c r="P2" s="79">
        <v>12</v>
      </c>
      <c r="Q2" s="63">
        <v>-41800</v>
      </c>
    </row>
    <row r="3" spans="1:17">
      <c r="A3" s="19" t="s">
        <v>8</v>
      </c>
      <c r="B3" s="122">
        <v>89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-2333.3333333333335</v>
      </c>
      <c r="P3" s="80">
        <v>12</v>
      </c>
      <c r="Q3" s="64">
        <v>-28000</v>
      </c>
    </row>
    <row r="4" spans="1:17">
      <c r="A4" s="19" t="s">
        <v>6</v>
      </c>
      <c r="B4" s="124">
        <v>-403.8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0.4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-3575</v>
      </c>
      <c r="P4" s="80">
        <v>12</v>
      </c>
      <c r="Q4" s="64">
        <v>-42900</v>
      </c>
    </row>
    <row r="5" spans="1:17">
      <c r="A5" s="19" t="s">
        <v>7</v>
      </c>
      <c r="B5" s="126">
        <f>IF(B$2=0,0,B$4/B$2)</f>
        <v>-33.65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</v>
      </c>
      <c r="I5" s="56">
        <v>8</v>
      </c>
      <c r="K5" s="5">
        <v>3</v>
      </c>
      <c r="L5" s="61">
        <v>-67.200000000000017</v>
      </c>
      <c r="N5" s="76" t="s">
        <v>157</v>
      </c>
      <c r="O5" s="83">
        <f>IF(P5=0,0,Q5/P5)</f>
        <v>-1590.909090909091</v>
      </c>
      <c r="P5" s="80">
        <v>11</v>
      </c>
      <c r="Q5" s="64">
        <v>-17500</v>
      </c>
    </row>
    <row r="6" spans="1:17">
      <c r="A6" s="19" t="s">
        <v>1</v>
      </c>
      <c r="B6" s="128">
        <f>IF(B$2=0,0,(B$7*1+B$8*2+B$9*3+B$10*4)/B$2)</f>
        <v>3.4166666666666665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184</v>
      </c>
      <c r="F7" s="30" t="s">
        <v>187</v>
      </c>
      <c r="G7" s="13">
        <v>2</v>
      </c>
      <c r="H7" s="94">
        <f>IF(B$17=0,0,G7/B$17)</f>
        <v>0.2</v>
      </c>
      <c r="I7" s="56">
        <v>35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8.3333333333333329E-2</v>
      </c>
      <c r="E8" s="33" t="s">
        <v>55</v>
      </c>
      <c r="F8" s="30" t="s">
        <v>155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57</v>
      </c>
      <c r="F9" s="30" t="s">
        <v>21</v>
      </c>
      <c r="G9" s="13">
        <v>1</v>
      </c>
      <c r="H9" s="94">
        <f>IF(B$17=0,0,G9/B$17)</f>
        <v>0.1</v>
      </c>
      <c r="I9" s="56">
        <v>30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0.66666666666666663</v>
      </c>
      <c r="E10" s="33" t="s">
        <v>59</v>
      </c>
      <c r="F10" s="30" t="s">
        <v>23</v>
      </c>
      <c r="G10" s="13">
        <v>1</v>
      </c>
      <c r="H10" s="94">
        <f>IF(B$17=0,0,G10/B$17)</f>
        <v>0.1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0.16666666666666666</v>
      </c>
      <c r="E11" s="33" t="s">
        <v>61</v>
      </c>
      <c r="F11" s="30" t="s">
        <v>25</v>
      </c>
      <c r="G11" s="13">
        <v>1</v>
      </c>
      <c r="H11" s="94">
        <f>IF(B$17=0,0,G11/B$17)</f>
        <v>0.1</v>
      </c>
      <c r="I11" s="56">
        <v>1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66</v>
      </c>
      <c r="F12" s="30" t="s">
        <v>30</v>
      </c>
      <c r="G12" s="13">
        <v>1</v>
      </c>
      <c r="H12" s="94">
        <f>IF(B$17=0,0,G12/B$17)</f>
        <v>0.1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-19.933333333333334</v>
      </c>
      <c r="P12" s="79">
        <v>3</v>
      </c>
      <c r="Q12" s="67">
        <v>-59.800000000000004</v>
      </c>
    </row>
    <row r="13" spans="1:17">
      <c r="A13" s="22" t="s">
        <v>97</v>
      </c>
      <c r="B13" s="15">
        <v>9</v>
      </c>
      <c r="C13" s="11">
        <f>IF(B$3=0,0,B13/B$3)</f>
        <v>0.10112359550561797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22</v>
      </c>
      <c r="C14" s="6">
        <f>IF(B$3=0,0,B14/B$3)</f>
        <v>0.24719101123595505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5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3</v>
      </c>
      <c r="C16" s="4">
        <f>IF(B$14=0,0,B16/B$14)</f>
        <v>0.13636363636363635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0.11235955056179775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0.24719101123595505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32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6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 t="shared" si="3"/>
        <v>-14.549999999999997</v>
      </c>
      <c r="P19" s="80">
        <v>2</v>
      </c>
      <c r="Q19" s="68">
        <v>-29.099999999999994</v>
      </c>
    </row>
    <row r="20" spans="1:17">
      <c r="A20" s="19" t="s">
        <v>11</v>
      </c>
      <c r="B20" s="13">
        <v>4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-16.224999999999998</v>
      </c>
      <c r="P20" s="80">
        <v>4</v>
      </c>
      <c r="Q20" s="68">
        <v>-64.899999999999991</v>
      </c>
    </row>
    <row r="21" spans="1:17">
      <c r="A21" s="19" t="s">
        <v>151</v>
      </c>
      <c r="B21" s="13">
        <v>5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-18.75</v>
      </c>
      <c r="P21" s="80">
        <v>2</v>
      </c>
      <c r="Q21" s="68">
        <v>-37.5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258</v>
      </c>
      <c r="O22" s="86">
        <f t="shared" si="3"/>
        <v>-23.5</v>
      </c>
      <c r="P22" s="80">
        <v>3</v>
      </c>
      <c r="Q22" s="68">
        <v>-70.5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-28.300000000000004</v>
      </c>
      <c r="P23" s="80">
        <v>1</v>
      </c>
      <c r="Q23" s="68">
        <v>-28.300000000000004</v>
      </c>
    </row>
    <row r="24" spans="1:17">
      <c r="A24" s="19" t="s">
        <v>5</v>
      </c>
      <c r="B24" s="16">
        <f>IF(B$17=0,0,C24/B$17)</f>
        <v>5170</v>
      </c>
      <c r="C24" s="8">
        <v>51700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 t="shared" si="3"/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6142.8571428571431</v>
      </c>
      <c r="C25" s="98">
        <v>43000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263</v>
      </c>
      <c r="O26" s="86">
        <f t="shared" si="3"/>
        <v>-51.666666666666664</v>
      </c>
      <c r="P26" s="80">
        <v>3</v>
      </c>
      <c r="Q26" s="68">
        <v>-155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-56.8</v>
      </c>
      <c r="P27" s="80">
        <v>1</v>
      </c>
      <c r="Q27" s="68">
        <v>-56.8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-59.824999999999996</v>
      </c>
      <c r="P28" s="80">
        <v>4</v>
      </c>
      <c r="Q28" s="68">
        <v>-239.29999999999998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262</v>
      </c>
      <c r="O29" s="86">
        <f t="shared" si="3"/>
        <v>-64.5</v>
      </c>
      <c r="P29" s="80">
        <v>1</v>
      </c>
      <c r="Q29" s="68">
        <v>-64.5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 t="shared" si="3"/>
        <v>-67.750000000000014</v>
      </c>
      <c r="P30" s="80">
        <v>2</v>
      </c>
      <c r="Q30" s="68">
        <v>-135.50000000000003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1.1235955056179775E-2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0.61111111111111116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-1114.2857142857142</v>
      </c>
      <c r="P2" s="79">
        <v>14</v>
      </c>
      <c r="Q2" s="63">
        <v>-15600</v>
      </c>
    </row>
    <row r="3" spans="1:17">
      <c r="A3" s="19" t="s">
        <v>8</v>
      </c>
      <c r="B3" s="122">
        <v>98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29</v>
      </c>
      <c r="K3" s="5">
        <v>1</v>
      </c>
      <c r="L3" s="61">
        <v>-31</v>
      </c>
      <c r="N3" s="76" t="s">
        <v>104</v>
      </c>
      <c r="O3" s="83">
        <f t="shared" si="0"/>
        <v>-71.428571428571431</v>
      </c>
      <c r="P3" s="80">
        <v>14</v>
      </c>
      <c r="Q3" s="64">
        <v>-1000</v>
      </c>
    </row>
    <row r="4" spans="1:17">
      <c r="A4" s="19" t="s">
        <v>6</v>
      </c>
      <c r="B4" s="124">
        <v>-211.29999999999995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0.44444444444444442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-353.84615384615387</v>
      </c>
      <c r="P4" s="80">
        <v>13</v>
      </c>
      <c r="Q4" s="64">
        <v>-4600</v>
      </c>
    </row>
    <row r="5" spans="1:17">
      <c r="A5" s="19" t="s">
        <v>7</v>
      </c>
      <c r="B5" s="126">
        <f>IF(B$2=0,0,B$4/B$2)</f>
        <v>-15.09285714285714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0.3888888888888889</v>
      </c>
      <c r="I5" s="56">
        <v>7</v>
      </c>
      <c r="K5" s="5">
        <v>3</v>
      </c>
      <c r="L5" s="61">
        <v>-44.9</v>
      </c>
      <c r="N5" s="76" t="s">
        <v>157</v>
      </c>
      <c r="O5" s="83">
        <f>IF(P5=0,0,Q5/P5)</f>
        <v>-1391.6666666666667</v>
      </c>
      <c r="P5" s="80">
        <v>12</v>
      </c>
      <c r="Q5" s="64">
        <v>-16700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0.33333333333333331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-2516.6666666666665</v>
      </c>
      <c r="P6" s="80">
        <v>6</v>
      </c>
      <c r="Q6" s="64">
        <v>-15100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5</v>
      </c>
      <c r="H7" s="94">
        <f>IF(B$17=0,0,G7/B$17)</f>
        <v>0.27777777777777779</v>
      </c>
      <c r="I7" s="56">
        <v>6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55</v>
      </c>
      <c r="F8" s="30" t="s">
        <v>155</v>
      </c>
      <c r="G8" s="13">
        <v>4</v>
      </c>
      <c r="H8" s="94">
        <f>IF(B$17=0,0,G8/B$17)</f>
        <v>0.22222222222222221</v>
      </c>
      <c r="I8" s="56">
        <v>21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0.42857142857142855</v>
      </c>
      <c r="E9" s="33" t="s">
        <v>56</v>
      </c>
      <c r="F9" s="30" t="s">
        <v>185</v>
      </c>
      <c r="G9" s="13">
        <v>4</v>
      </c>
      <c r="H9" s="94">
        <f>IF(B$17=0,0,G9/B$17)</f>
        <v>0.22222222222222221</v>
      </c>
      <c r="I9" s="56">
        <v>27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0.1111111111111111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0.42857142857142855</v>
      </c>
      <c r="E11" s="33" t="s">
        <v>69</v>
      </c>
      <c r="F11" s="30" t="s">
        <v>33</v>
      </c>
      <c r="G11" s="13">
        <v>1</v>
      </c>
      <c r="H11" s="94">
        <f>IF(B$17=0,0,G11/B$17)</f>
        <v>5.5555555555555552E-2</v>
      </c>
      <c r="I11" s="56">
        <v>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14</v>
      </c>
      <c r="C13" s="11">
        <f>IF(B$3=0,0,B13/B$3)</f>
        <v>0.14285714285714285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18</v>
      </c>
      <c r="C14" s="6">
        <f>IF(B$3=0,0,B14/B$3)</f>
        <v>0.18367346938775511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-14.549999999999999</v>
      </c>
      <c r="P14" s="80">
        <v>6</v>
      </c>
      <c r="Q14" s="68">
        <v>-87.3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-8.2749999999999986</v>
      </c>
      <c r="P15" s="81">
        <v>4</v>
      </c>
      <c r="Q15" s="69">
        <v>-33.099999999999994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0.18367346938775511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0.1326530612244898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7</v>
      </c>
      <c r="C19" s="6">
        <f>IF(B$17=0,0,B19/B$17)</f>
        <v>0.3888888888888889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276</v>
      </c>
      <c r="O19" s="86">
        <f>IF(P19=0,0,Q19/P19)</f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11</v>
      </c>
      <c r="C20" s="6">
        <f>IF(B$17=0,0,B20/B$17)</f>
        <v>0.61111111111111116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277</v>
      </c>
      <c r="O20" s="86">
        <f>IF(P20=0,0,Q20/P20)</f>
        <v>36.35</v>
      </c>
      <c r="P20" s="80">
        <v>2</v>
      </c>
      <c r="Q20" s="68">
        <v>72.7</v>
      </c>
    </row>
    <row r="21" spans="1:17">
      <c r="A21" s="19" t="s">
        <v>151</v>
      </c>
      <c r="B21" s="13">
        <v>8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18.75</v>
      </c>
      <c r="P21" s="80">
        <v>2</v>
      </c>
      <c r="Q21" s="68">
        <v>37.5</v>
      </c>
    </row>
    <row r="22" spans="1:17">
      <c r="A22" s="19" t="s">
        <v>149</v>
      </c>
      <c r="B22" s="13">
        <v>7</v>
      </c>
      <c r="C22" s="6">
        <f>IF(B$17=0,0,B22/B$17)</f>
        <v>0.3888888888888889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>IF(P22=0,0,Q22/P22)</f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>IF(P23=0,0,Q23/P23)</f>
        <v>-7.2500000000000009</v>
      </c>
      <c r="P23" s="80">
        <v>4</v>
      </c>
      <c r="Q23" s="68">
        <v>-29.000000000000004</v>
      </c>
    </row>
    <row r="24" spans="1:17">
      <c r="A24" s="19" t="s">
        <v>5</v>
      </c>
      <c r="B24" s="16">
        <f>IF(B$17=0,0,C24/B$17)</f>
        <v>5455.5555555555557</v>
      </c>
      <c r="C24" s="8">
        <v>98200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>IF(P24=0,0,Q24/P24)</f>
        <v>-10.849999999999998</v>
      </c>
      <c r="P24" s="80">
        <v>2</v>
      </c>
      <c r="Q24" s="68">
        <v>-21.699999999999996</v>
      </c>
    </row>
    <row r="25" spans="1:17">
      <c r="A25" s="20" t="s">
        <v>133</v>
      </c>
      <c r="B25" s="97">
        <f>IF($B$17-B$16=0,0,C25/($B$17-B$16))</f>
        <v>7354.545454545455</v>
      </c>
      <c r="C25" s="98">
        <v>80900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227</v>
      </c>
      <c r="O25" s="86">
        <f>IF(P25=0,0,Q25/P25)</f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244</v>
      </c>
      <c r="O26" s="86">
        <f>IF(P26=0,0,Q26/P26)</f>
        <v>-21.75</v>
      </c>
      <c r="P26" s="80">
        <v>2</v>
      </c>
      <c r="Q26" s="68">
        <v>-43.5</v>
      </c>
    </row>
    <row r="27" spans="1:17">
      <c r="A27" s="20" t="s">
        <v>132</v>
      </c>
      <c r="B27" s="97">
        <f>IF(B$18=0,0,C27/B$18)</f>
        <v>-7938.4615384615381</v>
      </c>
      <c r="C27" s="98">
        <v>-103200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216</v>
      </c>
      <c r="O27" s="86">
        <f>IF(P27=0,0,Q27/P27)</f>
        <v>-39.633333333333333</v>
      </c>
      <c r="P27" s="80">
        <v>6</v>
      </c>
      <c r="Q27" s="68">
        <v>-237.8</v>
      </c>
    </row>
    <row r="28" spans="1:17">
      <c r="A28" s="19" t="s">
        <v>130</v>
      </c>
      <c r="B28" s="13">
        <v>3</v>
      </c>
      <c r="C28" s="96">
        <v>3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-50.25</v>
      </c>
      <c r="P28" s="80">
        <v>2</v>
      </c>
      <c r="Q28" s="68">
        <v>-100.5</v>
      </c>
    </row>
    <row r="29" spans="1:17">
      <c r="A29" s="19" t="s">
        <v>131</v>
      </c>
      <c r="B29" s="13">
        <v>23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195</v>
      </c>
      <c r="O29" s="86">
        <f>IF(P29=0,0,Q29/P29)</f>
        <v>-66.066666666666649</v>
      </c>
      <c r="P29" s="80">
        <v>6</v>
      </c>
      <c r="Q29" s="68">
        <v>-396.39999999999992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255</v>
      </c>
      <c r="O30" s="86">
        <f>IF(P30=0,0,Q30/P30)</f>
        <v>-82.800000000000011</v>
      </c>
      <c r="P30" s="80">
        <v>2</v>
      </c>
      <c r="Q30" s="68">
        <v>-165.60000000000002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1.020408163265306E-2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0.22222222222222221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14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-5177.7777777777774</v>
      </c>
      <c r="P2" s="79">
        <v>9</v>
      </c>
      <c r="Q2" s="63">
        <v>-46600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-72.8</v>
      </c>
      <c r="N3" s="76" t="s">
        <v>104</v>
      </c>
      <c r="O3" s="83">
        <f t="shared" si="0"/>
        <v>-2233.3333333333335</v>
      </c>
      <c r="P3" s="80">
        <v>9</v>
      </c>
      <c r="Q3" s="64">
        <v>-20100</v>
      </c>
    </row>
    <row r="4" spans="1:17">
      <c r="A4" s="19" t="s">
        <v>6</v>
      </c>
      <c r="B4" s="124">
        <v>-69.400000000000006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32</v>
      </c>
      <c r="K4" s="5">
        <v>2</v>
      </c>
      <c r="L4" s="61">
        <v>-92.5</v>
      </c>
      <c r="N4" s="76" t="s">
        <v>105</v>
      </c>
      <c r="O4" s="83">
        <f t="shared" si="0"/>
        <v>-262.5</v>
      </c>
      <c r="P4" s="80">
        <v>8</v>
      </c>
      <c r="Q4" s="64">
        <v>-2100</v>
      </c>
    </row>
    <row r="5" spans="1:17">
      <c r="A5" s="19" t="s">
        <v>7</v>
      </c>
      <c r="B5" s="126">
        <f>IF(B$2=0,0,B$4/B$2)</f>
        <v>-7.7111111111111121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0.22222222222222221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9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13</v>
      </c>
      <c r="C14" s="6">
        <f>IF(B$3=0,0,B14/B$3)</f>
        <v>0.20634920634920634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-80</v>
      </c>
      <c r="P14" s="80">
        <v>1</v>
      </c>
      <c r="Q14" s="68">
        <v>-80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0.15873015873015872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0.17460317460317459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9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-7436.363636363636</v>
      </c>
      <c r="C27" s="98">
        <v>-81800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 t="shared" si="3"/>
        <v>-61.6</v>
      </c>
      <c r="P27" s="80">
        <v>1</v>
      </c>
      <c r="Q27" s="68">
        <v>-61.6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-97.6</v>
      </c>
      <c r="P28" s="80">
        <v>1</v>
      </c>
      <c r="Q28" s="68">
        <v>-97.6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276</v>
      </c>
      <c r="O29" s="86">
        <f t="shared" si="3"/>
        <v>-160.80000000000001</v>
      </c>
      <c r="P29" s="80">
        <v>1</v>
      </c>
      <c r="Q29" s="68">
        <v>-160.80000000000001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-3000</v>
      </c>
      <c r="P2" s="79">
        <v>7</v>
      </c>
      <c r="Q2" s="63">
        <v>-21000</v>
      </c>
    </row>
    <row r="3" spans="1:17">
      <c r="A3" s="19" t="s">
        <v>8</v>
      </c>
      <c r="B3" s="122">
        <v>48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8</v>
      </c>
      <c r="K3" s="5">
        <v>1</v>
      </c>
      <c r="L3" s="61">
        <v>80</v>
      </c>
      <c r="N3" s="76" t="s">
        <v>104</v>
      </c>
      <c r="O3" s="83">
        <f t="shared" si="0"/>
        <v>1585.7142857142858</v>
      </c>
      <c r="P3" s="80">
        <v>7</v>
      </c>
      <c r="Q3" s="64">
        <v>11100</v>
      </c>
    </row>
    <row r="4" spans="1:17">
      <c r="A4" s="19" t="s">
        <v>6</v>
      </c>
      <c r="B4" s="124">
        <v>135.5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2716.6666666666665</v>
      </c>
      <c r="P4" s="80">
        <v>6</v>
      </c>
      <c r="Q4" s="64">
        <v>16300</v>
      </c>
    </row>
    <row r="5" spans="1:17">
      <c r="A5" s="19" t="s">
        <v>7</v>
      </c>
      <c r="B5" s="126">
        <f>IF(B$2=0,0,B$4/B$2)</f>
        <v>19.357142857142858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1033.3333333333333</v>
      </c>
      <c r="P5" s="80">
        <v>6</v>
      </c>
      <c r="Q5" s="64">
        <v>6200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0.41666666666666669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3550</v>
      </c>
      <c r="P6" s="80">
        <v>4</v>
      </c>
      <c r="Q6" s="64">
        <v>14200</v>
      </c>
    </row>
    <row r="7" spans="1:17">
      <c r="A7" s="19" t="s">
        <v>2</v>
      </c>
      <c r="B7" s="13">
        <v>3</v>
      </c>
      <c r="C7" s="6">
        <f t="shared" ref="C7:C12" si="2">IF(B$2=0,0,B7/B$2)</f>
        <v>0.42857142857142855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10</v>
      </c>
      <c r="K7" s="5">
        <v>5</v>
      </c>
      <c r="L7" s="61">
        <v>154.19999999999999</v>
      </c>
      <c r="N7" s="76" t="s">
        <v>107</v>
      </c>
      <c r="O7" s="83">
        <f t="shared" si="0"/>
        <v>3850</v>
      </c>
      <c r="P7" s="80">
        <v>2</v>
      </c>
      <c r="Q7" s="64">
        <v>7700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59</v>
      </c>
      <c r="F8" s="30" t="s">
        <v>23</v>
      </c>
      <c r="G8" s="13">
        <v>4</v>
      </c>
      <c r="H8" s="94">
        <f>IF(B$17=0,0,G8/B$17)</f>
        <v>0.33333333333333331</v>
      </c>
      <c r="I8" s="56">
        <v>3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55</v>
      </c>
      <c r="F9" s="30" t="s">
        <v>155</v>
      </c>
      <c r="G9" s="13">
        <v>3</v>
      </c>
      <c r="H9" s="94">
        <f>IF(B$17=0,0,G9/B$17)</f>
        <v>0.25</v>
      </c>
      <c r="I9" s="56">
        <v>13</v>
      </c>
      <c r="K9" s="5">
        <v>7</v>
      </c>
      <c r="L9" s="61">
        <v>135.5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0.16666666666666666</v>
      </c>
      <c r="I10" s="56">
        <v>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8.3333333333333329E-2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8.3333333333333329E-2</v>
      </c>
      <c r="I12" s="56">
        <v>5</v>
      </c>
      <c r="N12" s="75" t="s">
        <v>126</v>
      </c>
      <c r="O12" s="85">
        <f>IF(P12=0,0,Q12/P12)</f>
        <v>-9.35</v>
      </c>
      <c r="P12" s="79">
        <v>2</v>
      </c>
      <c r="Q12" s="67">
        <v>-18.7</v>
      </c>
    </row>
    <row r="13" spans="1:17">
      <c r="A13" s="22" t="s">
        <v>97</v>
      </c>
      <c r="B13" s="15">
        <v>12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10</v>
      </c>
      <c r="C14" s="6">
        <f>IF(B$3=0,0,B14/B$3)</f>
        <v>0.20833333333333334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7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0.10416666666666667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169</v>
      </c>
      <c r="O18" s="85">
        <f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>IF(P19=0,0,Q19/P19)</f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61</v>
      </c>
      <c r="P20" s="80">
        <v>1</v>
      </c>
      <c r="Q20" s="68">
        <v>61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235</v>
      </c>
      <c r="O21" s="86">
        <f>IF(P21=0,0,Q21/P21)</f>
        <v>46.175000000000011</v>
      </c>
      <c r="P21" s="80">
        <v>4</v>
      </c>
      <c r="Q21" s="68">
        <v>184.70000000000005</v>
      </c>
    </row>
    <row r="22" spans="1:17">
      <c r="A22" s="19" t="s">
        <v>149</v>
      </c>
      <c r="B22" s="13">
        <v>3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37.549999999999997</v>
      </c>
      <c r="P22" s="80">
        <v>2</v>
      </c>
      <c r="Q22" s="68">
        <v>75.099999999999994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7950</v>
      </c>
      <c r="C24" s="8">
        <v>95400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18.700000000000003</v>
      </c>
      <c r="P24" s="80">
        <v>3</v>
      </c>
      <c r="Q24" s="68">
        <v>56.100000000000009</v>
      </c>
    </row>
    <row r="25" spans="1:17">
      <c r="A25" s="20" t="s">
        <v>133</v>
      </c>
      <c r="B25" s="97">
        <f>IF($B$17-B$16=0,0,C25/($B$17-B$16))</f>
        <v>8833.3333333333339</v>
      </c>
      <c r="C25" s="98">
        <v>79500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>IF(P25=0,0,Q25/P25)</f>
        <v>-5.8999999999999995</v>
      </c>
      <c r="P25" s="80">
        <v>2</v>
      </c>
      <c r="Q25" s="68">
        <v>-11.799999999999999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265</v>
      </c>
      <c r="O26" s="86">
        <f>IF(P26=0,0,Q26/P26)</f>
        <v>-65.900000000000006</v>
      </c>
      <c r="P26" s="80">
        <v>1</v>
      </c>
      <c r="Q26" s="68">
        <v>-65.900000000000006</v>
      </c>
    </row>
    <row r="27" spans="1:17">
      <c r="A27" s="20" t="s">
        <v>132</v>
      </c>
      <c r="B27" s="97">
        <f>IF(B$18=0,0,C27/B$18)</f>
        <v>-6720</v>
      </c>
      <c r="C27" s="98">
        <v>-33600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>IF(P27=0,0,Q27/P27)</f>
        <v>-72.7</v>
      </c>
      <c r="P27" s="80">
        <v>1</v>
      </c>
      <c r="Q27" s="68">
        <v>-72.7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-116</v>
      </c>
      <c r="P28" s="80">
        <v>1</v>
      </c>
      <c r="Q28" s="68">
        <v>-116</v>
      </c>
    </row>
    <row r="29" spans="1:17">
      <c r="A29" s="19" t="s">
        <v>131</v>
      </c>
      <c r="B29" s="13">
        <v>17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8.3333333333333329E-2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23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13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29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4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35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14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0.91666666666666663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483.33333333333331</v>
      </c>
      <c r="P2" s="79">
        <v>6</v>
      </c>
      <c r="Q2" s="63">
        <v>2900</v>
      </c>
    </row>
    <row r="3" spans="1:17">
      <c r="A3" s="19" t="s">
        <v>8</v>
      </c>
      <c r="B3" s="122">
        <v>40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-45.8</v>
      </c>
      <c r="N3" s="76" t="s">
        <v>104</v>
      </c>
      <c r="O3" s="83">
        <f t="shared" si="0"/>
        <v>1200</v>
      </c>
      <c r="P3" s="80">
        <v>6</v>
      </c>
      <c r="Q3" s="64">
        <v>7200</v>
      </c>
    </row>
    <row r="4" spans="1:17">
      <c r="A4" s="19" t="s">
        <v>6</v>
      </c>
      <c r="B4" s="124">
        <v>94.100000000000009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18</v>
      </c>
      <c r="K4" s="5">
        <v>2</v>
      </c>
      <c r="L4" s="61">
        <v>24.700000000000003</v>
      </c>
      <c r="N4" s="76" t="s">
        <v>105</v>
      </c>
      <c r="O4" s="83">
        <f t="shared" si="0"/>
        <v>766.66666666666663</v>
      </c>
      <c r="P4" s="80">
        <v>6</v>
      </c>
      <c r="Q4" s="64">
        <v>4600</v>
      </c>
    </row>
    <row r="5" spans="1:17">
      <c r="A5" s="19" t="s">
        <v>7</v>
      </c>
      <c r="B5" s="126">
        <f>IF(B$2=0,0,B$4/B$2)</f>
        <v>15.683333333333335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0.41666666666666669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-1900</v>
      </c>
      <c r="P5" s="80">
        <v>6</v>
      </c>
      <c r="Q5" s="64">
        <v>-11400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0.25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780</v>
      </c>
      <c r="P6" s="80">
        <v>5</v>
      </c>
      <c r="Q6" s="64">
        <v>3900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8.3333333333333329E-2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8.3333333333333329E-2</v>
      </c>
      <c r="I8" s="56">
        <v>12</v>
      </c>
      <c r="K8" s="5">
        <v>6</v>
      </c>
      <c r="L8" s="61">
        <v>94.100000000000009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183</v>
      </c>
      <c r="F9" s="30" t="s">
        <v>186</v>
      </c>
      <c r="G9" s="13">
        <v>1</v>
      </c>
      <c r="H9" s="94">
        <f>IF(B$17=0,0,G9/B$17)</f>
        <v>8.3333333333333329E-2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73.900000000000006</v>
      </c>
      <c r="P13" s="80">
        <v>1</v>
      </c>
      <c r="Q13" s="68">
        <v>73.900000000000006</v>
      </c>
    </row>
    <row r="14" spans="1:17">
      <c r="A14" s="19" t="s">
        <v>94</v>
      </c>
      <c r="B14" s="13">
        <v>7</v>
      </c>
      <c r="C14" s="6">
        <f>IF(B$3=0,0,B14/B$3)</f>
        <v>0.17499999999999999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-58</v>
      </c>
      <c r="P15" s="81">
        <v>1</v>
      </c>
      <c r="Q15" s="69">
        <v>-58</v>
      </c>
    </row>
    <row r="16" spans="1:17">
      <c r="A16" s="18" t="s">
        <v>100</v>
      </c>
      <c r="B16" s="12">
        <f>B22</f>
        <v>6</v>
      </c>
      <c r="C16" s="4">
        <f>IF(B$14=0,0,B16/B$14)</f>
        <v>0.8571428571428571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7.4999999999999997E-2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3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241</v>
      </c>
      <c r="O19" s="86">
        <f>IF(P19=0,0,Q19/P19)</f>
        <v>94.1</v>
      </c>
      <c r="P19" s="80">
        <v>1</v>
      </c>
      <c r="Q19" s="68">
        <v>94.1</v>
      </c>
    </row>
    <row r="20" spans="1:17">
      <c r="A20" s="19" t="s">
        <v>11</v>
      </c>
      <c r="B20" s="13">
        <v>9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255</v>
      </c>
      <c r="O20" s="86">
        <f>IF(P20=0,0,Q20/P20)</f>
        <v>65.900000000000006</v>
      </c>
      <c r="P20" s="80">
        <v>1</v>
      </c>
      <c r="Q20" s="68">
        <v>65.900000000000006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269</v>
      </c>
      <c r="O21" s="86">
        <f>IF(P21=0,0,Q21/P21)</f>
        <v>50.1</v>
      </c>
      <c r="P21" s="80">
        <v>1</v>
      </c>
      <c r="Q21" s="68">
        <v>50.1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46.400000000000006</v>
      </c>
      <c r="P22" s="80">
        <v>3</v>
      </c>
      <c r="Q22" s="68">
        <v>139.20000000000002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277</v>
      </c>
      <c r="O23" s="86">
        <f>IF(P23=0,0,Q23/P23)</f>
        <v>43.95</v>
      </c>
      <c r="P23" s="80">
        <v>2</v>
      </c>
      <c r="Q23" s="68">
        <v>87.9</v>
      </c>
    </row>
    <row r="24" spans="1:17">
      <c r="A24" s="19" t="s">
        <v>5</v>
      </c>
      <c r="B24" s="16">
        <f>IF(B$17=0,0,C24/B$17)</f>
        <v>5116.666666666667</v>
      </c>
      <c r="C24" s="8">
        <v>61400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213</v>
      </c>
      <c r="O24" s="86">
        <f>IF(P24=0,0,Q24/P24)</f>
        <v>20.099999999999998</v>
      </c>
      <c r="P24" s="80">
        <v>1</v>
      </c>
      <c r="Q24" s="68">
        <v>20.099999999999998</v>
      </c>
    </row>
    <row r="25" spans="1:17">
      <c r="A25" s="20" t="s">
        <v>133</v>
      </c>
      <c r="B25" s="97">
        <f>IF($B$17-B$16=0,0,C25/($B$17-B$16))</f>
        <v>7866.666666666667</v>
      </c>
      <c r="C25" s="98">
        <v>47200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>IF(P25=0,0,Q25/P25)</f>
        <v>18.400000000000002</v>
      </c>
      <c r="P25" s="80">
        <v>2</v>
      </c>
      <c r="Q25" s="68">
        <v>36.800000000000004</v>
      </c>
    </row>
    <row r="26" spans="1:17">
      <c r="A26" s="20" t="s">
        <v>134</v>
      </c>
      <c r="B26" s="97">
        <f>IF(B$16=0,0,C26/B$16)</f>
        <v>2366.6666666666665</v>
      </c>
      <c r="C26" s="98">
        <v>14200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272</v>
      </c>
      <c r="O26" s="86">
        <f>IF(P26=0,0,Q26/P26)</f>
        <v>-29.1</v>
      </c>
      <c r="P26" s="80">
        <v>2</v>
      </c>
      <c r="Q26" s="68">
        <v>-58.2</v>
      </c>
    </row>
    <row r="27" spans="1:17">
      <c r="A27" s="20" t="s">
        <v>132</v>
      </c>
      <c r="B27" s="97">
        <f>IF(B$18=0,0,C27/B$18)</f>
        <v>-5700</v>
      </c>
      <c r="C27" s="98">
        <v>-17100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264</v>
      </c>
      <c r="O27" s="86">
        <f>IF(P27=0,0,Q27/P27)</f>
        <v>-29.150000000000006</v>
      </c>
      <c r="P27" s="80">
        <v>2</v>
      </c>
      <c r="Q27" s="68">
        <v>-58.300000000000011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268</v>
      </c>
      <c r="O28" s="86">
        <f>IF(P28=0,0,Q28/P28)</f>
        <v>-49.4</v>
      </c>
      <c r="P28" s="80">
        <v>1</v>
      </c>
      <c r="Q28" s="68">
        <v>-49.4</v>
      </c>
    </row>
    <row r="29" spans="1:17">
      <c r="A29" s="19" t="s">
        <v>131</v>
      </c>
      <c r="B29" s="13">
        <v>21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>IF(P29=0,0,Q29/P29)</f>
        <v>-68.8</v>
      </c>
      <c r="P29" s="80">
        <v>1</v>
      </c>
      <c r="Q29" s="68">
        <v>-68.8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1962.5</v>
      </c>
      <c r="P2" s="79">
        <v>8</v>
      </c>
      <c r="Q2" s="63">
        <v>15700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</v>
      </c>
      <c r="I3" s="56">
        <v>13</v>
      </c>
      <c r="K3" s="5">
        <v>1</v>
      </c>
      <c r="L3" s="61">
        <v>10.3</v>
      </c>
      <c r="N3" s="76" t="s">
        <v>104</v>
      </c>
      <c r="O3" s="83">
        <f t="shared" si="0"/>
        <v>912.5</v>
      </c>
      <c r="P3" s="80">
        <v>8</v>
      </c>
      <c r="Q3" s="64">
        <v>7300</v>
      </c>
    </row>
    <row r="4" spans="1:17">
      <c r="A4" s="19" t="s">
        <v>6</v>
      </c>
      <c r="B4" s="124">
        <v>79.699999999999989</v>
      </c>
      <c r="C4" s="125"/>
      <c r="E4" s="33" t="s">
        <v>60</v>
      </c>
      <c r="F4" s="30" t="s">
        <v>24</v>
      </c>
      <c r="G4" s="13">
        <v>8</v>
      </c>
      <c r="H4" s="94">
        <f>IF(B$17=0,0,G4/B$17)</f>
        <v>0.44444444444444442</v>
      </c>
      <c r="I4" s="56">
        <v>13</v>
      </c>
      <c r="K4" s="5">
        <v>2</v>
      </c>
      <c r="L4" s="61">
        <v>-11.7</v>
      </c>
      <c r="N4" s="76" t="s">
        <v>105</v>
      </c>
      <c r="O4" s="83">
        <f t="shared" si="0"/>
        <v>275</v>
      </c>
      <c r="P4" s="80">
        <v>8</v>
      </c>
      <c r="Q4" s="64">
        <v>2200</v>
      </c>
    </row>
    <row r="5" spans="1:17">
      <c r="A5" s="19" t="s">
        <v>7</v>
      </c>
      <c r="B5" s="126">
        <f>IF(B$2=0,0,B$4/B$2)</f>
        <v>9.9624999999999986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0.22222222222222221</v>
      </c>
      <c r="I5" s="56">
        <v>20</v>
      </c>
      <c r="K5" s="5">
        <v>3</v>
      </c>
      <c r="L5" s="61">
        <v>-4.8999999999999995</v>
      </c>
      <c r="N5" s="76" t="s">
        <v>157</v>
      </c>
      <c r="O5" s="83">
        <f>IF(P5=0,0,Q5/P5)</f>
        <v>1133.3333333333333</v>
      </c>
      <c r="P5" s="80">
        <v>6</v>
      </c>
      <c r="Q5" s="64">
        <v>6800</v>
      </c>
    </row>
    <row r="6" spans="1:17">
      <c r="A6" s="19" t="s">
        <v>1</v>
      </c>
      <c r="B6" s="128">
        <f>IF(B$2=0,0,(B$7*1+B$8*2+B$9*3+B$10*4)/B$2)</f>
        <v>2.125</v>
      </c>
      <c r="C6" s="129"/>
      <c r="E6" s="33" t="s">
        <v>59</v>
      </c>
      <c r="F6" s="30" t="s">
        <v>23</v>
      </c>
      <c r="G6" s="13">
        <v>4</v>
      </c>
      <c r="H6" s="94">
        <f>IF(B$17=0,0,G6/B$17)</f>
        <v>0.22222222222222221</v>
      </c>
      <c r="I6" s="56">
        <v>12</v>
      </c>
      <c r="K6" s="5">
        <v>4</v>
      </c>
      <c r="L6" s="61">
        <v>43.2</v>
      </c>
      <c r="N6" s="76" t="s">
        <v>106</v>
      </c>
      <c r="O6" s="83">
        <f t="shared" ref="O6" si="1">IF(P6=0,0,Q6/P6)</f>
        <v>-566.66666666666663</v>
      </c>
      <c r="P6" s="80">
        <v>6</v>
      </c>
      <c r="Q6" s="64">
        <v>-3400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182</v>
      </c>
      <c r="F7" s="30" t="s">
        <v>19</v>
      </c>
      <c r="G7" s="13">
        <v>3</v>
      </c>
      <c r="H7" s="94">
        <f>IF(B$17=0,0,G7/B$17)</f>
        <v>0.16666666666666666</v>
      </c>
      <c r="I7" s="56">
        <v>9</v>
      </c>
      <c r="K7" s="5">
        <v>5</v>
      </c>
      <c r="L7" s="61">
        <v>26.900000000000002</v>
      </c>
      <c r="N7" s="76" t="s">
        <v>107</v>
      </c>
      <c r="O7" s="83">
        <f t="shared" si="0"/>
        <v>-500</v>
      </c>
      <c r="P7" s="80">
        <v>5</v>
      </c>
      <c r="Q7" s="64">
        <v>-2500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56</v>
      </c>
      <c r="F8" s="30" t="s">
        <v>185</v>
      </c>
      <c r="G8" s="13">
        <v>3</v>
      </c>
      <c r="H8" s="94">
        <f>IF(B$17=0,0,G8/B$17)</f>
        <v>0.16666666666666666</v>
      </c>
      <c r="I8" s="56">
        <v>32</v>
      </c>
      <c r="K8" s="5">
        <v>6</v>
      </c>
      <c r="L8" s="61">
        <v>44.5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55</v>
      </c>
      <c r="F9" s="30" t="s">
        <v>155</v>
      </c>
      <c r="G9" s="13">
        <v>2</v>
      </c>
      <c r="H9" s="94">
        <f>IF(B$17=0,0,G9/B$17)</f>
        <v>0.1111111111111111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77</v>
      </c>
      <c r="F10" s="30" t="s">
        <v>41</v>
      </c>
      <c r="G10" s="13">
        <v>1</v>
      </c>
      <c r="H10" s="94">
        <f>IF(B$17=0,0,G10/B$17)</f>
        <v>5.5555555555555552E-2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0.625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14.049999999999999</v>
      </c>
      <c r="P12" s="79">
        <v>4</v>
      </c>
      <c r="Q12" s="67">
        <v>56.199999999999996</v>
      </c>
    </row>
    <row r="13" spans="1:17">
      <c r="A13" s="22" t="s">
        <v>97</v>
      </c>
      <c r="B13" s="15">
        <v>13</v>
      </c>
      <c r="C13" s="11">
        <f>IF(B$3=0,0,B13/B$3)</f>
        <v>0.20634920634920634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21.049999999999997</v>
      </c>
      <c r="P13" s="80">
        <v>2</v>
      </c>
      <c r="Q13" s="68">
        <v>42.099999999999994</v>
      </c>
    </row>
    <row r="14" spans="1:17">
      <c r="A14" s="19" t="s">
        <v>94</v>
      </c>
      <c r="B14" s="13">
        <v>20</v>
      </c>
      <c r="C14" s="6">
        <f>IF(B$3=0,0,B14/B$3)</f>
        <v>0.31746031746031744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10</v>
      </c>
      <c r="C15" s="4">
        <f>IF(B$13=0,0,B15/B$13)</f>
        <v>0.76923076923076927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8</v>
      </c>
      <c r="C16" s="4">
        <f>IF(B$14=0,0,B16/B$14)</f>
        <v>0.4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0.2857142857142857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4.7619047619047616E-2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>IF(P18=0,0,Q18/P18)</f>
        <v>97.6</v>
      </c>
      <c r="P18" s="79">
        <v>1</v>
      </c>
      <c r="Q18" s="67">
        <v>97.6</v>
      </c>
    </row>
    <row r="19" spans="1:17">
      <c r="A19" s="19" t="s">
        <v>12</v>
      </c>
      <c r="B19" s="13">
        <v>4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58.233333333333327</v>
      </c>
      <c r="P19" s="80">
        <v>3</v>
      </c>
      <c r="Q19" s="68">
        <v>174.7</v>
      </c>
    </row>
    <row r="20" spans="1:17">
      <c r="A20" s="19" t="s">
        <v>11</v>
      </c>
      <c r="B20" s="13">
        <v>14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258</v>
      </c>
      <c r="O20" s="86">
        <f>IF(P20=0,0,Q20/P20)</f>
        <v>57.3</v>
      </c>
      <c r="P20" s="80">
        <v>2</v>
      </c>
      <c r="Q20" s="68">
        <v>114.6</v>
      </c>
    </row>
    <row r="21" spans="1:17">
      <c r="A21" s="19" t="s">
        <v>151</v>
      </c>
      <c r="B21" s="13">
        <v>10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51.666666666666664</v>
      </c>
      <c r="P21" s="80">
        <v>3</v>
      </c>
      <c r="Q21" s="68">
        <v>155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8.0000000000000018</v>
      </c>
      <c r="P23" s="80">
        <v>2</v>
      </c>
      <c r="Q23" s="68">
        <v>16.000000000000004</v>
      </c>
    </row>
    <row r="24" spans="1:17">
      <c r="A24" s="19" t="s">
        <v>5</v>
      </c>
      <c r="B24" s="16">
        <f>IF(B$17=0,0,C24/B$17)</f>
        <v>4683.333333333333</v>
      </c>
      <c r="C24" s="8">
        <v>84300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7330</v>
      </c>
      <c r="C25" s="98">
        <v>73300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-5.4500000000000011</v>
      </c>
      <c r="P25" s="80">
        <v>2</v>
      </c>
      <c r="Q25" s="68">
        <v>-10.900000000000002</v>
      </c>
    </row>
    <row r="26" spans="1:17">
      <c r="A26" s="20" t="s">
        <v>134</v>
      </c>
      <c r="B26" s="97">
        <f>IF(B$16=0,0,C26/B$16)</f>
        <v>1375</v>
      </c>
      <c r="C26" s="98">
        <v>11000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-36.9</v>
      </c>
      <c r="P26" s="80">
        <v>1</v>
      </c>
      <c r="Q26" s="68">
        <v>-36.9</v>
      </c>
    </row>
    <row r="27" spans="1:17">
      <c r="A27" s="20" t="s">
        <v>132</v>
      </c>
      <c r="B27" s="97">
        <f>IF(B$18=0,0,C27/B$18)</f>
        <v>-4766.666666666667</v>
      </c>
      <c r="C27" s="98">
        <v>-14300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264</v>
      </c>
      <c r="O27" s="86">
        <f>IF(P27=0,0,Q27/P27)</f>
        <v>-45.3</v>
      </c>
      <c r="P27" s="80">
        <v>1</v>
      </c>
      <c r="Q27" s="68">
        <v>-45.3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-46.400000000000006</v>
      </c>
      <c r="P28" s="80">
        <v>3</v>
      </c>
      <c r="Q28" s="68">
        <v>-139.20000000000002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195</v>
      </c>
      <c r="O29" s="86">
        <f>IF(P29=0,0,Q29/P29)</f>
        <v>-55.6</v>
      </c>
      <c r="P29" s="80">
        <v>1</v>
      </c>
      <c r="Q29" s="68">
        <v>-55.6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0.3888888888888889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5.5555555555555552E-2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14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3</v>
      </c>
      <c r="Q2" s="63">
        <v>-2700</v>
      </c>
    </row>
    <row r="3" spans="1:17">
      <c r="A3" s="19" t="s">
        <v>8</v>
      </c>
      <c r="B3" s="122">
        <v>19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-433.33333333333331</v>
      </c>
      <c r="P3" s="80">
        <v>3</v>
      </c>
      <c r="Q3" s="64">
        <v>-1300</v>
      </c>
    </row>
    <row r="4" spans="1:17">
      <c r="A4" s="19" t="s">
        <v>6</v>
      </c>
      <c r="B4" s="124">
        <v>-90.1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-7633.333333333333</v>
      </c>
      <c r="P4" s="80">
        <v>3</v>
      </c>
      <c r="Q4" s="64">
        <v>-22900</v>
      </c>
    </row>
    <row r="5" spans="1:17">
      <c r="A5" s="19" t="s">
        <v>7</v>
      </c>
      <c r="B5" s="126">
        <f>IF(B$2=0,0,B$4/B$2)</f>
        <v>-30.033333333333331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2666.6666666666665</v>
      </c>
      <c r="P5" s="80">
        <v>3</v>
      </c>
      <c r="Q5" s="64">
        <v>8000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2</v>
      </c>
      <c r="C14" s="6">
        <f>IF(B$3=0,0,B14/B$3)</f>
        <v>0.10526315789473684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-16.899999999999999</v>
      </c>
      <c r="P15" s="81">
        <v>1</v>
      </c>
      <c r="Q15" s="69">
        <v>-16.899999999999999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0.10526315789473684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0.26315789473684209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277</v>
      </c>
      <c r="O19" s="86">
        <f t="shared" si="3"/>
        <v>-2.3499999999999996</v>
      </c>
      <c r="P19" s="80">
        <v>2</v>
      </c>
      <c r="Q19" s="68">
        <v>-4.6999999999999993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-30</v>
      </c>
      <c r="P20" s="80">
        <v>1</v>
      </c>
      <c r="Q20" s="68">
        <v>-30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265</v>
      </c>
      <c r="O21" s="86">
        <f t="shared" si="3"/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-53.2</v>
      </c>
      <c r="P22" s="80">
        <v>2</v>
      </c>
      <c r="Q22" s="68">
        <v>-106.4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272</v>
      </c>
      <c r="O23" s="86">
        <f t="shared" si="3"/>
        <v>-88</v>
      </c>
      <c r="P23" s="80">
        <v>1</v>
      </c>
      <c r="Q23" s="68">
        <v>-88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268</v>
      </c>
      <c r="O24" s="86">
        <f t="shared" si="3"/>
        <v>-99.5</v>
      </c>
      <c r="P24" s="80">
        <v>1</v>
      </c>
      <c r="Q24" s="68">
        <v>-99.5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916.66666666666663</v>
      </c>
      <c r="P2" s="79">
        <v>6</v>
      </c>
      <c r="Q2" s="63">
        <v>5500</v>
      </c>
    </row>
    <row r="3" spans="1:17">
      <c r="A3" s="19" t="s">
        <v>8</v>
      </c>
      <c r="B3" s="122">
        <v>43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3633.3333333333335</v>
      </c>
      <c r="P3" s="80">
        <v>6</v>
      </c>
      <c r="Q3" s="64">
        <v>21800</v>
      </c>
    </row>
    <row r="4" spans="1:17">
      <c r="A4" s="19" t="s">
        <v>6</v>
      </c>
      <c r="B4" s="124">
        <v>189.9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0.25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2483.3333333333335</v>
      </c>
      <c r="P4" s="80">
        <v>6</v>
      </c>
      <c r="Q4" s="64">
        <v>14900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0.25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3016.6666666666665</v>
      </c>
      <c r="P5" s="80">
        <v>6</v>
      </c>
      <c r="Q5" s="64">
        <v>18100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0.25</v>
      </c>
      <c r="I6" s="56">
        <v>33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200</v>
      </c>
      <c r="P6" s="80">
        <v>4</v>
      </c>
      <c r="Q6" s="64">
        <v>800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K7" s="5">
        <v>5</v>
      </c>
      <c r="L7" s="61">
        <v>129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0.33333333333333331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25</v>
      </c>
      <c r="K8" s="5">
        <v>6</v>
      </c>
      <c r="L8" s="61">
        <v>189.9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57</v>
      </c>
      <c r="F9" s="30" t="s">
        <v>21</v>
      </c>
      <c r="G9" s="13">
        <v>2</v>
      </c>
      <c r="H9" s="94">
        <f>IF(B$17=0,0,G9/B$17)</f>
        <v>0.16666666666666666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2</v>
      </c>
      <c r="H10" s="94">
        <f>IF(B$17=0,0,G10/B$17)</f>
        <v>0.16666666666666666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0.83333333333333337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69</v>
      </c>
      <c r="F12" s="30" t="s">
        <v>33</v>
      </c>
      <c r="G12" s="13">
        <v>1</v>
      </c>
      <c r="H12" s="94">
        <f>IF(B$17=0,0,G12/B$17)</f>
        <v>8.3333333333333329E-2</v>
      </c>
      <c r="I12" s="56">
        <v>3</v>
      </c>
      <c r="N12" s="75" t="s">
        <v>126</v>
      </c>
      <c r="O12" s="85">
        <f>IF(P12=0,0,Q12/P12)</f>
        <v>66.2</v>
      </c>
      <c r="P12" s="79">
        <v>1</v>
      </c>
      <c r="Q12" s="67">
        <v>66.2</v>
      </c>
    </row>
    <row r="13" spans="1:17">
      <c r="A13" s="22" t="s">
        <v>97</v>
      </c>
      <c r="B13" s="15">
        <v>14</v>
      </c>
      <c r="C13" s="11">
        <f>IF(B$3=0,0,B13/B$3)</f>
        <v>0.32558139534883723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35.200000000000003</v>
      </c>
      <c r="P13" s="80">
        <v>2</v>
      </c>
      <c r="Q13" s="68">
        <v>70.400000000000006</v>
      </c>
    </row>
    <row r="14" spans="1:17">
      <c r="A14" s="19" t="s">
        <v>94</v>
      </c>
      <c r="B14" s="13">
        <v>8</v>
      </c>
      <c r="C14" s="6">
        <f>IF(B$3=0,0,B14/B$3)</f>
        <v>0.18604651162790697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9</v>
      </c>
      <c r="C15" s="4">
        <f>IF(B$13=0,0,B15/B$13)</f>
        <v>0.6428571428571429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2</v>
      </c>
      <c r="C16" s="4">
        <f>IF(B$14=0,0,B16/B$14)</f>
        <v>0.25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0.27906976744186046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9.3023255813953487E-2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94.13333333333334</v>
      </c>
      <c r="P18" s="79">
        <v>3</v>
      </c>
      <c r="Q18" s="67">
        <v>282.40000000000003</v>
      </c>
    </row>
    <row r="19" spans="1:17">
      <c r="A19" s="19" t="s">
        <v>12</v>
      </c>
      <c r="B19" s="13">
        <v>3</v>
      </c>
      <c r="C19" s="6">
        <f>IF(B$17=0,0,B19/B$17)</f>
        <v>0.25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269</v>
      </c>
      <c r="O19" s="86">
        <f>IF(P19=0,0,Q19/P19)</f>
        <v>88</v>
      </c>
      <c r="P19" s="80">
        <v>1</v>
      </c>
      <c r="Q19" s="68">
        <v>88</v>
      </c>
    </row>
    <row r="20" spans="1:17">
      <c r="A20" s="19" t="s">
        <v>11</v>
      </c>
      <c r="B20" s="13">
        <v>9</v>
      </c>
      <c r="C20" s="6">
        <f>IF(B$17=0,0,B20/B$17)</f>
        <v>0.75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276</v>
      </c>
      <c r="O20" s="86">
        <f>IF(P20=0,0,Q20/P20)</f>
        <v>81.05</v>
      </c>
      <c r="P20" s="80">
        <v>2</v>
      </c>
      <c r="Q20" s="68">
        <v>162.1</v>
      </c>
    </row>
    <row r="21" spans="1:17">
      <c r="A21" s="19" t="s">
        <v>151</v>
      </c>
      <c r="B21" s="13">
        <v>9</v>
      </c>
      <c r="C21" s="6">
        <f>IF(B$17=0,0,B21/B$17)</f>
        <v>0.75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>IF(P21=0,0,Q21/P21)</f>
        <v>56.8</v>
      </c>
      <c r="P21" s="80">
        <v>1</v>
      </c>
      <c r="Q21" s="68">
        <v>56.8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50.250000000000007</v>
      </c>
      <c r="P22" s="80">
        <v>2</v>
      </c>
      <c r="Q22" s="68">
        <v>100.50000000000001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43.9</v>
      </c>
      <c r="P23" s="80">
        <v>1</v>
      </c>
      <c r="Q23" s="68">
        <v>43.9</v>
      </c>
    </row>
    <row r="24" spans="1:17">
      <c r="A24" s="19" t="s">
        <v>5</v>
      </c>
      <c r="B24" s="16">
        <f>IF(B$17=0,0,C24/B$17)</f>
        <v>6266.666666666667</v>
      </c>
      <c r="C24" s="8">
        <v>75200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265</v>
      </c>
      <c r="O24" s="86">
        <f>IF(P24=0,0,Q24/P24)</f>
        <v>29.1</v>
      </c>
      <c r="P24" s="80">
        <v>2</v>
      </c>
      <c r="Q24" s="68">
        <v>58.2</v>
      </c>
    </row>
    <row r="25" spans="1:17">
      <c r="A25" s="20" t="s">
        <v>133</v>
      </c>
      <c r="B25" s="97">
        <f>IF($B$17-B$16=0,0,C25/($B$17-B$16))</f>
        <v>7290</v>
      </c>
      <c r="C25" s="98">
        <v>72900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241</v>
      </c>
      <c r="O25" s="86">
        <f>IF(P25=0,0,Q25/P25)</f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1150</v>
      </c>
      <c r="C26" s="98">
        <v>2300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-8.0000000000000018</v>
      </c>
      <c r="P26" s="80">
        <v>2</v>
      </c>
      <c r="Q26" s="68">
        <v>-16.000000000000004</v>
      </c>
    </row>
    <row r="27" spans="1:17">
      <c r="A27" s="20" t="s">
        <v>132</v>
      </c>
      <c r="B27" s="97">
        <f>IF(B$18=0,0,C27/B$18)</f>
        <v>-3000</v>
      </c>
      <c r="C27" s="98">
        <v>-12000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-10.75</v>
      </c>
      <c r="P27" s="80">
        <v>2</v>
      </c>
      <c r="Q27" s="68">
        <v>-21.5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264</v>
      </c>
      <c r="O28" s="86">
        <f>IF(P28=0,0,Q28/P28)</f>
        <v>-22.9</v>
      </c>
      <c r="P28" s="80">
        <v>1</v>
      </c>
      <c r="Q28" s="68">
        <v>-22.9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8.3333333333333329E-2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8.3333333333333329E-2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-2971.4285714285716</v>
      </c>
      <c r="P2" s="79">
        <v>7</v>
      </c>
      <c r="Q2" s="63">
        <v>-20800</v>
      </c>
    </row>
    <row r="3" spans="1:17">
      <c r="A3" s="19" t="s">
        <v>8</v>
      </c>
      <c r="B3" s="122">
        <v>52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-2028.5714285714287</v>
      </c>
      <c r="P3" s="80">
        <v>7</v>
      </c>
      <c r="Q3" s="64">
        <v>-14200</v>
      </c>
    </row>
    <row r="4" spans="1:17">
      <c r="A4" s="19" t="s">
        <v>6</v>
      </c>
      <c r="B4" s="124">
        <v>-206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0.4</v>
      </c>
      <c r="I4" s="56">
        <v>25</v>
      </c>
      <c r="K4" s="5">
        <v>2</v>
      </c>
      <c r="L4" s="61">
        <v>-38</v>
      </c>
      <c r="N4" s="76" t="s">
        <v>105</v>
      </c>
      <c r="O4" s="83">
        <f t="shared" si="0"/>
        <v>-2300</v>
      </c>
      <c r="P4" s="80">
        <v>7</v>
      </c>
      <c r="Q4" s="64">
        <v>-16100</v>
      </c>
    </row>
    <row r="5" spans="1:17">
      <c r="A5" s="19" t="s">
        <v>7</v>
      </c>
      <c r="B5" s="126">
        <f>IF(B$2=0,0,B$4/B$2)</f>
        <v>-29.428571428571427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20</v>
      </c>
      <c r="K5" s="5">
        <v>3</v>
      </c>
      <c r="L5" s="61">
        <v>-56.4</v>
      </c>
      <c r="N5" s="76" t="s">
        <v>157</v>
      </c>
      <c r="O5" s="83">
        <f>IF(P5=0,0,Q5/P5)</f>
        <v>-360</v>
      </c>
      <c r="P5" s="80">
        <v>5</v>
      </c>
      <c r="Q5" s="64">
        <v>-1800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</v>
      </c>
      <c r="I6" s="56">
        <v>23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28</v>
      </c>
      <c r="K7" s="5">
        <v>5</v>
      </c>
      <c r="L7" s="61">
        <v>-125.9</v>
      </c>
      <c r="N7" s="76" t="s">
        <v>107</v>
      </c>
      <c r="O7" s="83">
        <f t="shared" si="0"/>
        <v>-1333.3333333333333</v>
      </c>
      <c r="P7" s="80">
        <v>3</v>
      </c>
      <c r="Q7" s="64">
        <v>-4000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1</v>
      </c>
      <c r="H8" s="94">
        <f>IF(B$17=0,0,G8/B$17)</f>
        <v>0.2</v>
      </c>
      <c r="I8" s="56">
        <v>21</v>
      </c>
      <c r="K8" s="5">
        <v>6</v>
      </c>
      <c r="L8" s="61">
        <v>-178.9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0.14285714285714285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8</v>
      </c>
      <c r="C13" s="11">
        <f>IF(B$3=0,0,B13/B$3)</f>
        <v>0.15384615384615385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-9.4666666666666668</v>
      </c>
      <c r="P13" s="80">
        <v>3</v>
      </c>
      <c r="Q13" s="68">
        <v>-28.4</v>
      </c>
    </row>
    <row r="14" spans="1:17">
      <c r="A14" s="19" t="s">
        <v>94</v>
      </c>
      <c r="B14" s="13">
        <v>12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-38.799999999999997</v>
      </c>
      <c r="P14" s="80">
        <v>2</v>
      </c>
      <c r="Q14" s="68">
        <v>-77.599999999999994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-53</v>
      </c>
      <c r="P15" s="81">
        <v>1</v>
      </c>
      <c r="Q15" s="69">
        <v>-53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9.6153846153846159E-2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0.13461538461538461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>IF(P19=0,0,Q19/P19)</f>
        <v>14.55</v>
      </c>
      <c r="P19" s="80">
        <v>2</v>
      </c>
      <c r="Q19" s="68">
        <v>29.1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>IF(P20=0,0,Q20/P20)</f>
        <v>2.3499999999999996</v>
      </c>
      <c r="P20" s="80">
        <v>2</v>
      </c>
      <c r="Q20" s="68">
        <v>4.6999999999999993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238</v>
      </c>
      <c r="O21" s="86">
        <f>IF(P21=0,0,Q21/P21)</f>
        <v>-36.35</v>
      </c>
      <c r="P21" s="80">
        <v>2</v>
      </c>
      <c r="Q21" s="68">
        <v>-72.7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>IF(P22=0,0,Q22/P22)</f>
        <v>-43.95</v>
      </c>
      <c r="P22" s="80">
        <v>2</v>
      </c>
      <c r="Q22" s="68">
        <v>-87.9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276</v>
      </c>
      <c r="O23" s="86">
        <f>IF(P23=0,0,Q23/P23)</f>
        <v>-48.14</v>
      </c>
      <c r="P23" s="80">
        <v>5</v>
      </c>
      <c r="Q23" s="68">
        <v>-240.70000000000002</v>
      </c>
    </row>
    <row r="24" spans="1:17">
      <c r="A24" s="19" t="s">
        <v>5</v>
      </c>
      <c r="B24" s="16">
        <f>IF(B$17=0,0,C24/B$17)</f>
        <v>6200</v>
      </c>
      <c r="C24" s="8">
        <v>31000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-58.233333333333327</v>
      </c>
      <c r="P24" s="80">
        <v>3</v>
      </c>
      <c r="Q24" s="68">
        <v>-174.7</v>
      </c>
    </row>
    <row r="25" spans="1:17">
      <c r="A25" s="20" t="s">
        <v>133</v>
      </c>
      <c r="B25" s="97">
        <f>IF($B$17-B$16=0,0,C25/($B$17-B$16))</f>
        <v>6300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-61</v>
      </c>
      <c r="P25" s="80">
        <v>1</v>
      </c>
      <c r="Q25" s="68">
        <v>-61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272</v>
      </c>
      <c r="O26" s="86">
        <f>IF(P26=0,0,Q26/P26)</f>
        <v>-94.133333333333326</v>
      </c>
      <c r="P26" s="80">
        <v>3</v>
      </c>
      <c r="Q26" s="68">
        <v>-282.39999999999998</v>
      </c>
    </row>
    <row r="27" spans="1:17">
      <c r="A27" s="20" t="s">
        <v>132</v>
      </c>
      <c r="B27" s="97">
        <f>IF(B$18=0,0,C27/B$18)</f>
        <v>-5571.4285714285716</v>
      </c>
      <c r="C27" s="98">
        <v>-39000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5700</v>
      </c>
      <c r="P2" s="79">
        <v>5</v>
      </c>
      <c r="Q2" s="63">
        <v>28500</v>
      </c>
    </row>
    <row r="3" spans="1:17">
      <c r="A3" s="19" t="s">
        <v>8</v>
      </c>
      <c r="B3" s="122">
        <v>37</v>
      </c>
      <c r="C3" s="123"/>
      <c r="E3" s="33" t="s">
        <v>57</v>
      </c>
      <c r="F3" s="30" t="s">
        <v>21</v>
      </c>
      <c r="G3" s="13">
        <v>4</v>
      </c>
      <c r="H3" s="94">
        <f>IF(B$17=0,0,G3/B$17)</f>
        <v>0.44444444444444442</v>
      </c>
      <c r="I3" s="56">
        <v>6</v>
      </c>
      <c r="K3" s="5">
        <v>1</v>
      </c>
      <c r="L3" s="61">
        <v>10.6</v>
      </c>
      <c r="N3" s="76" t="s">
        <v>104</v>
      </c>
      <c r="O3" s="83">
        <f t="shared" si="0"/>
        <v>-620</v>
      </c>
      <c r="P3" s="80">
        <v>5</v>
      </c>
      <c r="Q3" s="64">
        <v>-3100</v>
      </c>
    </row>
    <row r="4" spans="1:17">
      <c r="A4" s="19" t="s">
        <v>6</v>
      </c>
      <c r="B4" s="124">
        <v>106.70000000000002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0.33333333333333331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2440</v>
      </c>
      <c r="P4" s="80">
        <v>5</v>
      </c>
      <c r="Q4" s="64">
        <v>12200</v>
      </c>
    </row>
    <row r="5" spans="1:17">
      <c r="A5" s="19" t="s">
        <v>7</v>
      </c>
      <c r="B5" s="126">
        <f>IF(B$2=0,0,B$4/B$2)</f>
        <v>21.340000000000003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0.33333333333333331</v>
      </c>
      <c r="I5" s="56">
        <v>27</v>
      </c>
      <c r="K5" s="5">
        <v>3</v>
      </c>
      <c r="L5" s="61">
        <v>144.5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0.22222222222222221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-2250</v>
      </c>
      <c r="P6" s="80">
        <v>2</v>
      </c>
      <c r="Q6" s="64">
        <v>-4500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55</v>
      </c>
      <c r="F7" s="30" t="s">
        <v>155</v>
      </c>
      <c r="G7" s="13">
        <v>2</v>
      </c>
      <c r="H7" s="94">
        <f>IF(B$17=0,0,G7/B$17)</f>
        <v>0.22222222222222221</v>
      </c>
      <c r="I7" s="56">
        <v>21</v>
      </c>
      <c r="K7" s="5">
        <v>5</v>
      </c>
      <c r="L7" s="61">
        <v>106.70000000000002</v>
      </c>
      <c r="N7" s="76" t="s">
        <v>107</v>
      </c>
      <c r="O7" s="83">
        <f t="shared" si="0"/>
        <v>3600</v>
      </c>
      <c r="P7" s="80">
        <v>2</v>
      </c>
      <c r="Q7" s="64">
        <v>7200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58</v>
      </c>
      <c r="F8" s="30" t="s">
        <v>22</v>
      </c>
      <c r="G8" s="13">
        <v>2</v>
      </c>
      <c r="H8" s="94">
        <f>IF(B$17=0,0,G8/B$17)</f>
        <v>0.22222222222222221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60</v>
      </c>
      <c r="F10" s="30" t="s">
        <v>24</v>
      </c>
      <c r="G10" s="13">
        <v>1</v>
      </c>
      <c r="H10" s="94">
        <f>IF(B$17=0,0,G10/B$17)</f>
        <v>0.1111111111111111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0.8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79</v>
      </c>
      <c r="F12" s="30" t="s">
        <v>43</v>
      </c>
      <c r="G12" s="13">
        <v>1</v>
      </c>
      <c r="H12" s="94">
        <f>IF(B$17=0,0,G12/B$17)</f>
        <v>0.1111111111111111</v>
      </c>
      <c r="I12" s="56">
        <v>1</v>
      </c>
      <c r="N12" s="75" t="s">
        <v>126</v>
      </c>
      <c r="O12" s="85">
        <f>IF(P12=0,0,Q12/P12)</f>
        <v>-18.899999999999999</v>
      </c>
      <c r="P12" s="79">
        <v>2</v>
      </c>
      <c r="Q12" s="67">
        <v>-37.799999999999997</v>
      </c>
    </row>
    <row r="13" spans="1:17">
      <c r="A13" s="22" t="s">
        <v>97</v>
      </c>
      <c r="B13" s="15">
        <v>10</v>
      </c>
      <c r="C13" s="11">
        <f>IF(B$3=0,0,B13/B$3)</f>
        <v>0.27027027027027029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11</v>
      </c>
      <c r="C14" s="6">
        <f>IF(B$3=0,0,B14/B$3)</f>
        <v>0.29729729729729731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53.1</v>
      </c>
      <c r="P14" s="80">
        <v>1</v>
      </c>
      <c r="Q14" s="68">
        <v>53.1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45.699999999999996</v>
      </c>
      <c r="P15" s="81">
        <v>2</v>
      </c>
      <c r="Q15" s="69">
        <v>91.399999999999991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8.1081081081081086E-2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160.80000000000001</v>
      </c>
      <c r="P18" s="79">
        <v>1</v>
      </c>
      <c r="Q18" s="67">
        <v>160.80000000000001</v>
      </c>
    </row>
    <row r="19" spans="1:17">
      <c r="A19" s="19" t="s">
        <v>12</v>
      </c>
      <c r="B19" s="13">
        <v>4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>IF(P19=0,0,Q19/P19)</f>
        <v>67.75</v>
      </c>
      <c r="P19" s="80">
        <v>2</v>
      </c>
      <c r="Q19" s="68">
        <v>135.5</v>
      </c>
    </row>
    <row r="20" spans="1:17">
      <c r="A20" s="19" t="s">
        <v>11</v>
      </c>
      <c r="B20" s="13">
        <v>5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14</v>
      </c>
      <c r="N20" s="76" t="s">
        <v>269</v>
      </c>
      <c r="O20" s="86">
        <f>IF(P20=0,0,Q20/P20)</f>
        <v>53.2</v>
      </c>
      <c r="P20" s="80">
        <v>2</v>
      </c>
      <c r="Q20" s="68">
        <v>106.4</v>
      </c>
    </row>
    <row r="21" spans="1:17">
      <c r="A21" s="19" t="s">
        <v>151</v>
      </c>
      <c r="B21" s="13">
        <v>6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>IF(P21=0,0,Q21/P21)</f>
        <v>48.140000000000008</v>
      </c>
      <c r="P21" s="80">
        <v>5</v>
      </c>
      <c r="Q21" s="68">
        <v>240.70000000000005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263</v>
      </c>
      <c r="O22" s="86">
        <f>IF(P22=0,0,Q22/P22)</f>
        <v>5.4500000000000028</v>
      </c>
      <c r="P22" s="80">
        <v>2</v>
      </c>
      <c r="Q22" s="68">
        <v>10.900000000000006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238</v>
      </c>
      <c r="O23" s="86">
        <f>IF(P23=0,0,Q23/P23)</f>
        <v>-65.400000000000006</v>
      </c>
      <c r="P23" s="80">
        <v>1</v>
      </c>
      <c r="Q23" s="68">
        <v>-65.400000000000006</v>
      </c>
    </row>
    <row r="24" spans="1:17">
      <c r="A24" s="19" t="s">
        <v>5</v>
      </c>
      <c r="B24" s="16">
        <f>IF(B$17=0,0,C24/B$17)</f>
        <v>8877.7777777777774</v>
      </c>
      <c r="C24" s="8">
        <v>79900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>IF(P24=0,0,Q24/P24)</f>
        <v>-81.05</v>
      </c>
      <c r="P24" s="80">
        <v>2</v>
      </c>
      <c r="Q24" s="68">
        <v>-162.1</v>
      </c>
    </row>
    <row r="25" spans="1:17">
      <c r="A25" s="20" t="s">
        <v>133</v>
      </c>
      <c r="B25" s="97">
        <f>IF($B$17-B$16=0,0,C25/($B$17-B$16))</f>
        <v>9737.5</v>
      </c>
      <c r="C25" s="98">
        <v>77900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-6100</v>
      </c>
      <c r="C27" s="98">
        <v>-18300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60800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0.44444444444444442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0.1111111111111111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2023-07-11T09:36:31Z</dcterms:modified>
</cp:coreProperties>
</file>