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701825C3-A642-44EC-B345-751A88A2BD9F}" xr6:coauthVersionLast="41" xr6:coauthVersionMax="41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22" r:id="rId4"/>
    <sheet name="松澤亮太" sheetId="6123" r:id="rId5"/>
    <sheet name="滝沢悠人" sheetId="6124" r:id="rId6"/>
    <sheet name="大池陸斗" sheetId="6125" r:id="rId7"/>
    <sheet name="百瀬成空" sheetId="6126" r:id="rId8"/>
    <sheet name="佐藤成浩" sheetId="6127" r:id="rId9"/>
    <sheet name="依田幸憲" sheetId="6128" r:id="rId10"/>
    <sheet name="保谷一貴" sheetId="6129" r:id="rId11"/>
    <sheet name="高野源太" sheetId="6130" r:id="rId12"/>
    <sheet name="矢ヶ崎健" sheetId="6131" r:id="rId13"/>
    <sheet name="小林郁斗" sheetId="6132" r:id="rId14"/>
    <sheet name="木角有希" sheetId="6133" r:id="rId15"/>
    <sheet name="福澤大地" sheetId="6134" r:id="rId16"/>
    <sheet name="髙橋桜" sheetId="6135" r:id="rId17"/>
    <sheet name="Template" sheetId="2228" state="hidden" r:id="rId18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 localSheetId="16">髙橋桜!$B$17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 localSheetId="16">髙橋桜!$C$17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 localSheetId="16">髙橋桜!$B$23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 localSheetId="16">髙橋桜!#REF!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 localSheetId="16">髙橋桜!$C$23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 localSheetId="16">髙橋桜!$B$32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 localSheetId="16">髙橋桜!$C$32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 localSheetId="16">髙橋桜!$B$19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 localSheetId="16">髙橋桜!$C$19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 localSheetId="16">髙橋桜!$B$7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 localSheetId="16">髙橋桜!$C$7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 localSheetId="16">髙橋桜!#REF!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 localSheetId="16">髙橋桜!#REF!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 localSheetId="16">髙橋桜!$B$12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 localSheetId="16">髙橋桜!$C$12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 localSheetId="16">髙橋桜!$B$10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 localSheetId="16">髙橋桜!$C$10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 localSheetId="16">髙橋桜!$B$21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 localSheetId="16">髙橋桜!$C$21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 localSheetId="16">髙橋桜!$B$13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 localSheetId="16">髙橋桜!$B$15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 localSheetId="16">髙橋桜!$C$15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 localSheetId="16">髙橋桜!$C$13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 localSheetId="16">髙橋桜!$B$20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 localSheetId="16">髙橋桜!$C$20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 localSheetId="16">髙橋桜!#REF!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 localSheetId="16">髙橋桜!#REF!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 localSheetId="16">髙橋桜!$C$28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 localSheetId="16">髙橋桜!$C$29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 localSheetId="16">髙橋桜!$B$31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 localSheetId="16">髙橋桜!$B$30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 localSheetId="16">髙橋桜!$B$31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 localSheetId="16">髙橋桜!$B$9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 localSheetId="16">髙橋桜!$C$9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 localSheetId="16">髙橋桜!$B$3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 localSheetId="16">髙橋桜!$B$2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 localSheetId="16">髙橋桜!$C$24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 localSheetId="16">髙橋桜!$B$4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6">髙橋桜!$C$26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 localSheetId="16">髙橋桜!$C$27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6">髙橋桜!$C$25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 localSheetId="16">髙橋桜!$B$8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 localSheetId="16">髙橋桜!$C$8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 localSheetId="16">髙橋桜!$B$22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 localSheetId="16">髙橋桜!$B$26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 localSheetId="16">髙橋桜!$C$22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 localSheetId="16">髙橋桜!$B$14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 localSheetId="16">髙橋桜!$B$16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 localSheetId="16">髙橋桜!$C$16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 localSheetId="16">髙橋桜!$C$14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 localSheetId="16">髙橋桜!$B$24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 localSheetId="16">髙橋桜!$B$5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 localSheetId="16">髙橋桜!$B$6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 localSheetId="16">髙橋桜!$B$27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 localSheetId="16">髙橋桜!$B$18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 localSheetId="16">髙橋桜!$C$18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 localSheetId="16">髙橋桜!$B$1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 localSheetId="16">髙橋桜!$B$25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 localSheetId="16">髙橋桜!$B$28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 localSheetId="16">髙橋桜!$B$29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 localSheetId="16">髙橋桜!$B$11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3" i="6124" l="1"/>
  <c r="O19" i="6124"/>
  <c r="O19" i="6130"/>
  <c r="O21" i="6134"/>
  <c r="O18" i="6135"/>
  <c r="O22" i="6135"/>
  <c r="O27" i="6130"/>
  <c r="O18" i="6126"/>
  <c r="O20" i="6127" l="1"/>
  <c r="O20" i="6126"/>
  <c r="O24" i="6134"/>
  <c r="O23" i="6134"/>
  <c r="O20" i="6134"/>
  <c r="O19" i="6125"/>
  <c r="O21" i="6125"/>
  <c r="O19" i="6123"/>
  <c r="O21" i="6123"/>
  <c r="O19" i="6122"/>
  <c r="O19" i="6135"/>
  <c r="O21" i="6135"/>
  <c r="O20" i="6135"/>
  <c r="H42" i="6135"/>
  <c r="C42" i="6135"/>
  <c r="H41" i="6135"/>
  <c r="C41" i="6135"/>
  <c r="H40" i="6135"/>
  <c r="C40" i="6135"/>
  <c r="H38" i="6135"/>
  <c r="C38" i="6135"/>
  <c r="H37" i="6135"/>
  <c r="C37" i="6135"/>
  <c r="H36" i="6135"/>
  <c r="C36" i="6135"/>
  <c r="H34" i="6135"/>
  <c r="H33" i="6135"/>
  <c r="H32" i="6135"/>
  <c r="C32" i="6135"/>
  <c r="H31" i="6135"/>
  <c r="H30" i="6135"/>
  <c r="H27" i="6135"/>
  <c r="B27" i="6135"/>
  <c r="H26" i="6135"/>
  <c r="B26" i="6135"/>
  <c r="H25" i="6135"/>
  <c r="B25" i="6135"/>
  <c r="H23" i="6135"/>
  <c r="C23" i="6135"/>
  <c r="H22" i="6135"/>
  <c r="C22" i="6135"/>
  <c r="H21" i="6135"/>
  <c r="C21" i="6135"/>
  <c r="H19" i="6135"/>
  <c r="C19" i="6135"/>
  <c r="H18" i="6135"/>
  <c r="C18" i="6135"/>
  <c r="H17" i="6135"/>
  <c r="C17" i="6135"/>
  <c r="B17" i="6135"/>
  <c r="C47" i="6135" s="1"/>
  <c r="C16" i="6135"/>
  <c r="B16" i="6135"/>
  <c r="O15" i="6135"/>
  <c r="H15" i="6135"/>
  <c r="C15" i="6135"/>
  <c r="B15" i="6135"/>
  <c r="O14" i="6135"/>
  <c r="C14" i="6135"/>
  <c r="O13" i="6135"/>
  <c r="H13" i="6135"/>
  <c r="C13" i="6135"/>
  <c r="O12" i="6135"/>
  <c r="H12" i="6135"/>
  <c r="C12" i="6135"/>
  <c r="C11" i="6135"/>
  <c r="B11" i="6135"/>
  <c r="H10" i="6135"/>
  <c r="C10" i="6135"/>
  <c r="O9" i="6135"/>
  <c r="H9" i="6135"/>
  <c r="C9" i="6135"/>
  <c r="O8" i="6135"/>
  <c r="H8" i="6135"/>
  <c r="C8" i="6135"/>
  <c r="O7" i="6135"/>
  <c r="H7" i="6135"/>
  <c r="C7" i="6135"/>
  <c r="O6" i="6135"/>
  <c r="H6" i="6135"/>
  <c r="B6" i="6135"/>
  <c r="O5" i="6135"/>
  <c r="H5" i="6135"/>
  <c r="B5" i="6135"/>
  <c r="O4" i="6135"/>
  <c r="H4" i="6135"/>
  <c r="O3" i="6135"/>
  <c r="H3" i="6135"/>
  <c r="O2" i="6135"/>
  <c r="H2" i="6135"/>
  <c r="H11" i="6135" l="1"/>
  <c r="H14" i="6135"/>
  <c r="H16" i="6135"/>
  <c r="C20" i="6135"/>
  <c r="B24" i="6135"/>
  <c r="H28" i="6135"/>
  <c r="C35" i="6135"/>
  <c r="C39" i="6135"/>
  <c r="C43" i="6135"/>
  <c r="H20" i="6135"/>
  <c r="H24" i="6135"/>
  <c r="H29" i="6135"/>
  <c r="H35" i="6135"/>
  <c r="H39" i="6135"/>
  <c r="H43" i="6135"/>
  <c r="C44" i="6135"/>
  <c r="H44" i="6135"/>
  <c r="C45" i="6135"/>
  <c r="H45" i="6135"/>
  <c r="C46" i="6135"/>
  <c r="O25" i="6130" l="1"/>
  <c r="O21" i="6130"/>
  <c r="O19" i="6134"/>
  <c r="O18" i="6134"/>
  <c r="O22" i="6134"/>
  <c r="C32" i="6134"/>
  <c r="B27" i="6134"/>
  <c r="C18" i="6134"/>
  <c r="B17" i="6134"/>
  <c r="C47" i="6134" s="1"/>
  <c r="B16" i="6134"/>
  <c r="B26" i="6134" s="1"/>
  <c r="O15" i="6134"/>
  <c r="B15" i="6134"/>
  <c r="C15" i="6134" s="1"/>
  <c r="O14" i="6134"/>
  <c r="C14" i="6134"/>
  <c r="O13" i="6134"/>
  <c r="C13" i="6134"/>
  <c r="O12" i="6134"/>
  <c r="C12" i="6134"/>
  <c r="H12" i="6134"/>
  <c r="B11" i="6134"/>
  <c r="C11" i="6134" s="1"/>
  <c r="C10" i="6134"/>
  <c r="O9" i="6134"/>
  <c r="C9" i="6134"/>
  <c r="O8" i="6134"/>
  <c r="C8" i="6134"/>
  <c r="O7" i="6134"/>
  <c r="C7" i="6134"/>
  <c r="O6" i="6134"/>
  <c r="B6" i="6134"/>
  <c r="O5" i="6134"/>
  <c r="B5" i="6134"/>
  <c r="O4" i="6134"/>
  <c r="O3" i="6134"/>
  <c r="O2" i="6134"/>
  <c r="O19" i="6131"/>
  <c r="O22" i="6131"/>
  <c r="O18" i="6122"/>
  <c r="O19" i="6133"/>
  <c r="O20" i="6133"/>
  <c r="O18" i="6133"/>
  <c r="C47" i="6133"/>
  <c r="C46" i="6133"/>
  <c r="C45" i="6133"/>
  <c r="H44" i="6133"/>
  <c r="C44" i="6133"/>
  <c r="C43" i="6133"/>
  <c r="H42" i="6133"/>
  <c r="C42" i="6133"/>
  <c r="C41" i="6133"/>
  <c r="H40" i="6133"/>
  <c r="C40" i="6133"/>
  <c r="C39" i="6133"/>
  <c r="H38" i="6133"/>
  <c r="C38" i="6133"/>
  <c r="C37" i="6133"/>
  <c r="H36" i="6133"/>
  <c r="C36" i="6133"/>
  <c r="C35" i="6133"/>
  <c r="H34" i="6133"/>
  <c r="H33" i="6133"/>
  <c r="C32" i="6133"/>
  <c r="H31" i="6133"/>
  <c r="H30" i="6133"/>
  <c r="H28" i="6133"/>
  <c r="H27" i="6133"/>
  <c r="B27" i="6133"/>
  <c r="H25" i="6133"/>
  <c r="B24" i="6133"/>
  <c r="H23" i="6133"/>
  <c r="C23" i="6133"/>
  <c r="C22" i="6133"/>
  <c r="H21" i="6133"/>
  <c r="C21" i="6133"/>
  <c r="C20" i="6133"/>
  <c r="H19" i="6133"/>
  <c r="C19" i="6133"/>
  <c r="C18" i="6133"/>
  <c r="H17" i="6133"/>
  <c r="C17" i="6133"/>
  <c r="B17" i="6133"/>
  <c r="H45" i="6133" s="1"/>
  <c r="H16" i="6133"/>
  <c r="C16" i="6133"/>
  <c r="B16" i="6133"/>
  <c r="B25" i="6133" s="1"/>
  <c r="O15" i="6133"/>
  <c r="H15" i="6133"/>
  <c r="C15" i="6133"/>
  <c r="B15" i="6133"/>
  <c r="O14" i="6133"/>
  <c r="H14" i="6133"/>
  <c r="C14" i="6133"/>
  <c r="O13" i="6133"/>
  <c r="H13" i="6133"/>
  <c r="C13" i="6133"/>
  <c r="O12" i="6133"/>
  <c r="H12" i="6133"/>
  <c r="C12" i="6133"/>
  <c r="H11" i="6133"/>
  <c r="C11" i="6133"/>
  <c r="B11" i="6133"/>
  <c r="H10" i="6133"/>
  <c r="C10" i="6133"/>
  <c r="O9" i="6133"/>
  <c r="H9" i="6133"/>
  <c r="C9" i="6133"/>
  <c r="O8" i="6133"/>
  <c r="H8" i="6133"/>
  <c r="C8" i="6133"/>
  <c r="O7" i="6133"/>
  <c r="H7" i="6133"/>
  <c r="C7" i="6133"/>
  <c r="O6" i="6133"/>
  <c r="H6" i="6133"/>
  <c r="B6" i="6133"/>
  <c r="O5" i="6133"/>
  <c r="H5" i="6133"/>
  <c r="B5" i="6133"/>
  <c r="O4" i="6133"/>
  <c r="H4" i="6133"/>
  <c r="O3" i="6133"/>
  <c r="H3" i="6133"/>
  <c r="O2" i="6133"/>
  <c r="H2" i="6133"/>
  <c r="O28" i="6122"/>
  <c r="O21" i="6128"/>
  <c r="O18" i="6128"/>
  <c r="O18" i="6125"/>
  <c r="O22" i="6125"/>
  <c r="O20" i="6125"/>
  <c r="O21" i="6132"/>
  <c r="O22" i="6132"/>
  <c r="O25" i="6127"/>
  <c r="C16" i="6134" l="1"/>
  <c r="H2" i="6134"/>
  <c r="H8" i="6134"/>
  <c r="H9" i="6134"/>
  <c r="H7" i="6134"/>
  <c r="H14" i="6134"/>
  <c r="H20" i="6134"/>
  <c r="H6" i="6134"/>
  <c r="H11" i="6134"/>
  <c r="C17" i="6134"/>
  <c r="H5" i="6134"/>
  <c r="H4" i="6134"/>
  <c r="H10" i="6134"/>
  <c r="H18" i="6134"/>
  <c r="H15" i="6134"/>
  <c r="H16" i="6134"/>
  <c r="H17" i="6134"/>
  <c r="C20" i="6134"/>
  <c r="C22" i="6134"/>
  <c r="B24" i="6134"/>
  <c r="H29" i="6134"/>
  <c r="C35" i="6134"/>
  <c r="C37" i="6134"/>
  <c r="C39" i="6134"/>
  <c r="C41" i="6134"/>
  <c r="C43" i="6134"/>
  <c r="C45" i="6134"/>
  <c r="H19" i="6134"/>
  <c r="H21" i="6134"/>
  <c r="H23" i="6134"/>
  <c r="H25" i="6134"/>
  <c r="H27" i="6134"/>
  <c r="H30" i="6134"/>
  <c r="H33" i="6134"/>
  <c r="H36" i="6134"/>
  <c r="H38" i="6134"/>
  <c r="H40" i="6134"/>
  <c r="H42" i="6134"/>
  <c r="H44" i="6134"/>
  <c r="H3" i="6134"/>
  <c r="H13" i="6134"/>
  <c r="C19" i="6134"/>
  <c r="C21" i="6134"/>
  <c r="C23" i="6134"/>
  <c r="B25" i="6134"/>
  <c r="H31" i="6134"/>
  <c r="H34" i="6134"/>
  <c r="C36" i="6134"/>
  <c r="C38" i="6134"/>
  <c r="C40" i="6134"/>
  <c r="C42" i="6134"/>
  <c r="C44" i="6134"/>
  <c r="C46" i="6134"/>
  <c r="H22" i="6134"/>
  <c r="H24" i="6134"/>
  <c r="H26" i="6134"/>
  <c r="H28" i="6134"/>
  <c r="H32" i="6134"/>
  <c r="H35" i="6134"/>
  <c r="H37" i="6134"/>
  <c r="H39" i="6134"/>
  <c r="H41" i="6134"/>
  <c r="H43" i="6134"/>
  <c r="H45" i="6134"/>
  <c r="B26" i="6133"/>
  <c r="H18" i="6133"/>
  <c r="H20" i="6133"/>
  <c r="H22" i="6133"/>
  <c r="H24" i="6133"/>
  <c r="H26" i="6133"/>
  <c r="H29" i="6133"/>
  <c r="H32" i="6133"/>
  <c r="H35" i="6133"/>
  <c r="H37" i="6133"/>
  <c r="H39" i="6133"/>
  <c r="H41" i="6133"/>
  <c r="H43" i="6133"/>
  <c r="O22" i="6123" l="1"/>
  <c r="O25" i="6123"/>
  <c r="O25" i="6124"/>
  <c r="O26" i="6124"/>
  <c r="O22" i="6127"/>
  <c r="O23" i="6127"/>
  <c r="O18" i="6127"/>
  <c r="O25" i="6122"/>
  <c r="O19" i="6132"/>
  <c r="O18" i="6132"/>
  <c r="O20" i="6132"/>
  <c r="C32" i="6132"/>
  <c r="B27" i="6132"/>
  <c r="C18" i="6132"/>
  <c r="B17" i="6132"/>
  <c r="H10" i="6132" s="1"/>
  <c r="B16" i="6132"/>
  <c r="C16" i="6132" s="1"/>
  <c r="O15" i="6132"/>
  <c r="B15" i="6132"/>
  <c r="C15" i="6132" s="1"/>
  <c r="O14" i="6132"/>
  <c r="C14" i="6132"/>
  <c r="O13" i="6132"/>
  <c r="C13" i="6132"/>
  <c r="O12" i="6132"/>
  <c r="C12" i="6132"/>
  <c r="B11" i="6132"/>
  <c r="C11" i="6132" s="1"/>
  <c r="C10" i="6132"/>
  <c r="O9" i="6132"/>
  <c r="C9" i="6132"/>
  <c r="O8" i="6132"/>
  <c r="C8" i="6132"/>
  <c r="O7" i="6132"/>
  <c r="C7" i="6132"/>
  <c r="O6" i="6132"/>
  <c r="B6" i="6132"/>
  <c r="O5" i="6132"/>
  <c r="B5" i="6132"/>
  <c r="O4" i="6132"/>
  <c r="O3" i="6132"/>
  <c r="O2" i="6132"/>
  <c r="O24" i="6124"/>
  <c r="O22" i="6124"/>
  <c r="O24" i="6130"/>
  <c r="O20" i="6130"/>
  <c r="O23" i="6130"/>
  <c r="O18" i="6131"/>
  <c r="O20" i="6131"/>
  <c r="O21" i="6131"/>
  <c r="C32" i="6131"/>
  <c r="B27" i="6131"/>
  <c r="B26" i="6131"/>
  <c r="C18" i="6131"/>
  <c r="B17" i="6131"/>
  <c r="C47" i="6131" s="1"/>
  <c r="C16" i="6131"/>
  <c r="B16" i="6131"/>
  <c r="O15" i="6131"/>
  <c r="B15" i="6131"/>
  <c r="C15" i="6131" s="1"/>
  <c r="O14" i="6131"/>
  <c r="C14" i="6131"/>
  <c r="O13" i="6131"/>
  <c r="H14" i="6131"/>
  <c r="C13" i="6131"/>
  <c r="O12" i="6131"/>
  <c r="C12" i="6131"/>
  <c r="B11" i="6131"/>
  <c r="C11" i="6131" s="1"/>
  <c r="C10" i="6131"/>
  <c r="O9" i="6131"/>
  <c r="C9" i="6131"/>
  <c r="O8" i="6131"/>
  <c r="C8" i="6131"/>
  <c r="O7" i="6131"/>
  <c r="C7" i="6131"/>
  <c r="O6" i="6131"/>
  <c r="H6" i="6131"/>
  <c r="B6" i="6131"/>
  <c r="O5" i="6131"/>
  <c r="B5" i="6131"/>
  <c r="O4" i="6131"/>
  <c r="O3" i="6131"/>
  <c r="O2" i="6131"/>
  <c r="O26" i="6123"/>
  <c r="O24" i="6123"/>
  <c r="O24" i="6122"/>
  <c r="H21" i="6131" l="1"/>
  <c r="H5" i="6132"/>
  <c r="H8" i="6132"/>
  <c r="H11" i="6132"/>
  <c r="H15" i="6132"/>
  <c r="H3" i="6132"/>
  <c r="H19" i="6132"/>
  <c r="C20" i="6132"/>
  <c r="C23" i="6132"/>
  <c r="H32" i="6132"/>
  <c r="C36" i="6132"/>
  <c r="C40" i="6132"/>
  <c r="C44" i="6132"/>
  <c r="H2" i="6132"/>
  <c r="H12" i="6132"/>
  <c r="H6" i="6132"/>
  <c r="H13" i="6132"/>
  <c r="H16" i="6132"/>
  <c r="H17" i="6132"/>
  <c r="H18" i="6132"/>
  <c r="C21" i="6132"/>
  <c r="H24" i="6132"/>
  <c r="H28" i="6132"/>
  <c r="H37" i="6132"/>
  <c r="H41" i="6132"/>
  <c r="H45" i="6132"/>
  <c r="C19" i="6132"/>
  <c r="H22" i="6132"/>
  <c r="B24" i="6132"/>
  <c r="H29" i="6132"/>
  <c r="H34" i="6132"/>
  <c r="C38" i="6132"/>
  <c r="C42" i="6132"/>
  <c r="C46" i="6132"/>
  <c r="H4" i="6132"/>
  <c r="H7" i="6132"/>
  <c r="H14" i="6132"/>
  <c r="B25" i="6132"/>
  <c r="C17" i="6132"/>
  <c r="H21" i="6132"/>
  <c r="C22" i="6132"/>
  <c r="H26" i="6132"/>
  <c r="H31" i="6132"/>
  <c r="H35" i="6132"/>
  <c r="H39" i="6132"/>
  <c r="H43" i="6132"/>
  <c r="C47" i="6132"/>
  <c r="B26" i="6132"/>
  <c r="C35" i="6132"/>
  <c r="C37" i="6132"/>
  <c r="C39" i="6132"/>
  <c r="C41" i="6132"/>
  <c r="C43" i="6132"/>
  <c r="C45" i="6132"/>
  <c r="H20" i="6132"/>
  <c r="H9" i="6132"/>
  <c r="H23" i="6132"/>
  <c r="H25" i="6132"/>
  <c r="H27" i="6132"/>
  <c r="H30" i="6132"/>
  <c r="H33" i="6132"/>
  <c r="H36" i="6132"/>
  <c r="H38" i="6132"/>
  <c r="H40" i="6132"/>
  <c r="H42" i="6132"/>
  <c r="H44" i="6132"/>
  <c r="C17" i="6131"/>
  <c r="H8" i="6131"/>
  <c r="H4" i="6131"/>
  <c r="H27" i="6131"/>
  <c r="H7" i="6131"/>
  <c r="H12" i="6131"/>
  <c r="H15" i="6131"/>
  <c r="H16" i="6131"/>
  <c r="H17" i="6131"/>
  <c r="C20" i="6131"/>
  <c r="C22" i="6131"/>
  <c r="B24" i="6131"/>
  <c r="H29" i="6131"/>
  <c r="C35" i="6131"/>
  <c r="C37" i="6131"/>
  <c r="C39" i="6131"/>
  <c r="C41" i="6131"/>
  <c r="C43" i="6131"/>
  <c r="C45" i="6131"/>
  <c r="H25" i="6131"/>
  <c r="H33" i="6131"/>
  <c r="H36" i="6131"/>
  <c r="H40" i="6131"/>
  <c r="H44" i="6131"/>
  <c r="H11" i="6131"/>
  <c r="H13" i="6131"/>
  <c r="C19" i="6131"/>
  <c r="C21" i="6131"/>
  <c r="C23" i="6131"/>
  <c r="B25" i="6131"/>
  <c r="H31" i="6131"/>
  <c r="H34" i="6131"/>
  <c r="C36" i="6131"/>
  <c r="C38" i="6131"/>
  <c r="C40" i="6131"/>
  <c r="C42" i="6131"/>
  <c r="C44" i="6131"/>
  <c r="C46" i="6131"/>
  <c r="H19" i="6131"/>
  <c r="H23" i="6131"/>
  <c r="H30" i="6131"/>
  <c r="H38" i="6131"/>
  <c r="H42" i="6131"/>
  <c r="H9" i="6131"/>
  <c r="H5" i="6131"/>
  <c r="H3" i="6131"/>
  <c r="H2" i="6131"/>
  <c r="H10" i="6131"/>
  <c r="H18" i="6131"/>
  <c r="H20" i="6131"/>
  <c r="H22" i="6131"/>
  <c r="H24" i="6131"/>
  <c r="H26" i="6131"/>
  <c r="H28" i="6131"/>
  <c r="H32" i="6131"/>
  <c r="H35" i="6131"/>
  <c r="H37" i="6131"/>
  <c r="H39" i="6131"/>
  <c r="H41" i="6131"/>
  <c r="H43" i="6131"/>
  <c r="H45" i="6131"/>
  <c r="O22" i="6130" l="1"/>
  <c r="O18" i="6130"/>
  <c r="O26" i="6130"/>
  <c r="C32" i="6130"/>
  <c r="B27" i="6130"/>
  <c r="C18" i="6130"/>
  <c r="B17" i="6130"/>
  <c r="C47" i="6130" s="1"/>
  <c r="B16" i="6130"/>
  <c r="C16" i="6130" s="1"/>
  <c r="O15" i="6130"/>
  <c r="B15" i="6130"/>
  <c r="C15" i="6130" s="1"/>
  <c r="O14" i="6130"/>
  <c r="C14" i="6130"/>
  <c r="O13" i="6130"/>
  <c r="C13" i="6130"/>
  <c r="O12" i="6130"/>
  <c r="C12" i="6130"/>
  <c r="B11" i="6130"/>
  <c r="C11" i="6130" s="1"/>
  <c r="C10" i="6130"/>
  <c r="O9" i="6130"/>
  <c r="C9" i="6130"/>
  <c r="O8" i="6130"/>
  <c r="C8" i="6130"/>
  <c r="O7" i="6130"/>
  <c r="C7" i="6130"/>
  <c r="O6" i="6130"/>
  <c r="B6" i="6130"/>
  <c r="O5" i="6130"/>
  <c r="B5" i="6130"/>
  <c r="O4" i="6130"/>
  <c r="O3" i="6130"/>
  <c r="O2" i="6130"/>
  <c r="O18" i="6129"/>
  <c r="O19" i="6129"/>
  <c r="O20" i="6129"/>
  <c r="C32" i="6129"/>
  <c r="B27" i="6129"/>
  <c r="H20" i="6129"/>
  <c r="C18" i="6129"/>
  <c r="C17" i="6129"/>
  <c r="B17" i="6129"/>
  <c r="C47" i="6129" s="1"/>
  <c r="H17" i="6129"/>
  <c r="C16" i="6129"/>
  <c r="B16" i="6129"/>
  <c r="B25" i="6129" s="1"/>
  <c r="O15" i="6129"/>
  <c r="H16" i="6129"/>
  <c r="C15" i="6129"/>
  <c r="B15" i="6129"/>
  <c r="O14" i="6129"/>
  <c r="H15" i="6129"/>
  <c r="C14" i="6129"/>
  <c r="O13" i="6129"/>
  <c r="H14" i="6129"/>
  <c r="C13" i="6129"/>
  <c r="O12" i="6129"/>
  <c r="H13" i="6129"/>
  <c r="C12" i="6129"/>
  <c r="H12" i="6129"/>
  <c r="C11" i="6129"/>
  <c r="B11" i="6129"/>
  <c r="H11" i="6129"/>
  <c r="C10" i="6129"/>
  <c r="O9" i="6129"/>
  <c r="H10" i="6129"/>
  <c r="C9" i="6129"/>
  <c r="O8" i="6129"/>
  <c r="C8" i="6129"/>
  <c r="O7" i="6129"/>
  <c r="H7" i="6129"/>
  <c r="C7" i="6129"/>
  <c r="O6" i="6129"/>
  <c r="H6" i="6129"/>
  <c r="B6" i="6129"/>
  <c r="O5" i="6129"/>
  <c r="B5" i="6129"/>
  <c r="O4" i="6129"/>
  <c r="O3" i="6129"/>
  <c r="O2" i="6129"/>
  <c r="O19" i="6128"/>
  <c r="O22" i="6128"/>
  <c r="O20" i="6128"/>
  <c r="C47" i="6128"/>
  <c r="C44" i="6128"/>
  <c r="H38" i="6128"/>
  <c r="C35" i="6128"/>
  <c r="C32" i="6128"/>
  <c r="B27" i="6128"/>
  <c r="H23" i="6128"/>
  <c r="C20" i="6128"/>
  <c r="C18" i="6128"/>
  <c r="B17" i="6128"/>
  <c r="H45" i="6128" s="1"/>
  <c r="H16" i="6128"/>
  <c r="B16" i="6128"/>
  <c r="B26" i="6128" s="1"/>
  <c r="O15" i="6128"/>
  <c r="H15" i="6128"/>
  <c r="C15" i="6128"/>
  <c r="B15" i="6128"/>
  <c r="O14" i="6128"/>
  <c r="H14" i="6128"/>
  <c r="C14" i="6128"/>
  <c r="O13" i="6128"/>
  <c r="C13" i="6128"/>
  <c r="O12" i="6128"/>
  <c r="C12" i="6128"/>
  <c r="B11" i="6128"/>
  <c r="C11" i="6128" s="1"/>
  <c r="H2" i="6128"/>
  <c r="C10" i="6128"/>
  <c r="O9" i="6128"/>
  <c r="C9" i="6128"/>
  <c r="O8" i="6128"/>
  <c r="C8" i="6128"/>
  <c r="O7" i="6128"/>
  <c r="H8" i="6128"/>
  <c r="C7" i="6128"/>
  <c r="O6" i="6128"/>
  <c r="H5" i="6128"/>
  <c r="B6" i="6128"/>
  <c r="O5" i="6128"/>
  <c r="B5" i="6128"/>
  <c r="O4" i="6128"/>
  <c r="H4" i="6128"/>
  <c r="O3" i="6128"/>
  <c r="H6" i="6128"/>
  <c r="O2" i="6128"/>
  <c r="H3" i="6128"/>
  <c r="O23" i="6122"/>
  <c r="O21" i="6127"/>
  <c r="O24" i="6127"/>
  <c r="O19" i="6127"/>
  <c r="C32" i="6127"/>
  <c r="B27" i="6127"/>
  <c r="C18" i="6127"/>
  <c r="B17" i="6127"/>
  <c r="C47" i="6127" s="1"/>
  <c r="C16" i="6127"/>
  <c r="B16" i="6127"/>
  <c r="B26" i="6127" s="1"/>
  <c r="O15" i="6127"/>
  <c r="B15" i="6127"/>
  <c r="C15" i="6127" s="1"/>
  <c r="O14" i="6127"/>
  <c r="C14" i="6127"/>
  <c r="O13" i="6127"/>
  <c r="C13" i="6127"/>
  <c r="O12" i="6127"/>
  <c r="C12" i="6127"/>
  <c r="B11" i="6127"/>
  <c r="C11" i="6127" s="1"/>
  <c r="C10" i="6127"/>
  <c r="O9" i="6127"/>
  <c r="C9" i="6127"/>
  <c r="O8" i="6127"/>
  <c r="C8" i="6127"/>
  <c r="O7" i="6127"/>
  <c r="C7" i="6127"/>
  <c r="O6" i="6127"/>
  <c r="B6" i="6127"/>
  <c r="O5" i="6127"/>
  <c r="B5" i="6127"/>
  <c r="O4" i="6127"/>
  <c r="O3" i="6127"/>
  <c r="O2" i="6127"/>
  <c r="O30" i="6122"/>
  <c r="O27" i="6122"/>
  <c r="O20" i="6122"/>
  <c r="H2" i="6127" l="1"/>
  <c r="C17" i="6127"/>
  <c r="H3" i="6127"/>
  <c r="H14" i="6127"/>
  <c r="H11" i="6127"/>
  <c r="H8" i="6127"/>
  <c r="H7" i="6127"/>
  <c r="H6" i="6127"/>
  <c r="H15" i="6130"/>
  <c r="C17" i="6130"/>
  <c r="C16" i="6128"/>
  <c r="H40" i="6128"/>
  <c r="C21" i="6128"/>
  <c r="H27" i="6128"/>
  <c r="C36" i="6128"/>
  <c r="C41" i="6128"/>
  <c r="H9" i="6128"/>
  <c r="H11" i="6128"/>
  <c r="H17" i="6128"/>
  <c r="C23" i="6128"/>
  <c r="H31" i="6128"/>
  <c r="C38" i="6128"/>
  <c r="C43" i="6128"/>
  <c r="C46" i="6128"/>
  <c r="C19" i="6128"/>
  <c r="H21" i="6128"/>
  <c r="B24" i="6128"/>
  <c r="H28" i="6128"/>
  <c r="H33" i="6128"/>
  <c r="H36" i="6128"/>
  <c r="C39" i="6128"/>
  <c r="C42" i="6128"/>
  <c r="H44" i="6128"/>
  <c r="H13" i="6128"/>
  <c r="H7" i="6128"/>
  <c r="H10" i="6128"/>
  <c r="H12" i="6128"/>
  <c r="C17" i="6128"/>
  <c r="H19" i="6128"/>
  <c r="C22" i="6128"/>
  <c r="H25" i="6128"/>
  <c r="H30" i="6128"/>
  <c r="H34" i="6128"/>
  <c r="C37" i="6128"/>
  <c r="C40" i="6128"/>
  <c r="H42" i="6128"/>
  <c r="C45" i="6128"/>
  <c r="H14" i="6130"/>
  <c r="H5" i="6130"/>
  <c r="H10" i="6130"/>
  <c r="H3" i="6130"/>
  <c r="H7" i="6130"/>
  <c r="B25" i="6130"/>
  <c r="H9" i="6130"/>
  <c r="C20" i="6130"/>
  <c r="B24" i="6130"/>
  <c r="C40" i="6130"/>
  <c r="C21" i="6130"/>
  <c r="H34" i="6130"/>
  <c r="C42" i="6130"/>
  <c r="H4" i="6130"/>
  <c r="H2" i="6130"/>
  <c r="H12" i="6130"/>
  <c r="C22" i="6130"/>
  <c r="H29" i="6130"/>
  <c r="C36" i="6130"/>
  <c r="C44" i="6130"/>
  <c r="H8" i="6130"/>
  <c r="H13" i="6130"/>
  <c r="H16" i="6130"/>
  <c r="H17" i="6130"/>
  <c r="H18" i="6130"/>
  <c r="C19" i="6130"/>
  <c r="C23" i="6130"/>
  <c r="H31" i="6130"/>
  <c r="C38" i="6130"/>
  <c r="C46" i="6130"/>
  <c r="B26" i="6130"/>
  <c r="C35" i="6130"/>
  <c r="C37" i="6130"/>
  <c r="C39" i="6130"/>
  <c r="C41" i="6130"/>
  <c r="C43" i="6130"/>
  <c r="C45" i="6130"/>
  <c r="H11" i="6130"/>
  <c r="H21" i="6130"/>
  <c r="H23" i="6130"/>
  <c r="H25" i="6130"/>
  <c r="H27" i="6130"/>
  <c r="H30" i="6130"/>
  <c r="H33" i="6130"/>
  <c r="H36" i="6130"/>
  <c r="H38" i="6130"/>
  <c r="H40" i="6130"/>
  <c r="H42" i="6130"/>
  <c r="H44" i="6130"/>
  <c r="H6" i="6130"/>
  <c r="H19" i="6130"/>
  <c r="H20" i="6130"/>
  <c r="H22" i="6130"/>
  <c r="H24" i="6130"/>
  <c r="H26" i="6130"/>
  <c r="H28" i="6130"/>
  <c r="H32" i="6130"/>
  <c r="H35" i="6130"/>
  <c r="H37" i="6130"/>
  <c r="H39" i="6130"/>
  <c r="H41" i="6130"/>
  <c r="H43" i="6130"/>
  <c r="H45" i="6130"/>
  <c r="H26" i="6129"/>
  <c r="C21" i="6129"/>
  <c r="C36" i="6129"/>
  <c r="C22" i="6129"/>
  <c r="H28" i="6129"/>
  <c r="C40" i="6129"/>
  <c r="H8" i="6129"/>
  <c r="H3" i="6129"/>
  <c r="H24" i="6129"/>
  <c r="H31" i="6129"/>
  <c r="C44" i="6129"/>
  <c r="H34" i="6129"/>
  <c r="C38" i="6129"/>
  <c r="C42" i="6129"/>
  <c r="C19" i="6129"/>
  <c r="H22" i="6129"/>
  <c r="B24" i="6129"/>
  <c r="H29" i="6129"/>
  <c r="C35" i="6129"/>
  <c r="C39" i="6129"/>
  <c r="C43" i="6129"/>
  <c r="H4" i="6129"/>
  <c r="H5" i="6129"/>
  <c r="H9" i="6129"/>
  <c r="H18" i="6129"/>
  <c r="C20" i="6129"/>
  <c r="C23" i="6129"/>
  <c r="C37" i="6129"/>
  <c r="C41" i="6129"/>
  <c r="C46" i="6129"/>
  <c r="B26" i="6129"/>
  <c r="C45" i="6129"/>
  <c r="H19" i="6129"/>
  <c r="H21" i="6129"/>
  <c r="H23" i="6129"/>
  <c r="H25" i="6129"/>
  <c r="H27" i="6129"/>
  <c r="H30" i="6129"/>
  <c r="H33" i="6129"/>
  <c r="H36" i="6129"/>
  <c r="H38" i="6129"/>
  <c r="H40" i="6129"/>
  <c r="H42" i="6129"/>
  <c r="H44" i="6129"/>
  <c r="H2" i="6129"/>
  <c r="H32" i="6129"/>
  <c r="H35" i="6129"/>
  <c r="H37" i="6129"/>
  <c r="H39" i="6129"/>
  <c r="H41" i="6129"/>
  <c r="H43" i="6129"/>
  <c r="H45" i="6129"/>
  <c r="B25" i="6128"/>
  <c r="H18" i="6128"/>
  <c r="H20" i="6128"/>
  <c r="H22" i="6128"/>
  <c r="H24" i="6128"/>
  <c r="H26" i="6128"/>
  <c r="H29" i="6128"/>
  <c r="H32" i="6128"/>
  <c r="H35" i="6128"/>
  <c r="H37" i="6128"/>
  <c r="H39" i="6128"/>
  <c r="H41" i="6128"/>
  <c r="H43" i="6128"/>
  <c r="H12" i="6127"/>
  <c r="H15" i="6127"/>
  <c r="H16" i="6127"/>
  <c r="H17" i="6127"/>
  <c r="C20" i="6127"/>
  <c r="C22" i="6127"/>
  <c r="B24" i="6127"/>
  <c r="H29" i="6127"/>
  <c r="C35" i="6127"/>
  <c r="C37" i="6127"/>
  <c r="C39" i="6127"/>
  <c r="C41" i="6127"/>
  <c r="C43" i="6127"/>
  <c r="C45" i="6127"/>
  <c r="H19" i="6127"/>
  <c r="H21" i="6127"/>
  <c r="H23" i="6127"/>
  <c r="H25" i="6127"/>
  <c r="H27" i="6127"/>
  <c r="H30" i="6127"/>
  <c r="H33" i="6127"/>
  <c r="H36" i="6127"/>
  <c r="H38" i="6127"/>
  <c r="H40" i="6127"/>
  <c r="H42" i="6127"/>
  <c r="H44" i="6127"/>
  <c r="H4" i="6127"/>
  <c r="H10" i="6127"/>
  <c r="H13" i="6127"/>
  <c r="C19" i="6127"/>
  <c r="C21" i="6127"/>
  <c r="C23" i="6127"/>
  <c r="B25" i="6127"/>
  <c r="H31" i="6127"/>
  <c r="H34" i="6127"/>
  <c r="C36" i="6127"/>
  <c r="C38" i="6127"/>
  <c r="C40" i="6127"/>
  <c r="C42" i="6127"/>
  <c r="C44" i="6127"/>
  <c r="C46" i="6127"/>
  <c r="H5" i="6127"/>
  <c r="H9" i="6127"/>
  <c r="H18" i="6127"/>
  <c r="H20" i="6127"/>
  <c r="H22" i="6127"/>
  <c r="H24" i="6127"/>
  <c r="H26" i="6127"/>
  <c r="H28" i="6127"/>
  <c r="H32" i="6127"/>
  <c r="H35" i="6127"/>
  <c r="H37" i="6127"/>
  <c r="H39" i="6127"/>
  <c r="H41" i="6127"/>
  <c r="H43" i="6127"/>
  <c r="H45" i="6127"/>
  <c r="O19" i="6126" l="1"/>
  <c r="O21" i="6126"/>
  <c r="O22" i="6126"/>
  <c r="C32" i="6126"/>
  <c r="B27" i="6126"/>
  <c r="C18" i="6126"/>
  <c r="B17" i="6126"/>
  <c r="C47" i="6126" s="1"/>
  <c r="C16" i="6126"/>
  <c r="B16" i="6126"/>
  <c r="B26" i="6126" s="1"/>
  <c r="O15" i="6126"/>
  <c r="B15" i="6126"/>
  <c r="C15" i="6126" s="1"/>
  <c r="O14" i="6126"/>
  <c r="C14" i="6126"/>
  <c r="O13" i="6126"/>
  <c r="C13" i="6126"/>
  <c r="O12" i="6126"/>
  <c r="C12" i="6126"/>
  <c r="B11" i="6126"/>
  <c r="C11" i="6126" s="1"/>
  <c r="C10" i="6126"/>
  <c r="O9" i="6126"/>
  <c r="C9" i="6126"/>
  <c r="O8" i="6126"/>
  <c r="C8" i="6126"/>
  <c r="O7" i="6126"/>
  <c r="C7" i="6126"/>
  <c r="O6" i="6126"/>
  <c r="B6" i="6126"/>
  <c r="O5" i="6126"/>
  <c r="B5" i="6126"/>
  <c r="O4" i="6126"/>
  <c r="O3" i="6126"/>
  <c r="O2" i="6126"/>
  <c r="O25" i="6125"/>
  <c r="O24" i="6125"/>
  <c r="O23" i="6125"/>
  <c r="C32" i="6125"/>
  <c r="B27" i="6125"/>
  <c r="C18" i="6125"/>
  <c r="B17" i="6125"/>
  <c r="C47" i="6125" s="1"/>
  <c r="B16" i="6125"/>
  <c r="B26" i="6125" s="1"/>
  <c r="O15" i="6125"/>
  <c r="B15" i="6125"/>
  <c r="C15" i="6125" s="1"/>
  <c r="O14" i="6125"/>
  <c r="C14" i="6125"/>
  <c r="O13" i="6125"/>
  <c r="C13" i="6125"/>
  <c r="O12" i="6125"/>
  <c r="C12" i="6125"/>
  <c r="B11" i="6125"/>
  <c r="C11" i="6125" s="1"/>
  <c r="C10" i="6125"/>
  <c r="O9" i="6125"/>
  <c r="C9" i="6125"/>
  <c r="O8" i="6125"/>
  <c r="C8" i="6125"/>
  <c r="O7" i="6125"/>
  <c r="C7" i="6125"/>
  <c r="O6" i="6125"/>
  <c r="B6" i="6125"/>
  <c r="O5" i="6125"/>
  <c r="B5" i="6125"/>
  <c r="O4" i="6125"/>
  <c r="O3" i="6125"/>
  <c r="O2" i="6125"/>
  <c r="O20" i="6124"/>
  <c r="O21" i="6124"/>
  <c r="O18" i="6124"/>
  <c r="C32" i="6124"/>
  <c r="B27" i="6124"/>
  <c r="C18" i="6124"/>
  <c r="B17" i="6124"/>
  <c r="C47" i="6124" s="1"/>
  <c r="C16" i="6124"/>
  <c r="B16" i="6124"/>
  <c r="B26" i="6124" s="1"/>
  <c r="O15" i="6124"/>
  <c r="B15" i="6124"/>
  <c r="C15" i="6124" s="1"/>
  <c r="O14" i="6124"/>
  <c r="C14" i="6124"/>
  <c r="O13" i="6124"/>
  <c r="C13" i="6124"/>
  <c r="O12" i="6124"/>
  <c r="C12" i="6124"/>
  <c r="C11" i="6124"/>
  <c r="B11" i="6124"/>
  <c r="C10" i="6124"/>
  <c r="O9" i="6124"/>
  <c r="C9" i="6124"/>
  <c r="O8" i="6124"/>
  <c r="C8" i="6124"/>
  <c r="O7" i="6124"/>
  <c r="C7" i="6124"/>
  <c r="O6" i="6124"/>
  <c r="B6" i="6124"/>
  <c r="O5" i="6124"/>
  <c r="B5" i="6124"/>
  <c r="O4" i="6124"/>
  <c r="O3" i="6124"/>
  <c r="O2" i="6124"/>
  <c r="O26" i="6122"/>
  <c r="O18" i="6123"/>
  <c r="O20" i="6123"/>
  <c r="O23" i="6123"/>
  <c r="C32" i="6123"/>
  <c r="B27" i="6123"/>
  <c r="C18" i="6123"/>
  <c r="B17" i="6123"/>
  <c r="H9" i="6123" s="1"/>
  <c r="B16" i="6123"/>
  <c r="B26" i="6123" s="1"/>
  <c r="O15" i="6123"/>
  <c r="B15" i="6123"/>
  <c r="C15" i="6123" s="1"/>
  <c r="O14" i="6123"/>
  <c r="C14" i="6123"/>
  <c r="O13" i="6123"/>
  <c r="C13" i="6123"/>
  <c r="O12" i="6123"/>
  <c r="C12" i="6123"/>
  <c r="B11" i="6123"/>
  <c r="C11" i="6123" s="1"/>
  <c r="C10" i="6123"/>
  <c r="O9" i="6123"/>
  <c r="C9" i="6123"/>
  <c r="O8" i="6123"/>
  <c r="C8" i="6123"/>
  <c r="O7" i="6123"/>
  <c r="C7" i="6123"/>
  <c r="O6" i="6123"/>
  <c r="B6" i="6123"/>
  <c r="O5" i="6123"/>
  <c r="B5" i="6123"/>
  <c r="O4" i="6123"/>
  <c r="O3" i="6123"/>
  <c r="O2" i="6123"/>
  <c r="O22" i="6122"/>
  <c r="O29" i="6122"/>
  <c r="O21" i="6122"/>
  <c r="C32" i="6122"/>
  <c r="B27" i="6122"/>
  <c r="C18" i="6122"/>
  <c r="B17" i="6122"/>
  <c r="C47" i="6122" s="1"/>
  <c r="B16" i="6122"/>
  <c r="C16" i="6122" s="1"/>
  <c r="O15" i="6122"/>
  <c r="B15" i="6122"/>
  <c r="C15" i="6122" s="1"/>
  <c r="O14" i="6122"/>
  <c r="C14" i="6122"/>
  <c r="O13" i="6122"/>
  <c r="C13" i="6122"/>
  <c r="O12" i="6122"/>
  <c r="C12" i="6122"/>
  <c r="B11" i="6122"/>
  <c r="C11" i="6122" s="1"/>
  <c r="C10" i="6122"/>
  <c r="O9" i="6122"/>
  <c r="C9" i="6122"/>
  <c r="O8" i="6122"/>
  <c r="C8" i="6122"/>
  <c r="O7" i="6122"/>
  <c r="C7" i="6122"/>
  <c r="O6" i="6122"/>
  <c r="B6" i="6122"/>
  <c r="O5" i="6122"/>
  <c r="B5" i="6122"/>
  <c r="O4" i="6122"/>
  <c r="O3" i="6122"/>
  <c r="O2" i="6122"/>
  <c r="H3" i="6126" l="1"/>
  <c r="C17" i="6126"/>
  <c r="H15" i="6126"/>
  <c r="H7" i="6126"/>
  <c r="C16" i="6125"/>
  <c r="C16" i="6123"/>
  <c r="H12" i="6125"/>
  <c r="H15" i="6125"/>
  <c r="H8" i="6125"/>
  <c r="H3" i="6125"/>
  <c r="H2" i="6125"/>
  <c r="H9" i="6125"/>
  <c r="H16" i="6125"/>
  <c r="H17" i="6125"/>
  <c r="C19" i="6125"/>
  <c r="C22" i="6125"/>
  <c r="H14" i="6125"/>
  <c r="C17" i="6125"/>
  <c r="H7" i="6125"/>
  <c r="H5" i="6125"/>
  <c r="H6" i="6125"/>
  <c r="H10" i="6125"/>
  <c r="H11" i="6125"/>
  <c r="H13" i="6125"/>
  <c r="H4" i="6123"/>
  <c r="H10" i="6123"/>
  <c r="H16" i="6123"/>
  <c r="H11" i="6123"/>
  <c r="B26" i="6122"/>
  <c r="H5" i="6126"/>
  <c r="H8" i="6126"/>
  <c r="H13" i="6126"/>
  <c r="H16" i="6126"/>
  <c r="H17" i="6126"/>
  <c r="H18" i="6126"/>
  <c r="C20" i="6126"/>
  <c r="C22" i="6126"/>
  <c r="B24" i="6126"/>
  <c r="H29" i="6126"/>
  <c r="C35" i="6126"/>
  <c r="C37" i="6126"/>
  <c r="C39" i="6126"/>
  <c r="C41" i="6126"/>
  <c r="C43" i="6126"/>
  <c r="C45" i="6126"/>
  <c r="H20" i="6126"/>
  <c r="H22" i="6126"/>
  <c r="H24" i="6126"/>
  <c r="H26" i="6126"/>
  <c r="H27" i="6126"/>
  <c r="H30" i="6126"/>
  <c r="H33" i="6126"/>
  <c r="H36" i="6126"/>
  <c r="H38" i="6126"/>
  <c r="H40" i="6126"/>
  <c r="H42" i="6126"/>
  <c r="H44" i="6126"/>
  <c r="H10" i="6126"/>
  <c r="H6" i="6126"/>
  <c r="H12" i="6126"/>
  <c r="H14" i="6126"/>
  <c r="C19" i="6126"/>
  <c r="C21" i="6126"/>
  <c r="C23" i="6126"/>
  <c r="B25" i="6126"/>
  <c r="H31" i="6126"/>
  <c r="H34" i="6126"/>
  <c r="C36" i="6126"/>
  <c r="C38" i="6126"/>
  <c r="C40" i="6126"/>
  <c r="C42" i="6126"/>
  <c r="C44" i="6126"/>
  <c r="C46" i="6126"/>
  <c r="H4" i="6126"/>
  <c r="H2" i="6126"/>
  <c r="H11" i="6126"/>
  <c r="H19" i="6126"/>
  <c r="H21" i="6126"/>
  <c r="H23" i="6126"/>
  <c r="H25" i="6126"/>
  <c r="H9" i="6126"/>
  <c r="H28" i="6126"/>
  <c r="H32" i="6126"/>
  <c r="H35" i="6126"/>
  <c r="H37" i="6126"/>
  <c r="H39" i="6126"/>
  <c r="H41" i="6126"/>
  <c r="H43" i="6126"/>
  <c r="H45" i="6126"/>
  <c r="B24" i="6125"/>
  <c r="C20" i="6125"/>
  <c r="C21" i="6125"/>
  <c r="H29" i="6125"/>
  <c r="C35" i="6125"/>
  <c r="C37" i="6125"/>
  <c r="C39" i="6125"/>
  <c r="C41" i="6125"/>
  <c r="C43" i="6125"/>
  <c r="C45" i="6125"/>
  <c r="H19" i="6125"/>
  <c r="H21" i="6125"/>
  <c r="H23" i="6125"/>
  <c r="H25" i="6125"/>
  <c r="H27" i="6125"/>
  <c r="H30" i="6125"/>
  <c r="H33" i="6125"/>
  <c r="H36" i="6125"/>
  <c r="H38" i="6125"/>
  <c r="H40" i="6125"/>
  <c r="H42" i="6125"/>
  <c r="H44" i="6125"/>
  <c r="H4" i="6125"/>
  <c r="C23" i="6125"/>
  <c r="B25" i="6125"/>
  <c r="H31" i="6125"/>
  <c r="H34" i="6125"/>
  <c r="C36" i="6125"/>
  <c r="C38" i="6125"/>
  <c r="C40" i="6125"/>
  <c r="C42" i="6125"/>
  <c r="C44" i="6125"/>
  <c r="C46" i="6125"/>
  <c r="H18" i="6125"/>
  <c r="H20" i="6125"/>
  <c r="H22" i="6125"/>
  <c r="H24" i="6125"/>
  <c r="H26" i="6125"/>
  <c r="H28" i="6125"/>
  <c r="H32" i="6125"/>
  <c r="H35" i="6125"/>
  <c r="H37" i="6125"/>
  <c r="H39" i="6125"/>
  <c r="H41" i="6125"/>
  <c r="H43" i="6125"/>
  <c r="H45" i="6125"/>
  <c r="H12" i="6124"/>
  <c r="H4" i="6124"/>
  <c r="H3" i="6124"/>
  <c r="H9" i="6124"/>
  <c r="C22" i="6124"/>
  <c r="H7" i="6124"/>
  <c r="H13" i="6124"/>
  <c r="H16" i="6124"/>
  <c r="H17" i="6124"/>
  <c r="H18" i="6124"/>
  <c r="C19" i="6124"/>
  <c r="B24" i="6124"/>
  <c r="H8" i="6124"/>
  <c r="H5" i="6124"/>
  <c r="H15" i="6124"/>
  <c r="C20" i="6124"/>
  <c r="H6" i="6124"/>
  <c r="H10" i="6124"/>
  <c r="H14" i="6124"/>
  <c r="C17" i="6124"/>
  <c r="C21" i="6124"/>
  <c r="H29" i="6124"/>
  <c r="C35" i="6124"/>
  <c r="C37" i="6124"/>
  <c r="C39" i="6124"/>
  <c r="C41" i="6124"/>
  <c r="C43" i="6124"/>
  <c r="C45" i="6124"/>
  <c r="H20" i="6124"/>
  <c r="H22" i="6124"/>
  <c r="H24" i="6124"/>
  <c r="H26" i="6124"/>
  <c r="H27" i="6124"/>
  <c r="H30" i="6124"/>
  <c r="H33" i="6124"/>
  <c r="H36" i="6124"/>
  <c r="H38" i="6124"/>
  <c r="H40" i="6124"/>
  <c r="H42" i="6124"/>
  <c r="H44" i="6124"/>
  <c r="H2" i="6124"/>
  <c r="C23" i="6124"/>
  <c r="B25" i="6124"/>
  <c r="H31" i="6124"/>
  <c r="H34" i="6124"/>
  <c r="C36" i="6124"/>
  <c r="C38" i="6124"/>
  <c r="C40" i="6124"/>
  <c r="C42" i="6124"/>
  <c r="C44" i="6124"/>
  <c r="C46" i="6124"/>
  <c r="H19" i="6124"/>
  <c r="H21" i="6124"/>
  <c r="H23" i="6124"/>
  <c r="H25" i="6124"/>
  <c r="H11" i="6124"/>
  <c r="H28" i="6124"/>
  <c r="H32" i="6124"/>
  <c r="H35" i="6124"/>
  <c r="H37" i="6124"/>
  <c r="H39" i="6124"/>
  <c r="H41" i="6124"/>
  <c r="H43" i="6124"/>
  <c r="H45" i="6124"/>
  <c r="C19" i="6123"/>
  <c r="H23" i="6123"/>
  <c r="B24" i="6123"/>
  <c r="H29" i="6123"/>
  <c r="H34" i="6123"/>
  <c r="H37" i="6123"/>
  <c r="C39" i="6123"/>
  <c r="C42" i="6123"/>
  <c r="H45" i="6123"/>
  <c r="H5" i="6123"/>
  <c r="H7" i="6123"/>
  <c r="H15" i="6123"/>
  <c r="C17" i="6123"/>
  <c r="H21" i="6123"/>
  <c r="C22" i="6123"/>
  <c r="H26" i="6123"/>
  <c r="H31" i="6123"/>
  <c r="H35" i="6123"/>
  <c r="C37" i="6123"/>
  <c r="C40" i="6123"/>
  <c r="H43" i="6123"/>
  <c r="C45" i="6123"/>
  <c r="H3" i="6123"/>
  <c r="H2" i="6123"/>
  <c r="H12" i="6123"/>
  <c r="H13" i="6123"/>
  <c r="C20" i="6123"/>
  <c r="C23" i="6123"/>
  <c r="H32" i="6123"/>
  <c r="C35" i="6123"/>
  <c r="C38" i="6123"/>
  <c r="H41" i="6123"/>
  <c r="C43" i="6123"/>
  <c r="C46" i="6123"/>
  <c r="H6" i="6123"/>
  <c r="H14" i="6123"/>
  <c r="H17" i="6123"/>
  <c r="H18" i="6123"/>
  <c r="H19" i="6123"/>
  <c r="C21" i="6123"/>
  <c r="H24" i="6123"/>
  <c r="H28" i="6123"/>
  <c r="C36" i="6123"/>
  <c r="H39" i="6123"/>
  <c r="C41" i="6123"/>
  <c r="C44" i="6123"/>
  <c r="C47" i="6123"/>
  <c r="B25" i="6123"/>
  <c r="H20" i="6123"/>
  <c r="H22" i="6123"/>
  <c r="H8" i="6123"/>
  <c r="H25" i="6123"/>
  <c r="H27" i="6123"/>
  <c r="H30" i="6123"/>
  <c r="H33" i="6123"/>
  <c r="H36" i="6123"/>
  <c r="H38" i="6123"/>
  <c r="H40" i="6123"/>
  <c r="H42" i="6123"/>
  <c r="H44" i="6123"/>
  <c r="C39" i="6122"/>
  <c r="C41" i="6122"/>
  <c r="H19" i="6122"/>
  <c r="H29" i="6122"/>
  <c r="H5" i="6122"/>
  <c r="C43" i="6122"/>
  <c r="H17" i="6122"/>
  <c r="C22" i="6122"/>
  <c r="H9" i="6122"/>
  <c r="C17" i="6122"/>
  <c r="B24" i="6122"/>
  <c r="H8" i="6122"/>
  <c r="C35" i="6122"/>
  <c r="H7" i="6122"/>
  <c r="H20" i="6122"/>
  <c r="H21" i="6122"/>
  <c r="H22" i="6122"/>
  <c r="C20" i="6122"/>
  <c r="C37" i="6122"/>
  <c r="C45" i="6122"/>
  <c r="H12" i="6122"/>
  <c r="H16" i="6122"/>
  <c r="H13" i="6122"/>
  <c r="H26" i="6122"/>
  <c r="H27" i="6122"/>
  <c r="H30" i="6122"/>
  <c r="H33" i="6122"/>
  <c r="H36" i="6122"/>
  <c r="H38" i="6122"/>
  <c r="H40" i="6122"/>
  <c r="H42" i="6122"/>
  <c r="H44" i="6122"/>
  <c r="H4" i="6122"/>
  <c r="H10" i="6122"/>
  <c r="H18" i="6122"/>
  <c r="C19" i="6122"/>
  <c r="C21" i="6122"/>
  <c r="C23" i="6122"/>
  <c r="B25" i="6122"/>
  <c r="H31" i="6122"/>
  <c r="H34" i="6122"/>
  <c r="C36" i="6122"/>
  <c r="C38" i="6122"/>
  <c r="C40" i="6122"/>
  <c r="C42" i="6122"/>
  <c r="C44" i="6122"/>
  <c r="C46" i="6122"/>
  <c r="H6" i="6122"/>
  <c r="H3" i="6122"/>
  <c r="H2" i="6122"/>
  <c r="H11" i="6122"/>
  <c r="H15" i="6122"/>
  <c r="H23" i="6122"/>
  <c r="H24" i="6122"/>
  <c r="H25" i="6122"/>
  <c r="H14" i="6122"/>
  <c r="H28" i="6122"/>
  <c r="H32" i="6122"/>
  <c r="H35" i="6122"/>
  <c r="H37" i="6122"/>
  <c r="H39" i="6122"/>
  <c r="H41" i="6122"/>
  <c r="H43" i="6122"/>
  <c r="H45" i="612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<sst xmlns="http://schemas.openxmlformats.org/spreadsheetml/2006/main" count="2899" uniqueCount="199">
  <si>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</si>
  <si>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</si>
  <si>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</si>
  <si>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</si>
  <si>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</si>
  <si>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</si>
  <si>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</si>
  <si>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</si>
  <si>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</si>
  <si>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</si>
  <si>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</si>
  <si>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</si>
  <si>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</si>
  <si>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</si>
  <si>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</si>
  <si>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</si>
  <si>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</si>
  <si>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</si>
  <si>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</si>
  <si>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</si>
  <si>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</si>
  <si>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</si>
  <si>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</si>
  <si>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</si>
  <si>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</si>
  <si>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</si>
  <si>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</si>
  <si>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</si>
  <si>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</si>
  <si>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</si>
  <si>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</si>
  <si>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</si>
  <si>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</si>
  <si>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</si>
  <si>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</si>
  <si>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</si>
  <si>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</si>
  <si>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</si>
  <si>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</si>
  <si>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</si>
  <si>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</si>
  <si>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</si>
  <si>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</si>
  <si>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</si>
  <si>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</si>
  <si>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</si>
  <si>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</si>
  <si>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</si>
  <si>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</si>
  <si>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</si>
  <si>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</si>
  <si>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</si>
  <si>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</si>
  <si>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</si>
  <si>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</si>
  <si>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</si>
  <si>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</si>
  <si>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</si>
  <si>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</si>
  <si>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</si>
  <si>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</si>
  <si>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</si>
  <si>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</si>
  <si>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</si>
  <si>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</si>
  <si>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</si>
  <si>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</si>
  <si>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</si>
  <si>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</si>
  <si>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</si>
  <si>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</si>
  <si>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</si>
  <si>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</si>
  <si>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</si>
  <si>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</si>
  <si>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</si>
  <si>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</si>
  <si>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</si>
  <si>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</si>
  <si>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</si>
  <si>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</si>
  <si>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</si>
  <si>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</si>
  <si>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</si>
  <si>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</si>
  <si>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</si>
  <si>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</si>
  <si>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</si>
  <si>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</si>
  <si>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</si>
  <si>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</si>
  <si>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</si>
  <si>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</si>
  <si>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</si>
  <si>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</si>
  <si>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</si>
  <si>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</si>
  <si>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</si>
  <si>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</si>
  <si>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</si>
  <si>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</si>
  <si>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</si>
  <si>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</si>
  <si>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</si>
  <si>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</si>
  <si>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</si>
  <si>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</si>
  <si>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</si>
  <si>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</si>
  <si>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</si>
  <si>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</si>
  <si>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</si>
  <si>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</si>
  <si>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</si>
  <si>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</si>
  <si>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</si>
  <si>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</si>
  <si>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</si>
  <si>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</si>
  <si>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</si>
  <si>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</si>
  <si>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</si>
  <si>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</si>
  <si>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</si>
  <si>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</si>
  <si>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</si>
  <si>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</si>
  <si>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</si>
  <si>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</si>
  <si>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</si>
  <si>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</si>
  <si>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</si>
  <si>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</si>
  <si>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</si>
  <si>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</si>
  <si>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</si>
  <si>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</si>
  <si>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</si>
  <si>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</si>
  <si>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</si>
  <si>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</si>
  <si>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</si>
  <si>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</si>
  <si>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</si>
  <si>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</si>
  <si>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</si>
  <si>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</si>
  <si>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</si>
  <si>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</si>
  <si>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</si>
  <si>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</si>
  <si>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</si>
  <si>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</si>
  <si>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</si>
  <si>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</si>
  <si>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</si>
  <si>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</si>
  <si>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</si>
  <si>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</si>
  <si>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</si>
  <si>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</si>
  <si>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</si>
  <si>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</si>
  <si>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</si>
  <si>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</si>
  <si>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</si>
  <si>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</si>
  <si>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</si>
  <si>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</si>
  <si>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</si>
  <si>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</si>
  <si>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</si>
  <si>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</si>
  <si>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</si>
  <si>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</si>
  <si>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</si>
  <si>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</si>
  <si>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</si>
  <si>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</si>
  <si>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</si>
  <si>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</si>
  <si>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</si>
  <si>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</si>
  <si>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</si>
  <si>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</si>
  <si>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</si>
  <si>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</si>
  <si>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</si>
  <si>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</si>
  <si>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</si>
  <si>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</si>
  <si>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</si>
  <si>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</si>
  <si>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</si>
  <si>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</si>
  <si>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</si>
  <si>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</si>
  <si>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髙橋桜</t>
  </si>
  <si>
    <t>2019-12-20@B.xlsm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</si>
</sst>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全体!$L$2:$L$42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-14.399999999999997</c:v>
                </c:pt>
                <c:pt idx="34">
                  <c:v>47.300000000000004</c:v>
                </c:pt>
                <c:pt idx="35">
                  <c:v>53.300000000000004</c:v>
                </c:pt>
                <c:pt idx="36">
                  <c:v>-9.9999999999999929</c:v>
                </c:pt>
                <c:pt idx="37">
                  <c:v>-62.499999999999993</c:v>
                </c:pt>
                <c:pt idx="38">
                  <c:v>-53.699999999999989</c:v>
                </c:pt>
                <c:pt idx="39">
                  <c:v>7.6000000000000085</c:v>
                </c:pt>
                <c:pt idx="40">
                  <c:v>-19.999999999999993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22-4502-BDD7-C539EA449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</c:v>
                </c:pt>
                <c:pt idx="1">
                  <c:v>25</c:v>
                </c:pt>
                <c:pt idx="2">
                  <c:v>-25</c:v>
                </c:pt>
                <c:pt idx="3">
                  <c:v>50</c:v>
                </c:pt>
                <c:pt idx="4">
                  <c:v>-27.777777777777779</c:v>
                </c:pt>
                <c:pt idx="5">
                  <c:v>-281.25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FD-464C-84B5-4486BED36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</c:v>
                </c:pt>
                <c:pt idx="1">
                  <c:v>9</c:v>
                </c:pt>
                <c:pt idx="2">
                  <c:v>15</c:v>
                </c:pt>
                <c:pt idx="3">
                  <c:v>12</c:v>
                </c:pt>
                <c:pt idx="4">
                  <c:v>8</c:v>
                </c:pt>
                <c:pt idx="5">
                  <c:v>13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6-4BE2-9870-C4846D8BB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松澤亮太!$L$2:$L$7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C8-477E-B77A-FBEBEB457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1140</c:v>
                </c:pt>
                <c:pt idx="1">
                  <c:v>-580</c:v>
                </c:pt>
                <c:pt idx="2">
                  <c:v>1400</c:v>
                </c:pt>
                <c:pt idx="3">
                  <c:v>380</c:v>
                </c:pt>
                <c:pt idx="4">
                  <c:v>1040</c:v>
                </c:pt>
                <c:pt idx="5">
                  <c:v>-1125</c:v>
                </c:pt>
                <c:pt idx="6">
                  <c:v>-2433.3333333333335</c:v>
                </c:pt>
                <c:pt idx="7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BA-4DC7-9FDB-0AB72838D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8-407E-A834-7966E4220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滝沢悠人!$L$2:$L$7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-21.899999999999991</c:v>
                </c:pt>
                <c:pt idx="5">
                  <c:v>-49.499999999999993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B1-48B7-AF8F-4CD416008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-2160</c:v>
                </c:pt>
                <c:pt idx="1">
                  <c:v>2200</c:v>
                </c:pt>
                <c:pt idx="2">
                  <c:v>1300</c:v>
                </c:pt>
                <c:pt idx="3">
                  <c:v>-440</c:v>
                </c:pt>
                <c:pt idx="4">
                  <c:v>-1500</c:v>
                </c:pt>
                <c:pt idx="5">
                  <c:v>-80</c:v>
                </c:pt>
                <c:pt idx="6">
                  <c:v>-1666.6666666666667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37-489E-B330-F2BB1F26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18-4B57-AE5E-C92CC987B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大池陸斗!$L$2:$L$6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D4-467B-9E41-C2336818F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-475</c:v>
                </c:pt>
                <c:pt idx="1">
                  <c:v>-400</c:v>
                </c:pt>
                <c:pt idx="2">
                  <c:v>4350</c:v>
                </c:pt>
                <c:pt idx="3">
                  <c:v>3075</c:v>
                </c:pt>
                <c:pt idx="4">
                  <c:v>1425</c:v>
                </c:pt>
                <c:pt idx="5">
                  <c:v>233.33333333333334</c:v>
                </c:pt>
                <c:pt idx="6">
                  <c:v>-2300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2-4108-8FF9-4918C3F6E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14-41C2-83FC-797B6B0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百瀬成空!$L$2:$L$5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4-4543-97DE-987D94BBF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533.33333333333337</c:v>
                </c:pt>
                <c:pt idx="1">
                  <c:v>-2800</c:v>
                </c:pt>
                <c:pt idx="2">
                  <c:v>-4500</c:v>
                </c:pt>
                <c:pt idx="3">
                  <c:v>-1033.3333333333333</c:v>
                </c:pt>
                <c:pt idx="4">
                  <c:v>1533.3333333333333</c:v>
                </c:pt>
                <c:pt idx="5">
                  <c:v>4366.666666666667</c:v>
                </c:pt>
                <c:pt idx="6">
                  <c:v>-650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81-460E-B8D6-9419B4AB0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6-4107-A0B9-83A40F833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佐藤成浩!$L$2:$L$7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-17.999999999999996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26-4267-84EE-F094736B4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4200</c:v>
                </c:pt>
                <c:pt idx="1">
                  <c:v>-260</c:v>
                </c:pt>
                <c:pt idx="2">
                  <c:v>-1860</c:v>
                </c:pt>
                <c:pt idx="3">
                  <c:v>-2280</c:v>
                </c:pt>
                <c:pt idx="4">
                  <c:v>-2250</c:v>
                </c:pt>
                <c:pt idx="5">
                  <c:v>2825</c:v>
                </c:pt>
                <c:pt idx="6">
                  <c:v>50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5-4148-8140-5FEC1C163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4-40EF-8631-4D00DBD3A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依田幸憲!$L$2:$L$4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6A-4550-BEA6-5D7D2471C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-11300</c:v>
                </c:pt>
                <c:pt idx="1">
                  <c:v>-1000</c:v>
                </c:pt>
                <c:pt idx="2">
                  <c:v>-1850</c:v>
                </c:pt>
                <c:pt idx="3">
                  <c:v>-700</c:v>
                </c:pt>
                <c:pt idx="4">
                  <c:v>0</c:v>
                </c:pt>
                <c:pt idx="5">
                  <c:v>-3000</c:v>
                </c:pt>
                <c:pt idx="6">
                  <c:v>4000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E-4399-B0AB-15637A9D3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0-4B46-98BA-BE3315601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49-4078-A184-5DD8723FC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A5-4261-918B-38F331027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7-4F27-ADA2-F1CDD9270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高野源太!$L$2:$L$7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8-4DE6-B937-C2D842B25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2280</c:v>
                </c:pt>
                <c:pt idx="1">
                  <c:v>-2140</c:v>
                </c:pt>
                <c:pt idx="2">
                  <c:v>1740</c:v>
                </c:pt>
                <c:pt idx="3">
                  <c:v>3400</c:v>
                </c:pt>
                <c:pt idx="4">
                  <c:v>25</c:v>
                </c:pt>
                <c:pt idx="5">
                  <c:v>-2650</c:v>
                </c:pt>
                <c:pt idx="6">
                  <c:v>-3000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4-4D82-9A98-EC7B0CDD0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3-46E8-8E70-B0210324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F-4F41-9F7F-2B7F6E7C0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8-49AA-BC4E-78A25953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F4-461C-9B4D-914D46DE1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93-474C-82D9-3B837113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48-4F4B-A6A8-46CE2DC37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5-4190-B3D7-9E3EF0FA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5-4782-A006-EAFCD5F9F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1-486D-9E5E-BD645656B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A-4F1A-8A14-852428773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福澤大地!$L$2:$L$5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C6-4795-B9A0-3445E213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1666.6666666666667</c:v>
                </c:pt>
                <c:pt idx="1">
                  <c:v>5700</c:v>
                </c:pt>
                <c:pt idx="2">
                  <c:v>-4133.333333333333</c:v>
                </c:pt>
                <c:pt idx="3">
                  <c:v>-766.66666666666663</c:v>
                </c:pt>
                <c:pt idx="4">
                  <c:v>966.66666666666663</c:v>
                </c:pt>
                <c:pt idx="5">
                  <c:v>-1400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A-4674-94A2-C622499F0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A-452E-AE5E-50CE43F0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D1-4E10-AF96-FCA4B58B4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32-4326-991E-CE25D27F5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E-4D3F-B9AE-EB82271C1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DA65918-6B9E-4D49-9EBC-27ACA1CA6F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9D81E2-D08E-4853-965F-6B369D06F8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BEED47-2A46-4A25-ACCE-62D055A614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43801.602060185185</v>
      </c>
      <c r="C2" s="24" t="s">
        <v>106</v>
      </c>
    </row>
    <row r="3" spans="1:4">
      <c r="A3" s="24" t="s">
        <v>169</v>
      </c>
      <c r="B3" s="25">
        <v>43801.602060185185</v>
      </c>
      <c r="C3" s="24" t="s">
        <v>106</v>
      </c>
    </row>
    <row r="4" spans="1:4">
      <c r="A4" s="24" t="s">
        <v>179</v>
      </c>
      <c r="B4" s="25">
        <v>43810.397581018522</v>
      </c>
      <c r="C4" s="24" t="s">
        <v>106</v>
      </c>
      <c r="D4" s="24" t="s">
        <v>181</v>
      </c>
    </row>
    <row r="5" spans="1:4">
      <c r="A5" s="24" t="s">
        <v>183</v>
      </c>
      <c r="B5" s="25">
        <v>43813.948194444441</v>
      </c>
      <c r="C5" s="24" t="s">
        <v>106</v>
      </c>
      <c r="D5" s="24" t="s">
        <v>181</v>
      </c>
    </row>
    <row r="6" spans="1:4">
      <c r="A6" s="24" t="s">
        <v>196</v>
      </c>
      <c r="B6" s="25">
        <v>43819.774988425925</v>
      </c>
      <c r="C6" s="24" t="s">
        <v>106</v>
      </c>
      <c r="D6" s="24" t="s">
        <v>181</v>
      </c>
    </row>
    <row r="7" spans="1:4">
      <c r="A7" s="24" t="s">
        <v>198</v>
      </c>
      <c r="B7" s="25">
        <v>43819.780115740738</v>
      </c>
      <c r="C7" s="24" t="s">
        <v>106</v>
      </c>
      <c r="D7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118</v>
      </c>
      <c r="B1">
        <v>40</v>
      </c>
    </row>
    <row r="2" spans="1:2">
      <c r="A2" t="s">
        <v>168</v>
      </c>
      <c r="B2">
        <v>5</v>
      </c>
    </row>
    <row r="3" spans="1:2">
      <c r="A3" t="s">
        <v>165</v>
      </c>
      <c r="B3">
        <v>5</v>
      </c>
    </row>
    <row r="4" spans="1:2">
      <c r="A4" t="s">
        <v>166</v>
      </c>
      <c r="B4">
        <v>4</v>
      </c>
    </row>
    <row r="5" spans="1:2">
      <c r="A5" t="s">
        <v>167</v>
      </c>
      <c r="B5">
        <v>3</v>
      </c>
    </row>
    <row r="6" spans="1:2">
      <c r="A6" t="s">
        <v>173</v>
      </c>
      <c r="B6">
        <v>5</v>
      </c>
    </row>
    <row r="7" spans="1:2">
      <c r="A7" t="s">
        <v>170</v>
      </c>
      <c r="B7">
        <v>2</v>
      </c>
    </row>
    <row r="8" spans="1:2">
      <c r="A8" t="s">
        <v>171</v>
      </c>
      <c r="B8">
        <v>1</v>
      </c>
    </row>
    <row r="9" spans="1:2">
      <c r="A9" t="s">
        <v>172</v>
      </c>
      <c r="B9">
        <v>5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3</v>
      </c>
    </row>
    <row r="14" spans="1:2">
      <c r="A14" t="s">
        <v>197</v>
      </c>
      <c r="B14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70" customWidth="1"/>
    <col min="4" max="4" width="10.69921875" style="71" customWidth="1"/>
    <col min="5" max="5" width="10.69921875" style="83" customWidth="1"/>
    <col min="6" max="6" width="10.69921875" style="71" customWidth="1"/>
    <col min="7" max="7" width="10.69921875" style="72" customWidth="1"/>
    <col min="8" max="8" width="10.69921875" style="71" customWidth="1"/>
    <col min="9" max="9" width="10.69921875" style="73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4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5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4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8" customWidth="1"/>
    <col min="34" max="16384" width="9" style="59"/>
  </cols>
  <sheetData>
    <row r="1" spans="1:33">
      <c r="A1" s="58"/>
      <c r="B1" s="142" t="s">
        <v>6</v>
      </c>
      <c r="C1" s="143"/>
      <c r="D1" s="142" t="s">
        <v>7</v>
      </c>
      <c r="E1" s="143"/>
      <c r="F1" s="142" t="s">
        <v>15</v>
      </c>
      <c r="G1" s="143"/>
      <c r="H1" s="142" t="s">
        <v>14</v>
      </c>
      <c r="I1" s="143"/>
      <c r="J1" s="142" t="s">
        <v>129</v>
      </c>
      <c r="K1" s="143"/>
      <c r="L1" s="142" t="s">
        <v>158</v>
      </c>
      <c r="M1" s="143"/>
      <c r="N1" s="142" t="s">
        <v>119</v>
      </c>
      <c r="O1" s="143"/>
      <c r="P1" s="142" t="s">
        <v>120</v>
      </c>
      <c r="Q1" s="143"/>
      <c r="R1" s="142" t="s">
        <v>5</v>
      </c>
      <c r="S1" s="143"/>
      <c r="T1" s="142" t="s">
        <v>16</v>
      </c>
      <c r="U1" s="143"/>
      <c r="V1" s="142" t="s">
        <v>102</v>
      </c>
      <c r="W1" s="143"/>
      <c r="X1" s="142" t="s">
        <v>99</v>
      </c>
      <c r="Y1" s="143"/>
      <c r="Z1" s="142" t="s">
        <v>105</v>
      </c>
      <c r="AA1" s="143"/>
      <c r="AB1" s="142" t="s">
        <v>121</v>
      </c>
      <c r="AC1" s="143"/>
      <c r="AD1" s="142" t="s">
        <v>117</v>
      </c>
      <c r="AE1" s="143"/>
      <c r="AF1" s="142" t="s">
        <v>152</v>
      </c>
      <c r="AG1" s="143"/>
    </row>
    <row r="2" spans="1:33">
      <c r="A2" s="58" t="s">
        <v>128</v>
      </c>
      <c r="B2" s="144"/>
      <c r="C2" s="145"/>
      <c r="D2" s="144"/>
      <c r="E2" s="145"/>
      <c r="F2" s="140" t="s">
        <v>174</v>
      </c>
      <c r="G2" s="141"/>
      <c r="H2" s="140" t="s">
        <v>174</v>
      </c>
      <c r="I2" s="141"/>
      <c r="J2" s="140" t="s">
        <v>174</v>
      </c>
      <c r="K2" s="141"/>
      <c r="L2" s="140" t="s">
        <v>174</v>
      </c>
      <c r="M2" s="141"/>
      <c r="N2" s="140" t="s">
        <v>174</v>
      </c>
      <c r="O2" s="141"/>
      <c r="P2" s="140" t="s">
        <v>174</v>
      </c>
      <c r="Q2" s="141"/>
      <c r="R2" s="140" t="s">
        <v>174</v>
      </c>
      <c r="S2" s="141"/>
      <c r="T2" s="140" t="s">
        <v>174</v>
      </c>
      <c r="U2" s="141"/>
      <c r="V2" s="140" t="s">
        <v>174</v>
      </c>
      <c r="W2" s="141"/>
      <c r="X2" s="140" t="s">
        <v>174</v>
      </c>
      <c r="Y2" s="141"/>
      <c r="Z2" s="140" t="s">
        <v>174</v>
      </c>
      <c r="AA2" s="141"/>
      <c r="AB2" s="140" t="s">
        <v>174</v>
      </c>
      <c r="AC2" s="141"/>
      <c r="AD2" s="140" t="s">
        <v>174</v>
      </c>
      <c r="AE2" s="141"/>
      <c r="AF2" s="140" t="s">
        <v>174</v>
      </c>
      <c r="AG2" s="141"/>
    </row>
    <row r="3" spans="1:33">
      <c r="A3" s="60">
        <v>1</v>
      </c>
      <c r="B3" s="61" t="s">
        <v>172</v>
      </c>
      <c r="C3" s="62">
        <v>128.9</v>
      </c>
      <c r="D3" s="63" t="s">
        <v>172</v>
      </c>
      <c r="E3" s="82">
        <v>25.78</v>
      </c>
      <c r="F3" s="63" t="s">
        <v>172</v>
      </c>
      <c r="G3" s="64">
        <v>1.8</v>
      </c>
      <c r="H3" s="63" t="s">
        <v>172</v>
      </c>
      <c r="I3" s="65">
        <v>0.6</v>
      </c>
      <c r="J3" s="63" t="s">
        <v>173</v>
      </c>
      <c r="K3" s="65">
        <v>0</v>
      </c>
      <c r="L3" s="63" t="s">
        <v>171</v>
      </c>
      <c r="M3" s="65">
        <v>1</v>
      </c>
      <c r="N3" s="63" t="s">
        <v>172</v>
      </c>
      <c r="O3" s="66">
        <v>0.35135135135135137</v>
      </c>
      <c r="P3" s="63" t="s">
        <v>171</v>
      </c>
      <c r="Q3" s="66">
        <v>0</v>
      </c>
      <c r="R3" s="63" t="s">
        <v>173</v>
      </c>
      <c r="S3" s="67">
        <v>9680</v>
      </c>
      <c r="T3" s="63" t="s">
        <v>171</v>
      </c>
      <c r="U3" s="67">
        <v>0</v>
      </c>
      <c r="V3" s="63" t="s">
        <v>197</v>
      </c>
      <c r="W3" s="66">
        <v>6.6666666666666666E-2</v>
      </c>
      <c r="X3" s="63" t="s">
        <v>197</v>
      </c>
      <c r="Y3" s="66">
        <v>0.33333333333333331</v>
      </c>
      <c r="Z3" s="63" t="s">
        <v>172</v>
      </c>
      <c r="AA3" s="66">
        <v>0.75</v>
      </c>
      <c r="AB3" s="63" t="s">
        <v>170</v>
      </c>
      <c r="AC3" s="66">
        <v>0.66666666666666663</v>
      </c>
      <c r="AD3" s="63" t="s">
        <v>170</v>
      </c>
      <c r="AE3" s="66">
        <v>0.66666666666666663</v>
      </c>
      <c r="AF3" s="63" t="s">
        <v>118</v>
      </c>
      <c r="AG3" s="77">
        <v>67800</v>
      </c>
    </row>
    <row r="4" spans="1:33">
      <c r="A4" s="68">
        <v>2</v>
      </c>
      <c r="B4" s="69" t="s">
        <v>166</v>
      </c>
      <c r="C4" s="70">
        <v>65.5</v>
      </c>
      <c r="D4" s="71" t="s">
        <v>166</v>
      </c>
      <c r="E4" s="83">
        <v>16.375</v>
      </c>
      <c r="F4" s="71" t="s">
        <v>171</v>
      </c>
      <c r="G4" s="72">
        <v>2</v>
      </c>
      <c r="H4" s="71" t="s">
        <v>166</v>
      </c>
      <c r="I4" s="73">
        <v>0.5</v>
      </c>
      <c r="J4" s="71" t="s">
        <v>171</v>
      </c>
      <c r="K4" s="73">
        <v>0</v>
      </c>
      <c r="L4" s="71" t="s">
        <v>172</v>
      </c>
      <c r="M4" s="73">
        <v>0.8</v>
      </c>
      <c r="N4" s="71" t="s">
        <v>184</v>
      </c>
      <c r="O4" s="74">
        <v>0.31818181818181818</v>
      </c>
      <c r="P4" s="71" t="s">
        <v>170</v>
      </c>
      <c r="Q4" s="74">
        <v>5.8823529411764705E-2</v>
      </c>
      <c r="R4" s="71" t="s">
        <v>171</v>
      </c>
      <c r="S4" s="75">
        <v>8600</v>
      </c>
      <c r="T4" s="71" t="s">
        <v>180</v>
      </c>
      <c r="U4" s="75">
        <v>-2950</v>
      </c>
      <c r="V4" s="71" t="s">
        <v>170</v>
      </c>
      <c r="W4" s="74">
        <v>0.11764705882352941</v>
      </c>
      <c r="X4" s="71" t="s">
        <v>184</v>
      </c>
      <c r="Y4" s="74">
        <v>0.31818181818181818</v>
      </c>
      <c r="Z4" s="71" t="s">
        <v>180</v>
      </c>
      <c r="AA4" s="74">
        <v>0.75</v>
      </c>
      <c r="AB4" s="71" t="s">
        <v>166</v>
      </c>
      <c r="AC4" s="74">
        <v>0.5</v>
      </c>
      <c r="AD4" s="71" t="s">
        <v>166</v>
      </c>
      <c r="AE4" s="74">
        <v>0.6</v>
      </c>
      <c r="AF4" s="71" t="s">
        <v>166</v>
      </c>
      <c r="AG4" s="78">
        <v>67800</v>
      </c>
    </row>
    <row r="5" spans="1:33">
      <c r="A5" s="68">
        <v>3</v>
      </c>
      <c r="B5" s="69" t="s">
        <v>184</v>
      </c>
      <c r="C5" s="70">
        <v>42.5</v>
      </c>
      <c r="D5" s="71" t="s">
        <v>184</v>
      </c>
      <c r="E5" s="83">
        <v>14.166666666666666</v>
      </c>
      <c r="F5" s="71" t="s">
        <v>184</v>
      </c>
      <c r="G5" s="72">
        <v>2</v>
      </c>
      <c r="H5" s="71" t="s">
        <v>182</v>
      </c>
      <c r="I5" s="73">
        <v>0.5</v>
      </c>
      <c r="J5" s="71" t="s">
        <v>180</v>
      </c>
      <c r="K5" s="73">
        <v>0</v>
      </c>
      <c r="L5" s="71" t="s">
        <v>184</v>
      </c>
      <c r="M5" s="73">
        <v>0.66666666666666663</v>
      </c>
      <c r="N5" s="71" t="s">
        <v>171</v>
      </c>
      <c r="O5" s="74">
        <v>0.2857142857142857</v>
      </c>
      <c r="P5" s="71" t="s">
        <v>168</v>
      </c>
      <c r="Q5" s="74">
        <v>6.8181818181818177E-2</v>
      </c>
      <c r="R5" s="71" t="s">
        <v>180</v>
      </c>
      <c r="S5" s="75">
        <v>8400</v>
      </c>
      <c r="T5" s="71" t="s">
        <v>168</v>
      </c>
      <c r="U5" s="75">
        <v>-3866.6666666666665</v>
      </c>
      <c r="V5" s="71" t="s">
        <v>184</v>
      </c>
      <c r="W5" s="74">
        <v>0.13636363636363635</v>
      </c>
      <c r="X5" s="71" t="s">
        <v>172</v>
      </c>
      <c r="Y5" s="74">
        <v>0.29729729729729731</v>
      </c>
      <c r="Z5" s="71" t="s">
        <v>182</v>
      </c>
      <c r="AA5" s="74">
        <v>0.75</v>
      </c>
      <c r="AB5" s="71" t="s">
        <v>172</v>
      </c>
      <c r="AC5" s="74">
        <v>0.45454545454545453</v>
      </c>
      <c r="AD5" s="71" t="s">
        <v>184</v>
      </c>
      <c r="AE5" s="74">
        <v>0.5714285714285714</v>
      </c>
      <c r="AF5" s="71" t="s">
        <v>165</v>
      </c>
      <c r="AG5" s="78">
        <v>54900</v>
      </c>
    </row>
    <row r="6" spans="1:33">
      <c r="A6" s="68">
        <v>4</v>
      </c>
      <c r="B6" s="69" t="s">
        <v>168</v>
      </c>
      <c r="C6" s="70">
        <v>17.099999999999994</v>
      </c>
      <c r="D6" s="71" t="s">
        <v>171</v>
      </c>
      <c r="E6" s="83">
        <v>14</v>
      </c>
      <c r="F6" s="71" t="s">
        <v>166</v>
      </c>
      <c r="G6" s="72">
        <v>2.25</v>
      </c>
      <c r="H6" s="71" t="s">
        <v>167</v>
      </c>
      <c r="I6" s="73">
        <v>0.33333333333333331</v>
      </c>
      <c r="J6" s="71" t="s">
        <v>184</v>
      </c>
      <c r="K6" s="73">
        <v>0</v>
      </c>
      <c r="L6" s="71" t="s">
        <v>168</v>
      </c>
      <c r="M6" s="73">
        <v>0.6</v>
      </c>
      <c r="N6" s="71" t="s">
        <v>166</v>
      </c>
      <c r="O6" s="74">
        <v>0.27027027027027029</v>
      </c>
      <c r="P6" s="71" t="s">
        <v>182</v>
      </c>
      <c r="Q6" s="74">
        <v>0.10526315789473684</v>
      </c>
      <c r="R6" s="71" t="s">
        <v>165</v>
      </c>
      <c r="S6" s="75">
        <v>7500</v>
      </c>
      <c r="T6" s="71" t="s">
        <v>166</v>
      </c>
      <c r="U6" s="75">
        <v>-4680</v>
      </c>
      <c r="V6" s="71" t="s">
        <v>185</v>
      </c>
      <c r="W6" s="74">
        <v>0.14285714285714285</v>
      </c>
      <c r="X6" s="71" t="s">
        <v>167</v>
      </c>
      <c r="Y6" s="74">
        <v>0.29629629629629628</v>
      </c>
      <c r="Z6" s="71" t="s">
        <v>166</v>
      </c>
      <c r="AA6" s="74">
        <v>0.7</v>
      </c>
      <c r="AB6" s="71" t="s">
        <v>168</v>
      </c>
      <c r="AC6" s="74">
        <v>0.44444444444444442</v>
      </c>
      <c r="AD6" s="71" t="s">
        <v>172</v>
      </c>
      <c r="AE6" s="74">
        <v>0.53846153846153844</v>
      </c>
      <c r="AF6" s="71" t="s">
        <v>182</v>
      </c>
      <c r="AG6" s="78">
        <v>42500</v>
      </c>
    </row>
    <row r="7" spans="1:33">
      <c r="A7" s="68">
        <v>5</v>
      </c>
      <c r="B7" s="69" t="s">
        <v>171</v>
      </c>
      <c r="C7" s="70">
        <v>14</v>
      </c>
      <c r="D7" s="71" t="s">
        <v>168</v>
      </c>
      <c r="E7" s="83">
        <v>3.419999999999999</v>
      </c>
      <c r="F7" s="71" t="s">
        <v>168</v>
      </c>
      <c r="G7" s="72">
        <v>2.4</v>
      </c>
      <c r="H7" s="71" t="s">
        <v>184</v>
      </c>
      <c r="I7" s="73">
        <v>0.33333333333333331</v>
      </c>
      <c r="J7" s="71" t="s">
        <v>168</v>
      </c>
      <c r="K7" s="73">
        <v>0.2</v>
      </c>
      <c r="L7" s="71" t="s">
        <v>173</v>
      </c>
      <c r="M7" s="73">
        <v>0.6</v>
      </c>
      <c r="N7" s="71" t="s">
        <v>182</v>
      </c>
      <c r="O7" s="74">
        <v>0.21052631578947367</v>
      </c>
      <c r="P7" s="71" t="s">
        <v>167</v>
      </c>
      <c r="Q7" s="74">
        <v>0.1111111111111111</v>
      </c>
      <c r="R7" s="71" t="s">
        <v>166</v>
      </c>
      <c r="S7" s="75">
        <v>7400</v>
      </c>
      <c r="T7" s="71" t="s">
        <v>173</v>
      </c>
      <c r="U7" s="75">
        <v>-4800</v>
      </c>
      <c r="V7" s="71" t="s">
        <v>173</v>
      </c>
      <c r="W7" s="74">
        <v>0.18604651162790697</v>
      </c>
      <c r="X7" s="71" t="s">
        <v>185</v>
      </c>
      <c r="Y7" s="74">
        <v>0.2857142857142857</v>
      </c>
      <c r="Z7" s="71" t="s">
        <v>184</v>
      </c>
      <c r="AA7" s="74">
        <v>0.66666666666666663</v>
      </c>
      <c r="AB7" s="71" t="s">
        <v>184</v>
      </c>
      <c r="AC7" s="74">
        <v>0.42857142857142855</v>
      </c>
      <c r="AD7" s="71" t="s">
        <v>171</v>
      </c>
      <c r="AE7" s="74">
        <v>0.5</v>
      </c>
      <c r="AF7" s="71" t="s">
        <v>167</v>
      </c>
      <c r="AG7" s="78">
        <v>41700</v>
      </c>
    </row>
    <row r="8" spans="1:33">
      <c r="A8" s="68">
        <v>6</v>
      </c>
      <c r="B8" s="69" t="s">
        <v>182</v>
      </c>
      <c r="C8" s="70">
        <v>3.8999999999999986</v>
      </c>
      <c r="D8" s="71" t="s">
        <v>182</v>
      </c>
      <c r="E8" s="83">
        <v>1.9499999999999993</v>
      </c>
      <c r="F8" s="71" t="s">
        <v>173</v>
      </c>
      <c r="G8" s="72">
        <v>2.4</v>
      </c>
      <c r="H8" s="71" t="s">
        <v>118</v>
      </c>
      <c r="I8" s="73">
        <v>0.25</v>
      </c>
      <c r="J8" s="71" t="s">
        <v>165</v>
      </c>
      <c r="K8" s="73">
        <v>0.2</v>
      </c>
      <c r="L8" s="71" t="s">
        <v>118</v>
      </c>
      <c r="M8" s="73">
        <v>0.5</v>
      </c>
      <c r="N8" s="71" t="s">
        <v>118</v>
      </c>
      <c r="O8" s="74">
        <v>0.20481927710843373</v>
      </c>
      <c r="P8" s="71" t="s">
        <v>173</v>
      </c>
      <c r="Q8" s="74">
        <v>0.11627906976744186</v>
      </c>
      <c r="R8" s="71" t="s">
        <v>167</v>
      </c>
      <c r="S8" s="75">
        <v>7320</v>
      </c>
      <c r="T8" s="71" t="s">
        <v>182</v>
      </c>
      <c r="U8" s="75">
        <v>-5950</v>
      </c>
      <c r="V8" s="71" t="s">
        <v>182</v>
      </c>
      <c r="W8" s="74">
        <v>0.21052631578947367</v>
      </c>
      <c r="X8" s="71" t="s">
        <v>168</v>
      </c>
      <c r="Y8" s="74">
        <v>0.20454545454545456</v>
      </c>
      <c r="Z8" s="71" t="s">
        <v>118</v>
      </c>
      <c r="AA8" s="74">
        <v>0.52112676056338025</v>
      </c>
      <c r="AB8" s="71" t="s">
        <v>182</v>
      </c>
      <c r="AC8" s="74">
        <v>0.33333333333333331</v>
      </c>
      <c r="AD8" s="71" t="s">
        <v>118</v>
      </c>
      <c r="AE8" s="74">
        <v>0.41176470588235292</v>
      </c>
      <c r="AF8" s="71" t="s">
        <v>172</v>
      </c>
      <c r="AG8" s="78">
        <v>41300</v>
      </c>
    </row>
    <row r="9" spans="1:33">
      <c r="A9" s="68">
        <v>7</v>
      </c>
      <c r="B9" s="69" t="s">
        <v>180</v>
      </c>
      <c r="C9" s="70">
        <v>-2.2000000000000011</v>
      </c>
      <c r="D9" s="71" t="s">
        <v>118</v>
      </c>
      <c r="E9" s="83">
        <v>-0.49999999999999983</v>
      </c>
      <c r="F9" s="71" t="s">
        <v>118</v>
      </c>
      <c r="G9" s="72">
        <v>2.5</v>
      </c>
      <c r="H9" s="71" t="s">
        <v>168</v>
      </c>
      <c r="I9" s="73">
        <v>0.2</v>
      </c>
      <c r="J9" s="71" t="s">
        <v>172</v>
      </c>
      <c r="K9" s="73">
        <v>0.2</v>
      </c>
      <c r="L9" s="71" t="s">
        <v>166</v>
      </c>
      <c r="M9" s="73">
        <v>0.5</v>
      </c>
      <c r="N9" s="71" t="s">
        <v>180</v>
      </c>
      <c r="O9" s="74">
        <v>0.2</v>
      </c>
      <c r="P9" s="71" t="s">
        <v>118</v>
      </c>
      <c r="Q9" s="74">
        <v>0.12048192771084337</v>
      </c>
      <c r="R9" s="71" t="s">
        <v>118</v>
      </c>
      <c r="S9" s="75">
        <v>6750</v>
      </c>
      <c r="T9" s="71" t="s">
        <v>184</v>
      </c>
      <c r="U9" s="75">
        <v>-6475</v>
      </c>
      <c r="V9" s="71" t="s">
        <v>118</v>
      </c>
      <c r="W9" s="74">
        <v>0.21385542168674698</v>
      </c>
      <c r="X9" s="71" t="s">
        <v>118</v>
      </c>
      <c r="Y9" s="74">
        <v>0.19578313253012047</v>
      </c>
      <c r="Z9" s="71" t="s">
        <v>173</v>
      </c>
      <c r="AA9" s="74">
        <v>0.5</v>
      </c>
      <c r="AB9" s="71" t="s">
        <v>118</v>
      </c>
      <c r="AC9" s="74">
        <v>0.32307692307692309</v>
      </c>
      <c r="AD9" s="71" t="s">
        <v>167</v>
      </c>
      <c r="AE9" s="74">
        <v>0.4</v>
      </c>
      <c r="AF9" s="71" t="s">
        <v>168</v>
      </c>
      <c r="AG9" s="78">
        <v>38300</v>
      </c>
    </row>
    <row r="10" spans="1:33">
      <c r="A10" s="68">
        <v>8</v>
      </c>
      <c r="B10" s="69" t="s">
        <v>167</v>
      </c>
      <c r="C10" s="70">
        <v>-14</v>
      </c>
      <c r="D10" s="71" t="s">
        <v>180</v>
      </c>
      <c r="E10" s="83">
        <v>-1.1000000000000005</v>
      </c>
      <c r="F10" s="71" t="s">
        <v>180</v>
      </c>
      <c r="G10" s="72">
        <v>2.5</v>
      </c>
      <c r="H10" s="71" t="s">
        <v>165</v>
      </c>
      <c r="I10" s="73">
        <v>0.2</v>
      </c>
      <c r="J10" s="71" t="s">
        <v>118</v>
      </c>
      <c r="K10" s="73">
        <v>0.25</v>
      </c>
      <c r="L10" s="71" t="s">
        <v>170</v>
      </c>
      <c r="M10" s="73">
        <v>0.5</v>
      </c>
      <c r="N10" s="71" t="s">
        <v>165</v>
      </c>
      <c r="O10" s="74">
        <v>0.19047619047619047</v>
      </c>
      <c r="P10" s="71" t="s">
        <v>180</v>
      </c>
      <c r="Q10" s="74">
        <v>0.13333333333333333</v>
      </c>
      <c r="R10" s="71" t="s">
        <v>168</v>
      </c>
      <c r="S10" s="75">
        <v>6512.5</v>
      </c>
      <c r="T10" s="71" t="s">
        <v>118</v>
      </c>
      <c r="U10" s="75">
        <v>-6540</v>
      </c>
      <c r="V10" s="71" t="s">
        <v>165</v>
      </c>
      <c r="W10" s="74">
        <v>0.21428571428571427</v>
      </c>
      <c r="X10" s="71" t="s">
        <v>170</v>
      </c>
      <c r="Y10" s="74">
        <v>0.17647058823529413</v>
      </c>
      <c r="Z10" s="71" t="s">
        <v>170</v>
      </c>
      <c r="AA10" s="74">
        <v>0.5</v>
      </c>
      <c r="AB10" s="71" t="s">
        <v>165</v>
      </c>
      <c r="AC10" s="74">
        <v>0.2857142857142857</v>
      </c>
      <c r="AD10" s="71" t="s">
        <v>180</v>
      </c>
      <c r="AE10" s="74">
        <v>0.33333333333333331</v>
      </c>
      <c r="AF10" s="71" t="s">
        <v>184</v>
      </c>
      <c r="AG10" s="78">
        <v>35200</v>
      </c>
    </row>
    <row r="11" spans="1:33">
      <c r="A11" s="68">
        <v>9</v>
      </c>
      <c r="B11" s="69" t="s">
        <v>173</v>
      </c>
      <c r="C11" s="70">
        <v>-17.999999999999996</v>
      </c>
      <c r="D11" s="71" t="s">
        <v>173</v>
      </c>
      <c r="E11" s="83">
        <v>-3.5999999999999992</v>
      </c>
      <c r="F11" s="71" t="s">
        <v>182</v>
      </c>
      <c r="G11" s="72">
        <v>2.5</v>
      </c>
      <c r="H11" s="71" t="s">
        <v>173</v>
      </c>
      <c r="I11" s="73">
        <v>0</v>
      </c>
      <c r="J11" s="71" t="s">
        <v>166</v>
      </c>
      <c r="K11" s="73">
        <v>0.25</v>
      </c>
      <c r="L11" s="71" t="s">
        <v>180</v>
      </c>
      <c r="M11" s="73">
        <v>0.5</v>
      </c>
      <c r="N11" s="71" t="s">
        <v>167</v>
      </c>
      <c r="O11" s="74">
        <v>0.18518518518518517</v>
      </c>
      <c r="P11" s="71" t="s">
        <v>197</v>
      </c>
      <c r="Q11" s="74">
        <v>0.13333333333333333</v>
      </c>
      <c r="R11" s="71" t="s">
        <v>172</v>
      </c>
      <c r="S11" s="75">
        <v>6492.3076923076924</v>
      </c>
      <c r="T11" s="71" t="s">
        <v>185</v>
      </c>
      <c r="U11" s="75">
        <v>-6600</v>
      </c>
      <c r="V11" s="71" t="s">
        <v>172</v>
      </c>
      <c r="W11" s="74">
        <v>0.21621621621621623</v>
      </c>
      <c r="X11" s="71" t="s">
        <v>165</v>
      </c>
      <c r="Y11" s="74">
        <v>0.16666666666666666</v>
      </c>
      <c r="Z11" s="71" t="s">
        <v>171</v>
      </c>
      <c r="AA11" s="74">
        <v>0.5</v>
      </c>
      <c r="AB11" s="71" t="s">
        <v>167</v>
      </c>
      <c r="AC11" s="74">
        <v>0.25</v>
      </c>
      <c r="AD11" s="71" t="s">
        <v>165</v>
      </c>
      <c r="AE11" s="74">
        <v>0.25</v>
      </c>
      <c r="AF11" s="71" t="s">
        <v>173</v>
      </c>
      <c r="AG11" s="78">
        <v>34800</v>
      </c>
    </row>
    <row r="12" spans="1:33">
      <c r="A12" s="68">
        <v>10</v>
      </c>
      <c r="B12" s="69" t="s">
        <v>118</v>
      </c>
      <c r="C12" s="70">
        <v>-19.999999999999993</v>
      </c>
      <c r="D12" s="71" t="s">
        <v>167</v>
      </c>
      <c r="E12" s="83">
        <v>-4.666666666666667</v>
      </c>
      <c r="F12" s="71" t="s">
        <v>167</v>
      </c>
      <c r="G12" s="72">
        <v>2.6666666666666665</v>
      </c>
      <c r="H12" s="71" t="s">
        <v>170</v>
      </c>
      <c r="I12" s="73">
        <v>0</v>
      </c>
      <c r="J12" s="71" t="s">
        <v>167</v>
      </c>
      <c r="K12" s="73">
        <v>0.33333333333333331</v>
      </c>
      <c r="L12" s="71" t="s">
        <v>182</v>
      </c>
      <c r="M12" s="73">
        <v>0.5</v>
      </c>
      <c r="N12" s="71" t="s">
        <v>168</v>
      </c>
      <c r="O12" s="74">
        <v>0.18181818181818182</v>
      </c>
      <c r="P12" s="71" t="s">
        <v>166</v>
      </c>
      <c r="Q12" s="74">
        <v>0.13513513513513514</v>
      </c>
      <c r="R12" s="71" t="s">
        <v>182</v>
      </c>
      <c r="S12" s="75">
        <v>5900</v>
      </c>
      <c r="T12" s="71" t="s">
        <v>165</v>
      </c>
      <c r="U12" s="75">
        <v>-7033.333333333333</v>
      </c>
      <c r="V12" s="71" t="s">
        <v>167</v>
      </c>
      <c r="W12" s="74">
        <v>0.25925925925925924</v>
      </c>
      <c r="X12" s="71" t="s">
        <v>182</v>
      </c>
      <c r="Y12" s="74">
        <v>0.15789473684210525</v>
      </c>
      <c r="Z12" s="71" t="s">
        <v>165</v>
      </c>
      <c r="AA12" s="74">
        <v>0.44444444444444442</v>
      </c>
      <c r="AB12" s="71" t="s">
        <v>173</v>
      </c>
      <c r="AC12" s="74">
        <v>0</v>
      </c>
      <c r="AD12" s="71" t="s">
        <v>182</v>
      </c>
      <c r="AE12" s="74">
        <v>0.25</v>
      </c>
      <c r="AF12" s="71" t="s">
        <v>171</v>
      </c>
      <c r="AG12" s="78">
        <v>34000</v>
      </c>
    </row>
    <row r="13" spans="1:33">
      <c r="A13" s="68">
        <v>11</v>
      </c>
      <c r="B13" s="69" t="s">
        <v>165</v>
      </c>
      <c r="C13" s="70">
        <v>-49.499999999999993</v>
      </c>
      <c r="D13" s="71" t="s">
        <v>165</v>
      </c>
      <c r="E13" s="83">
        <v>-9.8999999999999986</v>
      </c>
      <c r="F13" s="71" t="s">
        <v>165</v>
      </c>
      <c r="G13" s="72">
        <v>2.8</v>
      </c>
      <c r="H13" s="71" t="s">
        <v>171</v>
      </c>
      <c r="I13" s="73">
        <v>0</v>
      </c>
      <c r="J13" s="71" t="s">
        <v>170</v>
      </c>
      <c r="K13" s="73">
        <v>0.5</v>
      </c>
      <c r="L13" s="71" t="s">
        <v>167</v>
      </c>
      <c r="M13" s="73">
        <v>0.33333333333333331</v>
      </c>
      <c r="N13" s="71" t="s">
        <v>170</v>
      </c>
      <c r="O13" s="74">
        <v>0.17647058823529413</v>
      </c>
      <c r="P13" s="71" t="s">
        <v>172</v>
      </c>
      <c r="Q13" s="74">
        <v>0.13513513513513514</v>
      </c>
      <c r="R13" s="71" t="s">
        <v>184</v>
      </c>
      <c r="S13" s="75">
        <v>4428.5714285714284</v>
      </c>
      <c r="T13" s="71" t="s">
        <v>172</v>
      </c>
      <c r="U13" s="75">
        <v>-7260</v>
      </c>
      <c r="V13" s="71" t="s">
        <v>180</v>
      </c>
      <c r="W13" s="74">
        <v>0.26666666666666666</v>
      </c>
      <c r="X13" s="71" t="s">
        <v>171</v>
      </c>
      <c r="Y13" s="74">
        <v>0.14285714285714285</v>
      </c>
      <c r="Z13" s="71" t="s">
        <v>167</v>
      </c>
      <c r="AA13" s="74">
        <v>0.42857142857142855</v>
      </c>
      <c r="AB13" s="71" t="s">
        <v>171</v>
      </c>
      <c r="AC13" s="74">
        <v>0</v>
      </c>
      <c r="AD13" s="71" t="s">
        <v>173</v>
      </c>
      <c r="AE13" s="74">
        <v>0.2</v>
      </c>
      <c r="AF13" s="71" t="s">
        <v>180</v>
      </c>
      <c r="AG13" s="78">
        <v>33600</v>
      </c>
    </row>
    <row r="14" spans="1:33">
      <c r="A14" s="68">
        <v>12</v>
      </c>
      <c r="B14" s="69" t="s">
        <v>185</v>
      </c>
      <c r="C14" s="70">
        <v>-52.6</v>
      </c>
      <c r="D14" s="71" t="s">
        <v>170</v>
      </c>
      <c r="E14" s="83">
        <v>-28.599999999999998</v>
      </c>
      <c r="F14" s="71" t="s">
        <v>170</v>
      </c>
      <c r="G14" s="72">
        <v>3</v>
      </c>
      <c r="H14" s="71" t="s">
        <v>180</v>
      </c>
      <c r="I14" s="73">
        <v>0</v>
      </c>
      <c r="J14" s="71" t="s">
        <v>182</v>
      </c>
      <c r="K14" s="73">
        <v>0.5</v>
      </c>
      <c r="L14" s="71" t="s">
        <v>165</v>
      </c>
      <c r="M14" s="73">
        <v>0.2</v>
      </c>
      <c r="N14" s="71" t="s">
        <v>173</v>
      </c>
      <c r="O14" s="74">
        <v>0.11627906976744186</v>
      </c>
      <c r="P14" s="71" t="s">
        <v>165</v>
      </c>
      <c r="Q14" s="74">
        <v>0.14285714285714285</v>
      </c>
      <c r="R14" s="71" t="s">
        <v>170</v>
      </c>
      <c r="S14" s="75">
        <v>2166.6666666666665</v>
      </c>
      <c r="T14" s="71" t="s">
        <v>167</v>
      </c>
      <c r="U14" s="75">
        <v>-9733.3333333333339</v>
      </c>
      <c r="V14" s="71" t="s">
        <v>166</v>
      </c>
      <c r="W14" s="74">
        <v>0.27027027027027029</v>
      </c>
      <c r="X14" s="71" t="s">
        <v>173</v>
      </c>
      <c r="Y14" s="74">
        <v>0.11627906976744186</v>
      </c>
      <c r="Z14" s="71" t="s">
        <v>168</v>
      </c>
      <c r="AA14" s="74">
        <v>0.25</v>
      </c>
      <c r="AB14" s="71" t="s">
        <v>180</v>
      </c>
      <c r="AC14" s="74">
        <v>0</v>
      </c>
      <c r="AD14" s="71" t="s">
        <v>168</v>
      </c>
      <c r="AE14" s="74">
        <v>0.125</v>
      </c>
      <c r="AF14" s="71" t="s">
        <v>170</v>
      </c>
      <c r="AG14" s="78">
        <v>23700</v>
      </c>
    </row>
    <row r="15" spans="1:33">
      <c r="A15" s="68">
        <v>13</v>
      </c>
      <c r="B15" s="69" t="s">
        <v>170</v>
      </c>
      <c r="C15" s="70">
        <v>-57.199999999999996</v>
      </c>
      <c r="D15" s="71" t="s">
        <v>197</v>
      </c>
      <c r="E15" s="83">
        <v>-49.2</v>
      </c>
      <c r="F15" s="71" t="s">
        <v>185</v>
      </c>
      <c r="G15" s="72">
        <v>4</v>
      </c>
      <c r="H15" s="71" t="s">
        <v>185</v>
      </c>
      <c r="I15" s="73">
        <v>0</v>
      </c>
      <c r="J15" s="71" t="s">
        <v>185</v>
      </c>
      <c r="K15" s="73">
        <v>1</v>
      </c>
      <c r="L15" s="71" t="s">
        <v>185</v>
      </c>
      <c r="M15" s="73">
        <v>0</v>
      </c>
      <c r="N15" s="71" t="s">
        <v>185</v>
      </c>
      <c r="O15" s="74">
        <v>0</v>
      </c>
      <c r="P15" s="71" t="s">
        <v>184</v>
      </c>
      <c r="Q15" s="74">
        <v>0.18181818181818182</v>
      </c>
      <c r="R15" s="71" t="s">
        <v>185</v>
      </c>
      <c r="S15" s="75">
        <v>0</v>
      </c>
      <c r="T15" s="71" t="s">
        <v>197</v>
      </c>
      <c r="U15" s="75">
        <v>-10000</v>
      </c>
      <c r="V15" s="71" t="s">
        <v>168</v>
      </c>
      <c r="W15" s="74">
        <v>0.27272727272727271</v>
      </c>
      <c r="X15" s="71" t="s">
        <v>166</v>
      </c>
      <c r="Y15" s="74">
        <v>0.10810810810810811</v>
      </c>
      <c r="Z15" s="71" t="s">
        <v>185</v>
      </c>
      <c r="AA15" s="74">
        <v>0</v>
      </c>
      <c r="AB15" s="71" t="s">
        <v>185</v>
      </c>
      <c r="AC15" s="74">
        <v>0</v>
      </c>
      <c r="AD15" s="71" t="s">
        <v>185</v>
      </c>
      <c r="AE15" s="74">
        <v>0</v>
      </c>
      <c r="AF15" s="71" t="s">
        <v>197</v>
      </c>
      <c r="AG15" s="78">
        <v>14100</v>
      </c>
    </row>
    <row r="16" spans="1:33">
      <c r="A16" s="68">
        <v>14</v>
      </c>
      <c r="B16" s="69" t="s">
        <v>197</v>
      </c>
      <c r="C16" s="70">
        <v>-98.4</v>
      </c>
      <c r="D16" s="71" t="s">
        <v>185</v>
      </c>
      <c r="E16" s="83">
        <v>-52.6</v>
      </c>
      <c r="F16" s="71" t="s">
        <v>197</v>
      </c>
      <c r="G16" s="72">
        <v>4</v>
      </c>
      <c r="H16" s="71" t="s">
        <v>197</v>
      </c>
      <c r="I16" s="73">
        <v>0</v>
      </c>
      <c r="J16" s="71" t="s">
        <v>197</v>
      </c>
      <c r="K16" s="73">
        <v>1</v>
      </c>
      <c r="L16" s="71" t="s">
        <v>197</v>
      </c>
      <c r="M16" s="73">
        <v>0</v>
      </c>
      <c r="N16" s="71" t="s">
        <v>197</v>
      </c>
      <c r="O16" s="74">
        <v>0</v>
      </c>
      <c r="P16" s="71" t="s">
        <v>185</v>
      </c>
      <c r="Q16" s="74">
        <v>0.2857142857142857</v>
      </c>
      <c r="R16" s="71" t="s">
        <v>197</v>
      </c>
      <c r="S16" s="75">
        <v>0</v>
      </c>
      <c r="T16" s="71" t="s">
        <v>170</v>
      </c>
      <c r="U16" s="75">
        <v>-18000</v>
      </c>
      <c r="V16" s="71" t="s">
        <v>171</v>
      </c>
      <c r="W16" s="74">
        <v>0.2857142857142857</v>
      </c>
      <c r="X16" s="71" t="s">
        <v>180</v>
      </c>
      <c r="Y16" s="74">
        <v>0</v>
      </c>
      <c r="Z16" s="71" t="s">
        <v>197</v>
      </c>
      <c r="AA16" s="74">
        <v>0</v>
      </c>
      <c r="AB16" s="71" t="s">
        <v>197</v>
      </c>
      <c r="AC16" s="74">
        <v>0</v>
      </c>
      <c r="AD16" s="71" t="s">
        <v>197</v>
      </c>
      <c r="AE16" s="74">
        <v>0</v>
      </c>
      <c r="AF16" s="71" t="s">
        <v>185</v>
      </c>
      <c r="AG16" s="78">
        <v>7400</v>
      </c>
    </row>
  </sheetData>
  <sortState xmlns:xlrd2="http://schemas.microsoft.com/office/spreadsheetml/2017/richdata2" ref="AF3:AG46">
    <sortCondition descending="1" ref="AG1"/>
  </sortState>
  <mergeCells count="32">
    <mergeCell ref="Z1:AA1"/>
    <mergeCell ref="AB1:AC1"/>
    <mergeCell ref="B1:C1"/>
    <mergeCell ref="D1:E1"/>
    <mergeCell ref="F1:G1"/>
    <mergeCell ref="H1:I1"/>
    <mergeCell ref="N1:O1"/>
    <mergeCell ref="J1:K1"/>
    <mergeCell ref="L1:M1"/>
    <mergeCell ref="B2:C2"/>
    <mergeCell ref="D2:E2"/>
    <mergeCell ref="F2:G2"/>
    <mergeCell ref="H2:I2"/>
    <mergeCell ref="N2:O2"/>
    <mergeCell ref="J2:K2"/>
    <mergeCell ref="L2:M2"/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C480-C0DB-4D32-9920-4FCCC2AFBFEA}">
  <sheetPr codeName="Sheet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118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40</v>
      </c>
      <c r="C2" s="153"/>
      <c r="E2" s="54" t="s">
        <v>55</v>
      </c>
      <c r="F2" s="51" t="s">
        <v>20</v>
      </c>
      <c r="G2" s="39">
        <v>46</v>
      </c>
      <c r="H2" s="117">
        <f>IF(B$17=0,0,G2/B$17)</f>
        <v>0.67647058823529416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-50</v>
      </c>
      <c r="P2" s="103">
        <v>40</v>
      </c>
      <c r="Q2" s="87">
        <v>-2000</v>
      </c>
    </row>
    <row r="3" spans="1:17">
      <c r="A3" s="47" t="s">
        <v>8</v>
      </c>
      <c r="B3" s="154">
        <v>332</v>
      </c>
      <c r="C3" s="155"/>
      <c r="E3" s="55" t="s">
        <v>186</v>
      </c>
      <c r="F3" s="52" t="s">
        <v>160</v>
      </c>
      <c r="G3" s="40">
        <v>36</v>
      </c>
      <c r="H3" s="118">
        <f>IF(B$17=0,0,G3/B$17)</f>
        <v>0.52941176470588236</v>
      </c>
      <c r="I3" s="80">
        <v>6</v>
      </c>
      <c r="K3" s="32">
        <v>1</v>
      </c>
      <c r="L3" s="85">
        <v>11.9</v>
      </c>
      <c r="N3" s="100" t="s">
        <v>108</v>
      </c>
      <c r="O3" s="107">
        <f t="shared" si="0"/>
        <v>25</v>
      </c>
      <c r="P3" s="104">
        <v>40</v>
      </c>
      <c r="Q3" s="88">
        <v>1000</v>
      </c>
    </row>
    <row r="4" spans="1:17">
      <c r="A4" s="47" t="s">
        <v>6</v>
      </c>
      <c r="B4" s="156">
        <v>-19.999999999999993</v>
      </c>
      <c r="C4" s="157"/>
      <c r="E4" s="55" t="s">
        <v>189</v>
      </c>
      <c r="F4" s="52" t="s">
        <v>195</v>
      </c>
      <c r="G4" s="40">
        <v>35</v>
      </c>
      <c r="H4" s="118">
        <f>IF(B$17=0,0,G4/B$17)</f>
        <v>0.51470588235294112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-25</v>
      </c>
      <c r="P4" s="104">
        <v>40</v>
      </c>
      <c r="Q4" s="88">
        <v>-1000</v>
      </c>
    </row>
    <row r="5" spans="1:17">
      <c r="A5" s="47" t="s">
        <v>7</v>
      </c>
      <c r="B5" s="158">
        <f>IF(B$2=0,0,B$4/B$2)</f>
        <v>-0.49999999999999983</v>
      </c>
      <c r="C5" s="159"/>
      <c r="E5" s="55" t="s">
        <v>61</v>
      </c>
      <c r="F5" s="52" t="s">
        <v>24</v>
      </c>
      <c r="G5" s="40">
        <v>29</v>
      </c>
      <c r="H5" s="118">
        <f>IF(B$17=0,0,G5/B$17)</f>
        <v>0.4264705882352941</v>
      </c>
      <c r="I5" s="80">
        <v>5</v>
      </c>
      <c r="K5" s="32">
        <v>3</v>
      </c>
      <c r="L5" s="85">
        <v>25.100000000000009</v>
      </c>
      <c r="N5" s="100" t="s">
        <v>161</v>
      </c>
      <c r="O5" s="107">
        <f>IF(P5=0,0,Q5/P5)</f>
        <v>50</v>
      </c>
      <c r="P5" s="104">
        <v>40</v>
      </c>
      <c r="Q5" s="88">
        <v>2000</v>
      </c>
    </row>
    <row r="6" spans="1:17">
      <c r="A6" s="47" t="s">
        <v>1</v>
      </c>
      <c r="B6" s="160">
        <f>IF(B$2=0,0,(B$7*1+B$8*2+B$9*3+B$10*4)/B$2)</f>
        <v>2.5</v>
      </c>
      <c r="C6" s="161"/>
      <c r="E6" s="55" t="s">
        <v>56</v>
      </c>
      <c r="F6" s="52" t="s">
        <v>159</v>
      </c>
      <c r="G6" s="40">
        <v>24</v>
      </c>
      <c r="H6" s="118">
        <f>IF(B$17=0,0,G6/B$17)</f>
        <v>0.35294117647058826</v>
      </c>
      <c r="I6" s="80">
        <v>5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-27.777777777777779</v>
      </c>
      <c r="P6" s="104">
        <v>36</v>
      </c>
      <c r="Q6" s="88">
        <v>-1000</v>
      </c>
    </row>
    <row r="7" spans="1:17">
      <c r="A7" s="47" t="s">
        <v>2</v>
      </c>
      <c r="B7" s="40">
        <v>10</v>
      </c>
      <c r="C7" s="33">
        <f t="shared" ref="C7:C12" si="2">IF(B$2=0,0,B7/B$2)</f>
        <v>0.25</v>
      </c>
      <c r="E7" s="55" t="s">
        <v>57</v>
      </c>
      <c r="F7" s="52" t="s">
        <v>190</v>
      </c>
      <c r="G7" s="40">
        <v>20</v>
      </c>
      <c r="H7" s="118">
        <f>IF(B$17=0,0,G7/B$17)</f>
        <v>0.29411764705882354</v>
      </c>
      <c r="I7" s="80">
        <v>6</v>
      </c>
      <c r="K7" s="32">
        <v>5</v>
      </c>
      <c r="L7" s="85">
        <v>-14.199999999999992</v>
      </c>
      <c r="N7" s="100" t="s">
        <v>111</v>
      </c>
      <c r="O7" s="107">
        <f t="shared" si="0"/>
        <v>-281.25</v>
      </c>
      <c r="P7" s="104">
        <v>32</v>
      </c>
      <c r="Q7" s="88">
        <v>-9000</v>
      </c>
    </row>
    <row r="8" spans="1:17">
      <c r="A8" s="47" t="s">
        <v>3</v>
      </c>
      <c r="B8" s="40">
        <v>10</v>
      </c>
      <c r="C8" s="33">
        <f>IF(B$2=0,0,B8/B$2)</f>
        <v>0.25</v>
      </c>
      <c r="E8" s="55" t="s">
        <v>58</v>
      </c>
      <c r="F8" s="52" t="s">
        <v>21</v>
      </c>
      <c r="G8" s="40">
        <v>18</v>
      </c>
      <c r="H8" s="118">
        <f>IF(B$17=0,0,G8/B$17)</f>
        <v>0.26470588235294118</v>
      </c>
      <c r="I8" s="80">
        <v>6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20</v>
      </c>
      <c r="Q8" s="88">
        <v>0</v>
      </c>
    </row>
    <row r="9" spans="1:17">
      <c r="A9" s="48" t="s">
        <v>4</v>
      </c>
      <c r="B9" s="41">
        <v>10</v>
      </c>
      <c r="C9" s="34">
        <f>IF(B$2=0,0,B9/B$2)</f>
        <v>0.25</v>
      </c>
      <c r="E9" s="55" t="s">
        <v>187</v>
      </c>
      <c r="F9" s="52" t="s">
        <v>19</v>
      </c>
      <c r="G9" s="40">
        <v>10</v>
      </c>
      <c r="H9" s="118">
        <f>IF(B$17=0,0,G9/B$17)</f>
        <v>0.14705882352941177</v>
      </c>
      <c r="I9" s="80">
        <v>6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12</v>
      </c>
      <c r="Q9" s="89">
        <v>0</v>
      </c>
    </row>
    <row r="10" spans="1:17">
      <c r="A10" s="48" t="s">
        <v>156</v>
      </c>
      <c r="B10" s="41">
        <v>10</v>
      </c>
      <c r="C10" s="34">
        <f>IF(B$2=0,0,B10/B$2)</f>
        <v>0.25</v>
      </c>
      <c r="E10" s="55" t="s">
        <v>60</v>
      </c>
      <c r="F10" s="52" t="s">
        <v>23</v>
      </c>
      <c r="G10" s="40">
        <v>8</v>
      </c>
      <c r="H10" s="118">
        <f>IF(B$17=0,0,G10/B$17)</f>
        <v>0.11764705882352941</v>
      </c>
      <c r="I10" s="80">
        <v>6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20</v>
      </c>
      <c r="C11" s="34">
        <f>IF(B$2=0,0,B11/B$2)</f>
        <v>0.5</v>
      </c>
      <c r="E11" s="55" t="s">
        <v>59</v>
      </c>
      <c r="F11" s="52" t="s">
        <v>22</v>
      </c>
      <c r="G11" s="40">
        <v>4</v>
      </c>
      <c r="H11" s="118">
        <f>IF(B$17=0,0,G11/B$17)</f>
        <v>5.8823529411764705E-2</v>
      </c>
      <c r="I11" s="80">
        <v>5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4</v>
      </c>
      <c r="C12" s="36">
        <f t="shared" si="2"/>
        <v>0.1</v>
      </c>
      <c r="E12" s="55" t="s">
        <v>188</v>
      </c>
      <c r="F12" s="52" t="s">
        <v>191</v>
      </c>
      <c r="G12" s="40">
        <v>2</v>
      </c>
      <c r="H12" s="118">
        <f>IF(B$17=0,0,G12/B$17)</f>
        <v>2.9411764705882353E-2</v>
      </c>
      <c r="I12" s="80">
        <v>2</v>
      </c>
      <c r="K12" s="32">
        <v>10</v>
      </c>
      <c r="L12" s="85">
        <v>-38.499999999999993</v>
      </c>
      <c r="N12" s="99" t="s">
        <v>130</v>
      </c>
      <c r="O12" s="109">
        <f>IF(P12=0,0,Q12/P12)</f>
        <v>-24.080000000000002</v>
      </c>
      <c r="P12" s="103">
        <v>10</v>
      </c>
      <c r="Q12" s="91">
        <v>-240.8</v>
      </c>
    </row>
    <row r="13" spans="1:17">
      <c r="A13" s="50" t="s">
        <v>101</v>
      </c>
      <c r="B13" s="43">
        <v>71</v>
      </c>
      <c r="C13" s="38">
        <f>IF(B$3=0,0,B13/B$3)</f>
        <v>0.21385542168674698</v>
      </c>
      <c r="E13" s="55" t="s">
        <v>72</v>
      </c>
      <c r="F13" s="52" t="s">
        <v>35</v>
      </c>
      <c r="G13" s="40">
        <v>2</v>
      </c>
      <c r="H13" s="118">
        <f>IF(B$17=0,0,G13/B$17)</f>
        <v>2.9411764705882353E-2</v>
      </c>
      <c r="I13" s="80">
        <v>2</v>
      </c>
      <c r="K13" s="32">
        <v>11</v>
      </c>
      <c r="L13" s="85">
        <v>18.100000000000009</v>
      </c>
      <c r="N13" s="100" t="s">
        <v>131</v>
      </c>
      <c r="O13" s="110">
        <f>IF(P13=0,0,Q13/P13)</f>
        <v>10.879999999999999</v>
      </c>
      <c r="P13" s="104">
        <v>10</v>
      </c>
      <c r="Q13" s="92">
        <v>108.8</v>
      </c>
    </row>
    <row r="14" spans="1:17">
      <c r="A14" s="47" t="s">
        <v>98</v>
      </c>
      <c r="B14" s="40">
        <v>65</v>
      </c>
      <c r="C14" s="33">
        <f>IF(B$3=0,0,B14/B$3)</f>
        <v>0.19578313253012047</v>
      </c>
      <c r="E14" s="55" t="s">
        <v>75</v>
      </c>
      <c r="F14" s="52" t="s">
        <v>38</v>
      </c>
      <c r="G14" s="40">
        <v>2</v>
      </c>
      <c r="H14" s="118">
        <f>IF(B$17=0,0,G14/B$17)</f>
        <v>2.9411764705882353E-2</v>
      </c>
      <c r="I14" s="80">
        <v>3</v>
      </c>
      <c r="K14" s="32">
        <v>12</v>
      </c>
      <c r="L14" s="85">
        <v>7.1054273576010019E-15</v>
      </c>
      <c r="N14" s="100" t="s">
        <v>132</v>
      </c>
      <c r="O14" s="110">
        <f>IF(P14=0,0,Q14/P14)</f>
        <v>19.43</v>
      </c>
      <c r="P14" s="104">
        <v>10</v>
      </c>
      <c r="Q14" s="92">
        <v>194.3</v>
      </c>
    </row>
    <row r="15" spans="1:17">
      <c r="A15" s="46" t="s">
        <v>103</v>
      </c>
      <c r="B15" s="39">
        <f>B21</f>
        <v>37</v>
      </c>
      <c r="C15" s="31">
        <f>IF(B$13=0,0,B15/B$13)</f>
        <v>0.52112676056338025</v>
      </c>
      <c r="E15" s="55" t="s">
        <v>68</v>
      </c>
      <c r="F15" s="52" t="s">
        <v>31</v>
      </c>
      <c r="G15" s="40">
        <v>1</v>
      </c>
      <c r="H15" s="118">
        <f>IF(B$17=0,0,G15/B$17)</f>
        <v>1.4705882352941176E-2</v>
      </c>
      <c r="I15" s="80">
        <v>2</v>
      </c>
      <c r="K15" s="32">
        <v>13</v>
      </c>
      <c r="L15" s="85">
        <v>62.500000000000007</v>
      </c>
      <c r="N15" s="101" t="s">
        <v>163</v>
      </c>
      <c r="O15" s="111">
        <f>IF(P15=0,0,Q15/P15)</f>
        <v>-8.23</v>
      </c>
      <c r="P15" s="105">
        <v>10</v>
      </c>
      <c r="Q15" s="93">
        <v>-82.300000000000011</v>
      </c>
    </row>
    <row r="16" spans="1:17">
      <c r="A16" s="46" t="s">
        <v>104</v>
      </c>
      <c r="B16" s="39">
        <f>B22</f>
        <v>21</v>
      </c>
      <c r="C16" s="31">
        <f>IF(B$14=0,0,B16/B$14)</f>
        <v>0.32307692307692309</v>
      </c>
      <c r="E16" s="55" t="s">
        <v>70</v>
      </c>
      <c r="F16" s="52" t="s">
        <v>33</v>
      </c>
      <c r="G16" s="40">
        <v>1</v>
      </c>
      <c r="H16" s="118">
        <f>IF(B$17=0,0,G16/B$17)</f>
        <v>1.4705882352941176E-2</v>
      </c>
      <c r="I16" s="80">
        <v>2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68</v>
      </c>
      <c r="C17" s="31">
        <f>IF(B$3=0,0,B17/B$3)</f>
        <v>0.20481927710843373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40</v>
      </c>
      <c r="C18" s="33">
        <f>IF(B$3=0,0,B18/B$3)</f>
        <v>0.12048192771084337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1.4210854715202004E-14</v>
      </c>
      <c r="N18" s="99" t="s">
        <v>185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28</v>
      </c>
      <c r="C19" s="33">
        <f>IF(B$17=0,0,B19/B$17)</f>
        <v>0.41176470588235292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-32.899999999999984</v>
      </c>
      <c r="N19" s="100" t="s">
        <v>197</v>
      </c>
      <c r="O19" s="110">
        <f>IF(P19=0,0,Q19/P19)</f>
        <v>63.93333333333333</v>
      </c>
      <c r="P19" s="104">
        <v>6</v>
      </c>
      <c r="Q19" s="92">
        <v>383.59999999999997</v>
      </c>
    </row>
    <row r="20" spans="1:17">
      <c r="A20" s="47" t="s">
        <v>11</v>
      </c>
      <c r="B20" s="40">
        <v>40</v>
      </c>
      <c r="C20" s="33">
        <f>IF(B$17=0,0,B20/B$17)</f>
        <v>0.58823529411764708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-91.499999999999986</v>
      </c>
      <c r="N20" s="100" t="s">
        <v>170</v>
      </c>
      <c r="O20" s="110">
        <f>IF(P20=0,0,Q20/P20)</f>
        <v>38.133333333333333</v>
      </c>
      <c r="P20" s="104">
        <v>6</v>
      </c>
      <c r="Q20" s="92">
        <v>228.8</v>
      </c>
    </row>
    <row r="21" spans="1:17">
      <c r="A21" s="47" t="s">
        <v>155</v>
      </c>
      <c r="B21" s="40">
        <v>37</v>
      </c>
      <c r="C21" s="33">
        <f>IF(B$17=0,0,B21/B$17)</f>
        <v>0.54411764705882348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165</v>
      </c>
      <c r="O21" s="110">
        <f>IF(P21=0,0,Q21/P21)</f>
        <v>11.866666666666669</v>
      </c>
      <c r="P21" s="104">
        <v>15</v>
      </c>
      <c r="Q21" s="92">
        <v>178.00000000000003</v>
      </c>
    </row>
    <row r="22" spans="1:17">
      <c r="A22" s="47" t="s">
        <v>153</v>
      </c>
      <c r="B22" s="40">
        <v>21</v>
      </c>
      <c r="C22" s="33">
        <f>IF(B$17=0,0,B22/B$17)</f>
        <v>0.30882352941176472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167</v>
      </c>
      <c r="O22" s="110">
        <f>IF(P22=0,0,Q22/P22)</f>
        <v>5.1111111111111178</v>
      </c>
      <c r="P22" s="104">
        <v>9</v>
      </c>
      <c r="Q22" s="92">
        <v>46.000000000000057</v>
      </c>
    </row>
    <row r="23" spans="1:17">
      <c r="A23" s="47" t="s">
        <v>154</v>
      </c>
      <c r="B23" s="40">
        <v>10</v>
      </c>
      <c r="C23" s="33">
        <f>IF(B$17=0,0,B23/B$17)</f>
        <v>0.14705882352941177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173</v>
      </c>
      <c r="O23" s="110">
        <f>IF(P23=0,0,Q23/P23)</f>
        <v>4.1333333333333346</v>
      </c>
      <c r="P23" s="104">
        <v>15</v>
      </c>
      <c r="Q23" s="92">
        <v>62.000000000000014</v>
      </c>
    </row>
    <row r="24" spans="1:17">
      <c r="A24" s="47" t="s">
        <v>5</v>
      </c>
      <c r="B24" s="44">
        <f>IF(B$17=0,0,C24/B$17)</f>
        <v>6750</v>
      </c>
      <c r="C24" s="35">
        <v>459000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180</v>
      </c>
      <c r="O24" s="110">
        <f>IF(P24=0,0,Q24/P24)</f>
        <v>1.4666666666666668</v>
      </c>
      <c r="P24" s="104">
        <v>6</v>
      </c>
      <c r="Q24" s="92">
        <v>8.8000000000000007</v>
      </c>
    </row>
    <row r="25" spans="1:17">
      <c r="A25" s="48" t="s">
        <v>137</v>
      </c>
      <c r="B25" s="121">
        <f>IF($B$17-B$16=0,0,C25/($B$17-B$16))</f>
        <v>7838.2978723404258</v>
      </c>
      <c r="C25" s="122">
        <v>368400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182</v>
      </c>
      <c r="O25" s="110">
        <f>IF(P25=0,0,Q25/P25)</f>
        <v>-2.6</v>
      </c>
      <c r="P25" s="104">
        <v>6</v>
      </c>
      <c r="Q25" s="92">
        <v>-15.600000000000001</v>
      </c>
    </row>
    <row r="26" spans="1:17">
      <c r="A26" s="48" t="s">
        <v>138</v>
      </c>
      <c r="B26" s="121">
        <f>IF(B$16=0,0,C26/B$16)</f>
        <v>4314.2857142857147</v>
      </c>
      <c r="C26" s="122">
        <v>90600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168</v>
      </c>
      <c r="O26" s="110">
        <f>IF(P26=0,0,Q26/P26)</f>
        <v>-4.5599999999999987</v>
      </c>
      <c r="P26" s="104">
        <v>15</v>
      </c>
      <c r="Q26" s="92">
        <v>-68.399999999999977</v>
      </c>
    </row>
    <row r="27" spans="1:17">
      <c r="A27" s="48" t="s">
        <v>136</v>
      </c>
      <c r="B27" s="121">
        <f>IF(B$18=0,0,C27/B$18)</f>
        <v>-6540</v>
      </c>
      <c r="C27" s="122">
        <v>-261600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171</v>
      </c>
      <c r="O27" s="110">
        <f>IF(P27=0,0,Q27/P27)</f>
        <v>-18.666666666666664</v>
      </c>
      <c r="P27" s="104">
        <v>3</v>
      </c>
      <c r="Q27" s="92">
        <v>-55.999999999999993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184</v>
      </c>
      <c r="O28" s="110">
        <f>IF(P28=0,0,Q28/P28)</f>
        <v>-20.000000000000004</v>
      </c>
      <c r="P28" s="104">
        <v>9</v>
      </c>
      <c r="Q28" s="92">
        <v>-180.00000000000003</v>
      </c>
    </row>
    <row r="29" spans="1:17">
      <c r="A29" s="47" t="s">
        <v>135</v>
      </c>
      <c r="B29" s="40">
        <v>26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166</v>
      </c>
      <c r="O29" s="110">
        <f>IF(P29=0,0,Q29/P29)</f>
        <v>-21.833333333333332</v>
      </c>
      <c r="P29" s="104">
        <v>12</v>
      </c>
      <c r="Q29" s="92">
        <v>-262</v>
      </c>
    </row>
    <row r="30" spans="1:17">
      <c r="A30" s="76" t="s">
        <v>115</v>
      </c>
      <c r="B30" s="146">
        <v>5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172</v>
      </c>
      <c r="O30" s="110">
        <f>IF(P30=0,0,Q30/P30)</f>
        <v>-35.706666666666678</v>
      </c>
      <c r="P30" s="104">
        <v>15</v>
      </c>
      <c r="Q30" s="92">
        <v>-535.60000000000014</v>
      </c>
    </row>
    <row r="31" spans="1:17">
      <c r="A31" s="50" t="s">
        <v>152</v>
      </c>
      <c r="B31" s="148">
        <v>67800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</row>
    <row r="32" spans="1:17">
      <c r="A32" s="49" t="s">
        <v>116</v>
      </c>
      <c r="B32" s="57">
        <v>2</v>
      </c>
      <c r="C32" s="36">
        <f>IF(B$3=0,0,B32/B$3)</f>
        <v>6.024096385542169E-3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</row>
    <row r="33" spans="1:12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</row>
    <row r="34" spans="1:12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</row>
    <row r="35" spans="1:12">
      <c r="A35" s="76" t="s">
        <v>143</v>
      </c>
      <c r="B35" s="134">
        <v>10</v>
      </c>
      <c r="C35" s="126">
        <f t="shared" ref="C35:C47" si="3">IF(B$17=0,0,B35/B$17)</f>
        <v>0.14705882352941177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-14.399999999999997</v>
      </c>
    </row>
    <row r="36" spans="1:12">
      <c r="A36" s="47" t="s">
        <v>139</v>
      </c>
      <c r="B36" s="40">
        <v>9</v>
      </c>
      <c r="C36" s="33">
        <f t="shared" si="3"/>
        <v>0.13235294117647059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47.300000000000004</v>
      </c>
    </row>
    <row r="37" spans="1:12">
      <c r="A37" s="47" t="s">
        <v>140</v>
      </c>
      <c r="B37" s="135">
        <v>15</v>
      </c>
      <c r="C37" s="33">
        <f t="shared" si="3"/>
        <v>0.22058823529411764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53.300000000000004</v>
      </c>
    </row>
    <row r="38" spans="1:12">
      <c r="A38" s="47" t="s">
        <v>141</v>
      </c>
      <c r="B38" s="135">
        <v>12</v>
      </c>
      <c r="C38" s="33">
        <f t="shared" si="3"/>
        <v>0.17647058823529413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-9.9999999999999929</v>
      </c>
    </row>
    <row r="39" spans="1:12">
      <c r="A39" s="47" t="s">
        <v>142</v>
      </c>
      <c r="B39" s="135">
        <v>8</v>
      </c>
      <c r="C39" s="33">
        <f t="shared" si="3"/>
        <v>0.11764705882352941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-62.499999999999993</v>
      </c>
    </row>
    <row r="40" spans="1:12">
      <c r="A40" s="47" t="s">
        <v>144</v>
      </c>
      <c r="B40" s="135">
        <v>13</v>
      </c>
      <c r="C40" s="33">
        <f t="shared" si="3"/>
        <v>0.19117647058823528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-53.699999999999989</v>
      </c>
    </row>
    <row r="41" spans="1:12">
      <c r="A41" s="47" t="s">
        <v>145</v>
      </c>
      <c r="B41" s="135">
        <v>1</v>
      </c>
      <c r="C41" s="33">
        <f t="shared" si="3"/>
        <v>1.4705882352941176E-2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2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2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12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12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12">
      <c r="A46" s="47" t="s">
        <v>150</v>
      </c>
      <c r="B46" s="135">
        <v>0</v>
      </c>
      <c r="C46" s="33">
        <f t="shared" si="3"/>
        <v>0</v>
      </c>
    </row>
    <row r="47" spans="1:12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52FFD-9C9C-479B-80C3-381D3EC57F4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168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5</v>
      </c>
      <c r="C2" s="153"/>
      <c r="E2" s="54" t="s">
        <v>55</v>
      </c>
      <c r="F2" s="51" t="s">
        <v>20</v>
      </c>
      <c r="G2" s="39">
        <v>7</v>
      </c>
      <c r="H2" s="117">
        <f>IF(B$17=0,0,G2/B$17)</f>
        <v>0.875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1140</v>
      </c>
      <c r="P2" s="103">
        <v>5</v>
      </c>
      <c r="Q2" s="87">
        <v>5700</v>
      </c>
    </row>
    <row r="3" spans="1:17">
      <c r="A3" s="47" t="s">
        <v>8</v>
      </c>
      <c r="B3" s="154">
        <v>44</v>
      </c>
      <c r="C3" s="155"/>
      <c r="E3" s="55" t="s">
        <v>186</v>
      </c>
      <c r="F3" s="52" t="s">
        <v>160</v>
      </c>
      <c r="G3" s="40">
        <v>3</v>
      </c>
      <c r="H3" s="118">
        <f>IF(B$17=0,0,G3/B$17)</f>
        <v>0.375</v>
      </c>
      <c r="I3" s="80">
        <v>10</v>
      </c>
      <c r="K3" s="32">
        <v>1</v>
      </c>
      <c r="L3" s="85">
        <v>11.9</v>
      </c>
      <c r="N3" s="100" t="s">
        <v>108</v>
      </c>
      <c r="O3" s="107">
        <f t="shared" si="0"/>
        <v>-580</v>
      </c>
      <c r="P3" s="104">
        <v>5</v>
      </c>
      <c r="Q3" s="88">
        <v>-2900</v>
      </c>
    </row>
    <row r="4" spans="1:17">
      <c r="A4" s="47" t="s">
        <v>6</v>
      </c>
      <c r="B4" s="156">
        <v>17.099999999999994</v>
      </c>
      <c r="C4" s="157"/>
      <c r="E4" s="55" t="s">
        <v>61</v>
      </c>
      <c r="F4" s="52" t="s">
        <v>24</v>
      </c>
      <c r="G4" s="40">
        <v>3</v>
      </c>
      <c r="H4" s="118">
        <f>IF(B$17=0,0,G4/B$17)</f>
        <v>0.375</v>
      </c>
      <c r="I4" s="80">
        <v>7</v>
      </c>
      <c r="K4" s="32">
        <v>2</v>
      </c>
      <c r="L4" s="85">
        <v>-40.200000000000003</v>
      </c>
      <c r="N4" s="100" t="s">
        <v>109</v>
      </c>
      <c r="O4" s="107">
        <f t="shared" si="0"/>
        <v>1400</v>
      </c>
      <c r="P4" s="104">
        <v>5</v>
      </c>
      <c r="Q4" s="88">
        <v>7000</v>
      </c>
    </row>
    <row r="5" spans="1:17">
      <c r="A5" s="47" t="s">
        <v>7</v>
      </c>
      <c r="B5" s="158">
        <f>IF(B$2=0,0,B$4/B$2)</f>
        <v>3.419999999999999</v>
      </c>
      <c r="C5" s="159"/>
      <c r="E5" s="55" t="s">
        <v>56</v>
      </c>
      <c r="F5" s="52" t="s">
        <v>159</v>
      </c>
      <c r="G5" s="40">
        <v>2</v>
      </c>
      <c r="H5" s="118">
        <f>IF(B$17=0,0,G5/B$17)</f>
        <v>0.25</v>
      </c>
      <c r="I5" s="80">
        <v>8</v>
      </c>
      <c r="K5" s="32">
        <v>3</v>
      </c>
      <c r="L5" s="85">
        <v>-53.2</v>
      </c>
      <c r="N5" s="100" t="s">
        <v>161</v>
      </c>
      <c r="O5" s="107">
        <f>IF(P5=0,0,Q5/P5)</f>
        <v>380</v>
      </c>
      <c r="P5" s="104">
        <v>5</v>
      </c>
      <c r="Q5" s="88">
        <v>1900</v>
      </c>
    </row>
    <row r="6" spans="1:17">
      <c r="A6" s="47" t="s">
        <v>1</v>
      </c>
      <c r="B6" s="160">
        <f>IF(B$2=0,0,(B$7*1+B$8*2+B$9*3+B$10*4)/B$2)</f>
        <v>2.4</v>
      </c>
      <c r="C6" s="161"/>
      <c r="E6" s="55" t="s">
        <v>58</v>
      </c>
      <c r="F6" s="52" t="s">
        <v>21</v>
      </c>
      <c r="G6" s="40">
        <v>2</v>
      </c>
      <c r="H6" s="118">
        <f>IF(B$17=0,0,G6/B$17)</f>
        <v>0.25</v>
      </c>
      <c r="I6" s="80">
        <v>7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1040</v>
      </c>
      <c r="P6" s="104">
        <v>5</v>
      </c>
      <c r="Q6" s="88">
        <v>5200</v>
      </c>
    </row>
    <row r="7" spans="1:17">
      <c r="A7" s="47" t="s">
        <v>2</v>
      </c>
      <c r="B7" s="40">
        <v>1</v>
      </c>
      <c r="C7" s="33">
        <f t="shared" ref="C7:C12" si="2">IF(B$2=0,0,B7/B$2)</f>
        <v>0.2</v>
      </c>
      <c r="E7" s="55" t="s">
        <v>60</v>
      </c>
      <c r="F7" s="52" t="s">
        <v>23</v>
      </c>
      <c r="G7" s="40">
        <v>2</v>
      </c>
      <c r="H7" s="118">
        <f>IF(B$17=0,0,G7/B$17)</f>
        <v>0.25</v>
      </c>
      <c r="I7" s="80">
        <v>1</v>
      </c>
      <c r="K7" s="32">
        <v>5</v>
      </c>
      <c r="L7" s="85">
        <v>17.099999999999994</v>
      </c>
      <c r="N7" s="100" t="s">
        <v>111</v>
      </c>
      <c r="O7" s="107">
        <f t="shared" si="0"/>
        <v>-1125</v>
      </c>
      <c r="P7" s="104">
        <v>4</v>
      </c>
      <c r="Q7" s="88">
        <v>-4500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72</v>
      </c>
      <c r="F8" s="52" t="s">
        <v>35</v>
      </c>
      <c r="G8" s="40">
        <v>2</v>
      </c>
      <c r="H8" s="118">
        <f>IF(B$17=0,0,G8/B$17)</f>
        <v>0.25</v>
      </c>
      <c r="I8" s="80">
        <v>1</v>
      </c>
      <c r="N8" s="100" t="s">
        <v>112</v>
      </c>
      <c r="O8" s="107">
        <f t="shared" si="0"/>
        <v>-2433.3333333333335</v>
      </c>
      <c r="P8" s="104">
        <v>3</v>
      </c>
      <c r="Q8" s="88">
        <v>-7300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189</v>
      </c>
      <c r="F9" s="52" t="s">
        <v>195</v>
      </c>
      <c r="G9" s="40">
        <v>2</v>
      </c>
      <c r="H9" s="118">
        <f>IF(B$17=0,0,G9/B$17)</f>
        <v>0.25</v>
      </c>
      <c r="I9" s="80">
        <v>9</v>
      </c>
      <c r="N9" s="101" t="s">
        <v>162</v>
      </c>
      <c r="O9" s="108">
        <f t="shared" si="0"/>
        <v>3500</v>
      </c>
      <c r="P9" s="105">
        <v>2</v>
      </c>
      <c r="Q9" s="89">
        <v>7000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187</v>
      </c>
      <c r="F10" s="52" t="s">
        <v>19</v>
      </c>
      <c r="G10" s="40">
        <v>1</v>
      </c>
      <c r="H10" s="118">
        <f>IF(B$17=0,0,G10/B$17)</f>
        <v>0.125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0.6</v>
      </c>
      <c r="E11" s="55" t="s">
        <v>57</v>
      </c>
      <c r="F11" s="52" t="s">
        <v>190</v>
      </c>
      <c r="G11" s="40">
        <v>1</v>
      </c>
      <c r="H11" s="118">
        <f>IF(B$17=0,0,G11/B$17)</f>
        <v>0.125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1</v>
      </c>
      <c r="H12" s="118">
        <f>IF(B$17=0,0,G12/B$17)</f>
        <v>0.125</v>
      </c>
      <c r="I12" s="80">
        <v>2</v>
      </c>
      <c r="N12" s="99" t="s">
        <v>130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101</v>
      </c>
      <c r="B13" s="43">
        <v>12</v>
      </c>
      <c r="C13" s="38">
        <f>IF(B$3=0,0,B13/B$3)</f>
        <v>0.27272727272727271</v>
      </c>
      <c r="E13" s="55" t="s">
        <v>68</v>
      </c>
      <c r="F13" s="52" t="s">
        <v>31</v>
      </c>
      <c r="G13" s="40">
        <v>1</v>
      </c>
      <c r="H13" s="118">
        <f>IF(B$17=0,0,G13/B$17)</f>
        <v>0.125</v>
      </c>
      <c r="I13" s="80">
        <v>1</v>
      </c>
      <c r="N13" s="100" t="s">
        <v>131</v>
      </c>
      <c r="O13" s="110">
        <f>IF(P13=0,0,Q13/P13)</f>
        <v>35.15</v>
      </c>
      <c r="P13" s="104">
        <v>2</v>
      </c>
      <c r="Q13" s="92">
        <v>70.3</v>
      </c>
    </row>
    <row r="14" spans="1:17">
      <c r="A14" s="47" t="s">
        <v>98</v>
      </c>
      <c r="B14" s="40">
        <v>9</v>
      </c>
      <c r="C14" s="33">
        <f>IF(B$3=0,0,B14/B$3)</f>
        <v>0.20454545454545456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0.25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4</v>
      </c>
      <c r="C16" s="31">
        <f>IF(B$14=0,0,B16/B$14)</f>
        <v>0.44444444444444442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0.18181818181818182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6.8181818181818177E-2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167</v>
      </c>
      <c r="O18" s="109">
        <f>IF(P18=0,0,Q18/P18)</f>
        <v>72.95</v>
      </c>
      <c r="P18" s="103">
        <v>2</v>
      </c>
      <c r="Q18" s="91">
        <v>145.9</v>
      </c>
    </row>
    <row r="19" spans="1:17">
      <c r="A19" s="47" t="s">
        <v>12</v>
      </c>
      <c r="B19" s="40">
        <v>1</v>
      </c>
      <c r="C19" s="33">
        <f>IF(B$17=0,0,B19/B$17)</f>
        <v>0.125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197</v>
      </c>
      <c r="O19" s="110">
        <f>IF(P19=0,0,Q19/P19)</f>
        <v>57.9</v>
      </c>
      <c r="P19" s="104">
        <v>1</v>
      </c>
      <c r="Q19" s="92">
        <v>57.9</v>
      </c>
    </row>
    <row r="20" spans="1:17">
      <c r="A20" s="47" t="s">
        <v>11</v>
      </c>
      <c r="B20" s="40">
        <v>7</v>
      </c>
      <c r="C20" s="33">
        <f>IF(B$17=0,0,B20/B$17)</f>
        <v>0.875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166</v>
      </c>
      <c r="O20" s="110">
        <f>IF(P20=0,0,Q20/P20)</f>
        <v>34.833333333333336</v>
      </c>
      <c r="P20" s="104">
        <v>3</v>
      </c>
      <c r="Q20" s="92">
        <v>104.5</v>
      </c>
    </row>
    <row r="21" spans="1:17">
      <c r="A21" s="47" t="s">
        <v>155</v>
      </c>
      <c r="B21" s="40">
        <v>3</v>
      </c>
      <c r="C21" s="33">
        <f>IF(B$17=0,0,B21/B$17)</f>
        <v>0.375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184</v>
      </c>
      <c r="O21" s="110">
        <f>IF(P21=0,0,Q21/P21)</f>
        <v>33.5</v>
      </c>
      <c r="P21" s="104">
        <v>1</v>
      </c>
      <c r="Q21" s="92">
        <v>33.5</v>
      </c>
    </row>
    <row r="22" spans="1:17">
      <c r="A22" s="47" t="s">
        <v>153</v>
      </c>
      <c r="B22" s="40">
        <v>4</v>
      </c>
      <c r="C22" s="33">
        <f>IF(B$17=0,0,B22/B$17)</f>
        <v>0.5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173</v>
      </c>
      <c r="O22" s="110">
        <f>IF(P22=0,0,Q22/P22)</f>
        <v>11.099999999999998</v>
      </c>
      <c r="P22" s="104">
        <v>2</v>
      </c>
      <c r="Q22" s="92">
        <v>22.199999999999996</v>
      </c>
    </row>
    <row r="23" spans="1:17">
      <c r="A23" s="47" t="s">
        <v>154</v>
      </c>
      <c r="B23" s="40">
        <v>1</v>
      </c>
      <c r="C23" s="33">
        <f>IF(B$17=0,0,B23/B$17)</f>
        <v>0.125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>IF(P23=0,0,Q23/P23)</f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6512.5</v>
      </c>
      <c r="C24" s="35">
        <v>52100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>IF(P24=0,0,Q24/P24)</f>
        <v>-65.7</v>
      </c>
      <c r="P24" s="104">
        <v>1</v>
      </c>
      <c r="Q24" s="92">
        <v>-65.7</v>
      </c>
    </row>
    <row r="25" spans="1:17">
      <c r="A25" s="48" t="s">
        <v>137</v>
      </c>
      <c r="B25" s="121">
        <f>IF($B$17-B$16=0,0,C25/($B$17-B$16))</f>
        <v>6275</v>
      </c>
      <c r="C25" s="122">
        <v>25100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182</v>
      </c>
      <c r="O25" s="110">
        <f>IF(P25=0,0,Q25/P25)</f>
        <v>-75.5</v>
      </c>
      <c r="P25" s="104">
        <v>1</v>
      </c>
      <c r="Q25" s="92">
        <v>-75.5</v>
      </c>
    </row>
    <row r="26" spans="1:17">
      <c r="A26" s="48" t="s">
        <v>138</v>
      </c>
      <c r="B26" s="121">
        <f>IF(B$16=0,0,C26/B$16)</f>
        <v>6750</v>
      </c>
      <c r="C26" s="122">
        <v>27000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172</v>
      </c>
      <c r="O26" s="110">
        <f>IF(P26=0,0,Q26/P26)</f>
        <v>-108.7</v>
      </c>
      <c r="P26" s="104">
        <v>1</v>
      </c>
      <c r="Q26" s="92">
        <v>-108.7</v>
      </c>
    </row>
    <row r="27" spans="1:17">
      <c r="A27" s="48" t="s">
        <v>136</v>
      </c>
      <c r="B27" s="121">
        <f>IF(B$18=0,0,C27/B$18)</f>
        <v>-3866.6666666666665</v>
      </c>
      <c r="C27" s="122">
        <v>-11600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4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38300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0.125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0.125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E72B9-0D75-4F27-84F0-71484D99CDA3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165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5</v>
      </c>
      <c r="C2" s="153"/>
      <c r="E2" s="54" t="s">
        <v>189</v>
      </c>
      <c r="F2" s="51" t="s">
        <v>195</v>
      </c>
      <c r="G2" s="39">
        <v>7</v>
      </c>
      <c r="H2" s="117">
        <f>IF(B$17=0,0,G2/B$17)</f>
        <v>0.875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-2160</v>
      </c>
      <c r="P2" s="103">
        <v>5</v>
      </c>
      <c r="Q2" s="87">
        <v>-10800</v>
      </c>
    </row>
    <row r="3" spans="1:17">
      <c r="A3" s="47" t="s">
        <v>8</v>
      </c>
      <c r="B3" s="154">
        <v>42</v>
      </c>
      <c r="C3" s="155"/>
      <c r="E3" s="55" t="s">
        <v>55</v>
      </c>
      <c r="F3" s="52" t="s">
        <v>20</v>
      </c>
      <c r="G3" s="40">
        <v>5</v>
      </c>
      <c r="H3" s="118">
        <f>IF(B$17=0,0,G3/B$17)</f>
        <v>0.625</v>
      </c>
      <c r="I3" s="80">
        <v>6</v>
      </c>
      <c r="K3" s="32">
        <v>1</v>
      </c>
      <c r="L3" s="85">
        <v>74.900000000000006</v>
      </c>
      <c r="N3" s="100" t="s">
        <v>108</v>
      </c>
      <c r="O3" s="107">
        <f t="shared" si="0"/>
        <v>2200</v>
      </c>
      <c r="P3" s="104">
        <v>5</v>
      </c>
      <c r="Q3" s="88">
        <v>11000</v>
      </c>
    </row>
    <row r="4" spans="1:17">
      <c r="A4" s="47" t="s">
        <v>6</v>
      </c>
      <c r="B4" s="156">
        <v>-49.499999999999993</v>
      </c>
      <c r="C4" s="157"/>
      <c r="E4" s="55" t="s">
        <v>186</v>
      </c>
      <c r="F4" s="52" t="s">
        <v>160</v>
      </c>
      <c r="G4" s="40">
        <v>4</v>
      </c>
      <c r="H4" s="118">
        <f>IF(B$17=0,0,G4/B$17)</f>
        <v>0.5</v>
      </c>
      <c r="I4" s="80">
        <v>7</v>
      </c>
      <c r="K4" s="32">
        <v>2</v>
      </c>
      <c r="L4" s="85">
        <v>56.800000000000004</v>
      </c>
      <c r="N4" s="100" t="s">
        <v>109</v>
      </c>
      <c r="O4" s="107">
        <f t="shared" si="0"/>
        <v>1300</v>
      </c>
      <c r="P4" s="104">
        <v>5</v>
      </c>
      <c r="Q4" s="88">
        <v>6500</v>
      </c>
    </row>
    <row r="5" spans="1:17">
      <c r="A5" s="47" t="s">
        <v>7</v>
      </c>
      <c r="B5" s="158">
        <f>IF(B$2=0,0,B$4/B$2)</f>
        <v>-9.8999999999999986</v>
      </c>
      <c r="C5" s="159"/>
      <c r="E5" s="55" t="s">
        <v>61</v>
      </c>
      <c r="F5" s="52" t="s">
        <v>24</v>
      </c>
      <c r="G5" s="40">
        <v>4</v>
      </c>
      <c r="H5" s="118">
        <f>IF(B$17=0,0,G5/B$17)</f>
        <v>0.5</v>
      </c>
      <c r="I5" s="80">
        <v>4</v>
      </c>
      <c r="K5" s="32">
        <v>3</v>
      </c>
      <c r="L5" s="85">
        <v>-7.4999999999999929</v>
      </c>
      <c r="N5" s="100" t="s">
        <v>161</v>
      </c>
      <c r="O5" s="107">
        <f>IF(P5=0,0,Q5/P5)</f>
        <v>-440</v>
      </c>
      <c r="P5" s="104">
        <v>5</v>
      </c>
      <c r="Q5" s="88">
        <v>-2200</v>
      </c>
    </row>
    <row r="6" spans="1:17">
      <c r="A6" s="47" t="s">
        <v>1</v>
      </c>
      <c r="B6" s="160">
        <f>IF(B$2=0,0,(B$7*1+B$8*2+B$9*3+B$10*4)/B$2)</f>
        <v>2.8</v>
      </c>
      <c r="C6" s="161"/>
      <c r="E6" s="55" t="s">
        <v>56</v>
      </c>
      <c r="F6" s="52" t="s">
        <v>159</v>
      </c>
      <c r="G6" s="40">
        <v>3</v>
      </c>
      <c r="H6" s="118">
        <f>IF(B$17=0,0,G6/B$17)</f>
        <v>0.375</v>
      </c>
      <c r="I6" s="80">
        <v>4</v>
      </c>
      <c r="K6" s="32">
        <v>4</v>
      </c>
      <c r="L6" s="85">
        <v>-21.899999999999991</v>
      </c>
      <c r="N6" s="100" t="s">
        <v>110</v>
      </c>
      <c r="O6" s="107">
        <f t="shared" ref="O6" si="1">IF(P6=0,0,Q6/P6)</f>
        <v>-1500</v>
      </c>
      <c r="P6" s="104">
        <v>5</v>
      </c>
      <c r="Q6" s="88">
        <v>-7500</v>
      </c>
    </row>
    <row r="7" spans="1:17">
      <c r="A7" s="47" t="s">
        <v>2</v>
      </c>
      <c r="B7" s="40">
        <v>1</v>
      </c>
      <c r="C7" s="33">
        <f t="shared" ref="C7:C12" si="2">IF(B$2=0,0,B7/B$2)</f>
        <v>0.2</v>
      </c>
      <c r="E7" s="55" t="s">
        <v>58</v>
      </c>
      <c r="F7" s="52" t="s">
        <v>21</v>
      </c>
      <c r="G7" s="40">
        <v>3</v>
      </c>
      <c r="H7" s="118">
        <f>IF(B$17=0,0,G7/B$17)</f>
        <v>0.375</v>
      </c>
      <c r="I7" s="80">
        <v>3</v>
      </c>
      <c r="K7" s="32">
        <v>5</v>
      </c>
      <c r="L7" s="85">
        <v>-49.499999999999993</v>
      </c>
      <c r="N7" s="100" t="s">
        <v>111</v>
      </c>
      <c r="O7" s="107">
        <f t="shared" si="0"/>
        <v>-80</v>
      </c>
      <c r="P7" s="104">
        <v>5</v>
      </c>
      <c r="Q7" s="88">
        <v>-400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190</v>
      </c>
      <c r="G8" s="40">
        <v>1</v>
      </c>
      <c r="H8" s="118">
        <f>IF(B$17=0,0,G8/B$17)</f>
        <v>0.125</v>
      </c>
      <c r="I8" s="80">
        <v>11</v>
      </c>
      <c r="N8" s="100" t="s">
        <v>112</v>
      </c>
      <c r="O8" s="107">
        <f t="shared" si="0"/>
        <v>-1666.6666666666667</v>
      </c>
      <c r="P8" s="104">
        <v>3</v>
      </c>
      <c r="Q8" s="88">
        <v>-5000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59</v>
      </c>
      <c r="F9" s="52" t="s">
        <v>22</v>
      </c>
      <c r="G9" s="40">
        <v>1</v>
      </c>
      <c r="H9" s="118">
        <f>IF(B$17=0,0,G9/B$17)</f>
        <v>0.125</v>
      </c>
      <c r="I9" s="80">
        <v>2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60</v>
      </c>
      <c r="F10" s="52" t="s">
        <v>23</v>
      </c>
      <c r="G10" s="40">
        <v>1</v>
      </c>
      <c r="H10" s="118">
        <f>IF(B$17=0,0,G10/B$17)</f>
        <v>0.125</v>
      </c>
      <c r="I10" s="80">
        <v>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</v>
      </c>
      <c r="E11" s="55" t="s">
        <v>75</v>
      </c>
      <c r="F11" s="52" t="s">
        <v>38</v>
      </c>
      <c r="G11" s="40">
        <v>1</v>
      </c>
      <c r="H11" s="118">
        <f>IF(B$17=0,0,G11/B$17)</f>
        <v>0.125</v>
      </c>
      <c r="I11" s="80">
        <v>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</v>
      </c>
      <c r="E12" s="55" t="s">
        <v>187</v>
      </c>
      <c r="F12" s="52" t="s">
        <v>19</v>
      </c>
      <c r="G12" s="40">
        <v>0</v>
      </c>
      <c r="H12" s="118">
        <f>IF(B$17=0,0,G12/B$17)</f>
        <v>0</v>
      </c>
      <c r="I12" s="80">
        <v>9</v>
      </c>
      <c r="N12" s="99" t="s">
        <v>130</v>
      </c>
      <c r="O12" s="109">
        <f>IF(P12=0,0,Q12/P12)</f>
        <v>-14.4</v>
      </c>
      <c r="P12" s="103">
        <v>1</v>
      </c>
      <c r="Q12" s="91">
        <v>-14.4</v>
      </c>
    </row>
    <row r="13" spans="1:17">
      <c r="A13" s="50" t="s">
        <v>101</v>
      </c>
      <c r="B13" s="43">
        <v>9</v>
      </c>
      <c r="C13" s="38">
        <f>IF(B$3=0,0,B13/B$3)</f>
        <v>0.21428571428571427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7</v>
      </c>
      <c r="C14" s="33">
        <f>IF(B$3=0,0,B14/B$3)</f>
        <v>0.16666666666666666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4</v>
      </c>
      <c r="C15" s="31">
        <f>IF(B$13=0,0,B15/B$13)</f>
        <v>0.44444444444444442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2</v>
      </c>
      <c r="C16" s="31">
        <f>IF(B$14=0,0,B16/B$14)</f>
        <v>0.2857142857142857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0.19047619047619047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6</v>
      </c>
      <c r="C18" s="33">
        <f>IF(B$3=0,0,B18/B$3)</f>
        <v>0.14285714285714285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2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197</v>
      </c>
      <c r="O19" s="110">
        <f>IF(P19=0,0,Q19/P19)</f>
        <v>24.9</v>
      </c>
      <c r="P19" s="104">
        <v>1</v>
      </c>
      <c r="Q19" s="92">
        <v>24.9</v>
      </c>
    </row>
    <row r="20" spans="1:17">
      <c r="A20" s="47" t="s">
        <v>11</v>
      </c>
      <c r="B20" s="40">
        <v>6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168</v>
      </c>
      <c r="O20" s="110">
        <f>IF(P20=0,0,Q20/P20)</f>
        <v>15.233333333333334</v>
      </c>
      <c r="P20" s="104">
        <v>3</v>
      </c>
      <c r="Q20" s="92">
        <v>45.7</v>
      </c>
    </row>
    <row r="21" spans="1:17">
      <c r="A21" s="47" t="s">
        <v>155</v>
      </c>
      <c r="B21" s="40">
        <v>4</v>
      </c>
      <c r="C21" s="33">
        <f>IF(B$17=0,0,B21/B$17)</f>
        <v>0.5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167</v>
      </c>
      <c r="O21" s="110">
        <f>IF(P21=0,0,Q21/P21)</f>
        <v>11.949999999999996</v>
      </c>
      <c r="P21" s="104">
        <v>2</v>
      </c>
      <c r="Q21" s="92">
        <v>23.899999999999991</v>
      </c>
    </row>
    <row r="22" spans="1:17">
      <c r="A22" s="47" t="s">
        <v>153</v>
      </c>
      <c r="B22" s="40">
        <v>2</v>
      </c>
      <c r="C22" s="33">
        <f>IF(B$17=0,0,B22/B$17)</f>
        <v>0.25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180</v>
      </c>
      <c r="O22" s="110">
        <f>IF(P22=0,0,Q22/P22)</f>
        <v>-31.700000000000003</v>
      </c>
      <c r="P22" s="104">
        <v>1</v>
      </c>
      <c r="Q22" s="92">
        <v>-31.700000000000003</v>
      </c>
    </row>
    <row r="23" spans="1:17">
      <c r="A23" s="47" t="s">
        <v>154</v>
      </c>
      <c r="B23" s="40">
        <v>2</v>
      </c>
      <c r="C23" s="33">
        <f>IF(B$17=0,0,B23/B$17)</f>
        <v>0.25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184</v>
      </c>
      <c r="O23" s="110">
        <f>IF(P23=0,0,Q23/P23)</f>
        <v>-36.400000000000006</v>
      </c>
      <c r="P23" s="104">
        <v>1</v>
      </c>
      <c r="Q23" s="92">
        <v>-36.400000000000006</v>
      </c>
    </row>
    <row r="24" spans="1:17">
      <c r="A24" s="47" t="s">
        <v>5</v>
      </c>
      <c r="B24" s="44">
        <f>IF(B$17=0,0,C24/B$17)</f>
        <v>7500</v>
      </c>
      <c r="C24" s="35">
        <v>60000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>IF(P24=0,0,Q24/P24)</f>
        <v>-38.233333333333341</v>
      </c>
      <c r="P24" s="104">
        <v>3</v>
      </c>
      <c r="Q24" s="92">
        <v>-114.70000000000002</v>
      </c>
    </row>
    <row r="25" spans="1:17">
      <c r="A25" s="48" t="s">
        <v>137</v>
      </c>
      <c r="B25" s="121">
        <f>IF($B$17-B$16=0,0,C25/($B$17-B$16))</f>
        <v>8333.3333333333339</v>
      </c>
      <c r="C25" s="122">
        <v>50000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N25" s="100" t="s">
        <v>173</v>
      </c>
      <c r="O25" s="110">
        <f>IF(P25=0,0,Q25/P25)</f>
        <v>-49.75</v>
      </c>
      <c r="P25" s="104">
        <v>2</v>
      </c>
      <c r="Q25" s="92">
        <v>-99.5</v>
      </c>
    </row>
    <row r="26" spans="1:17">
      <c r="A26" s="48" t="s">
        <v>138</v>
      </c>
      <c r="B26" s="121">
        <f>IF(B$16=0,0,C26/B$16)</f>
        <v>5000</v>
      </c>
      <c r="C26" s="122">
        <v>10000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182</v>
      </c>
      <c r="O26" s="110">
        <f>IF(P26=0,0,Q26/P26)</f>
        <v>-126.8</v>
      </c>
      <c r="P26" s="104">
        <v>1</v>
      </c>
      <c r="Q26" s="92">
        <v>-126.8</v>
      </c>
    </row>
    <row r="27" spans="1:17">
      <c r="A27" s="48" t="s">
        <v>136</v>
      </c>
      <c r="B27" s="121">
        <f>IF(B$18=0,0,C27/B$18)</f>
        <v>-7033.333333333333</v>
      </c>
      <c r="C27" s="122">
        <v>-42200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12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3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54900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2.3809523809523808E-2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0.125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D7C4A-560E-43B5-A38A-8C5F829D055F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166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4</v>
      </c>
      <c r="C2" s="153"/>
      <c r="E2" s="54" t="s">
        <v>55</v>
      </c>
      <c r="F2" s="51" t="s">
        <v>20</v>
      </c>
      <c r="G2" s="39">
        <v>9</v>
      </c>
      <c r="H2" s="117">
        <f>IF(B$17=0,0,G2/B$17)</f>
        <v>0.9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-475</v>
      </c>
      <c r="P2" s="103">
        <v>4</v>
      </c>
      <c r="Q2" s="87">
        <v>-1900</v>
      </c>
    </row>
    <row r="3" spans="1:17">
      <c r="A3" s="47" t="s">
        <v>8</v>
      </c>
      <c r="B3" s="154">
        <v>37</v>
      </c>
      <c r="C3" s="155"/>
      <c r="E3" s="55" t="s">
        <v>186</v>
      </c>
      <c r="F3" s="52" t="s">
        <v>160</v>
      </c>
      <c r="G3" s="40">
        <v>6</v>
      </c>
      <c r="H3" s="118">
        <f>IF(B$17=0,0,G3/B$17)</f>
        <v>0.6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-400</v>
      </c>
      <c r="P3" s="104">
        <v>4</v>
      </c>
      <c r="Q3" s="88">
        <v>-1600</v>
      </c>
    </row>
    <row r="4" spans="1:17">
      <c r="A4" s="47" t="s">
        <v>6</v>
      </c>
      <c r="B4" s="156">
        <v>65.5</v>
      </c>
      <c r="C4" s="157"/>
      <c r="E4" s="55" t="s">
        <v>189</v>
      </c>
      <c r="F4" s="52" t="s">
        <v>195</v>
      </c>
      <c r="G4" s="40">
        <v>6</v>
      </c>
      <c r="H4" s="118">
        <f>IF(B$17=0,0,G4/B$17)</f>
        <v>0.6</v>
      </c>
      <c r="I4" s="80">
        <v>5</v>
      </c>
      <c r="K4" s="32">
        <v>2</v>
      </c>
      <c r="L4" s="85">
        <v>26.099999999999994</v>
      </c>
      <c r="N4" s="100" t="s">
        <v>109</v>
      </c>
      <c r="O4" s="107">
        <f t="shared" si="0"/>
        <v>4350</v>
      </c>
      <c r="P4" s="104">
        <v>4</v>
      </c>
      <c r="Q4" s="88">
        <v>17400</v>
      </c>
    </row>
    <row r="5" spans="1:17">
      <c r="A5" s="47" t="s">
        <v>7</v>
      </c>
      <c r="B5" s="158">
        <f>IF(B$2=0,0,B$4/B$2)</f>
        <v>16.375</v>
      </c>
      <c r="C5" s="159"/>
      <c r="E5" s="55" t="s">
        <v>57</v>
      </c>
      <c r="F5" s="52" t="s">
        <v>190</v>
      </c>
      <c r="G5" s="40">
        <v>5</v>
      </c>
      <c r="H5" s="118">
        <f>IF(B$17=0,0,G5/B$17)</f>
        <v>0.5</v>
      </c>
      <c r="I5" s="80">
        <v>1</v>
      </c>
      <c r="K5" s="32">
        <v>3</v>
      </c>
      <c r="L5" s="85">
        <v>81.5</v>
      </c>
      <c r="N5" s="100" t="s">
        <v>161</v>
      </c>
      <c r="O5" s="107">
        <f>IF(P5=0,0,Q5/P5)</f>
        <v>3075</v>
      </c>
      <c r="P5" s="104">
        <v>4</v>
      </c>
      <c r="Q5" s="88">
        <v>12300</v>
      </c>
    </row>
    <row r="6" spans="1:17">
      <c r="A6" s="47" t="s">
        <v>1</v>
      </c>
      <c r="B6" s="160">
        <f>IF(B$2=0,0,(B$7*1+B$8*2+B$9*3+B$10*4)/B$2)</f>
        <v>2.25</v>
      </c>
      <c r="C6" s="161"/>
      <c r="E6" s="55" t="s">
        <v>61</v>
      </c>
      <c r="F6" s="52" t="s">
        <v>24</v>
      </c>
      <c r="G6" s="40">
        <v>4</v>
      </c>
      <c r="H6" s="118">
        <f>IF(B$17=0,0,G6/B$17)</f>
        <v>0.4</v>
      </c>
      <c r="I6" s="80">
        <v>6</v>
      </c>
      <c r="K6" s="32">
        <v>4</v>
      </c>
      <c r="L6" s="85">
        <v>65.5</v>
      </c>
      <c r="N6" s="100" t="s">
        <v>110</v>
      </c>
      <c r="O6" s="107">
        <f t="shared" ref="O6" si="1">IF(P6=0,0,Q6/P6)</f>
        <v>1425</v>
      </c>
      <c r="P6" s="104">
        <v>4</v>
      </c>
      <c r="Q6" s="88">
        <v>5700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187</v>
      </c>
      <c r="F7" s="52" t="s">
        <v>19</v>
      </c>
      <c r="G7" s="40">
        <v>3</v>
      </c>
      <c r="H7" s="118">
        <f>IF(B$17=0,0,G7/B$17)</f>
        <v>0.3</v>
      </c>
      <c r="I7" s="80">
        <v>2</v>
      </c>
      <c r="N7" s="100" t="s">
        <v>111</v>
      </c>
      <c r="O7" s="107">
        <f t="shared" si="0"/>
        <v>233.33333333333334</v>
      </c>
      <c r="P7" s="104">
        <v>3</v>
      </c>
      <c r="Q7" s="88">
        <v>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3</v>
      </c>
      <c r="H8" s="118">
        <f>IF(B$17=0,0,G8/B$17)</f>
        <v>0.3</v>
      </c>
      <c r="I8" s="80">
        <v>5</v>
      </c>
      <c r="N8" s="100" t="s">
        <v>112</v>
      </c>
      <c r="O8" s="107">
        <f t="shared" si="0"/>
        <v>-2300</v>
      </c>
      <c r="P8" s="104">
        <v>2</v>
      </c>
      <c r="Q8" s="88">
        <v>-4600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59</v>
      </c>
      <c r="F9" s="52" t="s">
        <v>22</v>
      </c>
      <c r="G9" s="40">
        <v>1</v>
      </c>
      <c r="H9" s="118">
        <f>IF(B$17=0,0,G9/B$17)</f>
        <v>0.1</v>
      </c>
      <c r="I9" s="80">
        <v>4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0.25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10</v>
      </c>
      <c r="C13" s="38">
        <f>IF(B$3=0,0,B13/B$3)</f>
        <v>0.27027027027027029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4</v>
      </c>
      <c r="C14" s="33">
        <f>IF(B$3=0,0,B14/B$3)</f>
        <v>0.10810810810810811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7</v>
      </c>
      <c r="C15" s="31">
        <f>IF(B$13=0,0,B15/B$13)</f>
        <v>0.7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2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0.27027027027027029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6</v>
      </c>
      <c r="C19" s="33">
        <f>IF(B$17=0,0,B19/B$17)</f>
        <v>0.6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197</v>
      </c>
      <c r="O19" s="110">
        <f>IF(P19=0,0,Q19/P19)</f>
        <v>101.3</v>
      </c>
      <c r="P19" s="104">
        <v>1</v>
      </c>
      <c r="Q19" s="92">
        <v>101.3</v>
      </c>
    </row>
    <row r="20" spans="1:17">
      <c r="A20" s="47" t="s">
        <v>11</v>
      </c>
      <c r="B20" s="40">
        <v>4</v>
      </c>
      <c r="C20" s="33">
        <f>IF(B$17=0,0,B20/B$17)</f>
        <v>0.4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84.1</v>
      </c>
      <c r="P20" s="104">
        <v>1</v>
      </c>
      <c r="Q20" s="92">
        <v>84.1</v>
      </c>
    </row>
    <row r="21" spans="1:17">
      <c r="A21" s="47" t="s">
        <v>155</v>
      </c>
      <c r="B21" s="40">
        <v>7</v>
      </c>
      <c r="C21" s="33">
        <f>IF(B$17=0,0,B21/B$17)</f>
        <v>0.7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184</v>
      </c>
      <c r="O21" s="110">
        <f>IF(P21=0,0,Q21/P21)</f>
        <v>76.900000000000006</v>
      </c>
      <c r="P21" s="104">
        <v>1</v>
      </c>
      <c r="Q21" s="92">
        <v>76.900000000000006</v>
      </c>
    </row>
    <row r="22" spans="1:17">
      <c r="A22" s="47" t="s">
        <v>153</v>
      </c>
      <c r="B22" s="40">
        <v>2</v>
      </c>
      <c r="C22" s="33">
        <f>IF(B$17=0,0,B22/B$17)</f>
        <v>0.2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173</v>
      </c>
      <c r="O22" s="110">
        <f>IF(P22=0,0,Q22/P22)</f>
        <v>48.199999999999996</v>
      </c>
      <c r="P22" s="104">
        <v>2</v>
      </c>
      <c r="Q22" s="92">
        <v>96.399999999999991</v>
      </c>
    </row>
    <row r="23" spans="1:17">
      <c r="A23" s="47" t="s">
        <v>154</v>
      </c>
      <c r="B23" s="40">
        <v>1</v>
      </c>
      <c r="C23" s="33">
        <f>IF(B$17=0,0,B23/B$17)</f>
        <v>0.1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167</v>
      </c>
      <c r="O23" s="110">
        <f>IF(P23=0,0,Q23/P23)</f>
        <v>-1</v>
      </c>
      <c r="P23" s="104">
        <v>2</v>
      </c>
      <c r="Q23" s="92">
        <v>-2</v>
      </c>
    </row>
    <row r="24" spans="1:17">
      <c r="A24" s="47" t="s">
        <v>5</v>
      </c>
      <c r="B24" s="44">
        <f>IF(B$17=0,0,C24/B$17)</f>
        <v>7400</v>
      </c>
      <c r="C24" s="35">
        <v>74000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>IF(P24=0,0,Q24/P24)</f>
        <v>-34.833333333333336</v>
      </c>
      <c r="P24" s="104">
        <v>3</v>
      </c>
      <c r="Q24" s="92">
        <v>-104.5</v>
      </c>
    </row>
    <row r="25" spans="1:17">
      <c r="A25" s="48" t="s">
        <v>137</v>
      </c>
      <c r="B25" s="121">
        <f>IF($B$17-B$16=0,0,C25/($B$17-B$16))</f>
        <v>6875</v>
      </c>
      <c r="C25" s="122">
        <v>55000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165</v>
      </c>
      <c r="O25" s="110">
        <f>IF(P25=0,0,Q25/P25)</f>
        <v>-136.60000000000002</v>
      </c>
      <c r="P25" s="104">
        <v>1</v>
      </c>
      <c r="Q25" s="92">
        <v>-136.60000000000002</v>
      </c>
    </row>
    <row r="26" spans="1:17">
      <c r="A26" s="48" t="s">
        <v>138</v>
      </c>
      <c r="B26" s="121">
        <f>IF(B$16=0,0,C26/B$16)</f>
        <v>9500</v>
      </c>
      <c r="C26" s="122">
        <v>19000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-4680</v>
      </c>
      <c r="C27" s="122">
        <v>-23400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4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67800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9FEAA-F11E-4BAC-A4CB-2DB3AEE1A1A1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167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3</v>
      </c>
      <c r="C2" s="153"/>
      <c r="E2" s="54" t="s">
        <v>55</v>
      </c>
      <c r="F2" s="51" t="s">
        <v>20</v>
      </c>
      <c r="G2" s="39">
        <v>4</v>
      </c>
      <c r="H2" s="117">
        <f>IF(B$17=0,0,G2/B$17)</f>
        <v>0.8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533.33333333333337</v>
      </c>
      <c r="P2" s="103">
        <v>3</v>
      </c>
      <c r="Q2" s="87">
        <v>1600</v>
      </c>
    </row>
    <row r="3" spans="1:17">
      <c r="A3" s="47" t="s">
        <v>8</v>
      </c>
      <c r="B3" s="154">
        <v>27</v>
      </c>
      <c r="C3" s="155"/>
      <c r="E3" s="55" t="s">
        <v>61</v>
      </c>
      <c r="F3" s="52" t="s">
        <v>24</v>
      </c>
      <c r="G3" s="40">
        <v>4</v>
      </c>
      <c r="H3" s="118">
        <f>IF(B$17=0,0,G3/B$17)</f>
        <v>0.8</v>
      </c>
      <c r="I3" s="80">
        <v>1</v>
      </c>
      <c r="K3" s="32">
        <v>1</v>
      </c>
      <c r="L3" s="85">
        <v>-25.1</v>
      </c>
      <c r="N3" s="100" t="s">
        <v>108</v>
      </c>
      <c r="O3" s="107">
        <f t="shared" si="0"/>
        <v>-2800</v>
      </c>
      <c r="P3" s="104">
        <v>3</v>
      </c>
      <c r="Q3" s="88">
        <v>-8400</v>
      </c>
    </row>
    <row r="4" spans="1:17">
      <c r="A4" s="47" t="s">
        <v>6</v>
      </c>
      <c r="B4" s="156">
        <v>-14</v>
      </c>
      <c r="C4" s="157"/>
      <c r="E4" s="55" t="s">
        <v>186</v>
      </c>
      <c r="F4" s="52" t="s">
        <v>160</v>
      </c>
      <c r="G4" s="40">
        <v>3</v>
      </c>
      <c r="H4" s="118">
        <f>IF(B$17=0,0,G4/B$17)</f>
        <v>0.6</v>
      </c>
      <c r="I4" s="80">
        <v>4</v>
      </c>
      <c r="K4" s="32">
        <v>2</v>
      </c>
      <c r="L4" s="85">
        <v>-75.7</v>
      </c>
      <c r="N4" s="100" t="s">
        <v>109</v>
      </c>
      <c r="O4" s="107">
        <f t="shared" si="0"/>
        <v>-4500</v>
      </c>
      <c r="P4" s="104">
        <v>3</v>
      </c>
      <c r="Q4" s="88">
        <v>-13500</v>
      </c>
    </row>
    <row r="5" spans="1:17">
      <c r="A5" s="47" t="s">
        <v>7</v>
      </c>
      <c r="B5" s="158">
        <f>IF(B$2=0,0,B$4/B$2)</f>
        <v>-4.666666666666667</v>
      </c>
      <c r="C5" s="159"/>
      <c r="E5" s="55" t="s">
        <v>187</v>
      </c>
      <c r="F5" s="52" t="s">
        <v>19</v>
      </c>
      <c r="G5" s="40">
        <v>1</v>
      </c>
      <c r="H5" s="118">
        <f>IF(B$17=0,0,G5/B$17)</f>
        <v>0.2</v>
      </c>
      <c r="I5" s="80">
        <v>3</v>
      </c>
      <c r="K5" s="32">
        <v>3</v>
      </c>
      <c r="L5" s="85">
        <v>-14</v>
      </c>
      <c r="N5" s="100" t="s">
        <v>161</v>
      </c>
      <c r="O5" s="107">
        <f>IF(P5=0,0,Q5/P5)</f>
        <v>-1033.3333333333333</v>
      </c>
      <c r="P5" s="104">
        <v>3</v>
      </c>
      <c r="Q5" s="88">
        <v>-3100</v>
      </c>
    </row>
    <row r="6" spans="1:17">
      <c r="A6" s="47" t="s">
        <v>1</v>
      </c>
      <c r="B6" s="160">
        <f>IF(B$2=0,0,(B$7*1+B$8*2+B$9*3+B$10*4)/B$2)</f>
        <v>2.6666666666666665</v>
      </c>
      <c r="C6" s="161"/>
      <c r="E6" s="55" t="s">
        <v>56</v>
      </c>
      <c r="F6" s="52" t="s">
        <v>159</v>
      </c>
      <c r="G6" s="40">
        <v>1</v>
      </c>
      <c r="H6" s="118">
        <f>IF(B$17=0,0,G6/B$17)</f>
        <v>0.2</v>
      </c>
      <c r="I6" s="80">
        <v>10</v>
      </c>
      <c r="N6" s="100" t="s">
        <v>110</v>
      </c>
      <c r="O6" s="107">
        <f t="shared" ref="O6" si="1">IF(P6=0,0,Q6/P6)</f>
        <v>1533.3333333333333</v>
      </c>
      <c r="P6" s="104">
        <v>3</v>
      </c>
      <c r="Q6" s="88">
        <v>4600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1</v>
      </c>
      <c r="H7" s="118">
        <f>IF(B$17=0,0,G7/B$17)</f>
        <v>0.2</v>
      </c>
      <c r="I7" s="80">
        <v>9</v>
      </c>
      <c r="N7" s="100" t="s">
        <v>111</v>
      </c>
      <c r="O7" s="107">
        <f t="shared" si="0"/>
        <v>4366.666666666667</v>
      </c>
      <c r="P7" s="104">
        <v>3</v>
      </c>
      <c r="Q7" s="88">
        <v>13100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1</v>
      </c>
      <c r="H8" s="118">
        <f>IF(B$17=0,0,G8/B$17)</f>
        <v>0.2</v>
      </c>
      <c r="I8" s="80">
        <v>10</v>
      </c>
      <c r="N8" s="100" t="s">
        <v>112</v>
      </c>
      <c r="O8" s="107">
        <f t="shared" si="0"/>
        <v>-650</v>
      </c>
      <c r="P8" s="104">
        <v>2</v>
      </c>
      <c r="Q8" s="88">
        <v>-1300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75</v>
      </c>
      <c r="F9" s="52" t="s">
        <v>38</v>
      </c>
      <c r="G9" s="40">
        <v>1</v>
      </c>
      <c r="H9" s="118">
        <f>IF(B$17=0,0,G9/B$17)</f>
        <v>0.2</v>
      </c>
      <c r="I9" s="80">
        <v>1</v>
      </c>
      <c r="N9" s="101" t="s">
        <v>162</v>
      </c>
      <c r="O9" s="108">
        <f t="shared" si="0"/>
        <v>-2000</v>
      </c>
      <c r="P9" s="105">
        <v>1</v>
      </c>
      <c r="Q9" s="89">
        <v>-2000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189</v>
      </c>
      <c r="F10" s="52" t="s">
        <v>195</v>
      </c>
      <c r="G10" s="40">
        <v>1</v>
      </c>
      <c r="H10" s="118">
        <f>IF(B$17=0,0,G10/B$17)</f>
        <v>0.2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59</v>
      </c>
      <c r="F11" s="52" t="s">
        <v>22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7</v>
      </c>
      <c r="N12" s="99" t="s">
        <v>130</v>
      </c>
      <c r="O12" s="109">
        <f>IF(P12=0,0,Q12/P12)</f>
        <v>-50.6</v>
      </c>
      <c r="P12" s="103">
        <v>1</v>
      </c>
      <c r="Q12" s="91">
        <v>-50.6</v>
      </c>
    </row>
    <row r="13" spans="1:17">
      <c r="A13" s="50" t="s">
        <v>101</v>
      </c>
      <c r="B13" s="43">
        <v>7</v>
      </c>
      <c r="C13" s="38">
        <f>IF(B$3=0,0,B13/B$3)</f>
        <v>0.25925925925925924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8</v>
      </c>
      <c r="C14" s="33">
        <f>IF(B$3=0,0,B14/B$3)</f>
        <v>0.29629629629629628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0.42857142857142855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104</v>
      </c>
      <c r="B16" s="39">
        <f>B22</f>
        <v>2</v>
      </c>
      <c r="C16" s="31">
        <f>IF(B$14=0,0,B16/B$14)</f>
        <v>0.25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0.18518518518518517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0.1111111111111111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172</v>
      </c>
      <c r="O18" s="109">
        <f>IF(P18=0,0,Q18/P18)</f>
        <v>125</v>
      </c>
      <c r="P18" s="103">
        <v>1</v>
      </c>
      <c r="Q18" s="91">
        <v>125</v>
      </c>
    </row>
    <row r="19" spans="1:17">
      <c r="A19" s="47" t="s">
        <v>12</v>
      </c>
      <c r="B19" s="40">
        <v>2</v>
      </c>
      <c r="C19" s="33">
        <f>IF(B$17=0,0,B19/B$17)</f>
        <v>0.4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166</v>
      </c>
      <c r="O19" s="110">
        <f>IF(P19=0,0,Q19/P19)</f>
        <v>1</v>
      </c>
      <c r="P19" s="104">
        <v>2</v>
      </c>
      <c r="Q19" s="92">
        <v>2</v>
      </c>
    </row>
    <row r="20" spans="1:17">
      <c r="A20" s="47" t="s">
        <v>11</v>
      </c>
      <c r="B20" s="40">
        <v>3</v>
      </c>
      <c r="C20" s="33">
        <f>IF(B$17=0,0,B20/B$17)</f>
        <v>0.6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-1.6000000000000014</v>
      </c>
      <c r="P20" s="104">
        <v>2</v>
      </c>
      <c r="Q20" s="92">
        <v>-3.2000000000000028</v>
      </c>
    </row>
    <row r="21" spans="1:17">
      <c r="A21" s="47" t="s">
        <v>155</v>
      </c>
      <c r="B21" s="40">
        <v>3</v>
      </c>
      <c r="C21" s="33">
        <f>IF(B$17=0,0,B21/B$17)</f>
        <v>0.6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165</v>
      </c>
      <c r="O21" s="110">
        <f>IF(P21=0,0,Q21/P21)</f>
        <v>-11.95</v>
      </c>
      <c r="P21" s="104">
        <v>2</v>
      </c>
      <c r="Q21" s="92">
        <v>-23.9</v>
      </c>
    </row>
    <row r="22" spans="1:17">
      <c r="A22" s="47" t="s">
        <v>153</v>
      </c>
      <c r="B22" s="40">
        <v>2</v>
      </c>
      <c r="C22" s="33">
        <f>IF(B$17=0,0,B22/B$17)</f>
        <v>0.4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168</v>
      </c>
      <c r="O22" s="110">
        <f>IF(P22=0,0,Q22/P22)</f>
        <v>-72.949999999999989</v>
      </c>
      <c r="P22" s="104">
        <v>2</v>
      </c>
      <c r="Q22" s="92">
        <v>-145.89999999999998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7320</v>
      </c>
      <c r="C24" s="35">
        <v>36600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9533.3333333333339</v>
      </c>
      <c r="C25" s="122">
        <v>28600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4000</v>
      </c>
      <c r="C26" s="122">
        <v>8000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-9733.3333333333339</v>
      </c>
      <c r="C27" s="122">
        <v>-29200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13</v>
      </c>
      <c r="C29" s="120">
        <v>13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3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41700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0.4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7BBF9-3E5F-4BE4-AFAA-23ABAD1DD550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173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5</v>
      </c>
      <c r="C2" s="153"/>
      <c r="E2" s="54" t="s">
        <v>56</v>
      </c>
      <c r="F2" s="51" t="s">
        <v>159</v>
      </c>
      <c r="G2" s="39">
        <v>5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4200</v>
      </c>
      <c r="P2" s="103">
        <v>5</v>
      </c>
      <c r="Q2" s="87">
        <v>21000</v>
      </c>
    </row>
    <row r="3" spans="1:17">
      <c r="A3" s="47" t="s">
        <v>8</v>
      </c>
      <c r="B3" s="154">
        <v>43</v>
      </c>
      <c r="C3" s="155"/>
      <c r="E3" s="55" t="s">
        <v>186</v>
      </c>
      <c r="F3" s="52" t="s">
        <v>160</v>
      </c>
      <c r="G3" s="40">
        <v>4</v>
      </c>
      <c r="H3" s="118">
        <f>IF(B$17=0,0,G3/B$17)</f>
        <v>0.8</v>
      </c>
      <c r="I3" s="80">
        <v>2</v>
      </c>
      <c r="K3" s="32">
        <v>1</v>
      </c>
      <c r="L3" s="85">
        <v>-14.2</v>
      </c>
      <c r="N3" s="100" t="s">
        <v>108</v>
      </c>
      <c r="O3" s="107">
        <f t="shared" si="0"/>
        <v>-260</v>
      </c>
      <c r="P3" s="104">
        <v>5</v>
      </c>
      <c r="Q3" s="88">
        <v>-1300</v>
      </c>
    </row>
    <row r="4" spans="1:17">
      <c r="A4" s="47" t="s">
        <v>6</v>
      </c>
      <c r="B4" s="156">
        <v>-17.999999999999996</v>
      </c>
      <c r="C4" s="157"/>
      <c r="E4" s="55" t="s">
        <v>189</v>
      </c>
      <c r="F4" s="52" t="s">
        <v>195</v>
      </c>
      <c r="G4" s="40">
        <v>4</v>
      </c>
      <c r="H4" s="118">
        <f>IF(B$17=0,0,G4/B$17)</f>
        <v>0.8</v>
      </c>
      <c r="I4" s="80">
        <v>3</v>
      </c>
      <c r="K4" s="32">
        <v>2</v>
      </c>
      <c r="L4" s="85">
        <v>0.60000000000000142</v>
      </c>
      <c r="N4" s="100" t="s">
        <v>109</v>
      </c>
      <c r="O4" s="107">
        <f t="shared" si="0"/>
        <v>-1860</v>
      </c>
      <c r="P4" s="104">
        <v>5</v>
      </c>
      <c r="Q4" s="88">
        <v>-9300</v>
      </c>
    </row>
    <row r="5" spans="1:17">
      <c r="A5" s="47" t="s">
        <v>7</v>
      </c>
      <c r="B5" s="158">
        <f>IF(B$2=0,0,B$4/B$2)</f>
        <v>-3.5999999999999992</v>
      </c>
      <c r="C5" s="159"/>
      <c r="E5" s="55" t="s">
        <v>55</v>
      </c>
      <c r="F5" s="52" t="s">
        <v>20</v>
      </c>
      <c r="G5" s="40">
        <v>3</v>
      </c>
      <c r="H5" s="118">
        <f>IF(B$17=0,0,G5/B$17)</f>
        <v>0.6</v>
      </c>
      <c r="I5" s="80">
        <v>7</v>
      </c>
      <c r="K5" s="32">
        <v>3</v>
      </c>
      <c r="L5" s="85">
        <v>-32.299999999999997</v>
      </c>
      <c r="N5" s="100" t="s">
        <v>161</v>
      </c>
      <c r="O5" s="107">
        <f>IF(P5=0,0,Q5/P5)</f>
        <v>-2280</v>
      </c>
      <c r="P5" s="104">
        <v>5</v>
      </c>
      <c r="Q5" s="88">
        <v>-11400</v>
      </c>
    </row>
    <row r="6" spans="1:17">
      <c r="A6" s="47" t="s">
        <v>1</v>
      </c>
      <c r="B6" s="160">
        <f>IF(B$2=0,0,(B$7*1+B$8*2+B$9*3+B$10*4)/B$2)</f>
        <v>2.4</v>
      </c>
      <c r="C6" s="161"/>
      <c r="E6" s="55" t="s">
        <v>58</v>
      </c>
      <c r="F6" s="52" t="s">
        <v>21</v>
      </c>
      <c r="G6" s="40">
        <v>2</v>
      </c>
      <c r="H6" s="118">
        <f>IF(B$17=0,0,G6/B$17)</f>
        <v>0.4</v>
      </c>
      <c r="I6" s="80">
        <v>2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-2250</v>
      </c>
      <c r="P6" s="104">
        <v>4</v>
      </c>
      <c r="Q6" s="88">
        <v>-9000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187</v>
      </c>
      <c r="F7" s="52" t="s">
        <v>19</v>
      </c>
      <c r="G7" s="40">
        <v>1</v>
      </c>
      <c r="H7" s="118">
        <f>IF(B$17=0,0,G7/B$17)</f>
        <v>0.2</v>
      </c>
      <c r="I7" s="80">
        <v>3</v>
      </c>
      <c r="K7" s="32">
        <v>5</v>
      </c>
      <c r="L7" s="85">
        <v>-17.999999999999996</v>
      </c>
      <c r="N7" s="100" t="s">
        <v>111</v>
      </c>
      <c r="O7" s="107">
        <f t="shared" si="0"/>
        <v>2825</v>
      </c>
      <c r="P7" s="104">
        <v>4</v>
      </c>
      <c r="Q7" s="88">
        <v>11300</v>
      </c>
    </row>
    <row r="8" spans="1:17">
      <c r="A8" s="47" t="s">
        <v>3</v>
      </c>
      <c r="B8" s="40">
        <v>3</v>
      </c>
      <c r="C8" s="33">
        <f>IF(B$2=0,0,B8/B$2)</f>
        <v>0.6</v>
      </c>
      <c r="E8" s="55" t="s">
        <v>57</v>
      </c>
      <c r="F8" s="52" t="s">
        <v>190</v>
      </c>
      <c r="G8" s="40">
        <v>1</v>
      </c>
      <c r="H8" s="118">
        <f>IF(B$17=0,0,G8/B$17)</f>
        <v>0.2</v>
      </c>
      <c r="I8" s="80">
        <v>9</v>
      </c>
      <c r="N8" s="100" t="s">
        <v>112</v>
      </c>
      <c r="O8" s="107">
        <f t="shared" si="0"/>
        <v>50</v>
      </c>
      <c r="P8" s="104">
        <v>4</v>
      </c>
      <c r="Q8" s="88">
        <v>200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59</v>
      </c>
      <c r="F9" s="52" t="s">
        <v>22</v>
      </c>
      <c r="G9" s="40">
        <v>1</v>
      </c>
      <c r="H9" s="118">
        <f>IF(B$17=0,0,G9/B$17)</f>
        <v>0.2</v>
      </c>
      <c r="I9" s="80">
        <v>1</v>
      </c>
      <c r="N9" s="101" t="s">
        <v>162</v>
      </c>
      <c r="O9" s="108">
        <f t="shared" si="0"/>
        <v>-2250</v>
      </c>
      <c r="P9" s="105">
        <v>2</v>
      </c>
      <c r="Q9" s="89">
        <v>-4500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1</v>
      </c>
      <c r="H10" s="118">
        <f>IF(B$17=0,0,G10/B$17)</f>
        <v>0.2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0.6</v>
      </c>
      <c r="E11" s="55" t="s">
        <v>61</v>
      </c>
      <c r="F11" s="52" t="s">
        <v>24</v>
      </c>
      <c r="G11" s="40">
        <v>1</v>
      </c>
      <c r="H11" s="118">
        <f>IF(B$17=0,0,G11/B$17)</f>
        <v>0.2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8</v>
      </c>
      <c r="C13" s="38">
        <f>IF(B$3=0,0,B13/B$3)</f>
        <v>0.18604651162790697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5</v>
      </c>
      <c r="C14" s="33">
        <f>IF(B$3=0,0,B14/B$3)</f>
        <v>0.11627906976744186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6</v>
      </c>
      <c r="P14" s="104">
        <v>1</v>
      </c>
      <c r="Q14" s="92">
        <v>6</v>
      </c>
    </row>
    <row r="15" spans="1:17">
      <c r="A15" s="46" t="s">
        <v>103</v>
      </c>
      <c r="B15" s="39">
        <f>B21</f>
        <v>4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8.3000000000000007</v>
      </c>
      <c r="P15" s="105">
        <v>1</v>
      </c>
      <c r="Q15" s="93">
        <v>8.3000000000000007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0.11627906976744186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0.11627906976744186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49.75</v>
      </c>
      <c r="P18" s="103">
        <v>2</v>
      </c>
      <c r="Q18" s="91">
        <v>99.5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170</v>
      </c>
      <c r="O19" s="110">
        <f>IF(P19=0,0,Q19/P19)</f>
        <v>5.0500000000000025</v>
      </c>
      <c r="P19" s="104">
        <v>2</v>
      </c>
      <c r="Q19" s="92">
        <v>10.100000000000005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167</v>
      </c>
      <c r="O20" s="110">
        <f>IF(P20=0,0,Q20/P20)</f>
        <v>1.6000000000000014</v>
      </c>
      <c r="P20" s="104">
        <v>2</v>
      </c>
      <c r="Q20" s="92">
        <v>3.2000000000000028</v>
      </c>
    </row>
    <row r="21" spans="1:17">
      <c r="A21" s="47" t="s">
        <v>155</v>
      </c>
      <c r="B21" s="40">
        <v>4</v>
      </c>
      <c r="C21" s="33">
        <f>IF(B$17=0,0,B21/B$17)</f>
        <v>0.8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</v>
      </c>
      <c r="P21" s="104">
        <v>2</v>
      </c>
      <c r="Q21" s="92">
        <v>-6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182</v>
      </c>
      <c r="O22" s="110">
        <f>IF(P22=0,0,Q22/P22)</f>
        <v>-10.999999999999996</v>
      </c>
      <c r="P22" s="104">
        <v>2</v>
      </c>
      <c r="Q22" s="92">
        <v>-21.999999999999993</v>
      </c>
    </row>
    <row r="23" spans="1:17">
      <c r="A23" s="47" t="s">
        <v>154</v>
      </c>
      <c r="B23" s="40">
        <v>1</v>
      </c>
      <c r="C23" s="33">
        <f>IF(B$17=0,0,B23/B$17)</f>
        <v>0.2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168</v>
      </c>
      <c r="O23" s="110">
        <f>IF(P23=0,0,Q23/P23)</f>
        <v>-11.099999999999998</v>
      </c>
      <c r="P23" s="104">
        <v>2</v>
      </c>
      <c r="Q23" s="92">
        <v>-22.199999999999996</v>
      </c>
    </row>
    <row r="24" spans="1:17">
      <c r="A24" s="47" t="s">
        <v>5</v>
      </c>
      <c r="B24" s="44">
        <f>IF(B$17=0,0,C24/B$17)</f>
        <v>9680</v>
      </c>
      <c r="C24" s="35">
        <v>48400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171</v>
      </c>
      <c r="O24" s="110">
        <f>IF(P24=0,0,Q24/P24)</f>
        <v>-28.2</v>
      </c>
      <c r="P24" s="104">
        <v>1</v>
      </c>
      <c r="Q24" s="92">
        <v>-28.2</v>
      </c>
    </row>
    <row r="25" spans="1:17">
      <c r="A25" s="48" t="s">
        <v>137</v>
      </c>
      <c r="B25" s="121">
        <f>IF($B$17-B$16=0,0,C25/($B$17-B$16))</f>
        <v>9680</v>
      </c>
      <c r="C25" s="122">
        <v>48400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166</v>
      </c>
      <c r="O25" s="110">
        <f>IF(P25=0,0,Q25/P25)</f>
        <v>-48.199999999999996</v>
      </c>
      <c r="P25" s="104">
        <v>2</v>
      </c>
      <c r="Q25" s="92">
        <v>-96.399999999999991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-4800</v>
      </c>
      <c r="C27" s="122">
        <v>-24000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0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4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34800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0.4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0.4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47EFB-036A-4AA9-8AE5-AFAB9290F4AF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170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2</v>
      </c>
      <c r="C2" s="153"/>
      <c r="E2" s="54" t="s">
        <v>61</v>
      </c>
      <c r="F2" s="51" t="s">
        <v>24</v>
      </c>
      <c r="G2" s="39">
        <v>2</v>
      </c>
      <c r="H2" s="117">
        <f>IF(B$17=0,0,G2/B$17)</f>
        <v>0.66666666666666663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-11300</v>
      </c>
      <c r="P2" s="103">
        <v>2</v>
      </c>
      <c r="Q2" s="87">
        <v>-22600</v>
      </c>
    </row>
    <row r="3" spans="1:17">
      <c r="A3" s="47" t="s">
        <v>8</v>
      </c>
      <c r="B3" s="154">
        <v>17</v>
      </c>
      <c r="C3" s="155"/>
      <c r="E3" s="55" t="s">
        <v>186</v>
      </c>
      <c r="F3" s="52" t="s">
        <v>160</v>
      </c>
      <c r="G3" s="40">
        <v>1</v>
      </c>
      <c r="H3" s="118">
        <f>IF(B$17=0,0,G3/B$17)</f>
        <v>0.33333333333333331</v>
      </c>
      <c r="I3" s="80">
        <v>11</v>
      </c>
      <c r="K3" s="32">
        <v>1</v>
      </c>
      <c r="L3" s="85">
        <v>-60.9</v>
      </c>
      <c r="N3" s="100" t="s">
        <v>108</v>
      </c>
      <c r="O3" s="107">
        <f t="shared" si="0"/>
        <v>-1000</v>
      </c>
      <c r="P3" s="104">
        <v>2</v>
      </c>
      <c r="Q3" s="88">
        <v>-2000</v>
      </c>
    </row>
    <row r="4" spans="1:17">
      <c r="A4" s="47" t="s">
        <v>6</v>
      </c>
      <c r="B4" s="156">
        <v>-57.199999999999996</v>
      </c>
      <c r="C4" s="157"/>
      <c r="E4" s="55" t="s">
        <v>55</v>
      </c>
      <c r="F4" s="52" t="s">
        <v>20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-57.199999999999996</v>
      </c>
      <c r="N4" s="100" t="s">
        <v>109</v>
      </c>
      <c r="O4" s="107">
        <f t="shared" si="0"/>
        <v>-1850</v>
      </c>
      <c r="P4" s="104">
        <v>2</v>
      </c>
      <c r="Q4" s="88">
        <v>-3700</v>
      </c>
    </row>
    <row r="5" spans="1:17">
      <c r="A5" s="47" t="s">
        <v>7</v>
      </c>
      <c r="B5" s="158">
        <f>IF(B$2=0,0,B$4/B$2)</f>
        <v>-28.599999999999998</v>
      </c>
      <c r="C5" s="159"/>
      <c r="E5" s="55" t="s">
        <v>57</v>
      </c>
      <c r="F5" s="52" t="s">
        <v>190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-700</v>
      </c>
      <c r="P5" s="104">
        <v>2</v>
      </c>
      <c r="Q5" s="88">
        <v>-1400</v>
      </c>
    </row>
    <row r="6" spans="1:17">
      <c r="A6" s="47" t="s">
        <v>1</v>
      </c>
      <c r="B6" s="160">
        <f>IF(B$2=0,0,(B$7*1+B$8*2+B$9*3+B$10*4)/B$2)</f>
        <v>3</v>
      </c>
      <c r="C6" s="161"/>
      <c r="E6" s="55" t="s">
        <v>187</v>
      </c>
      <c r="F6" s="52" t="s">
        <v>19</v>
      </c>
      <c r="G6" s="40">
        <v>0</v>
      </c>
      <c r="H6" s="118">
        <f>IF(B$17=0,0,G6/B$17)</f>
        <v>0</v>
      </c>
      <c r="I6" s="80">
        <v>9</v>
      </c>
      <c r="N6" s="100" t="s">
        <v>110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159</v>
      </c>
      <c r="G7" s="40">
        <v>0</v>
      </c>
      <c r="H7" s="118">
        <f>IF(B$17=0,0,G7/B$17)</f>
        <v>0</v>
      </c>
      <c r="I7" s="80">
        <v>11</v>
      </c>
      <c r="N7" s="100" t="s">
        <v>111</v>
      </c>
      <c r="O7" s="107">
        <f t="shared" si="0"/>
        <v>-3000</v>
      </c>
      <c r="P7" s="104">
        <v>1</v>
      </c>
      <c r="Q7" s="88">
        <v>-3000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12</v>
      </c>
      <c r="N8" s="100" t="s">
        <v>112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0.11764705882352941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3</v>
      </c>
      <c r="C14" s="33">
        <f>IF(B$3=0,0,B14/B$3)</f>
        <v>0.17647058823529413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3.7</v>
      </c>
      <c r="P15" s="105">
        <v>1</v>
      </c>
      <c r="Q15" s="93">
        <v>3.7</v>
      </c>
    </row>
    <row r="16" spans="1:17">
      <c r="A16" s="46" t="s">
        <v>104</v>
      </c>
      <c r="B16" s="39">
        <f>B22</f>
        <v>2</v>
      </c>
      <c r="C16" s="31">
        <f>IF(B$14=0,0,B16/B$14)</f>
        <v>0.66666666666666663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0.17647058823529413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5.8823529411764705E-2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-5.0500000000000007</v>
      </c>
      <c r="P19" s="104">
        <v>2</v>
      </c>
      <c r="Q19" s="92">
        <v>-10.100000000000001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171</v>
      </c>
      <c r="O20" s="110">
        <f>IF(P20=0,0,Q20/P20)</f>
        <v>-74.900000000000006</v>
      </c>
      <c r="P20" s="104">
        <v>1</v>
      </c>
      <c r="Q20" s="92">
        <v>-74.900000000000006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-84.1</v>
      </c>
      <c r="P21" s="104">
        <v>1</v>
      </c>
      <c r="Q21" s="92">
        <v>-84.1</v>
      </c>
    </row>
    <row r="22" spans="1:17">
      <c r="A22" s="47" t="s">
        <v>153</v>
      </c>
      <c r="B22" s="40">
        <v>2</v>
      </c>
      <c r="C22" s="33">
        <f>IF(B$17=0,0,B22/B$17)</f>
        <v>0.66666666666666663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-122</v>
      </c>
      <c r="P22" s="104">
        <v>1</v>
      </c>
      <c r="Q22" s="92">
        <v>-122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2166.6666666666665</v>
      </c>
      <c r="C24" s="35">
        <v>6500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4000</v>
      </c>
      <c r="C25" s="122">
        <v>4000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1250</v>
      </c>
      <c r="C26" s="122">
        <v>2500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-18000</v>
      </c>
      <c r="C27" s="122">
        <v>-18000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2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16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1</v>
      </c>
      <c r="C30" s="147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23700</v>
      </c>
      <c r="C31" s="149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0.66666666666666663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A9A33-44E8-4752-8C0B-B6BB281B48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171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1</v>
      </c>
      <c r="C2" s="153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4">
        <v>7</v>
      </c>
      <c r="C3" s="155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6">
        <v>14</v>
      </c>
      <c r="C4" s="157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7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8">
        <f>IF(B$2=0,0,B$4/B$2)</f>
        <v>14</v>
      </c>
      <c r="C5" s="159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0">
        <f>IF(B$2=0,0,(B$7*1+B$8*2+B$9*3+B$10*4)/B$2)</f>
        <v>2</v>
      </c>
      <c r="C6" s="161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9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4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34000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6AE3-000E-4CAB-AAF1-55805AC435B3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172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5</v>
      </c>
      <c r="C2" s="153"/>
      <c r="E2" s="54" t="s">
        <v>55</v>
      </c>
      <c r="F2" s="51" t="s">
        <v>20</v>
      </c>
      <c r="G2" s="39">
        <v>7</v>
      </c>
      <c r="H2" s="117">
        <f>IF(B$17=0,0,G2/B$17)</f>
        <v>0.53846153846153844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2280</v>
      </c>
      <c r="P2" s="103">
        <v>5</v>
      </c>
      <c r="Q2" s="87">
        <v>11400</v>
      </c>
    </row>
    <row r="3" spans="1:17">
      <c r="A3" s="47" t="s">
        <v>8</v>
      </c>
      <c r="B3" s="154">
        <v>37</v>
      </c>
      <c r="C3" s="155"/>
      <c r="E3" s="55" t="s">
        <v>56</v>
      </c>
      <c r="F3" s="52" t="s">
        <v>159</v>
      </c>
      <c r="G3" s="40">
        <v>7</v>
      </c>
      <c r="H3" s="118">
        <f>IF(B$17=0,0,G3/B$17)</f>
        <v>0.53846153846153844</v>
      </c>
      <c r="I3" s="80">
        <v>3</v>
      </c>
      <c r="K3" s="32">
        <v>1</v>
      </c>
      <c r="L3" s="85">
        <v>61.1</v>
      </c>
      <c r="N3" s="100" t="s">
        <v>108</v>
      </c>
      <c r="O3" s="107">
        <f t="shared" si="0"/>
        <v>-2140</v>
      </c>
      <c r="P3" s="104">
        <v>5</v>
      </c>
      <c r="Q3" s="88">
        <v>-10700</v>
      </c>
    </row>
    <row r="4" spans="1:17">
      <c r="A4" s="47" t="s">
        <v>6</v>
      </c>
      <c r="B4" s="156">
        <v>128.9</v>
      </c>
      <c r="C4" s="157"/>
      <c r="E4" s="55" t="s">
        <v>186</v>
      </c>
      <c r="F4" s="52" t="s">
        <v>160</v>
      </c>
      <c r="G4" s="40">
        <v>6</v>
      </c>
      <c r="H4" s="118">
        <f>IF(B$17=0,0,G4/B$17)</f>
        <v>0.46153846153846156</v>
      </c>
      <c r="I4" s="80">
        <v>9</v>
      </c>
      <c r="K4" s="32">
        <v>2</v>
      </c>
      <c r="L4" s="85">
        <v>117.7</v>
      </c>
      <c r="N4" s="100" t="s">
        <v>109</v>
      </c>
      <c r="O4" s="107">
        <f t="shared" si="0"/>
        <v>1740</v>
      </c>
      <c r="P4" s="104">
        <v>5</v>
      </c>
      <c r="Q4" s="88">
        <v>8700</v>
      </c>
    </row>
    <row r="5" spans="1:17">
      <c r="A5" s="47" t="s">
        <v>7</v>
      </c>
      <c r="B5" s="158">
        <f>IF(B$2=0,0,B$4/B$2)</f>
        <v>25.78</v>
      </c>
      <c r="C5" s="159"/>
      <c r="E5" s="55" t="s">
        <v>57</v>
      </c>
      <c r="F5" s="52" t="s">
        <v>190</v>
      </c>
      <c r="G5" s="40">
        <v>5</v>
      </c>
      <c r="H5" s="118">
        <f>IF(B$17=0,0,G5/B$17)</f>
        <v>0.38461538461538464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3400</v>
      </c>
      <c r="P5" s="104">
        <v>5</v>
      </c>
      <c r="Q5" s="88">
        <v>17000</v>
      </c>
    </row>
    <row r="6" spans="1:17">
      <c r="A6" s="47" t="s">
        <v>1</v>
      </c>
      <c r="B6" s="160">
        <f>IF(B$2=0,0,(B$7*1+B$8*2+B$9*3+B$10*4)/B$2)</f>
        <v>1.8</v>
      </c>
      <c r="C6" s="161"/>
      <c r="E6" s="55" t="s">
        <v>189</v>
      </c>
      <c r="F6" s="52" t="s">
        <v>195</v>
      </c>
      <c r="G6" s="40">
        <v>5</v>
      </c>
      <c r="H6" s="118">
        <f>IF(B$17=0,0,G6/B$17)</f>
        <v>0.38461538461538464</v>
      </c>
      <c r="I6" s="80">
        <v>7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25</v>
      </c>
      <c r="P6" s="104">
        <v>4</v>
      </c>
      <c r="Q6" s="88">
        <v>100</v>
      </c>
    </row>
    <row r="7" spans="1:17">
      <c r="A7" s="47" t="s">
        <v>2</v>
      </c>
      <c r="B7" s="40">
        <v>3</v>
      </c>
      <c r="C7" s="33">
        <f t="shared" ref="C7:C12" si="2">IF(B$2=0,0,B7/B$2)</f>
        <v>0.6</v>
      </c>
      <c r="E7" s="55" t="s">
        <v>61</v>
      </c>
      <c r="F7" s="52" t="s">
        <v>24</v>
      </c>
      <c r="G7" s="40">
        <v>4</v>
      </c>
      <c r="H7" s="118">
        <f>IF(B$17=0,0,G7/B$17)</f>
        <v>0.30769230769230771</v>
      </c>
      <c r="I7" s="80">
        <v>9</v>
      </c>
      <c r="K7" s="32">
        <v>5</v>
      </c>
      <c r="L7" s="85">
        <v>128.9</v>
      </c>
      <c r="N7" s="100" t="s">
        <v>111</v>
      </c>
      <c r="O7" s="107">
        <f t="shared" si="0"/>
        <v>-2650</v>
      </c>
      <c r="P7" s="104">
        <v>4</v>
      </c>
      <c r="Q7" s="88">
        <v>-10600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58</v>
      </c>
      <c r="F8" s="52" t="s">
        <v>21</v>
      </c>
      <c r="G8" s="40">
        <v>3</v>
      </c>
      <c r="H8" s="118">
        <f>IF(B$17=0,0,G8/B$17)</f>
        <v>0.23076923076923078</v>
      </c>
      <c r="I8" s="80">
        <v>9</v>
      </c>
      <c r="N8" s="100" t="s">
        <v>112</v>
      </c>
      <c r="O8" s="107">
        <f t="shared" si="0"/>
        <v>-3000</v>
      </c>
      <c r="P8" s="104">
        <v>2</v>
      </c>
      <c r="Q8" s="88">
        <v>-6000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3</v>
      </c>
      <c r="H9" s="118">
        <f>IF(B$17=0,0,G9/B$17)</f>
        <v>0.23076923076923078</v>
      </c>
      <c r="I9" s="80">
        <v>3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187</v>
      </c>
      <c r="F10" s="52" t="s">
        <v>19</v>
      </c>
      <c r="G10" s="40">
        <v>2</v>
      </c>
      <c r="H10" s="118">
        <f>IF(B$17=0,0,G10/B$17)</f>
        <v>0.15384615384615385</v>
      </c>
      <c r="I10" s="80">
        <v>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0.8</v>
      </c>
      <c r="E11" s="55" t="s">
        <v>188</v>
      </c>
      <c r="F11" s="52" t="s">
        <v>191</v>
      </c>
      <c r="G11" s="40">
        <v>2</v>
      </c>
      <c r="H11" s="118">
        <f>IF(B$17=0,0,G11/B$17)</f>
        <v>0.15384615384615385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8</v>
      </c>
      <c r="C13" s="38">
        <f>IF(B$3=0,0,B13/B$3)</f>
        <v>0.21621621621621623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11</v>
      </c>
      <c r="C14" s="33">
        <f>IF(B$3=0,0,B14/B$3)</f>
        <v>0.29729729729729731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58.95</v>
      </c>
      <c r="P14" s="104">
        <v>2</v>
      </c>
      <c r="Q14" s="92">
        <v>117.9</v>
      </c>
    </row>
    <row r="15" spans="1:17">
      <c r="A15" s="46" t="s">
        <v>103</v>
      </c>
      <c r="B15" s="39">
        <f>B21</f>
        <v>6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3.6666666666666665</v>
      </c>
      <c r="P15" s="105">
        <v>3</v>
      </c>
      <c r="Q15" s="93">
        <v>11</v>
      </c>
    </row>
    <row r="16" spans="1:17">
      <c r="A16" s="46" t="s">
        <v>104</v>
      </c>
      <c r="B16" s="39">
        <f>B22</f>
        <v>5</v>
      </c>
      <c r="C16" s="31">
        <f>IF(B$14=0,0,B16/B$14)</f>
        <v>0.45454545454545453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0.35135135135135137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7</v>
      </c>
      <c r="C19" s="33">
        <f>IF(B$17=0,0,B19/B$17)</f>
        <v>0.53846153846153844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197</v>
      </c>
      <c r="O19" s="110">
        <f>IF(P19=0,0,Q19/P19)</f>
        <v>113.8</v>
      </c>
      <c r="P19" s="104">
        <v>1</v>
      </c>
      <c r="Q19" s="92">
        <v>113.8</v>
      </c>
    </row>
    <row r="20" spans="1:17">
      <c r="A20" s="47" t="s">
        <v>11</v>
      </c>
      <c r="B20" s="40">
        <v>6</v>
      </c>
      <c r="C20" s="33">
        <f>IF(B$17=0,0,B20/B$17)</f>
        <v>0.46153846153846156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108.7</v>
      </c>
      <c r="P20" s="104">
        <v>1</v>
      </c>
      <c r="Q20" s="92">
        <v>108.7</v>
      </c>
    </row>
    <row r="21" spans="1:17">
      <c r="A21" s="47" t="s">
        <v>155</v>
      </c>
      <c r="B21" s="40">
        <v>6</v>
      </c>
      <c r="C21" s="33">
        <f>IF(B$17=0,0,B21/B$17)</f>
        <v>0.46153846153846156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185</v>
      </c>
      <c r="O21" s="110">
        <f>IF(P21=0,0,Q21/P21)</f>
        <v>65.8</v>
      </c>
      <c r="P21" s="104">
        <v>1</v>
      </c>
      <c r="Q21" s="92">
        <v>65.8</v>
      </c>
    </row>
    <row r="22" spans="1:17">
      <c r="A22" s="47" t="s">
        <v>153</v>
      </c>
      <c r="B22" s="40">
        <v>5</v>
      </c>
      <c r="C22" s="33">
        <f>IF(B$17=0,0,B22/B$17)</f>
        <v>0.38461538461538464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>IF(P22=0,0,Q22/P22)</f>
        <v>47.1</v>
      </c>
      <c r="P22" s="104">
        <v>1</v>
      </c>
      <c r="Q22" s="92">
        <v>47.1</v>
      </c>
    </row>
    <row r="23" spans="1:17">
      <c r="A23" s="47" t="s">
        <v>154</v>
      </c>
      <c r="B23" s="40">
        <v>2</v>
      </c>
      <c r="C23" s="33">
        <f>IF(B$17=0,0,B23/B$17)</f>
        <v>0.15384615384615385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165</v>
      </c>
      <c r="O23" s="110">
        <f>IF(P23=0,0,Q23/P23)</f>
        <v>38.233333333333327</v>
      </c>
      <c r="P23" s="104">
        <v>3</v>
      </c>
      <c r="Q23" s="92">
        <v>114.69999999999999</v>
      </c>
    </row>
    <row r="24" spans="1:17">
      <c r="A24" s="47" t="s">
        <v>5</v>
      </c>
      <c r="B24" s="44">
        <f>IF(B$17=0,0,C24/B$17)</f>
        <v>6492.3076923076924</v>
      </c>
      <c r="C24" s="35">
        <v>84400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>IF(P24=0,0,Q24/P24)</f>
        <v>36</v>
      </c>
      <c r="P24" s="104">
        <v>2</v>
      </c>
      <c r="Q24" s="92">
        <v>72</v>
      </c>
    </row>
    <row r="25" spans="1:17">
      <c r="A25" s="48" t="s">
        <v>137</v>
      </c>
      <c r="B25" s="121">
        <f>IF($B$17-B$16=0,0,C25/($B$17-B$16))</f>
        <v>8900</v>
      </c>
      <c r="C25" s="122">
        <v>71200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184</v>
      </c>
      <c r="O25" s="110">
        <f>IF(P25=0,0,Q25/P25)</f>
        <v>5.2499999999999982</v>
      </c>
      <c r="P25" s="104">
        <v>2</v>
      </c>
      <c r="Q25" s="92">
        <v>10.499999999999996</v>
      </c>
    </row>
    <row r="26" spans="1:17">
      <c r="A26" s="48" t="s">
        <v>138</v>
      </c>
      <c r="B26" s="121">
        <f>IF(B$16=0,0,C26/B$16)</f>
        <v>2640</v>
      </c>
      <c r="C26" s="122">
        <v>13200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173</v>
      </c>
      <c r="O26" s="110">
        <f>IF(P26=0,0,Q26/P26)</f>
        <v>3</v>
      </c>
      <c r="P26" s="104">
        <v>2</v>
      </c>
      <c r="Q26" s="92">
        <v>6</v>
      </c>
    </row>
    <row r="27" spans="1:17">
      <c r="A27" s="48" t="s">
        <v>136</v>
      </c>
      <c r="B27" s="121">
        <f>IF(B$18=0,0,C27/B$18)</f>
        <v>-7260</v>
      </c>
      <c r="C27" s="122">
        <v>-36300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N27" s="100" t="s">
        <v>167</v>
      </c>
      <c r="O27" s="110">
        <f>IF(P27=0,0,Q27/P27)</f>
        <v>-125</v>
      </c>
      <c r="P27" s="104">
        <v>1</v>
      </c>
      <c r="Q27" s="92">
        <v>-125</v>
      </c>
    </row>
    <row r="28" spans="1:17">
      <c r="A28" s="47" t="s">
        <v>134</v>
      </c>
      <c r="B28" s="40">
        <v>3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22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5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41300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2.7027027027027029E-2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3</v>
      </c>
      <c r="C35" s="126">
        <f t="shared" ref="C35:C47" si="3">IF(B$17=0,0,B35/B$17)</f>
        <v>0.23076923076923078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0.15384615384615385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7.6923076923076927E-2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0.23076923076923078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7.6923076923076927E-2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0.15384615384615385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7.6923076923076927E-2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C863F-C2A3-456E-A418-A7007E9254F1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180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2</v>
      </c>
      <c r="C2" s="153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4">
        <v>15</v>
      </c>
      <c r="C3" s="155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6">
        <v>-2.2000000000000011</v>
      </c>
      <c r="C4" s="157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8">
        <f>IF(B$2=0,0,B$4/B$2)</f>
        <v>-1.1000000000000005</v>
      </c>
      <c r="C5" s="159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6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0">
        <f>IF(B$2=0,0,(B$7*1+B$8*2+B$9*3+B$10*4)/B$2)</f>
        <v>2.5</v>
      </c>
      <c r="C6" s="161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4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8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8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3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33600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7DACC-500E-4F26-BF54-D98A3EE02B55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182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2</v>
      </c>
      <c r="C2" s="153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4">
        <v>19</v>
      </c>
      <c r="C3" s="155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12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6">
        <v>3.8999999999999986</v>
      </c>
      <c r="C4" s="157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8">
        <f>IF(B$2=0,0,B$4/B$2)</f>
        <v>1.9499999999999993</v>
      </c>
      <c r="C5" s="159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8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0">
        <f>IF(B$2=0,0,(B$7*1+B$8*2+B$9*3+B$10*4)/B$2)</f>
        <v>2.5</v>
      </c>
      <c r="C6" s="161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7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1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10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9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2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42500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1F474-4CEB-40DB-8B48-B0FA5B659CA5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185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1</v>
      </c>
      <c r="C2" s="153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4">
        <v>7</v>
      </c>
      <c r="C3" s="155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6">
        <v>-52.6</v>
      </c>
      <c r="C4" s="157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13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8">
        <f>IF(B$2=0,0,B$4/B$2)</f>
        <v>-52.6</v>
      </c>
      <c r="C5" s="159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0">
        <f>IF(B$2=0,0,(B$7*1+B$8*2+B$9*3+B$10*4)/B$2)</f>
        <v>4</v>
      </c>
      <c r="C6" s="161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7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0</v>
      </c>
      <c r="C30" s="147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7400</v>
      </c>
      <c r="C31" s="149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220D-3748-4637-BB53-32107AABC81A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184</v>
      </c>
      <c r="C1" s="151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3</v>
      </c>
      <c r="C2" s="153"/>
      <c r="E2" s="54" t="s">
        <v>61</v>
      </c>
      <c r="F2" s="51" t="s">
        <v>24</v>
      </c>
      <c r="G2" s="39">
        <v>5</v>
      </c>
      <c r="H2" s="117">
        <f>IF(B$17=0,0,G2/B$17)</f>
        <v>0.7142857142857143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1666.6666666666667</v>
      </c>
      <c r="P2" s="103">
        <v>3</v>
      </c>
      <c r="Q2" s="87">
        <v>5000</v>
      </c>
    </row>
    <row r="3" spans="1:17">
      <c r="A3" s="47" t="s">
        <v>8</v>
      </c>
      <c r="B3" s="154">
        <v>22</v>
      </c>
      <c r="C3" s="155"/>
      <c r="E3" s="55" t="s">
        <v>189</v>
      </c>
      <c r="F3" s="52" t="s">
        <v>195</v>
      </c>
      <c r="G3" s="40">
        <v>5</v>
      </c>
      <c r="H3" s="118">
        <f>IF(B$17=0,0,G3/B$17)</f>
        <v>0.7142857142857143</v>
      </c>
      <c r="I3" s="80">
        <v>4</v>
      </c>
      <c r="K3" s="32">
        <v>1</v>
      </c>
      <c r="L3" s="85">
        <v>55.2</v>
      </c>
      <c r="N3" s="100" t="s">
        <v>108</v>
      </c>
      <c r="O3" s="107">
        <f t="shared" si="0"/>
        <v>5700</v>
      </c>
      <c r="P3" s="104">
        <v>3</v>
      </c>
      <c r="Q3" s="88">
        <v>17100</v>
      </c>
    </row>
    <row r="4" spans="1:17">
      <c r="A4" s="47" t="s">
        <v>6</v>
      </c>
      <c r="B4" s="156">
        <v>42.5</v>
      </c>
      <c r="C4" s="157"/>
      <c r="E4" s="55" t="s">
        <v>55</v>
      </c>
      <c r="F4" s="52" t="s">
        <v>20</v>
      </c>
      <c r="G4" s="40">
        <v>4</v>
      </c>
      <c r="H4" s="118">
        <f>IF(B$17=0,0,G4/B$17)</f>
        <v>0.5714285714285714</v>
      </c>
      <c r="I4" s="80">
        <v>8</v>
      </c>
      <c r="K4" s="32">
        <v>2</v>
      </c>
      <c r="L4" s="85">
        <v>33.700000000000003</v>
      </c>
      <c r="N4" s="100" t="s">
        <v>109</v>
      </c>
      <c r="O4" s="107">
        <f t="shared" si="0"/>
        <v>-4133.333333333333</v>
      </c>
      <c r="P4" s="104">
        <v>3</v>
      </c>
      <c r="Q4" s="88">
        <v>-12400</v>
      </c>
    </row>
    <row r="5" spans="1:17">
      <c r="A5" s="47" t="s">
        <v>7</v>
      </c>
      <c r="B5" s="158">
        <f>IF(B$2=0,0,B$4/B$2)</f>
        <v>14.166666666666666</v>
      </c>
      <c r="C5" s="159"/>
      <c r="E5" s="55" t="s">
        <v>186</v>
      </c>
      <c r="F5" s="52" t="s">
        <v>160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42.5</v>
      </c>
      <c r="N5" s="100" t="s">
        <v>161</v>
      </c>
      <c r="O5" s="107">
        <f>IF(P5=0,0,Q5/P5)</f>
        <v>-766.66666666666663</v>
      </c>
      <c r="P5" s="104">
        <v>3</v>
      </c>
      <c r="Q5" s="88">
        <v>-2300</v>
      </c>
    </row>
    <row r="6" spans="1:17">
      <c r="A6" s="47" t="s">
        <v>1</v>
      </c>
      <c r="B6" s="160">
        <f>IF(B$2=0,0,(B$7*1+B$8*2+B$9*3+B$10*4)/B$2)</f>
        <v>2</v>
      </c>
      <c r="C6" s="161"/>
      <c r="E6" s="55" t="s">
        <v>56</v>
      </c>
      <c r="F6" s="52" t="s">
        <v>159</v>
      </c>
      <c r="G6" s="40">
        <v>2</v>
      </c>
      <c r="H6" s="118">
        <f>IF(B$17=0,0,G6/B$17)</f>
        <v>0.2857142857142857</v>
      </c>
      <c r="I6" s="80">
        <v>7</v>
      </c>
      <c r="N6" s="100" t="s">
        <v>110</v>
      </c>
      <c r="O6" s="107">
        <f t="shared" ref="O6" si="1">IF(P6=0,0,Q6/P6)</f>
        <v>966.66666666666663</v>
      </c>
      <c r="P6" s="104">
        <v>3</v>
      </c>
      <c r="Q6" s="88">
        <v>2900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2</v>
      </c>
      <c r="H7" s="118">
        <f>IF(B$17=0,0,G7/B$17)</f>
        <v>0.2857142857142857</v>
      </c>
      <c r="I7" s="80">
        <v>7</v>
      </c>
      <c r="N7" s="100" t="s">
        <v>111</v>
      </c>
      <c r="O7" s="107">
        <f t="shared" si="0"/>
        <v>-1400</v>
      </c>
      <c r="P7" s="104">
        <v>2</v>
      </c>
      <c r="Q7" s="88">
        <v>-2800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187</v>
      </c>
      <c r="F8" s="52" t="s">
        <v>19</v>
      </c>
      <c r="G8" s="40">
        <v>1</v>
      </c>
      <c r="H8" s="118">
        <f>IF(B$17=0,0,G8/B$17)</f>
        <v>0.14285714285714285</v>
      </c>
      <c r="I8" s="80">
        <v>7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58</v>
      </c>
      <c r="F9" s="52" t="s">
        <v>21</v>
      </c>
      <c r="G9" s="40">
        <v>1</v>
      </c>
      <c r="H9" s="118">
        <f>IF(B$17=0,0,G9/B$17)</f>
        <v>0.14285714285714285</v>
      </c>
      <c r="I9" s="80">
        <v>11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0.66666666666666663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0.13636363636363635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8.8000000000000007</v>
      </c>
      <c r="P13" s="104">
        <v>1</v>
      </c>
      <c r="Q13" s="92">
        <v>8.8000000000000007</v>
      </c>
    </row>
    <row r="14" spans="1:17">
      <c r="A14" s="47" t="s">
        <v>98</v>
      </c>
      <c r="B14" s="40">
        <v>7</v>
      </c>
      <c r="C14" s="33">
        <f>IF(B$3=0,0,B14/B$3)</f>
        <v>0.31818181818181818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55.2</v>
      </c>
      <c r="P14" s="104">
        <v>1</v>
      </c>
      <c r="Q14" s="92">
        <v>55.2</v>
      </c>
    </row>
    <row r="15" spans="1:17">
      <c r="A15" s="46" t="s">
        <v>103</v>
      </c>
      <c r="B15" s="39">
        <f>B21</f>
        <v>2</v>
      </c>
      <c r="C15" s="31">
        <f>IF(B$13=0,0,B15/B$13)</f>
        <v>0.66666666666666663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3</v>
      </c>
      <c r="C16" s="31">
        <f>IF(B$14=0,0,B16/B$14)</f>
        <v>0.42857142857142855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0.31818181818181818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0.18181818181818182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185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197</v>
      </c>
      <c r="O20" s="110">
        <f>IF(P20=0,0,Q20/P20)</f>
        <v>42.85</v>
      </c>
      <c r="P20" s="104">
        <v>2</v>
      </c>
      <c r="Q20" s="92">
        <v>85.7</v>
      </c>
    </row>
    <row r="21" spans="1:17">
      <c r="A21" s="47" t="s">
        <v>155</v>
      </c>
      <c r="B21" s="40">
        <v>2</v>
      </c>
      <c r="C21" s="33">
        <f>IF(B$17=0,0,B21/B$17)</f>
        <v>0.2857142857142857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165</v>
      </c>
      <c r="O21" s="110">
        <f>IF(P21=0,0,Q21/P21)</f>
        <v>36.400000000000006</v>
      </c>
      <c r="P21" s="104">
        <v>1</v>
      </c>
      <c r="Q21" s="92">
        <v>36.400000000000006</v>
      </c>
    </row>
    <row r="22" spans="1:17">
      <c r="A22" s="47" t="s">
        <v>153</v>
      </c>
      <c r="B22" s="40">
        <v>3</v>
      </c>
      <c r="C22" s="33">
        <f>IF(B$17=0,0,B22/B$17)</f>
        <v>0.42857142857142855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172</v>
      </c>
      <c r="O22" s="110">
        <f>IF(P22=0,0,Q22/P22)</f>
        <v>-5.25</v>
      </c>
      <c r="P22" s="104">
        <v>2</v>
      </c>
      <c r="Q22" s="92">
        <v>-10.5</v>
      </c>
    </row>
    <row r="23" spans="1:17">
      <c r="A23" s="47" t="s">
        <v>154</v>
      </c>
      <c r="B23" s="40">
        <v>2</v>
      </c>
      <c r="C23" s="33">
        <f>IF(B$17=0,0,B23/B$17)</f>
        <v>0.2857142857142857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168</v>
      </c>
      <c r="O23" s="110">
        <f>IF(P23=0,0,Q23/P23)</f>
        <v>-33.5</v>
      </c>
      <c r="P23" s="104">
        <v>1</v>
      </c>
      <c r="Q23" s="92">
        <v>-33.5</v>
      </c>
    </row>
    <row r="24" spans="1:17">
      <c r="A24" s="47" t="s">
        <v>5</v>
      </c>
      <c r="B24" s="44">
        <f>IF(B$17=0,0,C24/B$17)</f>
        <v>4428.5714285714284</v>
      </c>
      <c r="C24" s="35">
        <v>31000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166</v>
      </c>
      <c r="O24" s="110">
        <f>IF(P24=0,0,Q24/P24)</f>
        <v>-76.900000000000006</v>
      </c>
      <c r="P24" s="104">
        <v>1</v>
      </c>
      <c r="Q24" s="92">
        <v>-76.900000000000006</v>
      </c>
    </row>
    <row r="25" spans="1:17">
      <c r="A25" s="48" t="s">
        <v>137</v>
      </c>
      <c r="B25" s="121">
        <f>IF($B$17-B$16=0,0,C25/($B$17-B$16))</f>
        <v>5275</v>
      </c>
      <c r="C25" s="122">
        <v>21100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3300</v>
      </c>
      <c r="C26" s="122">
        <v>9900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-6475</v>
      </c>
      <c r="C27" s="122">
        <v>-25900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6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2</v>
      </c>
      <c r="C30" s="147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35200</v>
      </c>
      <c r="C31" s="149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0.14285714285714285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0.42857142857142855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0.2857142857142857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2292-691B-45C0-8084-CB325BD13903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0" t="s">
        <v>197</v>
      </c>
      <c r="C1" s="151"/>
      <c r="E1" s="114" t="s">
        <v>133</v>
      </c>
      <c r="F1" s="137" t="s">
        <v>95</v>
      </c>
      <c r="G1" s="136" t="s">
        <v>96</v>
      </c>
      <c r="H1" s="115" t="s">
        <v>97</v>
      </c>
      <c r="I1" s="137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2">
        <v>2</v>
      </c>
      <c r="C2" s="153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4">
        <v>15</v>
      </c>
      <c r="C3" s="155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6">
        <v>-98.4</v>
      </c>
      <c r="C4" s="157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13</v>
      </c>
      <c r="K4" s="32">
        <v>2</v>
      </c>
      <c r="L4" s="85">
        <v>-98.4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8">
        <f>IF(B$2=0,0,B$4/B$2)</f>
        <v>-49.2</v>
      </c>
      <c r="C5" s="159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0">
        <f>IF(B$2=0,0,(B$7*1+B$8*2+B$9*3+B$10*4)/B$2)</f>
        <v>4</v>
      </c>
      <c r="C6" s="161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7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-49.2</v>
      </c>
      <c r="P12" s="103">
        <v>2</v>
      </c>
      <c r="Q12" s="91">
        <v>-98.4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-24.9</v>
      </c>
      <c r="P18" s="103">
        <v>1</v>
      </c>
      <c r="Q18" s="91">
        <v>-24.9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184</v>
      </c>
      <c r="O19" s="110">
        <f>IF(P19=0,0,Q19/P19)</f>
        <v>-42.85</v>
      </c>
      <c r="P19" s="104">
        <v>2</v>
      </c>
      <c r="Q19" s="92">
        <v>-85.7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-113.8</v>
      </c>
      <c r="P22" s="104">
        <v>1</v>
      </c>
      <c r="Q22" s="92">
        <v>-113.8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6">
        <v>0</v>
      </c>
      <c r="C30" s="147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8">
        <v>14100</v>
      </c>
      <c r="C31" s="149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8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9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9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9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9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9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9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9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9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9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9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50"/>
      <c r="C1" s="151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52">
        <v>0</v>
      </c>
      <c r="C2" s="153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4">
        <v>0</v>
      </c>
      <c r="C3" s="155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6">
        <v>0</v>
      </c>
      <c r="C4" s="157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8">
        <f>IF(B$2=0,0,B$4/B$2)</f>
        <v>0</v>
      </c>
      <c r="C5" s="159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0">
        <f>IF(B$2=0,0,(B$7*1+B$8*2+B$9*3+B$10*4)/B$2)</f>
        <v>0</v>
      </c>
      <c r="C6" s="161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6">
        <v>0</v>
      </c>
      <c r="C30" s="147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8">
        <v>-1000000</v>
      </c>
      <c r="C31" s="149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855</vt:i4>
      </vt:variant>
    </vt:vector>
  </HeadingPairs>
  <TitlesOfParts>
    <vt:vector size="87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Template</vt:lpstr>
      <vt:lpstr>依田幸憲!アガリ数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髙橋桜!アガリ数</vt:lpstr>
      <vt:lpstr>アガリ数</vt:lpstr>
      <vt:lpstr>依田幸憲!アガリ率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髙橋桜!アガリ率</vt:lpstr>
      <vt:lpstr>アガリ率</vt:lpstr>
      <vt:lpstr>依田幸憲!ダマアガリ数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髙橋桜!ダマアガリ数</vt:lpstr>
      <vt:lpstr>ダマアガリ数</vt:lpstr>
      <vt:lpstr>依田幸憲!ダマアガリ率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髙橋桜!ダマアガリ率</vt:lpstr>
      <vt:lpstr>ダマアガリ率</vt:lpstr>
      <vt:lpstr>依田幸憲!チョンボ数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髙橋桜!チョンボ数</vt:lpstr>
      <vt:lpstr>チョンボ数</vt:lpstr>
      <vt:lpstr>依田幸憲!チョンボ率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髙橋桜!チョンボ率</vt:lpstr>
      <vt:lpstr>チョンボ率</vt:lpstr>
      <vt:lpstr>依田幸憲!ツモ数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髙橋桜!ツモ数</vt:lpstr>
      <vt:lpstr>ツモ数</vt:lpstr>
      <vt:lpstr>依田幸憲!ツモ率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髙橋桜!ツモ率</vt:lpstr>
      <vt:lpstr>ツモ率</vt:lpstr>
      <vt:lpstr>依田幸憲!トップ数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髙橋桜!トップ数</vt:lpstr>
      <vt:lpstr>トップ数</vt:lpstr>
      <vt:lpstr>依田幸憲!トップ率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髙橋桜!トップ率</vt:lpstr>
      <vt:lpstr>トップ率</vt:lpstr>
      <vt:lpstr>依田幸憲!ふっとび数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髙橋桜!ふっとび数</vt:lpstr>
      <vt:lpstr>ふっとび数</vt:lpstr>
      <vt:lpstr>依田幸憲!ふっとび率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髙橋桜!ふっとび率</vt:lpstr>
      <vt:lpstr>ふっとび率</vt:lpstr>
      <vt:lpstr>依田幸憲!ラス数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髙橋桜!ラス数</vt:lpstr>
      <vt:lpstr>ラス数</vt:lpstr>
      <vt:lpstr>依田幸憲!ラス率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髙橋桜!ラス率</vt:lpstr>
      <vt:lpstr>ラス率</vt:lpstr>
      <vt:lpstr>依田幸憲!リーチアガリ数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髙橋桜!リーチアガリ数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髙橋桜!リーチアガリ率</vt:lpstr>
      <vt:lpstr>リーチアガリ率</vt:lpstr>
      <vt:lpstr>依田幸憲!リーチ数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髙橋桜!リーチ数</vt:lpstr>
      <vt:lpstr>リーチ数</vt:lpstr>
      <vt:lpstr>依田幸憲!リーチ成功数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髙橋桜!リーチ成功数</vt:lpstr>
      <vt:lpstr>リーチ成功数</vt:lpstr>
      <vt:lpstr>依田幸憲!リーチ成功率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髙橋桜!リーチ成功率</vt:lpstr>
      <vt:lpstr>リーチ成功率</vt:lpstr>
      <vt:lpstr>依田幸憲!リーチ率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髙橋桜!リーチ率</vt:lpstr>
      <vt:lpstr>リーチ率</vt:lpstr>
      <vt:lpstr>依田幸憲!ロン数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髙橋桜!ロン数</vt:lpstr>
      <vt:lpstr>ロン数</vt:lpstr>
      <vt:lpstr>依田幸憲!ロン率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髙橋桜!ロン率</vt:lpstr>
      <vt:lpstr>ロン率</vt:lpstr>
      <vt:lpstr>依田幸憲!現行連続アガリ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髙橋桜!現行連続アガリ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髙橋桜!現行連続無放銃</vt:lpstr>
      <vt:lpstr>現行連続無放銃</vt:lpstr>
      <vt:lpstr>依田幸憲!最高点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髙橋桜!最高点</vt:lpstr>
      <vt:lpstr>最高点</vt:lpstr>
      <vt:lpstr>依田幸憲!最大ドラ数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髙橋桜!最大ドラ数</vt:lpstr>
      <vt:lpstr>最大ドラ数</vt:lpstr>
      <vt:lpstr>依田幸憲!最大点数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髙橋桜!最大点数</vt:lpstr>
      <vt:lpstr>最大点数</vt:lpstr>
      <vt:lpstr>依田幸憲!三位数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髙橋桜!三位数</vt:lpstr>
      <vt:lpstr>三位数</vt:lpstr>
      <vt:lpstr>依田幸憲!三位率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髙橋桜!三位率</vt:lpstr>
      <vt:lpstr>三位率</vt:lpstr>
      <vt:lpstr>依田幸憲!総局数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髙橋桜!総局数</vt:lpstr>
      <vt:lpstr>総局数</vt:lpstr>
      <vt:lpstr>依田幸憲!対戦数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髙橋桜!対戦数</vt:lpstr>
      <vt:lpstr>対戦数</vt:lpstr>
      <vt:lpstr>依田幸憲!通算アガリ点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髙橋桜!通算アガリ点</vt:lpstr>
      <vt:lpstr>通算アガリ点</vt:lpstr>
      <vt:lpstr>依田幸憲!通算スコア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髙橋桜!通算スコア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髙橋桜!通算副露アガリ点</vt:lpstr>
      <vt:lpstr>通算副露アガリ点</vt:lpstr>
      <vt:lpstr>依田幸憲!通算放銃点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髙橋桜!通算放銃点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髙橋桜!通算門前アガリ点</vt:lpstr>
      <vt:lpstr>通算門前アガリ点</vt:lpstr>
      <vt:lpstr>依田幸憲!二位数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髙橋桜!二位数</vt:lpstr>
      <vt:lpstr>二位数</vt:lpstr>
      <vt:lpstr>依田幸憲!二位率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髙橋桜!二位率</vt:lpstr>
      <vt:lpstr>二位率</vt:lpstr>
      <vt:lpstr>依田幸憲!副露アガリ数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髙橋桜!副露アガリ数</vt:lpstr>
      <vt:lpstr>副露アガリ数</vt:lpstr>
      <vt:lpstr>依田幸憲!副露アガリ点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髙橋桜!副露アガリ点</vt:lpstr>
      <vt:lpstr>副露アガリ点</vt:lpstr>
      <vt:lpstr>依田幸憲!副露アガリ率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髙橋桜!副露アガリ率</vt:lpstr>
      <vt:lpstr>副露アガリ率</vt:lpstr>
      <vt:lpstr>依田幸憲!副露数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髙橋桜!副露数</vt:lpstr>
      <vt:lpstr>副露数</vt:lpstr>
      <vt:lpstr>依田幸憲!副露成功数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髙橋桜!副露成功数</vt:lpstr>
      <vt:lpstr>副露成功数</vt:lpstr>
      <vt:lpstr>依田幸憲!副露成功率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髙橋桜!副露成功率</vt:lpstr>
      <vt:lpstr>副露成功率</vt:lpstr>
      <vt:lpstr>依田幸憲!副露率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髙橋桜!副露率</vt:lpstr>
      <vt:lpstr>副露率</vt:lpstr>
      <vt:lpstr>依田幸憲!平均アガリ点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髙橋桜!平均アガリ点</vt:lpstr>
      <vt:lpstr>平均アガリ点</vt:lpstr>
      <vt:lpstr>依田幸憲!平均スコア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髙橋桜!平均スコア</vt:lpstr>
      <vt:lpstr>平均スコア</vt:lpstr>
      <vt:lpstr>依田幸憲!平均順位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髙橋桜!平均順位</vt:lpstr>
      <vt:lpstr>平均順位</vt:lpstr>
      <vt:lpstr>依田幸憲!平均放銃点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髙橋桜!平均放銃点</vt:lpstr>
      <vt:lpstr>平均放銃点</vt:lpstr>
      <vt:lpstr>依田幸憲!放銃数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髙橋桜!放銃数</vt:lpstr>
      <vt:lpstr>放銃数</vt:lpstr>
      <vt:lpstr>依田幸憲!放銃率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髙橋桜!放銃率</vt:lpstr>
      <vt:lpstr>放銃率</vt:lpstr>
      <vt:lpstr>依田幸憲!名前</vt:lpstr>
      <vt:lpstr>高野源太!名前</vt:lpstr>
      <vt:lpstr>佐藤成浩!名前</vt:lpstr>
      <vt:lpstr>小林郁斗!名前</vt:lpstr>
      <vt:lpstr>松澤亮太!名前</vt:lpstr>
      <vt:lpstr>全体!名前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髙橋桜!名前</vt:lpstr>
      <vt:lpstr>名前</vt:lpstr>
      <vt:lpstr>依田幸憲!門前アガリ点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髙橋桜!門前アガリ点</vt:lpstr>
      <vt:lpstr>門前アガリ点</vt:lpstr>
      <vt:lpstr>依田幸憲!連続アガリ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髙橋桜!連続アガリ</vt:lpstr>
      <vt:lpstr>連続アガリ</vt:lpstr>
      <vt:lpstr>依田幸憲!連続無放銃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髙橋桜!連続無放銃</vt:lpstr>
      <vt:lpstr>連続無放銃</vt:lpstr>
      <vt:lpstr>依田幸憲!連対数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髙橋桜!連対数</vt:lpstr>
      <vt:lpstr>連対数</vt:lpstr>
      <vt:lpstr>依田幸憲!連対率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2019-12-20T09:43:43Z</dcterms:modified>
</cp:coreProperties>
</file>