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87F14629-522F-400D-8218-77E47417EEF7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Template (3)" sheetId="6297" state="hidden" r:id="rId48"/>
    <sheet name="Template" sheetId="2228" state="hidden" r:id="rId49"/>
  </sheets>
  <definedNames>
    <definedName name="アガリ数" localSheetId="47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7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7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7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7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7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7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7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7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7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7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7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7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7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7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7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7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7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7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7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7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7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7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7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7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7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7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7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7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7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7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7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7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7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7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7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7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7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7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7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7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7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7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7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7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7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7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7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7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7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7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7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7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7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7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7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7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7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7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7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7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7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0" i="6316" l="1"/>
  <c r="O24" i="6315"/>
  <c r="O41" i="6277"/>
  <c r="O23" i="6305"/>
  <c r="O18" i="6316"/>
  <c r="O19" i="6316"/>
  <c r="O21" i="6316"/>
  <c r="C32" i="6316"/>
  <c r="B27" i="6316"/>
  <c r="C18" i="6316"/>
  <c r="B17" i="6316"/>
  <c r="C47" i="6316" s="1"/>
  <c r="C16" i="6316"/>
  <c r="B16" i="6316"/>
  <c r="B26" i="6316" s="1"/>
  <c r="O15" i="6316"/>
  <c r="C15" i="6316"/>
  <c r="B15" i="6316"/>
  <c r="O14" i="6316"/>
  <c r="C14" i="6316"/>
  <c r="O13" i="6316"/>
  <c r="C13" i="6316"/>
  <c r="O12" i="6316"/>
  <c r="C12" i="6316"/>
  <c r="C11" i="6316"/>
  <c r="B11" i="6316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5" i="6311"/>
  <c r="O44" i="6272"/>
  <c r="H20" i="6316" l="1"/>
  <c r="H33" i="6316"/>
  <c r="H7" i="6316"/>
  <c r="H5" i="6316"/>
  <c r="H23" i="6316"/>
  <c r="H34" i="6316"/>
  <c r="H3" i="6316"/>
  <c r="H14" i="6316"/>
  <c r="C23" i="6316"/>
  <c r="H35" i="6316"/>
  <c r="H24" i="6316"/>
  <c r="H38" i="6316"/>
  <c r="C38" i="6316"/>
  <c r="H8" i="6316"/>
  <c r="H27" i="6316"/>
  <c r="H39" i="6316"/>
  <c r="C17" i="6316"/>
  <c r="H9" i="6316"/>
  <c r="H10" i="6316"/>
  <c r="H19" i="6316"/>
  <c r="H28" i="6316"/>
  <c r="H42" i="6316"/>
  <c r="H11" i="6316"/>
  <c r="H2" i="6316"/>
  <c r="C19" i="6316"/>
  <c r="C42" i="6316"/>
  <c r="H6" i="6316"/>
  <c r="H12" i="6316"/>
  <c r="H15" i="6316"/>
  <c r="H17" i="6316"/>
  <c r="C20" i="6316"/>
  <c r="B24" i="6316"/>
  <c r="H29" i="6316"/>
  <c r="C35" i="6316"/>
  <c r="C39" i="6316"/>
  <c r="C43" i="6316"/>
  <c r="H21" i="6316"/>
  <c r="H25" i="6316"/>
  <c r="H30" i="6316"/>
  <c r="H36" i="6316"/>
  <c r="H40" i="6316"/>
  <c r="C44" i="6316"/>
  <c r="H13" i="6316"/>
  <c r="C21" i="6316"/>
  <c r="B25" i="6316"/>
  <c r="H31" i="6316"/>
  <c r="C36" i="6316"/>
  <c r="C40" i="6316"/>
  <c r="C45" i="6316"/>
  <c r="H18" i="6316"/>
  <c r="H22" i="6316"/>
  <c r="H26" i="6316"/>
  <c r="H32" i="6316"/>
  <c r="H37" i="6316"/>
  <c r="H41" i="6316"/>
  <c r="C46" i="6316"/>
  <c r="H4" i="6316"/>
  <c r="H16" i="6316"/>
  <c r="C22" i="6316"/>
  <c r="C37" i="6316"/>
  <c r="C41" i="6316"/>
  <c r="O45" i="6277" l="1"/>
  <c r="O27" i="6307"/>
  <c r="O20" i="6277" l="1"/>
  <c r="O28" i="6314"/>
  <c r="O26" i="6313" l="1"/>
  <c r="O32" i="6287"/>
  <c r="O30" i="6311" l="1"/>
  <c r="O33" i="6307"/>
  <c r="O18" i="6304"/>
  <c r="O19" i="6304"/>
  <c r="O26" i="6309"/>
  <c r="O32" i="6304"/>
  <c r="O24" i="6302"/>
  <c r="O18" i="6301"/>
  <c r="O24" i="6311" l="1"/>
  <c r="O25" i="6313"/>
  <c r="O21" i="6305"/>
  <c r="O28" i="6305"/>
  <c r="O19" i="6311" l="1"/>
  <c r="O27" i="6311"/>
  <c r="O43" i="6277"/>
  <c r="O19" i="6309"/>
  <c r="O25" i="6287"/>
  <c r="O23" i="6311"/>
  <c r="O26" i="6307" l="1"/>
  <c r="O28" i="6307"/>
  <c r="O45" i="6287"/>
  <c r="O34" i="6287"/>
  <c r="O36" i="6287"/>
  <c r="O27" i="6315"/>
  <c r="O20" i="6315"/>
  <c r="O21" i="6314"/>
  <c r="O32" i="6277"/>
  <c r="O39" i="6277"/>
  <c r="O40" i="6277"/>
  <c r="O28" i="6315"/>
  <c r="O27" i="6313"/>
  <c r="O29" i="6309"/>
  <c r="O23" i="6315" l="1"/>
  <c r="O18" i="6315"/>
  <c r="O29" i="6305"/>
  <c r="O27" i="6306"/>
  <c r="O19" i="6302" l="1"/>
  <c r="O29" i="6315"/>
  <c r="O24" i="6314" l="1"/>
  <c r="O28" i="6309"/>
  <c r="O21" i="6307"/>
  <c r="O18" i="6305"/>
  <c r="O25" i="6305"/>
  <c r="O30" i="6305"/>
  <c r="O32" i="6307" l="1"/>
  <c r="O23" i="6307"/>
  <c r="O20" i="6302"/>
  <c r="O29" i="6302"/>
  <c r="O18" i="6302"/>
  <c r="O22" i="6314"/>
  <c r="O23" i="6314"/>
  <c r="O21" i="6313"/>
  <c r="O25" i="6315" l="1"/>
  <c r="O26" i="6315"/>
  <c r="O31" i="6304"/>
  <c r="O25" i="6304"/>
  <c r="O27" i="6304"/>
  <c r="O25" i="6314"/>
  <c r="O18" i="6314"/>
  <c r="O31" i="6309"/>
  <c r="O27" i="6309"/>
  <c r="O18" i="6309"/>
  <c r="O18" i="6311" l="1"/>
  <c r="O21" i="6315"/>
  <c r="O20" i="6314"/>
  <c r="O25" i="6301"/>
  <c r="O27" i="6301"/>
  <c r="O19" i="6301"/>
  <c r="O30" i="6315" l="1"/>
  <c r="O22" i="6315"/>
  <c r="O19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18" i="6313"/>
  <c r="O19" i="6313"/>
  <c r="O22" i="6311"/>
  <c r="O20" i="6311"/>
  <c r="O28" i="6311"/>
  <c r="O25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0" i="6272"/>
  <c r="C16" i="6314" l="1"/>
  <c r="H12" i="6315"/>
  <c r="H30" i="6315"/>
  <c r="H20" i="6315"/>
  <c r="H10" i="6315"/>
  <c r="H37" i="6315"/>
  <c r="H22" i="6315"/>
  <c r="C37" i="6315"/>
  <c r="H17" i="6315"/>
  <c r="H11" i="6315"/>
  <c r="C19" i="6315"/>
  <c r="H19" i="6315"/>
  <c r="C39" i="6315"/>
  <c r="H8" i="6315"/>
  <c r="H2" i="6315"/>
  <c r="H21" i="6315"/>
  <c r="H9" i="6315"/>
  <c r="C20" i="6315"/>
  <c r="H6" i="6315"/>
  <c r="H5" i="6315"/>
  <c r="H25" i="6315"/>
  <c r="H29" i="6315"/>
  <c r="H41" i="6315"/>
  <c r="C41" i="6315"/>
  <c r="H42" i="6315"/>
  <c r="H26" i="6315"/>
  <c r="H18" i="6315"/>
  <c r="H34" i="6315"/>
  <c r="C42" i="6315"/>
  <c r="H4" i="6315"/>
  <c r="H33" i="6315"/>
  <c r="H16" i="6315"/>
  <c r="C17" i="6315"/>
  <c r="C23" i="6315"/>
  <c r="H7" i="6315"/>
  <c r="H13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3" i="6315"/>
  <c r="H24" i="6315"/>
  <c r="H28" i="6315"/>
  <c r="H14" i="6315"/>
  <c r="H36" i="6315"/>
  <c r="H40" i="6315"/>
  <c r="C44" i="6315"/>
  <c r="C21" i="6315"/>
  <c r="B25" i="6315"/>
  <c r="H15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29" i="6313" l="1"/>
  <c r="O24" i="6313"/>
  <c r="O31" i="6313"/>
  <c r="O19" i="6310"/>
  <c r="O22" i="6310"/>
  <c r="O27" i="6303"/>
  <c r="O24" i="6303"/>
  <c r="O26" i="6303"/>
  <c r="O22" i="6307"/>
  <c r="O18" i="6307"/>
  <c r="O28" i="6301" l="1"/>
  <c r="O23" i="6313"/>
  <c r="O22" i="6313" l="1"/>
  <c r="O28" i="6313"/>
  <c r="O30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6" i="6306"/>
  <c r="O24" i="6298"/>
  <c r="O22" i="6298"/>
  <c r="O22" i="6309"/>
  <c r="O30" i="6309"/>
  <c r="O51" i="6272"/>
  <c r="H2" i="6313" l="1"/>
  <c r="H17" i="6313"/>
  <c r="C35" i="6313"/>
  <c r="C20" i="6313"/>
  <c r="H10" i="6313"/>
  <c r="H41" i="6313"/>
  <c r="H20" i="6313"/>
  <c r="H14" i="6313"/>
  <c r="C21" i="6313"/>
  <c r="H16" i="6313"/>
  <c r="C36" i="6313"/>
  <c r="C41" i="6313"/>
  <c r="H24" i="6313"/>
  <c r="H29" i="6313"/>
  <c r="H37" i="6313"/>
  <c r="C42" i="6313"/>
  <c r="H31" i="6313"/>
  <c r="H5" i="6313"/>
  <c r="H18" i="6313"/>
  <c r="C37" i="6313"/>
  <c r="H3" i="6313"/>
  <c r="H22" i="6313"/>
  <c r="C23" i="6313"/>
  <c r="H32" i="6313"/>
  <c r="C38" i="6313"/>
  <c r="C43" i="6313"/>
  <c r="H9" i="6313"/>
  <c r="C22" i="6313"/>
  <c r="C45" i="6313"/>
  <c r="C17" i="6313"/>
  <c r="H6" i="6313"/>
  <c r="H11" i="6313"/>
  <c r="H4" i="6313"/>
  <c r="H8" i="6313"/>
  <c r="H21" i="6313"/>
  <c r="H26" i="6313"/>
  <c r="H39" i="6313"/>
  <c r="H19" i="6313"/>
  <c r="C19" i="6313"/>
  <c r="B24" i="6313"/>
  <c r="H34" i="6313"/>
  <c r="C39" i="6313"/>
  <c r="C46" i="6313"/>
  <c r="H7" i="6313"/>
  <c r="H23" i="6313"/>
  <c r="H13" i="6313"/>
  <c r="H35" i="6313"/>
  <c r="C40" i="6313"/>
  <c r="C47" i="6313"/>
  <c r="B25" i="6313"/>
  <c r="H12" i="6313"/>
  <c r="H25" i="6313"/>
  <c r="H28" i="6313"/>
  <c r="H33" i="6313"/>
  <c r="H38" i="6313"/>
  <c r="H42" i="6313"/>
  <c r="H15" i="6313"/>
  <c r="H27" i="6313"/>
  <c r="H30" i="6313"/>
  <c r="H36" i="6313"/>
  <c r="H40" i="6313"/>
  <c r="O20" i="6287" l="1"/>
  <c r="O19" i="6287"/>
  <c r="O42" i="6287"/>
  <c r="O19" i="6306"/>
  <c r="O24" i="6306"/>
  <c r="O28" i="6306"/>
  <c r="O23" i="6308"/>
  <c r="O21" i="6308"/>
  <c r="O20" i="6309"/>
  <c r="O21" i="6309"/>
  <c r="O23" i="6293" l="1"/>
  <c r="O27" i="6293"/>
  <c r="O18" i="6293"/>
  <c r="O31" i="6307"/>
  <c r="O20" i="6307"/>
  <c r="O24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4" i="6272"/>
  <c r="O21" i="6311"/>
  <c r="O26" i="6311"/>
  <c r="O29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11" i="6311"/>
  <c r="C10" i="6311"/>
  <c r="O9" i="6311"/>
  <c r="H10" i="6311"/>
  <c r="C9" i="6311"/>
  <c r="O8" i="6311"/>
  <c r="C8" i="6311"/>
  <c r="O7" i="6311"/>
  <c r="H5" i="6311"/>
  <c r="C7" i="6311"/>
  <c r="O6" i="6311"/>
  <c r="H4" i="6311"/>
  <c r="B6" i="6311"/>
  <c r="O5" i="6311"/>
  <c r="H7" i="6311"/>
  <c r="B5" i="6311"/>
  <c r="O4" i="6311"/>
  <c r="H3" i="6311"/>
  <c r="O3" i="6311"/>
  <c r="H9" i="6311"/>
  <c r="O2" i="6311"/>
  <c r="O59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6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2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23" i="6301"/>
  <c r="O31" i="6301"/>
  <c r="O32" i="6301"/>
  <c r="O23" i="6309"/>
  <c r="O19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5" i="6309"/>
  <c r="O24" i="6309"/>
  <c r="O32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30" i="6307"/>
  <c r="O29" i="6307"/>
  <c r="O25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7" i="6272"/>
  <c r="O53" i="6272"/>
  <c r="O28" i="6272"/>
  <c r="H8" i="6309" l="1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1" i="6309"/>
  <c r="C21" i="6308"/>
  <c r="H27" i="6308"/>
  <c r="H22" i="6308"/>
  <c r="H30" i="6308"/>
  <c r="H4" i="6308"/>
  <c r="H14" i="6308"/>
  <c r="H38" i="6308"/>
  <c r="C40" i="6308"/>
  <c r="H28" i="6309"/>
  <c r="H31" i="6308"/>
  <c r="H8" i="6308"/>
  <c r="H3" i="6308"/>
  <c r="H20" i="6308"/>
  <c r="C38" i="6308"/>
  <c r="H19" i="6307"/>
  <c r="H14" i="6307"/>
  <c r="H3" i="6307"/>
  <c r="C21" i="6307"/>
  <c r="H13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3" i="6309"/>
  <c r="C19" i="6309"/>
  <c r="H9" i="6309"/>
  <c r="H12" i="6309"/>
  <c r="H23" i="6309"/>
  <c r="H35" i="6309"/>
  <c r="H33" i="6309"/>
  <c r="C20" i="6309"/>
  <c r="C39" i="6309"/>
  <c r="H19" i="6309"/>
  <c r="H2" i="6309"/>
  <c r="B24" i="6309"/>
  <c r="H41" i="6309"/>
  <c r="C41" i="6309"/>
  <c r="H25" i="6309"/>
  <c r="H29" i="6309"/>
  <c r="C35" i="6309"/>
  <c r="H42" i="6309"/>
  <c r="H3" i="6309"/>
  <c r="C17" i="6309"/>
  <c r="H5" i="6309"/>
  <c r="H22" i="6309"/>
  <c r="H14" i="6309"/>
  <c r="H30" i="6309"/>
  <c r="C37" i="6309"/>
  <c r="C43" i="6309"/>
  <c r="H17" i="6309"/>
  <c r="C22" i="6309"/>
  <c r="H10" i="6309"/>
  <c r="H20" i="6309"/>
  <c r="C23" i="6309"/>
  <c r="H15" i="6309"/>
  <c r="H38" i="6309"/>
  <c r="C46" i="6309"/>
  <c r="H7" i="6309"/>
  <c r="H37" i="6309"/>
  <c r="H4" i="6309"/>
  <c r="H18" i="6309"/>
  <c r="H11" i="6309"/>
  <c r="H26" i="6309"/>
  <c r="H32" i="6309"/>
  <c r="H39" i="6309"/>
  <c r="C47" i="6309"/>
  <c r="H34" i="6309"/>
  <c r="C38" i="6309"/>
  <c r="C42" i="6309"/>
  <c r="H24" i="6309"/>
  <c r="H27" i="6309"/>
  <c r="H16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0" i="6307"/>
  <c r="C42" i="6307"/>
  <c r="H5" i="6307"/>
  <c r="H23" i="6307"/>
  <c r="C22" i="6307"/>
  <c r="H31" i="6307"/>
  <c r="C37" i="6307"/>
  <c r="H6" i="6307"/>
  <c r="C43" i="6307"/>
  <c r="H37" i="6307"/>
  <c r="H17" i="6307"/>
  <c r="H2" i="6307"/>
  <c r="H32" i="6307"/>
  <c r="H8" i="6307"/>
  <c r="H20" i="6307"/>
  <c r="H25" i="6307"/>
  <c r="H39" i="6307"/>
  <c r="C45" i="6307"/>
  <c r="H29" i="6307"/>
  <c r="H11" i="6307"/>
  <c r="C23" i="6307"/>
  <c r="H4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2" i="6307"/>
  <c r="H35" i="6307"/>
  <c r="C40" i="6307"/>
  <c r="C47" i="6307"/>
  <c r="B25" i="6307"/>
  <c r="H15" i="6307"/>
  <c r="H24" i="6307"/>
  <c r="H27" i="6307"/>
  <c r="H33" i="6307"/>
  <c r="H38" i="6307"/>
  <c r="H42" i="6307"/>
  <c r="H16" i="6307"/>
  <c r="H26" i="6307"/>
  <c r="H30" i="6307"/>
  <c r="H36" i="6307"/>
  <c r="H40" i="6307"/>
  <c r="O27" i="6305" l="1"/>
  <c r="O23" i="6298"/>
  <c r="O32" i="6305" l="1"/>
  <c r="O31" i="6305"/>
  <c r="O18" i="6295"/>
  <c r="O21" i="6287"/>
  <c r="O24" i="6305"/>
  <c r="O26" i="6305"/>
  <c r="O20" i="6306"/>
  <c r="O25" i="6306"/>
  <c r="O22" i="6306"/>
  <c r="O30" i="6304"/>
  <c r="O23" i="6304"/>
  <c r="O28" i="6304"/>
  <c r="O33" i="6277"/>
  <c r="O24" i="6277"/>
  <c r="O30" i="6301" l="1"/>
  <c r="O24" i="6301"/>
  <c r="O28" i="6303"/>
  <c r="O25" i="6303"/>
  <c r="O21" i="6298"/>
  <c r="O20" i="6298"/>
  <c r="O18" i="6298"/>
  <c r="O34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26" i="6301"/>
  <c r="O19" i="6303"/>
  <c r="H10" i="6306" l="1"/>
  <c r="H20" i="6306"/>
  <c r="H19" i="6306"/>
  <c r="H4" i="6306"/>
  <c r="H5" i="6306"/>
  <c r="H7" i="6306"/>
  <c r="H17" i="6306"/>
  <c r="H15" i="6306"/>
  <c r="H18" i="6306"/>
  <c r="H6" i="6306"/>
  <c r="H2" i="6306"/>
  <c r="H16" i="6306"/>
  <c r="H14" i="6306"/>
  <c r="H8" i="6306"/>
  <c r="H9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3" i="6306"/>
  <c r="H29" i="6306"/>
  <c r="H28" i="6306"/>
  <c r="H12" i="6306"/>
  <c r="B25" i="6306"/>
  <c r="H27" i="6306"/>
  <c r="B24" i="6306"/>
  <c r="H26" i="6306"/>
  <c r="C23" i="6306"/>
  <c r="H11" i="6306"/>
  <c r="C22" i="6306"/>
  <c r="H25" i="6306"/>
  <c r="C21" i="6306"/>
  <c r="H24" i="6306"/>
  <c r="C20" i="6306"/>
  <c r="H23" i="6306"/>
  <c r="C19" i="6306"/>
  <c r="H22" i="6306"/>
  <c r="H21" i="6306"/>
  <c r="O22" i="6302" l="1"/>
  <c r="O30" i="6302"/>
  <c r="O29" i="6301"/>
  <c r="O21" i="6301"/>
  <c r="O22" i="6305"/>
  <c r="O19" i="6305"/>
  <c r="O20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49" i="6277"/>
  <c r="O48" i="6272"/>
  <c r="H18" i="6305" l="1"/>
  <c r="H2" i="6305"/>
  <c r="H15" i="6305"/>
  <c r="H12" i="6305"/>
  <c r="H4" i="6305"/>
  <c r="H6" i="6305"/>
  <c r="H7" i="6305"/>
  <c r="H10" i="6305"/>
  <c r="H19" i="6305"/>
  <c r="H3" i="6305"/>
  <c r="H16" i="6305"/>
  <c r="H9" i="6305"/>
  <c r="H8" i="6305"/>
  <c r="H14" i="6305"/>
  <c r="H17" i="6305"/>
  <c r="B26" i="6305"/>
  <c r="C16" i="6305"/>
  <c r="C47" i="6305"/>
  <c r="C46" i="6305"/>
  <c r="C45" i="6305"/>
  <c r="C44" i="6305"/>
  <c r="C43" i="6305"/>
  <c r="H5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11" i="6305"/>
  <c r="B25" i="6305"/>
  <c r="H26" i="6305"/>
  <c r="B24" i="6305"/>
  <c r="H25" i="6305"/>
  <c r="C23" i="6305"/>
  <c r="H24" i="6305"/>
  <c r="C22" i="6305"/>
  <c r="H23" i="6305"/>
  <c r="C21" i="6305"/>
  <c r="H22" i="6305"/>
  <c r="C20" i="6305"/>
  <c r="H21" i="6305"/>
  <c r="C19" i="6305"/>
  <c r="H13" i="6305"/>
  <c r="H20" i="6305"/>
  <c r="O27" i="6302" l="1"/>
  <c r="O22" i="6304"/>
  <c r="O30" i="6298" l="1"/>
  <c r="O44" i="6287"/>
  <c r="O20" i="6304"/>
  <c r="O21" i="6304"/>
  <c r="O22" i="6277" l="1"/>
  <c r="O36" i="6277"/>
  <c r="O26" i="6299"/>
  <c r="O26" i="6302"/>
  <c r="O25" i="6295" l="1"/>
  <c r="O21" i="6299"/>
  <c r="O20" i="6299"/>
  <c r="O18" i="6303"/>
  <c r="O21" i="6303"/>
  <c r="O46" i="6272"/>
  <c r="O24" i="6304"/>
  <c r="O26" i="6304"/>
  <c r="O29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4" i="6304"/>
  <c r="H21" i="6304"/>
  <c r="H3" i="6304"/>
  <c r="H5" i="6304"/>
  <c r="H19" i="6304"/>
  <c r="H20" i="6304"/>
  <c r="H6" i="6304"/>
  <c r="H7" i="6304"/>
  <c r="H12" i="6304"/>
  <c r="H11" i="6304"/>
  <c r="H9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0" i="6304"/>
  <c r="H15" i="6304"/>
  <c r="O28" i="6302" l="1"/>
  <c r="O23" i="6302"/>
  <c r="O20" i="6295"/>
  <c r="O19" i="6295"/>
  <c r="O22" i="6303"/>
  <c r="O20" i="6303"/>
  <c r="O23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H16" i="6303"/>
  <c r="C13" i="6303"/>
  <c r="O12" i="6303"/>
  <c r="H15" i="6303"/>
  <c r="C12" i="6303"/>
  <c r="B11" i="6303"/>
  <c r="C11" i="6303" s="1"/>
  <c r="C10" i="6303"/>
  <c r="O9" i="6303"/>
  <c r="H13" i="6303"/>
  <c r="C9" i="6303"/>
  <c r="O8" i="6303"/>
  <c r="C8" i="6303"/>
  <c r="O7" i="6303"/>
  <c r="H6" i="6303"/>
  <c r="C7" i="6303"/>
  <c r="O6" i="6303"/>
  <c r="H8" i="6303"/>
  <c r="B6" i="6303"/>
  <c r="O5" i="6303"/>
  <c r="B5" i="6303"/>
  <c r="O4" i="6303"/>
  <c r="H3" i="6303"/>
  <c r="O3" i="6303"/>
  <c r="H11" i="6303"/>
  <c r="O2" i="6303"/>
  <c r="O31" i="6287"/>
  <c r="O33" i="6272"/>
  <c r="H7" i="6303" l="1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5" i="6302"/>
  <c r="O21" i="6302"/>
  <c r="O31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2" i="6302"/>
  <c r="C10" i="6302"/>
  <c r="O9" i="6302"/>
  <c r="C9" i="6302"/>
  <c r="O8" i="6302"/>
  <c r="H11" i="6302"/>
  <c r="C8" i="6302"/>
  <c r="O7" i="6302"/>
  <c r="H6" i="6302"/>
  <c r="C7" i="6302"/>
  <c r="O6" i="6302"/>
  <c r="B6" i="6302"/>
  <c r="O5" i="6302"/>
  <c r="H9" i="6302"/>
  <c r="B5" i="6302"/>
  <c r="O4" i="6302"/>
  <c r="O3" i="6302"/>
  <c r="H10" i="6302"/>
  <c r="O2" i="6302"/>
  <c r="H3" i="6302"/>
  <c r="O19" i="6299"/>
  <c r="O30" i="6272"/>
  <c r="H5" i="6302" l="1"/>
  <c r="H8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7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18" i="6287" l="1"/>
  <c r="O23" i="6295"/>
  <c r="O22" i="6301"/>
  <c r="O33" i="6301"/>
  <c r="O20" i="6301"/>
  <c r="C32" i="6301"/>
  <c r="B27" i="6301"/>
  <c r="C18" i="6301"/>
  <c r="B17" i="6301"/>
  <c r="C17" i="6301" s="1"/>
  <c r="B16" i="6301"/>
  <c r="O15" i="6301"/>
  <c r="H18" i="6301"/>
  <c r="B15" i="6301"/>
  <c r="C15" i="6301" s="1"/>
  <c r="O14" i="6301"/>
  <c r="H17" i="6301"/>
  <c r="C14" i="6301"/>
  <c r="O13" i="6301"/>
  <c r="C13" i="6301"/>
  <c r="O12" i="6301"/>
  <c r="H15" i="6301"/>
  <c r="C12" i="6301"/>
  <c r="H11" i="6301"/>
  <c r="B11" i="6301"/>
  <c r="C11" i="6301" s="1"/>
  <c r="H5" i="6301"/>
  <c r="C10" i="6301"/>
  <c r="O9" i="6301"/>
  <c r="H10" i="6301"/>
  <c r="C9" i="6301"/>
  <c r="O8" i="6301"/>
  <c r="H14" i="6301"/>
  <c r="C8" i="6301"/>
  <c r="O7" i="6301"/>
  <c r="H8" i="6301"/>
  <c r="C7" i="6301"/>
  <c r="O6" i="6301"/>
  <c r="H4" i="6301"/>
  <c r="B6" i="6301"/>
  <c r="O5" i="6301"/>
  <c r="H7" i="6301"/>
  <c r="B5" i="6301"/>
  <c r="O4" i="6301"/>
  <c r="H2" i="6301"/>
  <c r="O3" i="6301"/>
  <c r="H9" i="6301"/>
  <c r="O2" i="6301"/>
  <c r="H3" i="6301"/>
  <c r="O38" i="6277"/>
  <c r="O27" i="6272"/>
  <c r="H16" i="6301" l="1"/>
  <c r="H12" i="6301"/>
  <c r="B26" i="6301"/>
  <c r="C16" i="6301"/>
  <c r="C47" i="6301"/>
  <c r="C46" i="6301"/>
  <c r="C45" i="6301"/>
  <c r="C44" i="6301"/>
  <c r="C43" i="6301"/>
  <c r="H6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3" i="6301"/>
  <c r="C22" i="6301"/>
  <c r="H23" i="6301"/>
  <c r="C21" i="6301"/>
  <c r="H22" i="6301"/>
  <c r="C20" i="6301"/>
  <c r="H21" i="6301"/>
  <c r="C19" i="6301"/>
  <c r="H20" i="6301"/>
  <c r="H19" i="6301"/>
  <c r="O29" i="6298" l="1"/>
  <c r="O30" i="6277"/>
  <c r="O22" i="6295" l="1"/>
  <c r="O21" i="6295"/>
  <c r="O31" i="6295"/>
  <c r="O31" i="6298"/>
  <c r="O26" i="6298"/>
  <c r="O25" i="6299"/>
  <c r="O22" i="6299"/>
  <c r="O60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8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H5" i="6298"/>
  <c r="C10" i="6298"/>
  <c r="O9" i="6298"/>
  <c r="H9" i="6298"/>
  <c r="C9" i="6298"/>
  <c r="O8" i="6298"/>
  <c r="H10" i="6298"/>
  <c r="C8" i="6298"/>
  <c r="O7" i="6298"/>
  <c r="H8" i="6298"/>
  <c r="C7" i="6298"/>
  <c r="O6" i="6298"/>
  <c r="H7" i="6298"/>
  <c r="B6" i="6298"/>
  <c r="O5" i="6298"/>
  <c r="B5" i="6298"/>
  <c r="O4" i="6298"/>
  <c r="H2" i="6298"/>
  <c r="O3" i="6298"/>
  <c r="H13" i="6298"/>
  <c r="O2" i="6298"/>
  <c r="H3" i="6298"/>
  <c r="O37" i="6272"/>
  <c r="H6" i="6298" l="1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4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2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1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3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8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7" i="6287"/>
  <c r="O29" i="6287"/>
  <c r="O34" i="6277"/>
  <c r="O23" i="6277"/>
  <c r="O36" i="6272"/>
  <c r="O31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1" i="6277"/>
  <c r="O35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4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0" i="6287"/>
  <c r="O20" i="6291"/>
  <c r="O24" i="6291"/>
  <c r="O20" i="6289"/>
  <c r="O24" i="6289"/>
  <c r="O21" i="6280"/>
  <c r="O22" i="6289"/>
  <c r="O47" i="6287" l="1"/>
  <c r="O31" i="6284"/>
  <c r="O20" i="6273"/>
  <c r="O58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6" i="6272"/>
  <c r="O46" i="6287"/>
  <c r="O41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2" i="6277" l="1"/>
  <c r="O37" i="6287"/>
  <c r="O33" i="6287"/>
  <c r="O21" i="6273"/>
  <c r="O40" i="6287"/>
  <c r="O39" i="6287"/>
  <c r="O43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5" i="6272"/>
  <c r="C39" i="6287" l="1"/>
  <c r="H41" i="6287"/>
  <c r="H5" i="6287"/>
  <c r="H14" i="6287"/>
  <c r="H24" i="6287"/>
  <c r="H9" i="6287"/>
  <c r="C20" i="6287"/>
  <c r="H11" i="6287"/>
  <c r="H3" i="6287"/>
  <c r="B24" i="6287"/>
  <c r="H19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7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8" i="6272"/>
  <c r="O23" i="6278"/>
  <c r="O18" i="6278"/>
  <c r="O18" i="6275"/>
  <c r="O26" i="6275"/>
  <c r="O22" i="6275"/>
  <c r="O21" i="6282"/>
  <c r="O22" i="6282"/>
  <c r="O50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6" i="6277"/>
  <c r="O44" i="6277"/>
  <c r="O29" i="6277"/>
  <c r="O42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9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7" i="6277"/>
  <c r="O48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9" i="6272"/>
  <c r="O54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9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18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0" i="6277"/>
  <c r="H14" i="6277"/>
  <c r="C20" i="6277"/>
  <c r="H29" i="6277"/>
  <c r="H39" i="6277"/>
  <c r="H24" i="6277"/>
  <c r="H12" i="6277"/>
  <c r="H41" i="6277"/>
  <c r="H32" i="6277"/>
  <c r="H11" i="6277"/>
  <c r="H9" i="6277"/>
  <c r="H22" i="6277"/>
  <c r="C23" i="6277"/>
  <c r="H3" i="6277"/>
  <c r="C17" i="6277"/>
  <c r="C22" i="6277"/>
  <c r="C42" i="6277"/>
  <c r="H21" i="6277"/>
  <c r="H25" i="6277"/>
  <c r="H34" i="6277"/>
  <c r="C46" i="6277"/>
  <c r="H17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1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3" i="6272"/>
  <c r="O56" i="6272"/>
  <c r="O40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0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1" i="6272"/>
  <c r="C22" i="6272"/>
  <c r="H26" i="6272"/>
  <c r="C37" i="6272"/>
  <c r="H2" i="6272"/>
  <c r="H17" i="6272"/>
  <c r="H27" i="6272"/>
  <c r="C38" i="6272"/>
  <c r="H31" i="6272"/>
  <c r="H23" i="6272"/>
  <c r="H39" i="6272"/>
  <c r="C45" i="6272"/>
  <c r="H32" i="6272"/>
  <c r="C43" i="6272"/>
  <c r="H7" i="6272"/>
  <c r="H5" i="6272"/>
  <c r="C19" i="6272"/>
  <c r="H28" i="6272"/>
  <c r="C39" i="6272"/>
  <c r="C46" i="6272"/>
  <c r="H10" i="6272"/>
  <c r="H6" i="6272"/>
  <c r="C17" i="6272"/>
  <c r="C23" i="6272"/>
  <c r="H29" i="6272"/>
  <c r="B24" i="6272"/>
  <c r="H8" i="6272"/>
  <c r="H25" i="6272"/>
  <c r="H15" i="6272"/>
  <c r="H35" i="6272"/>
  <c r="C40" i="6272"/>
  <c r="C47" i="6272"/>
  <c r="B25" i="6272"/>
  <c r="H13" i="6272"/>
  <c r="H14" i="6272"/>
  <c r="H24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<sst xmlns="http://schemas.openxmlformats.org/spreadsheetml/2006/main" count="8955" uniqueCount="300">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</sst>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全体!$K$2:$K$471</c:f>
              <c:numCache>
                <c:formatCode>General</c:formatCode>
                <c:ptCount val="4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</c:numCache>
            </c:numRef>
          </c:xVal>
          <c:yVal>
            <c:numRef>
              <c:f>全体!$L$2:$L$471</c:f>
              <c:numCache>
                <c:formatCode>\+0.0;\-0.0;\±0</c:formatCode>
                <c:ptCount val="470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-57.569296375266525</c:v>
                </c:pt>
                <c:pt idx="1">
                  <c:v>-15.778251599147122</c:v>
                </c:pt>
                <c:pt idx="2">
                  <c:v>-14.879649890590809</c:v>
                </c:pt>
                <c:pt idx="3">
                  <c:v>-49.881235154394297</c:v>
                </c:pt>
                <c:pt idx="4">
                  <c:v>-13.333333333333334</c:v>
                </c:pt>
                <c:pt idx="5">
                  <c:v>-40.816326530612244</c:v>
                </c:pt>
                <c:pt idx="6">
                  <c:v>0</c:v>
                </c:pt>
                <c:pt idx="7">
                  <c:v>22.727272727272727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79</c:v>
                </c:pt>
                <c:pt idx="1">
                  <c:v>150</c:v>
                </c:pt>
                <c:pt idx="2">
                  <c:v>161</c:v>
                </c:pt>
                <c:pt idx="3">
                  <c:v>152</c:v>
                </c:pt>
                <c:pt idx="4">
                  <c:v>83</c:v>
                </c:pt>
                <c:pt idx="5">
                  <c:v>68</c:v>
                </c:pt>
                <c:pt idx="6">
                  <c:v>22</c:v>
                </c:pt>
                <c:pt idx="7">
                  <c:v>3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佐藤成浩!$L$2:$L$49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912.76595744680856</c:v>
                </c:pt>
                <c:pt idx="1">
                  <c:v>1655.3191489361702</c:v>
                </c:pt>
                <c:pt idx="2">
                  <c:v>1419.5652173913043</c:v>
                </c:pt>
                <c:pt idx="3">
                  <c:v>473.17073170731709</c:v>
                </c:pt>
                <c:pt idx="4">
                  <c:v>951.72413793103453</c:v>
                </c:pt>
                <c:pt idx="5">
                  <c:v>1452.6315789473683</c:v>
                </c:pt>
                <c:pt idx="6">
                  <c:v>1107.1428571428571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3</c:v>
                </c:pt>
                <c:pt idx="1">
                  <c:v>15</c:v>
                </c:pt>
                <c:pt idx="2">
                  <c:v>16</c:v>
                </c:pt>
                <c:pt idx="3">
                  <c:v>24</c:v>
                </c:pt>
                <c:pt idx="4">
                  <c:v>6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柳澤颯吾!$L$2:$L$46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1034.090909090909</c:v>
                </c:pt>
                <c:pt idx="1">
                  <c:v>800</c:v>
                </c:pt>
                <c:pt idx="2">
                  <c:v>1204.6511627906978</c:v>
                </c:pt>
                <c:pt idx="3">
                  <c:v>46.153846153846153</c:v>
                </c:pt>
                <c:pt idx="4">
                  <c:v>272</c:v>
                </c:pt>
                <c:pt idx="5">
                  <c:v>-1375</c:v>
                </c:pt>
                <c:pt idx="6">
                  <c:v>-388.88888888888891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25</c:v>
                </c:pt>
                <c:pt idx="3">
                  <c:v>7</c:v>
                </c:pt>
                <c:pt idx="4">
                  <c:v>13</c:v>
                </c:pt>
                <c:pt idx="5">
                  <c:v>9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伊藤仁城!$L$2:$L$19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5.882352941176471</c:v>
                </c:pt>
                <c:pt idx="1">
                  <c:v>-1670.5882352941176</c:v>
                </c:pt>
                <c:pt idx="2">
                  <c:v>-1358.8235294117646</c:v>
                </c:pt>
                <c:pt idx="3">
                  <c:v>164.70588235294119</c:v>
                </c:pt>
                <c:pt idx="4">
                  <c:v>-1627.2727272727273</c:v>
                </c:pt>
                <c:pt idx="5">
                  <c:v>-814.28571428571433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中村花菜!$L$2:$L$19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-3282.3529411764707</c:v>
                </c:pt>
                <c:pt idx="1">
                  <c:v>-2588.2352941176468</c:v>
                </c:pt>
                <c:pt idx="2">
                  <c:v>-2482.3529411764707</c:v>
                </c:pt>
                <c:pt idx="3">
                  <c:v>-1218.75</c:v>
                </c:pt>
                <c:pt idx="4">
                  <c:v>-2015.3846153846155</c:v>
                </c:pt>
                <c:pt idx="5">
                  <c:v>1062.5</c:v>
                </c:pt>
                <c:pt idx="6">
                  <c:v>300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2</c:v>
                </c:pt>
                <c:pt idx="3">
                  <c:v>7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中村季暉!$L$2:$L$21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-315.78947368421052</c:v>
                </c:pt>
                <c:pt idx="1">
                  <c:v>410.5263157894737</c:v>
                </c:pt>
                <c:pt idx="2">
                  <c:v>-1288.8888888888889</c:v>
                </c:pt>
                <c:pt idx="3">
                  <c:v>-570.58823529411768</c:v>
                </c:pt>
                <c:pt idx="4">
                  <c:v>-2910</c:v>
                </c:pt>
                <c:pt idx="5">
                  <c:v>-4428.5714285714284</c:v>
                </c:pt>
                <c:pt idx="6">
                  <c:v>1100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吉澤諒!$L$2:$L$9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785.71428571428567</c:v>
                </c:pt>
                <c:pt idx="1">
                  <c:v>-1485.7142857142858</c:v>
                </c:pt>
                <c:pt idx="2">
                  <c:v>3228.5714285714284</c:v>
                </c:pt>
                <c:pt idx="3">
                  <c:v>-4242.8571428571431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塩入悠!$L$2:$L$14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-3183.3333333333335</c:v>
                </c:pt>
                <c:pt idx="1">
                  <c:v>-800</c:v>
                </c:pt>
                <c:pt idx="2">
                  <c:v>900</c:v>
                </c:pt>
                <c:pt idx="3">
                  <c:v>2600</c:v>
                </c:pt>
                <c:pt idx="4">
                  <c:v>-300</c:v>
                </c:pt>
                <c:pt idx="5">
                  <c:v>3966.6666666666665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宮澤七星!$L$2:$L$19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-1870.5882352941176</c:v>
                </c:pt>
                <c:pt idx="1">
                  <c:v>982.35294117647061</c:v>
                </c:pt>
                <c:pt idx="2">
                  <c:v>633.33333333333337</c:v>
                </c:pt>
                <c:pt idx="3">
                  <c:v>542.85714285714289</c:v>
                </c:pt>
                <c:pt idx="4">
                  <c:v>1472.7272727272727</c:v>
                </c:pt>
                <c:pt idx="5">
                  <c:v>216.66666666666666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坂本羽弥斗!$L$2:$L$9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1342.8571428571429</c:v>
                </c:pt>
                <c:pt idx="1">
                  <c:v>-1414.2857142857142</c:v>
                </c:pt>
                <c:pt idx="2">
                  <c:v>-1200</c:v>
                </c:pt>
                <c:pt idx="3">
                  <c:v>-871.42857142857144</c:v>
                </c:pt>
                <c:pt idx="4">
                  <c:v>-3940</c:v>
                </c:pt>
                <c:pt idx="5">
                  <c:v>5200</c:v>
                </c:pt>
                <c:pt idx="6">
                  <c:v>-2200</c:v>
                </c:pt>
                <c:pt idx="7">
                  <c:v>-1750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湯本咲蔵!$L$2:$L$22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600</c:v>
                </c:pt>
                <c:pt idx="1">
                  <c:v>-495</c:v>
                </c:pt>
                <c:pt idx="2">
                  <c:v>385</c:v>
                </c:pt>
                <c:pt idx="3">
                  <c:v>275</c:v>
                </c:pt>
                <c:pt idx="4">
                  <c:v>1953.3333333333333</c:v>
                </c:pt>
                <c:pt idx="5">
                  <c:v>1950</c:v>
                </c:pt>
                <c:pt idx="6">
                  <c:v>2425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5</c:v>
                </c:pt>
                <c:pt idx="1">
                  <c:v>10</c:v>
                </c:pt>
                <c:pt idx="2">
                  <c:v>5</c:v>
                </c:pt>
                <c:pt idx="3">
                  <c:v>8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山本悠介!$L$2:$L$24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2068.181818181818</c:v>
                </c:pt>
                <c:pt idx="1">
                  <c:v>431.81818181818181</c:v>
                </c:pt>
                <c:pt idx="2">
                  <c:v>-231.81818181818181</c:v>
                </c:pt>
                <c:pt idx="3">
                  <c:v>910.52631578947364</c:v>
                </c:pt>
                <c:pt idx="4">
                  <c:v>1161.1111111111111</c:v>
                </c:pt>
                <c:pt idx="5">
                  <c:v>1453.8461538461538</c:v>
                </c:pt>
                <c:pt idx="6">
                  <c:v>-2330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7</c:v>
                </c:pt>
                <c:pt idx="1">
                  <c:v>11</c:v>
                </c:pt>
                <c:pt idx="2">
                  <c:v>15</c:v>
                </c:pt>
                <c:pt idx="3">
                  <c:v>4</c:v>
                </c:pt>
                <c:pt idx="4">
                  <c:v>8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渡部陵瑛!$L$2:$L$15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-1753.8461538461538</c:v>
                </c:pt>
                <c:pt idx="1">
                  <c:v>-1176.9230769230769</c:v>
                </c:pt>
                <c:pt idx="2">
                  <c:v>-4741.666666666667</c:v>
                </c:pt>
                <c:pt idx="3">
                  <c:v>-1200</c:v>
                </c:pt>
                <c:pt idx="4">
                  <c:v>1033.3333333333333</c:v>
                </c:pt>
                <c:pt idx="5">
                  <c:v>-325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清水常緑!$L$2:$L$20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-11.111111111111111</c:v>
                </c:pt>
                <c:pt idx="1">
                  <c:v>2994.4444444444443</c:v>
                </c:pt>
                <c:pt idx="2">
                  <c:v>1055.5555555555557</c:v>
                </c:pt>
                <c:pt idx="3">
                  <c:v>777.77777777777783</c:v>
                </c:pt>
                <c:pt idx="4">
                  <c:v>-1400</c:v>
                </c:pt>
                <c:pt idx="5">
                  <c:v>-70</c:v>
                </c:pt>
                <c:pt idx="6">
                  <c:v>-1380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長野柊馬!$L$2:$L$14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2950</c:v>
                </c:pt>
                <c:pt idx="1">
                  <c:v>-925</c:v>
                </c:pt>
                <c:pt idx="2">
                  <c:v>1745.4545454545455</c:v>
                </c:pt>
                <c:pt idx="3">
                  <c:v>-222.22222222222223</c:v>
                </c:pt>
                <c:pt idx="4">
                  <c:v>-1200</c:v>
                </c:pt>
                <c:pt idx="5">
                  <c:v>900</c:v>
                </c:pt>
                <c:pt idx="6">
                  <c:v>-2700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井澤軌人!$L$2:$L$4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-5900</c:v>
                </c:pt>
                <c:pt idx="2">
                  <c:v>8000</c:v>
                </c:pt>
                <c:pt idx="3">
                  <c:v>3000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84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45210.503009259257</v>
      </c>
      <c r="C83" s="24" t="s">
        <v>102</v>
      </c>
      <c r="D83" s="24" t="s">
        <v>176</v>
      </c>
    </row>
    <row r="84" spans="1:4">
      <c r="A84" s="24" t="s">
        <v>299</v>
      </c>
      <c r="B84" s="25">
        <v>45211.779907407406</v>
      </c>
      <c r="C84" s="24" t="s">
        <v>102</v>
      </c>
      <c r="D84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4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469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47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44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17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17</v>
      </c>
    </row>
    <row r="30" spans="1:2">
      <c r="A30" t="s">
        <v>238</v>
      </c>
      <c r="B30">
        <v>19</v>
      </c>
    </row>
    <row r="31" spans="1:2">
      <c r="A31" t="s">
        <v>241</v>
      </c>
      <c r="B31">
        <v>7</v>
      </c>
    </row>
    <row r="32" spans="1:2">
      <c r="A32" t="s">
        <v>244</v>
      </c>
      <c r="B32">
        <v>12</v>
      </c>
    </row>
    <row r="33" spans="1:2">
      <c r="A33" t="s">
        <v>255</v>
      </c>
      <c r="B33">
        <v>17</v>
      </c>
    </row>
    <row r="34" spans="1:2">
      <c r="A34" t="s">
        <v>258</v>
      </c>
      <c r="B34">
        <v>7</v>
      </c>
    </row>
    <row r="35" spans="1:2">
      <c r="A35" t="s">
        <v>265</v>
      </c>
      <c r="B35">
        <v>20</v>
      </c>
    </row>
    <row r="36" spans="1:2">
      <c r="A36" t="s">
        <v>262</v>
      </c>
      <c r="B36">
        <v>3</v>
      </c>
    </row>
    <row r="37" spans="1:2">
      <c r="A37" t="s">
        <v>263</v>
      </c>
      <c r="B37">
        <v>22</v>
      </c>
    </row>
    <row r="38" spans="1:2">
      <c r="A38" t="s">
        <v>264</v>
      </c>
      <c r="B38">
        <v>2</v>
      </c>
    </row>
    <row r="39" spans="1:2">
      <c r="A39" t="s">
        <v>269</v>
      </c>
      <c r="B39">
        <v>13</v>
      </c>
    </row>
    <row r="40" spans="1:2">
      <c r="A40" t="s">
        <v>268</v>
      </c>
      <c r="B40">
        <v>1</v>
      </c>
    </row>
    <row r="41" spans="1:2">
      <c r="A41" t="s">
        <v>272</v>
      </c>
      <c r="B41">
        <v>18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12</v>
      </c>
    </row>
    <row r="44" spans="1:2">
      <c r="A44" t="s">
        <v>297</v>
      </c>
      <c r="B44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6"/>
  <sheetViews>
    <sheetView showGridLines="0" tabSelected="1" zoomScale="130" zoomScaleNormal="130" workbookViewId="0">
      <selection activeCell="E11" sqref="E1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0.5722797165666329</v>
      </c>
      <c r="C2" s="111"/>
      <c r="D2" s="112"/>
      <c r="E2" s="113"/>
      <c r="F2" s="112"/>
      <c r="G2" s="113"/>
      <c r="H2" s="110">
        <v>0.88085722808048972</v>
      </c>
      <c r="I2" s="111"/>
      <c r="J2" s="110">
        <v>0.76433964751751293</v>
      </c>
      <c r="K2" s="111"/>
      <c r="L2" s="110">
        <v>0.75900478290702222</v>
      </c>
      <c r="M2" s="111"/>
      <c r="N2" s="110">
        <v>0.80130990150928672</v>
      </c>
      <c r="O2" s="111"/>
      <c r="P2" s="110">
        <v>0.73809708284313613</v>
      </c>
      <c r="Q2" s="111"/>
      <c r="R2" s="110">
        <v>0.49212523076044418</v>
      </c>
      <c r="S2" s="111"/>
      <c r="T2" s="110">
        <v>0.28023184951123215</v>
      </c>
      <c r="U2" s="111"/>
      <c r="V2" s="110">
        <v>0.32851852297539602</v>
      </c>
      <c r="W2" s="111"/>
      <c r="X2" s="110">
        <v>0.25657216971273544</v>
      </c>
      <c r="Y2" s="111"/>
      <c r="Z2" s="110">
        <v>0.36653851503862295</v>
      </c>
      <c r="AA2" s="111"/>
      <c r="AB2" s="110">
        <v>0.38336678878306829</v>
      </c>
      <c r="AC2" s="111"/>
      <c r="AD2" s="110">
        <v>0.57476017589373352</v>
      </c>
      <c r="AE2" s="111"/>
      <c r="AF2" s="110">
        <v>-0.39998788070828778</v>
      </c>
      <c r="AG2" s="111"/>
      <c r="AH2" s="110">
        <v>0.65976128864849282</v>
      </c>
      <c r="AI2" s="111"/>
    </row>
    <row r="3" spans="1:35">
      <c r="A3" s="36">
        <v>1</v>
      </c>
      <c r="B3" s="37" t="s">
        <v>114</v>
      </c>
      <c r="C3" s="106">
        <v>117.25</v>
      </c>
      <c r="D3" s="37" t="s">
        <v>169</v>
      </c>
      <c r="E3" s="38">
        <v>692.6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244</v>
      </c>
      <c r="U3" s="43">
        <v>8768.4210526315783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297</v>
      </c>
      <c r="AA3" s="42">
        <v>0.41666666666666669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47</v>
      </c>
      <c r="D4" s="45" t="s">
        <v>263</v>
      </c>
      <c r="E4" s="46">
        <v>292.59999999999997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167</v>
      </c>
      <c r="U4" s="51">
        <v>8600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231</v>
      </c>
      <c r="AA4" s="50">
        <v>0.38461538461538464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44</v>
      </c>
      <c r="D5" s="45" t="s">
        <v>162</v>
      </c>
      <c r="E5" s="46">
        <v>268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268</v>
      </c>
      <c r="U5" s="51">
        <v>8550</v>
      </c>
      <c r="V5" s="47" t="s">
        <v>264</v>
      </c>
      <c r="W5" s="51">
        <v>-1950</v>
      </c>
      <c r="X5" s="47" t="s">
        <v>297</v>
      </c>
      <c r="Y5" s="50">
        <v>0.33333333333333331</v>
      </c>
      <c r="Z5" s="47" t="s">
        <v>199</v>
      </c>
      <c r="AA5" s="50">
        <v>0.33333333333333331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244</v>
      </c>
      <c r="AI5" s="54">
        <v>71800</v>
      </c>
    </row>
    <row r="6" spans="1:35">
      <c r="A6" s="44">
        <v>4</v>
      </c>
      <c r="B6" s="45" t="s">
        <v>216</v>
      </c>
      <c r="C6" s="107">
        <v>27</v>
      </c>
      <c r="D6" s="45" t="s">
        <v>265</v>
      </c>
      <c r="E6" s="46">
        <v>247.90000000000003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276</v>
      </c>
      <c r="S6" s="50">
        <v>8.3333333333333329E-2</v>
      </c>
      <c r="T6" s="47" t="s">
        <v>276</v>
      </c>
      <c r="U6" s="51">
        <v>8538.8888888888887</v>
      </c>
      <c r="V6" s="47" t="s">
        <v>175</v>
      </c>
      <c r="W6" s="51">
        <v>-2950</v>
      </c>
      <c r="X6" s="47" t="s">
        <v>258</v>
      </c>
      <c r="Y6" s="50">
        <v>0.32</v>
      </c>
      <c r="Z6" s="47" t="s">
        <v>168</v>
      </c>
      <c r="AA6" s="50">
        <v>0.33098591549295775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235</v>
      </c>
      <c r="AG6" s="50">
        <v>0.52631578947368418</v>
      </c>
      <c r="AH6" s="47" t="s">
        <v>162</v>
      </c>
      <c r="AI6" s="54">
        <v>67800</v>
      </c>
    </row>
    <row r="7" spans="1:35">
      <c r="A7" s="44">
        <v>5</v>
      </c>
      <c r="B7" s="45" t="s">
        <v>263</v>
      </c>
      <c r="C7" s="107">
        <v>22</v>
      </c>
      <c r="D7" s="45" t="s">
        <v>195</v>
      </c>
      <c r="E7" s="46">
        <v>231.09999999999997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216</v>
      </c>
      <c r="U7" s="51">
        <v>8496.2962962962956</v>
      </c>
      <c r="V7" s="47" t="s">
        <v>191</v>
      </c>
      <c r="W7" s="51">
        <v>-3740</v>
      </c>
      <c r="X7" s="47" t="s">
        <v>272</v>
      </c>
      <c r="Y7" s="50">
        <v>0.2932330827067669</v>
      </c>
      <c r="Z7" s="47" t="s">
        <v>276</v>
      </c>
      <c r="AA7" s="50">
        <v>0.32142857142857145</v>
      </c>
      <c r="AB7" s="47" t="s">
        <v>166</v>
      </c>
      <c r="AC7" s="50">
        <v>0.75</v>
      </c>
      <c r="AD7" s="47" t="s">
        <v>241</v>
      </c>
      <c r="AE7" s="50">
        <v>0.53846153846153844</v>
      </c>
      <c r="AF7" s="47" t="s">
        <v>269</v>
      </c>
      <c r="AG7" s="50">
        <v>0.5</v>
      </c>
      <c r="AH7" s="47" t="s">
        <v>228</v>
      </c>
      <c r="AI7" s="54">
        <v>67500</v>
      </c>
    </row>
    <row r="8" spans="1:35">
      <c r="A8" s="44">
        <v>6</v>
      </c>
      <c r="B8" s="45" t="s">
        <v>265</v>
      </c>
      <c r="C8" s="107">
        <v>20</v>
      </c>
      <c r="D8" s="45" t="s">
        <v>272</v>
      </c>
      <c r="E8" s="46">
        <v>226.5</v>
      </c>
      <c r="F8" s="47" t="s">
        <v>169</v>
      </c>
      <c r="G8" s="59">
        <v>14.736170212765957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0.2807017543859649</v>
      </c>
      <c r="R8" s="47" t="s">
        <v>255</v>
      </c>
      <c r="S8" s="50">
        <v>9.3220338983050849E-2</v>
      </c>
      <c r="T8" s="47" t="s">
        <v>175</v>
      </c>
      <c r="U8" s="51">
        <v>8400</v>
      </c>
      <c r="V8" s="47" t="s">
        <v>258</v>
      </c>
      <c r="W8" s="51">
        <v>-3880</v>
      </c>
      <c r="X8" s="47" t="s">
        <v>167</v>
      </c>
      <c r="Y8" s="50">
        <v>0.2857142857142857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167</v>
      </c>
      <c r="AG8" s="50">
        <v>0.5</v>
      </c>
      <c r="AH8" s="47" t="s">
        <v>168</v>
      </c>
      <c r="AI8" s="54">
        <v>65600</v>
      </c>
    </row>
    <row r="9" spans="1:35">
      <c r="A9" s="44">
        <v>7</v>
      </c>
      <c r="B9" s="45" t="s">
        <v>238</v>
      </c>
      <c r="C9" s="107">
        <v>19</v>
      </c>
      <c r="D9" s="45" t="s">
        <v>168</v>
      </c>
      <c r="E9" s="46">
        <v>154.39999999999998</v>
      </c>
      <c r="F9" s="47" t="s">
        <v>167</v>
      </c>
      <c r="G9" s="59">
        <v>14</v>
      </c>
      <c r="H9" s="47" t="s">
        <v>297</v>
      </c>
      <c r="I9" s="48">
        <v>2</v>
      </c>
      <c r="J9" s="47" t="s">
        <v>297</v>
      </c>
      <c r="K9" s="49">
        <v>0.5</v>
      </c>
      <c r="L9" s="47" t="s">
        <v>264</v>
      </c>
      <c r="M9" s="49">
        <v>0</v>
      </c>
      <c r="N9" s="47" t="s">
        <v>263</v>
      </c>
      <c r="O9" s="49">
        <v>0.68181818181818177</v>
      </c>
      <c r="P9" s="47" t="s">
        <v>195</v>
      </c>
      <c r="Q9" s="50">
        <v>0.27009646302250806</v>
      </c>
      <c r="R9" s="47" t="s">
        <v>169</v>
      </c>
      <c r="S9" s="50">
        <v>9.375E-2</v>
      </c>
      <c r="T9" s="47" t="s">
        <v>205</v>
      </c>
      <c r="U9" s="51">
        <v>8333.3333333333339</v>
      </c>
      <c r="V9" s="47" t="s">
        <v>215</v>
      </c>
      <c r="W9" s="51">
        <v>-3900</v>
      </c>
      <c r="X9" s="47" t="s">
        <v>223</v>
      </c>
      <c r="Y9" s="50">
        <v>0.2857142857142857</v>
      </c>
      <c r="Z9" s="47" t="s">
        <v>195</v>
      </c>
      <c r="AA9" s="50">
        <v>0.30225080385852088</v>
      </c>
      <c r="AB9" s="47" t="s">
        <v>177</v>
      </c>
      <c r="AC9" s="50">
        <v>0.75</v>
      </c>
      <c r="AD9" s="47" t="s">
        <v>265</v>
      </c>
      <c r="AE9" s="50">
        <v>0.47826086956521741</v>
      </c>
      <c r="AF9" s="47" t="s">
        <v>203</v>
      </c>
      <c r="AG9" s="50">
        <v>0.5</v>
      </c>
      <c r="AH9" s="47" t="s">
        <v>195</v>
      </c>
      <c r="AI9" s="54">
        <v>65500</v>
      </c>
    </row>
    <row r="10" spans="1:35">
      <c r="A10" s="44">
        <v>8</v>
      </c>
      <c r="B10" s="45" t="s">
        <v>168</v>
      </c>
      <c r="C10" s="107">
        <v>18</v>
      </c>
      <c r="D10" s="45" t="s">
        <v>205</v>
      </c>
      <c r="E10" s="46">
        <v>141.1</v>
      </c>
      <c r="F10" s="47" t="s">
        <v>263</v>
      </c>
      <c r="G10" s="59">
        <v>13.299999999999999</v>
      </c>
      <c r="H10" s="47" t="s">
        <v>263</v>
      </c>
      <c r="I10" s="48">
        <v>2.0909090909090908</v>
      </c>
      <c r="J10" s="47" t="s">
        <v>244</v>
      </c>
      <c r="K10" s="49">
        <v>0.41666666666666669</v>
      </c>
      <c r="L10" s="47" t="s">
        <v>268</v>
      </c>
      <c r="M10" s="49">
        <v>0</v>
      </c>
      <c r="N10" s="47" t="s">
        <v>276</v>
      </c>
      <c r="O10" s="49">
        <v>0.66666666666666663</v>
      </c>
      <c r="P10" s="47" t="s">
        <v>162</v>
      </c>
      <c r="Q10" s="50">
        <v>0.26923076923076922</v>
      </c>
      <c r="R10" s="47" t="s">
        <v>265</v>
      </c>
      <c r="S10" s="50">
        <v>9.420289855072464E-2</v>
      </c>
      <c r="T10" s="47" t="s">
        <v>228</v>
      </c>
      <c r="U10" s="51">
        <v>8213.636363636364</v>
      </c>
      <c r="V10" s="47" t="s">
        <v>231</v>
      </c>
      <c r="W10" s="51">
        <v>-3900</v>
      </c>
      <c r="X10" s="47" t="s">
        <v>175</v>
      </c>
      <c r="Y10" s="50">
        <v>0.26666666666666666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223</v>
      </c>
      <c r="AG10" s="50">
        <v>0.5</v>
      </c>
      <c r="AH10" s="47" t="s">
        <v>227</v>
      </c>
      <c r="AI10" s="54">
        <v>64500</v>
      </c>
    </row>
    <row r="11" spans="1:35">
      <c r="A11" s="44">
        <v>9</v>
      </c>
      <c r="B11" s="45" t="s">
        <v>272</v>
      </c>
      <c r="C11" s="107">
        <v>18</v>
      </c>
      <c r="D11" s="45" t="s">
        <v>276</v>
      </c>
      <c r="E11" s="46">
        <v>137.20000000000005</v>
      </c>
      <c r="F11" s="47" t="s">
        <v>272</v>
      </c>
      <c r="G11" s="59">
        <v>12.583333333333334</v>
      </c>
      <c r="H11" s="47" t="s">
        <v>169</v>
      </c>
      <c r="I11" s="48">
        <v>2.1276595744680851</v>
      </c>
      <c r="J11" s="47" t="s">
        <v>265</v>
      </c>
      <c r="K11" s="49">
        <v>0.4</v>
      </c>
      <c r="L11" s="47" t="s">
        <v>297</v>
      </c>
      <c r="M11" s="49">
        <v>0</v>
      </c>
      <c r="N11" s="47" t="s">
        <v>162</v>
      </c>
      <c r="O11" s="49">
        <v>0.66666666666666663</v>
      </c>
      <c r="P11" s="47" t="s">
        <v>265</v>
      </c>
      <c r="Q11" s="50">
        <v>0.26811594202898553</v>
      </c>
      <c r="R11" s="47" t="s">
        <v>263</v>
      </c>
      <c r="S11" s="50">
        <v>9.9415204678362568E-2</v>
      </c>
      <c r="T11" s="47" t="s">
        <v>231</v>
      </c>
      <c r="U11" s="51">
        <v>7975</v>
      </c>
      <c r="V11" s="47" t="s">
        <v>297</v>
      </c>
      <c r="W11" s="51">
        <v>-4200</v>
      </c>
      <c r="X11" s="47" t="s">
        <v>164</v>
      </c>
      <c r="Y11" s="50">
        <v>0.26446280991735538</v>
      </c>
      <c r="Z11" s="47" t="s">
        <v>241</v>
      </c>
      <c r="AA11" s="50">
        <v>0.27083333333333331</v>
      </c>
      <c r="AB11" s="47" t="s">
        <v>263</v>
      </c>
      <c r="AC11" s="50">
        <v>0.7142857142857143</v>
      </c>
      <c r="AD11" s="47" t="s">
        <v>263</v>
      </c>
      <c r="AE11" s="50">
        <v>0.43902439024390244</v>
      </c>
      <c r="AF11" s="47" t="s">
        <v>268</v>
      </c>
      <c r="AG11" s="50">
        <v>0.5</v>
      </c>
      <c r="AH11" s="47" t="s">
        <v>216</v>
      </c>
      <c r="AI11" s="54">
        <v>62700</v>
      </c>
    </row>
    <row r="12" spans="1:35">
      <c r="A12" s="44">
        <v>10</v>
      </c>
      <c r="B12" s="45" t="s">
        <v>228</v>
      </c>
      <c r="C12" s="107">
        <v>17</v>
      </c>
      <c r="D12" s="45" t="s">
        <v>231</v>
      </c>
      <c r="E12" s="46">
        <v>112.5</v>
      </c>
      <c r="F12" s="47" t="s">
        <v>265</v>
      </c>
      <c r="G12" s="59">
        <v>12.395000000000001</v>
      </c>
      <c r="H12" s="47" t="s">
        <v>191</v>
      </c>
      <c r="I12" s="48">
        <v>2.1428571428571428</v>
      </c>
      <c r="J12" s="47" t="s">
        <v>168</v>
      </c>
      <c r="K12" s="49">
        <v>0.3888888888888889</v>
      </c>
      <c r="L12" s="47" t="s">
        <v>191</v>
      </c>
      <c r="M12" s="49">
        <v>7.1428571428571425E-2</v>
      </c>
      <c r="N12" s="47" t="s">
        <v>169</v>
      </c>
      <c r="O12" s="49">
        <v>0.65957446808510634</v>
      </c>
      <c r="P12" s="47" t="s">
        <v>272</v>
      </c>
      <c r="Q12" s="50">
        <v>0.25563909774436089</v>
      </c>
      <c r="R12" s="47" t="s">
        <v>177</v>
      </c>
      <c r="S12" s="50">
        <v>0.10526315789473684</v>
      </c>
      <c r="T12" s="47" t="s">
        <v>264</v>
      </c>
      <c r="U12" s="51">
        <v>7966.666666666667</v>
      </c>
      <c r="V12" s="47" t="s">
        <v>277</v>
      </c>
      <c r="W12" s="51">
        <v>-4235.2941176470586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265</v>
      </c>
      <c r="AC12" s="50">
        <v>0.68571428571428572</v>
      </c>
      <c r="AD12" s="47" t="s">
        <v>161</v>
      </c>
      <c r="AE12" s="50">
        <v>0.3888888888888889</v>
      </c>
      <c r="AF12" s="47" t="s">
        <v>297</v>
      </c>
      <c r="AG12" s="50">
        <v>0.5</v>
      </c>
      <c r="AH12" s="47" t="s">
        <v>265</v>
      </c>
      <c r="AI12" s="54">
        <v>61200</v>
      </c>
    </row>
    <row r="13" spans="1:35">
      <c r="A13" s="44">
        <v>11</v>
      </c>
      <c r="B13" s="45" t="s">
        <v>235</v>
      </c>
      <c r="C13" s="107">
        <v>17</v>
      </c>
      <c r="D13" s="45" t="s">
        <v>255</v>
      </c>
      <c r="E13" s="46">
        <v>98.5</v>
      </c>
      <c r="F13" s="47" t="s">
        <v>276</v>
      </c>
      <c r="G13" s="59">
        <v>11.433333333333337</v>
      </c>
      <c r="H13" s="47" t="s">
        <v>272</v>
      </c>
      <c r="I13" s="48">
        <v>2.1666666666666665</v>
      </c>
      <c r="J13" s="47" t="s">
        <v>272</v>
      </c>
      <c r="K13" s="49">
        <v>0.3888888888888889</v>
      </c>
      <c r="L13" s="47" t="s">
        <v>263</v>
      </c>
      <c r="M13" s="49">
        <v>9.0909090909090912E-2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179</v>
      </c>
      <c r="S13" s="50">
        <v>0.10687022900763359</v>
      </c>
      <c r="T13" s="47" t="s">
        <v>162</v>
      </c>
      <c r="U13" s="51">
        <v>7942.8571428571431</v>
      </c>
      <c r="V13" s="47" t="s">
        <v>272</v>
      </c>
      <c r="W13" s="51">
        <v>-4688.2352941176468</v>
      </c>
      <c r="X13" s="47" t="s">
        <v>195</v>
      </c>
      <c r="Y13" s="50">
        <v>0.25401929260450162</v>
      </c>
      <c r="Z13" s="47" t="s">
        <v>179</v>
      </c>
      <c r="AA13" s="50">
        <v>0.25190839694656486</v>
      </c>
      <c r="AB13" s="47" t="s">
        <v>238</v>
      </c>
      <c r="AC13" s="50">
        <v>0.65</v>
      </c>
      <c r="AD13" s="47" t="s">
        <v>169</v>
      </c>
      <c r="AE13" s="50">
        <v>0.38666666666666666</v>
      </c>
      <c r="AF13" s="47" t="s">
        <v>216</v>
      </c>
      <c r="AG13" s="50">
        <v>0.44444444444444442</v>
      </c>
      <c r="AH13" s="47" t="s">
        <v>276</v>
      </c>
      <c r="AI13" s="54">
        <v>60800</v>
      </c>
    </row>
    <row r="14" spans="1:35">
      <c r="A14" s="44">
        <v>12</v>
      </c>
      <c r="B14" s="45" t="s">
        <v>255</v>
      </c>
      <c r="C14" s="107">
        <v>17</v>
      </c>
      <c r="D14" s="45" t="s">
        <v>191</v>
      </c>
      <c r="E14" s="46">
        <v>79.299999999999983</v>
      </c>
      <c r="F14" s="47" t="s">
        <v>168</v>
      </c>
      <c r="G14" s="59">
        <v>8.5777777777777757</v>
      </c>
      <c r="H14" s="47" t="s">
        <v>276</v>
      </c>
      <c r="I14" s="48">
        <v>2.1666666666666665</v>
      </c>
      <c r="J14" s="47" t="s">
        <v>163</v>
      </c>
      <c r="K14" s="49">
        <v>0.375</v>
      </c>
      <c r="L14" s="47" t="s">
        <v>272</v>
      </c>
      <c r="M14" s="49">
        <v>0.1111111111111111</v>
      </c>
      <c r="N14" s="47" t="s">
        <v>265</v>
      </c>
      <c r="O14" s="49">
        <v>0.6</v>
      </c>
      <c r="P14" s="47" t="s">
        <v>264</v>
      </c>
      <c r="Q14" s="50">
        <v>0.23076923076923078</v>
      </c>
      <c r="R14" s="47" t="s">
        <v>205</v>
      </c>
      <c r="S14" s="50">
        <v>0.10714285714285714</v>
      </c>
      <c r="T14" s="47" t="s">
        <v>169</v>
      </c>
      <c r="U14" s="51">
        <v>7665</v>
      </c>
      <c r="V14" s="47" t="s">
        <v>202</v>
      </c>
      <c r="W14" s="51">
        <v>-4800</v>
      </c>
      <c r="X14" s="47" t="s">
        <v>265</v>
      </c>
      <c r="Y14" s="50">
        <v>0.25362318840579712</v>
      </c>
      <c r="Z14" s="47" t="s">
        <v>196</v>
      </c>
      <c r="AA14" s="50">
        <v>0.25</v>
      </c>
      <c r="AB14" s="47" t="s">
        <v>169</v>
      </c>
      <c r="AC14" s="50">
        <v>0.63157894736842102</v>
      </c>
      <c r="AD14" s="47" t="s">
        <v>168</v>
      </c>
      <c r="AE14" s="50">
        <v>0.38297872340425532</v>
      </c>
      <c r="AF14" s="47" t="s">
        <v>276</v>
      </c>
      <c r="AG14" s="50">
        <v>0.44444444444444442</v>
      </c>
      <c r="AH14" s="47" t="s">
        <v>255</v>
      </c>
      <c r="AI14" s="54">
        <v>60000</v>
      </c>
    </row>
    <row r="15" spans="1:35">
      <c r="A15" s="44">
        <v>13</v>
      </c>
      <c r="B15" s="45" t="s">
        <v>179</v>
      </c>
      <c r="C15" s="107">
        <v>16</v>
      </c>
      <c r="D15" s="45" t="s">
        <v>264</v>
      </c>
      <c r="E15" s="46">
        <v>63.300000000000004</v>
      </c>
      <c r="F15" s="47" t="s">
        <v>255</v>
      </c>
      <c r="G15" s="59">
        <v>5.7941176470588234</v>
      </c>
      <c r="H15" s="47" t="s">
        <v>265</v>
      </c>
      <c r="I15" s="48">
        <v>2.2000000000000002</v>
      </c>
      <c r="J15" s="47" t="s">
        <v>169</v>
      </c>
      <c r="K15" s="49">
        <v>0.36170212765957449</v>
      </c>
      <c r="L15" s="47" t="s">
        <v>195</v>
      </c>
      <c r="M15" s="49">
        <v>0.13636363636363635</v>
      </c>
      <c r="N15" s="47" t="s">
        <v>227</v>
      </c>
      <c r="O15" s="49">
        <v>0.5714285714285714</v>
      </c>
      <c r="P15" s="47" t="s">
        <v>241</v>
      </c>
      <c r="Q15" s="50">
        <v>0.22916666666666666</v>
      </c>
      <c r="R15" s="47" t="s">
        <v>213</v>
      </c>
      <c r="S15" s="50">
        <v>0.1111111111111111</v>
      </c>
      <c r="T15" s="47" t="s">
        <v>164</v>
      </c>
      <c r="U15" s="51">
        <v>7355</v>
      </c>
      <c r="V15" s="47" t="s">
        <v>162</v>
      </c>
      <c r="W15" s="51">
        <v>-5000</v>
      </c>
      <c r="X15" s="47" t="s">
        <v>196</v>
      </c>
      <c r="Y15" s="50">
        <v>0.25</v>
      </c>
      <c r="Z15" s="47" t="s">
        <v>191</v>
      </c>
      <c r="AA15" s="50">
        <v>0.24347826086956523</v>
      </c>
      <c r="AB15" s="47" t="s">
        <v>276</v>
      </c>
      <c r="AC15" s="50">
        <v>0.63157894736842102</v>
      </c>
      <c r="AD15" s="47" t="s">
        <v>195</v>
      </c>
      <c r="AE15" s="50">
        <v>0.36170212765957449</v>
      </c>
      <c r="AF15" s="47" t="s">
        <v>161</v>
      </c>
      <c r="AG15" s="50">
        <v>0.4375</v>
      </c>
      <c r="AH15" s="47" t="s">
        <v>205</v>
      </c>
      <c r="AI15" s="54">
        <v>57200</v>
      </c>
    </row>
    <row r="16" spans="1:35">
      <c r="A16" s="44">
        <v>14</v>
      </c>
      <c r="B16" s="45" t="s">
        <v>164</v>
      </c>
      <c r="C16" s="107">
        <v>15</v>
      </c>
      <c r="D16" s="45" t="s">
        <v>244</v>
      </c>
      <c r="E16" s="46">
        <v>62.199999999999989</v>
      </c>
      <c r="F16" s="47" t="s">
        <v>191</v>
      </c>
      <c r="G16" s="59">
        <v>5.6642857142857128</v>
      </c>
      <c r="H16" s="47" t="s">
        <v>168</v>
      </c>
      <c r="I16" s="48">
        <v>2.3333333333333335</v>
      </c>
      <c r="J16" s="47" t="s">
        <v>276</v>
      </c>
      <c r="K16" s="49">
        <v>0.33333333333333331</v>
      </c>
      <c r="L16" s="47" t="s">
        <v>169</v>
      </c>
      <c r="M16" s="49">
        <v>0.14893617021276595</v>
      </c>
      <c r="N16" s="47" t="s">
        <v>241</v>
      </c>
      <c r="O16" s="49">
        <v>0.5714285714285714</v>
      </c>
      <c r="P16" s="47" t="s">
        <v>169</v>
      </c>
      <c r="Q16" s="50">
        <v>0.22727272727272727</v>
      </c>
      <c r="R16" s="47" t="s">
        <v>166</v>
      </c>
      <c r="S16" s="50">
        <v>0.11428571428571428</v>
      </c>
      <c r="T16" s="47" t="s">
        <v>223</v>
      </c>
      <c r="U16" s="51">
        <v>7200</v>
      </c>
      <c r="V16" s="47" t="s">
        <v>263</v>
      </c>
      <c r="W16" s="51">
        <v>-5041.1764705882351</v>
      </c>
      <c r="X16" s="47" t="s">
        <v>205</v>
      </c>
      <c r="Y16" s="50">
        <v>0.25</v>
      </c>
      <c r="Z16" s="47" t="s">
        <v>263</v>
      </c>
      <c r="AA16" s="50">
        <v>0.23976608187134502</v>
      </c>
      <c r="AB16" s="47" t="s">
        <v>228</v>
      </c>
      <c r="AC16" s="50">
        <v>0.61904761904761907</v>
      </c>
      <c r="AD16" s="47" t="s">
        <v>191</v>
      </c>
      <c r="AE16" s="50">
        <v>0.35714285714285715</v>
      </c>
      <c r="AF16" s="47" t="s">
        <v>255</v>
      </c>
      <c r="AG16" s="50">
        <v>0.43478260869565216</v>
      </c>
      <c r="AH16" s="47" t="s">
        <v>161</v>
      </c>
      <c r="AI16" s="54">
        <v>54900</v>
      </c>
    </row>
    <row r="17" spans="1:35">
      <c r="A17" s="44">
        <v>15</v>
      </c>
      <c r="B17" s="45" t="s">
        <v>191</v>
      </c>
      <c r="C17" s="107">
        <v>14</v>
      </c>
      <c r="D17" s="45" t="s">
        <v>268</v>
      </c>
      <c r="E17" s="46">
        <v>52.1</v>
      </c>
      <c r="F17" s="47" t="s">
        <v>195</v>
      </c>
      <c r="G17" s="59">
        <v>5.2522727272727261</v>
      </c>
      <c r="H17" s="47" t="s">
        <v>255</v>
      </c>
      <c r="I17" s="48">
        <v>2.3529411764705883</v>
      </c>
      <c r="J17" s="47" t="s">
        <v>263</v>
      </c>
      <c r="K17" s="49">
        <v>0.31818181818181818</v>
      </c>
      <c r="L17" s="47" t="s">
        <v>276</v>
      </c>
      <c r="M17" s="49">
        <v>0.16666666666666666</v>
      </c>
      <c r="N17" s="47" t="s">
        <v>168</v>
      </c>
      <c r="O17" s="49">
        <v>0.55555555555555558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227</v>
      </c>
      <c r="U17" s="51">
        <v>7161.9047619047615</v>
      </c>
      <c r="V17" s="47" t="s">
        <v>169</v>
      </c>
      <c r="W17" s="51">
        <v>-5075.757575757576</v>
      </c>
      <c r="X17" s="47" t="s">
        <v>255</v>
      </c>
      <c r="Y17" s="50">
        <v>0.23728813559322035</v>
      </c>
      <c r="Z17" s="47" t="s">
        <v>161</v>
      </c>
      <c r="AA17" s="50">
        <v>0.23376623376623376</v>
      </c>
      <c r="AB17" s="47" t="s">
        <v>244</v>
      </c>
      <c r="AC17" s="50">
        <v>0.61111111111111116</v>
      </c>
      <c r="AD17" s="47" t="s">
        <v>216</v>
      </c>
      <c r="AE17" s="50">
        <v>0.34615384615384615</v>
      </c>
      <c r="AF17" s="47" t="s">
        <v>162</v>
      </c>
      <c r="AG17" s="50">
        <v>0.42857142857142855</v>
      </c>
      <c r="AH17" s="47" t="s">
        <v>179</v>
      </c>
      <c r="AI17" s="54">
        <v>53200</v>
      </c>
    </row>
    <row r="18" spans="1:35">
      <c r="A18" s="44">
        <v>16</v>
      </c>
      <c r="B18" s="45" t="s">
        <v>227</v>
      </c>
      <c r="C18" s="107">
        <v>14</v>
      </c>
      <c r="D18" s="45" t="s">
        <v>164</v>
      </c>
      <c r="E18" s="46">
        <v>22.499999999999993</v>
      </c>
      <c r="F18" s="47" t="s">
        <v>244</v>
      </c>
      <c r="G18" s="59">
        <v>5.1833333333333327</v>
      </c>
      <c r="H18" s="47" t="s">
        <v>195</v>
      </c>
      <c r="I18" s="48">
        <v>2.3863636363636362</v>
      </c>
      <c r="J18" s="47" t="s">
        <v>161</v>
      </c>
      <c r="K18" s="49">
        <v>0.3</v>
      </c>
      <c r="L18" s="47" t="s">
        <v>255</v>
      </c>
      <c r="M18" s="49">
        <v>0.17647058823529413</v>
      </c>
      <c r="N18" s="47" t="s">
        <v>272</v>
      </c>
      <c r="O18" s="49">
        <v>0.55555555555555558</v>
      </c>
      <c r="P18" s="47" t="s">
        <v>244</v>
      </c>
      <c r="Q18" s="50">
        <v>0.22093023255813954</v>
      </c>
      <c r="R18" s="47" t="s">
        <v>269</v>
      </c>
      <c r="S18" s="50">
        <v>0.12048192771084337</v>
      </c>
      <c r="T18" s="47" t="s">
        <v>161</v>
      </c>
      <c r="U18" s="51">
        <v>7025</v>
      </c>
      <c r="V18" s="47" t="s">
        <v>203</v>
      </c>
      <c r="W18" s="51">
        <v>-5080</v>
      </c>
      <c r="X18" s="47" t="s">
        <v>276</v>
      </c>
      <c r="Y18" s="50">
        <v>0.22619047619047619</v>
      </c>
      <c r="Z18" s="47" t="s">
        <v>264</v>
      </c>
      <c r="AA18" s="50">
        <v>0.23076923076923078</v>
      </c>
      <c r="AB18" s="47" t="s">
        <v>272</v>
      </c>
      <c r="AC18" s="50">
        <v>0.58974358974358976</v>
      </c>
      <c r="AD18" s="47" t="s">
        <v>272</v>
      </c>
      <c r="AE18" s="50">
        <v>0.33333333333333331</v>
      </c>
      <c r="AF18" s="47" t="s">
        <v>244</v>
      </c>
      <c r="AG18" s="50">
        <v>0.42105263157894735</v>
      </c>
      <c r="AH18" s="47" t="s">
        <v>191</v>
      </c>
      <c r="AI18" s="54">
        <v>52500</v>
      </c>
    </row>
    <row r="19" spans="1:35">
      <c r="A19" s="44">
        <v>17</v>
      </c>
      <c r="B19" s="45" t="s">
        <v>269</v>
      </c>
      <c r="C19" s="107">
        <v>13</v>
      </c>
      <c r="D19" s="45" t="s">
        <v>163</v>
      </c>
      <c r="E19" s="46">
        <v>20.300000000000004</v>
      </c>
      <c r="F19" s="47" t="s">
        <v>297</v>
      </c>
      <c r="G19" s="59">
        <v>4.0999999999999996</v>
      </c>
      <c r="H19" s="47" t="s">
        <v>244</v>
      </c>
      <c r="I19" s="48">
        <v>2.4166666666666665</v>
      </c>
      <c r="J19" s="47" t="s">
        <v>255</v>
      </c>
      <c r="K19" s="49">
        <v>0.29411764705882354</v>
      </c>
      <c r="L19" s="47" t="s">
        <v>179</v>
      </c>
      <c r="M19" s="49">
        <v>0.1875</v>
      </c>
      <c r="N19" s="47" t="s">
        <v>255</v>
      </c>
      <c r="O19" s="49">
        <v>0.52941176470588236</v>
      </c>
      <c r="P19" s="47" t="s">
        <v>163</v>
      </c>
      <c r="Q19" s="50">
        <v>0.21739130434782608</v>
      </c>
      <c r="R19" s="47" t="s">
        <v>195</v>
      </c>
      <c r="S19" s="50">
        <v>0.12218649517684887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277</v>
      </c>
      <c r="Y19" s="50">
        <v>0.22340425531914893</v>
      </c>
      <c r="Z19" s="47" t="s">
        <v>272</v>
      </c>
      <c r="AA19" s="50">
        <v>0.22556390977443608</v>
      </c>
      <c r="AB19" s="47" t="s">
        <v>235</v>
      </c>
      <c r="AC19" s="50">
        <v>0.55555555555555558</v>
      </c>
      <c r="AD19" s="47" t="s">
        <v>177</v>
      </c>
      <c r="AE19" s="50">
        <v>0.33333333333333331</v>
      </c>
      <c r="AF19" s="47" t="s">
        <v>205</v>
      </c>
      <c r="AG19" s="50">
        <v>0.41666666666666669</v>
      </c>
      <c r="AH19" s="47" t="s">
        <v>164</v>
      </c>
      <c r="AI19" s="54">
        <v>52000</v>
      </c>
    </row>
    <row r="20" spans="1:35">
      <c r="A20" s="44">
        <v>18</v>
      </c>
      <c r="B20" s="45" t="s">
        <v>277</v>
      </c>
      <c r="C20" s="107">
        <v>13</v>
      </c>
      <c r="D20" s="45" t="s">
        <v>167</v>
      </c>
      <c r="E20" s="46">
        <v>14</v>
      </c>
      <c r="F20" s="47" t="s">
        <v>163</v>
      </c>
      <c r="G20" s="59">
        <v>2.5375000000000005</v>
      </c>
      <c r="H20" s="47" t="s">
        <v>179</v>
      </c>
      <c r="I20" s="48">
        <v>2.4375</v>
      </c>
      <c r="J20" s="47" t="s">
        <v>195</v>
      </c>
      <c r="K20" s="49">
        <v>0.27272727272727271</v>
      </c>
      <c r="L20" s="47" t="s">
        <v>213</v>
      </c>
      <c r="M20" s="49">
        <v>0.2</v>
      </c>
      <c r="N20" s="47" t="s">
        <v>114</v>
      </c>
      <c r="O20" s="49">
        <v>0.50106609808102343</v>
      </c>
      <c r="P20" s="47" t="s">
        <v>276</v>
      </c>
      <c r="Q20" s="50">
        <v>0.21428571428571427</v>
      </c>
      <c r="R20" s="47" t="s">
        <v>272</v>
      </c>
      <c r="S20" s="50">
        <v>0.12781954887218044</v>
      </c>
      <c r="T20" s="47" t="s">
        <v>255</v>
      </c>
      <c r="U20" s="51">
        <v>6908.695652173913</v>
      </c>
      <c r="V20" s="47" t="s">
        <v>265</v>
      </c>
      <c r="W20" s="51">
        <v>-5423.0769230769229</v>
      </c>
      <c r="X20" s="47" t="s">
        <v>213</v>
      </c>
      <c r="Y20" s="50">
        <v>0.22222222222222221</v>
      </c>
      <c r="Z20" s="47" t="s">
        <v>255</v>
      </c>
      <c r="AA20" s="50">
        <v>0.22033898305084745</v>
      </c>
      <c r="AB20" s="47" t="s">
        <v>114</v>
      </c>
      <c r="AC20" s="50">
        <v>0.54609929078014185</v>
      </c>
      <c r="AD20" s="47" t="s">
        <v>205</v>
      </c>
      <c r="AE20" s="50">
        <v>0.33333333333333331</v>
      </c>
      <c r="AF20" s="47" t="s">
        <v>238</v>
      </c>
      <c r="AG20" s="50">
        <v>0.4</v>
      </c>
      <c r="AH20" s="47" t="s">
        <v>272</v>
      </c>
      <c r="AI20" s="54">
        <v>50500</v>
      </c>
    </row>
    <row r="21" spans="1:35">
      <c r="A21" s="44">
        <v>19</v>
      </c>
      <c r="B21" s="45" t="s">
        <v>244</v>
      </c>
      <c r="C21" s="107">
        <v>12</v>
      </c>
      <c r="D21" s="45" t="s">
        <v>297</v>
      </c>
      <c r="E21" s="46">
        <v>8.1999999999999993</v>
      </c>
      <c r="F21" s="47" t="s">
        <v>177</v>
      </c>
      <c r="G21" s="59">
        <v>1.9499999999999993</v>
      </c>
      <c r="H21" s="47" t="s">
        <v>164</v>
      </c>
      <c r="I21" s="48">
        <v>2.4666666666666668</v>
      </c>
      <c r="J21" s="47" t="s">
        <v>216</v>
      </c>
      <c r="K21" s="49">
        <v>0.25925925925925924</v>
      </c>
      <c r="L21" s="47" t="s">
        <v>265</v>
      </c>
      <c r="M21" s="49">
        <v>0.2</v>
      </c>
      <c r="N21" s="47" t="s">
        <v>161</v>
      </c>
      <c r="O21" s="49">
        <v>0.5</v>
      </c>
      <c r="P21" s="47" t="s">
        <v>114</v>
      </c>
      <c r="Q21" s="50">
        <v>0.21118555199533937</v>
      </c>
      <c r="R21" s="47" t="s">
        <v>162</v>
      </c>
      <c r="S21" s="50">
        <v>0.12820512820512819</v>
      </c>
      <c r="T21" s="47" t="s">
        <v>191</v>
      </c>
      <c r="U21" s="51">
        <v>6733.333333333333</v>
      </c>
      <c r="V21" s="47" t="s">
        <v>223</v>
      </c>
      <c r="W21" s="51">
        <v>-5450</v>
      </c>
      <c r="X21" s="47" t="s">
        <v>177</v>
      </c>
      <c r="Y21" s="50">
        <v>0.21052631578947367</v>
      </c>
      <c r="Z21" s="47" t="s">
        <v>114</v>
      </c>
      <c r="AA21" s="50">
        <v>0.21759394115933586</v>
      </c>
      <c r="AB21" s="47" t="s">
        <v>161</v>
      </c>
      <c r="AC21" s="50">
        <v>0.53846153846153844</v>
      </c>
      <c r="AD21" s="47" t="s">
        <v>114</v>
      </c>
      <c r="AE21" s="50">
        <v>0.33199464524765732</v>
      </c>
      <c r="AF21" s="47" t="s">
        <v>277</v>
      </c>
      <c r="AG21" s="50">
        <v>0.4</v>
      </c>
      <c r="AH21" s="47" t="s">
        <v>263</v>
      </c>
      <c r="AI21" s="54">
        <v>48300</v>
      </c>
    </row>
    <row r="22" spans="1:35">
      <c r="A22" s="44">
        <v>20</v>
      </c>
      <c r="B22" s="45" t="s">
        <v>276</v>
      </c>
      <c r="C22" s="107">
        <v>12</v>
      </c>
      <c r="D22" s="45" t="s">
        <v>177</v>
      </c>
      <c r="E22" s="46">
        <v>3.8999999999999986</v>
      </c>
      <c r="F22" s="47" t="s">
        <v>164</v>
      </c>
      <c r="G22" s="59">
        <v>1.4999999999999996</v>
      </c>
      <c r="H22" s="47" t="s">
        <v>114</v>
      </c>
      <c r="I22" s="48">
        <v>2.4904051172707891</v>
      </c>
      <c r="J22" s="47" t="s">
        <v>114</v>
      </c>
      <c r="K22" s="49">
        <v>0.25586353944562901</v>
      </c>
      <c r="L22" s="47" t="s">
        <v>238</v>
      </c>
      <c r="M22" s="49">
        <v>0.21052631578947367</v>
      </c>
      <c r="N22" s="47" t="s">
        <v>179</v>
      </c>
      <c r="O22" s="49">
        <v>0.5</v>
      </c>
      <c r="P22" s="47" t="s">
        <v>177</v>
      </c>
      <c r="Q22" s="50">
        <v>0.21052631578947367</v>
      </c>
      <c r="R22" s="47" t="s">
        <v>191</v>
      </c>
      <c r="S22" s="50">
        <v>0.13043478260869565</v>
      </c>
      <c r="T22" s="47" t="s">
        <v>114</v>
      </c>
      <c r="U22" s="51">
        <v>6661.2413793103451</v>
      </c>
      <c r="V22" s="47" t="s">
        <v>164</v>
      </c>
      <c r="W22" s="51">
        <v>-5500</v>
      </c>
      <c r="X22" s="47" t="s">
        <v>244</v>
      </c>
      <c r="Y22" s="50">
        <v>0.20930232558139536</v>
      </c>
      <c r="Z22" s="47" t="s">
        <v>205</v>
      </c>
      <c r="AA22" s="50">
        <v>0.21428571428571427</v>
      </c>
      <c r="AB22" s="47" t="s">
        <v>195</v>
      </c>
      <c r="AC22" s="50">
        <v>0.53164556962025311</v>
      </c>
      <c r="AD22" s="47" t="s">
        <v>163</v>
      </c>
      <c r="AE22" s="50">
        <v>0.31818181818181818</v>
      </c>
      <c r="AF22" s="47" t="s">
        <v>168</v>
      </c>
      <c r="AG22" s="50">
        <v>0.39534883720930231</v>
      </c>
      <c r="AH22" s="47" t="s">
        <v>177</v>
      </c>
      <c r="AI22" s="54">
        <v>42500</v>
      </c>
    </row>
    <row r="23" spans="1:35">
      <c r="A23" s="44">
        <v>21</v>
      </c>
      <c r="B23" s="45" t="s">
        <v>161</v>
      </c>
      <c r="C23" s="107">
        <v>10</v>
      </c>
      <c r="D23" s="45" t="s">
        <v>161</v>
      </c>
      <c r="E23" s="46">
        <v>-0.69999999999998863</v>
      </c>
      <c r="F23" s="47" t="s">
        <v>161</v>
      </c>
      <c r="G23" s="59">
        <v>-6.9999999999998869E-2</v>
      </c>
      <c r="H23" s="47" t="s">
        <v>161</v>
      </c>
      <c r="I23" s="48">
        <v>2.5</v>
      </c>
      <c r="J23" s="47" t="s">
        <v>179</v>
      </c>
      <c r="K23" s="49">
        <v>0.25</v>
      </c>
      <c r="L23" s="47" t="s">
        <v>162</v>
      </c>
      <c r="M23" s="49">
        <v>0.22222222222222221</v>
      </c>
      <c r="N23" s="47" t="s">
        <v>213</v>
      </c>
      <c r="O23" s="49">
        <v>0.5</v>
      </c>
      <c r="P23" s="47" t="s">
        <v>161</v>
      </c>
      <c r="Q23" s="50">
        <v>0.20779220779220781</v>
      </c>
      <c r="R23" s="47" t="s">
        <v>175</v>
      </c>
      <c r="S23" s="50">
        <v>0.13333333333333333</v>
      </c>
      <c r="T23" s="47" t="s">
        <v>195</v>
      </c>
      <c r="U23" s="51">
        <v>6573.8095238095239</v>
      </c>
      <c r="V23" s="47" t="s">
        <v>276</v>
      </c>
      <c r="W23" s="51">
        <v>-5614.2857142857147</v>
      </c>
      <c r="X23" s="47" t="s">
        <v>203</v>
      </c>
      <c r="Y23" s="50">
        <v>0.20930232558139536</v>
      </c>
      <c r="Z23" s="47" t="s">
        <v>169</v>
      </c>
      <c r="AA23" s="50">
        <v>0.21306818181818182</v>
      </c>
      <c r="AB23" s="47" t="s">
        <v>227</v>
      </c>
      <c r="AC23" s="50">
        <v>0.53125</v>
      </c>
      <c r="AD23" s="47" t="s">
        <v>238</v>
      </c>
      <c r="AE23" s="50">
        <v>0.31034482758620691</v>
      </c>
      <c r="AF23" s="47" t="s">
        <v>265</v>
      </c>
      <c r="AG23" s="50">
        <v>0.3783783783783784</v>
      </c>
      <c r="AH23" s="47" t="s">
        <v>163</v>
      </c>
      <c r="AI23" s="54">
        <v>41700</v>
      </c>
    </row>
    <row r="24" spans="1:35">
      <c r="A24" s="44">
        <v>22</v>
      </c>
      <c r="B24" s="45" t="s">
        <v>213</v>
      </c>
      <c r="C24" s="107">
        <v>10</v>
      </c>
      <c r="D24" s="45" t="s">
        <v>175</v>
      </c>
      <c r="E24" s="46">
        <v>-2.2000000000000011</v>
      </c>
      <c r="F24" s="47" t="s">
        <v>114</v>
      </c>
      <c r="G24" s="59">
        <v>-0.20767590618336909</v>
      </c>
      <c r="H24" s="47" t="s">
        <v>163</v>
      </c>
      <c r="I24" s="48">
        <v>2.5</v>
      </c>
      <c r="J24" s="47" t="s">
        <v>228</v>
      </c>
      <c r="K24" s="49">
        <v>0.23529411764705882</v>
      </c>
      <c r="L24" s="47" t="s">
        <v>114</v>
      </c>
      <c r="M24" s="49">
        <v>0.24733475479744135</v>
      </c>
      <c r="N24" s="47" t="s">
        <v>163</v>
      </c>
      <c r="O24" s="49">
        <v>0.5</v>
      </c>
      <c r="P24" s="47" t="s">
        <v>166</v>
      </c>
      <c r="Q24" s="50">
        <v>0.2</v>
      </c>
      <c r="R24" s="47" t="s">
        <v>199</v>
      </c>
      <c r="S24" s="50">
        <v>0.13333333333333333</v>
      </c>
      <c r="T24" s="47" t="s">
        <v>203</v>
      </c>
      <c r="U24" s="51">
        <v>6275</v>
      </c>
      <c r="V24" s="47" t="s">
        <v>168</v>
      </c>
      <c r="W24" s="51">
        <v>-5835.7142857142853</v>
      </c>
      <c r="X24" s="47" t="s">
        <v>114</v>
      </c>
      <c r="Y24" s="50">
        <v>0.20535974366443344</v>
      </c>
      <c r="Z24" s="47" t="s">
        <v>235</v>
      </c>
      <c r="AA24" s="50">
        <v>0.2076923076923077</v>
      </c>
      <c r="AB24" s="47" t="s">
        <v>216</v>
      </c>
      <c r="AC24" s="50">
        <v>0.51515151515151514</v>
      </c>
      <c r="AD24" s="47" t="s">
        <v>255</v>
      </c>
      <c r="AE24" s="50">
        <v>0.30769230769230771</v>
      </c>
      <c r="AF24" s="47" t="s">
        <v>179</v>
      </c>
      <c r="AG24" s="50">
        <v>0.375</v>
      </c>
      <c r="AH24" s="47" t="s">
        <v>231</v>
      </c>
      <c r="AI24" s="54">
        <v>41300</v>
      </c>
    </row>
    <row r="25" spans="1:35">
      <c r="A25" s="44">
        <v>23</v>
      </c>
      <c r="B25" s="45" t="s">
        <v>162</v>
      </c>
      <c r="C25" s="107">
        <v>9</v>
      </c>
      <c r="D25" s="45" t="s">
        <v>215</v>
      </c>
      <c r="E25" s="46">
        <v>-14.4</v>
      </c>
      <c r="F25" s="47" t="s">
        <v>175</v>
      </c>
      <c r="G25" s="59">
        <v>-1.1000000000000005</v>
      </c>
      <c r="H25" s="47" t="s">
        <v>175</v>
      </c>
      <c r="I25" s="48">
        <v>2.5</v>
      </c>
      <c r="J25" s="47" t="s">
        <v>191</v>
      </c>
      <c r="K25" s="49">
        <v>0.21428571428571427</v>
      </c>
      <c r="L25" s="47" t="s">
        <v>244</v>
      </c>
      <c r="M25" s="49">
        <v>0.25</v>
      </c>
      <c r="N25" s="47" t="s">
        <v>175</v>
      </c>
      <c r="O25" s="49">
        <v>0.5</v>
      </c>
      <c r="P25" s="47" t="s">
        <v>175</v>
      </c>
      <c r="Q25" s="50">
        <v>0.2</v>
      </c>
      <c r="R25" s="47" t="s">
        <v>114</v>
      </c>
      <c r="S25" s="50">
        <v>0.13370230119429072</v>
      </c>
      <c r="T25" s="47" t="s">
        <v>265</v>
      </c>
      <c r="U25" s="51">
        <v>6075.6756756756758</v>
      </c>
      <c r="V25" s="47" t="s">
        <v>177</v>
      </c>
      <c r="W25" s="51">
        <v>-5950</v>
      </c>
      <c r="X25" s="47" t="s">
        <v>263</v>
      </c>
      <c r="Y25" s="50">
        <v>0.2046783625730994</v>
      </c>
      <c r="Z25" s="47" t="s">
        <v>238</v>
      </c>
      <c r="AA25" s="50">
        <v>0.20714285714285716</v>
      </c>
      <c r="AB25" s="47" t="s">
        <v>213</v>
      </c>
      <c r="AC25" s="50">
        <v>0.5</v>
      </c>
      <c r="AD25" s="47" t="s">
        <v>244</v>
      </c>
      <c r="AE25" s="50">
        <v>0.29411764705882354</v>
      </c>
      <c r="AF25" s="47" t="s">
        <v>213</v>
      </c>
      <c r="AG25" s="50">
        <v>0.375</v>
      </c>
      <c r="AH25" s="47" t="s">
        <v>235</v>
      </c>
      <c r="AI25" s="54">
        <v>40800</v>
      </c>
    </row>
    <row r="26" spans="1:35">
      <c r="A26" s="44">
        <v>24</v>
      </c>
      <c r="B26" s="45" t="s">
        <v>163</v>
      </c>
      <c r="C26" s="107">
        <v>8</v>
      </c>
      <c r="D26" s="45" t="s">
        <v>196</v>
      </c>
      <c r="E26" s="46">
        <v>-27.1</v>
      </c>
      <c r="F26" s="47" t="s">
        <v>179</v>
      </c>
      <c r="G26" s="59">
        <v>-2.1625000000000001</v>
      </c>
      <c r="H26" s="47" t="s">
        <v>177</v>
      </c>
      <c r="I26" s="48">
        <v>2.5</v>
      </c>
      <c r="J26" s="47" t="s">
        <v>164</v>
      </c>
      <c r="K26" s="49">
        <v>0.2</v>
      </c>
      <c r="L26" s="47" t="s">
        <v>223</v>
      </c>
      <c r="M26" s="49">
        <v>0.25</v>
      </c>
      <c r="N26" s="47" t="s">
        <v>177</v>
      </c>
      <c r="O26" s="49">
        <v>0.5</v>
      </c>
      <c r="P26" s="47" t="s">
        <v>255</v>
      </c>
      <c r="Q26" s="50">
        <v>0.19491525423728814</v>
      </c>
      <c r="R26" s="47" t="s">
        <v>216</v>
      </c>
      <c r="S26" s="50">
        <v>0.13407821229050279</v>
      </c>
      <c r="T26" s="47" t="s">
        <v>238</v>
      </c>
      <c r="U26" s="51">
        <v>6072</v>
      </c>
      <c r="V26" s="47" t="s">
        <v>213</v>
      </c>
      <c r="W26" s="51">
        <v>-5966.666666666667</v>
      </c>
      <c r="X26" s="47" t="s">
        <v>163</v>
      </c>
      <c r="Y26" s="50">
        <v>0.20289855072463769</v>
      </c>
      <c r="Z26" s="47" t="s">
        <v>277</v>
      </c>
      <c r="AA26" s="50">
        <v>0.20212765957446807</v>
      </c>
      <c r="AB26" s="47" t="s">
        <v>163</v>
      </c>
      <c r="AC26" s="50">
        <v>0.5</v>
      </c>
      <c r="AD26" s="47" t="s">
        <v>228</v>
      </c>
      <c r="AE26" s="50">
        <v>0.25</v>
      </c>
      <c r="AF26" s="47" t="s">
        <v>263</v>
      </c>
      <c r="AG26" s="50">
        <v>0.375</v>
      </c>
      <c r="AH26" s="47" t="s">
        <v>258</v>
      </c>
      <c r="AI26" s="54">
        <v>37500</v>
      </c>
    </row>
    <row r="27" spans="1:35">
      <c r="A27" s="44">
        <v>25</v>
      </c>
      <c r="B27" s="45" t="s">
        <v>241</v>
      </c>
      <c r="C27" s="107">
        <v>7</v>
      </c>
      <c r="D27" s="45" t="s">
        <v>179</v>
      </c>
      <c r="E27" s="46">
        <v>-34.6</v>
      </c>
      <c r="F27" s="47" t="s">
        <v>227</v>
      </c>
      <c r="G27" s="59">
        <v>-3.7071428571428582</v>
      </c>
      <c r="H27" s="47" t="s">
        <v>227</v>
      </c>
      <c r="I27" s="48">
        <v>2.5714285714285716</v>
      </c>
      <c r="J27" s="47" t="s">
        <v>227</v>
      </c>
      <c r="K27" s="49">
        <v>0.14285714285714285</v>
      </c>
      <c r="L27" s="47" t="s">
        <v>164</v>
      </c>
      <c r="M27" s="49">
        <v>0.26666666666666666</v>
      </c>
      <c r="N27" s="47" t="s">
        <v>223</v>
      </c>
      <c r="O27" s="49">
        <v>0.5</v>
      </c>
      <c r="P27" s="47" t="s">
        <v>191</v>
      </c>
      <c r="Q27" s="50">
        <v>0.18260869565217391</v>
      </c>
      <c r="R27" s="47" t="s">
        <v>238</v>
      </c>
      <c r="S27" s="50">
        <v>0.1357142857142857</v>
      </c>
      <c r="T27" s="47" t="s">
        <v>272</v>
      </c>
      <c r="U27" s="51">
        <v>6032.3529411764703</v>
      </c>
      <c r="V27" s="47" t="s">
        <v>227</v>
      </c>
      <c r="W27" s="51">
        <v>-5992.8571428571431</v>
      </c>
      <c r="X27" s="47" t="s">
        <v>268</v>
      </c>
      <c r="Y27" s="50">
        <v>0.2</v>
      </c>
      <c r="Z27" s="47" t="s">
        <v>228</v>
      </c>
      <c r="AA27" s="50">
        <v>0.19834710743801653</v>
      </c>
      <c r="AB27" s="47" t="s">
        <v>167</v>
      </c>
      <c r="AC27" s="50">
        <v>0.5</v>
      </c>
      <c r="AD27" s="47" t="s">
        <v>262</v>
      </c>
      <c r="AE27" s="50">
        <v>0.25</v>
      </c>
      <c r="AF27" s="47" t="s">
        <v>195</v>
      </c>
      <c r="AG27" s="50">
        <v>0.36904761904761907</v>
      </c>
      <c r="AH27" s="47" t="s">
        <v>238</v>
      </c>
      <c r="AI27" s="54">
        <v>35800</v>
      </c>
    </row>
    <row r="28" spans="1:35">
      <c r="A28" s="44">
        <v>26</v>
      </c>
      <c r="B28" s="45" t="s">
        <v>258</v>
      </c>
      <c r="C28" s="107">
        <v>7</v>
      </c>
      <c r="D28" s="45" t="s">
        <v>227</v>
      </c>
      <c r="E28" s="46">
        <v>-51.900000000000013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258</v>
      </c>
      <c r="K28" s="49">
        <v>0.14285714285714285</v>
      </c>
      <c r="L28" s="47" t="s">
        <v>168</v>
      </c>
      <c r="M28" s="49">
        <v>0.27777777777777779</v>
      </c>
      <c r="N28" s="47" t="s">
        <v>297</v>
      </c>
      <c r="O28" s="49">
        <v>0.5</v>
      </c>
      <c r="P28" s="47" t="s">
        <v>228</v>
      </c>
      <c r="Q28" s="50">
        <v>0.18181818181818182</v>
      </c>
      <c r="R28" s="47" t="s">
        <v>227</v>
      </c>
      <c r="S28" s="50">
        <v>0.15053763440860216</v>
      </c>
      <c r="T28" s="47" t="s">
        <v>163</v>
      </c>
      <c r="U28" s="51">
        <v>5993.333333333333</v>
      </c>
      <c r="V28" s="47" t="s">
        <v>114</v>
      </c>
      <c r="W28" s="51">
        <v>-6072.7668845315902</v>
      </c>
      <c r="X28" s="47" t="s">
        <v>168</v>
      </c>
      <c r="Y28" s="50">
        <v>0.19718309859154928</v>
      </c>
      <c r="Z28" s="47" t="s">
        <v>244</v>
      </c>
      <c r="AA28" s="50">
        <v>0.19767441860465115</v>
      </c>
      <c r="AB28" s="47" t="s">
        <v>258</v>
      </c>
      <c r="AC28" s="50">
        <v>0.5</v>
      </c>
      <c r="AD28" s="47" t="s">
        <v>227</v>
      </c>
      <c r="AE28" s="50">
        <v>0.23076923076923078</v>
      </c>
      <c r="AF28" s="47" t="s">
        <v>114</v>
      </c>
      <c r="AG28" s="50">
        <v>0.36551724137931035</v>
      </c>
      <c r="AH28" s="47" t="s">
        <v>264</v>
      </c>
      <c r="AI28" s="54">
        <v>35600</v>
      </c>
    </row>
    <row r="29" spans="1:35">
      <c r="A29" s="44">
        <v>27</v>
      </c>
      <c r="B29" s="45" t="s">
        <v>203</v>
      </c>
      <c r="C29" s="107">
        <v>5</v>
      </c>
      <c r="D29" s="45" t="s">
        <v>180</v>
      </c>
      <c r="E29" s="46">
        <v>-52.6</v>
      </c>
      <c r="F29" s="47" t="s">
        <v>228</v>
      </c>
      <c r="G29" s="59">
        <v>-8.7764705882352931</v>
      </c>
      <c r="H29" s="47" t="s">
        <v>213</v>
      </c>
      <c r="I29" s="48">
        <v>2.7</v>
      </c>
      <c r="J29" s="47" t="s">
        <v>235</v>
      </c>
      <c r="K29" s="49">
        <v>0.11764705882352941</v>
      </c>
      <c r="L29" s="47" t="s">
        <v>227</v>
      </c>
      <c r="M29" s="49">
        <v>0.2857142857142857</v>
      </c>
      <c r="N29" s="47" t="s">
        <v>195</v>
      </c>
      <c r="O29" s="49">
        <v>0.47727272727272729</v>
      </c>
      <c r="P29" s="47" t="s">
        <v>258</v>
      </c>
      <c r="Q29" s="50">
        <v>0.18</v>
      </c>
      <c r="R29" s="47" t="s">
        <v>244</v>
      </c>
      <c r="S29" s="50">
        <v>0.15116279069767441</v>
      </c>
      <c r="T29" s="47" t="s">
        <v>168</v>
      </c>
      <c r="U29" s="51">
        <v>5988.3720930232557</v>
      </c>
      <c r="V29" s="47" t="s">
        <v>269</v>
      </c>
      <c r="W29" s="51">
        <v>-6150</v>
      </c>
      <c r="X29" s="47" t="s">
        <v>179</v>
      </c>
      <c r="Y29" s="50">
        <v>0.19083969465648856</v>
      </c>
      <c r="Z29" s="47" t="s">
        <v>202</v>
      </c>
      <c r="AA29" s="50">
        <v>0.17647058823529413</v>
      </c>
      <c r="AB29" s="47" t="s">
        <v>262</v>
      </c>
      <c r="AC29" s="50">
        <v>0.5</v>
      </c>
      <c r="AD29" s="47" t="s">
        <v>164</v>
      </c>
      <c r="AE29" s="50">
        <v>0.22580645161290322</v>
      </c>
      <c r="AF29" s="47" t="s">
        <v>241</v>
      </c>
      <c r="AG29" s="50">
        <v>0.36363636363636365</v>
      </c>
      <c r="AH29" s="47" t="s">
        <v>213</v>
      </c>
      <c r="AI29" s="54">
        <v>34800</v>
      </c>
    </row>
    <row r="30" spans="1:35">
      <c r="A30" s="44">
        <v>28</v>
      </c>
      <c r="B30" s="45" t="s">
        <v>166</v>
      </c>
      <c r="C30" s="107">
        <v>4</v>
      </c>
      <c r="D30" s="45" t="s">
        <v>262</v>
      </c>
      <c r="E30" s="46">
        <v>-59.2</v>
      </c>
      <c r="F30" s="47" t="s">
        <v>258</v>
      </c>
      <c r="G30" s="59">
        <v>-10.6</v>
      </c>
      <c r="H30" s="47" t="s">
        <v>228</v>
      </c>
      <c r="I30" s="48">
        <v>2.7058823529411766</v>
      </c>
      <c r="J30" s="47" t="s">
        <v>277</v>
      </c>
      <c r="K30" s="49">
        <v>7.6923076923076927E-2</v>
      </c>
      <c r="L30" s="47" t="s">
        <v>241</v>
      </c>
      <c r="M30" s="49">
        <v>0.2857142857142857</v>
      </c>
      <c r="N30" s="47" t="s">
        <v>258</v>
      </c>
      <c r="O30" s="49">
        <v>0.42857142857142855</v>
      </c>
      <c r="P30" s="47" t="s">
        <v>238</v>
      </c>
      <c r="Q30" s="50">
        <v>0.17857142857142858</v>
      </c>
      <c r="R30" s="47" t="s">
        <v>264</v>
      </c>
      <c r="S30" s="50">
        <v>0.15384615384615385</v>
      </c>
      <c r="T30" s="47" t="s">
        <v>277</v>
      </c>
      <c r="U30" s="51">
        <v>5960</v>
      </c>
      <c r="V30" s="47" t="s">
        <v>208</v>
      </c>
      <c r="W30" s="51">
        <v>-6340</v>
      </c>
      <c r="X30" s="47" t="s">
        <v>216</v>
      </c>
      <c r="Y30" s="50">
        <v>0.18435754189944134</v>
      </c>
      <c r="Z30" s="47" t="s">
        <v>262</v>
      </c>
      <c r="AA30" s="50">
        <v>0.17391304347826086</v>
      </c>
      <c r="AB30" s="47" t="s">
        <v>297</v>
      </c>
      <c r="AC30" s="50">
        <v>0.5</v>
      </c>
      <c r="AD30" s="47" t="s">
        <v>231</v>
      </c>
      <c r="AE30" s="50">
        <v>0.2</v>
      </c>
      <c r="AF30" s="47" t="s">
        <v>272</v>
      </c>
      <c r="AG30" s="50">
        <v>0.35294117647058826</v>
      </c>
      <c r="AH30" s="47" t="s">
        <v>277</v>
      </c>
      <c r="AI30" s="54">
        <v>34100</v>
      </c>
    </row>
    <row r="31" spans="1:35">
      <c r="A31" s="44">
        <v>29</v>
      </c>
      <c r="B31" s="45" t="s">
        <v>205</v>
      </c>
      <c r="C31" s="107">
        <v>4</v>
      </c>
      <c r="D31" s="45" t="s">
        <v>223</v>
      </c>
      <c r="E31" s="46">
        <v>-72.5</v>
      </c>
      <c r="F31" s="47" t="s">
        <v>241</v>
      </c>
      <c r="G31" s="59">
        <v>-11.285714285714286</v>
      </c>
      <c r="H31" s="47" t="s">
        <v>241</v>
      </c>
      <c r="I31" s="48">
        <v>2.7142857142857144</v>
      </c>
      <c r="J31" s="47" t="s">
        <v>213</v>
      </c>
      <c r="K31" s="49">
        <v>0</v>
      </c>
      <c r="L31" s="47" t="s">
        <v>258</v>
      </c>
      <c r="M31" s="49">
        <v>0.2857142857142857</v>
      </c>
      <c r="N31" s="47" t="s">
        <v>238</v>
      </c>
      <c r="O31" s="49">
        <v>0.42105263157894735</v>
      </c>
      <c r="P31" s="47" t="s">
        <v>262</v>
      </c>
      <c r="Q31" s="50">
        <v>0.17391304347826086</v>
      </c>
      <c r="R31" s="47" t="s">
        <v>215</v>
      </c>
      <c r="S31" s="50">
        <v>0.16666666666666666</v>
      </c>
      <c r="T31" s="47" t="s">
        <v>177</v>
      </c>
      <c r="U31" s="51">
        <v>5900</v>
      </c>
      <c r="V31" s="47" t="s">
        <v>161</v>
      </c>
      <c r="W31" s="51">
        <v>-6514.2857142857147</v>
      </c>
      <c r="X31" s="47" t="s">
        <v>262</v>
      </c>
      <c r="Y31" s="50">
        <v>0.17391304347826086</v>
      </c>
      <c r="Z31" s="47" t="s">
        <v>166</v>
      </c>
      <c r="AA31" s="50">
        <v>0.17142857142857143</v>
      </c>
      <c r="AB31" s="47" t="s">
        <v>255</v>
      </c>
      <c r="AC31" s="50">
        <v>0.42857142857142855</v>
      </c>
      <c r="AD31" s="47" t="s">
        <v>235</v>
      </c>
      <c r="AE31" s="50">
        <v>0.18518518518518517</v>
      </c>
      <c r="AF31" s="47" t="s">
        <v>175</v>
      </c>
      <c r="AG31" s="50">
        <v>0.33333333333333331</v>
      </c>
      <c r="AH31" s="47" t="s">
        <v>167</v>
      </c>
      <c r="AI31" s="54">
        <v>34000</v>
      </c>
    </row>
    <row r="32" spans="1:35">
      <c r="A32" s="44">
        <v>30</v>
      </c>
      <c r="B32" s="45" t="s">
        <v>223</v>
      </c>
      <c r="C32" s="107">
        <v>4</v>
      </c>
      <c r="D32" s="45" t="s">
        <v>258</v>
      </c>
      <c r="E32" s="46">
        <v>-74.2</v>
      </c>
      <c r="F32" s="47" t="s">
        <v>213</v>
      </c>
      <c r="G32" s="59">
        <v>-11.670000000000002</v>
      </c>
      <c r="H32" s="47" t="s">
        <v>258</v>
      </c>
      <c r="I32" s="48">
        <v>2.7142857142857144</v>
      </c>
      <c r="J32" s="47" t="s">
        <v>238</v>
      </c>
      <c r="K32" s="49">
        <v>0</v>
      </c>
      <c r="L32" s="47" t="s">
        <v>216</v>
      </c>
      <c r="M32" s="49">
        <v>0.29629629629629628</v>
      </c>
      <c r="N32" s="47" t="s">
        <v>244</v>
      </c>
      <c r="O32" s="49">
        <v>0.41666666666666669</v>
      </c>
      <c r="P32" s="47" t="s">
        <v>215</v>
      </c>
      <c r="Q32" s="50">
        <v>0.16666666666666666</v>
      </c>
      <c r="R32" s="47" t="s">
        <v>241</v>
      </c>
      <c r="S32" s="50">
        <v>0.16666666666666666</v>
      </c>
      <c r="T32" s="47" t="s">
        <v>258</v>
      </c>
      <c r="U32" s="51">
        <v>5766.666666666667</v>
      </c>
      <c r="V32" s="47" t="s">
        <v>255</v>
      </c>
      <c r="W32" s="51">
        <v>-6563.636363636364</v>
      </c>
      <c r="X32" s="47" t="s">
        <v>228</v>
      </c>
      <c r="Y32" s="50">
        <v>0.17355371900826447</v>
      </c>
      <c r="Z32" s="47" t="s">
        <v>265</v>
      </c>
      <c r="AA32" s="50">
        <v>0.16666666666666666</v>
      </c>
      <c r="AB32" s="47" t="s">
        <v>269</v>
      </c>
      <c r="AC32" s="50">
        <v>0.41666666666666669</v>
      </c>
      <c r="AD32" s="47" t="s">
        <v>203</v>
      </c>
      <c r="AE32" s="50">
        <v>0.16666666666666666</v>
      </c>
      <c r="AF32" s="47" t="s">
        <v>228</v>
      </c>
      <c r="AG32" s="50">
        <v>0.31818181818181818</v>
      </c>
      <c r="AH32" s="47" t="s">
        <v>241</v>
      </c>
      <c r="AI32" s="54">
        <v>34000</v>
      </c>
    </row>
    <row r="33" spans="1:35">
      <c r="A33" s="44">
        <v>31</v>
      </c>
      <c r="B33" s="45" t="s">
        <v>208</v>
      </c>
      <c r="C33" s="107">
        <v>3</v>
      </c>
      <c r="D33" s="45" t="s">
        <v>241</v>
      </c>
      <c r="E33" s="46">
        <v>-79</v>
      </c>
      <c r="F33" s="47" t="s">
        <v>215</v>
      </c>
      <c r="G33" s="59">
        <v>-14.4</v>
      </c>
      <c r="H33" s="47" t="s">
        <v>223</v>
      </c>
      <c r="I33" s="48">
        <v>2.75</v>
      </c>
      <c r="J33" s="47" t="s">
        <v>269</v>
      </c>
      <c r="K33" s="49">
        <v>0</v>
      </c>
      <c r="L33" s="47" t="s">
        <v>161</v>
      </c>
      <c r="M33" s="49">
        <v>0.3</v>
      </c>
      <c r="N33" s="47" t="s">
        <v>228</v>
      </c>
      <c r="O33" s="49">
        <v>0.41176470588235292</v>
      </c>
      <c r="P33" s="47" t="s">
        <v>297</v>
      </c>
      <c r="Q33" s="50">
        <v>0.16666666666666666</v>
      </c>
      <c r="R33" s="47" t="s">
        <v>297</v>
      </c>
      <c r="S33" s="50">
        <v>0.16666666666666666</v>
      </c>
      <c r="T33" s="47" t="s">
        <v>263</v>
      </c>
      <c r="U33" s="51">
        <v>5664.583333333333</v>
      </c>
      <c r="V33" s="47" t="s">
        <v>180</v>
      </c>
      <c r="W33" s="51">
        <v>-6600</v>
      </c>
      <c r="X33" s="47" t="s">
        <v>161</v>
      </c>
      <c r="Y33" s="50">
        <v>0.16883116883116883</v>
      </c>
      <c r="Z33" s="47" t="s">
        <v>215</v>
      </c>
      <c r="AA33" s="50">
        <v>0.16666666666666666</v>
      </c>
      <c r="AB33" s="47" t="s">
        <v>179</v>
      </c>
      <c r="AC33" s="50">
        <v>0.4</v>
      </c>
      <c r="AD33" s="47" t="s">
        <v>277</v>
      </c>
      <c r="AE33" s="50">
        <v>0.15789473684210525</v>
      </c>
      <c r="AF33" s="47" t="s">
        <v>169</v>
      </c>
      <c r="AG33" s="50">
        <v>0.26250000000000001</v>
      </c>
      <c r="AH33" s="47" t="s">
        <v>175</v>
      </c>
      <c r="AI33" s="54">
        <v>33600</v>
      </c>
    </row>
    <row r="34" spans="1:35">
      <c r="A34" s="44">
        <v>32</v>
      </c>
      <c r="B34" s="45" t="s">
        <v>262</v>
      </c>
      <c r="C34" s="107">
        <v>3</v>
      </c>
      <c r="D34" s="45" t="s">
        <v>199</v>
      </c>
      <c r="E34" s="46">
        <v>-97.4</v>
      </c>
      <c r="F34" s="47" t="s">
        <v>238</v>
      </c>
      <c r="G34" s="59">
        <v>-16.094736842105259</v>
      </c>
      <c r="H34" s="47" t="s">
        <v>238</v>
      </c>
      <c r="I34" s="48">
        <v>2.7894736842105261</v>
      </c>
      <c r="J34" s="47" t="s">
        <v>166</v>
      </c>
      <c r="K34" s="49">
        <v>0</v>
      </c>
      <c r="L34" s="47" t="s">
        <v>262</v>
      </c>
      <c r="M34" s="49">
        <v>0.33333333333333331</v>
      </c>
      <c r="N34" s="47" t="s">
        <v>216</v>
      </c>
      <c r="O34" s="49">
        <v>0.40740740740740738</v>
      </c>
      <c r="P34" s="47" t="s">
        <v>164</v>
      </c>
      <c r="Q34" s="50">
        <v>0.16528925619834711</v>
      </c>
      <c r="R34" s="47" t="s">
        <v>202</v>
      </c>
      <c r="S34" s="50">
        <v>0.17647058823529413</v>
      </c>
      <c r="T34" s="47" t="s">
        <v>269</v>
      </c>
      <c r="U34" s="51">
        <v>5475</v>
      </c>
      <c r="V34" s="47" t="s">
        <v>195</v>
      </c>
      <c r="W34" s="51">
        <v>-6728.9473684210525</v>
      </c>
      <c r="X34" s="47" t="s">
        <v>241</v>
      </c>
      <c r="Y34" s="50">
        <v>0.16666666666666666</v>
      </c>
      <c r="Z34" s="47" t="s">
        <v>258</v>
      </c>
      <c r="AA34" s="50">
        <v>0.16</v>
      </c>
      <c r="AB34" s="47" t="s">
        <v>241</v>
      </c>
      <c r="AC34" s="50">
        <v>0.375</v>
      </c>
      <c r="AD34" s="47" t="s">
        <v>276</v>
      </c>
      <c r="AE34" s="50">
        <v>0.14814814814814814</v>
      </c>
      <c r="AF34" s="47" t="s">
        <v>177</v>
      </c>
      <c r="AG34" s="50">
        <v>0.25</v>
      </c>
      <c r="AH34" s="47" t="s">
        <v>269</v>
      </c>
      <c r="AI34" s="54">
        <v>32200</v>
      </c>
    </row>
    <row r="35" spans="1:35">
      <c r="A35" s="44">
        <v>33</v>
      </c>
      <c r="B35" s="45" t="s">
        <v>175</v>
      </c>
      <c r="C35" s="107">
        <v>2</v>
      </c>
      <c r="D35" s="45" t="s">
        <v>114</v>
      </c>
      <c r="E35" s="46">
        <v>-97.400000000000105</v>
      </c>
      <c r="F35" s="47" t="s">
        <v>223</v>
      </c>
      <c r="G35" s="59">
        <v>-18.125</v>
      </c>
      <c r="H35" s="47" t="s">
        <v>196</v>
      </c>
      <c r="I35" s="48">
        <v>3</v>
      </c>
      <c r="J35" s="47" t="s">
        <v>167</v>
      </c>
      <c r="K35" s="49">
        <v>0</v>
      </c>
      <c r="L35" s="47" t="s">
        <v>228</v>
      </c>
      <c r="M35" s="49">
        <v>0.35294117647058826</v>
      </c>
      <c r="N35" s="47" t="s">
        <v>262</v>
      </c>
      <c r="O35" s="49">
        <v>0.33333333333333331</v>
      </c>
      <c r="P35" s="47" t="s">
        <v>216</v>
      </c>
      <c r="Q35" s="50">
        <v>0.15083798882681565</v>
      </c>
      <c r="R35" s="47" t="s">
        <v>277</v>
      </c>
      <c r="S35" s="50">
        <v>0.18085106382978725</v>
      </c>
      <c r="T35" s="47" t="s">
        <v>241</v>
      </c>
      <c r="U35" s="51">
        <v>5090.909090909091</v>
      </c>
      <c r="V35" s="47" t="s">
        <v>235</v>
      </c>
      <c r="W35" s="51">
        <v>-6762.9629629629626</v>
      </c>
      <c r="X35" s="47" t="s">
        <v>169</v>
      </c>
      <c r="Y35" s="50">
        <v>0.16193181818181818</v>
      </c>
      <c r="Z35" s="47" t="s">
        <v>177</v>
      </c>
      <c r="AA35" s="50">
        <v>0.15789473684210525</v>
      </c>
      <c r="AB35" s="47" t="s">
        <v>191</v>
      </c>
      <c r="AC35" s="50">
        <v>0.33333333333333331</v>
      </c>
      <c r="AD35" s="47" t="s">
        <v>258</v>
      </c>
      <c r="AE35" s="50">
        <v>0.125</v>
      </c>
      <c r="AF35" s="47" t="s">
        <v>231</v>
      </c>
      <c r="AG35" s="50">
        <v>0.25</v>
      </c>
      <c r="AH35" s="47" t="s">
        <v>268</v>
      </c>
      <c r="AI35" s="54">
        <v>32100</v>
      </c>
    </row>
    <row r="36" spans="1:35">
      <c r="A36" s="44">
        <v>34</v>
      </c>
      <c r="B36" s="45" t="s">
        <v>177</v>
      </c>
      <c r="C36" s="107">
        <v>2</v>
      </c>
      <c r="D36" s="45" t="s">
        <v>202</v>
      </c>
      <c r="E36" s="46">
        <v>-105.9</v>
      </c>
      <c r="F36" s="47" t="s">
        <v>262</v>
      </c>
      <c r="G36" s="59">
        <v>-19.733333333333334</v>
      </c>
      <c r="H36" s="47" t="s">
        <v>215</v>
      </c>
      <c r="I36" s="48">
        <v>3</v>
      </c>
      <c r="J36" s="47" t="s">
        <v>175</v>
      </c>
      <c r="K36" s="49">
        <v>0</v>
      </c>
      <c r="L36" s="47" t="s">
        <v>163</v>
      </c>
      <c r="M36" s="49">
        <v>0.375</v>
      </c>
      <c r="N36" s="47" t="s">
        <v>166</v>
      </c>
      <c r="O36" s="49">
        <v>0.25</v>
      </c>
      <c r="P36" s="47" t="s">
        <v>213</v>
      </c>
      <c r="Q36" s="50">
        <v>0.14814814814814814</v>
      </c>
      <c r="R36" s="47" t="s">
        <v>161</v>
      </c>
      <c r="S36" s="50">
        <v>0.18181818181818182</v>
      </c>
      <c r="T36" s="47" t="s">
        <v>297</v>
      </c>
      <c r="U36" s="51">
        <v>5000</v>
      </c>
      <c r="V36" s="47" t="s">
        <v>228</v>
      </c>
      <c r="W36" s="51">
        <v>-6926.9230769230771</v>
      </c>
      <c r="X36" s="47" t="s">
        <v>231</v>
      </c>
      <c r="Y36" s="50">
        <v>0.15384615384615385</v>
      </c>
      <c r="Z36" s="47" t="s">
        <v>216</v>
      </c>
      <c r="AA36" s="50">
        <v>0.14525139664804471</v>
      </c>
      <c r="AB36" s="47" t="s">
        <v>277</v>
      </c>
      <c r="AC36" s="50">
        <v>0.33333333333333331</v>
      </c>
      <c r="AD36" s="47" t="s">
        <v>269</v>
      </c>
      <c r="AE36" s="50">
        <v>9.0909090909090912E-2</v>
      </c>
      <c r="AF36" s="47" t="s">
        <v>262</v>
      </c>
      <c r="AG36" s="50">
        <v>0.25</v>
      </c>
      <c r="AH36" s="47" t="s">
        <v>297</v>
      </c>
      <c r="AI36" s="54">
        <v>29500</v>
      </c>
    </row>
    <row r="37" spans="1:35">
      <c r="A37" s="44">
        <v>35</v>
      </c>
      <c r="B37" s="45" t="s">
        <v>199</v>
      </c>
      <c r="C37" s="107">
        <v>2</v>
      </c>
      <c r="D37" s="45" t="s">
        <v>213</v>
      </c>
      <c r="E37" s="46">
        <v>-116.70000000000002</v>
      </c>
      <c r="F37" s="47" t="s">
        <v>235</v>
      </c>
      <c r="G37" s="59">
        <v>-26.805882352941179</v>
      </c>
      <c r="H37" s="47" t="s">
        <v>262</v>
      </c>
      <c r="I37" s="48">
        <v>3</v>
      </c>
      <c r="J37" s="47" t="s">
        <v>180</v>
      </c>
      <c r="K37" s="49">
        <v>0</v>
      </c>
      <c r="L37" s="47" t="s">
        <v>203</v>
      </c>
      <c r="M37" s="49">
        <v>0.4</v>
      </c>
      <c r="N37" s="47" t="s">
        <v>235</v>
      </c>
      <c r="O37" s="49">
        <v>0.23529411764705882</v>
      </c>
      <c r="P37" s="47" t="s">
        <v>235</v>
      </c>
      <c r="Q37" s="50">
        <v>0.14615384615384616</v>
      </c>
      <c r="R37" s="47" t="s">
        <v>223</v>
      </c>
      <c r="S37" s="50">
        <v>0.19047619047619047</v>
      </c>
      <c r="T37" s="47" t="s">
        <v>179</v>
      </c>
      <c r="U37" s="51">
        <v>4909.375</v>
      </c>
      <c r="V37" s="47" t="s">
        <v>244</v>
      </c>
      <c r="W37" s="51">
        <v>-7107.6923076923076</v>
      </c>
      <c r="X37" s="47" t="s">
        <v>269</v>
      </c>
      <c r="Y37" s="50">
        <v>0.14457831325301204</v>
      </c>
      <c r="Z37" s="47" t="s">
        <v>167</v>
      </c>
      <c r="AA37" s="50">
        <v>0.14285714285714285</v>
      </c>
      <c r="AB37" s="47" t="s">
        <v>203</v>
      </c>
      <c r="AC37" s="50">
        <v>0.33333333333333331</v>
      </c>
      <c r="AD37" s="47" t="s">
        <v>213</v>
      </c>
      <c r="AE37" s="50">
        <v>0</v>
      </c>
      <c r="AF37" s="47" t="s">
        <v>164</v>
      </c>
      <c r="AG37" s="50">
        <v>0.2</v>
      </c>
      <c r="AH37" s="47" t="s">
        <v>262</v>
      </c>
      <c r="AI37" s="54">
        <v>28000</v>
      </c>
    </row>
    <row r="38" spans="1:35">
      <c r="A38" s="44">
        <v>36</v>
      </c>
      <c r="B38" s="45" t="s">
        <v>202</v>
      </c>
      <c r="C38" s="107">
        <v>2</v>
      </c>
      <c r="D38" s="45" t="s">
        <v>166</v>
      </c>
      <c r="E38" s="46">
        <v>-127.99999999999999</v>
      </c>
      <c r="F38" s="47" t="s">
        <v>196</v>
      </c>
      <c r="G38" s="59">
        <v>-27.1</v>
      </c>
      <c r="H38" s="47" t="s">
        <v>235</v>
      </c>
      <c r="I38" s="48">
        <v>3.1764705882352939</v>
      </c>
      <c r="J38" s="47" t="s">
        <v>199</v>
      </c>
      <c r="K38" s="49">
        <v>0</v>
      </c>
      <c r="L38" s="47" t="s">
        <v>166</v>
      </c>
      <c r="M38" s="49">
        <v>0.5</v>
      </c>
      <c r="N38" s="47" t="s">
        <v>277</v>
      </c>
      <c r="O38" s="49">
        <v>0.23076923076923078</v>
      </c>
      <c r="P38" s="47" t="s">
        <v>196</v>
      </c>
      <c r="Q38" s="50">
        <v>0.125</v>
      </c>
      <c r="R38" s="47" t="s">
        <v>168</v>
      </c>
      <c r="S38" s="50">
        <v>0.19718309859154928</v>
      </c>
      <c r="T38" s="47" t="s">
        <v>235</v>
      </c>
      <c r="U38" s="51">
        <v>4689.4736842105267</v>
      </c>
      <c r="V38" s="47" t="s">
        <v>163</v>
      </c>
      <c r="W38" s="51">
        <v>-7212.5</v>
      </c>
      <c r="X38" s="47" t="s">
        <v>238</v>
      </c>
      <c r="Y38" s="50">
        <v>0.14285714285714285</v>
      </c>
      <c r="Z38" s="47" t="s">
        <v>227</v>
      </c>
      <c r="AA38" s="50">
        <v>0.13978494623655913</v>
      </c>
      <c r="AB38" s="47" t="s">
        <v>223</v>
      </c>
      <c r="AC38" s="50">
        <v>0.33333333333333331</v>
      </c>
      <c r="AD38" s="47" t="s">
        <v>167</v>
      </c>
      <c r="AE38" s="50">
        <v>0</v>
      </c>
      <c r="AF38" s="47" t="s">
        <v>227</v>
      </c>
      <c r="AG38" s="50">
        <v>0.19047619047619047</v>
      </c>
      <c r="AH38" s="47" t="s">
        <v>215</v>
      </c>
      <c r="AI38" s="54">
        <v>25600</v>
      </c>
    </row>
    <row r="39" spans="1:35">
      <c r="A39" s="44">
        <v>37</v>
      </c>
      <c r="B39" s="45" t="s">
        <v>231</v>
      </c>
      <c r="C39" s="107">
        <v>2</v>
      </c>
      <c r="D39" s="45" t="s">
        <v>208</v>
      </c>
      <c r="E39" s="46">
        <v>-132.69999999999999</v>
      </c>
      <c r="F39" s="47" t="s">
        <v>277</v>
      </c>
      <c r="G39" s="59">
        <v>-27.11538461538461</v>
      </c>
      <c r="H39" s="47" t="s">
        <v>277</v>
      </c>
      <c r="I39" s="48">
        <v>3.2307692307692308</v>
      </c>
      <c r="J39" s="47" t="s">
        <v>196</v>
      </c>
      <c r="K39" s="49">
        <v>0</v>
      </c>
      <c r="L39" s="47" t="s">
        <v>177</v>
      </c>
      <c r="M39" s="49">
        <v>0.5</v>
      </c>
      <c r="N39" s="47" t="s">
        <v>269</v>
      </c>
      <c r="O39" s="49">
        <v>0.15384615384615385</v>
      </c>
      <c r="P39" s="47" t="s">
        <v>277</v>
      </c>
      <c r="Q39" s="50">
        <v>0.10638297872340426</v>
      </c>
      <c r="R39" s="47" t="s">
        <v>258</v>
      </c>
      <c r="S39" s="50">
        <v>0.2</v>
      </c>
      <c r="T39" s="47" t="s">
        <v>262</v>
      </c>
      <c r="U39" s="51">
        <v>4525</v>
      </c>
      <c r="V39" s="47" t="s">
        <v>216</v>
      </c>
      <c r="W39" s="51">
        <v>-7266.666666666667</v>
      </c>
      <c r="X39" s="47" t="s">
        <v>180</v>
      </c>
      <c r="Y39" s="50">
        <v>0.14285714285714285</v>
      </c>
      <c r="Z39" s="47" t="s">
        <v>203</v>
      </c>
      <c r="AA39" s="50">
        <v>0.13953488372093023</v>
      </c>
      <c r="AB39" s="47" t="s">
        <v>164</v>
      </c>
      <c r="AC39" s="50">
        <v>0.3125</v>
      </c>
      <c r="AD39" s="47" t="s">
        <v>175</v>
      </c>
      <c r="AE39" s="50">
        <v>0</v>
      </c>
      <c r="AF39" s="47" t="s">
        <v>191</v>
      </c>
      <c r="AG39" s="50">
        <v>0.14285714285714285</v>
      </c>
      <c r="AH39" s="47" t="s">
        <v>203</v>
      </c>
      <c r="AI39" s="54">
        <v>25000</v>
      </c>
    </row>
    <row r="40" spans="1:35">
      <c r="A40" s="44">
        <v>38</v>
      </c>
      <c r="B40" s="45" t="s">
        <v>264</v>
      </c>
      <c r="C40" s="107">
        <v>2</v>
      </c>
      <c r="D40" s="45" t="s">
        <v>216</v>
      </c>
      <c r="E40" s="46">
        <v>-133.59999999999997</v>
      </c>
      <c r="F40" s="47" t="s">
        <v>166</v>
      </c>
      <c r="G40" s="59">
        <v>-31.999999999999996</v>
      </c>
      <c r="H40" s="47" t="s">
        <v>166</v>
      </c>
      <c r="I40" s="48">
        <v>3.25</v>
      </c>
      <c r="J40" s="47" t="s">
        <v>203</v>
      </c>
      <c r="K40" s="49">
        <v>0</v>
      </c>
      <c r="L40" s="47" t="s">
        <v>235</v>
      </c>
      <c r="M40" s="49">
        <v>0.52941176470588236</v>
      </c>
      <c r="N40" s="47" t="s">
        <v>180</v>
      </c>
      <c r="O40" s="49">
        <v>0</v>
      </c>
      <c r="P40" s="47" t="s">
        <v>269</v>
      </c>
      <c r="Q40" s="50">
        <v>9.6385542168674704E-2</v>
      </c>
      <c r="R40" s="47" t="s">
        <v>268</v>
      </c>
      <c r="S40" s="50">
        <v>0.2</v>
      </c>
      <c r="T40" s="47" t="s">
        <v>215</v>
      </c>
      <c r="U40" s="51">
        <v>3900</v>
      </c>
      <c r="V40" s="47" t="s">
        <v>238</v>
      </c>
      <c r="W40" s="51">
        <v>-7489.4736842105267</v>
      </c>
      <c r="X40" s="47" t="s">
        <v>235</v>
      </c>
      <c r="Y40" s="50">
        <v>0.13846153846153847</v>
      </c>
      <c r="Z40" s="47" t="s">
        <v>269</v>
      </c>
      <c r="AA40" s="50">
        <v>0.13253012048192772</v>
      </c>
      <c r="AB40" s="47" t="s">
        <v>180</v>
      </c>
      <c r="AC40" s="50">
        <v>0</v>
      </c>
      <c r="AD40" s="47" t="s">
        <v>180</v>
      </c>
      <c r="AE40" s="50">
        <v>0</v>
      </c>
      <c r="AF40" s="47" t="s">
        <v>180</v>
      </c>
      <c r="AG40" s="50">
        <v>0</v>
      </c>
      <c r="AH40" s="47" t="s">
        <v>166</v>
      </c>
      <c r="AI40" s="54">
        <v>23700</v>
      </c>
    </row>
    <row r="41" spans="1:35">
      <c r="A41" s="44">
        <v>39</v>
      </c>
      <c r="B41" s="45" t="s">
        <v>297</v>
      </c>
      <c r="C41" s="107">
        <v>2</v>
      </c>
      <c r="D41" s="45" t="s">
        <v>228</v>
      </c>
      <c r="E41" s="46">
        <v>-149.19999999999999</v>
      </c>
      <c r="F41" s="47" t="s">
        <v>269</v>
      </c>
      <c r="G41" s="59">
        <v>-32.176923076923082</v>
      </c>
      <c r="H41" s="47" t="s">
        <v>203</v>
      </c>
      <c r="I41" s="48">
        <v>3.4</v>
      </c>
      <c r="J41" s="47" t="s">
        <v>202</v>
      </c>
      <c r="K41" s="49">
        <v>0</v>
      </c>
      <c r="L41" s="47" t="s">
        <v>277</v>
      </c>
      <c r="M41" s="49">
        <v>0.53846153846153844</v>
      </c>
      <c r="N41" s="47" t="s">
        <v>199</v>
      </c>
      <c r="O41" s="49">
        <v>0</v>
      </c>
      <c r="P41" s="47" t="s">
        <v>223</v>
      </c>
      <c r="Q41" s="50">
        <v>9.5238095238095233E-2</v>
      </c>
      <c r="R41" s="47" t="s">
        <v>235</v>
      </c>
      <c r="S41" s="50">
        <v>0.2076923076923077</v>
      </c>
      <c r="T41" s="47" t="s">
        <v>166</v>
      </c>
      <c r="U41" s="51">
        <v>2928.5714285714284</v>
      </c>
      <c r="V41" s="47" t="s">
        <v>241</v>
      </c>
      <c r="W41" s="51">
        <v>-7687.5</v>
      </c>
      <c r="X41" s="47" t="s">
        <v>202</v>
      </c>
      <c r="Y41" s="50">
        <v>0.11764705882352941</v>
      </c>
      <c r="Z41" s="47" t="s">
        <v>162</v>
      </c>
      <c r="AA41" s="50">
        <v>0.11538461538461539</v>
      </c>
      <c r="AB41" s="47" t="s">
        <v>199</v>
      </c>
      <c r="AC41" s="50">
        <v>0</v>
      </c>
      <c r="AD41" s="47" t="s">
        <v>199</v>
      </c>
      <c r="AE41" s="50">
        <v>0</v>
      </c>
      <c r="AF41" s="47" t="s">
        <v>199</v>
      </c>
      <c r="AG41" s="50">
        <v>0</v>
      </c>
      <c r="AH41" s="47" t="s">
        <v>223</v>
      </c>
      <c r="AI41" s="54">
        <v>22100</v>
      </c>
    </row>
    <row r="42" spans="1:35">
      <c r="A42" s="44">
        <v>40</v>
      </c>
      <c r="B42" s="45" t="s">
        <v>167</v>
      </c>
      <c r="C42" s="107">
        <v>1</v>
      </c>
      <c r="D42" s="45" t="s">
        <v>203</v>
      </c>
      <c r="E42" s="46">
        <v>-161.39999999999998</v>
      </c>
      <c r="F42" s="47" t="s">
        <v>203</v>
      </c>
      <c r="G42" s="59">
        <v>-32.279999999999994</v>
      </c>
      <c r="H42" s="47" t="s">
        <v>269</v>
      </c>
      <c r="I42" s="48">
        <v>3.4615384615384617</v>
      </c>
      <c r="J42" s="47" t="s">
        <v>208</v>
      </c>
      <c r="K42" s="49">
        <v>0</v>
      </c>
      <c r="L42" s="47" t="s">
        <v>269</v>
      </c>
      <c r="M42" s="49">
        <v>0.61538461538461542</v>
      </c>
      <c r="N42" s="47" t="s">
        <v>196</v>
      </c>
      <c r="O42" s="49">
        <v>0</v>
      </c>
      <c r="P42" s="47" t="s">
        <v>203</v>
      </c>
      <c r="Q42" s="50">
        <v>9.3023255813953487E-2</v>
      </c>
      <c r="R42" s="47" t="s">
        <v>228</v>
      </c>
      <c r="S42" s="50">
        <v>0.21487603305785125</v>
      </c>
      <c r="T42" s="47" t="s">
        <v>202</v>
      </c>
      <c r="U42" s="51">
        <v>1300</v>
      </c>
      <c r="V42" s="47" t="s">
        <v>268</v>
      </c>
      <c r="W42" s="51">
        <v>-8000</v>
      </c>
      <c r="X42" s="47" t="s">
        <v>166</v>
      </c>
      <c r="Y42" s="50">
        <v>0.11428571428571428</v>
      </c>
      <c r="Z42" s="47" t="s">
        <v>213</v>
      </c>
      <c r="AA42" s="50">
        <v>3.7037037037037035E-2</v>
      </c>
      <c r="AB42" s="47" t="s">
        <v>196</v>
      </c>
      <c r="AC42" s="50">
        <v>0</v>
      </c>
      <c r="AD42" s="47" t="s">
        <v>202</v>
      </c>
      <c r="AE42" s="50">
        <v>0</v>
      </c>
      <c r="AF42" s="47" t="s">
        <v>196</v>
      </c>
      <c r="AG42" s="50">
        <v>0</v>
      </c>
      <c r="AH42" s="47" t="s">
        <v>199</v>
      </c>
      <c r="AI42" s="54">
        <v>14100</v>
      </c>
    </row>
    <row r="43" spans="1:35">
      <c r="A43" s="44">
        <v>41</v>
      </c>
      <c r="B43" s="45" t="s">
        <v>180</v>
      </c>
      <c r="C43" s="107">
        <v>1</v>
      </c>
      <c r="D43" s="45" t="s">
        <v>238</v>
      </c>
      <c r="E43" s="46">
        <v>-305.79999999999995</v>
      </c>
      <c r="F43" s="47" t="s">
        <v>208</v>
      </c>
      <c r="G43" s="59">
        <v>-44.233333333333327</v>
      </c>
      <c r="H43" s="47" t="s">
        <v>208</v>
      </c>
      <c r="I43" s="48">
        <v>3.6666666666666665</v>
      </c>
      <c r="J43" s="47" t="s">
        <v>215</v>
      </c>
      <c r="K43" s="49">
        <v>0</v>
      </c>
      <c r="L43" s="47" t="s">
        <v>208</v>
      </c>
      <c r="M43" s="49">
        <v>0.66666666666666663</v>
      </c>
      <c r="N43" s="47" t="s">
        <v>203</v>
      </c>
      <c r="O43" s="49">
        <v>0</v>
      </c>
      <c r="P43" s="47" t="s">
        <v>202</v>
      </c>
      <c r="Q43" s="50">
        <v>5.8823529411764705E-2</v>
      </c>
      <c r="R43" s="47" t="s">
        <v>208</v>
      </c>
      <c r="S43" s="50">
        <v>0.21739130434782608</v>
      </c>
      <c r="T43" s="47" t="s">
        <v>196</v>
      </c>
      <c r="U43" s="51">
        <v>1000</v>
      </c>
      <c r="V43" s="47" t="s">
        <v>179</v>
      </c>
      <c r="W43" s="51">
        <v>-8157.1428571428569</v>
      </c>
      <c r="X43" s="47" t="s">
        <v>191</v>
      </c>
      <c r="Y43" s="50">
        <v>0.10434782608695652</v>
      </c>
      <c r="Z43" s="47" t="s">
        <v>175</v>
      </c>
      <c r="AA43" s="50">
        <v>0</v>
      </c>
      <c r="AB43" s="47" t="s">
        <v>202</v>
      </c>
      <c r="AC43" s="50">
        <v>0</v>
      </c>
      <c r="AD43" s="47" t="s">
        <v>208</v>
      </c>
      <c r="AE43" s="50">
        <v>0</v>
      </c>
      <c r="AF43" s="47" t="s">
        <v>202</v>
      </c>
      <c r="AG43" s="50">
        <v>0</v>
      </c>
      <c r="AH43" s="47" t="s">
        <v>202</v>
      </c>
      <c r="AI43" s="54">
        <v>13500</v>
      </c>
    </row>
    <row r="44" spans="1:35">
      <c r="A44" s="44">
        <v>42</v>
      </c>
      <c r="B44" s="45" t="s">
        <v>196</v>
      </c>
      <c r="C44" s="107">
        <v>1</v>
      </c>
      <c r="D44" s="45" t="s">
        <v>277</v>
      </c>
      <c r="E44" s="46">
        <v>-352.49999999999994</v>
      </c>
      <c r="F44" s="47" t="s">
        <v>199</v>
      </c>
      <c r="G44" s="59">
        <v>-48.7</v>
      </c>
      <c r="H44" s="47" t="s">
        <v>180</v>
      </c>
      <c r="I44" s="48">
        <v>4</v>
      </c>
      <c r="J44" s="47" t="s">
        <v>223</v>
      </c>
      <c r="K44" s="49">
        <v>0</v>
      </c>
      <c r="L44" s="47" t="s">
        <v>180</v>
      </c>
      <c r="M44" s="49">
        <v>1</v>
      </c>
      <c r="N44" s="47" t="s">
        <v>202</v>
      </c>
      <c r="O44" s="49">
        <v>0</v>
      </c>
      <c r="P44" s="47" t="s">
        <v>180</v>
      </c>
      <c r="Q44" s="50">
        <v>0</v>
      </c>
      <c r="R44" s="47" t="s">
        <v>262</v>
      </c>
      <c r="S44" s="50">
        <v>0.21739130434782608</v>
      </c>
      <c r="T44" s="47" t="s">
        <v>180</v>
      </c>
      <c r="U44" s="51">
        <v>0</v>
      </c>
      <c r="V44" s="47" t="s">
        <v>205</v>
      </c>
      <c r="W44" s="51">
        <v>-9466.6666666666661</v>
      </c>
      <c r="X44" s="47" t="s">
        <v>199</v>
      </c>
      <c r="Y44" s="50">
        <v>6.6666666666666666E-2</v>
      </c>
      <c r="Z44" s="47" t="s">
        <v>208</v>
      </c>
      <c r="AA44" s="50">
        <v>0</v>
      </c>
      <c r="AB44" s="47" t="s">
        <v>208</v>
      </c>
      <c r="AC44" s="50">
        <v>0</v>
      </c>
      <c r="AD44" s="47" t="s">
        <v>223</v>
      </c>
      <c r="AE44" s="50">
        <v>0</v>
      </c>
      <c r="AF44" s="47" t="s">
        <v>208</v>
      </c>
      <c r="AG44" s="50">
        <v>0</v>
      </c>
      <c r="AH44" s="47" t="s">
        <v>196</v>
      </c>
      <c r="AI44" s="54">
        <v>12900</v>
      </c>
    </row>
    <row r="45" spans="1:35">
      <c r="A45" s="44">
        <v>43</v>
      </c>
      <c r="B45" s="45" t="s">
        <v>215</v>
      </c>
      <c r="C45" s="107">
        <v>1</v>
      </c>
      <c r="D45" s="45" t="s">
        <v>269</v>
      </c>
      <c r="E45" s="46">
        <v>-418.30000000000007</v>
      </c>
      <c r="F45" s="47" t="s">
        <v>180</v>
      </c>
      <c r="G45" s="59">
        <v>-52.6</v>
      </c>
      <c r="H45" s="47" t="s">
        <v>199</v>
      </c>
      <c r="I45" s="48">
        <v>4</v>
      </c>
      <c r="J45" s="47" t="s">
        <v>241</v>
      </c>
      <c r="K45" s="49">
        <v>0</v>
      </c>
      <c r="L45" s="47" t="s">
        <v>199</v>
      </c>
      <c r="M45" s="49">
        <v>1</v>
      </c>
      <c r="N45" s="47" t="s">
        <v>208</v>
      </c>
      <c r="O45" s="49">
        <v>0</v>
      </c>
      <c r="P45" s="47" t="s">
        <v>199</v>
      </c>
      <c r="Q45" s="50">
        <v>0</v>
      </c>
      <c r="R45" s="47" t="s">
        <v>203</v>
      </c>
      <c r="S45" s="50">
        <v>0.23255813953488372</v>
      </c>
      <c r="T45" s="47" t="s">
        <v>199</v>
      </c>
      <c r="U45" s="51">
        <v>0</v>
      </c>
      <c r="V45" s="47" t="s">
        <v>199</v>
      </c>
      <c r="W45" s="51">
        <v>-10000</v>
      </c>
      <c r="X45" s="47" t="s">
        <v>208</v>
      </c>
      <c r="Y45" s="50">
        <v>4.3478260869565216E-2</v>
      </c>
      <c r="Z45" s="47" t="s">
        <v>223</v>
      </c>
      <c r="AA45" s="50">
        <v>0</v>
      </c>
      <c r="AB45" s="47" t="s">
        <v>215</v>
      </c>
      <c r="AC45" s="50">
        <v>0</v>
      </c>
      <c r="AD45" s="47" t="s">
        <v>268</v>
      </c>
      <c r="AE45" s="50">
        <v>0</v>
      </c>
      <c r="AF45" s="47" t="s">
        <v>215</v>
      </c>
      <c r="AG45" s="50">
        <v>0</v>
      </c>
      <c r="AH45" s="47" t="s">
        <v>208</v>
      </c>
      <c r="AI45" s="54">
        <v>10700</v>
      </c>
    </row>
    <row r="46" spans="1:35">
      <c r="A46" s="44">
        <v>44</v>
      </c>
      <c r="B46" s="45" t="s">
        <v>268</v>
      </c>
      <c r="C46" s="107">
        <v>1</v>
      </c>
      <c r="D46" s="45" t="s">
        <v>235</v>
      </c>
      <c r="E46" s="46">
        <v>-455.70000000000005</v>
      </c>
      <c r="F46" s="47" t="s">
        <v>202</v>
      </c>
      <c r="G46" s="59">
        <v>-52.95</v>
      </c>
      <c r="H46" s="47" t="s">
        <v>202</v>
      </c>
      <c r="I46" s="48">
        <v>4</v>
      </c>
      <c r="J46" s="47" t="s">
        <v>262</v>
      </c>
      <c r="K46" s="49">
        <v>0</v>
      </c>
      <c r="L46" s="47" t="s">
        <v>202</v>
      </c>
      <c r="M46" s="49">
        <v>1</v>
      </c>
      <c r="N46" s="47" t="s">
        <v>215</v>
      </c>
      <c r="O46" s="49">
        <v>0</v>
      </c>
      <c r="P46" s="47" t="s">
        <v>208</v>
      </c>
      <c r="Q46" s="50">
        <v>0</v>
      </c>
      <c r="R46" s="47" t="s">
        <v>180</v>
      </c>
      <c r="S46" s="50">
        <v>0.2857142857142857</v>
      </c>
      <c r="T46" s="47" t="s">
        <v>208</v>
      </c>
      <c r="U46" s="51">
        <v>0</v>
      </c>
      <c r="V46" s="47" t="s">
        <v>166</v>
      </c>
      <c r="W46" s="51">
        <v>-11400</v>
      </c>
      <c r="X46" s="47" t="s">
        <v>264</v>
      </c>
      <c r="Y46" s="50">
        <v>0</v>
      </c>
      <c r="Z46" s="47" t="s">
        <v>268</v>
      </c>
      <c r="AA46" s="50">
        <v>0</v>
      </c>
      <c r="AB46" s="47" t="s">
        <v>264</v>
      </c>
      <c r="AC46" s="50">
        <v>0</v>
      </c>
      <c r="AD46" s="47" t="s">
        <v>297</v>
      </c>
      <c r="AE46" s="50">
        <v>0</v>
      </c>
      <c r="AF46" s="47" t="s">
        <v>258</v>
      </c>
      <c r="AG46" s="50">
        <v>0</v>
      </c>
      <c r="AH46" s="47" t="s">
        <v>180</v>
      </c>
      <c r="AI46" s="54">
        <v>7400</v>
      </c>
    </row>
  </sheetData>
  <sortState xmlns:xlrd2="http://schemas.microsoft.com/office/spreadsheetml/2017/richdata2" ref="AH3:AI107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47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469</v>
      </c>
      <c r="C2" s="121"/>
      <c r="E2" s="32" t="s">
        <v>54</v>
      </c>
      <c r="F2" s="29" t="s">
        <v>20</v>
      </c>
      <c r="G2" s="12">
        <v>409</v>
      </c>
      <c r="H2" s="93">
        <f>IF(B$17=0,0,G2/B$17)</f>
        <v>0.56413793103448273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-57.569296375266525</v>
      </c>
      <c r="P2" s="79">
        <v>469</v>
      </c>
      <c r="Q2" s="63">
        <v>-27000</v>
      </c>
    </row>
    <row r="3" spans="1:17">
      <c r="A3" s="19" t="s">
        <v>8</v>
      </c>
      <c r="B3" s="122">
        <v>3433</v>
      </c>
      <c r="C3" s="123"/>
      <c r="E3" s="33" t="s">
        <v>181</v>
      </c>
      <c r="F3" s="30" t="s">
        <v>156</v>
      </c>
      <c r="G3" s="13">
        <v>382</v>
      </c>
      <c r="H3" s="94">
        <f>IF(B$17=0,0,G3/B$17)</f>
        <v>0.52689655172413796</v>
      </c>
      <c r="I3" s="56">
        <v>18</v>
      </c>
      <c r="K3" s="5">
        <v>1</v>
      </c>
      <c r="L3" s="61">
        <v>11.9</v>
      </c>
      <c r="N3" s="76" t="s">
        <v>104</v>
      </c>
      <c r="O3" s="83">
        <f t="shared" si="0"/>
        <v>-15.778251599147122</v>
      </c>
      <c r="P3" s="80">
        <v>469</v>
      </c>
      <c r="Q3" s="64">
        <v>-7400</v>
      </c>
    </row>
    <row r="4" spans="1:17">
      <c r="A4" s="19" t="s">
        <v>6</v>
      </c>
      <c r="B4" s="124">
        <v>-97.400000000000105</v>
      </c>
      <c r="C4" s="125"/>
      <c r="E4" s="33" t="s">
        <v>184</v>
      </c>
      <c r="F4" s="30" t="s">
        <v>187</v>
      </c>
      <c r="G4" s="13">
        <v>346</v>
      </c>
      <c r="H4" s="94">
        <f>IF(B$17=0,0,G4/B$17)</f>
        <v>0.47724137931034483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-14.879649890590809</v>
      </c>
      <c r="P4" s="80">
        <v>457</v>
      </c>
      <c r="Q4" s="64">
        <v>-6800</v>
      </c>
    </row>
    <row r="5" spans="1:17">
      <c r="A5" s="19" t="s">
        <v>7</v>
      </c>
      <c r="B5" s="126">
        <f>IF(B$2=0,0,B$4/B$2)</f>
        <v>-0.20767590618336909</v>
      </c>
      <c r="C5" s="127"/>
      <c r="E5" s="33" t="s">
        <v>60</v>
      </c>
      <c r="F5" s="30" t="s">
        <v>24</v>
      </c>
      <c r="G5" s="13">
        <v>287</v>
      </c>
      <c r="H5" s="94">
        <f>IF(B$17=0,0,G5/B$17)</f>
        <v>0.39586206896551723</v>
      </c>
      <c r="I5" s="56">
        <v>18</v>
      </c>
      <c r="K5" s="5">
        <v>3</v>
      </c>
      <c r="L5" s="61">
        <v>25.100000000000009</v>
      </c>
      <c r="N5" s="76" t="s">
        <v>157</v>
      </c>
      <c r="O5" s="83">
        <f>IF(P5=0,0,Q5/P5)</f>
        <v>-49.881235154394297</v>
      </c>
      <c r="P5" s="80">
        <v>421</v>
      </c>
      <c r="Q5" s="64">
        <v>-21000</v>
      </c>
    </row>
    <row r="6" spans="1:17">
      <c r="A6" s="19" t="s">
        <v>1</v>
      </c>
      <c r="B6" s="128">
        <f>IF(B$2=0,0,(B$7*1+B$8*2+B$9*3+B$10*4)/B$2)</f>
        <v>2.4904051172707891</v>
      </c>
      <c r="C6" s="129"/>
      <c r="E6" s="33" t="s">
        <v>56</v>
      </c>
      <c r="F6" s="30" t="s">
        <v>185</v>
      </c>
      <c r="G6" s="13">
        <v>189</v>
      </c>
      <c r="H6" s="94">
        <f>IF(B$17=0,0,G6/B$17)</f>
        <v>0.26068965517241377</v>
      </c>
      <c r="I6" s="56">
        <v>23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-13.333333333333334</v>
      </c>
      <c r="P6" s="80">
        <v>300</v>
      </c>
      <c r="Q6" s="64">
        <v>-4000</v>
      </c>
    </row>
    <row r="7" spans="1:17">
      <c r="A7" s="19" t="s">
        <v>2</v>
      </c>
      <c r="B7" s="13">
        <v>120</v>
      </c>
      <c r="C7" s="6">
        <f t="shared" ref="C7:C12" si="2">IF(B$2=0,0,B7/B$2)</f>
        <v>0.25586353944562901</v>
      </c>
      <c r="E7" s="33" t="s">
        <v>57</v>
      </c>
      <c r="F7" s="30" t="s">
        <v>21</v>
      </c>
      <c r="G7" s="13">
        <v>169</v>
      </c>
      <c r="H7" s="94">
        <f>IF(B$17=0,0,G7/B$17)</f>
        <v>0.23310344827586207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-40.816326530612244</v>
      </c>
      <c r="P7" s="80">
        <v>196</v>
      </c>
      <c r="Q7" s="64">
        <v>-8000</v>
      </c>
    </row>
    <row r="8" spans="1:17">
      <c r="A8" s="19" t="s">
        <v>3</v>
      </c>
      <c r="B8" s="13">
        <v>115</v>
      </c>
      <c r="C8" s="6">
        <f>IF(B$2=0,0,B8/B$2)</f>
        <v>0.24520255863539445</v>
      </c>
      <c r="E8" s="33" t="s">
        <v>55</v>
      </c>
      <c r="F8" s="30" t="s">
        <v>155</v>
      </c>
      <c r="G8" s="13">
        <v>166</v>
      </c>
      <c r="H8" s="94">
        <f>IF(B$17=0,0,G8/B$17)</f>
        <v>0.22896551724137931</v>
      </c>
      <c r="I8" s="56">
        <v>18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120</v>
      </c>
      <c r="Q8" s="64">
        <v>0</v>
      </c>
    </row>
    <row r="9" spans="1:17">
      <c r="A9" s="20" t="s">
        <v>4</v>
      </c>
      <c r="B9" s="14">
        <v>118</v>
      </c>
      <c r="C9" s="7">
        <f>IF(B$2=0,0,B9/B$2)</f>
        <v>0.25159914712153519</v>
      </c>
      <c r="E9" s="33" t="s">
        <v>59</v>
      </c>
      <c r="F9" s="30" t="s">
        <v>23</v>
      </c>
      <c r="G9" s="13">
        <v>116</v>
      </c>
      <c r="H9" s="94">
        <f>IF(B$17=0,0,G9/B$17)</f>
        <v>0.16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22.727272727272727</v>
      </c>
      <c r="P9" s="81">
        <v>44</v>
      </c>
      <c r="Q9" s="65">
        <v>1000</v>
      </c>
    </row>
    <row r="10" spans="1:17">
      <c r="A10" s="20" t="s">
        <v>152</v>
      </c>
      <c r="B10" s="14">
        <v>116</v>
      </c>
      <c r="C10" s="7">
        <f>IF(B$2=0,0,B10/B$2)</f>
        <v>0.24733475479744135</v>
      </c>
      <c r="E10" s="33" t="s">
        <v>182</v>
      </c>
      <c r="F10" s="30" t="s">
        <v>19</v>
      </c>
      <c r="G10" s="13">
        <v>81</v>
      </c>
      <c r="H10" s="94">
        <f>IF(B$17=0,0,G10/B$17)</f>
        <v>0.11172413793103449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235</v>
      </c>
      <c r="C11" s="7">
        <f>IF(B$2=0,0,B11/B$2)</f>
        <v>0.50106609808102343</v>
      </c>
      <c r="E11" s="33" t="s">
        <v>58</v>
      </c>
      <c r="F11" s="30" t="s">
        <v>22</v>
      </c>
      <c r="G11" s="13">
        <v>53</v>
      </c>
      <c r="H11" s="94">
        <f>IF(B$17=0,0,G11/B$17)</f>
        <v>7.3103448275862071E-2</v>
      </c>
      <c r="I11" s="56">
        <v>16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21</v>
      </c>
      <c r="C12" s="9">
        <f t="shared" si="2"/>
        <v>4.4776119402985072E-2</v>
      </c>
      <c r="E12" s="33" t="s">
        <v>77</v>
      </c>
      <c r="F12" s="30" t="s">
        <v>41</v>
      </c>
      <c r="G12" s="13">
        <v>32</v>
      </c>
      <c r="H12" s="94">
        <f>IF(B$17=0,0,G12/B$17)</f>
        <v>4.4137931034482755E-2</v>
      </c>
      <c r="I12" s="56">
        <v>12</v>
      </c>
      <c r="K12" s="5">
        <v>10</v>
      </c>
      <c r="L12" s="61">
        <v>-38.499999999999993</v>
      </c>
      <c r="N12" s="75" t="s">
        <v>126</v>
      </c>
      <c r="O12" s="85">
        <f>IF(P12=0,0,Q12/P12)</f>
        <v>-1.3737288135593211</v>
      </c>
      <c r="P12" s="79">
        <v>118</v>
      </c>
      <c r="Q12" s="67">
        <v>-162.09999999999988</v>
      </c>
    </row>
    <row r="13" spans="1:17">
      <c r="A13" s="22" t="s">
        <v>97</v>
      </c>
      <c r="B13" s="15">
        <v>705</v>
      </c>
      <c r="C13" s="11">
        <f>IF(B$3=0,0,B13/B$3)</f>
        <v>0.20535974366443344</v>
      </c>
      <c r="E13" s="33" t="s">
        <v>183</v>
      </c>
      <c r="F13" s="30" t="s">
        <v>186</v>
      </c>
      <c r="G13" s="13">
        <v>25</v>
      </c>
      <c r="H13" s="94">
        <f>IF(B$17=0,0,G13/B$17)</f>
        <v>3.4482758620689655E-2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3.77966101694915</v>
      </c>
      <c r="P13" s="80">
        <v>118</v>
      </c>
      <c r="Q13" s="68">
        <v>445.99999999999972</v>
      </c>
    </row>
    <row r="14" spans="1:17">
      <c r="A14" s="19" t="s">
        <v>94</v>
      </c>
      <c r="B14" s="13">
        <v>747</v>
      </c>
      <c r="C14" s="6">
        <f>IF(B$3=0,0,B14/B$3)</f>
        <v>0.21759394115933586</v>
      </c>
      <c r="E14" s="33" t="s">
        <v>71</v>
      </c>
      <c r="F14" s="30" t="s">
        <v>35</v>
      </c>
      <c r="G14" s="13">
        <v>23</v>
      </c>
      <c r="H14" s="94">
        <f>IF(B$17=0,0,G14/B$17)</f>
        <v>3.1724137931034485E-2</v>
      </c>
      <c r="I14" s="56">
        <v>12</v>
      </c>
      <c r="K14" s="5">
        <v>12</v>
      </c>
      <c r="L14" s="61">
        <v>7.1054273576010019E-15</v>
      </c>
      <c r="N14" s="76" t="s">
        <v>128</v>
      </c>
      <c r="O14" s="86">
        <f>IF(P14=0,0,Q14/P14)</f>
        <v>-3.172033898305084</v>
      </c>
      <c r="P14" s="80">
        <v>118</v>
      </c>
      <c r="Q14" s="68">
        <v>-374.2999999999999</v>
      </c>
    </row>
    <row r="15" spans="1:17">
      <c r="A15" s="18" t="s">
        <v>99</v>
      </c>
      <c r="B15" s="12">
        <f>B21</f>
        <v>385</v>
      </c>
      <c r="C15" s="4">
        <f>IF(B$13=0,0,B15/B$13)</f>
        <v>0.54609929078014185</v>
      </c>
      <c r="E15" s="33" t="s">
        <v>74</v>
      </c>
      <c r="F15" s="30" t="s">
        <v>38</v>
      </c>
      <c r="G15" s="13">
        <v>19</v>
      </c>
      <c r="H15" s="94">
        <f>IF(B$17=0,0,G15/B$17)</f>
        <v>2.6206896551724139E-2</v>
      </c>
      <c r="I15" s="56">
        <v>14</v>
      </c>
      <c r="K15" s="5">
        <v>13</v>
      </c>
      <c r="L15" s="61">
        <v>62.500000000000007</v>
      </c>
      <c r="N15" s="77" t="s">
        <v>159</v>
      </c>
      <c r="O15" s="87">
        <f>IF(P15=0,0,Q15/P15)</f>
        <v>-5.9322033898304961E-2</v>
      </c>
      <c r="P15" s="81">
        <v>118</v>
      </c>
      <c r="Q15" s="69">
        <v>-6.9999999999999858</v>
      </c>
    </row>
    <row r="16" spans="1:17">
      <c r="A16" s="18" t="s">
        <v>100</v>
      </c>
      <c r="B16" s="12">
        <f>B22</f>
        <v>248</v>
      </c>
      <c r="C16" s="4">
        <f>IF(B$14=0,0,B16/B$14)</f>
        <v>0.33199464524765732</v>
      </c>
      <c r="E16" s="33" t="s">
        <v>66</v>
      </c>
      <c r="F16" s="30" t="s">
        <v>30</v>
      </c>
      <c r="G16" s="13">
        <v>10</v>
      </c>
      <c r="H16" s="94">
        <f>IF(B$17=0,0,G16/B$17)</f>
        <v>1.3793103448275862E-2</v>
      </c>
      <c r="I16" s="56">
        <v>9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725</v>
      </c>
      <c r="C17" s="4">
        <f>IF(B$3=0,0,B17/B$3)</f>
        <v>0.21118555199533937</v>
      </c>
      <c r="E17" s="33" t="s">
        <v>67</v>
      </c>
      <c r="F17" s="30" t="s">
        <v>31</v>
      </c>
      <c r="G17" s="13">
        <v>8</v>
      </c>
      <c r="H17" s="94">
        <f>IF(B$17=0,0,G17/B$17)</f>
        <v>1.1034482758620689E-2</v>
      </c>
      <c r="I17" s="56">
        <v>8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459</v>
      </c>
      <c r="C18" s="6">
        <f>IF(B$3=0,0,B18/B$3)</f>
        <v>0.13370230119429072</v>
      </c>
      <c r="E18" s="33" t="s">
        <v>69</v>
      </c>
      <c r="F18" s="30" t="s">
        <v>33</v>
      </c>
      <c r="G18" s="13">
        <v>7</v>
      </c>
      <c r="H18" s="94">
        <f>IF(B$17=0,0,G18/B$17)</f>
        <v>9.655172413793104E-3</v>
      </c>
      <c r="I18" s="56">
        <v>8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265</v>
      </c>
      <c r="C19" s="6">
        <f>IF(B$17=0,0,B19/B$17)</f>
        <v>0.36551724137931035</v>
      </c>
      <c r="E19" s="33" t="s">
        <v>78</v>
      </c>
      <c r="F19" s="30" t="s">
        <v>42</v>
      </c>
      <c r="G19" s="13">
        <v>7</v>
      </c>
      <c r="H19" s="94">
        <f>IF(B$17=0,0,G19/B$17)</f>
        <v>9.655172413793104E-3</v>
      </c>
      <c r="I19" s="56">
        <v>7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460</v>
      </c>
      <c r="C20" s="6">
        <f>IF(B$17=0,0,B20/B$17)</f>
        <v>0.6344827586206897</v>
      </c>
      <c r="E20" s="33" t="s">
        <v>61</v>
      </c>
      <c r="F20" s="30" t="s">
        <v>25</v>
      </c>
      <c r="G20" s="13">
        <v>6</v>
      </c>
      <c r="H20" s="94">
        <f>IF(B$17=0,0,G20/B$17)</f>
        <v>8.2758620689655175E-3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385</v>
      </c>
      <c r="C21" s="6">
        <f>IF(B$17=0,0,B21/B$17)</f>
        <v>0.53103448275862064</v>
      </c>
      <c r="E21" s="33" t="s">
        <v>62</v>
      </c>
      <c r="F21" s="30" t="s">
        <v>26</v>
      </c>
      <c r="G21" s="13">
        <v>4</v>
      </c>
      <c r="H21" s="94">
        <f>IF(B$17=0,0,G21/B$17)</f>
        <v>5.5172413793103444E-3</v>
      </c>
      <c r="I21" s="56">
        <v>5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248</v>
      </c>
      <c r="C22" s="6">
        <f>IF(B$17=0,0,B22/B$17)</f>
        <v>0.34206896551724136</v>
      </c>
      <c r="E22" s="33" t="s">
        <v>76</v>
      </c>
      <c r="F22" s="30" t="s">
        <v>40</v>
      </c>
      <c r="G22" s="13">
        <v>3</v>
      </c>
      <c r="H22" s="94">
        <f>IF(B$17=0,0,G22/B$17)</f>
        <v>4.1379310344827587E-3</v>
      </c>
      <c r="I22" s="56">
        <v>4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92</v>
      </c>
      <c r="C23" s="6">
        <f>IF(B$17=0,0,B23/B$17)</f>
        <v>0.12689655172413794</v>
      </c>
      <c r="E23" s="33" t="s">
        <v>72</v>
      </c>
      <c r="F23" s="30" t="s">
        <v>36</v>
      </c>
      <c r="G23" s="13">
        <v>2</v>
      </c>
      <c r="H23" s="94">
        <f>IF(B$17=0,0,G23/B$17)</f>
        <v>2.7586206896551722E-3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6661.2413793103451</v>
      </c>
      <c r="C24" s="8">
        <v>4829400</v>
      </c>
      <c r="E24" s="33" t="s">
        <v>75</v>
      </c>
      <c r="F24" s="30" t="s">
        <v>39</v>
      </c>
      <c r="G24" s="13">
        <v>2</v>
      </c>
      <c r="H24" s="94">
        <f>IF(B$17=0,0,G24/B$17)</f>
        <v>2.7586206896551722E-3</v>
      </c>
      <c r="I24" s="56">
        <v>3</v>
      </c>
      <c r="K24" s="5">
        <v>22</v>
      </c>
      <c r="L24" s="61">
        <v>-68.399999999999991</v>
      </c>
      <c r="N24" s="76" t="s">
        <v>269</v>
      </c>
      <c r="O24" s="86">
        <f>IF(P24=0,0,Q24/P24)</f>
        <v>42.456410256410258</v>
      </c>
      <c r="P24" s="80">
        <v>39</v>
      </c>
      <c r="Q24" s="68">
        <v>1655.8</v>
      </c>
    </row>
    <row r="25" spans="1:17">
      <c r="A25" s="20" t="s">
        <v>133</v>
      </c>
      <c r="B25" s="97">
        <f>IF($B$17-B$16=0,0,C25/($B$17-B$16))</f>
        <v>7658.2809224318662</v>
      </c>
      <c r="C25" s="98">
        <v>3653000</v>
      </c>
      <c r="E25" s="33" t="s">
        <v>68</v>
      </c>
      <c r="F25" s="30" t="s">
        <v>32</v>
      </c>
      <c r="G25" s="13">
        <v>1</v>
      </c>
      <c r="H25" s="94">
        <f>IF(B$17=0,0,G25/B$17)</f>
        <v>1.3793103448275861E-3</v>
      </c>
      <c r="I25" s="56">
        <v>2</v>
      </c>
      <c r="K25" s="5">
        <v>23</v>
      </c>
      <c r="L25" s="61">
        <v>-13.199999999999989</v>
      </c>
      <c r="N25" s="76" t="s">
        <v>277</v>
      </c>
      <c r="O25" s="86">
        <f>IF(P25=0,0,Q25/P25)</f>
        <v>36.153846153846168</v>
      </c>
      <c r="P25" s="80">
        <v>39</v>
      </c>
      <c r="Q25" s="68">
        <v>1410.0000000000005</v>
      </c>
    </row>
    <row r="26" spans="1:17">
      <c r="A26" s="20" t="s">
        <v>134</v>
      </c>
      <c r="B26" s="97">
        <f>IF(B$16=0,0,C26/B$16)</f>
        <v>4743.5483870967746</v>
      </c>
      <c r="C26" s="98">
        <v>1176400</v>
      </c>
      <c r="E26" s="33" t="s">
        <v>79</v>
      </c>
      <c r="F26" s="30" t="s">
        <v>43</v>
      </c>
      <c r="G26" s="13">
        <v>1</v>
      </c>
      <c r="H26" s="94">
        <f>IF(B$17=0,0,G26/B$17)</f>
        <v>1.3793103448275861E-3</v>
      </c>
      <c r="I26" s="56">
        <v>2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-6072.7668845315902</v>
      </c>
      <c r="C27" s="98">
        <v>-2787400</v>
      </c>
      <c r="E27" s="33" t="s">
        <v>80</v>
      </c>
      <c r="F27" s="30" t="s">
        <v>44</v>
      </c>
      <c r="G27" s="13">
        <v>1</v>
      </c>
      <c r="H27" s="94">
        <f>IF(B$17=0,0,G27/B$17)</f>
        <v>1.3793103448275861E-3</v>
      </c>
      <c r="I27" s="56">
        <v>2</v>
      </c>
      <c r="K27" s="5">
        <v>25</v>
      </c>
      <c r="L27" s="61">
        <v>-45.899999999999991</v>
      </c>
      <c r="N27" s="76" t="s">
        <v>235</v>
      </c>
      <c r="O27" s="86">
        <f>IF(P27=0,0,Q27/P27)</f>
        <v>35.20392156862745</v>
      </c>
      <c r="P27" s="80">
        <v>51</v>
      </c>
      <c r="Q27" s="68">
        <v>1795.3999999999999</v>
      </c>
    </row>
    <row r="28" spans="1:17">
      <c r="A28" s="19" t="s">
        <v>130</v>
      </c>
      <c r="B28" s="13">
        <v>5</v>
      </c>
      <c r="C28" s="96">
        <v>1</v>
      </c>
      <c r="E28" s="33" t="s">
        <v>82</v>
      </c>
      <c r="F28" s="30" t="s">
        <v>46</v>
      </c>
      <c r="G28" s="13">
        <v>1</v>
      </c>
      <c r="H28" s="94">
        <f>IF(B$17=0,0,G28/B$17)</f>
        <v>1.3793103448275861E-3</v>
      </c>
      <c r="I28" s="56">
        <v>2</v>
      </c>
      <c r="K28" s="5">
        <v>26</v>
      </c>
      <c r="L28" s="61">
        <v>-33.899999999999991</v>
      </c>
      <c r="N28" s="76" t="s">
        <v>262</v>
      </c>
      <c r="O28" s="86">
        <f>IF(P28=0,0,Q28/P28)</f>
        <v>26.311111111111114</v>
      </c>
      <c r="P28" s="80">
        <v>9</v>
      </c>
      <c r="Q28" s="68">
        <v>236.8</v>
      </c>
    </row>
    <row r="29" spans="1:17">
      <c r="A29" s="19" t="s">
        <v>131</v>
      </c>
      <c r="B29" s="13">
        <v>37</v>
      </c>
      <c r="C29" s="96">
        <v>4</v>
      </c>
      <c r="E29" s="33" t="s">
        <v>63</v>
      </c>
      <c r="F29" s="30" t="s">
        <v>27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223</v>
      </c>
      <c r="O29" s="86">
        <f>IF(P29=0,0,Q29/P29)</f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5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21.284210526315785</v>
      </c>
      <c r="P30" s="80">
        <v>57</v>
      </c>
      <c r="Q30" s="68">
        <v>1213.1999999999998</v>
      </c>
    </row>
    <row r="31" spans="1:17">
      <c r="A31" s="22" t="s">
        <v>148</v>
      </c>
      <c r="B31" s="116">
        <v>72200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215</v>
      </c>
      <c r="O31" s="86">
        <f>IF(P31=0,0,Q31/P31)</f>
        <v>19.200000000000003</v>
      </c>
      <c r="P31" s="80">
        <v>3</v>
      </c>
      <c r="Q31" s="68">
        <v>57.600000000000009</v>
      </c>
    </row>
    <row r="32" spans="1:17">
      <c r="A32" s="21" t="s">
        <v>112</v>
      </c>
      <c r="B32" s="26">
        <v>10</v>
      </c>
      <c r="C32" s="9">
        <f>IF(B$3=0,0,B32/B$3)</f>
        <v>2.9129041654529565E-3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>IF(P32=0,0,Q32/P32)</f>
        <v>15.226666666666665</v>
      </c>
      <c r="P32" s="80">
        <v>30</v>
      </c>
      <c r="Q32" s="68">
        <v>456.79999999999995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15.047619047619047</v>
      </c>
      <c r="P33" s="80">
        <v>21</v>
      </c>
      <c r="Q33" s="68">
        <v>316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258</v>
      </c>
      <c r="O34" s="86">
        <f>IF(P34=0,0,Q34/P34)</f>
        <v>12.704761904761906</v>
      </c>
      <c r="P34" s="80">
        <v>21</v>
      </c>
      <c r="Q34" s="68">
        <v>266.8</v>
      </c>
    </row>
    <row r="35" spans="1:17">
      <c r="A35" s="52" t="s">
        <v>139</v>
      </c>
      <c r="B35" s="99">
        <v>79</v>
      </c>
      <c r="C35" s="102">
        <f t="shared" ref="C35:C47" si="3">IF(B$17=0,0,B35/B$17)</f>
        <v>0.10896551724137932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11.113725490196078</v>
      </c>
      <c r="P35" s="80">
        <v>51</v>
      </c>
      <c r="Q35" s="68">
        <v>566.79999999999995</v>
      </c>
    </row>
    <row r="36" spans="1:17">
      <c r="A36" s="19" t="s">
        <v>135</v>
      </c>
      <c r="B36" s="13">
        <v>150</v>
      </c>
      <c r="C36" s="6">
        <f t="shared" si="3"/>
        <v>0.20689655172413793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216</v>
      </c>
      <c r="O36" s="86">
        <f>IF(P36=0,0,Q36/P36)</f>
        <v>6.4740740740740694</v>
      </c>
      <c r="P36" s="80">
        <v>81</v>
      </c>
      <c r="Q36" s="68">
        <v>524.39999999999964</v>
      </c>
    </row>
    <row r="37" spans="1:17">
      <c r="A37" s="19" t="s">
        <v>136</v>
      </c>
      <c r="B37" s="100">
        <v>161</v>
      </c>
      <c r="C37" s="6">
        <f t="shared" si="3"/>
        <v>0.22206896551724137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227</v>
      </c>
      <c r="O37" s="86">
        <f>IF(P37=0,0,Q37/P37)</f>
        <v>4.704761904761904</v>
      </c>
      <c r="P37" s="80">
        <v>42</v>
      </c>
      <c r="Q37" s="68">
        <v>197.59999999999997</v>
      </c>
    </row>
    <row r="38" spans="1:17">
      <c r="A38" s="19" t="s">
        <v>137</v>
      </c>
      <c r="B38" s="100">
        <v>152</v>
      </c>
      <c r="C38" s="6">
        <f t="shared" si="3"/>
        <v>0.20965517241379311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179</v>
      </c>
      <c r="O38" s="86">
        <f>IF(P38=0,0,Q38/P38)</f>
        <v>2.4666666666666663</v>
      </c>
      <c r="P38" s="80">
        <v>48</v>
      </c>
      <c r="Q38" s="68">
        <v>118.39999999999998</v>
      </c>
    </row>
    <row r="39" spans="1:17">
      <c r="A39" s="19" t="s">
        <v>138</v>
      </c>
      <c r="B39" s="100">
        <v>83</v>
      </c>
      <c r="C39" s="6">
        <f t="shared" si="3"/>
        <v>0.11448275862068966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175</v>
      </c>
      <c r="O39" s="86">
        <f>IF(P39=0,0,Q39/P39)</f>
        <v>1.4666666666666668</v>
      </c>
      <c r="P39" s="80">
        <v>6</v>
      </c>
      <c r="Q39" s="68">
        <v>8.8000000000000007</v>
      </c>
    </row>
    <row r="40" spans="1:17">
      <c r="A40" s="19" t="s">
        <v>140</v>
      </c>
      <c r="B40" s="100">
        <v>68</v>
      </c>
      <c r="C40" s="6">
        <f t="shared" si="3"/>
        <v>9.3793103448275864E-2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161</v>
      </c>
      <c r="O40" s="86">
        <f>IF(P40=0,0,Q40/P40)</f>
        <v>-0.57333333333333036</v>
      </c>
      <c r="P40" s="80">
        <v>30</v>
      </c>
      <c r="Q40" s="68">
        <v>-17.19999999999991</v>
      </c>
    </row>
    <row r="41" spans="1:17">
      <c r="A41" s="19" t="s">
        <v>141</v>
      </c>
      <c r="B41" s="100">
        <v>22</v>
      </c>
      <c r="C41" s="6">
        <f t="shared" si="3"/>
        <v>3.0344827586206897E-2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164</v>
      </c>
      <c r="O41" s="86">
        <f>IF(P41=0,0,Q41/P41)</f>
        <v>-2.2222222222222197</v>
      </c>
      <c r="P41" s="80">
        <v>45</v>
      </c>
      <c r="Q41" s="68">
        <v>-99.999999999999886</v>
      </c>
    </row>
    <row r="42" spans="1:17">
      <c r="A42" s="19" t="s">
        <v>142</v>
      </c>
      <c r="B42" s="100">
        <v>3</v>
      </c>
      <c r="C42" s="6">
        <f t="shared" si="3"/>
        <v>4.1379310344827587E-3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177</v>
      </c>
      <c r="O42" s="86">
        <f>IF(P42=0,0,Q42/P42)</f>
        <v>-2.6</v>
      </c>
      <c r="P42" s="80">
        <v>6</v>
      </c>
      <c r="Q42" s="68">
        <v>-15.600000000000001</v>
      </c>
    </row>
    <row r="43" spans="1:17">
      <c r="A43" s="19" t="s">
        <v>143</v>
      </c>
      <c r="B43" s="100">
        <v>3</v>
      </c>
      <c r="C43" s="6">
        <f t="shared" si="3"/>
        <v>4.1379310344827587E-3</v>
      </c>
      <c r="K43" s="5">
        <v>41</v>
      </c>
      <c r="L43" s="61">
        <v>-66.399999999999991</v>
      </c>
      <c r="N43" s="76" t="s">
        <v>163</v>
      </c>
      <c r="O43" s="86">
        <f>IF(P43=0,0,Q43/P43)</f>
        <v>-3.7999999999999949</v>
      </c>
      <c r="P43" s="80">
        <v>24</v>
      </c>
      <c r="Q43" s="68">
        <v>-91.199999999999875</v>
      </c>
    </row>
    <row r="44" spans="1:17">
      <c r="A44" s="19" t="s">
        <v>144</v>
      </c>
      <c r="B44" s="100">
        <v>1</v>
      </c>
      <c r="C44" s="6">
        <f t="shared" si="3"/>
        <v>1.3793103448275861E-3</v>
      </c>
      <c r="K44" s="5">
        <v>42</v>
      </c>
      <c r="L44" s="61">
        <v>-59.29999999999999</v>
      </c>
      <c r="N44" s="76" t="s">
        <v>297</v>
      </c>
      <c r="O44" s="86">
        <f>IF(P44=0,0,Q44/P44)</f>
        <v>-5.4666666666666659</v>
      </c>
      <c r="P44" s="80">
        <v>6</v>
      </c>
      <c r="Q44" s="68">
        <v>-32.799999999999997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195</v>
      </c>
      <c r="O45" s="86">
        <f>IF(P45=0,0,Q45/P45)</f>
        <v>-7.1545454545454588</v>
      </c>
      <c r="P45" s="80">
        <v>132</v>
      </c>
      <c r="Q45" s="68">
        <v>-944.40000000000055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244</v>
      </c>
      <c r="O46" s="86">
        <f>IF(P46=0,0,Q46/P46)</f>
        <v>-7.4666666666666703</v>
      </c>
      <c r="P46" s="80">
        <v>36</v>
      </c>
      <c r="Q46" s="68">
        <v>-268.80000000000013</v>
      </c>
    </row>
    <row r="47" spans="1:17">
      <c r="A47" s="21" t="s">
        <v>147</v>
      </c>
      <c r="B47" s="101">
        <v>3</v>
      </c>
      <c r="C47" s="9">
        <f t="shared" si="3"/>
        <v>4.1379310344827587E-3</v>
      </c>
      <c r="K47" s="5">
        <v>45</v>
      </c>
      <c r="L47" s="61">
        <v>-52.099999999999987</v>
      </c>
      <c r="N47" s="76" t="s">
        <v>191</v>
      </c>
      <c r="O47" s="86">
        <f>IF(P47=0,0,Q47/P47)</f>
        <v>-7.5523809523809531</v>
      </c>
      <c r="P47" s="80">
        <v>42</v>
      </c>
      <c r="Q47" s="68">
        <v>-317.20000000000005</v>
      </c>
    </row>
    <row r="48" spans="1:17">
      <c r="K48" s="5">
        <v>46</v>
      </c>
      <c r="L48" s="61">
        <v>-44.199999999999989</v>
      </c>
      <c r="N48" s="76" t="s">
        <v>255</v>
      </c>
      <c r="O48" s="86">
        <f>IF(P48=0,0,Q48/P48)</f>
        <v>-8.3137254901960684</v>
      </c>
      <c r="P48" s="80">
        <v>51</v>
      </c>
      <c r="Q48" s="68">
        <v>-423.99999999999949</v>
      </c>
    </row>
    <row r="49" spans="11:17">
      <c r="K49" s="5">
        <v>47</v>
      </c>
      <c r="L49" s="61">
        <v>-76.299999999999983</v>
      </c>
      <c r="N49" s="76" t="s">
        <v>168</v>
      </c>
      <c r="O49" s="86">
        <f>IF(P49=0,0,Q49/P49)</f>
        <v>-11.807407407407409</v>
      </c>
      <c r="P49" s="80">
        <v>54</v>
      </c>
      <c r="Q49" s="68">
        <v>-637.6</v>
      </c>
    </row>
    <row r="50" spans="11:17">
      <c r="K50" s="5">
        <v>48</v>
      </c>
      <c r="L50" s="61">
        <v>-19.999999999999986</v>
      </c>
      <c r="N50" s="76" t="s">
        <v>276</v>
      </c>
      <c r="O50" s="86">
        <f>IF(P50=0,0,Q50/P50)</f>
        <v>-15.450000000000001</v>
      </c>
      <c r="P50" s="80">
        <v>36</v>
      </c>
      <c r="Q50" s="68">
        <v>-556.20000000000005</v>
      </c>
    </row>
    <row r="51" spans="11:17">
      <c r="K51" s="5">
        <v>49</v>
      </c>
      <c r="L51" s="61">
        <v>-73.599999999999994</v>
      </c>
      <c r="N51" s="76" t="s">
        <v>272</v>
      </c>
      <c r="O51" s="86">
        <f>IF(P51=0,0,Q51/P51)</f>
        <v>-16.962962962962965</v>
      </c>
      <c r="P51" s="80">
        <v>54</v>
      </c>
      <c r="Q51" s="68">
        <v>-916.00000000000023</v>
      </c>
    </row>
    <row r="52" spans="11:17">
      <c r="K52" s="5">
        <v>50</v>
      </c>
      <c r="L52" s="61">
        <v>-72.8</v>
      </c>
      <c r="N52" s="76" t="s">
        <v>265</v>
      </c>
      <c r="O52" s="86">
        <f>IF(P52=0,0,Q52/P52)</f>
        <v>-16.983333333333334</v>
      </c>
      <c r="P52" s="80">
        <v>60</v>
      </c>
      <c r="Q52" s="68">
        <v>-1019.0000000000001</v>
      </c>
    </row>
    <row r="53" spans="11:17">
      <c r="K53" s="5">
        <v>51</v>
      </c>
      <c r="L53" s="61">
        <v>10</v>
      </c>
      <c r="N53" s="76" t="s">
        <v>263</v>
      </c>
      <c r="O53" s="86">
        <f>IF(P53=0,0,Q53/P53)</f>
        <v>-17.884848484848483</v>
      </c>
      <c r="P53" s="80">
        <v>66</v>
      </c>
      <c r="Q53" s="68">
        <v>-1180.3999999999999</v>
      </c>
    </row>
    <row r="54" spans="11:17">
      <c r="K54" s="5">
        <v>52</v>
      </c>
      <c r="L54" s="61">
        <v>-20</v>
      </c>
      <c r="N54" s="76" t="s">
        <v>167</v>
      </c>
      <c r="O54" s="86">
        <f>IF(P54=0,0,Q54/P54)</f>
        <v>-18.666666666666664</v>
      </c>
      <c r="P54" s="80">
        <v>3</v>
      </c>
      <c r="Q54" s="68">
        <v>-55.999999999999993</v>
      </c>
    </row>
    <row r="55" spans="11:17">
      <c r="K55" s="5">
        <v>53</v>
      </c>
      <c r="L55" s="61">
        <v>-10.1</v>
      </c>
      <c r="N55" s="76" t="s">
        <v>169</v>
      </c>
      <c r="O55" s="86">
        <f>IF(P55=0,0,Q55/P55)</f>
        <v>-19.719148936170225</v>
      </c>
      <c r="P55" s="80">
        <v>141</v>
      </c>
      <c r="Q55" s="68">
        <v>-2780.4000000000019</v>
      </c>
    </row>
    <row r="56" spans="11:17">
      <c r="K56" s="5">
        <v>54</v>
      </c>
      <c r="L56" s="61">
        <v>-30.5</v>
      </c>
      <c r="N56" s="76" t="s">
        <v>162</v>
      </c>
      <c r="O56" s="86">
        <f>IF(P56=0,0,Q56/P56)</f>
        <v>-39.703703703703681</v>
      </c>
      <c r="P56" s="80">
        <v>27</v>
      </c>
      <c r="Q56" s="68">
        <v>-1071.9999999999993</v>
      </c>
    </row>
    <row r="57" spans="11:17">
      <c r="K57" s="5">
        <v>55</v>
      </c>
      <c r="L57" s="61">
        <v>20.799999999999997</v>
      </c>
      <c r="N57" s="76" t="s">
        <v>264</v>
      </c>
      <c r="O57" s="86">
        <f>IF(P57=0,0,Q57/P57)</f>
        <v>-42.199999999999989</v>
      </c>
      <c r="P57" s="80">
        <v>6</v>
      </c>
      <c r="Q57" s="68">
        <v>-253.19999999999993</v>
      </c>
    </row>
    <row r="58" spans="11:17">
      <c r="K58" s="5">
        <v>56</v>
      </c>
      <c r="L58" s="61">
        <v>-20</v>
      </c>
      <c r="N58" s="76" t="s">
        <v>205</v>
      </c>
      <c r="O58" s="86">
        <f>IF(P58=0,0,Q58/P58)</f>
        <v>-47.866666666666667</v>
      </c>
      <c r="P58" s="80">
        <v>12</v>
      </c>
      <c r="Q58" s="68">
        <v>-574.4</v>
      </c>
    </row>
    <row r="59" spans="11:17">
      <c r="K59" s="5">
        <v>57</v>
      </c>
      <c r="L59" s="61">
        <v>-63.5</v>
      </c>
      <c r="N59" s="76" t="s">
        <v>268</v>
      </c>
      <c r="O59" s="86">
        <f>IF(P59=0,0,Q59/P59)</f>
        <v>-72.8</v>
      </c>
      <c r="P59" s="80">
        <v>3</v>
      </c>
      <c r="Q59" s="68">
        <v>-218.4</v>
      </c>
    </row>
    <row r="60" spans="11:17">
      <c r="K60" s="5">
        <v>58</v>
      </c>
      <c r="L60" s="61">
        <v>-32.9</v>
      </c>
      <c r="N60" s="76" t="s">
        <v>231</v>
      </c>
      <c r="O60" s="86">
        <f>IF(P60=0,0,Q60/P60)</f>
        <v>-75</v>
      </c>
      <c r="P60" s="80">
        <v>6</v>
      </c>
      <c r="Q60" s="68">
        <v>-450</v>
      </c>
    </row>
    <row r="61" spans="11:17">
      <c r="K61" s="5">
        <v>59</v>
      </c>
      <c r="L61" s="61">
        <v>-2.2999999999999972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</sheetData>
  <sortState xmlns:xlrd2="http://schemas.microsoft.com/office/spreadsheetml/2017/richdata2" ref="N18:Q6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21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22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7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31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9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6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6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3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12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9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26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25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22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25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21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34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25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22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34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14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25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12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9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47</v>
      </c>
      <c r="C2" s="121"/>
      <c r="E2" s="32" t="s">
        <v>54</v>
      </c>
      <c r="F2" s="29" t="s">
        <v>20</v>
      </c>
      <c r="G2" s="12">
        <v>68</v>
      </c>
      <c r="H2" s="93">
        <f>IF(B$17=0,0,G2/B$17)</f>
        <v>0.85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912.76595744680856</v>
      </c>
      <c r="P2" s="79">
        <v>47</v>
      </c>
      <c r="Q2" s="63">
        <v>42900</v>
      </c>
    </row>
    <row r="3" spans="1:17">
      <c r="A3" s="19" t="s">
        <v>8</v>
      </c>
      <c r="B3" s="122">
        <v>352</v>
      </c>
      <c r="C3" s="123"/>
      <c r="E3" s="33" t="s">
        <v>184</v>
      </c>
      <c r="F3" s="30" t="s">
        <v>187</v>
      </c>
      <c r="G3" s="13">
        <v>57</v>
      </c>
      <c r="H3" s="94">
        <f>IF(B$17=0,0,G3/B$17)</f>
        <v>0.71250000000000002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1655.3191489361702</v>
      </c>
      <c r="P3" s="80">
        <v>47</v>
      </c>
      <c r="Q3" s="64">
        <v>77800</v>
      </c>
    </row>
    <row r="4" spans="1:17">
      <c r="A4" s="19" t="s">
        <v>6</v>
      </c>
      <c r="B4" s="124">
        <v>692.6</v>
      </c>
      <c r="C4" s="125"/>
      <c r="E4" s="33" t="s">
        <v>181</v>
      </c>
      <c r="F4" s="30" t="s">
        <v>156</v>
      </c>
      <c r="G4" s="13">
        <v>36</v>
      </c>
      <c r="H4" s="94">
        <f>IF(B$17=0,0,G4/B$17)</f>
        <v>0.45</v>
      </c>
      <c r="I4" s="56">
        <v>31</v>
      </c>
      <c r="K4" s="5">
        <v>2</v>
      </c>
      <c r="L4" s="61">
        <v>0.60000000000000142</v>
      </c>
      <c r="N4" s="76" t="s">
        <v>105</v>
      </c>
      <c r="O4" s="83">
        <f t="shared" si="0"/>
        <v>1419.5652173913043</v>
      </c>
      <c r="P4" s="80">
        <v>46</v>
      </c>
      <c r="Q4" s="64">
        <v>65300</v>
      </c>
    </row>
    <row r="5" spans="1:17">
      <c r="A5" s="19" t="s">
        <v>7</v>
      </c>
      <c r="B5" s="126">
        <f>IF(B$2=0,0,B$4/B$2)</f>
        <v>14.736170212765957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0.35</v>
      </c>
      <c r="I5" s="56">
        <v>22</v>
      </c>
      <c r="K5" s="5">
        <v>3</v>
      </c>
      <c r="L5" s="61">
        <v>-32.299999999999997</v>
      </c>
      <c r="N5" s="76" t="s">
        <v>157</v>
      </c>
      <c r="O5" s="83">
        <f>IF(P5=0,0,Q5/P5)</f>
        <v>473.17073170731709</v>
      </c>
      <c r="P5" s="80">
        <v>41</v>
      </c>
      <c r="Q5" s="64">
        <v>19400</v>
      </c>
    </row>
    <row r="6" spans="1:17">
      <c r="A6" s="19" t="s">
        <v>1</v>
      </c>
      <c r="B6" s="128">
        <f>IF(B$2=0,0,(B$7*1+B$8*2+B$9*3+B$10*4)/B$2)</f>
        <v>2.1276595744680851</v>
      </c>
      <c r="C6" s="129"/>
      <c r="E6" s="33" t="s">
        <v>57</v>
      </c>
      <c r="F6" s="30" t="s">
        <v>21</v>
      </c>
      <c r="G6" s="13">
        <v>24</v>
      </c>
      <c r="H6" s="94">
        <f>IF(B$17=0,0,G6/B$17)</f>
        <v>0.3</v>
      </c>
      <c r="I6" s="56">
        <v>10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951.72413793103453</v>
      </c>
      <c r="P6" s="80">
        <v>29</v>
      </c>
      <c r="Q6" s="64">
        <v>27600</v>
      </c>
    </row>
    <row r="7" spans="1:17">
      <c r="A7" s="19" t="s">
        <v>2</v>
      </c>
      <c r="B7" s="13">
        <v>17</v>
      </c>
      <c r="C7" s="6">
        <f t="shared" ref="C7:C12" si="2">IF(B$2=0,0,B7/B$2)</f>
        <v>0.36170212765957449</v>
      </c>
      <c r="E7" s="33" t="s">
        <v>59</v>
      </c>
      <c r="F7" s="30" t="s">
        <v>23</v>
      </c>
      <c r="G7" s="13">
        <v>21</v>
      </c>
      <c r="H7" s="94">
        <f>IF(B$17=0,0,G7/B$17)</f>
        <v>0.26250000000000001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1452.6315789473683</v>
      </c>
      <c r="P7" s="80">
        <v>19</v>
      </c>
      <c r="Q7" s="64">
        <v>27600</v>
      </c>
    </row>
    <row r="8" spans="1:17">
      <c r="A8" s="19" t="s">
        <v>3</v>
      </c>
      <c r="B8" s="13">
        <v>14</v>
      </c>
      <c r="C8" s="6">
        <f>IF(B$2=0,0,B8/B$2)</f>
        <v>0.2978723404255319</v>
      </c>
      <c r="E8" s="33" t="s">
        <v>55</v>
      </c>
      <c r="F8" s="30" t="s">
        <v>155</v>
      </c>
      <c r="G8" s="13">
        <v>20</v>
      </c>
      <c r="H8" s="94">
        <f>IF(B$17=0,0,G8/B$17)</f>
        <v>0.25</v>
      </c>
      <c r="I8" s="56">
        <v>12</v>
      </c>
      <c r="K8" s="5">
        <v>6</v>
      </c>
      <c r="L8" s="61">
        <v>43.8</v>
      </c>
      <c r="N8" s="76" t="s">
        <v>108</v>
      </c>
      <c r="O8" s="83">
        <f t="shared" si="0"/>
        <v>1107.1428571428571</v>
      </c>
      <c r="P8" s="80">
        <v>14</v>
      </c>
      <c r="Q8" s="64">
        <v>15500</v>
      </c>
    </row>
    <row r="9" spans="1:17">
      <c r="A9" s="20" t="s">
        <v>4</v>
      </c>
      <c r="B9" s="14">
        <v>9</v>
      </c>
      <c r="C9" s="7">
        <f>IF(B$2=0,0,B9/B$2)</f>
        <v>0.19148936170212766</v>
      </c>
      <c r="E9" s="33" t="s">
        <v>56</v>
      </c>
      <c r="F9" s="30" t="s">
        <v>185</v>
      </c>
      <c r="G9" s="13">
        <v>14</v>
      </c>
      <c r="H9" s="94">
        <f>IF(B$17=0,0,G9/B$17)</f>
        <v>0.17499999999999999</v>
      </c>
      <c r="I9" s="56">
        <v>34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7</v>
      </c>
      <c r="C10" s="7">
        <f>IF(B$2=0,0,B10/B$2)</f>
        <v>0.14893617021276595</v>
      </c>
      <c r="E10" s="33" t="s">
        <v>58</v>
      </c>
      <c r="F10" s="30" t="s">
        <v>22</v>
      </c>
      <c r="G10" s="13">
        <v>8</v>
      </c>
      <c r="H10" s="94">
        <f>IF(B$17=0,0,G10/B$17)</f>
        <v>0.1</v>
      </c>
      <c r="I10" s="56">
        <v>9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31</v>
      </c>
      <c r="C11" s="7">
        <f>IF(B$2=0,0,B11/B$2)</f>
        <v>0.65957446808510634</v>
      </c>
      <c r="E11" s="33" t="s">
        <v>182</v>
      </c>
      <c r="F11" s="30" t="s">
        <v>19</v>
      </c>
      <c r="G11" s="13">
        <v>7</v>
      </c>
      <c r="H11" s="94">
        <f>IF(B$17=0,0,G11/B$17)</f>
        <v>8.7499999999999994E-2</v>
      </c>
      <c r="I11" s="56">
        <v>20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2.1276595744680851E-2</v>
      </c>
      <c r="E12" s="33" t="s">
        <v>77</v>
      </c>
      <c r="F12" s="30" t="s">
        <v>41</v>
      </c>
      <c r="G12" s="13">
        <v>7</v>
      </c>
      <c r="H12" s="94">
        <f>IF(B$17=0,0,G12/B$17)</f>
        <v>8.7499999999999994E-2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19.600000000000005</v>
      </c>
      <c r="P12" s="79">
        <v>12</v>
      </c>
      <c r="Q12" s="67">
        <v>235.20000000000005</v>
      </c>
    </row>
    <row r="13" spans="1:17">
      <c r="A13" s="22" t="s">
        <v>97</v>
      </c>
      <c r="B13" s="15">
        <v>57</v>
      </c>
      <c r="C13" s="11">
        <f>IF(B$3=0,0,B13/B$3)</f>
        <v>0.16193181818181818</v>
      </c>
      <c r="E13" s="33" t="s">
        <v>62</v>
      </c>
      <c r="F13" s="30" t="s">
        <v>26</v>
      </c>
      <c r="G13" s="13">
        <v>1</v>
      </c>
      <c r="H13" s="94">
        <f>IF(B$17=0,0,G13/B$17)</f>
        <v>1.2500000000000001E-2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75</v>
      </c>
      <c r="C14" s="6">
        <f>IF(B$3=0,0,B14/B$3)</f>
        <v>0.21306818181818182</v>
      </c>
      <c r="E14" s="33" t="s">
        <v>66</v>
      </c>
      <c r="F14" s="30" t="s">
        <v>30</v>
      </c>
      <c r="G14" s="13">
        <v>1</v>
      </c>
      <c r="H14" s="94">
        <f>IF(B$17=0,0,G14/B$17)</f>
        <v>1.2500000000000001E-2</v>
      </c>
      <c r="I14" s="56">
        <v>10</v>
      </c>
      <c r="K14" s="5">
        <v>12</v>
      </c>
      <c r="L14" s="61">
        <v>97.9</v>
      </c>
      <c r="N14" s="76" t="s">
        <v>128</v>
      </c>
      <c r="O14" s="86">
        <f>IF(P14=0,0,Q14/P14)</f>
        <v>9.4444444444444429</v>
      </c>
      <c r="P14" s="80">
        <v>9</v>
      </c>
      <c r="Q14" s="68">
        <v>84.999999999999986</v>
      </c>
    </row>
    <row r="15" spans="1:17">
      <c r="A15" s="18" t="s">
        <v>99</v>
      </c>
      <c r="B15" s="12">
        <f>B21</f>
        <v>36</v>
      </c>
      <c r="C15" s="4">
        <f>IF(B$13=0,0,B15/B$13)</f>
        <v>0.63157894736842102</v>
      </c>
      <c r="E15" s="33" t="s">
        <v>183</v>
      </c>
      <c r="F15" s="30" t="s">
        <v>186</v>
      </c>
      <c r="G15" s="13">
        <v>1</v>
      </c>
      <c r="H15" s="94">
        <f>IF(B$17=0,0,G15/B$17)</f>
        <v>1.2500000000000001E-2</v>
      </c>
      <c r="I15" s="56">
        <v>15</v>
      </c>
      <c r="K15" s="5">
        <v>13</v>
      </c>
      <c r="L15" s="61">
        <v>168.9</v>
      </c>
      <c r="N15" s="77" t="s">
        <v>159</v>
      </c>
      <c r="O15" s="87">
        <f>IF(P15=0,0,Q15/P15)</f>
        <v>15.944444444444445</v>
      </c>
      <c r="P15" s="81">
        <v>18</v>
      </c>
      <c r="Q15" s="69">
        <v>287</v>
      </c>
    </row>
    <row r="16" spans="1:17">
      <c r="A16" s="18" t="s">
        <v>100</v>
      </c>
      <c r="B16" s="12">
        <f>B22</f>
        <v>29</v>
      </c>
      <c r="C16" s="4">
        <f>IF(B$14=0,0,B16/B$14)</f>
        <v>0.38666666666666666</v>
      </c>
      <c r="E16" s="33" t="s">
        <v>68</v>
      </c>
      <c r="F16" s="30" t="s">
        <v>32</v>
      </c>
      <c r="G16" s="13">
        <v>1</v>
      </c>
      <c r="H16" s="94">
        <f>IF(B$17=0,0,G16/B$17)</f>
        <v>1.2500000000000001E-2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80</v>
      </c>
      <c r="C17" s="4">
        <f>IF(B$3=0,0,B17/B$3)</f>
        <v>0.22727272727272727</v>
      </c>
      <c r="E17" s="33" t="s">
        <v>71</v>
      </c>
      <c r="F17" s="30" t="s">
        <v>35</v>
      </c>
      <c r="G17" s="13">
        <v>1</v>
      </c>
      <c r="H17" s="94">
        <f>IF(B$17=0,0,G17/B$17)</f>
        <v>1.2500000000000001E-2</v>
      </c>
      <c r="I17" s="56">
        <v>14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33</v>
      </c>
      <c r="C18" s="6">
        <f>IF(B$3=0,0,B18/B$3)</f>
        <v>9.375E-2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0.26250000000000001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59</v>
      </c>
      <c r="C20" s="6">
        <f>IF(B$17=0,0,B20/B$17)</f>
        <v>0.73750000000000004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277</v>
      </c>
      <c r="O20" s="86">
        <f>IF(P20=0,0,Q20/P20)</f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36</v>
      </c>
      <c r="C21" s="6">
        <f>IF(B$17=0,0,B21/B$17)</f>
        <v>0.45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29</v>
      </c>
      <c r="C22" s="6">
        <f>IF(B$17=0,0,B22/B$17)</f>
        <v>0.36249999999999999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15</v>
      </c>
      <c r="C23" s="6">
        <f>IF(B$17=0,0,B23/B$17)</f>
        <v>0.1875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7665</v>
      </c>
      <c r="C24" s="8">
        <v>613200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>IF(P24=0,0,Q24/P24)</f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8598.0392156862745</v>
      </c>
      <c r="C25" s="98">
        <v>438500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166</v>
      </c>
      <c r="O25" s="86">
        <f>IF(P25=0,0,Q25/P25)</f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-5075.757575757576</v>
      </c>
      <c r="C27" s="98">
        <v>-167500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522.80000000000007</v>
      </c>
      <c r="N29" s="76" t="s">
        <v>161</v>
      </c>
      <c r="O29" s="86">
        <f>IF(P29=0,0,Q29/P29)</f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530.50000000000011</v>
      </c>
      <c r="N30" s="76" t="s">
        <v>228</v>
      </c>
      <c r="O30" s="86">
        <f>IF(P30=0,0,Q30/P30)</f>
        <v>38.049999999999997</v>
      </c>
      <c r="P30" s="80">
        <v>2</v>
      </c>
      <c r="Q30" s="68">
        <v>76.099999999999994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213</v>
      </c>
      <c r="O31" s="86">
        <f>IF(P31=0,0,Q31/P31)</f>
        <v>37.4</v>
      </c>
      <c r="P31" s="80">
        <v>6</v>
      </c>
      <c r="Q31" s="68">
        <v>224.39999999999998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276</v>
      </c>
      <c r="O32" s="86">
        <f>IF(P32=0,0,Q32/P32)</f>
        <v>37.4</v>
      </c>
      <c r="P32" s="80">
        <v>1</v>
      </c>
      <c r="Q32" s="68">
        <v>37.4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>IF(P33=0,0,Q33/P33)</f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>IF(P34=0,0,Q34/P34)</f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3</v>
      </c>
      <c r="C35" s="102">
        <f t="shared" ref="C35:C47" si="3">IF(B$17=0,0,B35/B$17)</f>
        <v>3.7499999999999999E-2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>IF(P35=0,0,Q35/P35)</f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15</v>
      </c>
      <c r="C36" s="6">
        <f t="shared" si="3"/>
        <v>0.1875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238</v>
      </c>
      <c r="O36" s="86">
        <f>IF(P36=0,0,Q36/P36)</f>
        <v>27.939999999999998</v>
      </c>
      <c r="P36" s="80">
        <v>5</v>
      </c>
      <c r="Q36" s="68">
        <v>139.69999999999999</v>
      </c>
    </row>
    <row r="37" spans="1:17">
      <c r="A37" s="19" t="s">
        <v>136</v>
      </c>
      <c r="B37" s="100">
        <v>16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>IF(P37=0,0,Q37/P37)</f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24</v>
      </c>
      <c r="C38" s="6">
        <f t="shared" si="3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235</v>
      </c>
      <c r="O38" s="86">
        <f>IF(P38=0,0,Q38/P38)</f>
        <v>16.225000000000001</v>
      </c>
      <c r="P38" s="80">
        <v>4</v>
      </c>
      <c r="Q38" s="68">
        <v>64.900000000000006</v>
      </c>
    </row>
    <row r="39" spans="1:17">
      <c r="A39" s="19" t="s">
        <v>138</v>
      </c>
      <c r="B39" s="100">
        <v>6</v>
      </c>
      <c r="C39" s="6">
        <f t="shared" si="3"/>
        <v>7.4999999999999997E-2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272</v>
      </c>
      <c r="O39" s="86">
        <f>IF(P39=0,0,Q39/P39)</f>
        <v>8.0999999999999979</v>
      </c>
      <c r="P39" s="80">
        <v>5</v>
      </c>
      <c r="Q39" s="68">
        <v>40.499999999999986</v>
      </c>
    </row>
    <row r="40" spans="1:17">
      <c r="A40" s="19" t="s">
        <v>140</v>
      </c>
      <c r="B40" s="100">
        <v>10</v>
      </c>
      <c r="C40" s="6">
        <f t="shared" si="3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263</v>
      </c>
      <c r="O40" s="86">
        <f>IF(P40=0,0,Q40/P40)</f>
        <v>2.083333333333337</v>
      </c>
      <c r="P40" s="80">
        <v>6</v>
      </c>
      <c r="Q40" s="68">
        <v>12.500000000000021</v>
      </c>
    </row>
    <row r="41" spans="1:17">
      <c r="A41" s="19" t="s">
        <v>141</v>
      </c>
      <c r="B41" s="100">
        <v>5</v>
      </c>
      <c r="C41" s="6">
        <f t="shared" si="3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297</v>
      </c>
      <c r="O41" s="86">
        <f>IF(P41=0,0,Q41/P41)</f>
        <v>0</v>
      </c>
      <c r="P41" s="80">
        <v>1</v>
      </c>
      <c r="Q41" s="68">
        <v>0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195</v>
      </c>
      <c r="O42" s="86">
        <f>IF(P42=0,0,Q42/P42)</f>
        <v>-4.2812500000000053</v>
      </c>
      <c r="P42" s="80">
        <v>16</v>
      </c>
      <c r="Q42" s="68">
        <v>-68.500000000000085</v>
      </c>
    </row>
    <row r="43" spans="1:17">
      <c r="A43" s="19" t="s">
        <v>143</v>
      </c>
      <c r="B43" s="100">
        <v>1</v>
      </c>
      <c r="C43" s="6">
        <f t="shared" si="3"/>
        <v>1.2500000000000001E-2</v>
      </c>
      <c r="K43" s="5">
        <v>41</v>
      </c>
      <c r="L43" s="61">
        <v>584.79999999999995</v>
      </c>
      <c r="N43" s="76" t="s">
        <v>269</v>
      </c>
      <c r="O43" s="86">
        <f>IF(P43=0,0,Q43/P43)</f>
        <v>-6.8999999999999995</v>
      </c>
      <c r="P43" s="80">
        <v>3</v>
      </c>
      <c r="Q43" s="68">
        <v>-20.7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164</v>
      </c>
      <c r="O44" s="86">
        <f>IF(P44=0,0,Q44/P44)</f>
        <v>-7.6999999999999975</v>
      </c>
      <c r="P44" s="80">
        <v>7</v>
      </c>
      <c r="Q44" s="68">
        <v>-53.899999999999984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265</v>
      </c>
      <c r="O45" s="86">
        <f>IF(P45=0,0,Q45/P45)</f>
        <v>-8.1000000000000014</v>
      </c>
      <c r="P45" s="80">
        <v>2</v>
      </c>
      <c r="Q45" s="68">
        <v>-16.200000000000003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177</v>
      </c>
      <c r="O46" s="86">
        <f>IF(P46=0,0,Q46/P46)</f>
        <v>-10.999999999999996</v>
      </c>
      <c r="P46" s="80">
        <v>2</v>
      </c>
      <c r="Q46" s="68">
        <v>-21.999999999999993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168</v>
      </c>
      <c r="O47" s="86">
        <f>IF(P47=0,0,Q47/P47)</f>
        <v>-14.5625</v>
      </c>
      <c r="P47" s="80">
        <v>8</v>
      </c>
      <c r="Q47" s="68">
        <v>-116.5</v>
      </c>
    </row>
    <row r="48" spans="1:17">
      <c r="K48" s="5">
        <v>46</v>
      </c>
      <c r="L48" s="61">
        <v>682.4</v>
      </c>
      <c r="N48" s="76" t="s">
        <v>167</v>
      </c>
      <c r="O48" s="86">
        <f>IF(P48=0,0,Q48/P48)</f>
        <v>-28.2</v>
      </c>
      <c r="P48" s="80">
        <v>1</v>
      </c>
      <c r="Q48" s="68">
        <v>-28.2</v>
      </c>
    </row>
    <row r="49" spans="11:17">
      <c r="K49" s="5">
        <v>47</v>
      </c>
      <c r="L49" s="61">
        <v>692.6</v>
      </c>
      <c r="N49" s="76" t="s">
        <v>255</v>
      </c>
      <c r="O49" s="86">
        <f>IF(P49=0,0,Q49/P49)</f>
        <v>-33.157142857142851</v>
      </c>
      <c r="P49" s="80">
        <v>7</v>
      </c>
      <c r="Q49" s="68">
        <v>-232.09999999999994</v>
      </c>
    </row>
    <row r="50" spans="11:17">
      <c r="N50" s="76" t="s">
        <v>162</v>
      </c>
      <c r="O50" s="86">
        <f>IF(P50=0,0,Q50/P50)</f>
        <v>-38.020000000000003</v>
      </c>
      <c r="P50" s="80">
        <v>5</v>
      </c>
      <c r="Q50" s="68">
        <v>-190.10000000000002</v>
      </c>
    </row>
  </sheetData>
  <sortState xmlns:xlrd2="http://schemas.microsoft.com/office/spreadsheetml/2017/richdata2" ref="N18:Q5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28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27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28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25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28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23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7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15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12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14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24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28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29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12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26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31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33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13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24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35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32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17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27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14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12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9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16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9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15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15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33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10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37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33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37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18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6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11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28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9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44</v>
      </c>
      <c r="C2" s="121"/>
      <c r="E2" s="32" t="s">
        <v>54</v>
      </c>
      <c r="F2" s="29" t="s">
        <v>20</v>
      </c>
      <c r="G2" s="12">
        <v>46</v>
      </c>
      <c r="H2" s="93">
        <f>IF(B$17=0,0,G2/B$17)</f>
        <v>0.54761904761904767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1034.090909090909</v>
      </c>
      <c r="P2" s="79">
        <v>44</v>
      </c>
      <c r="Q2" s="63">
        <v>45500</v>
      </c>
    </row>
    <row r="3" spans="1:17">
      <c r="A3" s="19" t="s">
        <v>8</v>
      </c>
      <c r="B3" s="122">
        <v>311</v>
      </c>
      <c r="C3" s="123"/>
      <c r="E3" s="33" t="s">
        <v>181</v>
      </c>
      <c r="F3" s="30" t="s">
        <v>156</v>
      </c>
      <c r="G3" s="13">
        <v>42</v>
      </c>
      <c r="H3" s="94">
        <f>IF(B$17=0,0,G3/B$17)</f>
        <v>0.5</v>
      </c>
      <c r="I3" s="56">
        <v>23</v>
      </c>
      <c r="K3" s="5">
        <v>1</v>
      </c>
      <c r="L3" s="61">
        <v>-21.3</v>
      </c>
      <c r="N3" s="76" t="s">
        <v>104</v>
      </c>
      <c r="O3" s="83">
        <f t="shared" si="0"/>
        <v>800</v>
      </c>
      <c r="P3" s="80">
        <v>44</v>
      </c>
      <c r="Q3" s="64">
        <v>35200</v>
      </c>
    </row>
    <row r="4" spans="1:17">
      <c r="A4" s="19" t="s">
        <v>6</v>
      </c>
      <c r="B4" s="124">
        <v>231.09999999999997</v>
      </c>
      <c r="C4" s="125"/>
      <c r="E4" s="33" t="s">
        <v>184</v>
      </c>
      <c r="F4" s="30" t="s">
        <v>187</v>
      </c>
      <c r="G4" s="13">
        <v>42</v>
      </c>
      <c r="H4" s="94">
        <f>IF(B$17=0,0,G4/B$17)</f>
        <v>0.5</v>
      </c>
      <c r="I4" s="56">
        <v>11</v>
      </c>
      <c r="K4" s="5">
        <v>2</v>
      </c>
      <c r="L4" s="61">
        <v>-12.200000000000001</v>
      </c>
      <c r="N4" s="76" t="s">
        <v>105</v>
      </c>
      <c r="O4" s="83">
        <f t="shared" si="0"/>
        <v>1204.6511627906978</v>
      </c>
      <c r="P4" s="80">
        <v>43</v>
      </c>
      <c r="Q4" s="64">
        <v>51800</v>
      </c>
    </row>
    <row r="5" spans="1:17">
      <c r="A5" s="19" t="s">
        <v>7</v>
      </c>
      <c r="B5" s="126">
        <f>IF(B$2=0,0,B$4/B$2)</f>
        <v>5.2522727272727261</v>
      </c>
      <c r="C5" s="127"/>
      <c r="E5" s="33" t="s">
        <v>60</v>
      </c>
      <c r="F5" s="30" t="s">
        <v>24</v>
      </c>
      <c r="G5" s="13">
        <v>33</v>
      </c>
      <c r="H5" s="94">
        <f>IF(B$17=0,0,G5/B$17)</f>
        <v>0.39285714285714285</v>
      </c>
      <c r="I5" s="56">
        <v>19</v>
      </c>
      <c r="K5" s="5">
        <v>3</v>
      </c>
      <c r="L5" s="61">
        <v>-68.400000000000006</v>
      </c>
      <c r="N5" s="76" t="s">
        <v>157</v>
      </c>
      <c r="O5" s="83">
        <f>IF(P5=0,0,Q5/P5)</f>
        <v>46.153846153846153</v>
      </c>
      <c r="P5" s="80">
        <v>39</v>
      </c>
      <c r="Q5" s="64">
        <v>1800</v>
      </c>
    </row>
    <row r="6" spans="1:17">
      <c r="A6" s="19" t="s">
        <v>1</v>
      </c>
      <c r="B6" s="128">
        <f>IF(B$2=0,0,(B$7*1+B$8*2+B$9*3+B$10*4)/B$2)</f>
        <v>2.3863636363636362</v>
      </c>
      <c r="C6" s="129"/>
      <c r="E6" s="33" t="s">
        <v>55</v>
      </c>
      <c r="F6" s="30" t="s">
        <v>155</v>
      </c>
      <c r="G6" s="13">
        <v>20</v>
      </c>
      <c r="H6" s="94">
        <f>IF(B$17=0,0,G6/B$17)</f>
        <v>0.23809523809523808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272</v>
      </c>
      <c r="P6" s="80">
        <v>25</v>
      </c>
      <c r="Q6" s="64">
        <v>6800</v>
      </c>
    </row>
    <row r="7" spans="1:17">
      <c r="A7" s="19" t="s">
        <v>2</v>
      </c>
      <c r="B7" s="13">
        <v>12</v>
      </c>
      <c r="C7" s="6">
        <f t="shared" ref="C7:C12" si="2">IF(B$2=0,0,B7/B$2)</f>
        <v>0.27272727272727271</v>
      </c>
      <c r="E7" s="33" t="s">
        <v>56</v>
      </c>
      <c r="F7" s="30" t="s">
        <v>185</v>
      </c>
      <c r="G7" s="13">
        <v>20</v>
      </c>
      <c r="H7" s="94">
        <f>IF(B$17=0,0,G7/B$17)</f>
        <v>0.23809523809523808</v>
      </c>
      <c r="I7" s="56">
        <v>30</v>
      </c>
      <c r="K7" s="5">
        <v>5</v>
      </c>
      <c r="L7" s="61">
        <v>-160.60000000000002</v>
      </c>
      <c r="N7" s="76" t="s">
        <v>107</v>
      </c>
      <c r="O7" s="83">
        <f t="shared" si="0"/>
        <v>-1375</v>
      </c>
      <c r="P7" s="80">
        <v>16</v>
      </c>
      <c r="Q7" s="64">
        <v>-22000</v>
      </c>
    </row>
    <row r="8" spans="1:17">
      <c r="A8" s="19" t="s">
        <v>3</v>
      </c>
      <c r="B8" s="13">
        <v>9</v>
      </c>
      <c r="C8" s="6">
        <f>IF(B$2=0,0,B8/B$2)</f>
        <v>0.20454545454545456</v>
      </c>
      <c r="E8" s="33" t="s">
        <v>59</v>
      </c>
      <c r="F8" s="30" t="s">
        <v>23</v>
      </c>
      <c r="G8" s="13">
        <v>15</v>
      </c>
      <c r="H8" s="94">
        <f>IF(B$17=0,0,G8/B$17)</f>
        <v>0.17857142857142858</v>
      </c>
      <c r="I8" s="56">
        <v>17</v>
      </c>
      <c r="K8" s="5">
        <v>6</v>
      </c>
      <c r="L8" s="61">
        <v>-199.10000000000002</v>
      </c>
      <c r="N8" s="76" t="s">
        <v>108</v>
      </c>
      <c r="O8" s="83">
        <f t="shared" si="0"/>
        <v>-388.88888888888891</v>
      </c>
      <c r="P8" s="80">
        <v>9</v>
      </c>
      <c r="Q8" s="64">
        <v>-3500</v>
      </c>
    </row>
    <row r="9" spans="1:17">
      <c r="A9" s="20" t="s">
        <v>4</v>
      </c>
      <c r="B9" s="14">
        <v>17</v>
      </c>
      <c r="C9" s="7">
        <f>IF(B$2=0,0,B9/B$2)</f>
        <v>0.38636363636363635</v>
      </c>
      <c r="E9" s="33" t="s">
        <v>57</v>
      </c>
      <c r="F9" s="30" t="s">
        <v>21</v>
      </c>
      <c r="G9" s="13">
        <v>14</v>
      </c>
      <c r="H9" s="94">
        <f>IF(B$17=0,0,G9/B$17)</f>
        <v>0.16666666666666666</v>
      </c>
      <c r="I9" s="56">
        <v>27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6</v>
      </c>
      <c r="C10" s="7">
        <f>IF(B$2=0,0,B10/B$2)</f>
        <v>0.13636363636363635</v>
      </c>
      <c r="E10" s="33" t="s">
        <v>182</v>
      </c>
      <c r="F10" s="30" t="s">
        <v>19</v>
      </c>
      <c r="G10" s="13">
        <v>9</v>
      </c>
      <c r="H10" s="94">
        <f>IF(B$17=0,0,G10/B$17)</f>
        <v>0.10714285714285714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0.47727272727272729</v>
      </c>
      <c r="E11" s="33" t="s">
        <v>58</v>
      </c>
      <c r="F11" s="30" t="s">
        <v>22</v>
      </c>
      <c r="G11" s="13">
        <v>8</v>
      </c>
      <c r="H11" s="94">
        <f>IF(B$17=0,0,G11/B$17)</f>
        <v>9.5238095238095233E-2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6.8181818181818177E-2</v>
      </c>
      <c r="E12" s="33" t="s">
        <v>77</v>
      </c>
      <c r="F12" s="30" t="s">
        <v>41</v>
      </c>
      <c r="G12" s="13">
        <v>7</v>
      </c>
      <c r="H12" s="94">
        <f>IF(B$17=0,0,G12/B$17)</f>
        <v>8.3333333333333329E-2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5.9999999999999991</v>
      </c>
      <c r="P12" s="79">
        <v>6</v>
      </c>
      <c r="Q12" s="67">
        <v>35.999999999999993</v>
      </c>
    </row>
    <row r="13" spans="1:17">
      <c r="A13" s="22" t="s">
        <v>97</v>
      </c>
      <c r="B13" s="15">
        <v>79</v>
      </c>
      <c r="C13" s="11">
        <f>IF(B$3=0,0,B13/B$3)</f>
        <v>0.25401929260450162</v>
      </c>
      <c r="E13" s="33" t="s">
        <v>71</v>
      </c>
      <c r="F13" s="30" t="s">
        <v>35</v>
      </c>
      <c r="G13" s="13">
        <v>5</v>
      </c>
      <c r="H13" s="94">
        <f>IF(B$17=0,0,G13/B$17)</f>
        <v>5.9523809523809521E-2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5.94</v>
      </c>
      <c r="P13" s="80">
        <v>10</v>
      </c>
      <c r="Q13" s="68">
        <v>59.400000000000006</v>
      </c>
    </row>
    <row r="14" spans="1:17">
      <c r="A14" s="19" t="s">
        <v>94</v>
      </c>
      <c r="B14" s="13">
        <v>94</v>
      </c>
      <c r="C14" s="6">
        <f>IF(B$3=0,0,B14/B$3)</f>
        <v>0.30225080385852088</v>
      </c>
      <c r="E14" s="33" t="s">
        <v>74</v>
      </c>
      <c r="F14" s="30" t="s">
        <v>38</v>
      </c>
      <c r="G14" s="13">
        <v>3</v>
      </c>
      <c r="H14" s="94">
        <f>IF(B$17=0,0,G14/B$17)</f>
        <v>3.5714285714285712E-2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11.283333333333331</v>
      </c>
      <c r="P14" s="80">
        <v>12</v>
      </c>
      <c r="Q14" s="68">
        <v>135.39999999999998</v>
      </c>
    </row>
    <row r="15" spans="1:17">
      <c r="A15" s="18" t="s">
        <v>99</v>
      </c>
      <c r="B15" s="12">
        <f>B21</f>
        <v>42</v>
      </c>
      <c r="C15" s="4">
        <f>IF(B$13=0,0,B15/B$13)</f>
        <v>0.53164556962025311</v>
      </c>
      <c r="E15" s="33" t="s">
        <v>183</v>
      </c>
      <c r="F15" s="30" t="s">
        <v>186</v>
      </c>
      <c r="G15" s="13">
        <v>2</v>
      </c>
      <c r="H15" s="94">
        <f>IF(B$17=0,0,G15/B$17)</f>
        <v>2.3809523809523808E-2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1.8749999999999822E-2</v>
      </c>
      <c r="P15" s="81">
        <v>16</v>
      </c>
      <c r="Q15" s="69">
        <v>0.29999999999999716</v>
      </c>
    </row>
    <row r="16" spans="1:17">
      <c r="A16" s="18" t="s">
        <v>100</v>
      </c>
      <c r="B16" s="12">
        <f>B22</f>
        <v>34</v>
      </c>
      <c r="C16" s="4">
        <f>IF(B$14=0,0,B16/B$14)</f>
        <v>0.36170212765957449</v>
      </c>
      <c r="E16" s="33" t="s">
        <v>78</v>
      </c>
      <c r="F16" s="30" t="s">
        <v>42</v>
      </c>
      <c r="G16" s="13">
        <v>2</v>
      </c>
      <c r="H16" s="94">
        <f>IF(B$17=0,0,G16/B$17)</f>
        <v>2.3809523809523808E-2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84</v>
      </c>
      <c r="C17" s="4">
        <f>IF(B$3=0,0,B17/B$3)</f>
        <v>0.27009646302250806</v>
      </c>
      <c r="E17" s="33" t="s">
        <v>62</v>
      </c>
      <c r="F17" s="30" t="s">
        <v>26</v>
      </c>
      <c r="G17" s="13">
        <v>1</v>
      </c>
      <c r="H17" s="94">
        <f>IF(B$17=0,0,G17/B$17)</f>
        <v>1.1904761904761904E-2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38</v>
      </c>
      <c r="C18" s="6">
        <f>IF(B$3=0,0,B18/B$3)</f>
        <v>0.12218649517684887</v>
      </c>
      <c r="E18" s="33" t="s">
        <v>66</v>
      </c>
      <c r="F18" s="30" t="s">
        <v>30</v>
      </c>
      <c r="G18" s="13">
        <v>1</v>
      </c>
      <c r="H18" s="94">
        <f>IF(B$17=0,0,G18/B$17)</f>
        <v>1.1904761904761904E-2</v>
      </c>
      <c r="I18" s="56">
        <v>11</v>
      </c>
      <c r="K18" s="5">
        <v>16</v>
      </c>
      <c r="L18" s="61">
        <v>-275</v>
      </c>
      <c r="N18" s="75" t="s">
        <v>235</v>
      </c>
      <c r="O18" s="85">
        <f t="shared" ref="O18:O47" si="3">IF(P18=0,0,Q18/P18)</f>
        <v>112.1</v>
      </c>
      <c r="P18" s="79">
        <v>4</v>
      </c>
      <c r="Q18" s="67">
        <v>448.4</v>
      </c>
    </row>
    <row r="19" spans="1:17">
      <c r="A19" s="19" t="s">
        <v>12</v>
      </c>
      <c r="B19" s="13">
        <v>31</v>
      </c>
      <c r="C19" s="6">
        <f>IF(B$17=0,0,B19/B$17)</f>
        <v>0.36904761904761907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-298.60000000000002</v>
      </c>
      <c r="N19" s="76" t="s">
        <v>262</v>
      </c>
      <c r="O19" s="86">
        <f t="shared" si="3"/>
        <v>109.5</v>
      </c>
      <c r="P19" s="80">
        <v>1</v>
      </c>
      <c r="Q19" s="68">
        <v>109.5</v>
      </c>
    </row>
    <row r="20" spans="1:17">
      <c r="A20" s="19" t="s">
        <v>11</v>
      </c>
      <c r="B20" s="13">
        <v>53</v>
      </c>
      <c r="C20" s="6">
        <f>IF(B$17=0,0,B20/B$17)</f>
        <v>0.63095238095238093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258</v>
      </c>
      <c r="O20" s="86">
        <f t="shared" si="3"/>
        <v>84.5</v>
      </c>
      <c r="P20" s="80">
        <v>1</v>
      </c>
      <c r="Q20" s="68">
        <v>84.5</v>
      </c>
    </row>
    <row r="21" spans="1:17">
      <c r="A21" s="19" t="s">
        <v>151</v>
      </c>
      <c r="B21" s="13">
        <v>42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255</v>
      </c>
      <c r="O21" s="86">
        <f t="shared" si="3"/>
        <v>77.850000000000009</v>
      </c>
      <c r="P21" s="80">
        <v>2</v>
      </c>
      <c r="Q21" s="68">
        <v>155.70000000000002</v>
      </c>
    </row>
    <row r="22" spans="1:17">
      <c r="A22" s="19" t="s">
        <v>149</v>
      </c>
      <c r="B22" s="13">
        <v>34</v>
      </c>
      <c r="C22" s="6">
        <f>IF(B$17=0,0,B22/B$17)</f>
        <v>0.40476190476190477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66.066666666666649</v>
      </c>
      <c r="P22" s="80">
        <v>6</v>
      </c>
      <c r="Q22" s="68">
        <v>396.39999999999992</v>
      </c>
    </row>
    <row r="23" spans="1:17">
      <c r="A23" s="19" t="s">
        <v>150</v>
      </c>
      <c r="B23" s="13">
        <v>8</v>
      </c>
      <c r="C23" s="6">
        <f>IF(B$17=0,0,B23/B$17)</f>
        <v>9.5238095238095233E-2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9</v>
      </c>
      <c r="K23" s="5">
        <v>21</v>
      </c>
      <c r="L23" s="61">
        <v>-205.40000000000003</v>
      </c>
      <c r="N23" s="76" t="s">
        <v>223</v>
      </c>
      <c r="O23" s="86">
        <f t="shared" si="3"/>
        <v>47.5</v>
      </c>
      <c r="P23" s="80">
        <v>2</v>
      </c>
      <c r="Q23" s="68">
        <v>95</v>
      </c>
    </row>
    <row r="24" spans="1:17">
      <c r="A24" s="19" t="s">
        <v>5</v>
      </c>
      <c r="B24" s="16">
        <f>IF(B$17=0,0,C24/B$17)</f>
        <v>6573.8095238095239</v>
      </c>
      <c r="C24" s="8">
        <v>552200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208</v>
      </c>
      <c r="O24" s="86">
        <f t="shared" si="3"/>
        <v>45.5</v>
      </c>
      <c r="P24" s="80">
        <v>2</v>
      </c>
      <c r="Q24" s="68">
        <v>91</v>
      </c>
    </row>
    <row r="25" spans="1:17">
      <c r="A25" s="20" t="s">
        <v>133</v>
      </c>
      <c r="B25" s="97">
        <f>IF($B$17-B$16=0,0,C25/($B$17-B$16))</f>
        <v>7774</v>
      </c>
      <c r="C25" s="98">
        <v>388700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9</v>
      </c>
      <c r="K25" s="5">
        <v>23</v>
      </c>
      <c r="L25" s="61">
        <v>-280</v>
      </c>
      <c r="N25" s="76" t="s">
        <v>269</v>
      </c>
      <c r="O25" s="86">
        <f t="shared" si="3"/>
        <v>40.650000000000006</v>
      </c>
      <c r="P25" s="80">
        <v>2</v>
      </c>
      <c r="Q25" s="68">
        <v>81.300000000000011</v>
      </c>
    </row>
    <row r="26" spans="1:17">
      <c r="A26" s="20" t="s">
        <v>134</v>
      </c>
      <c r="B26" s="97">
        <f>IF(B$16=0,0,C26/B$16)</f>
        <v>4808.8235294117649</v>
      </c>
      <c r="C26" s="98">
        <v>163500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 t="shared" si="3"/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-6728.9473684210525</v>
      </c>
      <c r="C27" s="98">
        <v>-255700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216</v>
      </c>
      <c r="O27" s="86">
        <f t="shared" si="3"/>
        <v>25.135294117647071</v>
      </c>
      <c r="P27" s="80">
        <v>17</v>
      </c>
      <c r="Q27" s="68">
        <v>427.30000000000018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227</v>
      </c>
      <c r="O28" s="86">
        <f t="shared" si="3"/>
        <v>24.916666666666661</v>
      </c>
      <c r="P28" s="80">
        <v>6</v>
      </c>
      <c r="Q28" s="68">
        <v>149.49999999999997</v>
      </c>
    </row>
    <row r="29" spans="1:17">
      <c r="A29" s="19" t="s">
        <v>131</v>
      </c>
      <c r="B29" s="13">
        <v>34</v>
      </c>
      <c r="C29" s="96">
        <v>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215</v>
      </c>
      <c r="O29" s="86">
        <f t="shared" si="3"/>
        <v>24.4</v>
      </c>
      <c r="P29" s="80">
        <v>1</v>
      </c>
      <c r="Q29" s="68">
        <v>24.4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97.299999999999983</v>
      </c>
      <c r="N30" s="76" t="s">
        <v>203</v>
      </c>
      <c r="O30" s="86">
        <f t="shared" si="3"/>
        <v>20.5</v>
      </c>
      <c r="P30" s="80">
        <v>1</v>
      </c>
      <c r="Q30" s="68">
        <v>20.5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241</v>
      </c>
      <c r="O31" s="86">
        <f t="shared" si="3"/>
        <v>14.16666666666667</v>
      </c>
      <c r="P31" s="80">
        <v>3</v>
      </c>
      <c r="Q31" s="68">
        <v>42.500000000000007</v>
      </c>
    </row>
    <row r="32" spans="1:17">
      <c r="A32" s="21" t="s">
        <v>112</v>
      </c>
      <c r="B32" s="26">
        <v>2</v>
      </c>
      <c r="C32" s="9">
        <f>IF(B$3=0,0,B32/B$3)</f>
        <v>6.4308681672025723E-3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272</v>
      </c>
      <c r="O32" s="86">
        <f t="shared" si="3"/>
        <v>6.8999999999999995</v>
      </c>
      <c r="P32" s="80">
        <v>3</v>
      </c>
      <c r="Q32" s="68">
        <v>20.7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169</v>
      </c>
      <c r="O33" s="86">
        <f t="shared" si="3"/>
        <v>4.2812500000000044</v>
      </c>
      <c r="P33" s="80">
        <v>16</v>
      </c>
      <c r="Q33" s="68">
        <v>68.500000000000071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277</v>
      </c>
      <c r="O34" s="86">
        <f t="shared" si="3"/>
        <v>3.9999999999999978</v>
      </c>
      <c r="P34" s="80">
        <v>3</v>
      </c>
      <c r="Q34" s="68">
        <v>11.999999999999993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213</v>
      </c>
      <c r="O35" s="86">
        <f t="shared" si="3"/>
        <v>-8.4571428571428537</v>
      </c>
      <c r="P35" s="80">
        <v>7</v>
      </c>
      <c r="Q35" s="68">
        <v>-59.199999999999982</v>
      </c>
    </row>
    <row r="36" spans="1:17">
      <c r="A36" s="19" t="s">
        <v>135</v>
      </c>
      <c r="B36" s="13">
        <v>20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-12.028571428571427</v>
      </c>
      <c r="P36" s="80">
        <v>7</v>
      </c>
      <c r="Q36" s="68">
        <v>-84.199999999999989</v>
      </c>
    </row>
    <row r="37" spans="1:17">
      <c r="A37" s="19" t="s">
        <v>136</v>
      </c>
      <c r="B37" s="100">
        <v>25</v>
      </c>
      <c r="C37" s="6">
        <f t="shared" si="4"/>
        <v>0.29761904761904762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164</v>
      </c>
      <c r="O37" s="86">
        <f t="shared" si="3"/>
        <v>-19.399999999999999</v>
      </c>
      <c r="P37" s="80">
        <v>4</v>
      </c>
      <c r="Q37" s="68">
        <v>-77.599999999999994</v>
      </c>
    </row>
    <row r="38" spans="1:17">
      <c r="A38" s="19" t="s">
        <v>137</v>
      </c>
      <c r="B38" s="100">
        <v>7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161</v>
      </c>
      <c r="O38" s="86">
        <f t="shared" si="3"/>
        <v>-20.650000000000006</v>
      </c>
      <c r="P38" s="80">
        <v>2</v>
      </c>
      <c r="Q38" s="68">
        <v>-41.300000000000011</v>
      </c>
    </row>
    <row r="39" spans="1:17">
      <c r="A39" s="19" t="s">
        <v>138</v>
      </c>
      <c r="B39" s="100">
        <v>13</v>
      </c>
      <c r="C39" s="6">
        <f t="shared" si="4"/>
        <v>0.15476190476190477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168</v>
      </c>
      <c r="O39" s="86">
        <f t="shared" si="3"/>
        <v>-25.7</v>
      </c>
      <c r="P39" s="80">
        <v>7</v>
      </c>
      <c r="Q39" s="68">
        <v>-179.9</v>
      </c>
    </row>
    <row r="40" spans="1:17">
      <c r="A40" s="19" t="s">
        <v>140</v>
      </c>
      <c r="B40" s="100">
        <v>9</v>
      </c>
      <c r="C40" s="6">
        <f t="shared" si="4"/>
        <v>0.10714285714285714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163</v>
      </c>
      <c r="O40" s="86">
        <f t="shared" si="3"/>
        <v>-30.9</v>
      </c>
      <c r="P40" s="80">
        <v>1</v>
      </c>
      <c r="Q40" s="68">
        <v>-30.9</v>
      </c>
    </row>
    <row r="41" spans="1:17">
      <c r="A41" s="19" t="s">
        <v>141</v>
      </c>
      <c r="B41" s="100">
        <v>4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179</v>
      </c>
      <c r="O41" s="86">
        <f t="shared" si="3"/>
        <v>-34.119999999999997</v>
      </c>
      <c r="P41" s="80">
        <v>5</v>
      </c>
      <c r="Q41" s="68">
        <v>-170.6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263</v>
      </c>
      <c r="O42" s="86">
        <f t="shared" si="3"/>
        <v>-41.375</v>
      </c>
      <c r="P42" s="80">
        <v>4</v>
      </c>
      <c r="Q42" s="68">
        <v>-165.5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162</v>
      </c>
      <c r="O43" s="86">
        <f t="shared" si="3"/>
        <v>-43.699999999999996</v>
      </c>
      <c r="P43" s="80">
        <v>4</v>
      </c>
      <c r="Q43" s="68">
        <v>-174.79999999999998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-48.366666666666667</v>
      </c>
      <c r="P44" s="80">
        <v>3</v>
      </c>
      <c r="Q44" s="68">
        <v>-145.1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276</v>
      </c>
      <c r="O45" s="86">
        <f t="shared" si="3"/>
        <v>-48.5</v>
      </c>
      <c r="P45" s="80">
        <v>1</v>
      </c>
      <c r="Q45" s="68">
        <v>-48.5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191</v>
      </c>
      <c r="O46" s="86">
        <f t="shared" si="3"/>
        <v>-65.966666666666669</v>
      </c>
      <c r="P46" s="80">
        <v>3</v>
      </c>
      <c r="Q46" s="68">
        <v>-197.9</v>
      </c>
    </row>
    <row r="47" spans="1:17">
      <c r="A47" s="21" t="s">
        <v>147</v>
      </c>
      <c r="B47" s="101">
        <v>0</v>
      </c>
      <c r="C47" s="9">
        <f t="shared" si="4"/>
        <v>0</v>
      </c>
      <c r="N47" s="76" t="s">
        <v>205</v>
      </c>
      <c r="O47" s="86">
        <f t="shared" si="3"/>
        <v>-66.05</v>
      </c>
      <c r="P47" s="80">
        <v>4</v>
      </c>
      <c r="Q47" s="68">
        <v>-264.2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1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11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5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29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24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14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27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33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19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12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31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13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22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24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24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4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1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28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0.77272727272727271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5.882352941176471</v>
      </c>
      <c r="P2" s="79">
        <v>17</v>
      </c>
      <c r="Q2" s="63">
        <v>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0.59090909090909094</v>
      </c>
      <c r="I3" s="56">
        <v>16</v>
      </c>
      <c r="K3" s="5">
        <v>1</v>
      </c>
      <c r="L3" s="61">
        <v>60.4</v>
      </c>
      <c r="N3" s="76" t="s">
        <v>104</v>
      </c>
      <c r="O3" s="83">
        <f t="shared" si="0"/>
        <v>-1670.5882352941176</v>
      </c>
      <c r="P3" s="80">
        <v>17</v>
      </c>
      <c r="Q3" s="64">
        <v>-28400</v>
      </c>
    </row>
    <row r="4" spans="1:17">
      <c r="A4" s="19" t="s">
        <v>6</v>
      </c>
      <c r="B4" s="124">
        <v>-149.19999999999999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0.36363636363636365</v>
      </c>
      <c r="I4" s="56">
        <v>26</v>
      </c>
      <c r="K4" s="5">
        <v>2</v>
      </c>
      <c r="L4" s="61">
        <v>122.9</v>
      </c>
      <c r="N4" s="76" t="s">
        <v>105</v>
      </c>
      <c r="O4" s="83">
        <f t="shared" si="0"/>
        <v>-1358.8235294117646</v>
      </c>
      <c r="P4" s="80">
        <v>17</v>
      </c>
      <c r="Q4" s="64">
        <v>-23100</v>
      </c>
    </row>
    <row r="5" spans="1:17">
      <c r="A5" s="19" t="s">
        <v>7</v>
      </c>
      <c r="B5" s="126">
        <f>IF(B$2=0,0,B$4/B$2)</f>
        <v>-8.7764705882352931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0.31818181818181818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164.70588235294119</v>
      </c>
      <c r="P5" s="80">
        <v>17</v>
      </c>
      <c r="Q5" s="64">
        <v>2800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0.22727272727272727</v>
      </c>
      <c r="I6" s="56">
        <v>19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-1627.2727272727273</v>
      </c>
      <c r="P6" s="80">
        <v>11</v>
      </c>
      <c r="Q6" s="64">
        <v>-17900</v>
      </c>
    </row>
    <row r="7" spans="1:17">
      <c r="A7" s="19" t="s">
        <v>2</v>
      </c>
      <c r="B7" s="13">
        <v>4</v>
      </c>
      <c r="C7" s="6">
        <f t="shared" ref="C7:C12" si="2">IF(B$2=0,0,B7/B$2)</f>
        <v>0.23529411764705882</v>
      </c>
      <c r="E7" s="33" t="s">
        <v>56</v>
      </c>
      <c r="F7" s="30" t="s">
        <v>185</v>
      </c>
      <c r="G7" s="13">
        <v>4</v>
      </c>
      <c r="H7" s="94">
        <f>IF(B$17=0,0,G7/B$17)</f>
        <v>0.18181818181818182</v>
      </c>
      <c r="I7" s="56">
        <v>33</v>
      </c>
      <c r="K7" s="5">
        <v>5</v>
      </c>
      <c r="L7" s="61">
        <v>23.200000000000014</v>
      </c>
      <c r="N7" s="76" t="s">
        <v>107</v>
      </c>
      <c r="O7" s="83">
        <f t="shared" si="0"/>
        <v>-814.28571428571433</v>
      </c>
      <c r="P7" s="80">
        <v>7</v>
      </c>
      <c r="Q7" s="64">
        <v>-5700</v>
      </c>
    </row>
    <row r="8" spans="1:17">
      <c r="A8" s="19" t="s">
        <v>3</v>
      </c>
      <c r="B8" s="13">
        <v>3</v>
      </c>
      <c r="C8" s="6">
        <f>IF(B$2=0,0,B8/B$2)</f>
        <v>0.17647058823529413</v>
      </c>
      <c r="E8" s="33" t="s">
        <v>57</v>
      </c>
      <c r="F8" s="30" t="s">
        <v>21</v>
      </c>
      <c r="G8" s="13">
        <v>4</v>
      </c>
      <c r="H8" s="94">
        <f>IF(B$17=0,0,G8/B$17)</f>
        <v>0.18181818181818182</v>
      </c>
      <c r="I8" s="56">
        <v>24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59</v>
      </c>
      <c r="F9" s="30" t="s">
        <v>23</v>
      </c>
      <c r="G9" s="13">
        <v>4</v>
      </c>
      <c r="H9" s="94">
        <f>IF(B$17=0,0,G9/B$17)</f>
        <v>0.18181818181818182</v>
      </c>
      <c r="I9" s="56">
        <v>16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58</v>
      </c>
      <c r="F10" s="30" t="s">
        <v>22</v>
      </c>
      <c r="G10" s="13">
        <v>2</v>
      </c>
      <c r="H10" s="94">
        <f>IF(B$17=0,0,G10/B$17)</f>
        <v>9.0909090909090912E-2</v>
      </c>
      <c r="I10" s="56">
        <v>13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183</v>
      </c>
      <c r="F11" s="30" t="s">
        <v>186</v>
      </c>
      <c r="G11" s="13">
        <v>2</v>
      </c>
      <c r="H11" s="94">
        <f>IF(B$17=0,0,G11/B$17)</f>
        <v>9.0909090909090912E-2</v>
      </c>
      <c r="I11" s="56">
        <v>4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77</v>
      </c>
      <c r="F12" s="30" t="s">
        <v>41</v>
      </c>
      <c r="G12" s="13">
        <v>2</v>
      </c>
      <c r="H12" s="94">
        <f>IF(B$17=0,0,G12/B$17)</f>
        <v>9.0909090909090912E-2</v>
      </c>
      <c r="I12" s="56">
        <v>7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21</v>
      </c>
      <c r="C13" s="11">
        <f>IF(B$3=0,0,B13/B$3)</f>
        <v>0.17355371900826447</v>
      </c>
      <c r="E13" s="33" t="s">
        <v>182</v>
      </c>
      <c r="F13" s="30" t="s">
        <v>19</v>
      </c>
      <c r="G13" s="13">
        <v>1</v>
      </c>
      <c r="H13" s="94">
        <f>IF(B$17=0,0,G13/B$17)</f>
        <v>4.5454545454545456E-2</v>
      </c>
      <c r="I13" s="56">
        <v>27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24</v>
      </c>
      <c r="C14" s="6">
        <f>IF(B$3=0,0,B14/B$3)</f>
        <v>0.19834710743801653</v>
      </c>
      <c r="E14" s="33" t="s">
        <v>82</v>
      </c>
      <c r="F14" s="30" t="s">
        <v>46</v>
      </c>
      <c r="G14" s="13">
        <v>1</v>
      </c>
      <c r="H14" s="94">
        <f>IF(B$17=0,0,G14/B$17)</f>
        <v>4.5454545454545456E-2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-21.166666666666668</v>
      </c>
      <c r="P14" s="80">
        <v>6</v>
      </c>
      <c r="Q14" s="68">
        <v>-127.00000000000001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K15" s="5">
        <v>13</v>
      </c>
      <c r="L15" s="61">
        <v>-176.39999999999998</v>
      </c>
      <c r="N15" s="77" t="s">
        <v>159</v>
      </c>
      <c r="O15" s="87">
        <f>IF(P15=0,0,Q15/P15)</f>
        <v>-8.3333333333333321</v>
      </c>
      <c r="P15" s="81">
        <v>6</v>
      </c>
      <c r="Q15" s="69">
        <v>-49.999999999999993</v>
      </c>
    </row>
    <row r="16" spans="1:17">
      <c r="A16" s="18" t="s">
        <v>100</v>
      </c>
      <c r="B16" s="12">
        <f>B22</f>
        <v>6</v>
      </c>
      <c r="C16" s="4">
        <f>IF(B$14=0,0,B16/B$14)</f>
        <v>0.25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</v>
      </c>
      <c r="C18" s="6">
        <f>IF(B$3=0,0,B18/B$3)</f>
        <v>0.21487603305785125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1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7</v>
      </c>
      <c r="C19" s="6">
        <f>IF(B$17=0,0,B19/B$17)</f>
        <v>0.31818181818181818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15</v>
      </c>
      <c r="C20" s="6">
        <f>IF(B$17=0,0,B20/B$17)</f>
        <v>0.68181818181818177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13</v>
      </c>
      <c r="C21" s="6">
        <f>IF(B$17=0,0,B21/B$17)</f>
        <v>0.59090909090909094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258</v>
      </c>
      <c r="O21" s="86">
        <f t="shared" si="3"/>
        <v>22.049999999999997</v>
      </c>
      <c r="P21" s="80">
        <v>4</v>
      </c>
      <c r="Q21" s="68">
        <v>88.199999999999989</v>
      </c>
    </row>
    <row r="22" spans="1:17">
      <c r="A22" s="19" t="s">
        <v>149</v>
      </c>
      <c r="B22" s="13">
        <v>6</v>
      </c>
      <c r="C22" s="6">
        <f>IF(B$17=0,0,B22/B$17)</f>
        <v>0.27272727272727271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272</v>
      </c>
      <c r="O22" s="86">
        <f t="shared" si="3"/>
        <v>10.75</v>
      </c>
      <c r="P22" s="80">
        <v>2</v>
      </c>
      <c r="Q22" s="68">
        <v>21.5</v>
      </c>
    </row>
    <row r="23" spans="1:17">
      <c r="A23" s="19" t="s">
        <v>150</v>
      </c>
      <c r="B23" s="13">
        <v>3</v>
      </c>
      <c r="C23" s="6">
        <f>IF(B$17=0,0,B23/B$17)</f>
        <v>0.13636363636363635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N23" s="76" t="s">
        <v>255</v>
      </c>
      <c r="O23" s="86">
        <f t="shared" si="3"/>
        <v>5.8999999999999995</v>
      </c>
      <c r="P23" s="80">
        <v>2</v>
      </c>
      <c r="Q23" s="68">
        <v>11.799999999999999</v>
      </c>
    </row>
    <row r="24" spans="1:17">
      <c r="A24" s="19" t="s">
        <v>5</v>
      </c>
      <c r="B24" s="16">
        <f>IF(B$17=0,0,C24/B$17)</f>
        <v>8213.636363636364</v>
      </c>
      <c r="C24" s="8">
        <v>180700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2.7499999999999982</v>
      </c>
      <c r="P24" s="80">
        <v>2</v>
      </c>
      <c r="Q24" s="68">
        <v>5.4999999999999964</v>
      </c>
    </row>
    <row r="25" spans="1:17">
      <c r="A25" s="20" t="s">
        <v>133</v>
      </c>
      <c r="B25" s="97">
        <f>IF($B$17-B$16=0,0,C25/($B$17-B$16))</f>
        <v>7237.5</v>
      </c>
      <c r="C25" s="98">
        <v>115800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10816.666666666666</v>
      </c>
      <c r="C26" s="98">
        <v>64900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-6926.9230769230771</v>
      </c>
      <c r="C27" s="98">
        <v>-180100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15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-38.049999999999997</v>
      </c>
      <c r="P29" s="80">
        <v>2</v>
      </c>
      <c r="Q29" s="68">
        <v>-76.099999999999994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N30" s="76" t="s">
        <v>244</v>
      </c>
      <c r="O30" s="86">
        <f t="shared" si="3"/>
        <v>-98.45</v>
      </c>
      <c r="P30" s="80">
        <v>2</v>
      </c>
      <c r="Q30" s="68">
        <v>-196.9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  <c r="N31" s="76" t="s">
        <v>231</v>
      </c>
      <c r="O31" s="86">
        <f t="shared" si="3"/>
        <v>-103.69999999999999</v>
      </c>
      <c r="P31" s="80">
        <v>2</v>
      </c>
      <c r="Q31" s="68">
        <v>-207.39999999999998</v>
      </c>
    </row>
    <row r="32" spans="1:17">
      <c r="A32" s="21" t="s">
        <v>112</v>
      </c>
      <c r="B32" s="26">
        <v>1</v>
      </c>
      <c r="C32" s="9">
        <f>IF(B$3=0,0,B32/B$3)</f>
        <v>8.2644628099173556E-3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4.5454545454545456E-2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10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35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18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9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11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5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26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9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12</v>
      </c>
      <c r="H2" s="93">
        <f>IF(B$17=0,0,G2/B$17)</f>
        <v>0.63157894736842102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-3282.3529411764707</v>
      </c>
      <c r="P2" s="79">
        <v>17</v>
      </c>
      <c r="Q2" s="63">
        <v>-55800</v>
      </c>
    </row>
    <row r="3" spans="1:17">
      <c r="A3" s="19" t="s">
        <v>8</v>
      </c>
      <c r="B3" s="122">
        <v>130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0.52631578947368418</v>
      </c>
      <c r="I3" s="56">
        <v>19</v>
      </c>
      <c r="K3" s="5">
        <v>1</v>
      </c>
      <c r="L3" s="61">
        <v>-53.7</v>
      </c>
      <c r="N3" s="76" t="s">
        <v>104</v>
      </c>
      <c r="O3" s="83">
        <f t="shared" si="0"/>
        <v>-2588.2352941176468</v>
      </c>
      <c r="P3" s="80">
        <v>17</v>
      </c>
      <c r="Q3" s="64">
        <v>-44000</v>
      </c>
    </row>
    <row r="4" spans="1:17">
      <c r="A4" s="19" t="s">
        <v>6</v>
      </c>
      <c r="B4" s="124">
        <v>-455.70000000000005</v>
      </c>
      <c r="C4" s="125"/>
      <c r="E4" s="33" t="s">
        <v>56</v>
      </c>
      <c r="F4" s="30" t="s">
        <v>185</v>
      </c>
      <c r="G4" s="13">
        <v>8</v>
      </c>
      <c r="H4" s="94">
        <f>IF(B$17=0,0,G4/B$17)</f>
        <v>0.42105263157894735</v>
      </c>
      <c r="I4" s="56">
        <v>8</v>
      </c>
      <c r="K4" s="5">
        <v>2</v>
      </c>
      <c r="L4" s="61">
        <v>-70.800000000000011</v>
      </c>
      <c r="N4" s="76" t="s">
        <v>105</v>
      </c>
      <c r="O4" s="83">
        <f t="shared" si="0"/>
        <v>-2482.3529411764707</v>
      </c>
      <c r="P4" s="80">
        <v>17</v>
      </c>
      <c r="Q4" s="64">
        <v>-42200</v>
      </c>
    </row>
    <row r="5" spans="1:17">
      <c r="A5" s="19" t="s">
        <v>7</v>
      </c>
      <c r="B5" s="126">
        <f>IF(B$2=0,0,B$4/B$2)</f>
        <v>-26.805882352941179</v>
      </c>
      <c r="C5" s="127"/>
      <c r="E5" s="33" t="s">
        <v>60</v>
      </c>
      <c r="F5" s="30" t="s">
        <v>24</v>
      </c>
      <c r="G5" s="13">
        <v>5</v>
      </c>
      <c r="H5" s="94">
        <f>IF(B$17=0,0,G5/B$17)</f>
        <v>0.26315789473684209</v>
      </c>
      <c r="I5" s="56">
        <v>30</v>
      </c>
      <c r="K5" s="5">
        <v>3</v>
      </c>
      <c r="L5" s="61">
        <v>-67.200000000000017</v>
      </c>
      <c r="N5" s="76" t="s">
        <v>157</v>
      </c>
      <c r="O5" s="83">
        <f>IF(P5=0,0,Q5/P5)</f>
        <v>-1218.75</v>
      </c>
      <c r="P5" s="80">
        <v>16</v>
      </c>
      <c r="Q5" s="64">
        <v>-19500</v>
      </c>
    </row>
    <row r="6" spans="1:17">
      <c r="A6" s="19" t="s">
        <v>1</v>
      </c>
      <c r="B6" s="128">
        <f>IF(B$2=0,0,(B$7*1+B$8*2+B$9*3+B$10*4)/B$2)</f>
        <v>3.1764705882352939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0.26315789473684209</v>
      </c>
      <c r="I6" s="56">
        <v>35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-2015.3846153846155</v>
      </c>
      <c r="P6" s="80">
        <v>13</v>
      </c>
      <c r="Q6" s="64">
        <v>-26200</v>
      </c>
    </row>
    <row r="7" spans="1:17">
      <c r="A7" s="19" t="s">
        <v>2</v>
      </c>
      <c r="B7" s="13">
        <v>2</v>
      </c>
      <c r="C7" s="6">
        <f t="shared" ref="C7:C12" si="2">IF(B$2=0,0,B7/B$2)</f>
        <v>0.11764705882352941</v>
      </c>
      <c r="E7" s="33" t="s">
        <v>55</v>
      </c>
      <c r="F7" s="30" t="s">
        <v>155</v>
      </c>
      <c r="G7" s="13">
        <v>3</v>
      </c>
      <c r="H7" s="94">
        <f>IF(B$17=0,0,G7/B$17)</f>
        <v>0.15789473684210525</v>
      </c>
      <c r="I7" s="56">
        <v>28</v>
      </c>
      <c r="K7" s="5">
        <v>5</v>
      </c>
      <c r="L7" s="61">
        <v>-168.90000000000003</v>
      </c>
      <c r="N7" s="76" t="s">
        <v>107</v>
      </c>
      <c r="O7" s="83">
        <f t="shared" si="0"/>
        <v>1062.5</v>
      </c>
      <c r="P7" s="80">
        <v>8</v>
      </c>
      <c r="Q7" s="64">
        <v>8500</v>
      </c>
    </row>
    <row r="8" spans="1:17">
      <c r="A8" s="19" t="s">
        <v>3</v>
      </c>
      <c r="B8" s="13">
        <v>2</v>
      </c>
      <c r="C8" s="6">
        <f>IF(B$2=0,0,B8/B$2)</f>
        <v>0.11764705882352941</v>
      </c>
      <c r="E8" s="33" t="s">
        <v>57</v>
      </c>
      <c r="F8" s="30" t="s">
        <v>21</v>
      </c>
      <c r="G8" s="13">
        <v>3</v>
      </c>
      <c r="H8" s="94">
        <f>IF(B$17=0,0,G8/B$17)</f>
        <v>0.15789473684210525</v>
      </c>
      <c r="I8" s="56">
        <v>30</v>
      </c>
      <c r="K8" s="5">
        <v>6</v>
      </c>
      <c r="L8" s="61">
        <v>-225.90000000000003</v>
      </c>
      <c r="N8" s="76" t="s">
        <v>108</v>
      </c>
      <c r="O8" s="83">
        <f t="shared" si="0"/>
        <v>300</v>
      </c>
      <c r="P8" s="80">
        <v>5</v>
      </c>
      <c r="Q8" s="64">
        <v>1500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182</v>
      </c>
      <c r="F9" s="30" t="s">
        <v>19</v>
      </c>
      <c r="G9" s="13">
        <v>2</v>
      </c>
      <c r="H9" s="94">
        <f>IF(B$17=0,0,G9/B$17)</f>
        <v>0.10526315789473684</v>
      </c>
      <c r="I9" s="56">
        <v>18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9</v>
      </c>
      <c r="C10" s="7">
        <f>IF(B$2=0,0,B10/B$2)</f>
        <v>0.52941176470588236</v>
      </c>
      <c r="E10" s="33" t="s">
        <v>59</v>
      </c>
      <c r="F10" s="30" t="s">
        <v>23</v>
      </c>
      <c r="G10" s="13">
        <v>2</v>
      </c>
      <c r="H10" s="94">
        <f>IF(B$17=0,0,G10/B$17)</f>
        <v>0.10526315789473684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0.23529411764705882</v>
      </c>
      <c r="E11" s="33" t="s">
        <v>61</v>
      </c>
      <c r="F11" s="30" t="s">
        <v>25</v>
      </c>
      <c r="G11" s="13">
        <v>1</v>
      </c>
      <c r="H11" s="94">
        <f>IF(B$17=0,0,G11/B$17)</f>
        <v>5.2631578947368418E-2</v>
      </c>
      <c r="I11" s="56">
        <v>3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66</v>
      </c>
      <c r="F12" s="30" t="s">
        <v>30</v>
      </c>
      <c r="G12" s="13">
        <v>1</v>
      </c>
      <c r="H12" s="94">
        <f>IF(B$17=0,0,G12/B$17)</f>
        <v>5.2631578947368418E-2</v>
      </c>
      <c r="I12" s="56">
        <v>4</v>
      </c>
      <c r="K12" s="5">
        <v>10</v>
      </c>
      <c r="L12" s="61">
        <v>-333.20000000000005</v>
      </c>
      <c r="N12" s="75" t="s">
        <v>126</v>
      </c>
      <c r="O12" s="85">
        <f>IF(P12=0,0,Q12/P12)</f>
        <v>-2.633333333333336</v>
      </c>
      <c r="P12" s="79">
        <v>6</v>
      </c>
      <c r="Q12" s="67">
        <v>-15.800000000000015</v>
      </c>
    </row>
    <row r="13" spans="1:17">
      <c r="A13" s="22" t="s">
        <v>97</v>
      </c>
      <c r="B13" s="15">
        <v>18</v>
      </c>
      <c r="C13" s="11">
        <f>IF(B$3=0,0,B13/B$3)</f>
        <v>0.13846153846153847</v>
      </c>
      <c r="E13" s="33" t="s">
        <v>71</v>
      </c>
      <c r="F13" s="30" t="s">
        <v>35</v>
      </c>
      <c r="G13" s="13">
        <v>1</v>
      </c>
      <c r="H13" s="94">
        <f>IF(B$17=0,0,G13/B$17)</f>
        <v>5.2631578947368418E-2</v>
      </c>
      <c r="I13" s="56">
        <v>9</v>
      </c>
      <c r="K13" s="5">
        <v>11</v>
      </c>
      <c r="L13" s="61">
        <v>-378.40000000000003</v>
      </c>
      <c r="N13" s="76" t="s">
        <v>127</v>
      </c>
      <c r="O13" s="86">
        <f>IF(P13=0,0,Q13/P13)</f>
        <v>-38.75</v>
      </c>
      <c r="P13" s="80">
        <v>2</v>
      </c>
      <c r="Q13" s="68">
        <v>-77.5</v>
      </c>
    </row>
    <row r="14" spans="1:17">
      <c r="A14" s="19" t="s">
        <v>94</v>
      </c>
      <c r="B14" s="13">
        <v>27</v>
      </c>
      <c r="C14" s="6">
        <f>IF(B$3=0,0,B14/B$3)</f>
        <v>0.2076923076923077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25</v>
      </c>
      <c r="K14" s="5">
        <v>12</v>
      </c>
      <c r="L14" s="61">
        <v>-403.8</v>
      </c>
      <c r="N14" s="76" t="s">
        <v>128</v>
      </c>
      <c r="O14" s="86">
        <f>IF(P14=0,0,Q14/P14)</f>
        <v>-33.54</v>
      </c>
      <c r="P14" s="80">
        <v>5</v>
      </c>
      <c r="Q14" s="68">
        <v>-167.7</v>
      </c>
    </row>
    <row r="15" spans="1:17">
      <c r="A15" s="18" t="s">
        <v>99</v>
      </c>
      <c r="B15" s="12">
        <f>B21</f>
        <v>10</v>
      </c>
      <c r="C15" s="4">
        <f>IF(B$13=0,0,B15/B$13)</f>
        <v>0.55555555555555558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-48.674999999999997</v>
      </c>
      <c r="P15" s="81">
        <v>4</v>
      </c>
      <c r="Q15" s="69">
        <v>-194.7</v>
      </c>
    </row>
    <row r="16" spans="1:17">
      <c r="A16" s="18" t="s">
        <v>100</v>
      </c>
      <c r="B16" s="12">
        <f>B22</f>
        <v>5</v>
      </c>
      <c r="C16" s="4">
        <f>IF(B$14=0,0,B16/B$14)</f>
        <v>0.18518518518518517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</v>
      </c>
      <c r="C17" s="4">
        <f>IF(B$3=0,0,B17/B$3)</f>
        <v>0.14615384615384616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27</v>
      </c>
      <c r="C18" s="6">
        <f>IF(B$3=0,0,B18/B$3)</f>
        <v>0.2076923076923077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-383.6</v>
      </c>
      <c r="N18" s="75" t="s">
        <v>244</v>
      </c>
      <c r="O18" s="85">
        <f t="shared" ref="O18:O33" si="3">IF(P18=0,0,Q18/P18)</f>
        <v>85.5</v>
      </c>
      <c r="P18" s="79">
        <v>1</v>
      </c>
      <c r="Q18" s="67">
        <v>85.5</v>
      </c>
    </row>
    <row r="19" spans="1:17">
      <c r="A19" s="19" t="s">
        <v>12</v>
      </c>
      <c r="B19" s="13">
        <v>10</v>
      </c>
      <c r="C19" s="6">
        <f>IF(B$17=0,0,B19/B$17)</f>
        <v>0.52631578947368418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-455.70000000000005</v>
      </c>
      <c r="N19" s="76" t="s">
        <v>277</v>
      </c>
      <c r="O19" s="86">
        <f t="shared" si="3"/>
        <v>-0.46666666666666384</v>
      </c>
      <c r="P19" s="80">
        <v>3</v>
      </c>
      <c r="Q19" s="68">
        <v>-1.3999999999999915</v>
      </c>
    </row>
    <row r="20" spans="1:17">
      <c r="A20" s="19" t="s">
        <v>11</v>
      </c>
      <c r="B20" s="13">
        <v>9</v>
      </c>
      <c r="C20" s="6">
        <f>IF(B$17=0,0,B20/B$17)</f>
        <v>0.47368421052631576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216</v>
      </c>
      <c r="O20" s="86">
        <f t="shared" si="3"/>
        <v>-4.3000000000000016</v>
      </c>
      <c r="P20" s="80">
        <v>3</v>
      </c>
      <c r="Q20" s="68">
        <v>-12.900000000000006</v>
      </c>
    </row>
    <row r="21" spans="1:17">
      <c r="A21" s="19" t="s">
        <v>151</v>
      </c>
      <c r="B21" s="13">
        <v>10</v>
      </c>
      <c r="C21" s="6">
        <f>IF(B$17=0,0,B21/B$17)</f>
        <v>0.52631578947368418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-4.5999999999999996</v>
      </c>
      <c r="P21" s="80">
        <v>4</v>
      </c>
      <c r="Q21" s="68">
        <v>-18.399999999999999</v>
      </c>
    </row>
    <row r="22" spans="1:17">
      <c r="A22" s="19" t="s">
        <v>149</v>
      </c>
      <c r="B22" s="13">
        <v>5</v>
      </c>
      <c r="C22" s="6">
        <f>IF(B$17=0,0,B22/B$17)</f>
        <v>0.26315789473684209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9</v>
      </c>
      <c r="N22" s="76" t="s">
        <v>169</v>
      </c>
      <c r="O22" s="86">
        <f t="shared" si="3"/>
        <v>-16.224999999999998</v>
      </c>
      <c r="P22" s="80">
        <v>4</v>
      </c>
      <c r="Q22" s="68">
        <v>-64.899999999999991</v>
      </c>
    </row>
    <row r="23" spans="1:17">
      <c r="A23" s="19" t="s">
        <v>150</v>
      </c>
      <c r="B23" s="13">
        <v>4</v>
      </c>
      <c r="C23" s="6">
        <f>IF(B$17=0,0,B23/B$17)</f>
        <v>0.21052631578947367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 t="shared" si="3"/>
        <v>-20.3</v>
      </c>
      <c r="P23" s="80">
        <v>5</v>
      </c>
      <c r="Q23" s="68">
        <v>-101.5</v>
      </c>
    </row>
    <row r="24" spans="1:17">
      <c r="A24" s="19" t="s">
        <v>5</v>
      </c>
      <c r="B24" s="16">
        <f>IF(B$17=0,0,C24/B$17)</f>
        <v>4689.4736842105267</v>
      </c>
      <c r="C24" s="8">
        <v>89100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258</v>
      </c>
      <c r="O24" s="86">
        <f t="shared" si="3"/>
        <v>-23.5</v>
      </c>
      <c r="P24" s="80">
        <v>3</v>
      </c>
      <c r="Q24" s="68">
        <v>-70.5</v>
      </c>
    </row>
    <row r="25" spans="1:17">
      <c r="A25" s="20" t="s">
        <v>133</v>
      </c>
      <c r="B25" s="97">
        <f>IF($B$17-B$16=0,0,C25/($B$17-B$16))</f>
        <v>5564.2857142857147</v>
      </c>
      <c r="C25" s="98">
        <v>77900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269</v>
      </c>
      <c r="O25" s="86">
        <f t="shared" si="3"/>
        <v>-31.900000000000006</v>
      </c>
      <c r="P25" s="80">
        <v>2</v>
      </c>
      <c r="Q25" s="68">
        <v>-63.800000000000011</v>
      </c>
    </row>
    <row r="26" spans="1:17">
      <c r="A26" s="20" t="s">
        <v>134</v>
      </c>
      <c r="B26" s="97">
        <f>IF(B$16=0,0,C26/B$16)</f>
        <v>2240</v>
      </c>
      <c r="C26" s="98">
        <v>11200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  <c r="N26" s="76" t="s">
        <v>241</v>
      </c>
      <c r="O26" s="86">
        <f t="shared" si="3"/>
        <v>-35.400000000000006</v>
      </c>
      <c r="P26" s="80">
        <v>2</v>
      </c>
      <c r="Q26" s="68">
        <v>-70.800000000000011</v>
      </c>
    </row>
    <row r="27" spans="1:17">
      <c r="A27" s="20" t="s">
        <v>132</v>
      </c>
      <c r="B27" s="97">
        <f>IF(B$18=0,0,C27/B$18)</f>
        <v>-6762.9629629629626</v>
      </c>
      <c r="C27" s="98">
        <v>-182600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-36.33333333333335</v>
      </c>
      <c r="P27" s="80">
        <v>3</v>
      </c>
      <c r="Q27" s="68">
        <v>-109.00000000000004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 t="shared" si="3"/>
        <v>-41.233333333333334</v>
      </c>
      <c r="P28" s="80">
        <v>3</v>
      </c>
      <c r="Q28" s="68">
        <v>-123.7</v>
      </c>
    </row>
    <row r="29" spans="1:17">
      <c r="A29" s="19" t="s">
        <v>131</v>
      </c>
      <c r="B29" s="13">
        <v>30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255</v>
      </c>
      <c r="O29" s="86">
        <f t="shared" si="3"/>
        <v>-48.340000000000018</v>
      </c>
      <c r="P29" s="80">
        <v>5</v>
      </c>
      <c r="Q29" s="68">
        <v>-241.70000000000007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228</v>
      </c>
      <c r="O30" s="86">
        <f t="shared" si="3"/>
        <v>-59.824999999999996</v>
      </c>
      <c r="P30" s="80">
        <v>4</v>
      </c>
      <c r="Q30" s="68">
        <v>-239.29999999999998</v>
      </c>
    </row>
    <row r="31" spans="1:17">
      <c r="A31" s="22" t="s">
        <v>148</v>
      </c>
      <c r="B31" s="116">
        <v>40800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265</v>
      </c>
      <c r="O31" s="86">
        <f t="shared" si="3"/>
        <v>-62.524999999999999</v>
      </c>
      <c r="P31" s="80">
        <v>4</v>
      </c>
      <c r="Q31" s="68">
        <v>-250.1</v>
      </c>
    </row>
    <row r="32" spans="1:17">
      <c r="A32" s="21" t="s">
        <v>112</v>
      </c>
      <c r="B32" s="26">
        <v>1</v>
      </c>
      <c r="C32" s="9">
        <f>IF(B$3=0,0,B32/B$3)</f>
        <v>7.6923076923076927E-3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262</v>
      </c>
      <c r="O32" s="86">
        <f t="shared" si="3"/>
        <v>-64.5</v>
      </c>
      <c r="P32" s="80">
        <v>1</v>
      </c>
      <c r="Q32" s="68">
        <v>-64.5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 t="shared" si="3"/>
        <v>-112.1</v>
      </c>
      <c r="P33" s="80">
        <v>4</v>
      </c>
      <c r="Q33" s="68">
        <v>-448.4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4</v>
      </c>
      <c r="C35" s="102">
        <f t="shared" ref="C35:C47" si="4">IF(B$17=0,0,B35/B$17)</f>
        <v>0.21052631578947367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0.26315789473684209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2</v>
      </c>
      <c r="C37" s="6">
        <f t="shared" si="4"/>
        <v>0.10526315789473684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0.36842105263157893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60</v>
      </c>
      <c r="F2" s="29" t="s">
        <v>24</v>
      </c>
      <c r="G2" s="12">
        <v>16</v>
      </c>
      <c r="H2" s="93">
        <f>IF(B$17=0,0,G2/B$17)</f>
        <v>0.64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-315.78947368421052</v>
      </c>
      <c r="P2" s="79">
        <v>19</v>
      </c>
      <c r="Q2" s="63">
        <v>-6000</v>
      </c>
    </row>
    <row r="3" spans="1:17">
      <c r="A3" s="19" t="s">
        <v>8</v>
      </c>
      <c r="B3" s="122">
        <v>140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0.52</v>
      </c>
      <c r="I3" s="56">
        <v>22</v>
      </c>
      <c r="K3" s="5">
        <v>1</v>
      </c>
      <c r="L3" s="61">
        <v>-31</v>
      </c>
      <c r="N3" s="76" t="s">
        <v>104</v>
      </c>
      <c r="O3" s="83">
        <f t="shared" si="0"/>
        <v>410.5263157894737</v>
      </c>
      <c r="P3" s="80">
        <v>19</v>
      </c>
      <c r="Q3" s="64">
        <v>7800</v>
      </c>
    </row>
    <row r="4" spans="1:17">
      <c r="A4" s="19" t="s">
        <v>6</v>
      </c>
      <c r="B4" s="124">
        <v>-305.79999999999995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0.48</v>
      </c>
      <c r="I4" s="56">
        <v>23</v>
      </c>
      <c r="K4" s="5">
        <v>2</v>
      </c>
      <c r="L4" s="61">
        <v>-52.3</v>
      </c>
      <c r="N4" s="76" t="s">
        <v>105</v>
      </c>
      <c r="O4" s="83">
        <f t="shared" si="0"/>
        <v>-1288.8888888888889</v>
      </c>
      <c r="P4" s="80">
        <v>18</v>
      </c>
      <c r="Q4" s="64">
        <v>-23200</v>
      </c>
    </row>
    <row r="5" spans="1:17">
      <c r="A5" s="19" t="s">
        <v>7</v>
      </c>
      <c r="B5" s="126">
        <f>IF(B$2=0,0,B$4/B$2)</f>
        <v>-16.094736842105259</v>
      </c>
      <c r="C5" s="127"/>
      <c r="E5" s="33" t="s">
        <v>56</v>
      </c>
      <c r="F5" s="30" t="s">
        <v>185</v>
      </c>
      <c r="G5" s="13">
        <v>7</v>
      </c>
      <c r="H5" s="94">
        <f>IF(B$17=0,0,G5/B$17)</f>
        <v>0.28000000000000003</v>
      </c>
      <c r="I5" s="56">
        <v>21</v>
      </c>
      <c r="K5" s="5">
        <v>3</v>
      </c>
      <c r="L5" s="61">
        <v>-44.9</v>
      </c>
      <c r="N5" s="76" t="s">
        <v>157</v>
      </c>
      <c r="O5" s="83">
        <f>IF(P5=0,0,Q5/P5)</f>
        <v>-570.58823529411768</v>
      </c>
      <c r="P5" s="80">
        <v>17</v>
      </c>
      <c r="Q5" s="64">
        <v>-9700</v>
      </c>
    </row>
    <row r="6" spans="1:17">
      <c r="A6" s="19" t="s">
        <v>1</v>
      </c>
      <c r="B6" s="128">
        <f>IF(B$2=0,0,(B$7*1+B$8*2+B$9*3+B$10*4)/B$2)</f>
        <v>2.7894736842105261</v>
      </c>
      <c r="C6" s="129"/>
      <c r="E6" s="33" t="s">
        <v>57</v>
      </c>
      <c r="F6" s="30" t="s">
        <v>21</v>
      </c>
      <c r="G6" s="13">
        <v>7</v>
      </c>
      <c r="H6" s="94">
        <f>IF(B$17=0,0,G6/B$17)</f>
        <v>0.28000000000000003</v>
      </c>
      <c r="I6" s="56">
        <v>12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-2910</v>
      </c>
      <c r="P6" s="80">
        <v>10</v>
      </c>
      <c r="Q6" s="64">
        <v>-29100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184</v>
      </c>
      <c r="F7" s="30" t="s">
        <v>187</v>
      </c>
      <c r="G7" s="13">
        <v>7</v>
      </c>
      <c r="H7" s="94">
        <f>IF(B$17=0,0,G7/B$17)</f>
        <v>0.28000000000000003</v>
      </c>
      <c r="I7" s="56">
        <v>33</v>
      </c>
      <c r="K7" s="5">
        <v>5</v>
      </c>
      <c r="L7" s="61">
        <v>-96.399999999999991</v>
      </c>
      <c r="N7" s="76" t="s">
        <v>107</v>
      </c>
      <c r="O7" s="83">
        <f t="shared" si="0"/>
        <v>-4428.5714285714284</v>
      </c>
      <c r="P7" s="80">
        <v>7</v>
      </c>
      <c r="Q7" s="64">
        <v>-31000</v>
      </c>
    </row>
    <row r="8" spans="1:17">
      <c r="A8" s="19" t="s">
        <v>3</v>
      </c>
      <c r="B8" s="13">
        <v>8</v>
      </c>
      <c r="C8" s="6">
        <f>IF(B$2=0,0,B8/B$2)</f>
        <v>0.42105263157894735</v>
      </c>
      <c r="E8" s="33" t="s">
        <v>59</v>
      </c>
      <c r="F8" s="30" t="s">
        <v>23</v>
      </c>
      <c r="G8" s="13">
        <v>6</v>
      </c>
      <c r="H8" s="94">
        <f>IF(B$17=0,0,G8/B$17)</f>
        <v>0.24</v>
      </c>
      <c r="I8" s="56">
        <v>10</v>
      </c>
      <c r="K8" s="5">
        <v>6</v>
      </c>
      <c r="L8" s="61">
        <v>-123.29999999999998</v>
      </c>
      <c r="N8" s="76" t="s">
        <v>108</v>
      </c>
      <c r="O8" s="83">
        <f t="shared" si="0"/>
        <v>1100</v>
      </c>
      <c r="P8" s="80">
        <v>3</v>
      </c>
      <c r="Q8" s="64">
        <v>3300</v>
      </c>
    </row>
    <row r="9" spans="1:17">
      <c r="A9" s="20" t="s">
        <v>4</v>
      </c>
      <c r="B9" s="14">
        <v>7</v>
      </c>
      <c r="C9" s="7">
        <f>IF(B$2=0,0,B9/B$2)</f>
        <v>0.36842105263157893</v>
      </c>
      <c r="E9" s="33" t="s">
        <v>55</v>
      </c>
      <c r="F9" s="30" t="s">
        <v>155</v>
      </c>
      <c r="G9" s="13">
        <v>5</v>
      </c>
      <c r="H9" s="94">
        <f>IF(B$17=0,0,G9/B$17)</f>
        <v>0.2</v>
      </c>
      <c r="I9" s="56">
        <v>24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0.21052631578947367</v>
      </c>
      <c r="E10" s="33" t="s">
        <v>182</v>
      </c>
      <c r="F10" s="30" t="s">
        <v>19</v>
      </c>
      <c r="G10" s="13">
        <v>4</v>
      </c>
      <c r="H10" s="94">
        <f>IF(B$17=0,0,G10/B$17)</f>
        <v>0.16</v>
      </c>
      <c r="I10" s="56">
        <v>11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0.42105263157894735</v>
      </c>
      <c r="E11" s="33" t="s">
        <v>58</v>
      </c>
      <c r="F11" s="30" t="s">
        <v>22</v>
      </c>
      <c r="G11" s="13">
        <v>1</v>
      </c>
      <c r="H11" s="94">
        <f>IF(B$17=0,0,G11/B$17)</f>
        <v>0.04</v>
      </c>
      <c r="I11" s="56">
        <v>21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5.2631578947368418E-2</v>
      </c>
      <c r="E12" s="33" t="s">
        <v>69</v>
      </c>
      <c r="F12" s="30" t="s">
        <v>33</v>
      </c>
      <c r="G12" s="13">
        <v>1</v>
      </c>
      <c r="H12" s="94">
        <f>IF(B$17=0,0,G12/B$17)</f>
        <v>0.04</v>
      </c>
      <c r="I12" s="56">
        <v>4</v>
      </c>
      <c r="K12" s="5">
        <v>10</v>
      </c>
      <c r="L12" s="61">
        <v>-217.49999999999997</v>
      </c>
      <c r="N12" s="75" t="s">
        <v>126</v>
      </c>
      <c r="O12" s="85">
        <f>IF(P12=0,0,Q12/P12)</f>
        <v>-47.349999999999994</v>
      </c>
      <c r="P12" s="79">
        <v>2</v>
      </c>
      <c r="Q12" s="67">
        <v>-94.699999999999989</v>
      </c>
    </row>
    <row r="13" spans="1:17">
      <c r="A13" s="22" t="s">
        <v>97</v>
      </c>
      <c r="B13" s="15">
        <v>20</v>
      </c>
      <c r="C13" s="11">
        <f>IF(B$3=0,0,B13/B$3)</f>
        <v>0.14285714285714285</v>
      </c>
      <c r="E13" s="33" t="s">
        <v>74</v>
      </c>
      <c r="F13" s="30" t="s">
        <v>38</v>
      </c>
      <c r="G13" s="13">
        <v>1</v>
      </c>
      <c r="H13" s="94">
        <f>IF(B$17=0,0,G13/B$17)</f>
        <v>0.04</v>
      </c>
      <c r="I13" s="56">
        <v>11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29</v>
      </c>
      <c r="C14" s="6">
        <f>IF(B$3=0,0,B14/B$3)</f>
        <v>0.20714285714285716</v>
      </c>
      <c r="E14" s="33" t="s">
        <v>77</v>
      </c>
      <c r="F14" s="30" t="s">
        <v>41</v>
      </c>
      <c r="G14" s="13">
        <v>1</v>
      </c>
      <c r="H14" s="94">
        <f>IF(B$17=0,0,G14/B$17)</f>
        <v>0.04</v>
      </c>
      <c r="I14" s="56">
        <v>13</v>
      </c>
      <c r="K14" s="5">
        <v>12</v>
      </c>
      <c r="L14" s="61">
        <v>-237.89999999999998</v>
      </c>
      <c r="N14" s="76" t="s">
        <v>128</v>
      </c>
      <c r="O14" s="86">
        <f>IF(P14=0,0,Q14/P14)</f>
        <v>-15.028571428571427</v>
      </c>
      <c r="P14" s="80">
        <v>7</v>
      </c>
      <c r="Q14" s="68">
        <v>-105.19999999999999</v>
      </c>
    </row>
    <row r="15" spans="1:17">
      <c r="A15" s="18" t="s">
        <v>99</v>
      </c>
      <c r="B15" s="12">
        <f>B21</f>
        <v>13</v>
      </c>
      <c r="C15" s="4">
        <f>IF(B$13=0,0,B15/B$13)</f>
        <v>0.65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K15" s="5">
        <v>13</v>
      </c>
      <c r="L15" s="61">
        <v>-227.09999999999997</v>
      </c>
      <c r="N15" s="77" t="s">
        <v>159</v>
      </c>
      <c r="O15" s="87">
        <f>IF(P15=0,0,Q15/P15)</f>
        <v>-5.0599999999999987</v>
      </c>
      <c r="P15" s="81">
        <v>5</v>
      </c>
      <c r="Q15" s="69">
        <v>-25.299999999999994</v>
      </c>
    </row>
    <row r="16" spans="1:17">
      <c r="A16" s="18" t="s">
        <v>100</v>
      </c>
      <c r="B16" s="12">
        <f>B22</f>
        <v>9</v>
      </c>
      <c r="C16" s="4">
        <f>IF(B$14=0,0,B16/B$14)</f>
        <v>0.31034482758620691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0.17857142857142858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0.1357142857142857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265</v>
      </c>
      <c r="O18" s="85">
        <f t="shared" ref="O18:O31" si="3"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10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276</v>
      </c>
      <c r="O19" s="86">
        <f t="shared" si="3"/>
        <v>65.400000000000006</v>
      </c>
      <c r="P19" s="80">
        <v>1</v>
      </c>
      <c r="Q19" s="68">
        <v>65.400000000000006</v>
      </c>
    </row>
    <row r="20" spans="1:17">
      <c r="A20" s="19" t="s">
        <v>11</v>
      </c>
      <c r="B20" s="13">
        <v>15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K20" s="5">
        <v>18</v>
      </c>
      <c r="L20" s="61">
        <v>-256.29999999999995</v>
      </c>
      <c r="N20" s="76" t="s">
        <v>277</v>
      </c>
      <c r="O20" s="86">
        <f t="shared" si="3"/>
        <v>39.024999999999991</v>
      </c>
      <c r="P20" s="80">
        <v>4</v>
      </c>
      <c r="Q20" s="68">
        <v>156.09999999999997</v>
      </c>
    </row>
    <row r="21" spans="1:17">
      <c r="A21" s="19" t="s">
        <v>151</v>
      </c>
      <c r="B21" s="13">
        <v>13</v>
      </c>
      <c r="C21" s="6">
        <f>IF(B$17=0,0,B21/B$17)</f>
        <v>0.52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-305.79999999999995</v>
      </c>
      <c r="N21" s="76" t="s">
        <v>228</v>
      </c>
      <c r="O21" s="86">
        <f t="shared" si="3"/>
        <v>13.174999999999999</v>
      </c>
      <c r="P21" s="80">
        <v>4</v>
      </c>
      <c r="Q21" s="68">
        <v>52.699999999999996</v>
      </c>
    </row>
    <row r="22" spans="1:17">
      <c r="A22" s="19" t="s">
        <v>149</v>
      </c>
      <c r="B22" s="13">
        <v>9</v>
      </c>
      <c r="C22" s="6">
        <f>IF(B$17=0,0,B22/B$17)</f>
        <v>0.36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235</v>
      </c>
      <c r="O22" s="86">
        <f t="shared" si="3"/>
        <v>4.6000000000000014</v>
      </c>
      <c r="P22" s="80">
        <v>4</v>
      </c>
      <c r="Q22" s="68">
        <v>18.400000000000006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241</v>
      </c>
      <c r="O23" s="86">
        <f t="shared" si="3"/>
        <v>-10.849999999999998</v>
      </c>
      <c r="P23" s="80">
        <v>2</v>
      </c>
      <c r="Q23" s="68">
        <v>-21.699999999999996</v>
      </c>
    </row>
    <row r="24" spans="1:17">
      <c r="A24" s="19" t="s">
        <v>5</v>
      </c>
      <c r="B24" s="16">
        <f>IF(B$17=0,0,C24/B$17)</f>
        <v>6072</v>
      </c>
      <c r="C24" s="8">
        <v>151800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-16.433333333333334</v>
      </c>
      <c r="P24" s="80">
        <v>3</v>
      </c>
      <c r="Q24" s="68">
        <v>-49.300000000000004</v>
      </c>
    </row>
    <row r="25" spans="1:17">
      <c r="A25" s="20" t="s">
        <v>133</v>
      </c>
      <c r="B25" s="97">
        <f>IF($B$17-B$16=0,0,C25/($B$17-B$16))</f>
        <v>8100</v>
      </c>
      <c r="C25" s="98">
        <v>129600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227</v>
      </c>
      <c r="O25" s="86">
        <f t="shared" si="3"/>
        <v>-17.225000000000001</v>
      </c>
      <c r="P25" s="80">
        <v>8</v>
      </c>
      <c r="Q25" s="68">
        <v>-137.80000000000001</v>
      </c>
    </row>
    <row r="26" spans="1:17">
      <c r="A26" s="20" t="s">
        <v>134</v>
      </c>
      <c r="B26" s="97">
        <f>IF(B$16=0,0,C26/B$16)</f>
        <v>2466.6666666666665</v>
      </c>
      <c r="C26" s="98">
        <v>22200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169</v>
      </c>
      <c r="O26" s="86">
        <f t="shared" si="3"/>
        <v>-27.939999999999998</v>
      </c>
      <c r="P26" s="80">
        <v>5</v>
      </c>
      <c r="Q26" s="68">
        <v>-139.69999999999999</v>
      </c>
    </row>
    <row r="27" spans="1:17">
      <c r="A27" s="20" t="s">
        <v>132</v>
      </c>
      <c r="B27" s="97">
        <f>IF(B$18=0,0,C27/B$18)</f>
        <v>-7489.4736842105267</v>
      </c>
      <c r="C27" s="98">
        <v>-142300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244</v>
      </c>
      <c r="O27" s="86">
        <f t="shared" si="3"/>
        <v>-29.55</v>
      </c>
      <c r="P27" s="80">
        <v>4</v>
      </c>
      <c r="Q27" s="68">
        <v>-118.2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-39.633333333333333</v>
      </c>
      <c r="P28" s="80">
        <v>6</v>
      </c>
      <c r="Q28" s="68">
        <v>-237.8</v>
      </c>
    </row>
    <row r="29" spans="1:17">
      <c r="A29" s="19" t="s">
        <v>131</v>
      </c>
      <c r="B29" s="13">
        <v>23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272</v>
      </c>
      <c r="O29" s="86">
        <f t="shared" si="3"/>
        <v>-52.080000000000005</v>
      </c>
      <c r="P29" s="80">
        <v>5</v>
      </c>
      <c r="Q29" s="68">
        <v>-260.40000000000003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255</v>
      </c>
      <c r="O30" s="86">
        <f t="shared" si="3"/>
        <v>-53.32500000000001</v>
      </c>
      <c r="P30" s="80">
        <v>4</v>
      </c>
      <c r="Q30" s="68">
        <v>-213.30000000000004</v>
      </c>
    </row>
    <row r="31" spans="1:17">
      <c r="A31" s="22" t="s">
        <v>148</v>
      </c>
      <c r="B31" s="116">
        <v>35800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-66.066666666666649</v>
      </c>
      <c r="P31" s="80">
        <v>6</v>
      </c>
      <c r="Q31" s="68">
        <v>-396.39999999999992</v>
      </c>
    </row>
    <row r="32" spans="1:17">
      <c r="A32" s="21" t="s">
        <v>112</v>
      </c>
      <c r="B32" s="26">
        <v>1</v>
      </c>
      <c r="C32" s="9">
        <f>IF(B$3=0,0,B32/B$3)</f>
        <v>7.1428571428571426E-3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0.08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0.08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0.04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785.71428571428567</v>
      </c>
      <c r="P2" s="79">
        <v>7</v>
      </c>
      <c r="Q2" s="63">
        <v>5500</v>
      </c>
    </row>
    <row r="3" spans="1:17">
      <c r="A3" s="19" t="s">
        <v>8</v>
      </c>
      <c r="B3" s="122">
        <v>48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0.54545454545454541</v>
      </c>
      <c r="I3" s="56">
        <v>17</v>
      </c>
      <c r="K3" s="5">
        <v>1</v>
      </c>
      <c r="L3" s="61">
        <v>-45.7</v>
      </c>
      <c r="N3" s="76" t="s">
        <v>104</v>
      </c>
      <c r="O3" s="83">
        <f t="shared" si="0"/>
        <v>-1485.7142857142858</v>
      </c>
      <c r="P3" s="80">
        <v>7</v>
      </c>
      <c r="Q3" s="64">
        <v>-10400</v>
      </c>
    </row>
    <row r="4" spans="1:17">
      <c r="A4" s="19" t="s">
        <v>6</v>
      </c>
      <c r="B4" s="124">
        <v>-79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0.45454545454545453</v>
      </c>
      <c r="I4" s="56">
        <v>20</v>
      </c>
      <c r="K4" s="5">
        <v>2</v>
      </c>
      <c r="L4" s="61">
        <v>-32.700000000000003</v>
      </c>
      <c r="N4" s="76" t="s">
        <v>105</v>
      </c>
      <c r="O4" s="83">
        <f t="shared" si="0"/>
        <v>3228.5714285714284</v>
      </c>
      <c r="P4" s="80">
        <v>7</v>
      </c>
      <c r="Q4" s="64">
        <v>22600</v>
      </c>
    </row>
    <row r="5" spans="1:17">
      <c r="A5" s="19" t="s">
        <v>7</v>
      </c>
      <c r="B5" s="126">
        <f>IF(B$2=0,0,B$4/B$2)</f>
        <v>-11.285714285714286</v>
      </c>
      <c r="C5" s="127"/>
      <c r="E5" s="33" t="s">
        <v>181</v>
      </c>
      <c r="F5" s="30" t="s">
        <v>156</v>
      </c>
      <c r="G5" s="13">
        <v>3</v>
      </c>
      <c r="H5" s="94">
        <f>IF(B$17=0,0,G5/B$17)</f>
        <v>0.27272727272727271</v>
      </c>
      <c r="I5" s="56">
        <v>36</v>
      </c>
      <c r="K5" s="5">
        <v>3</v>
      </c>
      <c r="L5" s="61">
        <v>-18.700000000000003</v>
      </c>
      <c r="N5" s="76" t="s">
        <v>157</v>
      </c>
      <c r="O5" s="83">
        <f>IF(P5=0,0,Q5/P5)</f>
        <v>-4242.8571428571431</v>
      </c>
      <c r="P5" s="80">
        <v>7</v>
      </c>
      <c r="Q5" s="64">
        <v>-29700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0.18181818181818182</v>
      </c>
      <c r="I6" s="56">
        <v>24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9.0909090909090912E-2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36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71</v>
      </c>
      <c r="F9" s="30" t="s">
        <v>35</v>
      </c>
      <c r="G9" s="13">
        <v>1</v>
      </c>
      <c r="H9" s="94">
        <f>IF(B$17=0,0,G9/B$17)</f>
        <v>9.0909090909090912E-2</v>
      </c>
      <c r="I9" s="56">
        <v>7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77</v>
      </c>
      <c r="F10" s="30" t="s">
        <v>41</v>
      </c>
      <c r="G10" s="13">
        <v>1</v>
      </c>
      <c r="H10" s="94">
        <f>IF(B$17=0,0,G10/B$17)</f>
        <v>9.0909090909090912E-2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8</v>
      </c>
      <c r="C13" s="11">
        <f>IF(B$3=0,0,B13/B$3)</f>
        <v>0.16666666666666666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28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13</v>
      </c>
      <c r="C14" s="6">
        <f>IF(B$3=0,0,B14/B$3)</f>
        <v>0.27083333333333331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0.22916666666666666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0.16666666666666666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8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0.36363636363636365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7</v>
      </c>
      <c r="C20" s="6">
        <f>IF(B$17=0,0,B20/B$17)</f>
        <v>0.63636363636363635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3</v>
      </c>
      <c r="C21" s="6">
        <f>IF(B$17=0,0,B21/B$17)</f>
        <v>0.27272727272727271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0.63636363636363635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5090.909090909091</v>
      </c>
      <c r="C24" s="8">
        <v>56000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 t="shared" si="3"/>
        <v>-28.099999999999998</v>
      </c>
      <c r="P24" s="80">
        <v>1</v>
      </c>
      <c r="Q24" s="68">
        <v>-28.099999999999998</v>
      </c>
    </row>
    <row r="25" spans="1:17">
      <c r="A25" s="20" t="s">
        <v>133</v>
      </c>
      <c r="B25" s="97">
        <f>IF($B$17-B$16=0,0,C25/($B$17-B$16))</f>
        <v>5600</v>
      </c>
      <c r="C25" s="98">
        <v>22400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-39.5</v>
      </c>
      <c r="P25" s="80">
        <v>1</v>
      </c>
      <c r="Q25" s="68">
        <v>-39.5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264</v>
      </c>
      <c r="O26" s="86">
        <f t="shared" si="3"/>
        <v>-51</v>
      </c>
      <c r="P26" s="80">
        <v>1</v>
      </c>
      <c r="Q26" s="68">
        <v>-51</v>
      </c>
    </row>
    <row r="27" spans="1:17">
      <c r="A27" s="20" t="s">
        <v>132</v>
      </c>
      <c r="B27" s="97">
        <f>IF(B$18=0,0,C27/B$18)</f>
        <v>-7687.5</v>
      </c>
      <c r="C27" s="98">
        <v>-61500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265</v>
      </c>
      <c r="O27" s="86">
        <f t="shared" si="3"/>
        <v>-94.1</v>
      </c>
      <c r="P27" s="80">
        <v>1</v>
      </c>
      <c r="Q27" s="68">
        <v>-94.1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 t="shared" si="3"/>
        <v>-122.5</v>
      </c>
      <c r="P28" s="80">
        <v>1</v>
      </c>
      <c r="Q28" s="68">
        <v>-122.5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12</v>
      </c>
      <c r="H2" s="93">
        <f>IF(B$17=0,0,G2/B$17)</f>
        <v>0.63157894736842102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-3183.3333333333335</v>
      </c>
      <c r="P2" s="79">
        <v>12</v>
      </c>
      <c r="Q2" s="63">
        <v>-38200</v>
      </c>
    </row>
    <row r="3" spans="1:17">
      <c r="A3" s="19" t="s">
        <v>8</v>
      </c>
      <c r="B3" s="122">
        <v>86</v>
      </c>
      <c r="C3" s="123"/>
      <c r="E3" s="33" t="s">
        <v>181</v>
      </c>
      <c r="F3" s="30" t="s">
        <v>156</v>
      </c>
      <c r="G3" s="13">
        <v>11</v>
      </c>
      <c r="H3" s="94">
        <f>IF(B$17=0,0,G3/B$17)</f>
        <v>0.57894736842105265</v>
      </c>
      <c r="I3" s="56">
        <v>17</v>
      </c>
      <c r="K3" s="5">
        <v>1</v>
      </c>
      <c r="L3" s="61">
        <v>-72.8</v>
      </c>
      <c r="N3" s="76" t="s">
        <v>104</v>
      </c>
      <c r="O3" s="83">
        <f t="shared" si="0"/>
        <v>-800</v>
      </c>
      <c r="P3" s="80">
        <v>12</v>
      </c>
      <c r="Q3" s="64">
        <v>-9600</v>
      </c>
    </row>
    <row r="4" spans="1:17">
      <c r="A4" s="19" t="s">
        <v>6</v>
      </c>
      <c r="B4" s="124">
        <v>62.199999999999989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0.42105263157894735</v>
      </c>
      <c r="I4" s="56">
        <v>22</v>
      </c>
      <c r="K4" s="5">
        <v>2</v>
      </c>
      <c r="L4" s="61">
        <v>-92.5</v>
      </c>
      <c r="N4" s="76" t="s">
        <v>105</v>
      </c>
      <c r="O4" s="83">
        <f t="shared" si="0"/>
        <v>900</v>
      </c>
      <c r="P4" s="80">
        <v>11</v>
      </c>
      <c r="Q4" s="64">
        <v>9900</v>
      </c>
    </row>
    <row r="5" spans="1:17">
      <c r="A5" s="19" t="s">
        <v>7</v>
      </c>
      <c r="B5" s="126">
        <f>IF(B$2=0,0,B$4/B$2)</f>
        <v>5.1833333333333327</v>
      </c>
      <c r="C5" s="127"/>
      <c r="E5" s="33" t="s">
        <v>56</v>
      </c>
      <c r="F5" s="30" t="s">
        <v>185</v>
      </c>
      <c r="G5" s="13">
        <v>7</v>
      </c>
      <c r="H5" s="94">
        <f>IF(B$17=0,0,G5/B$17)</f>
        <v>0.36842105263157893</v>
      </c>
      <c r="I5" s="56">
        <v>12</v>
      </c>
      <c r="K5" s="5">
        <v>3</v>
      </c>
      <c r="L5" s="61">
        <v>-11.400000000000006</v>
      </c>
      <c r="N5" s="76" t="s">
        <v>157</v>
      </c>
      <c r="O5" s="83">
        <f>IF(P5=0,0,Q5/P5)</f>
        <v>2600</v>
      </c>
      <c r="P5" s="80">
        <v>9</v>
      </c>
      <c r="Q5" s="64">
        <v>23400</v>
      </c>
    </row>
    <row r="6" spans="1:17">
      <c r="A6" s="19" t="s">
        <v>1</v>
      </c>
      <c r="B6" s="128">
        <f>IF(B$2=0,0,(B$7*1+B$8*2+B$9*3+B$10*4)/B$2)</f>
        <v>2.4166666666666665</v>
      </c>
      <c r="C6" s="129"/>
      <c r="E6" s="33" t="s">
        <v>60</v>
      </c>
      <c r="F6" s="30" t="s">
        <v>24</v>
      </c>
      <c r="G6" s="13">
        <v>6</v>
      </c>
      <c r="H6" s="94">
        <f>IF(B$17=0,0,G6/B$17)</f>
        <v>0.31578947368421051</v>
      </c>
      <c r="I6" s="56">
        <v>27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-300</v>
      </c>
      <c r="P6" s="80">
        <v>5</v>
      </c>
      <c r="Q6" s="64">
        <v>-1500</v>
      </c>
    </row>
    <row r="7" spans="1:17">
      <c r="A7" s="19" t="s">
        <v>2</v>
      </c>
      <c r="B7" s="13">
        <v>5</v>
      </c>
      <c r="C7" s="6">
        <f t="shared" ref="C7:C12" si="2">IF(B$2=0,0,B7/B$2)</f>
        <v>0.41666666666666669</v>
      </c>
      <c r="E7" s="33" t="s">
        <v>55</v>
      </c>
      <c r="F7" s="30" t="s">
        <v>155</v>
      </c>
      <c r="G7" s="13">
        <v>5</v>
      </c>
      <c r="H7" s="94">
        <f>IF(B$17=0,0,G7/B$17)</f>
        <v>0.26315789473684209</v>
      </c>
      <c r="I7" s="56">
        <v>11</v>
      </c>
      <c r="K7" s="5">
        <v>5</v>
      </c>
      <c r="L7" s="61">
        <v>20.899999999999991</v>
      </c>
      <c r="N7" s="76" t="s">
        <v>107</v>
      </c>
      <c r="O7" s="83">
        <f t="shared" si="0"/>
        <v>3966.6666666666665</v>
      </c>
      <c r="P7" s="80">
        <v>3</v>
      </c>
      <c r="Q7" s="64">
        <v>11900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4</v>
      </c>
      <c r="H8" s="94">
        <f>IF(B$17=0,0,G8/B$17)</f>
        <v>0.21052631578947367</v>
      </c>
      <c r="I8" s="56">
        <v>20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4</v>
      </c>
      <c r="C9" s="7">
        <f>IF(B$2=0,0,B9/B$2)</f>
        <v>0.33333333333333331</v>
      </c>
      <c r="E9" s="33" t="s">
        <v>59</v>
      </c>
      <c r="F9" s="30" t="s">
        <v>23</v>
      </c>
      <c r="G9" s="13">
        <v>4</v>
      </c>
      <c r="H9" s="94">
        <f>IF(B$17=0,0,G9/B$17)</f>
        <v>0.21052631578947367</v>
      </c>
      <c r="I9" s="56">
        <v>12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0.25</v>
      </c>
      <c r="E10" s="33" t="s">
        <v>183</v>
      </c>
      <c r="F10" s="30" t="s">
        <v>186</v>
      </c>
      <c r="G10" s="13">
        <v>3</v>
      </c>
      <c r="H10" s="94">
        <f>IF(B$17=0,0,G10/B$17)</f>
        <v>0.15789473684210525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0.41666666666666669</v>
      </c>
      <c r="E11" s="33" t="s">
        <v>182</v>
      </c>
      <c r="F11" s="30" t="s">
        <v>19</v>
      </c>
      <c r="G11" s="13">
        <v>2</v>
      </c>
      <c r="H11" s="94">
        <f>IF(B$17=0,0,G11/B$17)</f>
        <v>0.10526315789473684</v>
      </c>
      <c r="I11" s="56">
        <v>18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0.16666666666666666</v>
      </c>
      <c r="E12" s="33" t="s">
        <v>58</v>
      </c>
      <c r="F12" s="30" t="s">
        <v>22</v>
      </c>
      <c r="G12" s="13">
        <v>2</v>
      </c>
      <c r="H12" s="94">
        <f>IF(B$17=0,0,G12/B$17)</f>
        <v>0.10526315789473684</v>
      </c>
      <c r="I12" s="56">
        <v>8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18</v>
      </c>
      <c r="C13" s="11">
        <f>IF(B$3=0,0,B13/B$3)</f>
        <v>0.20930232558139536</v>
      </c>
      <c r="E13" s="33" t="s">
        <v>71</v>
      </c>
      <c r="F13" s="30" t="s">
        <v>35</v>
      </c>
      <c r="G13" s="13">
        <v>2</v>
      </c>
      <c r="H13" s="94">
        <f>IF(B$17=0,0,G13/B$17)</f>
        <v>0.10526315789473684</v>
      </c>
      <c r="I13" s="56">
        <v>5</v>
      </c>
      <c r="K13" s="5">
        <v>11</v>
      </c>
      <c r="L13" s="61">
        <v>-2.3000000000000114</v>
      </c>
      <c r="N13" s="76" t="s">
        <v>127</v>
      </c>
      <c r="O13" s="86">
        <f>IF(P13=0,0,Q13/P13)</f>
        <v>19.875</v>
      </c>
      <c r="P13" s="80">
        <v>4</v>
      </c>
      <c r="Q13" s="68">
        <v>79.5</v>
      </c>
    </row>
    <row r="14" spans="1:17">
      <c r="A14" s="19" t="s">
        <v>94</v>
      </c>
      <c r="B14" s="13">
        <v>17</v>
      </c>
      <c r="C14" s="6">
        <f>IF(B$3=0,0,B14/B$3)</f>
        <v>0.19767441860465115</v>
      </c>
      <c r="E14" s="33" t="s">
        <v>66</v>
      </c>
      <c r="F14" s="30" t="s">
        <v>30</v>
      </c>
      <c r="G14" s="13">
        <v>1</v>
      </c>
      <c r="H14" s="94">
        <f>IF(B$17=0,0,G14/B$17)</f>
        <v>5.2631578947368418E-2</v>
      </c>
      <c r="I14" s="56">
        <v>4</v>
      </c>
      <c r="K14" s="5">
        <v>12</v>
      </c>
      <c r="L14" s="61">
        <v>62.199999999999989</v>
      </c>
      <c r="N14" s="76" t="s">
        <v>128</v>
      </c>
      <c r="O14" s="86">
        <f>IF(P14=0,0,Q14/P14)</f>
        <v>-13.4</v>
      </c>
      <c r="P14" s="80">
        <v>3</v>
      </c>
      <c r="Q14" s="68">
        <v>-40.200000000000003</v>
      </c>
    </row>
    <row r="15" spans="1:17">
      <c r="A15" s="18" t="s">
        <v>99</v>
      </c>
      <c r="B15" s="12">
        <f>B21</f>
        <v>11</v>
      </c>
      <c r="C15" s="4">
        <f>IF(B$13=0,0,B15/B$13)</f>
        <v>0.61111111111111116</v>
      </c>
      <c r="E15" s="33" t="s">
        <v>67</v>
      </c>
      <c r="F15" s="30" t="s">
        <v>31</v>
      </c>
      <c r="G15" s="13">
        <v>1</v>
      </c>
      <c r="H15" s="94">
        <f>IF(B$17=0,0,G15/B$17)</f>
        <v>5.2631578947368418E-2</v>
      </c>
      <c r="I15" s="56">
        <v>5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5</v>
      </c>
      <c r="C16" s="4">
        <f>IF(B$14=0,0,B16/B$14)</f>
        <v>0.29411764705882354</v>
      </c>
      <c r="E16" s="33" t="s">
        <v>69</v>
      </c>
      <c r="F16" s="30" t="s">
        <v>33</v>
      </c>
      <c r="G16" s="13">
        <v>1</v>
      </c>
      <c r="H16" s="94">
        <f>IF(B$17=0,0,G16/B$17)</f>
        <v>5.2631578947368418E-2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</v>
      </c>
      <c r="C17" s="4">
        <f>IF(B$3=0,0,B17/B$3)</f>
        <v>0.22093023255813954</v>
      </c>
      <c r="E17" s="33" t="s">
        <v>78</v>
      </c>
      <c r="F17" s="30" t="s">
        <v>42</v>
      </c>
      <c r="G17" s="13">
        <v>1</v>
      </c>
      <c r="H17" s="94">
        <f>IF(B$17=0,0,G17/B$17)</f>
        <v>5.2631578947368418E-2</v>
      </c>
      <c r="I17" s="56">
        <v>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0.15116279069767441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8</v>
      </c>
      <c r="N18" s="75" t="s">
        <v>269</v>
      </c>
      <c r="O18" s="85">
        <f t="shared" ref="O18:O32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0.42105263157894735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N19" s="76" t="s">
        <v>265</v>
      </c>
      <c r="O19" s="86">
        <f t="shared" si="3"/>
        <v>99.8</v>
      </c>
      <c r="P19" s="80">
        <v>1</v>
      </c>
      <c r="Q19" s="68">
        <v>99.8</v>
      </c>
    </row>
    <row r="20" spans="1:17">
      <c r="A20" s="19" t="s">
        <v>11</v>
      </c>
      <c r="B20" s="13">
        <v>11</v>
      </c>
      <c r="C20" s="6">
        <f>IF(B$17=0,0,B20/B$17)</f>
        <v>0.57894736842105265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N20" s="76" t="s">
        <v>228</v>
      </c>
      <c r="O20" s="86">
        <f t="shared" si="3"/>
        <v>98.45</v>
      </c>
      <c r="P20" s="80">
        <v>2</v>
      </c>
      <c r="Q20" s="68">
        <v>196.9</v>
      </c>
    </row>
    <row r="21" spans="1:17">
      <c r="A21" s="19" t="s">
        <v>151</v>
      </c>
      <c r="B21" s="13">
        <v>11</v>
      </c>
      <c r="C21" s="6">
        <f>IF(B$17=0,0,B21/B$17)</f>
        <v>0.57894736842105265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 t="shared" si="3"/>
        <v>48.366666666666667</v>
      </c>
      <c r="P21" s="80">
        <v>3</v>
      </c>
      <c r="Q21" s="68">
        <v>145.1</v>
      </c>
    </row>
    <row r="22" spans="1:17">
      <c r="A22" s="19" t="s">
        <v>149</v>
      </c>
      <c r="B22" s="13">
        <v>5</v>
      </c>
      <c r="C22" s="6">
        <f>IF(B$17=0,0,B22/B$17)</f>
        <v>0.26315789473684209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238</v>
      </c>
      <c r="O22" s="86">
        <f t="shared" si="3"/>
        <v>29.55</v>
      </c>
      <c r="P22" s="80">
        <v>4</v>
      </c>
      <c r="Q22" s="68">
        <v>118.2</v>
      </c>
    </row>
    <row r="23" spans="1:17">
      <c r="A23" s="19" t="s">
        <v>150</v>
      </c>
      <c r="B23" s="13">
        <v>3</v>
      </c>
      <c r="C23" s="6">
        <f>IF(B$17=0,0,B23/B$17)</f>
        <v>0.15789473684210525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4.4333333333333398</v>
      </c>
      <c r="P23" s="80">
        <v>3</v>
      </c>
      <c r="Q23" s="68">
        <v>13.300000000000018</v>
      </c>
    </row>
    <row r="24" spans="1:17">
      <c r="A24" s="19" t="s">
        <v>5</v>
      </c>
      <c r="B24" s="16">
        <f>IF(B$17=0,0,C24/B$17)</f>
        <v>8768.4210526315783</v>
      </c>
      <c r="C24" s="8">
        <v>166600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216</v>
      </c>
      <c r="O24" s="86">
        <f t="shared" si="3"/>
        <v>-0.59999999999999942</v>
      </c>
      <c r="P24" s="80">
        <v>7</v>
      </c>
      <c r="Q24" s="68">
        <v>-4.1999999999999957</v>
      </c>
    </row>
    <row r="25" spans="1:17">
      <c r="A25" s="20" t="s">
        <v>133</v>
      </c>
      <c r="B25" s="97">
        <f>IF($B$17-B$16=0,0,C25/($B$17-B$16))</f>
        <v>9235.7142857142862</v>
      </c>
      <c r="C25" s="98">
        <v>129300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263</v>
      </c>
      <c r="O25" s="86">
        <f t="shared" si="3"/>
        <v>-5.3333333333333321</v>
      </c>
      <c r="P25" s="80">
        <v>3</v>
      </c>
      <c r="Q25" s="68">
        <v>-15.999999999999996</v>
      </c>
    </row>
    <row r="26" spans="1:17">
      <c r="A26" s="20" t="s">
        <v>134</v>
      </c>
      <c r="B26" s="97">
        <f>IF(B$16=0,0,C26/B$16)</f>
        <v>7460</v>
      </c>
      <c r="C26" s="98">
        <v>37300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227</v>
      </c>
      <c r="O26" s="86">
        <f t="shared" si="3"/>
        <v>-13.475</v>
      </c>
      <c r="P26" s="80">
        <v>4</v>
      </c>
      <c r="Q26" s="68">
        <v>-53.9</v>
      </c>
    </row>
    <row r="27" spans="1:17">
      <c r="A27" s="20" t="s">
        <v>132</v>
      </c>
      <c r="B27" s="97">
        <f>IF(B$18=0,0,C27/B$18)</f>
        <v>-7107.6923076923076</v>
      </c>
      <c r="C27" s="98">
        <v>-92400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276</v>
      </c>
      <c r="O27" s="86">
        <f t="shared" si="3"/>
        <v>-16.200000000000006</v>
      </c>
      <c r="P27" s="80">
        <v>2</v>
      </c>
      <c r="Q27" s="68">
        <v>-32.400000000000013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-23.699999999999996</v>
      </c>
      <c r="P28" s="80">
        <v>1</v>
      </c>
      <c r="Q28" s="68">
        <v>-23.699999999999996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241</v>
      </c>
      <c r="O29" s="86">
        <f t="shared" si="3"/>
        <v>-57.95</v>
      </c>
      <c r="P29" s="80">
        <v>2</v>
      </c>
      <c r="Q29" s="68">
        <v>-115.9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  <c r="N30" s="76" t="s">
        <v>169</v>
      </c>
      <c r="O30" s="86">
        <f t="shared" si="3"/>
        <v>-60.3</v>
      </c>
      <c r="P30" s="80">
        <v>1</v>
      </c>
      <c r="Q30" s="68">
        <v>-60.3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-61.6</v>
      </c>
      <c r="P31" s="80">
        <v>1</v>
      </c>
      <c r="Q31" s="68">
        <v>-61.6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235</v>
      </c>
      <c r="O32" s="86">
        <f t="shared" si="3"/>
        <v>-85.5</v>
      </c>
      <c r="P32" s="80">
        <v>1</v>
      </c>
      <c r="Q32" s="68">
        <v>-85.5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0.15789473684210525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5.2631578947368418E-2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0.15789473684210525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0.21052631578947367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5.2631578947368418E-2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5.2631578947368418E-2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13</v>
      </c>
      <c r="H2" s="93">
        <f>IF(B$17=0,0,G2/B$17)</f>
        <v>0.56521739130434778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-1870.5882352941176</v>
      </c>
      <c r="P2" s="79">
        <v>17</v>
      </c>
      <c r="Q2" s="63">
        <v>-31800</v>
      </c>
    </row>
    <row r="3" spans="1:17">
      <c r="A3" s="19" t="s">
        <v>8</v>
      </c>
      <c r="B3" s="122">
        <v>118</v>
      </c>
      <c r="C3" s="123"/>
      <c r="E3" s="33" t="s">
        <v>60</v>
      </c>
      <c r="F3" s="30" t="s">
        <v>24</v>
      </c>
      <c r="G3" s="13">
        <v>13</v>
      </c>
      <c r="H3" s="94">
        <f>IF(B$17=0,0,G3/B$17)</f>
        <v>0.56521739130434778</v>
      </c>
      <c r="I3" s="56">
        <v>10</v>
      </c>
      <c r="K3" s="5">
        <v>1</v>
      </c>
      <c r="L3" s="61">
        <v>80</v>
      </c>
      <c r="N3" s="76" t="s">
        <v>104</v>
      </c>
      <c r="O3" s="83">
        <f t="shared" si="0"/>
        <v>982.35294117647061</v>
      </c>
      <c r="P3" s="80">
        <v>17</v>
      </c>
      <c r="Q3" s="64">
        <v>16700</v>
      </c>
    </row>
    <row r="4" spans="1:17">
      <c r="A4" s="19" t="s">
        <v>6</v>
      </c>
      <c r="B4" s="124">
        <v>98.5</v>
      </c>
      <c r="C4" s="125"/>
      <c r="E4" s="33" t="s">
        <v>181</v>
      </c>
      <c r="F4" s="30" t="s">
        <v>156</v>
      </c>
      <c r="G4" s="13">
        <v>12</v>
      </c>
      <c r="H4" s="94">
        <f>IF(B$17=0,0,G4/B$17)</f>
        <v>0.52173913043478259</v>
      </c>
      <c r="I4" s="56">
        <v>20</v>
      </c>
      <c r="K4" s="5">
        <v>2</v>
      </c>
      <c r="L4" s="61">
        <v>145.19999999999999</v>
      </c>
      <c r="N4" s="76" t="s">
        <v>105</v>
      </c>
      <c r="O4" s="83">
        <f t="shared" si="0"/>
        <v>633.33333333333337</v>
      </c>
      <c r="P4" s="80">
        <v>15</v>
      </c>
      <c r="Q4" s="64">
        <v>9500</v>
      </c>
    </row>
    <row r="5" spans="1:17">
      <c r="A5" s="19" t="s">
        <v>7</v>
      </c>
      <c r="B5" s="126">
        <f>IF(B$2=0,0,B$4/B$2)</f>
        <v>5.7941176470588234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0.47826086956521741</v>
      </c>
      <c r="I5" s="56">
        <v>18</v>
      </c>
      <c r="K5" s="5">
        <v>3</v>
      </c>
      <c r="L5" s="61">
        <v>204.6</v>
      </c>
      <c r="N5" s="76" t="s">
        <v>157</v>
      </c>
      <c r="O5" s="83">
        <f>IF(P5=0,0,Q5/P5)</f>
        <v>542.85714285714289</v>
      </c>
      <c r="P5" s="80">
        <v>14</v>
      </c>
      <c r="Q5" s="64">
        <v>7600</v>
      </c>
    </row>
    <row r="6" spans="1:17">
      <c r="A6" s="19" t="s">
        <v>1</v>
      </c>
      <c r="B6" s="128">
        <f>IF(B$2=0,0,(B$7*1+B$8*2+B$9*3+B$10*4)/B$2)</f>
        <v>2.3529411764705883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0.34782608695652173</v>
      </c>
      <c r="I6" s="56">
        <v>13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1472.7272727272727</v>
      </c>
      <c r="P6" s="80">
        <v>11</v>
      </c>
      <c r="Q6" s="64">
        <v>16200</v>
      </c>
    </row>
    <row r="7" spans="1:17">
      <c r="A7" s="19" t="s">
        <v>2</v>
      </c>
      <c r="B7" s="13">
        <v>5</v>
      </c>
      <c r="C7" s="6">
        <f t="shared" ref="C7:C12" si="2">IF(B$2=0,0,B7/B$2)</f>
        <v>0.29411764705882354</v>
      </c>
      <c r="E7" s="33" t="s">
        <v>59</v>
      </c>
      <c r="F7" s="30" t="s">
        <v>23</v>
      </c>
      <c r="G7" s="13">
        <v>6</v>
      </c>
      <c r="H7" s="94">
        <f>IF(B$17=0,0,G7/B$17)</f>
        <v>0.2608695652173913</v>
      </c>
      <c r="I7" s="56">
        <v>6</v>
      </c>
      <c r="K7" s="5">
        <v>5</v>
      </c>
      <c r="L7" s="61">
        <v>154.19999999999999</v>
      </c>
      <c r="N7" s="76" t="s">
        <v>107</v>
      </c>
      <c r="O7" s="83">
        <f t="shared" si="0"/>
        <v>216.66666666666666</v>
      </c>
      <c r="P7" s="80">
        <v>6</v>
      </c>
      <c r="Q7" s="64">
        <v>1300</v>
      </c>
    </row>
    <row r="8" spans="1:17">
      <c r="A8" s="19" t="s">
        <v>3</v>
      </c>
      <c r="B8" s="13">
        <v>4</v>
      </c>
      <c r="C8" s="6">
        <f>IF(B$2=0,0,B8/B$2)</f>
        <v>0.23529411764705882</v>
      </c>
      <c r="E8" s="33" t="s">
        <v>55</v>
      </c>
      <c r="F8" s="30" t="s">
        <v>155</v>
      </c>
      <c r="G8" s="13">
        <v>5</v>
      </c>
      <c r="H8" s="94">
        <f>IF(B$17=0,0,G8/B$17)</f>
        <v>0.21739130434782608</v>
      </c>
      <c r="I8" s="56">
        <v>21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5</v>
      </c>
      <c r="C9" s="7">
        <f>IF(B$2=0,0,B9/B$2)</f>
        <v>0.29411764705882354</v>
      </c>
      <c r="E9" s="33" t="s">
        <v>57</v>
      </c>
      <c r="F9" s="30" t="s">
        <v>21</v>
      </c>
      <c r="G9" s="13">
        <v>4</v>
      </c>
      <c r="H9" s="94">
        <f>IF(B$17=0,0,G9/B$17)</f>
        <v>0.17391304347826086</v>
      </c>
      <c r="I9" s="56">
        <v>26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3</v>
      </c>
      <c r="C10" s="7">
        <f>IF(B$2=0,0,B10/B$2)</f>
        <v>0.17647058823529413</v>
      </c>
      <c r="E10" s="33" t="s">
        <v>182</v>
      </c>
      <c r="F10" s="30" t="s">
        <v>19</v>
      </c>
      <c r="G10" s="13">
        <v>3</v>
      </c>
      <c r="H10" s="94">
        <f>IF(B$17=0,0,G10/B$17)</f>
        <v>0.13043478260869565</v>
      </c>
      <c r="I10" s="56">
        <v>13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0.52941176470588236</v>
      </c>
      <c r="E11" s="33" t="s">
        <v>74</v>
      </c>
      <c r="F11" s="30" t="s">
        <v>38</v>
      </c>
      <c r="G11" s="13">
        <v>2</v>
      </c>
      <c r="H11" s="94">
        <f>IF(B$17=0,0,G11/B$17)</f>
        <v>8.6956521739130432E-2</v>
      </c>
      <c r="I11" s="56">
        <v>5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5.8823529411764705E-2</v>
      </c>
      <c r="E12" s="33" t="s">
        <v>58</v>
      </c>
      <c r="F12" s="30" t="s">
        <v>22</v>
      </c>
      <c r="G12" s="13">
        <v>1</v>
      </c>
      <c r="H12" s="94">
        <f>IF(B$17=0,0,G12/B$17)</f>
        <v>4.3478260869565216E-2</v>
      </c>
      <c r="I12" s="56">
        <v>20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28</v>
      </c>
      <c r="C13" s="11">
        <f>IF(B$3=0,0,B13/B$3)</f>
        <v>0.23728813559322035</v>
      </c>
      <c r="E13" s="33" t="s">
        <v>183</v>
      </c>
      <c r="F13" s="30" t="s">
        <v>186</v>
      </c>
      <c r="G13" s="13">
        <v>1</v>
      </c>
      <c r="H13" s="94">
        <f>IF(B$17=0,0,G13/B$17)</f>
        <v>4.3478260869565216E-2</v>
      </c>
      <c r="I13" s="56">
        <v>9</v>
      </c>
      <c r="K13" s="5">
        <v>11</v>
      </c>
      <c r="L13" s="61">
        <v>82.5</v>
      </c>
      <c r="N13" s="76" t="s">
        <v>127</v>
      </c>
      <c r="O13" s="86">
        <f>IF(P13=0,0,Q13/P13)</f>
        <v>27.579999999999995</v>
      </c>
      <c r="P13" s="80">
        <v>5</v>
      </c>
      <c r="Q13" s="68">
        <v>137.89999999999998</v>
      </c>
    </row>
    <row r="14" spans="1:17">
      <c r="A14" s="19" t="s">
        <v>94</v>
      </c>
      <c r="B14" s="13">
        <v>26</v>
      </c>
      <c r="C14" s="6">
        <f>IF(B$3=0,0,B14/B$3)</f>
        <v>0.22033898305084745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134.4</v>
      </c>
      <c r="N14" s="76" t="s">
        <v>128</v>
      </c>
      <c r="O14" s="86">
        <f>IF(P14=0,0,Q14/P14)</f>
        <v>-15.180000000000001</v>
      </c>
      <c r="P14" s="80">
        <v>5</v>
      </c>
      <c r="Q14" s="68">
        <v>-75.900000000000006</v>
      </c>
    </row>
    <row r="15" spans="1:17">
      <c r="A15" s="18" t="s">
        <v>99</v>
      </c>
      <c r="B15" s="12">
        <f>B21</f>
        <v>12</v>
      </c>
      <c r="C15" s="4">
        <f>IF(B$13=0,0,B15/B$13)</f>
        <v>0.42857142857142855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119.30000000000001</v>
      </c>
      <c r="N15" s="77" t="s">
        <v>159</v>
      </c>
      <c r="O15" s="87">
        <f>IF(P15=0,0,Q15/P15)</f>
        <v>12.050000000000002</v>
      </c>
      <c r="P15" s="81">
        <v>4</v>
      </c>
      <c r="Q15" s="69">
        <v>48.20000000000001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0.19491525423728814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9.3220338983050849E-2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160.9</v>
      </c>
      <c r="N18" s="75" t="s">
        <v>277</v>
      </c>
      <c r="O18" s="85">
        <f>IF(P18=0,0,Q18/P18)</f>
        <v>55.85</v>
      </c>
      <c r="P18" s="79">
        <v>2</v>
      </c>
      <c r="Q18" s="67">
        <v>111.7</v>
      </c>
    </row>
    <row r="19" spans="1:17">
      <c r="A19" s="19" t="s">
        <v>12</v>
      </c>
      <c r="B19" s="13">
        <v>10</v>
      </c>
      <c r="C19" s="6">
        <f>IF(B$17=0,0,B19/B$17)</f>
        <v>0.43478260869565216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K19" s="5">
        <v>17</v>
      </c>
      <c r="L19" s="61">
        <v>98.5</v>
      </c>
      <c r="N19" s="76" t="s">
        <v>238</v>
      </c>
      <c r="O19" s="86">
        <f>IF(P19=0,0,Q19/P19)</f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13</v>
      </c>
      <c r="C20" s="6">
        <f>IF(B$17=0,0,B20/B$17)</f>
        <v>0.56521739130434778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235</v>
      </c>
      <c r="O20" s="86">
        <f>IF(P20=0,0,Q20/P20)</f>
        <v>48.340000000000011</v>
      </c>
      <c r="P20" s="80">
        <v>5</v>
      </c>
      <c r="Q20" s="68">
        <v>241.70000000000005</v>
      </c>
    </row>
    <row r="21" spans="1:17">
      <c r="A21" s="19" t="s">
        <v>151</v>
      </c>
      <c r="B21" s="13">
        <v>12</v>
      </c>
      <c r="C21" s="6">
        <f>IF(B$17=0,0,B21/B$17)</f>
        <v>0.52173913043478259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269</v>
      </c>
      <c r="O21" s="86">
        <f>IF(P21=0,0,Q21/P21)</f>
        <v>42.525000000000006</v>
      </c>
      <c r="P21" s="80">
        <v>4</v>
      </c>
      <c r="Q21" s="68">
        <v>170.10000000000002</v>
      </c>
    </row>
    <row r="22" spans="1:17">
      <c r="A22" s="19" t="s">
        <v>149</v>
      </c>
      <c r="B22" s="13">
        <v>8</v>
      </c>
      <c r="C22" s="6">
        <f>IF(B$17=0,0,B22/B$17)</f>
        <v>0.34782608695652173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9</v>
      </c>
      <c r="N22" s="76" t="s">
        <v>169</v>
      </c>
      <c r="O22" s="86">
        <f>IF(P22=0,0,Q22/P22)</f>
        <v>33.157142857142851</v>
      </c>
      <c r="P22" s="80">
        <v>7</v>
      </c>
      <c r="Q22" s="68">
        <v>232.09999999999994</v>
      </c>
    </row>
    <row r="23" spans="1:17">
      <c r="A23" s="19" t="s">
        <v>150</v>
      </c>
      <c r="B23" s="13">
        <v>3</v>
      </c>
      <c r="C23" s="6">
        <f>IF(B$17=0,0,B23/B$17)</f>
        <v>0.13043478260869565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297</v>
      </c>
      <c r="O23" s="86">
        <f>IF(P23=0,0,Q23/P23)</f>
        <v>23.35</v>
      </c>
      <c r="P23" s="80">
        <v>2</v>
      </c>
      <c r="Q23" s="68">
        <v>46.7</v>
      </c>
    </row>
    <row r="24" spans="1:17">
      <c r="A24" s="19" t="s">
        <v>5</v>
      </c>
      <c r="B24" s="16">
        <f>IF(B$17=0,0,C24/B$17)</f>
        <v>6908.695652173913</v>
      </c>
      <c r="C24" s="8">
        <v>158900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258</v>
      </c>
      <c r="O24" s="86">
        <f>IF(P24=0,0,Q24/P24)</f>
        <v>3.1250000000000022</v>
      </c>
      <c r="P24" s="80">
        <v>4</v>
      </c>
      <c r="Q24" s="68">
        <v>12.500000000000009</v>
      </c>
    </row>
    <row r="25" spans="1:17">
      <c r="A25" s="20" t="s">
        <v>133</v>
      </c>
      <c r="B25" s="97">
        <f>IF($B$17-B$16=0,0,C25/($B$17-B$16))</f>
        <v>8406.6666666666661</v>
      </c>
      <c r="C25" s="98">
        <v>126100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263</v>
      </c>
      <c r="O25" s="86">
        <f>IF(P25=0,0,Q25/P25)</f>
        <v>-3.7000000000000015</v>
      </c>
      <c r="P25" s="80">
        <v>5</v>
      </c>
      <c r="Q25" s="68">
        <v>-18.500000000000007</v>
      </c>
    </row>
    <row r="26" spans="1:17">
      <c r="A26" s="20" t="s">
        <v>134</v>
      </c>
      <c r="B26" s="97">
        <f>IF(B$16=0,0,C26/B$16)</f>
        <v>4100</v>
      </c>
      <c r="C26" s="98">
        <v>32800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244</v>
      </c>
      <c r="O26" s="86">
        <f>IF(P26=0,0,Q26/P26)</f>
        <v>-4.4333333333333345</v>
      </c>
      <c r="P26" s="80">
        <v>3</v>
      </c>
      <c r="Q26" s="68">
        <v>-13.300000000000004</v>
      </c>
    </row>
    <row r="27" spans="1:17">
      <c r="A27" s="20" t="s">
        <v>132</v>
      </c>
      <c r="B27" s="97">
        <f>IF(B$18=0,0,C27/B$18)</f>
        <v>-6563.636363636364</v>
      </c>
      <c r="C27" s="98">
        <v>-72200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228</v>
      </c>
      <c r="O27" s="86">
        <f>IF(P27=0,0,Q27/P27)</f>
        <v>-5.8999999999999995</v>
      </c>
      <c r="P27" s="80">
        <v>2</v>
      </c>
      <c r="Q27" s="68">
        <v>-11.799999999999999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>IF(P28=0,0,Q28/P28)</f>
        <v>-17.899999999999995</v>
      </c>
      <c r="P28" s="80">
        <v>3</v>
      </c>
      <c r="Q28" s="68">
        <v>-53.699999999999989</v>
      </c>
    </row>
    <row r="29" spans="1:17">
      <c r="A29" s="19" t="s">
        <v>131</v>
      </c>
      <c r="B29" s="13">
        <v>24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276</v>
      </c>
      <c r="O29" s="86">
        <f>IF(P29=0,0,Q29/P29)</f>
        <v>-21</v>
      </c>
      <c r="P29" s="80">
        <v>2</v>
      </c>
      <c r="Q29" s="68">
        <v>-42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265</v>
      </c>
      <c r="O30" s="86">
        <f>IF(P30=0,0,Q30/P30)</f>
        <v>-38.620000000000005</v>
      </c>
      <c r="P30" s="80">
        <v>5</v>
      </c>
      <c r="Q30" s="68">
        <v>-193.10000000000002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>IF(P31=0,0,Q31/P31)</f>
        <v>-77.849999999999994</v>
      </c>
      <c r="P31" s="80">
        <v>2</v>
      </c>
      <c r="Q31" s="68">
        <v>-155.69999999999999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216</v>
      </c>
      <c r="O32" s="86">
        <f>IF(P32=0,0,Q32/P32)</f>
        <v>-116</v>
      </c>
      <c r="P32" s="80">
        <v>1</v>
      </c>
      <c r="Q32" s="68">
        <v>-116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4.3478260869565216E-2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0.21739130434782608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0.2608695652173913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0.21739130434782608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0.17391304347826086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4.3478260869565216E-2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4.3478260869565216E-2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0.88888888888888884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1342.8571428571429</v>
      </c>
      <c r="P2" s="79">
        <v>7</v>
      </c>
      <c r="Q2" s="63">
        <v>9400</v>
      </c>
    </row>
    <row r="3" spans="1:17">
      <c r="A3" s="19" t="s">
        <v>8</v>
      </c>
      <c r="B3" s="122">
        <v>50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0.33333333333333331</v>
      </c>
      <c r="I3" s="56">
        <v>28</v>
      </c>
      <c r="K3" s="5">
        <v>1</v>
      </c>
      <c r="L3" s="61">
        <v>4.5</v>
      </c>
      <c r="N3" s="76" t="s">
        <v>104</v>
      </c>
      <c r="O3" s="83">
        <f t="shared" si="0"/>
        <v>-1414.2857142857142</v>
      </c>
      <c r="P3" s="80">
        <v>7</v>
      </c>
      <c r="Q3" s="64">
        <v>-9900</v>
      </c>
    </row>
    <row r="4" spans="1:17">
      <c r="A4" s="19" t="s">
        <v>6</v>
      </c>
      <c r="B4" s="124">
        <v>-74.2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0.22222222222222221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-1200</v>
      </c>
      <c r="P4" s="80">
        <v>7</v>
      </c>
      <c r="Q4" s="64">
        <v>-8400</v>
      </c>
    </row>
    <row r="5" spans="1:17">
      <c r="A5" s="19" t="s">
        <v>7</v>
      </c>
      <c r="B5" s="126">
        <f>IF(B$2=0,0,B$4/B$2)</f>
        <v>-10.6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0.22222222222222221</v>
      </c>
      <c r="I5" s="56">
        <v>32</v>
      </c>
      <c r="K5" s="5">
        <v>3</v>
      </c>
      <c r="L5" s="61">
        <v>-71.599999999999994</v>
      </c>
      <c r="N5" s="76" t="s">
        <v>157</v>
      </c>
      <c r="O5" s="83">
        <f>IF(P5=0,0,Q5/P5)</f>
        <v>-871.42857142857144</v>
      </c>
      <c r="P5" s="80">
        <v>7</v>
      </c>
      <c r="Q5" s="64">
        <v>-6100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0.22222222222222221</v>
      </c>
      <c r="I6" s="56">
        <v>20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-3940</v>
      </c>
      <c r="P6" s="80">
        <v>5</v>
      </c>
      <c r="Q6" s="64">
        <v>-19700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58</v>
      </c>
      <c r="F7" s="30" t="s">
        <v>22</v>
      </c>
      <c r="G7" s="13">
        <v>2</v>
      </c>
      <c r="H7" s="94">
        <f>IF(B$17=0,0,G7/B$17)</f>
        <v>0.22222222222222221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5200</v>
      </c>
      <c r="P7" s="80">
        <v>3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57</v>
      </c>
      <c r="F8" s="30" t="s">
        <v>21</v>
      </c>
      <c r="G8" s="13">
        <v>1</v>
      </c>
      <c r="H8" s="94">
        <f>IF(B$17=0,0,G8/B$17)</f>
        <v>0.1111111111111111</v>
      </c>
      <c r="I8" s="56">
        <v>31</v>
      </c>
      <c r="K8" s="5">
        <v>6</v>
      </c>
      <c r="L8" s="61">
        <v>-73.8</v>
      </c>
      <c r="N8" s="76" t="s">
        <v>108</v>
      </c>
      <c r="O8" s="83">
        <f t="shared" si="0"/>
        <v>-2200</v>
      </c>
      <c r="P8" s="80">
        <v>3</v>
      </c>
      <c r="Q8" s="64">
        <v>-6600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60</v>
      </c>
      <c r="F9" s="30" t="s">
        <v>24</v>
      </c>
      <c r="G9" s="13">
        <v>1</v>
      </c>
      <c r="H9" s="94">
        <f>IF(B$17=0,0,G9/B$17)</f>
        <v>0.1111111111111111</v>
      </c>
      <c r="I9" s="56">
        <v>37</v>
      </c>
      <c r="K9" s="5">
        <v>7</v>
      </c>
      <c r="L9" s="61">
        <v>-74.2</v>
      </c>
      <c r="N9" s="77" t="s">
        <v>158</v>
      </c>
      <c r="O9" s="84">
        <f t="shared" si="0"/>
        <v>-1750</v>
      </c>
      <c r="P9" s="81">
        <v>2</v>
      </c>
      <c r="Q9" s="65">
        <v>-3500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>IF(B$17=0,0,G10/B$17)</f>
        <v>0.1111111111111111</v>
      </c>
      <c r="I10" s="56">
        <v>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71</v>
      </c>
      <c r="F11" s="30" t="s">
        <v>35</v>
      </c>
      <c r="G11" s="13">
        <v>1</v>
      </c>
      <c r="H11" s="94">
        <f>IF(B$17=0,0,G11/B$17)</f>
        <v>0.1111111111111111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0.1111111111111111</v>
      </c>
      <c r="I12" s="56">
        <v>4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16</v>
      </c>
      <c r="C13" s="11">
        <f>IF(B$3=0,0,B13/B$3)</f>
        <v>0.32</v>
      </c>
      <c r="E13" s="33" t="s">
        <v>77</v>
      </c>
      <c r="F13" s="30" t="s">
        <v>41</v>
      </c>
      <c r="G13" s="13">
        <v>1</v>
      </c>
      <c r="H13" s="94">
        <f>IF(B$17=0,0,G13/B$17)</f>
        <v>0.1111111111111111</v>
      </c>
      <c r="I13" s="56">
        <v>5</v>
      </c>
      <c r="N13" s="76" t="s">
        <v>127</v>
      </c>
      <c r="O13" s="86">
        <f>IF(P13=0,0,Q13/P13)</f>
        <v>1.7</v>
      </c>
      <c r="P13" s="80">
        <v>3</v>
      </c>
      <c r="Q13" s="68">
        <v>5.0999999999999996</v>
      </c>
    </row>
    <row r="14" spans="1:17">
      <c r="A14" s="19" t="s">
        <v>94</v>
      </c>
      <c r="B14" s="13">
        <v>8</v>
      </c>
      <c r="C14" s="6">
        <f>IF(B$3=0,0,B14/B$3)</f>
        <v>0.16</v>
      </c>
      <c r="E14" s="33" t="s">
        <v>56</v>
      </c>
      <c r="F14" s="30" t="s">
        <v>185</v>
      </c>
      <c r="G14" s="13">
        <v>0</v>
      </c>
      <c r="H14" s="94">
        <f>IF(B$17=0,0,G14/B$17)</f>
        <v>0</v>
      </c>
      <c r="I14" s="56">
        <v>38</v>
      </c>
      <c r="N14" s="76" t="s">
        <v>128</v>
      </c>
      <c r="O14" s="86">
        <f>IF(P14=0,0,Q14/P14)</f>
        <v>-27.933333333333337</v>
      </c>
      <c r="P14" s="80">
        <v>3</v>
      </c>
      <c r="Q14" s="68">
        <v>-83.800000000000011</v>
      </c>
    </row>
    <row r="15" spans="1:17">
      <c r="A15" s="18" t="s">
        <v>99</v>
      </c>
      <c r="B15" s="12">
        <f>B21</f>
        <v>8</v>
      </c>
      <c r="C15" s="4">
        <f>IF(B$13=0,0,B15/B$13)</f>
        <v>0.5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 t="shared" ref="O18:O28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9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8</v>
      </c>
      <c r="C21" s="6">
        <f>IF(B$17=0,0,B21/B$17)</f>
        <v>0.88888888888888884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0.1111111111111111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255</v>
      </c>
      <c r="O22" s="86">
        <f t="shared" si="3"/>
        <v>-3.1250000000000018</v>
      </c>
      <c r="P22" s="80">
        <v>4</v>
      </c>
      <c r="Q22" s="68">
        <v>-12.500000000000007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228</v>
      </c>
      <c r="O23" s="86">
        <f t="shared" si="3"/>
        <v>-22.05</v>
      </c>
      <c r="P23" s="80">
        <v>4</v>
      </c>
      <c r="Q23" s="68">
        <v>-88.2</v>
      </c>
    </row>
    <row r="24" spans="1:17">
      <c r="A24" s="19" t="s">
        <v>5</v>
      </c>
      <c r="B24" s="16">
        <f>IF(B$17=0,0,C24/B$17)</f>
        <v>5766.666666666667</v>
      </c>
      <c r="C24" s="8">
        <v>51900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9</v>
      </c>
      <c r="N24" s="76" t="s">
        <v>263</v>
      </c>
      <c r="O24" s="86">
        <f t="shared" si="3"/>
        <v>-30.900000000000002</v>
      </c>
      <c r="P24" s="80">
        <v>3</v>
      </c>
      <c r="Q24" s="68">
        <v>-92.7</v>
      </c>
    </row>
    <row r="25" spans="1:17">
      <c r="A25" s="20" t="s">
        <v>133</v>
      </c>
      <c r="B25" s="97">
        <f>IF($B$17-B$16=0,0,C25/($B$17-B$16))</f>
        <v>6000</v>
      </c>
      <c r="C25" s="98">
        <v>48000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-36.6</v>
      </c>
      <c r="P25" s="80">
        <v>1</v>
      </c>
      <c r="Q25" s="68">
        <v>-36.6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272</v>
      </c>
      <c r="O26" s="86">
        <f t="shared" si="3"/>
        <v>-43.9</v>
      </c>
      <c r="P26" s="80">
        <v>1</v>
      </c>
      <c r="Q26" s="68">
        <v>-43.9</v>
      </c>
    </row>
    <row r="27" spans="1:17">
      <c r="A27" s="20" t="s">
        <v>132</v>
      </c>
      <c r="B27" s="97">
        <f>IF(B$18=0,0,C27/B$18)</f>
        <v>-3880</v>
      </c>
      <c r="C27" s="98">
        <v>-38800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276</v>
      </c>
      <c r="O27" s="86">
        <f t="shared" si="3"/>
        <v>-67.100000000000009</v>
      </c>
      <c r="P27" s="80">
        <v>1</v>
      </c>
      <c r="Q27" s="68">
        <v>-67.100000000000009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195</v>
      </c>
      <c r="O28" s="86">
        <f t="shared" si="3"/>
        <v>-84.5</v>
      </c>
      <c r="P28" s="80">
        <v>1</v>
      </c>
      <c r="Q28" s="68">
        <v>-84.5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0.02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0.22222222222222221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0.1111111111111111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27</v>
      </c>
      <c r="H2" s="93">
        <f>IF(B$17=0,0,G2/B$17)</f>
        <v>0.72972972972972971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600</v>
      </c>
      <c r="P2" s="79">
        <v>20</v>
      </c>
      <c r="Q2" s="63">
        <v>12000</v>
      </c>
    </row>
    <row r="3" spans="1:17">
      <c r="A3" s="19" t="s">
        <v>8</v>
      </c>
      <c r="B3" s="122">
        <v>138</v>
      </c>
      <c r="C3" s="123"/>
      <c r="E3" s="33" t="s">
        <v>181</v>
      </c>
      <c r="F3" s="30" t="s">
        <v>156</v>
      </c>
      <c r="G3" s="13">
        <v>24</v>
      </c>
      <c r="H3" s="94">
        <f>IF(B$17=0,0,G3/B$17)</f>
        <v>0.64864864864864868</v>
      </c>
      <c r="I3" s="56">
        <v>12</v>
      </c>
      <c r="K3" s="5">
        <v>1</v>
      </c>
      <c r="L3" s="61">
        <v>-45.8</v>
      </c>
      <c r="N3" s="76" t="s">
        <v>104</v>
      </c>
      <c r="O3" s="83">
        <f t="shared" si="0"/>
        <v>-495</v>
      </c>
      <c r="P3" s="80">
        <v>20</v>
      </c>
      <c r="Q3" s="64">
        <v>-9900</v>
      </c>
    </row>
    <row r="4" spans="1:17">
      <c r="A4" s="19" t="s">
        <v>6</v>
      </c>
      <c r="B4" s="124">
        <v>247.90000000000003</v>
      </c>
      <c r="C4" s="125"/>
      <c r="E4" s="33" t="s">
        <v>60</v>
      </c>
      <c r="F4" s="30" t="s">
        <v>24</v>
      </c>
      <c r="G4" s="13">
        <v>14</v>
      </c>
      <c r="H4" s="94">
        <f>IF(B$17=0,0,G4/B$17)</f>
        <v>0.3783783783783784</v>
      </c>
      <c r="I4" s="56">
        <v>20</v>
      </c>
      <c r="K4" s="5">
        <v>2</v>
      </c>
      <c r="L4" s="61">
        <v>24.700000000000003</v>
      </c>
      <c r="N4" s="76" t="s">
        <v>105</v>
      </c>
      <c r="O4" s="83">
        <f t="shared" si="0"/>
        <v>385</v>
      </c>
      <c r="P4" s="80">
        <v>20</v>
      </c>
      <c r="Q4" s="64">
        <v>7700</v>
      </c>
    </row>
    <row r="5" spans="1:17">
      <c r="A5" s="19" t="s">
        <v>7</v>
      </c>
      <c r="B5" s="126">
        <f>IF(B$2=0,0,B$4/B$2)</f>
        <v>12.395000000000001</v>
      </c>
      <c r="C5" s="127"/>
      <c r="E5" s="33" t="s">
        <v>56</v>
      </c>
      <c r="F5" s="30" t="s">
        <v>185</v>
      </c>
      <c r="G5" s="13">
        <v>12</v>
      </c>
      <c r="H5" s="94">
        <f>IF(B$17=0,0,G5/B$17)</f>
        <v>0.32432432432432434</v>
      </c>
      <c r="I5" s="56">
        <v>17</v>
      </c>
      <c r="K5" s="5">
        <v>3</v>
      </c>
      <c r="L5" s="61">
        <v>27.400000000000002</v>
      </c>
      <c r="N5" s="76" t="s">
        <v>157</v>
      </c>
      <c r="O5" s="83">
        <f>IF(P5=0,0,Q5/P5)</f>
        <v>275</v>
      </c>
      <c r="P5" s="80">
        <v>20</v>
      </c>
      <c r="Q5" s="64">
        <v>5500</v>
      </c>
    </row>
    <row r="6" spans="1:17">
      <c r="A6" s="19" t="s">
        <v>1</v>
      </c>
      <c r="B6" s="128">
        <f>IF(B$2=0,0,(B$7*1+B$8*2+B$9*3+B$10*4)/B$2)</f>
        <v>2.2000000000000002</v>
      </c>
      <c r="C6" s="129"/>
      <c r="E6" s="33" t="s">
        <v>184</v>
      </c>
      <c r="F6" s="30" t="s">
        <v>187</v>
      </c>
      <c r="G6" s="13">
        <v>12</v>
      </c>
      <c r="H6" s="94">
        <f>IF(B$17=0,0,G6/B$17)</f>
        <v>0.32432432432432434</v>
      </c>
      <c r="I6" s="56">
        <v>31</v>
      </c>
      <c r="K6" s="5">
        <v>4</v>
      </c>
      <c r="L6" s="61">
        <v>78.2</v>
      </c>
      <c r="N6" s="76" t="s">
        <v>106</v>
      </c>
      <c r="O6" s="83">
        <f t="shared" ref="O6" si="1">IF(P6=0,0,Q6/P6)</f>
        <v>1953.3333333333333</v>
      </c>
      <c r="P6" s="80">
        <v>15</v>
      </c>
      <c r="Q6" s="64">
        <v>29300</v>
      </c>
    </row>
    <row r="7" spans="1:17">
      <c r="A7" s="19" t="s">
        <v>2</v>
      </c>
      <c r="B7" s="13">
        <v>8</v>
      </c>
      <c r="C7" s="6">
        <f t="shared" ref="C7:C12" si="2">IF(B$2=0,0,B7/B$2)</f>
        <v>0.4</v>
      </c>
      <c r="E7" s="33" t="s">
        <v>55</v>
      </c>
      <c r="F7" s="30" t="s">
        <v>155</v>
      </c>
      <c r="G7" s="13">
        <v>8</v>
      </c>
      <c r="H7" s="94">
        <f>IF(B$17=0,0,G7/B$17)</f>
        <v>0.21621621621621623</v>
      </c>
      <c r="I7" s="56">
        <v>22</v>
      </c>
      <c r="K7" s="5">
        <v>5</v>
      </c>
      <c r="L7" s="61">
        <v>20.200000000000003</v>
      </c>
      <c r="N7" s="76" t="s">
        <v>107</v>
      </c>
      <c r="O7" s="83">
        <f t="shared" si="0"/>
        <v>1950</v>
      </c>
      <c r="P7" s="80">
        <v>6</v>
      </c>
      <c r="Q7" s="64">
        <v>11700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6</v>
      </c>
      <c r="H8" s="94">
        <f>IF(B$17=0,0,G8/B$17)</f>
        <v>0.16216216216216217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0"/>
        <v>2425</v>
      </c>
      <c r="P8" s="80">
        <v>4</v>
      </c>
      <c r="Q8" s="64">
        <v>9700</v>
      </c>
    </row>
    <row r="9" spans="1:17">
      <c r="A9" s="20" t="s">
        <v>4</v>
      </c>
      <c r="B9" s="14">
        <v>4</v>
      </c>
      <c r="C9" s="7">
        <f>IF(B$2=0,0,B9/B$2)</f>
        <v>0.2</v>
      </c>
      <c r="E9" s="33" t="s">
        <v>58</v>
      </c>
      <c r="F9" s="30" t="s">
        <v>22</v>
      </c>
      <c r="G9" s="13">
        <v>5</v>
      </c>
      <c r="H9" s="94">
        <f>IF(B$17=0,0,G9/B$17)</f>
        <v>0.13513513513513514</v>
      </c>
      <c r="I9" s="56">
        <v>5</v>
      </c>
      <c r="K9" s="5">
        <v>7</v>
      </c>
      <c r="L9" s="61">
        <v>66.700000000000017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4</v>
      </c>
      <c r="C10" s="7">
        <f>IF(B$2=0,0,B10/B$2)</f>
        <v>0.2</v>
      </c>
      <c r="E10" s="33" t="s">
        <v>182</v>
      </c>
      <c r="F10" s="30" t="s">
        <v>19</v>
      </c>
      <c r="G10" s="13">
        <v>2</v>
      </c>
      <c r="H10" s="94">
        <f>IF(B$17=0,0,G10/B$17)</f>
        <v>5.4054054054054057E-2</v>
      </c>
      <c r="I10" s="56">
        <v>25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0.6</v>
      </c>
      <c r="E11" s="33" t="s">
        <v>59</v>
      </c>
      <c r="F11" s="30" t="s">
        <v>23</v>
      </c>
      <c r="G11" s="13">
        <v>2</v>
      </c>
      <c r="H11" s="94">
        <f>IF(B$17=0,0,G11/B$17)</f>
        <v>5.4054054054054057E-2</v>
      </c>
      <c r="I11" s="56">
        <v>26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2</v>
      </c>
      <c r="H12" s="94">
        <f>IF(B$17=0,0,G12/B$17)</f>
        <v>5.4054054054054057E-2</v>
      </c>
      <c r="I12" s="56">
        <v>9</v>
      </c>
      <c r="K12" s="5">
        <v>10</v>
      </c>
      <c r="L12" s="61">
        <v>179.8</v>
      </c>
      <c r="N12" s="75" t="s">
        <v>126</v>
      </c>
      <c r="O12" s="85">
        <f>IF(P12=0,0,Q12/P12)</f>
        <v>36.15</v>
      </c>
      <c r="P12" s="79">
        <v>4</v>
      </c>
      <c r="Q12" s="67">
        <v>144.6</v>
      </c>
    </row>
    <row r="13" spans="1:17">
      <c r="A13" s="22" t="s">
        <v>97</v>
      </c>
      <c r="B13" s="15">
        <v>35</v>
      </c>
      <c r="C13" s="11">
        <f>IF(B$3=0,0,B13/B$3)</f>
        <v>0.25362318840579712</v>
      </c>
      <c r="E13" s="33" t="s">
        <v>61</v>
      </c>
      <c r="F13" s="30" t="s">
        <v>25</v>
      </c>
      <c r="G13" s="13">
        <v>1</v>
      </c>
      <c r="H13" s="94">
        <f>IF(B$17=0,0,G13/B$17)</f>
        <v>2.7027027027027029E-2</v>
      </c>
      <c r="I13" s="56">
        <v>5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23</v>
      </c>
      <c r="C14" s="6">
        <f>IF(B$3=0,0,B14/B$3)</f>
        <v>0.16666666666666666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8</v>
      </c>
      <c r="K14" s="5">
        <v>12</v>
      </c>
      <c r="L14" s="61">
        <v>133.9</v>
      </c>
      <c r="N14" s="76" t="s">
        <v>128</v>
      </c>
      <c r="O14" s="86">
        <f>IF(P14=0,0,Q14/P14)</f>
        <v>6.6750000000000007</v>
      </c>
      <c r="P14" s="80">
        <v>4</v>
      </c>
      <c r="Q14" s="68">
        <v>26.700000000000003</v>
      </c>
    </row>
    <row r="15" spans="1:17">
      <c r="A15" s="18" t="s">
        <v>99</v>
      </c>
      <c r="B15" s="12">
        <f>B21</f>
        <v>24</v>
      </c>
      <c r="C15" s="4">
        <f>IF(B$13=0,0,B15/B$13)</f>
        <v>0.68571428571428572</v>
      </c>
      <c r="E15" s="33" t="s">
        <v>183</v>
      </c>
      <c r="F15" s="30" t="s">
        <v>186</v>
      </c>
      <c r="G15" s="13">
        <v>1</v>
      </c>
      <c r="H15" s="94">
        <f>IF(B$17=0,0,G15/B$17)</f>
        <v>2.7027027027027029E-2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7.7833333333333341</v>
      </c>
      <c r="P15" s="81">
        <v>6</v>
      </c>
      <c r="Q15" s="69">
        <v>46.7</v>
      </c>
    </row>
    <row r="16" spans="1:17">
      <c r="A16" s="18" t="s">
        <v>100</v>
      </c>
      <c r="B16" s="12">
        <f>B22</f>
        <v>11</v>
      </c>
      <c r="C16" s="4">
        <f>IF(B$14=0,0,B16/B$14)</f>
        <v>0.47826086956521741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0.26811594202898553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9.420289855072464E-2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115.9</v>
      </c>
      <c r="N18" s="75" t="s">
        <v>241</v>
      </c>
      <c r="O18" s="85">
        <f>IF(P18=0,0,Q18/P18)</f>
        <v>94.1</v>
      </c>
      <c r="P18" s="79">
        <v>1</v>
      </c>
      <c r="Q18" s="67">
        <v>94.1</v>
      </c>
    </row>
    <row r="19" spans="1:17">
      <c r="A19" s="19" t="s">
        <v>12</v>
      </c>
      <c r="B19" s="13">
        <v>14</v>
      </c>
      <c r="C19" s="6">
        <f>IF(B$17=0,0,B19/B$17)</f>
        <v>0.3783783783783784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235</v>
      </c>
      <c r="O19" s="86">
        <f>IF(P19=0,0,Q19/P19)</f>
        <v>62.524999999999999</v>
      </c>
      <c r="P19" s="80">
        <v>4</v>
      </c>
      <c r="Q19" s="68">
        <v>250.1</v>
      </c>
    </row>
    <row r="20" spans="1:17">
      <c r="A20" s="19" t="s">
        <v>11</v>
      </c>
      <c r="B20" s="13">
        <v>23</v>
      </c>
      <c r="C20" s="6">
        <f>IF(B$17=0,0,B20/B$17)</f>
        <v>0.6216216216216216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>IF(P20=0,0,Q20/P20)</f>
        <v>58.742857142857133</v>
      </c>
      <c r="P20" s="80">
        <v>7</v>
      </c>
      <c r="Q20" s="68">
        <v>411.19999999999993</v>
      </c>
    </row>
    <row r="21" spans="1:17">
      <c r="A21" s="19" t="s">
        <v>151</v>
      </c>
      <c r="B21" s="13">
        <v>24</v>
      </c>
      <c r="C21" s="6">
        <f>IF(B$17=0,0,B21/B$17)</f>
        <v>0.64864864864864868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166.70000000000002</v>
      </c>
      <c r="N21" s="76" t="s">
        <v>255</v>
      </c>
      <c r="O21" s="86">
        <f>IF(P21=0,0,Q21/P21)</f>
        <v>38.620000000000005</v>
      </c>
      <c r="P21" s="80">
        <v>5</v>
      </c>
      <c r="Q21" s="68">
        <v>193.10000000000002</v>
      </c>
    </row>
    <row r="22" spans="1:17">
      <c r="A22" s="19" t="s">
        <v>149</v>
      </c>
      <c r="B22" s="13">
        <v>11</v>
      </c>
      <c r="C22" s="6">
        <f>IF(B$17=0,0,B22/B$17)</f>
        <v>0.29729729729729731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272</v>
      </c>
      <c r="O22" s="86">
        <f>IF(P22=0,0,Q22/P22)</f>
        <v>28.25</v>
      </c>
      <c r="P22" s="80">
        <v>8</v>
      </c>
      <c r="Q22" s="68">
        <v>226</v>
      </c>
    </row>
    <row r="23" spans="1:17">
      <c r="A23" s="19" t="s">
        <v>150</v>
      </c>
      <c r="B23" s="13">
        <v>2</v>
      </c>
      <c r="C23" s="6">
        <f>IF(B$17=0,0,B23/B$17)</f>
        <v>5.4054054054054057E-2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277</v>
      </c>
      <c r="O23" s="86">
        <f>IF(P23=0,0,Q23/P23)</f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6075.6756756756758</v>
      </c>
      <c r="C24" s="8">
        <v>224800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213</v>
      </c>
      <c r="O24" s="86">
        <f>IF(P24=0,0,Q24/P24)</f>
        <v>20.099999999999998</v>
      </c>
      <c r="P24" s="80">
        <v>1</v>
      </c>
      <c r="Q24" s="68">
        <v>20.099999999999998</v>
      </c>
    </row>
    <row r="25" spans="1:17">
      <c r="A25" s="20" t="s">
        <v>133</v>
      </c>
      <c r="B25" s="97">
        <f>IF($B$17-B$16=0,0,C25/($B$17-B$16))</f>
        <v>7542.3076923076924</v>
      </c>
      <c r="C25" s="98">
        <v>196100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262</v>
      </c>
      <c r="O25" s="86">
        <f>IF(P25=0,0,Q25/P25)</f>
        <v>18.400000000000002</v>
      </c>
      <c r="P25" s="80">
        <v>2</v>
      </c>
      <c r="Q25" s="68">
        <v>36.800000000000004</v>
      </c>
    </row>
    <row r="26" spans="1:17">
      <c r="A26" s="20" t="s">
        <v>134</v>
      </c>
      <c r="B26" s="97">
        <f>IF(B$16=0,0,C26/B$16)</f>
        <v>2609.090909090909</v>
      </c>
      <c r="C26" s="98">
        <v>28700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195</v>
      </c>
      <c r="O26" s="86">
        <f>IF(P26=0,0,Q26/P26)</f>
        <v>12.028571428571427</v>
      </c>
      <c r="P26" s="80">
        <v>7</v>
      </c>
      <c r="Q26" s="68">
        <v>84.199999999999989</v>
      </c>
    </row>
    <row r="27" spans="1:17">
      <c r="A27" s="20" t="s">
        <v>132</v>
      </c>
      <c r="B27" s="97">
        <f>IF(B$18=0,0,C27/B$18)</f>
        <v>-5423.0769230769229</v>
      </c>
      <c r="C27" s="98">
        <v>-70500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169</v>
      </c>
      <c r="O27" s="86">
        <f>IF(P27=0,0,Q27/P27)</f>
        <v>8.1000000000000032</v>
      </c>
      <c r="P27" s="80">
        <v>2</v>
      </c>
      <c r="Q27" s="68">
        <v>16.200000000000006</v>
      </c>
    </row>
    <row r="28" spans="1:17">
      <c r="A28" s="19" t="s">
        <v>130</v>
      </c>
      <c r="B28" s="13">
        <v>3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276</v>
      </c>
      <c r="O28" s="86">
        <f>IF(P28=0,0,Q28/P28)</f>
        <v>5.9750000000000014</v>
      </c>
      <c r="P28" s="80">
        <v>4</v>
      </c>
      <c r="Q28" s="68">
        <v>23.900000000000006</v>
      </c>
    </row>
    <row r="29" spans="1:17">
      <c r="A29" s="19" t="s">
        <v>131</v>
      </c>
      <c r="B29" s="13">
        <v>23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263</v>
      </c>
      <c r="O29" s="86">
        <f>IF(P29=0,0,Q29/P29)</f>
        <v>-19.36666666666666</v>
      </c>
      <c r="P29" s="80">
        <v>9</v>
      </c>
      <c r="Q29" s="68">
        <v>-174.29999999999995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264</v>
      </c>
      <c r="O30" s="86">
        <f>IF(P30=0,0,Q30/P30)</f>
        <v>-29.150000000000006</v>
      </c>
      <c r="P30" s="80">
        <v>2</v>
      </c>
      <c r="Q30" s="68">
        <v>-58.300000000000011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268</v>
      </c>
      <c r="O31" s="86">
        <f>IF(P31=0,0,Q31/P31)</f>
        <v>-49.4</v>
      </c>
      <c r="P31" s="80">
        <v>1</v>
      </c>
      <c r="Q31" s="68">
        <v>-49.4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>IF(P32=0,0,Q32/P32)</f>
        <v>-68.8</v>
      </c>
      <c r="P32" s="80">
        <v>1</v>
      </c>
      <c r="Q32" s="68">
        <v>-68.8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244</v>
      </c>
      <c r="O33" s="86">
        <f>IF(P33=0,0,Q33/P33)</f>
        <v>-99.8</v>
      </c>
      <c r="P33" s="80">
        <v>1</v>
      </c>
      <c r="Q33" s="68">
        <v>-99.8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5</v>
      </c>
      <c r="C35" s="102">
        <f t="shared" ref="C35:C47" si="3">IF(B$17=0,0,B35/B$17)</f>
        <v>0.13513513513513514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3"/>
        <v>0.27027027027027029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3"/>
        <v>0.13513513513513514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8</v>
      </c>
      <c r="C38" s="6">
        <f t="shared" si="3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3"/>
        <v>0.13513513513513514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3"/>
        <v>8.1081081081081086E-2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3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29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12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26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31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181</v>
      </c>
      <c r="F2" s="29" t="s">
        <v>156</v>
      </c>
      <c r="G2" s="12">
        <v>25</v>
      </c>
      <c r="H2" s="93">
        <f>IF(B$17=0,0,G2/B$17)</f>
        <v>0.52083333333333337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2068.181818181818</v>
      </c>
      <c r="P2" s="79">
        <v>22</v>
      </c>
      <c r="Q2" s="63">
        <v>45500</v>
      </c>
    </row>
    <row r="3" spans="1:17">
      <c r="A3" s="19" t="s">
        <v>8</v>
      </c>
      <c r="B3" s="122">
        <v>171</v>
      </c>
      <c r="C3" s="123"/>
      <c r="E3" s="33" t="s">
        <v>184</v>
      </c>
      <c r="F3" s="30" t="s">
        <v>187</v>
      </c>
      <c r="G3" s="13">
        <v>24</v>
      </c>
      <c r="H3" s="94">
        <f>IF(B$17=0,0,G3/B$17)</f>
        <v>0.5</v>
      </c>
      <c r="I3" s="56">
        <v>11</v>
      </c>
      <c r="K3" s="5">
        <v>1</v>
      </c>
      <c r="L3" s="61">
        <v>10.3</v>
      </c>
      <c r="N3" s="76" t="s">
        <v>104</v>
      </c>
      <c r="O3" s="83">
        <f t="shared" si="0"/>
        <v>431.81818181818181</v>
      </c>
      <c r="P3" s="80">
        <v>22</v>
      </c>
      <c r="Q3" s="64">
        <v>9500</v>
      </c>
    </row>
    <row r="4" spans="1:17">
      <c r="A4" s="19" t="s">
        <v>6</v>
      </c>
      <c r="B4" s="124">
        <v>292.59999999999997</v>
      </c>
      <c r="C4" s="125"/>
      <c r="E4" s="33" t="s">
        <v>60</v>
      </c>
      <c r="F4" s="30" t="s">
        <v>24</v>
      </c>
      <c r="G4" s="13">
        <v>17</v>
      </c>
      <c r="H4" s="94">
        <f>IF(B$17=0,0,G4/B$17)</f>
        <v>0.35416666666666669</v>
      </c>
      <c r="I4" s="56">
        <v>21</v>
      </c>
      <c r="K4" s="5">
        <v>2</v>
      </c>
      <c r="L4" s="61">
        <v>-11.7</v>
      </c>
      <c r="N4" s="76" t="s">
        <v>105</v>
      </c>
      <c r="O4" s="83">
        <f t="shared" si="0"/>
        <v>-231.81818181818181</v>
      </c>
      <c r="P4" s="80">
        <v>22</v>
      </c>
      <c r="Q4" s="64">
        <v>-5100</v>
      </c>
    </row>
    <row r="5" spans="1:17">
      <c r="A5" s="19" t="s">
        <v>7</v>
      </c>
      <c r="B5" s="126">
        <f>IF(B$2=0,0,B$4/B$2)</f>
        <v>13.299999999999999</v>
      </c>
      <c r="C5" s="127"/>
      <c r="E5" s="33" t="s">
        <v>54</v>
      </c>
      <c r="F5" s="30" t="s">
        <v>20</v>
      </c>
      <c r="G5" s="13">
        <v>15</v>
      </c>
      <c r="H5" s="94">
        <f>IF(B$17=0,0,G5/B$17)</f>
        <v>0.3125</v>
      </c>
      <c r="I5" s="56">
        <v>26</v>
      </c>
      <c r="K5" s="5">
        <v>3</v>
      </c>
      <c r="L5" s="61">
        <v>-4.8999999999999995</v>
      </c>
      <c r="N5" s="76" t="s">
        <v>157</v>
      </c>
      <c r="O5" s="83">
        <f>IF(P5=0,0,Q5/P5)</f>
        <v>910.52631578947364</v>
      </c>
      <c r="P5" s="80">
        <v>19</v>
      </c>
      <c r="Q5" s="64">
        <v>17300</v>
      </c>
    </row>
    <row r="6" spans="1:17">
      <c r="A6" s="19" t="s">
        <v>1</v>
      </c>
      <c r="B6" s="128">
        <f>IF(B$2=0,0,(B$7*1+B$8*2+B$9*3+B$10*4)/B$2)</f>
        <v>2.0909090909090908</v>
      </c>
      <c r="C6" s="129"/>
      <c r="E6" s="33" t="s">
        <v>56</v>
      </c>
      <c r="F6" s="30" t="s">
        <v>185</v>
      </c>
      <c r="G6" s="13">
        <v>15</v>
      </c>
      <c r="H6" s="94">
        <f>IF(B$17=0,0,G6/B$17)</f>
        <v>0.3125</v>
      </c>
      <c r="I6" s="56">
        <v>18</v>
      </c>
      <c r="K6" s="5">
        <v>4</v>
      </c>
      <c r="L6" s="61">
        <v>43.2</v>
      </c>
      <c r="N6" s="76" t="s">
        <v>106</v>
      </c>
      <c r="O6" s="83">
        <f t="shared" ref="O6" si="1">IF(P6=0,0,Q6/P6)</f>
        <v>1161.1111111111111</v>
      </c>
      <c r="P6" s="80">
        <v>18</v>
      </c>
      <c r="Q6" s="64">
        <v>20900</v>
      </c>
    </row>
    <row r="7" spans="1:17">
      <c r="A7" s="19" t="s">
        <v>2</v>
      </c>
      <c r="B7" s="13">
        <v>7</v>
      </c>
      <c r="C7" s="6">
        <f t="shared" ref="C7:C12" si="2">IF(B$2=0,0,B7/B$2)</f>
        <v>0.31818181818181818</v>
      </c>
      <c r="E7" s="33" t="s">
        <v>59</v>
      </c>
      <c r="F7" s="30" t="s">
        <v>23</v>
      </c>
      <c r="G7" s="13">
        <v>10</v>
      </c>
      <c r="H7" s="94">
        <f>IF(B$17=0,0,G7/B$17)</f>
        <v>0.20833333333333334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1453.8461538461538</v>
      </c>
      <c r="P7" s="80">
        <v>13</v>
      </c>
      <c r="Q7" s="64">
        <v>18900</v>
      </c>
    </row>
    <row r="8" spans="1:17">
      <c r="A8" s="19" t="s">
        <v>3</v>
      </c>
      <c r="B8" s="13">
        <v>8</v>
      </c>
      <c r="C8" s="6">
        <f>IF(B$2=0,0,B8/B$2)</f>
        <v>0.36363636363636365</v>
      </c>
      <c r="E8" s="33" t="s">
        <v>182</v>
      </c>
      <c r="F8" s="30" t="s">
        <v>19</v>
      </c>
      <c r="G8" s="13">
        <v>9</v>
      </c>
      <c r="H8" s="94">
        <f>IF(B$17=0,0,G8/B$17)</f>
        <v>0.1875</v>
      </c>
      <c r="I8" s="56">
        <v>8</v>
      </c>
      <c r="K8" s="5">
        <v>6</v>
      </c>
      <c r="L8" s="61">
        <v>44.5</v>
      </c>
      <c r="N8" s="76" t="s">
        <v>108</v>
      </c>
      <c r="O8" s="83">
        <f t="shared" si="0"/>
        <v>-2330</v>
      </c>
      <c r="P8" s="80">
        <v>10</v>
      </c>
      <c r="Q8" s="64">
        <v>-23300</v>
      </c>
    </row>
    <row r="9" spans="1:17">
      <c r="A9" s="20" t="s">
        <v>4</v>
      </c>
      <c r="B9" s="14">
        <v>5</v>
      </c>
      <c r="C9" s="7">
        <f>IF(B$2=0,0,B9/B$2)</f>
        <v>0.22727272727272727</v>
      </c>
      <c r="E9" s="33" t="s">
        <v>55</v>
      </c>
      <c r="F9" s="30" t="s">
        <v>155</v>
      </c>
      <c r="G9" s="13">
        <v>9</v>
      </c>
      <c r="H9" s="94">
        <f>IF(B$17=0,0,G9/B$17)</f>
        <v>0.1875</v>
      </c>
      <c r="I9" s="56">
        <v>25</v>
      </c>
      <c r="K9" s="5">
        <v>7</v>
      </c>
      <c r="L9" s="61">
        <v>108.6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9.0909090909090912E-2</v>
      </c>
      <c r="E10" s="33" t="s">
        <v>57</v>
      </c>
      <c r="F10" s="30" t="s">
        <v>21</v>
      </c>
      <c r="G10" s="13">
        <v>9</v>
      </c>
      <c r="H10" s="94">
        <f>IF(B$17=0,0,G10/B$17)</f>
        <v>0.1875</v>
      </c>
      <c r="I10" s="56">
        <v>22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0.68181818181818177</v>
      </c>
      <c r="E11" s="33" t="s">
        <v>183</v>
      </c>
      <c r="F11" s="30" t="s">
        <v>186</v>
      </c>
      <c r="G11" s="13">
        <v>2</v>
      </c>
      <c r="H11" s="94">
        <f>IF(B$17=0,0,G11/B$17)</f>
        <v>4.1666666666666664E-2</v>
      </c>
      <c r="I11" s="56">
        <v>10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2.0833333333333332E-2</v>
      </c>
      <c r="I12" s="56">
        <v>24</v>
      </c>
      <c r="K12" s="5">
        <v>10</v>
      </c>
      <c r="L12" s="61">
        <v>9.6999999999999886</v>
      </c>
      <c r="N12" s="75" t="s">
        <v>126</v>
      </c>
      <c r="O12" s="85">
        <f>IF(P12=0,0,Q12/P12)</f>
        <v>14.669230769230769</v>
      </c>
      <c r="P12" s="79">
        <v>13</v>
      </c>
      <c r="Q12" s="67">
        <v>190.7</v>
      </c>
    </row>
    <row r="13" spans="1:17">
      <c r="A13" s="22" t="s">
        <v>97</v>
      </c>
      <c r="B13" s="15">
        <v>35</v>
      </c>
      <c r="C13" s="11">
        <f>IF(B$3=0,0,B13/B$3)</f>
        <v>0.2046783625730994</v>
      </c>
      <c r="E13" s="33" t="s">
        <v>61</v>
      </c>
      <c r="F13" s="30" t="s">
        <v>25</v>
      </c>
      <c r="G13" s="13">
        <v>1</v>
      </c>
      <c r="H13" s="94">
        <f>IF(B$17=0,0,G13/B$17)</f>
        <v>2.0833333333333332E-2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12.824999999999999</v>
      </c>
      <c r="P13" s="80">
        <v>4</v>
      </c>
      <c r="Q13" s="68">
        <v>51.3</v>
      </c>
    </row>
    <row r="14" spans="1:17">
      <c r="A14" s="19" t="s">
        <v>94</v>
      </c>
      <c r="B14" s="13">
        <v>41</v>
      </c>
      <c r="C14" s="6">
        <f>IF(B$3=0,0,B14/B$3)</f>
        <v>0.23976608187134502</v>
      </c>
      <c r="E14" s="33" t="s">
        <v>71</v>
      </c>
      <c r="F14" s="30" t="s">
        <v>35</v>
      </c>
      <c r="G14" s="13">
        <v>1</v>
      </c>
      <c r="H14" s="94">
        <f>IF(B$17=0,0,G14/B$17)</f>
        <v>2.0833333333333332E-2</v>
      </c>
      <c r="I14" s="56">
        <v>13</v>
      </c>
      <c r="K14" s="5">
        <v>12</v>
      </c>
      <c r="L14" s="61">
        <v>-33.300000000000011</v>
      </c>
      <c r="N14" s="76" t="s">
        <v>128</v>
      </c>
      <c r="O14" s="86">
        <f>IF(P14=0,0,Q14/P14)</f>
        <v>12.366666666666669</v>
      </c>
      <c r="P14" s="80">
        <v>3</v>
      </c>
      <c r="Q14" s="68">
        <v>37.100000000000009</v>
      </c>
    </row>
    <row r="15" spans="1:17">
      <c r="A15" s="18" t="s">
        <v>99</v>
      </c>
      <c r="B15" s="12">
        <f>B21</f>
        <v>25</v>
      </c>
      <c r="C15" s="4">
        <f>IF(B$13=0,0,B15/B$13)</f>
        <v>0.7142857142857143</v>
      </c>
      <c r="E15" s="33" t="s">
        <v>77</v>
      </c>
      <c r="F15" s="30" t="s">
        <v>41</v>
      </c>
      <c r="G15" s="13">
        <v>1</v>
      </c>
      <c r="H15" s="94">
        <f>IF(B$17=0,0,G15/B$17)</f>
        <v>2.0833333333333332E-2</v>
      </c>
      <c r="I15" s="56">
        <v>16</v>
      </c>
      <c r="K15" s="5">
        <v>13</v>
      </c>
      <c r="L15" s="61">
        <v>27.699999999999989</v>
      </c>
      <c r="N15" s="77" t="s">
        <v>159</v>
      </c>
      <c r="O15" s="87">
        <f>IF(P15=0,0,Q15/P15)</f>
        <v>6.75</v>
      </c>
      <c r="P15" s="81">
        <v>2</v>
      </c>
      <c r="Q15" s="69">
        <v>13.5</v>
      </c>
    </row>
    <row r="16" spans="1:17">
      <c r="A16" s="18" t="s">
        <v>100</v>
      </c>
      <c r="B16" s="12">
        <f>B22</f>
        <v>18</v>
      </c>
      <c r="C16" s="4">
        <f>IF(B$14=0,0,B16/B$14)</f>
        <v>0.43902439024390244</v>
      </c>
      <c r="E16" s="33" t="s">
        <v>78</v>
      </c>
      <c r="F16" s="30" t="s">
        <v>42</v>
      </c>
      <c r="G16" s="13">
        <v>1</v>
      </c>
      <c r="H16" s="94">
        <f>IF(B$17=0,0,G16/B$17)</f>
        <v>2.0833333333333332E-2</v>
      </c>
      <c r="I16" s="56">
        <v>6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48</v>
      </c>
      <c r="C17" s="4">
        <f>IF(B$3=0,0,B17/B$3)</f>
        <v>0.2807017543859649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9.9415204678362568E-2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159.69999999999999</v>
      </c>
      <c r="N18" s="75" t="s">
        <v>277</v>
      </c>
      <c r="O18" s="85">
        <f>IF(P18=0,0,Q18/P18)</f>
        <v>59.8</v>
      </c>
      <c r="P18" s="79">
        <v>4</v>
      </c>
      <c r="Q18" s="67">
        <v>239.2</v>
      </c>
    </row>
    <row r="19" spans="1:17">
      <c r="A19" s="19" t="s">
        <v>12</v>
      </c>
      <c r="B19" s="13">
        <v>18</v>
      </c>
      <c r="C19" s="6">
        <f>IF(B$17=0,0,B19/B$17)</f>
        <v>0.375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164.89999999999998</v>
      </c>
      <c r="N19" s="76" t="s">
        <v>269</v>
      </c>
      <c r="O19" s="86">
        <f>IF(P19=0,0,Q19/P19)</f>
        <v>59.5</v>
      </c>
      <c r="P19" s="80">
        <v>3</v>
      </c>
      <c r="Q19" s="68">
        <v>178.5</v>
      </c>
    </row>
    <row r="20" spans="1:17">
      <c r="A20" s="19" t="s">
        <v>11</v>
      </c>
      <c r="B20" s="13">
        <v>30</v>
      </c>
      <c r="C20" s="6">
        <f>IF(B$17=0,0,B20/B$17)</f>
        <v>0.625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145.99999999999997</v>
      </c>
      <c r="N20" s="76" t="s">
        <v>195</v>
      </c>
      <c r="O20" s="86">
        <f>IF(P20=0,0,Q20/P20)</f>
        <v>41.375</v>
      </c>
      <c r="P20" s="80">
        <v>4</v>
      </c>
      <c r="Q20" s="68">
        <v>165.5</v>
      </c>
    </row>
    <row r="21" spans="1:17">
      <c r="A21" s="19" t="s">
        <v>151</v>
      </c>
      <c r="B21" s="13">
        <v>25</v>
      </c>
      <c r="C21" s="6">
        <f>IF(B$17=0,0,B21/B$17)</f>
        <v>0.52083333333333337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152.69999999999996</v>
      </c>
      <c r="N21" s="76" t="s">
        <v>258</v>
      </c>
      <c r="O21" s="86">
        <f>IF(P21=0,0,Q21/P21)</f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18</v>
      </c>
      <c r="C22" s="6">
        <f>IF(B$17=0,0,B22/B$17)</f>
        <v>0.375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162.19999999999996</v>
      </c>
      <c r="N22" s="76" t="s">
        <v>272</v>
      </c>
      <c r="O22" s="86">
        <f>IF(P22=0,0,Q22/P22)</f>
        <v>22.96</v>
      </c>
      <c r="P22" s="80">
        <v>10</v>
      </c>
      <c r="Q22" s="68">
        <v>229.60000000000002</v>
      </c>
    </row>
    <row r="23" spans="1:17">
      <c r="A23" s="19" t="s">
        <v>150</v>
      </c>
      <c r="B23" s="13">
        <v>5</v>
      </c>
      <c r="C23" s="6">
        <f>IF(B$17=0,0,B23/B$17)</f>
        <v>0.10416666666666667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230.49999999999994</v>
      </c>
      <c r="N23" s="76" t="s">
        <v>235</v>
      </c>
      <c r="O23" s="86">
        <f>IF(P23=0,0,Q23/P23)</f>
        <v>20.3</v>
      </c>
      <c r="P23" s="80">
        <v>5</v>
      </c>
      <c r="Q23" s="68">
        <v>101.5</v>
      </c>
    </row>
    <row r="24" spans="1:17">
      <c r="A24" s="19" t="s">
        <v>5</v>
      </c>
      <c r="B24" s="16">
        <f>IF(B$17=0,0,C24/B$17)</f>
        <v>5664.583333333333</v>
      </c>
      <c r="C24" s="8">
        <v>271900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9</v>
      </c>
      <c r="K24" s="5">
        <v>22</v>
      </c>
      <c r="L24" s="61">
        <v>292.59999999999997</v>
      </c>
      <c r="N24" s="76" t="s">
        <v>265</v>
      </c>
      <c r="O24" s="86">
        <f>IF(P24=0,0,Q24/P24)</f>
        <v>19.366666666666664</v>
      </c>
      <c r="P24" s="80">
        <v>9</v>
      </c>
      <c r="Q24" s="68">
        <v>174.29999999999998</v>
      </c>
    </row>
    <row r="25" spans="1:17">
      <c r="A25" s="20" t="s">
        <v>133</v>
      </c>
      <c r="B25" s="97">
        <f>IF($B$17-B$16=0,0,C25/($B$17-B$16))</f>
        <v>6970</v>
      </c>
      <c r="C25" s="98">
        <v>209100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262</v>
      </c>
      <c r="O25" s="86">
        <f>IF(P25=0,0,Q25/P25)</f>
        <v>18.100000000000001</v>
      </c>
      <c r="P25" s="80">
        <v>3</v>
      </c>
      <c r="Q25" s="68">
        <v>54.300000000000004</v>
      </c>
    </row>
    <row r="26" spans="1:17">
      <c r="A26" s="20" t="s">
        <v>134</v>
      </c>
      <c r="B26" s="97">
        <f>IF(B$16=0,0,C26/B$16)</f>
        <v>3488.8888888888887</v>
      </c>
      <c r="C26" s="98">
        <v>62800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238</v>
      </c>
      <c r="O26" s="86">
        <f>IF(P26=0,0,Q26/P26)</f>
        <v>16.433333333333334</v>
      </c>
      <c r="P26" s="80">
        <v>3</v>
      </c>
      <c r="Q26" s="68">
        <v>49.300000000000004</v>
      </c>
    </row>
    <row r="27" spans="1:17">
      <c r="A27" s="20" t="s">
        <v>132</v>
      </c>
      <c r="B27" s="97">
        <f>IF(B$18=0,0,C27/B$18)</f>
        <v>-5041.1764705882351</v>
      </c>
      <c r="C27" s="98">
        <v>-85700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244</v>
      </c>
      <c r="O27" s="86">
        <f>IF(P27=0,0,Q27/P27)</f>
        <v>5.333333333333333</v>
      </c>
      <c r="P27" s="80">
        <v>3</v>
      </c>
      <c r="Q27" s="68">
        <v>16</v>
      </c>
    </row>
    <row r="28" spans="1:17">
      <c r="A28" s="19" t="s">
        <v>130</v>
      </c>
      <c r="B28" s="13">
        <v>3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15</v>
      </c>
      <c r="N28" s="76" t="s">
        <v>255</v>
      </c>
      <c r="O28" s="86">
        <f>IF(P28=0,0,Q28/P28)</f>
        <v>3.6999999999999993</v>
      </c>
      <c r="P28" s="80">
        <v>5</v>
      </c>
      <c r="Q28" s="68">
        <v>18.499999999999996</v>
      </c>
    </row>
    <row r="29" spans="1:17">
      <c r="A29" s="19" t="s">
        <v>131</v>
      </c>
      <c r="B29" s="13">
        <v>30</v>
      </c>
      <c r="C29" s="96">
        <v>7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>IF(P29=0,0,Q29/P29)</f>
        <v>-2.0833333333333335</v>
      </c>
      <c r="P29" s="80">
        <v>6</v>
      </c>
      <c r="Q29" s="68">
        <v>-12.5</v>
      </c>
    </row>
    <row r="30" spans="1:17">
      <c r="A30" s="52" t="s">
        <v>111</v>
      </c>
      <c r="B30" s="114">
        <v>3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N30" s="76" t="s">
        <v>228</v>
      </c>
      <c r="O30" s="86">
        <f>IF(P30=0,0,Q30/P30)</f>
        <v>-2.7499999999999964</v>
      </c>
      <c r="P30" s="80">
        <v>2</v>
      </c>
      <c r="Q30" s="68">
        <v>-5.4999999999999929</v>
      </c>
    </row>
    <row r="31" spans="1:17">
      <c r="A31" s="22" t="s">
        <v>148</v>
      </c>
      <c r="B31" s="116">
        <v>48300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276</v>
      </c>
      <c r="O31" s="86">
        <f>IF(P31=0,0,Q31/P31)</f>
        <v>-15.140000000000004</v>
      </c>
      <c r="P31" s="80">
        <v>5</v>
      </c>
      <c r="Q31" s="68">
        <v>-75.700000000000017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>IF(P32=0,0,Q32/P32)</f>
        <v>-45.3</v>
      </c>
      <c r="P32" s="80">
        <v>1</v>
      </c>
      <c r="Q32" s="68">
        <v>-45.3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3">IF(B$17=0,0,B35/B$17)</f>
        <v>0.14583333333333334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11</v>
      </c>
      <c r="C36" s="6">
        <f t="shared" si="3"/>
        <v>0.22916666666666666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15</v>
      </c>
      <c r="C37" s="6">
        <f t="shared" si="3"/>
        <v>0.3125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8</v>
      </c>
      <c r="C39" s="6">
        <f t="shared" si="3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4.1666666666666664E-2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14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28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28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-1753.8461538461538</v>
      </c>
      <c r="P2" s="79">
        <v>13</v>
      </c>
      <c r="Q2" s="63">
        <v>-22800</v>
      </c>
    </row>
    <row r="3" spans="1:17">
      <c r="A3" s="19" t="s">
        <v>8</v>
      </c>
      <c r="B3" s="122">
        <v>83</v>
      </c>
      <c r="C3" s="123"/>
      <c r="E3" s="33" t="s">
        <v>54</v>
      </c>
      <c r="F3" s="30" t="s">
        <v>20</v>
      </c>
      <c r="G3" s="13">
        <v>4</v>
      </c>
      <c r="H3" s="94">
        <f>IF(B$17=0,0,G3/B$17)</f>
        <v>0.5</v>
      </c>
      <c r="I3" s="56">
        <v>19</v>
      </c>
      <c r="K3" s="5">
        <v>1</v>
      </c>
      <c r="L3" s="61">
        <v>-47.4</v>
      </c>
      <c r="N3" s="76" t="s">
        <v>104</v>
      </c>
      <c r="O3" s="83">
        <f t="shared" si="0"/>
        <v>-1176.9230769230769</v>
      </c>
      <c r="P3" s="80">
        <v>13</v>
      </c>
      <c r="Q3" s="64">
        <v>-15300</v>
      </c>
    </row>
    <row r="4" spans="1:17">
      <c r="A4" s="19" t="s">
        <v>6</v>
      </c>
      <c r="B4" s="124">
        <v>-418.30000000000007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</v>
      </c>
      <c r="I4" s="56">
        <v>1</v>
      </c>
      <c r="K4" s="5">
        <v>2</v>
      </c>
      <c r="L4" s="61">
        <v>-73.2</v>
      </c>
      <c r="N4" s="76" t="s">
        <v>105</v>
      </c>
      <c r="O4" s="83">
        <f t="shared" si="0"/>
        <v>-4741.666666666667</v>
      </c>
      <c r="P4" s="80">
        <v>12</v>
      </c>
      <c r="Q4" s="64">
        <v>-56900</v>
      </c>
    </row>
    <row r="5" spans="1:17">
      <c r="A5" s="19" t="s">
        <v>7</v>
      </c>
      <c r="B5" s="126">
        <f>IF(B$2=0,0,B$4/B$2)</f>
        <v>-32.176923076923082</v>
      </c>
      <c r="C5" s="127"/>
      <c r="E5" s="33" t="s">
        <v>57</v>
      </c>
      <c r="F5" s="30" t="s">
        <v>21</v>
      </c>
      <c r="G5" s="13">
        <v>3</v>
      </c>
      <c r="H5" s="94">
        <f>IF(B$17=0,0,G5/B$17)</f>
        <v>0.375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-1200</v>
      </c>
      <c r="P5" s="80">
        <v>11</v>
      </c>
      <c r="Q5" s="64">
        <v>-13200</v>
      </c>
    </row>
    <row r="6" spans="1:17">
      <c r="A6" s="19" t="s">
        <v>1</v>
      </c>
      <c r="B6" s="128">
        <f>IF(B$2=0,0,(B$7*1+B$8*2+B$9*3+B$10*4)/B$2)</f>
        <v>3.4615384615384617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0.375</v>
      </c>
      <c r="I6" s="56">
        <v>24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1033.3333333333333</v>
      </c>
      <c r="P6" s="80">
        <v>6</v>
      </c>
      <c r="Q6" s="64">
        <v>6200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0.25</v>
      </c>
      <c r="I7" s="56">
        <v>12</v>
      </c>
      <c r="K7" s="5">
        <v>5</v>
      </c>
      <c r="L7" s="61">
        <v>-164.8</v>
      </c>
      <c r="N7" s="76" t="s">
        <v>107</v>
      </c>
      <c r="O7" s="83">
        <f t="shared" si="0"/>
        <v>-325</v>
      </c>
      <c r="P7" s="80">
        <v>4</v>
      </c>
      <c r="Q7" s="64">
        <v>-1300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58</v>
      </c>
      <c r="F8" s="30" t="s">
        <v>22</v>
      </c>
      <c r="G8" s="13">
        <v>2</v>
      </c>
      <c r="H8" s="94">
        <f>IF(B$17=0,0,G8/B$17)</f>
        <v>0.25</v>
      </c>
      <c r="I8" s="56">
        <v>1</v>
      </c>
      <c r="K8" s="5">
        <v>6</v>
      </c>
      <c r="L8" s="61">
        <v>-206.20000000000002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182</v>
      </c>
      <c r="F9" s="30" t="s">
        <v>19</v>
      </c>
      <c r="G9" s="13">
        <v>1</v>
      </c>
      <c r="H9" s="94">
        <f>IF(B$17=0,0,G9/B$17)</f>
        <v>0.125</v>
      </c>
      <c r="I9" s="56">
        <v>14</v>
      </c>
      <c r="K9" s="5">
        <v>7</v>
      </c>
      <c r="L9" s="61">
        <v>-263.40000000000003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0.61538461538461542</v>
      </c>
      <c r="E10" s="33" t="s">
        <v>59</v>
      </c>
      <c r="F10" s="30" t="s">
        <v>23</v>
      </c>
      <c r="G10" s="13">
        <v>1</v>
      </c>
      <c r="H10" s="94">
        <f>IF(B$17=0,0,G10/B$17)</f>
        <v>0.125</v>
      </c>
      <c r="I10" s="56">
        <v>19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0.15384615384615385</v>
      </c>
      <c r="E11" s="33" t="s">
        <v>60</v>
      </c>
      <c r="F11" s="30" t="s">
        <v>24</v>
      </c>
      <c r="G11" s="13">
        <v>1</v>
      </c>
      <c r="H11" s="94">
        <f>IF(B$17=0,0,G11/B$17)</f>
        <v>0.125</v>
      </c>
      <c r="I11" s="56">
        <v>36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0.125</v>
      </c>
      <c r="I12" s="56">
        <v>2</v>
      </c>
      <c r="K12" s="5">
        <v>10</v>
      </c>
      <c r="L12" s="61">
        <v>-338.20000000000005</v>
      </c>
      <c r="N12" s="75" t="s">
        <v>126</v>
      </c>
      <c r="O12" s="85">
        <f>IF(P12=0,0,Q12/P12)</f>
        <v>-45.825000000000003</v>
      </c>
      <c r="P12" s="79">
        <v>4</v>
      </c>
      <c r="Q12" s="67">
        <v>-183.3</v>
      </c>
    </row>
    <row r="13" spans="1:17">
      <c r="A13" s="22" t="s">
        <v>97</v>
      </c>
      <c r="B13" s="15">
        <v>12</v>
      </c>
      <c r="C13" s="11">
        <f>IF(B$3=0,0,B13/B$3)</f>
        <v>0.14457831325301204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8</v>
      </c>
      <c r="K13" s="5">
        <v>11</v>
      </c>
      <c r="L13" s="61">
        <v>-383.70000000000005</v>
      </c>
      <c r="N13" s="76" t="s">
        <v>127</v>
      </c>
      <c r="O13" s="86">
        <f>IF(P13=0,0,Q13/P13)</f>
        <v>-39.133333333333333</v>
      </c>
      <c r="P13" s="80">
        <v>3</v>
      </c>
      <c r="Q13" s="68">
        <v>-117.4</v>
      </c>
    </row>
    <row r="14" spans="1:17">
      <c r="A14" s="19" t="s">
        <v>94</v>
      </c>
      <c r="B14" s="13">
        <v>11</v>
      </c>
      <c r="C14" s="6">
        <f>IF(B$3=0,0,B14/B$3)</f>
        <v>0.13253012048192772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-430.50000000000006</v>
      </c>
      <c r="N14" s="76" t="s">
        <v>128</v>
      </c>
      <c r="O14" s="86">
        <f>IF(P14=0,0,Q14/P14)</f>
        <v>11.95</v>
      </c>
      <c r="P14" s="80">
        <v>2</v>
      </c>
      <c r="Q14" s="68">
        <v>23.9</v>
      </c>
    </row>
    <row r="15" spans="1:17">
      <c r="A15" s="18" t="s">
        <v>99</v>
      </c>
      <c r="B15" s="12">
        <f>B21</f>
        <v>5</v>
      </c>
      <c r="C15" s="4">
        <f>IF(B$13=0,0,B15/B$13)</f>
        <v>0.41666666666666669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-418.30000000000007</v>
      </c>
      <c r="N15" s="77" t="s">
        <v>159</v>
      </c>
      <c r="O15" s="87">
        <f>IF(P15=0,0,Q15/P15)</f>
        <v>-35.375</v>
      </c>
      <c r="P15" s="81">
        <v>4</v>
      </c>
      <c r="Q15" s="69">
        <v>-141.5</v>
      </c>
    </row>
    <row r="16" spans="1:17">
      <c r="A16" s="18" t="s">
        <v>100</v>
      </c>
      <c r="B16" s="12">
        <f>B22</f>
        <v>1</v>
      </c>
      <c r="C16" s="4">
        <f>IF(B$14=0,0,B16/B$14)</f>
        <v>9.0909090909090912E-2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9.6385542168674704E-2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0.12048192771084337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>IF(P18=0,0,Q18/P18)</f>
        <v>31.9</v>
      </c>
      <c r="P18" s="79">
        <v>2</v>
      </c>
      <c r="Q18" s="67">
        <v>63.8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169</v>
      </c>
      <c r="O19" s="86">
        <f>IF(P19=0,0,Q19/P19)</f>
        <v>6.9000000000000012</v>
      </c>
      <c r="P19" s="80">
        <v>3</v>
      </c>
      <c r="Q19" s="68">
        <v>20.700000000000003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276</v>
      </c>
      <c r="O20" s="86">
        <f>IF(P20=0,0,Q20/P20)</f>
        <v>-26.783333333333342</v>
      </c>
      <c r="P20" s="80">
        <v>6</v>
      </c>
      <c r="Q20" s="68">
        <v>-160.70000000000005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213</v>
      </c>
      <c r="O21" s="86">
        <f>IF(P21=0,0,Q21/P21)</f>
        <v>-30</v>
      </c>
      <c r="P21" s="80">
        <v>1</v>
      </c>
      <c r="Q21" s="68">
        <v>-30</v>
      </c>
    </row>
    <row r="22" spans="1:17">
      <c r="A22" s="19" t="s">
        <v>149</v>
      </c>
      <c r="B22" s="13">
        <v>1</v>
      </c>
      <c r="C22" s="6">
        <f>IF(B$17=0,0,B22/B$17)</f>
        <v>0.125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9</v>
      </c>
      <c r="N22" s="76" t="s">
        <v>277</v>
      </c>
      <c r="O22" s="86">
        <f>IF(P22=0,0,Q22/P22)</f>
        <v>-37.800000000000004</v>
      </c>
      <c r="P22" s="80">
        <v>4</v>
      </c>
      <c r="Q22" s="68">
        <v>-151.20000000000002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>IF(P23=0,0,Q23/P23)</f>
        <v>-40.650000000000006</v>
      </c>
      <c r="P23" s="80">
        <v>2</v>
      </c>
      <c r="Q23" s="68">
        <v>-81.300000000000011</v>
      </c>
    </row>
    <row r="24" spans="1:17">
      <c r="A24" s="19" t="s">
        <v>5</v>
      </c>
      <c r="B24" s="16">
        <f>IF(B$17=0,0,C24/B$17)</f>
        <v>5475</v>
      </c>
      <c r="C24" s="8">
        <v>43800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255</v>
      </c>
      <c r="O24" s="86">
        <f>IF(P24=0,0,Q24/P24)</f>
        <v>-42.525000000000006</v>
      </c>
      <c r="P24" s="80">
        <v>4</v>
      </c>
      <c r="Q24" s="68">
        <v>-170.10000000000002</v>
      </c>
    </row>
    <row r="25" spans="1:17">
      <c r="A25" s="20" t="s">
        <v>133</v>
      </c>
      <c r="B25" s="97">
        <f>IF($B$17-B$16=0,0,C25/($B$17-B$16))</f>
        <v>5971.4285714285716</v>
      </c>
      <c r="C25" s="98">
        <v>41800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297</v>
      </c>
      <c r="O25" s="86">
        <f>IF(P25=0,0,Q25/P25)</f>
        <v>-50.25</v>
      </c>
      <c r="P25" s="80">
        <v>2</v>
      </c>
      <c r="Q25" s="68">
        <v>-100.5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>IF(P26=0,0,Q26/P26)</f>
        <v>-58.74285714285714</v>
      </c>
      <c r="P26" s="80">
        <v>7</v>
      </c>
      <c r="Q26" s="68">
        <v>-411.2</v>
      </c>
    </row>
    <row r="27" spans="1:17">
      <c r="A27" s="20" t="s">
        <v>132</v>
      </c>
      <c r="B27" s="97">
        <f>IF(B$18=0,0,C27/B$18)</f>
        <v>-6150</v>
      </c>
      <c r="C27" s="98">
        <v>-61500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263</v>
      </c>
      <c r="O27" s="86">
        <f>IF(P27=0,0,Q27/P27)</f>
        <v>-59.500000000000007</v>
      </c>
      <c r="P27" s="80">
        <v>3</v>
      </c>
      <c r="Q27" s="68">
        <v>-178.50000000000003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>IF(P28=0,0,Q28/P28)</f>
        <v>-69.433333333333337</v>
      </c>
      <c r="P28" s="80">
        <v>3</v>
      </c>
      <c r="Q28" s="68">
        <v>-208.3</v>
      </c>
    </row>
    <row r="29" spans="1:17">
      <c r="A29" s="19" t="s">
        <v>131</v>
      </c>
      <c r="B29" s="13">
        <v>23</v>
      </c>
      <c r="C29" s="96">
        <v>17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268</v>
      </c>
      <c r="O29" s="86">
        <f>IF(P29=0,0,Q29/P29)</f>
        <v>-99.5</v>
      </c>
      <c r="P29" s="80">
        <v>1</v>
      </c>
      <c r="Q29" s="68">
        <v>-99.5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244</v>
      </c>
      <c r="O30" s="86">
        <f>IF(P30=0,0,Q30/P30)</f>
        <v>-149</v>
      </c>
      <c r="P30" s="80">
        <v>1</v>
      </c>
      <c r="Q30" s="68">
        <v>-149</v>
      </c>
    </row>
    <row r="31" spans="1:17">
      <c r="A31" s="22" t="s">
        <v>148</v>
      </c>
      <c r="B31" s="116">
        <v>32200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1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38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181</v>
      </c>
      <c r="F2" s="29" t="s">
        <v>156</v>
      </c>
      <c r="G2" s="12">
        <v>23</v>
      </c>
      <c r="H2" s="93">
        <f>IF(B$17=0,0,G2/B$17)</f>
        <v>0.67647058823529416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-11.111111111111111</v>
      </c>
      <c r="P2" s="79">
        <v>18</v>
      </c>
      <c r="Q2" s="63">
        <v>-200</v>
      </c>
    </row>
    <row r="3" spans="1:17">
      <c r="A3" s="19" t="s">
        <v>8</v>
      </c>
      <c r="B3" s="122">
        <v>133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0.52941176470588236</v>
      </c>
      <c r="I3" s="56">
        <v>18</v>
      </c>
      <c r="K3" s="5">
        <v>1</v>
      </c>
      <c r="L3" s="61">
        <v>6.3</v>
      </c>
      <c r="N3" s="76" t="s">
        <v>104</v>
      </c>
      <c r="O3" s="83">
        <f t="shared" si="0"/>
        <v>2994.4444444444443</v>
      </c>
      <c r="P3" s="80">
        <v>18</v>
      </c>
      <c r="Q3" s="64">
        <v>53900</v>
      </c>
    </row>
    <row r="4" spans="1:17">
      <c r="A4" s="19" t="s">
        <v>6</v>
      </c>
      <c r="B4" s="124">
        <v>226.5</v>
      </c>
      <c r="C4" s="125"/>
      <c r="E4" s="33" t="s">
        <v>184</v>
      </c>
      <c r="F4" s="30" t="s">
        <v>187</v>
      </c>
      <c r="G4" s="13">
        <v>14</v>
      </c>
      <c r="H4" s="94">
        <f>IF(B$17=0,0,G4/B$17)</f>
        <v>0.41176470588235292</v>
      </c>
      <c r="I4" s="56">
        <v>23</v>
      </c>
      <c r="K4" s="5">
        <v>2</v>
      </c>
      <c r="L4" s="61">
        <v>15.8</v>
      </c>
      <c r="N4" s="76" t="s">
        <v>105</v>
      </c>
      <c r="O4" s="83">
        <f t="shared" si="0"/>
        <v>1055.5555555555557</v>
      </c>
      <c r="P4" s="80">
        <v>18</v>
      </c>
      <c r="Q4" s="64">
        <v>19000</v>
      </c>
    </row>
    <row r="5" spans="1:17">
      <c r="A5" s="19" t="s">
        <v>7</v>
      </c>
      <c r="B5" s="126">
        <f>IF(B$2=0,0,B$4/B$2)</f>
        <v>12.583333333333334</v>
      </c>
      <c r="C5" s="127"/>
      <c r="E5" s="33" t="s">
        <v>56</v>
      </c>
      <c r="F5" s="30" t="s">
        <v>185</v>
      </c>
      <c r="G5" s="13">
        <v>10</v>
      </c>
      <c r="H5" s="94">
        <f>IF(B$17=0,0,G5/B$17)</f>
        <v>0.29411764705882354</v>
      </c>
      <c r="I5" s="56">
        <v>20</v>
      </c>
      <c r="K5" s="5">
        <v>3</v>
      </c>
      <c r="L5" s="61">
        <v>0.60000000000000142</v>
      </c>
      <c r="N5" s="76" t="s">
        <v>157</v>
      </c>
      <c r="O5" s="83">
        <f>IF(P5=0,0,Q5/P5)</f>
        <v>777.77777777777783</v>
      </c>
      <c r="P5" s="80">
        <v>18</v>
      </c>
      <c r="Q5" s="64">
        <v>14000</v>
      </c>
    </row>
    <row r="6" spans="1:17">
      <c r="A6" s="19" t="s">
        <v>1</v>
      </c>
      <c r="B6" s="128">
        <f>IF(B$2=0,0,(B$7*1+B$8*2+B$9*3+B$10*4)/B$2)</f>
        <v>2.1666666666666665</v>
      </c>
      <c r="C6" s="129"/>
      <c r="E6" s="33" t="s">
        <v>60</v>
      </c>
      <c r="F6" s="30" t="s">
        <v>24</v>
      </c>
      <c r="G6" s="13">
        <v>10</v>
      </c>
      <c r="H6" s="94">
        <f>IF(B$17=0,0,G6/B$17)</f>
        <v>0.29411764705882354</v>
      </c>
      <c r="I6" s="56">
        <v>29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-1400</v>
      </c>
      <c r="P6" s="80">
        <v>14</v>
      </c>
      <c r="Q6" s="64">
        <v>-19600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55</v>
      </c>
      <c r="F7" s="30" t="s">
        <v>155</v>
      </c>
      <c r="G7" s="13">
        <v>7</v>
      </c>
      <c r="H7" s="94">
        <f>IF(B$17=0,0,G7/B$17)</f>
        <v>0.20588235294117646</v>
      </c>
      <c r="I7" s="56">
        <v>23</v>
      </c>
      <c r="K7" s="5">
        <v>5</v>
      </c>
      <c r="L7" s="61">
        <v>129</v>
      </c>
      <c r="N7" s="76" t="s">
        <v>107</v>
      </c>
      <c r="O7" s="83">
        <f t="shared" si="0"/>
        <v>-70</v>
      </c>
      <c r="P7" s="80">
        <v>10</v>
      </c>
      <c r="Q7" s="64">
        <v>-700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57</v>
      </c>
      <c r="F8" s="30" t="s">
        <v>21</v>
      </c>
      <c r="G8" s="13">
        <v>7</v>
      </c>
      <c r="H8" s="94">
        <f>IF(B$17=0,0,G8/B$17)</f>
        <v>0.20588235294117646</v>
      </c>
      <c r="I8" s="56">
        <v>21</v>
      </c>
      <c r="K8" s="5">
        <v>6</v>
      </c>
      <c r="L8" s="61">
        <v>189.9</v>
      </c>
      <c r="N8" s="76" t="s">
        <v>108</v>
      </c>
      <c r="O8" s="83">
        <f t="shared" si="0"/>
        <v>-1380</v>
      </c>
      <c r="P8" s="80">
        <v>5</v>
      </c>
      <c r="Q8" s="64">
        <v>-6900</v>
      </c>
    </row>
    <row r="9" spans="1:17">
      <c r="A9" s="20" t="s">
        <v>4</v>
      </c>
      <c r="B9" s="14">
        <v>6</v>
      </c>
      <c r="C9" s="7">
        <f>IF(B$2=0,0,B9/B$2)</f>
        <v>0.33333333333333331</v>
      </c>
      <c r="E9" s="33" t="s">
        <v>182</v>
      </c>
      <c r="F9" s="30" t="s">
        <v>19</v>
      </c>
      <c r="G9" s="13">
        <v>5</v>
      </c>
      <c r="H9" s="94">
        <f>IF(B$17=0,0,G9/B$17)</f>
        <v>0.14705882352941177</v>
      </c>
      <c r="I9" s="56">
        <v>12</v>
      </c>
      <c r="K9" s="5">
        <v>7</v>
      </c>
      <c r="L9" s="61">
        <v>255.8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2</v>
      </c>
      <c r="C10" s="7">
        <f>IF(B$2=0,0,B10/B$2)</f>
        <v>0.1111111111111111</v>
      </c>
      <c r="E10" s="33" t="s">
        <v>58</v>
      </c>
      <c r="F10" s="30" t="s">
        <v>22</v>
      </c>
      <c r="G10" s="13">
        <v>3</v>
      </c>
      <c r="H10" s="94">
        <f>IF(B$17=0,0,G10/B$17)</f>
        <v>8.8235294117647065E-2</v>
      </c>
      <c r="I10" s="56">
        <v>14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59</v>
      </c>
      <c r="F11" s="30" t="s">
        <v>23</v>
      </c>
      <c r="G11" s="13">
        <v>3</v>
      </c>
      <c r="H11" s="94">
        <f>IF(B$17=0,0,G11/B$17)</f>
        <v>8.8235294117647065E-2</v>
      </c>
      <c r="I11" s="56">
        <v>22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5.8823529411764705E-2</v>
      </c>
      <c r="I12" s="56">
        <v>5</v>
      </c>
      <c r="K12" s="5">
        <v>10</v>
      </c>
      <c r="L12" s="61">
        <v>364</v>
      </c>
      <c r="N12" s="75" t="s">
        <v>126</v>
      </c>
      <c r="O12" s="85">
        <f>IF(P12=0,0,Q12/P12)</f>
        <v>40.125</v>
      </c>
      <c r="P12" s="79">
        <v>4</v>
      </c>
      <c r="Q12" s="67">
        <v>160.5</v>
      </c>
    </row>
    <row r="13" spans="1:17">
      <c r="A13" s="22" t="s">
        <v>97</v>
      </c>
      <c r="B13" s="15">
        <v>39</v>
      </c>
      <c r="C13" s="11">
        <f>IF(B$3=0,0,B13/B$3)</f>
        <v>0.2932330827067669</v>
      </c>
      <c r="E13" s="33" t="s">
        <v>74</v>
      </c>
      <c r="F13" s="30" t="s">
        <v>38</v>
      </c>
      <c r="G13" s="13">
        <v>2</v>
      </c>
      <c r="H13" s="94">
        <f>IF(B$17=0,0,G13/B$17)</f>
        <v>5.8823529411764705E-2</v>
      </c>
      <c r="I13" s="56">
        <v>8</v>
      </c>
      <c r="K13" s="5">
        <v>11</v>
      </c>
      <c r="L13" s="61">
        <v>416.8</v>
      </c>
      <c r="N13" s="76" t="s">
        <v>127</v>
      </c>
      <c r="O13" s="86">
        <f>IF(P13=0,0,Q13/P13)</f>
        <v>34.800000000000004</v>
      </c>
      <c r="P13" s="80">
        <v>5</v>
      </c>
      <c r="Q13" s="68">
        <v>174.00000000000003</v>
      </c>
    </row>
    <row r="14" spans="1:17">
      <c r="A14" s="19" t="s">
        <v>94</v>
      </c>
      <c r="B14" s="13">
        <v>30</v>
      </c>
      <c r="C14" s="6">
        <f>IF(B$3=0,0,B14/B$3)</f>
        <v>0.22556390977443608</v>
      </c>
      <c r="E14" s="33" t="s">
        <v>66</v>
      </c>
      <c r="F14" s="30" t="s">
        <v>30</v>
      </c>
      <c r="G14" s="13">
        <v>1</v>
      </c>
      <c r="H14" s="94">
        <f>IF(B$17=0,0,G14/B$17)</f>
        <v>2.9411764705882353E-2</v>
      </c>
      <c r="I14" s="56">
        <v>7</v>
      </c>
      <c r="K14" s="5">
        <v>12</v>
      </c>
      <c r="L14" s="61">
        <v>369.3</v>
      </c>
      <c r="N14" s="76" t="s">
        <v>128</v>
      </c>
      <c r="O14" s="86">
        <f>IF(P14=0,0,Q14/P14)</f>
        <v>-4.68</v>
      </c>
      <c r="P14" s="80">
        <v>5</v>
      </c>
      <c r="Q14" s="68">
        <v>-23.4</v>
      </c>
    </row>
    <row r="15" spans="1:17">
      <c r="A15" s="18" t="s">
        <v>99</v>
      </c>
      <c r="B15" s="12">
        <f>B21</f>
        <v>23</v>
      </c>
      <c r="C15" s="4">
        <f>IF(B$13=0,0,B15/B$13)</f>
        <v>0.58974358974358976</v>
      </c>
      <c r="E15" s="33" t="s">
        <v>69</v>
      </c>
      <c r="F15" s="30" t="s">
        <v>33</v>
      </c>
      <c r="G15" s="13">
        <v>1</v>
      </c>
      <c r="H15" s="94">
        <f>IF(B$17=0,0,G15/B$17)</f>
        <v>2.9411764705882353E-2</v>
      </c>
      <c r="I15" s="56">
        <v>5</v>
      </c>
      <c r="K15" s="5">
        <v>13</v>
      </c>
      <c r="L15" s="61">
        <v>353.5</v>
      </c>
      <c r="N15" s="77" t="s">
        <v>159</v>
      </c>
      <c r="O15" s="87">
        <f>IF(P15=0,0,Q15/P15)</f>
        <v>-21.15</v>
      </c>
      <c r="P15" s="81">
        <v>4</v>
      </c>
      <c r="Q15" s="69">
        <v>-84.6</v>
      </c>
    </row>
    <row r="16" spans="1:17">
      <c r="A16" s="18" t="s">
        <v>100</v>
      </c>
      <c r="B16" s="12">
        <f>B22</f>
        <v>10</v>
      </c>
      <c r="C16" s="4">
        <f>IF(B$14=0,0,B16/B$14)</f>
        <v>0.33333333333333331</v>
      </c>
      <c r="E16" s="33" t="s">
        <v>76</v>
      </c>
      <c r="F16" s="30" t="s">
        <v>40</v>
      </c>
      <c r="G16" s="13">
        <v>1</v>
      </c>
      <c r="H16" s="94">
        <f>IF(B$17=0,0,G16/B$17)</f>
        <v>2.9411764705882353E-2</v>
      </c>
      <c r="I16" s="56">
        <v>3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0.25563909774436089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0.12781954887218044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253.7</v>
      </c>
      <c r="N18" s="75" t="s">
        <v>277</v>
      </c>
      <c r="O18" s="85">
        <f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12</v>
      </c>
      <c r="C19" s="6">
        <f>IF(B$17=0,0,B19/B$17)</f>
        <v>0.35294117647058826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255.5</v>
      </c>
      <c r="N19" s="76" t="s">
        <v>276</v>
      </c>
      <c r="O19" s="86">
        <f>IF(P19=0,0,Q19/P19)</f>
        <v>79.966666666666654</v>
      </c>
      <c r="P19" s="80">
        <v>3</v>
      </c>
      <c r="Q19" s="68">
        <v>239.89999999999998</v>
      </c>
    </row>
    <row r="20" spans="1:17">
      <c r="A20" s="19" t="s">
        <v>11</v>
      </c>
      <c r="B20" s="13">
        <v>22</v>
      </c>
      <c r="C20" s="6">
        <f>IF(B$17=0,0,B20/B$17)</f>
        <v>0.6470588235294118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226.5</v>
      </c>
      <c r="N20" s="76" t="s">
        <v>269</v>
      </c>
      <c r="O20" s="86">
        <f>IF(P20=0,0,Q20/P20)</f>
        <v>69.433333333333337</v>
      </c>
      <c r="P20" s="80">
        <v>3</v>
      </c>
      <c r="Q20" s="68">
        <v>208.3</v>
      </c>
    </row>
    <row r="21" spans="1:17">
      <c r="A21" s="19" t="s">
        <v>151</v>
      </c>
      <c r="B21" s="13">
        <v>23</v>
      </c>
      <c r="C21" s="6">
        <f>IF(B$17=0,0,B21/B$17)</f>
        <v>0.67647058823529416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238</v>
      </c>
      <c r="O21" s="86">
        <f>IF(P21=0,0,Q21/P21)</f>
        <v>52.080000000000005</v>
      </c>
      <c r="P21" s="80">
        <v>5</v>
      </c>
      <c r="Q21" s="68">
        <v>260.40000000000003</v>
      </c>
    </row>
    <row r="22" spans="1:17">
      <c r="A22" s="19" t="s">
        <v>149</v>
      </c>
      <c r="B22" s="13">
        <v>10</v>
      </c>
      <c r="C22" s="6">
        <f>IF(B$17=0,0,B22/B$17)</f>
        <v>0.29411764705882354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9</v>
      </c>
      <c r="N22" s="76" t="s">
        <v>258</v>
      </c>
      <c r="O22" s="86">
        <f>IF(P22=0,0,Q22/P22)</f>
        <v>43.9</v>
      </c>
      <c r="P22" s="80">
        <v>1</v>
      </c>
      <c r="Q22" s="68">
        <v>43.9</v>
      </c>
    </row>
    <row r="23" spans="1:17">
      <c r="A23" s="19" t="s">
        <v>150</v>
      </c>
      <c r="B23" s="13">
        <v>1</v>
      </c>
      <c r="C23" s="6">
        <f>IF(B$17=0,0,B23/B$17)</f>
        <v>2.9411764705882353E-2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235</v>
      </c>
      <c r="O23" s="86">
        <f>IF(P23=0,0,Q23/P23)</f>
        <v>41.233333333333327</v>
      </c>
      <c r="P23" s="80">
        <v>3</v>
      </c>
      <c r="Q23" s="68">
        <v>123.69999999999997</v>
      </c>
    </row>
    <row r="24" spans="1:17">
      <c r="A24" s="19" t="s">
        <v>5</v>
      </c>
      <c r="B24" s="16">
        <f>IF(B$17=0,0,C24/B$17)</f>
        <v>6032.3529411764703</v>
      </c>
      <c r="C24" s="8">
        <v>205100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241</v>
      </c>
      <c r="O24" s="86">
        <f>IF(P24=0,0,Q24/P24)</f>
        <v>28.099999999999998</v>
      </c>
      <c r="P24" s="80">
        <v>1</v>
      </c>
      <c r="Q24" s="68">
        <v>28.099999999999998</v>
      </c>
    </row>
    <row r="25" spans="1:17">
      <c r="A25" s="20" t="s">
        <v>133</v>
      </c>
      <c r="B25" s="97">
        <f>IF($B$17-B$16=0,0,C25/($B$17-B$16))</f>
        <v>7379.166666666667</v>
      </c>
      <c r="C25" s="98">
        <v>177100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255</v>
      </c>
      <c r="O25" s="86">
        <f>IF(P25=0,0,Q25/P25)</f>
        <v>17.899999999999999</v>
      </c>
      <c r="P25" s="80">
        <v>3</v>
      </c>
      <c r="Q25" s="68">
        <v>53.699999999999996</v>
      </c>
    </row>
    <row r="26" spans="1:17">
      <c r="A26" s="20" t="s">
        <v>134</v>
      </c>
      <c r="B26" s="97">
        <f>IF(B$16=0,0,C26/B$16)</f>
        <v>2800</v>
      </c>
      <c r="C26" s="98">
        <v>28000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195</v>
      </c>
      <c r="O26" s="86">
        <f>IF(P26=0,0,Q26/P26)</f>
        <v>-6.9000000000000012</v>
      </c>
      <c r="P26" s="80">
        <v>3</v>
      </c>
      <c r="Q26" s="68">
        <v>-20.700000000000003</v>
      </c>
    </row>
    <row r="27" spans="1:17">
      <c r="A27" s="20" t="s">
        <v>132</v>
      </c>
      <c r="B27" s="97">
        <f>IF(B$18=0,0,C27/B$18)</f>
        <v>-4688.2352941176468</v>
      </c>
      <c r="C27" s="98">
        <v>-79700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169</v>
      </c>
      <c r="O27" s="86">
        <f>IF(P27=0,0,Q27/P27)</f>
        <v>-8.0999999999999979</v>
      </c>
      <c r="P27" s="80">
        <v>5</v>
      </c>
      <c r="Q27" s="68">
        <v>-40.499999999999986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>IF(P28=0,0,Q28/P28)</f>
        <v>-10.75</v>
      </c>
      <c r="P28" s="80">
        <v>2</v>
      </c>
      <c r="Q28" s="68">
        <v>-21.5</v>
      </c>
    </row>
    <row r="29" spans="1:17">
      <c r="A29" s="19" t="s">
        <v>131</v>
      </c>
      <c r="B29" s="13">
        <v>23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264</v>
      </c>
      <c r="O29" s="86">
        <f>IF(P29=0,0,Q29/P29)</f>
        <v>-22.9</v>
      </c>
      <c r="P29" s="80">
        <v>1</v>
      </c>
      <c r="Q29" s="68">
        <v>-22.9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263</v>
      </c>
      <c r="O30" s="86">
        <f>IF(P30=0,0,Q30/P30)</f>
        <v>-22.959999999999997</v>
      </c>
      <c r="P30" s="80">
        <v>10</v>
      </c>
      <c r="Q30" s="68">
        <v>-229.59999999999997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265</v>
      </c>
      <c r="O31" s="86">
        <f>IF(P31=0,0,Q31/P31)</f>
        <v>-28.25</v>
      </c>
      <c r="P31" s="80">
        <v>8</v>
      </c>
      <c r="Q31" s="68">
        <v>-226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3">IF(B$17=0,0,B35/B$17)</f>
        <v>0.20588235294117646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3"/>
        <v>0.17647058823529413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3"/>
        <v>0.20588235294117646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0.14705882352941177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3"/>
        <v>8.8235294117647065E-2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3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6</v>
      </c>
      <c r="K3" s="5">
        <v>1</v>
      </c>
      <c r="L3" s="61">
        <v>-47</v>
      </c>
      <c r="N3" s="76" t="s">
        <v>104</v>
      </c>
      <c r="O3" s="83">
        <f t="shared" si="0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>IF(B$17=0,0,G4/B$17)</f>
        <v>0.5</v>
      </c>
      <c r="I4" s="56">
        <v>11</v>
      </c>
      <c r="K4" s="5">
        <v>2</v>
      </c>
      <c r="L4" s="61">
        <v>-38</v>
      </c>
      <c r="N4" s="76" t="s">
        <v>105</v>
      </c>
      <c r="O4" s="83">
        <f t="shared" si="0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0.3</v>
      </c>
      <c r="I6" s="56">
        <v>27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56</v>
      </c>
      <c r="F7" s="30" t="s">
        <v>185</v>
      </c>
      <c r="G7" s="13">
        <v>3</v>
      </c>
      <c r="H7" s="94">
        <f>IF(B$17=0,0,G7/B$17)</f>
        <v>0.3</v>
      </c>
      <c r="I7" s="56">
        <v>19</v>
      </c>
      <c r="K7" s="5">
        <v>5</v>
      </c>
      <c r="L7" s="61">
        <v>-125.9</v>
      </c>
      <c r="N7" s="76" t="s">
        <v>107</v>
      </c>
      <c r="O7" s="83">
        <f t="shared" si="0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>IF(B$17=0,0,G8/B$17)</f>
        <v>0.1</v>
      </c>
      <c r="I8" s="56">
        <v>32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>IF(B$17=0,0,G9/B$17)</f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28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25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28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244</v>
      </c>
      <c r="O18" s="85">
        <f t="shared" ref="O18:O28" si="3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235</v>
      </c>
      <c r="O20" s="86">
        <f t="shared" si="3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195</v>
      </c>
      <c r="O21" s="86">
        <f t="shared" si="3"/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 t="shared" si="3"/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238</v>
      </c>
      <c r="O23" s="86">
        <f t="shared" si="3"/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  <c r="N26" s="76" t="s">
        <v>276</v>
      </c>
      <c r="O26" s="86">
        <f t="shared" si="3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169</v>
      </c>
      <c r="O28" s="86">
        <f t="shared" si="3"/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181</v>
      </c>
      <c r="F2" s="29" t="s">
        <v>156</v>
      </c>
      <c r="G2" s="12">
        <v>11</v>
      </c>
      <c r="H2" s="93">
        <f>IF(B$17=0,0,G2/B$17)</f>
        <v>0.61111111111111116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2950</v>
      </c>
      <c r="P2" s="79">
        <v>12</v>
      </c>
      <c r="Q2" s="63">
        <v>35400</v>
      </c>
    </row>
    <row r="3" spans="1:17">
      <c r="A3" s="19" t="s">
        <v>8</v>
      </c>
      <c r="B3" s="122">
        <v>84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</v>
      </c>
      <c r="I3" s="56">
        <v>11</v>
      </c>
      <c r="K3" s="5">
        <v>1</v>
      </c>
      <c r="L3" s="61">
        <v>10.6</v>
      </c>
      <c r="N3" s="76" t="s">
        <v>104</v>
      </c>
      <c r="O3" s="83">
        <f t="shared" si="0"/>
        <v>-925</v>
      </c>
      <c r="P3" s="80">
        <v>12</v>
      </c>
      <c r="Q3" s="64">
        <v>-11100</v>
      </c>
    </row>
    <row r="4" spans="1:17">
      <c r="A4" s="19" t="s">
        <v>6</v>
      </c>
      <c r="B4" s="124">
        <v>137.20000000000005</v>
      </c>
      <c r="C4" s="125"/>
      <c r="E4" s="33" t="s">
        <v>56</v>
      </c>
      <c r="F4" s="30" t="s">
        <v>185</v>
      </c>
      <c r="G4" s="13">
        <v>7</v>
      </c>
      <c r="H4" s="94">
        <f>IF(B$17=0,0,G4/B$17)</f>
        <v>0.3888888888888889</v>
      </c>
      <c r="I4" s="56">
        <v>9</v>
      </c>
      <c r="K4" s="5">
        <v>2</v>
      </c>
      <c r="L4" s="61">
        <v>63.7</v>
      </c>
      <c r="N4" s="76" t="s">
        <v>105</v>
      </c>
      <c r="O4" s="83">
        <f t="shared" si="0"/>
        <v>1745.4545454545455</v>
      </c>
      <c r="P4" s="80">
        <v>11</v>
      </c>
      <c r="Q4" s="64">
        <v>19200</v>
      </c>
    </row>
    <row r="5" spans="1:17">
      <c r="A5" s="19" t="s">
        <v>7</v>
      </c>
      <c r="B5" s="126">
        <f>IF(B$2=0,0,B$4/B$2)</f>
        <v>11.433333333333337</v>
      </c>
      <c r="C5" s="127"/>
      <c r="E5" s="33" t="s">
        <v>60</v>
      </c>
      <c r="F5" s="30" t="s">
        <v>24</v>
      </c>
      <c r="G5" s="13">
        <v>6</v>
      </c>
      <c r="H5" s="94">
        <f>IF(B$17=0,0,G5/B$17)</f>
        <v>0.33333333333333331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-222.22222222222223</v>
      </c>
      <c r="P5" s="80">
        <v>9</v>
      </c>
      <c r="Q5" s="64">
        <v>-2000</v>
      </c>
    </row>
    <row r="6" spans="1:17">
      <c r="A6" s="19" t="s">
        <v>1</v>
      </c>
      <c r="B6" s="128">
        <f>IF(B$2=0,0,(B$7*1+B$8*2+B$9*3+B$10*4)/B$2)</f>
        <v>2.1666666666666665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0.27777777777777779</v>
      </c>
      <c r="I6" s="56">
        <v>13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-1200</v>
      </c>
      <c r="P6" s="80">
        <v>6</v>
      </c>
      <c r="Q6" s="64">
        <v>-7200</v>
      </c>
    </row>
    <row r="7" spans="1:17">
      <c r="A7" s="19" t="s">
        <v>2</v>
      </c>
      <c r="B7" s="13">
        <v>4</v>
      </c>
      <c r="C7" s="6">
        <f t="shared" ref="C7:C12" si="2">IF(B$2=0,0,B7/B$2)</f>
        <v>0.33333333333333331</v>
      </c>
      <c r="E7" s="33" t="s">
        <v>54</v>
      </c>
      <c r="F7" s="30" t="s">
        <v>20</v>
      </c>
      <c r="G7" s="13">
        <v>3</v>
      </c>
      <c r="H7" s="94">
        <f>IF(B$17=0,0,G7/B$17)</f>
        <v>0.16666666666666666</v>
      </c>
      <c r="I7" s="56">
        <v>33</v>
      </c>
      <c r="K7" s="5">
        <v>5</v>
      </c>
      <c r="L7" s="61">
        <v>106.70000000000002</v>
      </c>
      <c r="N7" s="76" t="s">
        <v>107</v>
      </c>
      <c r="O7" s="83">
        <f t="shared" si="0"/>
        <v>900</v>
      </c>
      <c r="P7" s="80">
        <v>5</v>
      </c>
      <c r="Q7" s="64">
        <v>4500</v>
      </c>
    </row>
    <row r="8" spans="1:17">
      <c r="A8" s="19" t="s">
        <v>3</v>
      </c>
      <c r="B8" s="13">
        <v>4</v>
      </c>
      <c r="C8" s="6">
        <f>IF(B$2=0,0,B8/B$2)</f>
        <v>0.33333333333333331</v>
      </c>
      <c r="E8" s="33" t="s">
        <v>58</v>
      </c>
      <c r="F8" s="30" t="s">
        <v>22</v>
      </c>
      <c r="G8" s="13">
        <v>3</v>
      </c>
      <c r="H8" s="94">
        <f>IF(B$17=0,0,G8/B$17)</f>
        <v>0.16666666666666666</v>
      </c>
      <c r="I8" s="56">
        <v>3</v>
      </c>
      <c r="K8" s="5">
        <v>6</v>
      </c>
      <c r="L8" s="61">
        <v>173.40000000000003</v>
      </c>
      <c r="N8" s="76" t="s">
        <v>108</v>
      </c>
      <c r="O8" s="83">
        <f t="shared" si="0"/>
        <v>-2700</v>
      </c>
      <c r="P8" s="80">
        <v>2</v>
      </c>
      <c r="Q8" s="64">
        <v>-5400</v>
      </c>
    </row>
    <row r="9" spans="1:17">
      <c r="A9" s="20" t="s">
        <v>4</v>
      </c>
      <c r="B9" s="14">
        <v>2</v>
      </c>
      <c r="C9" s="7">
        <f>IF(B$2=0,0,B9/B$2)</f>
        <v>0.16666666666666666</v>
      </c>
      <c r="E9" s="33" t="s">
        <v>182</v>
      </c>
      <c r="F9" s="30" t="s">
        <v>19</v>
      </c>
      <c r="G9" s="13">
        <v>2</v>
      </c>
      <c r="H9" s="94">
        <f>IF(B$17=0,0,G9/B$17)</f>
        <v>0.1111111111111111</v>
      </c>
      <c r="I9" s="56">
        <v>16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2</v>
      </c>
      <c r="C10" s="7">
        <f>IF(B$2=0,0,B10/B$2)</f>
        <v>0.16666666666666666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32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0.66666666666666663</v>
      </c>
      <c r="E11" s="33" t="s">
        <v>77</v>
      </c>
      <c r="F11" s="30" t="s">
        <v>41</v>
      </c>
      <c r="G11" s="13">
        <v>2</v>
      </c>
      <c r="H11" s="94">
        <f>IF(B$17=0,0,G11/B$17)</f>
        <v>0.1111111111111111</v>
      </c>
      <c r="I11" s="56">
        <v>5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5.5555555555555552E-2</v>
      </c>
      <c r="I12" s="56">
        <v>3</v>
      </c>
      <c r="K12" s="5">
        <v>10</v>
      </c>
      <c r="L12" s="61">
        <v>187.80000000000004</v>
      </c>
      <c r="N12" s="75" t="s">
        <v>126</v>
      </c>
      <c r="O12" s="85">
        <f>IF(P12=0,0,Q12/P12)</f>
        <v>-23.68</v>
      </c>
      <c r="P12" s="79">
        <v>5</v>
      </c>
      <c r="Q12" s="67">
        <v>-118.4</v>
      </c>
    </row>
    <row r="13" spans="1:17">
      <c r="A13" s="22" t="s">
        <v>97</v>
      </c>
      <c r="B13" s="15">
        <v>19</v>
      </c>
      <c r="C13" s="11">
        <f>IF(B$3=0,0,B13/B$3)</f>
        <v>0.22619047619047619</v>
      </c>
      <c r="E13" s="33" t="s">
        <v>67</v>
      </c>
      <c r="F13" s="30" t="s">
        <v>31</v>
      </c>
      <c r="G13" s="13">
        <v>1</v>
      </c>
      <c r="H13" s="94">
        <f>IF(B$17=0,0,G13/B$17)</f>
        <v>5.5555555555555552E-2</v>
      </c>
      <c r="I13" s="56">
        <v>4</v>
      </c>
      <c r="K13" s="5">
        <v>11</v>
      </c>
      <c r="L13" s="61">
        <v>137.50000000000006</v>
      </c>
      <c r="N13" s="76" t="s">
        <v>127</v>
      </c>
      <c r="O13" s="86">
        <f>IF(P13=0,0,Q13/P13)</f>
        <v>67.2</v>
      </c>
      <c r="P13" s="80">
        <v>1</v>
      </c>
      <c r="Q13" s="68">
        <v>67.2</v>
      </c>
    </row>
    <row r="14" spans="1:17">
      <c r="A14" s="19" t="s">
        <v>94</v>
      </c>
      <c r="B14" s="13">
        <v>27</v>
      </c>
      <c r="C14" s="6">
        <f>IF(B$3=0,0,B14/B$3)</f>
        <v>0.32142857142857145</v>
      </c>
      <c r="E14" s="33" t="s">
        <v>78</v>
      </c>
      <c r="F14" s="30" t="s">
        <v>42</v>
      </c>
      <c r="G14" s="13">
        <v>1</v>
      </c>
      <c r="H14" s="94">
        <f>IF(B$17=0,0,G14/B$17)</f>
        <v>5.5555555555555552E-2</v>
      </c>
      <c r="I14" s="56">
        <v>1</v>
      </c>
      <c r="K14" s="5">
        <v>12</v>
      </c>
      <c r="L14" s="61">
        <v>137.20000000000005</v>
      </c>
      <c r="N14" s="76" t="s">
        <v>128</v>
      </c>
      <c r="O14" s="86">
        <f>IF(P14=0,0,Q14/P14)</f>
        <v>10.1</v>
      </c>
      <c r="P14" s="80">
        <v>3</v>
      </c>
      <c r="Q14" s="68">
        <v>30.3</v>
      </c>
    </row>
    <row r="15" spans="1:17">
      <c r="A15" s="18" t="s">
        <v>99</v>
      </c>
      <c r="B15" s="12">
        <f>B21</f>
        <v>12</v>
      </c>
      <c r="C15" s="4">
        <f>IF(B$13=0,0,B15/B$13)</f>
        <v>0.63157894736842102</v>
      </c>
      <c r="E15" s="33" t="s">
        <v>79</v>
      </c>
      <c r="F15" s="30" t="s">
        <v>43</v>
      </c>
      <c r="G15" s="13">
        <v>1</v>
      </c>
      <c r="H15" s="94">
        <f>IF(B$17=0,0,G15/B$17)</f>
        <v>5.5555555555555552E-2</v>
      </c>
      <c r="I15" s="56">
        <v>1</v>
      </c>
      <c r="N15" s="77" t="s">
        <v>159</v>
      </c>
      <c r="O15" s="87">
        <f>IF(P15=0,0,Q15/P15)</f>
        <v>52.699999999999996</v>
      </c>
      <c r="P15" s="81">
        <v>3</v>
      </c>
      <c r="Q15" s="69">
        <v>158.1</v>
      </c>
    </row>
    <row r="16" spans="1:17">
      <c r="A16" s="18" t="s">
        <v>100</v>
      </c>
      <c r="B16" s="12">
        <f>B22</f>
        <v>4</v>
      </c>
      <c r="C16" s="4">
        <f>IF(B$14=0,0,B16/B$14)</f>
        <v>0.14814814814814814</v>
      </c>
      <c r="E16" s="33" t="s">
        <v>59</v>
      </c>
      <c r="F16" s="30" t="s">
        <v>23</v>
      </c>
      <c r="G16" s="13">
        <v>0</v>
      </c>
      <c r="H16" s="94">
        <f>IF(B$17=0,0,G16/B$17)</f>
        <v>0</v>
      </c>
      <c r="I16" s="56">
        <v>28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0.21428571428571427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8.3333333333333329E-2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N18" s="75" t="s">
        <v>258</v>
      </c>
      <c r="O18" s="85">
        <f t="shared" ref="O18:O30" si="3">IF(P18=0,0,Q18/P18)</f>
        <v>67.100000000000009</v>
      </c>
      <c r="P18" s="79">
        <v>1</v>
      </c>
      <c r="Q18" s="67">
        <v>67.100000000000009</v>
      </c>
    </row>
    <row r="19" spans="1:17">
      <c r="A19" s="19" t="s">
        <v>12</v>
      </c>
      <c r="B19" s="13">
        <v>8</v>
      </c>
      <c r="C19" s="6">
        <f>IF(B$17=0,0,B19/B$17)</f>
        <v>0.44444444444444442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277</v>
      </c>
      <c r="O19" s="86">
        <f t="shared" si="3"/>
        <v>61.06666666666667</v>
      </c>
      <c r="P19" s="80">
        <v>6</v>
      </c>
      <c r="Q19" s="68">
        <v>366.40000000000003</v>
      </c>
    </row>
    <row r="20" spans="1:17">
      <c r="A20" s="19" t="s">
        <v>11</v>
      </c>
      <c r="B20" s="13">
        <v>10</v>
      </c>
      <c r="C20" s="6">
        <f>IF(B$17=0,0,B20/B$17)</f>
        <v>0.55555555555555558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48.5</v>
      </c>
      <c r="P20" s="80">
        <v>1</v>
      </c>
      <c r="Q20" s="68">
        <v>48.5</v>
      </c>
    </row>
    <row r="21" spans="1:17">
      <c r="A21" s="19" t="s">
        <v>151</v>
      </c>
      <c r="B21" s="13">
        <v>12</v>
      </c>
      <c r="C21" s="6">
        <f>IF(B$17=0,0,B21/B$17)</f>
        <v>0.66666666666666663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235</v>
      </c>
      <c r="O21" s="86">
        <f t="shared" si="3"/>
        <v>36.333333333333336</v>
      </c>
      <c r="P21" s="80">
        <v>3</v>
      </c>
      <c r="Q21" s="68">
        <v>109</v>
      </c>
    </row>
    <row r="22" spans="1:17">
      <c r="A22" s="19" t="s">
        <v>149</v>
      </c>
      <c r="B22" s="13">
        <v>4</v>
      </c>
      <c r="C22" s="6">
        <f>IF(B$17=0,0,B22/B$17)</f>
        <v>0.22222222222222221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269</v>
      </c>
      <c r="O22" s="86">
        <f t="shared" si="3"/>
        <v>26.783333333333335</v>
      </c>
      <c r="P22" s="80">
        <v>6</v>
      </c>
      <c r="Q22" s="68">
        <v>160.70000000000002</v>
      </c>
    </row>
    <row r="23" spans="1:17">
      <c r="A23" s="19" t="s">
        <v>150</v>
      </c>
      <c r="B23" s="13">
        <v>2</v>
      </c>
      <c r="C23" s="6">
        <f>IF(B$17=0,0,B23/B$17)</f>
        <v>0.1111111111111111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21</v>
      </c>
      <c r="P23" s="80">
        <v>2</v>
      </c>
      <c r="Q23" s="68">
        <v>42</v>
      </c>
    </row>
    <row r="24" spans="1:17">
      <c r="A24" s="19" t="s">
        <v>5</v>
      </c>
      <c r="B24" s="16">
        <f>IF(B$17=0,0,C24/B$17)</f>
        <v>8538.8888888888887</v>
      </c>
      <c r="C24" s="8">
        <v>153700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9</v>
      </c>
      <c r="N24" s="76" t="s">
        <v>297</v>
      </c>
      <c r="O24" s="86">
        <f t="shared" si="3"/>
        <v>21</v>
      </c>
      <c r="P24" s="80">
        <v>1</v>
      </c>
      <c r="Q24" s="68">
        <v>21</v>
      </c>
    </row>
    <row r="25" spans="1:17">
      <c r="A25" s="20" t="s">
        <v>133</v>
      </c>
      <c r="B25" s="97">
        <f>IF($B$17-B$16=0,0,C25/($B$17-B$16))</f>
        <v>9264.2857142857138</v>
      </c>
      <c r="C25" s="98">
        <v>129700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244</v>
      </c>
      <c r="O25" s="86">
        <f t="shared" si="3"/>
        <v>16.20000000000001</v>
      </c>
      <c r="P25" s="80">
        <v>2</v>
      </c>
      <c r="Q25" s="68">
        <v>32.40000000000002</v>
      </c>
    </row>
    <row r="26" spans="1:17">
      <c r="A26" s="20" t="s">
        <v>134</v>
      </c>
      <c r="B26" s="97">
        <f>IF(B$16=0,0,C26/B$16)</f>
        <v>6000</v>
      </c>
      <c r="C26" s="98">
        <v>24000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N26" s="76" t="s">
        <v>263</v>
      </c>
      <c r="O26" s="86">
        <f t="shared" si="3"/>
        <v>15.14</v>
      </c>
      <c r="P26" s="80">
        <v>5</v>
      </c>
      <c r="Q26" s="68">
        <v>75.7</v>
      </c>
    </row>
    <row r="27" spans="1:17">
      <c r="A27" s="20" t="s">
        <v>132</v>
      </c>
      <c r="B27" s="97">
        <f>IF(B$18=0,0,C27/B$18)</f>
        <v>-5614.2857142857147</v>
      </c>
      <c r="C27" s="98">
        <v>-39300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N27" s="76" t="s">
        <v>265</v>
      </c>
      <c r="O27" s="86">
        <f t="shared" si="3"/>
        <v>-5.9749999999999979</v>
      </c>
      <c r="P27" s="80">
        <v>4</v>
      </c>
      <c r="Q27" s="68">
        <v>-23.899999999999991</v>
      </c>
    </row>
    <row r="28" spans="1:17">
      <c r="A28" s="19" t="s">
        <v>130</v>
      </c>
      <c r="B28" s="13">
        <v>2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N28" s="76" t="s">
        <v>169</v>
      </c>
      <c r="O28" s="86">
        <f t="shared" si="3"/>
        <v>-37.4</v>
      </c>
      <c r="P28" s="80">
        <v>1</v>
      </c>
      <c r="Q28" s="68">
        <v>-37.4</v>
      </c>
    </row>
    <row r="29" spans="1:17">
      <c r="A29" s="19" t="s">
        <v>131</v>
      </c>
      <c r="B29" s="13">
        <v>25</v>
      </c>
      <c r="C29" s="96">
        <v>6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15</v>
      </c>
      <c r="N29" s="76" t="s">
        <v>238</v>
      </c>
      <c r="O29" s="86">
        <f t="shared" si="3"/>
        <v>-65.400000000000006</v>
      </c>
      <c r="P29" s="80">
        <v>1</v>
      </c>
      <c r="Q29" s="68">
        <v>-65.400000000000006</v>
      </c>
    </row>
    <row r="30" spans="1:17">
      <c r="A30" s="52" t="s">
        <v>111</v>
      </c>
      <c r="B30" s="114">
        <v>3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272</v>
      </c>
      <c r="O30" s="86">
        <f t="shared" si="3"/>
        <v>-79.966666666666654</v>
      </c>
      <c r="P30" s="80">
        <v>3</v>
      </c>
      <c r="Q30" s="68">
        <v>-239.89999999999998</v>
      </c>
    </row>
    <row r="31" spans="1:17">
      <c r="A31" s="22" t="s">
        <v>148</v>
      </c>
      <c r="B31" s="116">
        <v>60800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1</v>
      </c>
      <c r="C32" s="9">
        <f>IF(B$3=0,0,B32/B$3)</f>
        <v>1.1904761904761904E-2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5.5555555555555552E-2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0.1111111111111111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5.5555555555555552E-2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-500</v>
      </c>
      <c r="P2" s="79">
        <v>2</v>
      </c>
      <c r="Q2" s="63">
        <v>-1000</v>
      </c>
    </row>
    <row r="3" spans="1:17">
      <c r="A3" s="19" t="s">
        <v>8</v>
      </c>
      <c r="B3" s="122">
        <v>12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-5900</v>
      </c>
      <c r="P3" s="80">
        <v>2</v>
      </c>
      <c r="Q3" s="64">
        <v>-11800</v>
      </c>
    </row>
    <row r="4" spans="1:17">
      <c r="A4" s="19" t="s">
        <v>6</v>
      </c>
      <c r="B4" s="124">
        <v>8.1999999999999993</v>
      </c>
      <c r="C4" s="125"/>
      <c r="E4" s="33" t="s">
        <v>57</v>
      </c>
      <c r="F4" s="30" t="s">
        <v>21</v>
      </c>
      <c r="G4" s="13">
        <v>1</v>
      </c>
      <c r="H4" s="94">
        <f>IF(B$17=0,0,G4/B$17)</f>
        <v>0.5</v>
      </c>
      <c r="I4" s="56">
        <v>3</v>
      </c>
      <c r="K4" s="5">
        <v>2</v>
      </c>
      <c r="L4" s="61">
        <v>8.1999999999999993</v>
      </c>
      <c r="N4" s="76" t="s">
        <v>105</v>
      </c>
      <c r="O4" s="83">
        <f t="shared" si="0"/>
        <v>8000</v>
      </c>
      <c r="P4" s="80">
        <v>1</v>
      </c>
      <c r="Q4" s="64">
        <v>8000</v>
      </c>
    </row>
    <row r="5" spans="1:17">
      <c r="A5" s="19" t="s">
        <v>7</v>
      </c>
      <c r="B5" s="126">
        <f>IF(B$2=0,0,B$4/B$2)</f>
        <v>4.0999999999999996</v>
      </c>
      <c r="C5" s="127"/>
      <c r="E5" s="33" t="s">
        <v>59</v>
      </c>
      <c r="F5" s="30" t="s">
        <v>23</v>
      </c>
      <c r="G5" s="13">
        <v>1</v>
      </c>
      <c r="H5" s="94">
        <f>IF(B$17=0,0,G5/B$17)</f>
        <v>0.5</v>
      </c>
      <c r="I5" s="56">
        <v>2</v>
      </c>
      <c r="N5" s="76" t="s">
        <v>157</v>
      </c>
      <c r="O5" s="83">
        <f>IF(P5=0,0,Q5/P5)</f>
        <v>3000</v>
      </c>
      <c r="P5" s="80">
        <v>1</v>
      </c>
      <c r="Q5" s="64">
        <v>3000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184</v>
      </c>
      <c r="F6" s="30" t="s">
        <v>187</v>
      </c>
      <c r="G6" s="13">
        <v>1</v>
      </c>
      <c r="H6" s="94">
        <f>IF(B$17=0,0,G6/B$17)</f>
        <v>0.5</v>
      </c>
      <c r="I6" s="56">
        <v>11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0</v>
      </c>
      <c r="H7" s="94">
        <f>IF(B$17=0,0,G7/B$17)</f>
        <v>0</v>
      </c>
      <c r="I7" s="56">
        <v>28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0.33333333333333331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29.5</v>
      </c>
      <c r="P13" s="80">
        <v>1</v>
      </c>
      <c r="Q13" s="68">
        <v>29.5</v>
      </c>
    </row>
    <row r="14" spans="1:17">
      <c r="A14" s="19" t="s">
        <v>94</v>
      </c>
      <c r="B14" s="13">
        <v>5</v>
      </c>
      <c r="C14" s="6">
        <f>IF(B$3=0,0,B14/B$3)</f>
        <v>0.41666666666666669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-21.3</v>
      </c>
      <c r="P15" s="81">
        <v>1</v>
      </c>
      <c r="Q15" s="69">
        <v>-21.3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0.16666666666666666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0.16666666666666666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269</v>
      </c>
      <c r="O18" s="85">
        <f>IF(P18=0,0,Q18/P18)</f>
        <v>50.25</v>
      </c>
      <c r="P18" s="79">
        <v>2</v>
      </c>
      <c r="Q18" s="67">
        <v>100.5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169</v>
      </c>
      <c r="O19" s="86">
        <f>IF(P19=0,0,Q19/P19)</f>
        <v>0</v>
      </c>
      <c r="P19" s="80">
        <v>1</v>
      </c>
      <c r="Q19" s="68">
        <v>0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276</v>
      </c>
      <c r="O20" s="86">
        <f>IF(P20=0,0,Q20/P20)</f>
        <v>-21</v>
      </c>
      <c r="P20" s="80">
        <v>1</v>
      </c>
      <c r="Q20" s="68">
        <v>-21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255</v>
      </c>
      <c r="O21" s="86">
        <f>IF(P21=0,0,Q21/P21)</f>
        <v>-23.35</v>
      </c>
      <c r="P21" s="80">
        <v>2</v>
      </c>
      <c r="Q21" s="68">
        <v>-46.7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5000</v>
      </c>
      <c r="C24" s="8">
        <v>10000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5000</v>
      </c>
      <c r="C25" s="98">
        <v>10000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-4200</v>
      </c>
      <c r="C27" s="98">
        <v>-8400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29500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49</vt:i4>
      </vt:variant>
      <vt:variant>
        <vt:lpstr>名前付き一覧</vt:lpstr>
      </vt:variant>
      <vt:variant>
        <vt:i4>2622</vt:i4>
      </vt:variant>
    </vt:vector>
  </HeadingPairs>
  <TitlesOfParts>
    <vt:vector size="267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dcterms:created xsi:type="dcterms:W3CDTF">2018-11-18T09:24:12Z</dcterms:created>
  <dcterms:modified xsi:type="dcterms:W3CDTF">2023-10-12T09:43:54Z</dcterms:modified>
</cp:coreProperties>
</file>