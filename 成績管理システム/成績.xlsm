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67D36E8D-7D74-4D17-BD95-53AAFE1AEDF4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6313" l="1"/>
  <c r="O26" i="6287"/>
  <c r="O29" i="6311" l="1"/>
  <c r="O32" i="6307"/>
  <c r="O18" i="6304"/>
  <c r="O19" i="6304"/>
  <c r="O32" i="6309"/>
  <c r="O32" i="6304"/>
  <c r="O20" i="6302"/>
  <c r="O18" i="6301"/>
  <c r="O25" i="6311" l="1"/>
  <c r="O26" i="6313"/>
  <c r="O21" i="6305"/>
  <c r="O27" i="6305"/>
  <c r="O19" i="6311" l="1"/>
  <c r="O23" i="6311"/>
  <c r="O43" i="6277"/>
  <c r="O21" i="6309"/>
  <c r="O28" i="6287"/>
  <c r="O21" i="6311"/>
  <c r="O23" i="6307" l="1"/>
  <c r="O29" i="6307"/>
  <c r="O45" i="6287"/>
  <c r="O27" i="6287"/>
  <c r="O39" i="6287"/>
  <c r="O24" i="6315"/>
  <c r="O22" i="6315"/>
  <c r="O21" i="6314"/>
  <c r="O31" i="6277"/>
  <c r="O46" i="6277"/>
  <c r="O38" i="6277"/>
  <c r="O27" i="6315"/>
  <c r="O20" i="6313"/>
  <c r="O28" i="6309"/>
  <c r="O18" i="6315" l="1"/>
  <c r="O20" i="6315"/>
  <c r="O30" i="6305"/>
  <c r="O27" i="6306"/>
  <c r="O19" i="6302" l="1"/>
  <c r="O28" i="6315"/>
  <c r="O24" i="6314" l="1"/>
  <c r="O29" i="6309"/>
  <c r="O20" i="6307"/>
  <c r="O20" i="6305"/>
  <c r="O24" i="6305"/>
  <c r="O28" i="6305"/>
  <c r="O31" i="6307" l="1"/>
  <c r="O21" i="6307"/>
  <c r="O21" i="6302"/>
  <c r="O29" i="6302"/>
  <c r="O18" i="6302"/>
  <c r="O23" i="6314"/>
  <c r="O22" i="6314"/>
  <c r="O22" i="6313"/>
  <c r="O26" i="6315" l="1"/>
  <c r="O25" i="6315"/>
  <c r="O31" i="6304"/>
  <c r="O28" i="6304"/>
  <c r="O25" i="6304"/>
  <c r="O25" i="6314"/>
  <c r="O18" i="6314"/>
  <c r="O30" i="6309"/>
  <c r="O19" i="6309"/>
  <c r="O18" i="6309"/>
  <c r="O18" i="6311" l="1"/>
  <c r="O19" i="6315"/>
  <c r="O20" i="6314"/>
  <c r="O25" i="6301"/>
  <c r="O32" i="6301"/>
  <c r="O19" i="6301"/>
  <c r="O29" i="6315" l="1"/>
  <c r="O23" i="6315"/>
  <c r="O21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19" i="6313"/>
  <c r="O20" i="6311"/>
  <c r="O24" i="6311"/>
  <c r="O26" i="6311"/>
  <c r="O23" i="6272"/>
  <c r="O26" i="6314"/>
  <c r="O27" i="6314"/>
  <c r="O19" i="6314"/>
  <c r="C32" i="6314"/>
  <c r="B27" i="6314"/>
  <c r="C18" i="6314"/>
  <c r="B17" i="6314"/>
  <c r="C43" i="6314" s="1"/>
  <c r="C16" i="6314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3" i="6272"/>
  <c r="H12" i="6315" l="1"/>
  <c r="H30" i="6315"/>
  <c r="H19" i="6315"/>
  <c r="H10" i="6315"/>
  <c r="H37" i="6315"/>
  <c r="H22" i="6315"/>
  <c r="C37" i="6315"/>
  <c r="H16" i="6315"/>
  <c r="H11" i="6315"/>
  <c r="C19" i="6315"/>
  <c r="H18" i="6315"/>
  <c r="C39" i="6315"/>
  <c r="H7" i="6315"/>
  <c r="H2" i="6315"/>
  <c r="H20" i="6315"/>
  <c r="H9" i="6315"/>
  <c r="C20" i="6315"/>
  <c r="H5" i="6315"/>
  <c r="H8" i="6315"/>
  <c r="H25" i="6315"/>
  <c r="H29" i="6315"/>
  <c r="H41" i="6315"/>
  <c r="C41" i="6315"/>
  <c r="H42" i="6315"/>
  <c r="H26" i="6315"/>
  <c r="H17" i="6315"/>
  <c r="H34" i="6315"/>
  <c r="C42" i="6315"/>
  <c r="H4" i="6315"/>
  <c r="H33" i="6315"/>
  <c r="H15" i="6315"/>
  <c r="C17" i="6315"/>
  <c r="C23" i="6315"/>
  <c r="H6" i="6315"/>
  <c r="H21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3" i="6315"/>
  <c r="H36" i="6315"/>
  <c r="H40" i="6315"/>
  <c r="C44" i="6315"/>
  <c r="C21" i="6315"/>
  <c r="B25" i="6315"/>
  <c r="H14" i="6315"/>
  <c r="C36" i="6315"/>
  <c r="C40" i="6315"/>
  <c r="C17" i="6314"/>
  <c r="H7" i="6314"/>
  <c r="H9" i="6314"/>
  <c r="H25" i="6314"/>
  <c r="H36" i="6314"/>
  <c r="C44" i="6314"/>
  <c r="B25" i="6314"/>
  <c r="C36" i="6314"/>
  <c r="C40" i="6314"/>
  <c r="C45" i="6314"/>
  <c r="H5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6" i="6314"/>
  <c r="H14" i="6314"/>
  <c r="H19" i="6314"/>
  <c r="H23" i="6314"/>
  <c r="H27" i="6314"/>
  <c r="H33" i="6314"/>
  <c r="H38" i="6314"/>
  <c r="H42" i="6314"/>
  <c r="H21" i="6314"/>
  <c r="H30" i="6314"/>
  <c r="H40" i="6314"/>
  <c r="H11" i="6314"/>
  <c r="H13" i="6314"/>
  <c r="C21" i="6314"/>
  <c r="H31" i="6314"/>
  <c r="H3" i="6314"/>
  <c r="C19" i="6314"/>
  <c r="C23" i="6314"/>
  <c r="H34" i="6314"/>
  <c r="C38" i="6314"/>
  <c r="C42" i="6314"/>
  <c r="H2" i="6314"/>
  <c r="H10" i="6314"/>
  <c r="H20" i="6314"/>
  <c r="H24" i="6314"/>
  <c r="H28" i="6314"/>
  <c r="H35" i="6314"/>
  <c r="H39" i="6314"/>
  <c r="H4" i="6314"/>
  <c r="H12" i="6314"/>
  <c r="H15" i="6314"/>
  <c r="H17" i="6314"/>
  <c r="C20" i="6314"/>
  <c r="B24" i="6314"/>
  <c r="H29" i="6314"/>
  <c r="C35" i="6314"/>
  <c r="C39" i="6314"/>
  <c r="O30" i="6313" l="1"/>
  <c r="O25" i="6313"/>
  <c r="O28" i="6313"/>
  <c r="O19" i="6310"/>
  <c r="O22" i="6310"/>
  <c r="O27" i="6303"/>
  <c r="O24" i="6303"/>
  <c r="O26" i="6303"/>
  <c r="O26" i="6307"/>
  <c r="O18" i="6307"/>
  <c r="O28" i="6301" l="1"/>
  <c r="O24" i="6313"/>
  <c r="O23" i="6313" l="1"/>
  <c r="O29" i="6313"/>
  <c r="O27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6" i="6309"/>
  <c r="O27" i="6309"/>
  <c r="O54" i="6272"/>
  <c r="H2" i="6313" l="1"/>
  <c r="H17" i="6313"/>
  <c r="C35" i="6313"/>
  <c r="C20" i="6313"/>
  <c r="H10" i="6313"/>
  <c r="H41" i="6313"/>
  <c r="H20" i="6313"/>
  <c r="H14" i="6313"/>
  <c r="C21" i="6313"/>
  <c r="H16" i="6313"/>
  <c r="C36" i="6313"/>
  <c r="C41" i="6313"/>
  <c r="H24" i="6313"/>
  <c r="H29" i="6313"/>
  <c r="H37" i="6313"/>
  <c r="C42" i="6313"/>
  <c r="H31" i="6313"/>
  <c r="H6" i="6313"/>
  <c r="H18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5" i="6313"/>
  <c r="H11" i="6313"/>
  <c r="H4" i="6313"/>
  <c r="H8" i="6313"/>
  <c r="H21" i="6313"/>
  <c r="H26" i="6313"/>
  <c r="H39" i="6313"/>
  <c r="H19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5" i="6313"/>
  <c r="H27" i="6313"/>
  <c r="H30" i="6313"/>
  <c r="H36" i="6313"/>
  <c r="H40" i="6313"/>
  <c r="O20" i="6287" l="1"/>
  <c r="O18" i="6287"/>
  <c r="O36" i="6287"/>
  <c r="O19" i="6306"/>
  <c r="O24" i="6306"/>
  <c r="O28" i="6306"/>
  <c r="O23" i="6308"/>
  <c r="O21" i="6308"/>
  <c r="O24" i="6309"/>
  <c r="O20" i="6309"/>
  <c r="O23" i="6293" l="1"/>
  <c r="O27" i="6293"/>
  <c r="O18" i="6293"/>
  <c r="O30" i="6307"/>
  <c r="O19" i="6307"/>
  <c r="O24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2" i="6272"/>
  <c r="O22" i="6311"/>
  <c r="O27" i="6311"/>
  <c r="O28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8" i="6311"/>
  <c r="C7" i="6311"/>
  <c r="O6" i="6311"/>
  <c r="H4" i="6311"/>
  <c r="B6" i="6311"/>
  <c r="O5" i="6311"/>
  <c r="H7" i="6311"/>
  <c r="B5" i="6311"/>
  <c r="O4" i="6311"/>
  <c r="H3" i="6311"/>
  <c r="O3" i="6311"/>
  <c r="H6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5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3" i="6301"/>
  <c r="O26" i="6301"/>
  <c r="O31" i="6301"/>
  <c r="O22" i="6309"/>
  <c r="O22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3" i="6309"/>
  <c r="O25" i="6309"/>
  <c r="O31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28" i="6307"/>
  <c r="O27" i="6307"/>
  <c r="O2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6" i="6272"/>
  <c r="O47" i="6272"/>
  <c r="O28" i="6272"/>
  <c r="H8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7" i="6307"/>
  <c r="H19" i="6307"/>
  <c r="H3" i="6307"/>
  <c r="C21" i="6307"/>
  <c r="H14" i="6307"/>
  <c r="H8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5" i="6309"/>
  <c r="H15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10" i="6309"/>
  <c r="H22" i="6309"/>
  <c r="H12" i="6309"/>
  <c r="H30" i="6309"/>
  <c r="C37" i="6309"/>
  <c r="C43" i="6309"/>
  <c r="H17" i="6309"/>
  <c r="C22" i="6309"/>
  <c r="H7" i="6309"/>
  <c r="H20" i="6309"/>
  <c r="C23" i="6309"/>
  <c r="H13" i="6309"/>
  <c r="H38" i="6309"/>
  <c r="C46" i="6309"/>
  <c r="H9" i="6309"/>
  <c r="H37" i="6309"/>
  <c r="H4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4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3" i="6307"/>
  <c r="C42" i="6307"/>
  <c r="H6" i="6307"/>
  <c r="H23" i="6307"/>
  <c r="C22" i="6307"/>
  <c r="H31" i="6307"/>
  <c r="C37" i="6307"/>
  <c r="H5" i="6307"/>
  <c r="C43" i="6307"/>
  <c r="H37" i="6307"/>
  <c r="H15" i="6307"/>
  <c r="H2" i="6307"/>
  <c r="H32" i="6307"/>
  <c r="H9" i="6307"/>
  <c r="H18" i="6307"/>
  <c r="H25" i="6307"/>
  <c r="H39" i="6307"/>
  <c r="C45" i="6307"/>
  <c r="H29" i="6307"/>
  <c r="H10" i="6307"/>
  <c r="C23" i="6307"/>
  <c r="H4" i="6307"/>
  <c r="H16" i="6307"/>
  <c r="C19" i="6307"/>
  <c r="B24" i="6307"/>
  <c r="H34" i="6307"/>
  <c r="C39" i="6307"/>
  <c r="C46" i="6307"/>
  <c r="C17" i="6307"/>
  <c r="H20" i="6307"/>
  <c r="C38" i="6307"/>
  <c r="H7" i="6307"/>
  <c r="H21" i="6307"/>
  <c r="H12" i="6307"/>
  <c r="H35" i="6307"/>
  <c r="C40" i="6307"/>
  <c r="C47" i="6307"/>
  <c r="B25" i="6307"/>
  <c r="H11" i="6307"/>
  <c r="H24" i="6307"/>
  <c r="H27" i="6307"/>
  <c r="H33" i="6307"/>
  <c r="H38" i="6307"/>
  <c r="H42" i="6307"/>
  <c r="H22" i="6307"/>
  <c r="H26" i="6307"/>
  <c r="H30" i="6307"/>
  <c r="H36" i="6307"/>
  <c r="H40" i="6307"/>
  <c r="O26" i="6305" l="1"/>
  <c r="O23" i="6298"/>
  <c r="O31" i="6305" l="1"/>
  <c r="O29" i="6305"/>
  <c r="O18" i="6295"/>
  <c r="O21" i="6287"/>
  <c r="O25" i="6305"/>
  <c r="O23" i="6305"/>
  <c r="O20" i="6306"/>
  <c r="O25" i="6306"/>
  <c r="O22" i="6306"/>
  <c r="O30" i="6304"/>
  <c r="O27" i="6304"/>
  <c r="O26" i="6304"/>
  <c r="O32" i="6277"/>
  <c r="O23" i="6277"/>
  <c r="O30" i="6301" l="1"/>
  <c r="O24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7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3" i="6302" l="1"/>
  <c r="O30" i="6302"/>
  <c r="O29" i="6301"/>
  <c r="O21" i="6301"/>
  <c r="O18" i="6305"/>
  <c r="O19" i="6305"/>
  <c r="O22" i="6305"/>
  <c r="C32" i="6305"/>
  <c r="B27" i="6305"/>
  <c r="C18" i="6305"/>
  <c r="B17" i="6305"/>
  <c r="C17" i="6305" s="1"/>
  <c r="B16" i="6305"/>
  <c r="O15" i="6305"/>
  <c r="H17" i="6305"/>
  <c r="B15" i="6305"/>
  <c r="C15" i="6305" s="1"/>
  <c r="O14" i="6305"/>
  <c r="C14" i="6305"/>
  <c r="O13" i="6305"/>
  <c r="C13" i="6305"/>
  <c r="O12" i="6305"/>
  <c r="H14" i="6305"/>
  <c r="C12" i="6305"/>
  <c r="B11" i="6305"/>
  <c r="C11" i="6305" s="1"/>
  <c r="C10" i="6305"/>
  <c r="O9" i="6305"/>
  <c r="C9" i="6305"/>
  <c r="O8" i="6305"/>
  <c r="H11" i="6305"/>
  <c r="C8" i="6305"/>
  <c r="O7" i="6305"/>
  <c r="C7" i="6305"/>
  <c r="O6" i="6305"/>
  <c r="B6" i="6305"/>
  <c r="O5" i="6305"/>
  <c r="B5" i="6305"/>
  <c r="O4" i="6305"/>
  <c r="H5" i="6305"/>
  <c r="O3" i="6305"/>
  <c r="O2" i="6305"/>
  <c r="O47" i="6277"/>
  <c r="O49" i="6272"/>
  <c r="H4" i="6305" l="1"/>
  <c r="H6" i="6305"/>
  <c r="H7" i="6305"/>
  <c r="H9" i="6305"/>
  <c r="H18" i="6305"/>
  <c r="H2" i="6305"/>
  <c r="H15" i="6305"/>
  <c r="H8" i="6305"/>
  <c r="H10" i="6305"/>
  <c r="H13" i="6305"/>
  <c r="H16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2" i="6305"/>
  <c r="H19" i="6305"/>
  <c r="O24" i="6302" l="1"/>
  <c r="O22" i="6304"/>
  <c r="O30" i="6298" l="1"/>
  <c r="O44" i="6287"/>
  <c r="O20" i="6304"/>
  <c r="O21" i="6304"/>
  <c r="O21" i="6277" l="1"/>
  <c r="O37" i="6277"/>
  <c r="O26" i="6299"/>
  <c r="O25" i="6302"/>
  <c r="O25" i="6295" l="1"/>
  <c r="O21" i="6299"/>
  <c r="O20" i="6299"/>
  <c r="O18" i="6303"/>
  <c r="O21" i="6303"/>
  <c r="O40" i="6272"/>
  <c r="O23" i="6304"/>
  <c r="O24" i="6304"/>
  <c r="O29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7" i="6304"/>
  <c r="H22" i="6304"/>
  <c r="H20" i="6304"/>
  <c r="H3" i="6304"/>
  <c r="H4" i="6304"/>
  <c r="H18" i="6304"/>
  <c r="H19" i="6304"/>
  <c r="H7" i="6304"/>
  <c r="H6" i="6304"/>
  <c r="H12" i="6304"/>
  <c r="H11" i="6304"/>
  <c r="H9" i="6304"/>
  <c r="H21" i="6304"/>
  <c r="B26" i="6304"/>
  <c r="C16" i="6304"/>
  <c r="C47" i="6304"/>
  <c r="C46" i="6304"/>
  <c r="C45" i="6304"/>
  <c r="C44" i="6304"/>
  <c r="C43" i="6304"/>
  <c r="H5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6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5" i="6304"/>
  <c r="C20" i="6304"/>
  <c r="H23" i="6304"/>
  <c r="C19" i="6304"/>
  <c r="H10" i="6304"/>
  <c r="H14" i="6304"/>
  <c r="O28" i="6302" l="1"/>
  <c r="O26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3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2" i="6302"/>
  <c r="O31" i="6302"/>
  <c r="C32" i="6302"/>
  <c r="B27" i="6302"/>
  <c r="C18" i="6302"/>
  <c r="B17" i="6302"/>
  <c r="C17" i="6302" s="1"/>
  <c r="B16" i="6302"/>
  <c r="O15" i="6302"/>
  <c r="H17" i="6302"/>
  <c r="B15" i="6302"/>
  <c r="C15" i="6302" s="1"/>
  <c r="O14" i="6302"/>
  <c r="H16" i="6302"/>
  <c r="C14" i="6302"/>
  <c r="O13" i="6302"/>
  <c r="C13" i="6302"/>
  <c r="O12" i="6302"/>
  <c r="C12" i="6302"/>
  <c r="H13" i="6302"/>
  <c r="B11" i="6302"/>
  <c r="C11" i="6302" s="1"/>
  <c r="H2" i="6302"/>
  <c r="C10" i="6302"/>
  <c r="O9" i="6302"/>
  <c r="H8" i="6302"/>
  <c r="C9" i="6302"/>
  <c r="O8" i="6302"/>
  <c r="H11" i="6302"/>
  <c r="C8" i="6302"/>
  <c r="O7" i="6302"/>
  <c r="H5" i="6302"/>
  <c r="C7" i="6302"/>
  <c r="O6" i="6302"/>
  <c r="H7" i="6302"/>
  <c r="B6" i="6302"/>
  <c r="O5" i="6302"/>
  <c r="H9" i="6302"/>
  <c r="B5" i="6302"/>
  <c r="O4" i="6302"/>
  <c r="O3" i="6302"/>
  <c r="H10" i="6302"/>
  <c r="O2" i="6302"/>
  <c r="H3" i="6302"/>
  <c r="O19" i="6299"/>
  <c r="O31" i="6272"/>
  <c r="H14" i="6302" l="1"/>
  <c r="H4" i="6302"/>
  <c r="H15" i="6302"/>
  <c r="H18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2" i="6302"/>
  <c r="C20" i="6302"/>
  <c r="H21" i="6302"/>
  <c r="C19" i="6302"/>
  <c r="H20" i="6302"/>
  <c r="H19" i="6302"/>
  <c r="O19" i="6287" l="1"/>
  <c r="O23" i="6295"/>
  <c r="O22" i="6301"/>
  <c r="O33" i="6301"/>
  <c r="O20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5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H2" i="6301"/>
  <c r="O3" i="6301"/>
  <c r="H9" i="6301"/>
  <c r="O2" i="6301"/>
  <c r="H3" i="6301"/>
  <c r="O36" i="6277"/>
  <c r="O27" i="6272"/>
  <c r="H16" i="6301" l="1"/>
  <c r="H12" i="6301"/>
  <c r="B26" i="6301"/>
  <c r="C16" i="6301"/>
  <c r="C47" i="6301"/>
  <c r="C46" i="6301"/>
  <c r="C45" i="6301"/>
  <c r="C44" i="6301"/>
  <c r="C43" i="6301"/>
  <c r="H6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7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3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2" i="6277"/>
  <c r="O36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7" i="6287" l="1"/>
  <c r="O31" i="6284"/>
  <c r="O20" i="6273"/>
  <c r="O5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6" i="6272"/>
  <c r="O46" i="6287"/>
  <c r="O42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9" i="6277" l="1"/>
  <c r="O37" i="6287"/>
  <c r="O34" i="6287"/>
  <c r="O21" i="6273"/>
  <c r="O41" i="6287"/>
  <c r="O40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5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5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8" i="6272"/>
  <c r="O23" i="6278"/>
  <c r="O18" i="6278"/>
  <c r="O18" i="6275"/>
  <c r="O26" i="6275"/>
  <c r="O22" i="6275"/>
  <c r="O21" i="6282"/>
  <c r="O22" i="6282"/>
  <c r="O4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1" i="6277"/>
  <c r="O40" i="6277"/>
  <c r="O28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2" i="6272"/>
  <c r="O42" i="6277"/>
  <c r="O44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1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5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29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5" i="6272"/>
  <c r="C37" i="6272"/>
  <c r="H2" i="6272"/>
  <c r="H17" i="6272"/>
  <c r="H26" i="6272"/>
  <c r="C38" i="6272"/>
  <c r="H30" i="6272"/>
  <c r="H23" i="6272"/>
  <c r="H39" i="6272"/>
  <c r="C45" i="6272"/>
  <c r="H32" i="6272"/>
  <c r="C43" i="6272"/>
  <c r="H7" i="6272"/>
  <c r="H5" i="6272"/>
  <c r="C19" i="6272"/>
  <c r="H27" i="6272"/>
  <c r="C39" i="6272"/>
  <c r="C46" i="6272"/>
  <c r="H10" i="6272"/>
  <c r="H6" i="6272"/>
  <c r="C17" i="6272"/>
  <c r="C23" i="6272"/>
  <c r="H28" i="6272"/>
  <c r="B24" i="6272"/>
  <c r="H8" i="6272"/>
  <c r="H31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<sst xmlns="http://schemas.openxmlformats.org/spreadsheetml/2006/main" count="8740" uniqueCount="291">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</sst>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全体!$K$2:$K$415</c:f>
              <c:numCache>
                <c:formatCode>General</c:formatCode>
                <c:ptCount val="4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</c:numCache>
            </c:numRef>
          </c:xVal>
          <c:yVal>
            <c:numRef>
              <c:f>全体!$L$2:$L$415</c:f>
              <c:numCache>
                <c:formatCode>\+0.0;\-0.0;\±0</c:formatCode>
                <c:ptCount val="41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-62.953995157384988</c:v>
                </c:pt>
                <c:pt idx="1">
                  <c:v>-21.791767554479417</c:v>
                </c:pt>
                <c:pt idx="2">
                  <c:v>-21.728395061728396</c:v>
                </c:pt>
                <c:pt idx="3">
                  <c:v>-56.300268096514742</c:v>
                </c:pt>
                <c:pt idx="4">
                  <c:v>-15.384615384615385</c:v>
                </c:pt>
                <c:pt idx="5">
                  <c:v>-45.454545454545453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73</c:v>
                </c:pt>
                <c:pt idx="1">
                  <c:v>125</c:v>
                </c:pt>
                <c:pt idx="2">
                  <c:v>146</c:v>
                </c:pt>
                <c:pt idx="3">
                  <c:v>136</c:v>
                </c:pt>
                <c:pt idx="4">
                  <c:v>69</c:v>
                </c:pt>
                <c:pt idx="5">
                  <c:v>63</c:v>
                </c:pt>
                <c:pt idx="6">
                  <c:v>20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佐藤成浩!$L$2:$L$43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778.04878048780483</c:v>
                </c:pt>
                <c:pt idx="1">
                  <c:v>1487.8048780487804</c:v>
                </c:pt>
                <c:pt idx="2">
                  <c:v>1520</c:v>
                </c:pt>
                <c:pt idx="3">
                  <c:v>944.44444444444446</c:v>
                </c:pt>
                <c:pt idx="4">
                  <c:v>1212</c:v>
                </c:pt>
                <c:pt idx="5">
                  <c:v>1741.1764705882354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13</c:v>
                </c:pt>
                <c:pt idx="2">
                  <c:v>14</c:v>
                </c:pt>
                <c:pt idx="3">
                  <c:v>21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柳澤颯吾!$L$2:$L$42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1155</c:v>
                </c:pt>
                <c:pt idx="1">
                  <c:v>882.5</c:v>
                </c:pt>
                <c:pt idx="2">
                  <c:v>858.97435897435901</c:v>
                </c:pt>
                <c:pt idx="3">
                  <c:v>-94.285714285714292</c:v>
                </c:pt>
                <c:pt idx="4">
                  <c:v>263.63636363636363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24</c:v>
                </c:pt>
                <c:pt idx="3">
                  <c:v>6</c:v>
                </c:pt>
                <c:pt idx="4">
                  <c:v>11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中村花菜!$L$2:$L$17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-3053.3333333333335</c:v>
                </c:pt>
                <c:pt idx="1">
                  <c:v>-2800</c:v>
                </c:pt>
                <c:pt idx="2">
                  <c:v>-2260</c:v>
                </c:pt>
                <c:pt idx="3">
                  <c:v>-807.14285714285711</c:v>
                </c:pt>
                <c:pt idx="4">
                  <c:v>-1009.0909090909091</c:v>
                </c:pt>
                <c:pt idx="5">
                  <c:v>1400</c:v>
                </c:pt>
                <c:pt idx="6">
                  <c:v>625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1</c:v>
                </c:pt>
                <c:pt idx="3">
                  <c:v>7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中村季暉!$L$2:$L$19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-235.29411764705881</c:v>
                </c:pt>
                <c:pt idx="1">
                  <c:v>635.29411764705878</c:v>
                </c:pt>
                <c:pt idx="2">
                  <c:v>-943.75</c:v>
                </c:pt>
                <c:pt idx="3">
                  <c:v>-793.33333333333337</c:v>
                </c:pt>
                <c:pt idx="4">
                  <c:v>-2887.5</c:v>
                </c:pt>
                <c:pt idx="5">
                  <c:v>-3440</c:v>
                </c:pt>
                <c:pt idx="6">
                  <c:v>-2100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塩入悠!$L$2:$L$13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-3145.4545454545455</c:v>
                </c:pt>
                <c:pt idx="1">
                  <c:v>-1963.6363636363637</c:v>
                </c:pt>
                <c:pt idx="2">
                  <c:v>990</c:v>
                </c:pt>
                <c:pt idx="3">
                  <c:v>2150</c:v>
                </c:pt>
                <c:pt idx="4">
                  <c:v>-125</c:v>
                </c:pt>
                <c:pt idx="5">
                  <c:v>4500</c:v>
                </c:pt>
                <c:pt idx="6">
                  <c:v>7900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宮澤七星!$L$2:$L$12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-2270</c:v>
                </c:pt>
                <c:pt idx="1">
                  <c:v>1080</c:v>
                </c:pt>
                <c:pt idx="2">
                  <c:v>422.22222222222223</c:v>
                </c:pt>
                <c:pt idx="3">
                  <c:v>1455.5555555555557</c:v>
                </c:pt>
                <c:pt idx="4">
                  <c:v>1742.8571428571429</c:v>
                </c:pt>
                <c:pt idx="5">
                  <c:v>840</c:v>
                </c:pt>
                <c:pt idx="6">
                  <c:v>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湯本咲蔵!$L$2:$L$14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1725</c:v>
                </c:pt>
                <c:pt idx="1">
                  <c:v>-325</c:v>
                </c:pt>
                <c:pt idx="2">
                  <c:v>483.33333333333331</c:v>
                </c:pt>
                <c:pt idx="3">
                  <c:v>-1675</c:v>
                </c:pt>
                <c:pt idx="4">
                  <c:v>100</c:v>
                </c:pt>
                <c:pt idx="5">
                  <c:v>2250</c:v>
                </c:pt>
                <c:pt idx="6">
                  <c:v>-150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山本悠介!$L$2:$L$16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-50</c:v>
                </c:pt>
                <c:pt idx="1">
                  <c:v>1107.1428571428571</c:v>
                </c:pt>
                <c:pt idx="2">
                  <c:v>-492.85714285714283</c:v>
                </c:pt>
                <c:pt idx="3">
                  <c:v>908.33333333333337</c:v>
                </c:pt>
                <c:pt idx="4">
                  <c:v>1427.2727272727273</c:v>
                </c:pt>
                <c:pt idx="5">
                  <c:v>277.77777777777777</c:v>
                </c:pt>
                <c:pt idx="6">
                  <c:v>-2950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4</c:v>
                </c:pt>
                <c:pt idx="2">
                  <c:v>11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渡部陵瑛!$L$2:$L$9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-1828.5714285714287</c:v>
                </c:pt>
                <c:pt idx="1">
                  <c:v>-1500</c:v>
                </c:pt>
                <c:pt idx="2">
                  <c:v>-7200</c:v>
                </c:pt>
                <c:pt idx="3">
                  <c:v>-1014.2857142857143</c:v>
                </c:pt>
                <c:pt idx="4">
                  <c:v>750</c:v>
                </c:pt>
                <c:pt idx="5">
                  <c:v>-200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清水常緑!$L$2:$L$15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1030.7692307692307</c:v>
                </c:pt>
                <c:pt idx="1">
                  <c:v>3730.7692307692309</c:v>
                </c:pt>
                <c:pt idx="2">
                  <c:v>2907.6923076923076</c:v>
                </c:pt>
                <c:pt idx="3">
                  <c:v>2153.8461538461538</c:v>
                </c:pt>
                <c:pt idx="4">
                  <c:v>-1200</c:v>
                </c:pt>
                <c:pt idx="5">
                  <c:v>-585.71428571428567</c:v>
                </c:pt>
                <c:pt idx="6">
                  <c:v>-650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所附快和!$L$2:$L$13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-3390.909090909091</c:v>
                </c:pt>
                <c:pt idx="1">
                  <c:v>-2981.818181818182</c:v>
                </c:pt>
                <c:pt idx="2">
                  <c:v>-2809.090909090909</c:v>
                </c:pt>
                <c:pt idx="3">
                  <c:v>-311.11111111111109</c:v>
                </c:pt>
                <c:pt idx="4">
                  <c:v>-300</c:v>
                </c:pt>
                <c:pt idx="5">
                  <c:v>-1250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長野柊馬!$L$2:$L$11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3277.7777777777778</c:v>
                </c:pt>
                <c:pt idx="1">
                  <c:v>-533.33333333333337</c:v>
                </c:pt>
                <c:pt idx="2">
                  <c:v>2111.1111111111113</c:v>
                </c:pt>
                <c:pt idx="3">
                  <c:v>228.57142857142858</c:v>
                </c:pt>
                <c:pt idx="4">
                  <c:v>-100</c:v>
                </c:pt>
                <c:pt idx="5">
                  <c:v>1300</c:v>
                </c:pt>
                <c:pt idx="6">
                  <c:v>2600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76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413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40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15</v>
      </c>
    </row>
    <row r="30" spans="1:2">
      <c r="A30" t="s">
        <v>238</v>
      </c>
      <c r="B30">
        <v>17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11</v>
      </c>
    </row>
    <row r="33" spans="1:2">
      <c r="A33" t="s">
        <v>255</v>
      </c>
      <c r="B33">
        <v>10</v>
      </c>
    </row>
    <row r="34" spans="1:2">
      <c r="A34" t="s">
        <v>258</v>
      </c>
      <c r="B34">
        <v>7</v>
      </c>
    </row>
    <row r="35" spans="1:2">
      <c r="A35" t="s">
        <v>265</v>
      </c>
      <c r="B35">
        <v>12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7</v>
      </c>
    </row>
    <row r="40" spans="1:2">
      <c r="A40" t="s">
        <v>268</v>
      </c>
      <c r="B40">
        <v>1</v>
      </c>
    </row>
    <row r="41" spans="1:2">
      <c r="A41" t="s">
        <v>272</v>
      </c>
      <c r="B41">
        <v>13</v>
      </c>
    </row>
    <row r="42" spans="1:2">
      <c r="A42" t="s">
        <v>277</v>
      </c>
      <c r="B42">
        <v>11</v>
      </c>
    </row>
    <row r="43" spans="1:2">
      <c r="A43" t="s">
        <v>276</v>
      </c>
      <c r="B43">
        <v>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0.48916918546542087</v>
      </c>
      <c r="C2" s="113"/>
      <c r="D2" s="110"/>
      <c r="E2" s="111"/>
      <c r="F2" s="110"/>
      <c r="G2" s="111"/>
      <c r="H2" s="112">
        <v>0.85652444912066938</v>
      </c>
      <c r="I2" s="113"/>
      <c r="J2" s="112">
        <v>0.72700578410023742</v>
      </c>
      <c r="K2" s="113"/>
      <c r="L2" s="112">
        <v>0.67971494483094252</v>
      </c>
      <c r="M2" s="113"/>
      <c r="N2" s="112">
        <v>0.7380258704767978</v>
      </c>
      <c r="O2" s="113"/>
      <c r="P2" s="112">
        <v>0.72759718911344551</v>
      </c>
      <c r="Q2" s="113"/>
      <c r="R2" s="112">
        <v>0.54129688411274846</v>
      </c>
      <c r="S2" s="113"/>
      <c r="T2" s="112">
        <v>-1.8863576670916916E-2</v>
      </c>
      <c r="U2" s="113"/>
      <c r="V2" s="112">
        <v>0.20482807206355508</v>
      </c>
      <c r="W2" s="113"/>
      <c r="X2" s="112">
        <v>0.23961783824635244</v>
      </c>
      <c r="Y2" s="113"/>
      <c r="Z2" s="112">
        <v>0.35695776743275143</v>
      </c>
      <c r="AA2" s="113"/>
      <c r="AB2" s="112">
        <v>0.29935043927867849</v>
      </c>
      <c r="AC2" s="113"/>
      <c r="AD2" s="112">
        <v>0.56656274823641373</v>
      </c>
      <c r="AE2" s="113"/>
      <c r="AF2" s="112">
        <v>-0.28170597687722032</v>
      </c>
      <c r="AG2" s="113"/>
      <c r="AH2" s="112">
        <v>0.55772704153974995</v>
      </c>
      <c r="AI2" s="113"/>
    </row>
    <row r="3" spans="1:35">
      <c r="A3" s="36">
        <v>1</v>
      </c>
      <c r="B3" s="37" t="s">
        <v>114</v>
      </c>
      <c r="C3" s="106">
        <v>103.25</v>
      </c>
      <c r="D3" s="37" t="s">
        <v>169</v>
      </c>
      <c r="E3" s="38">
        <v>584.79999999999995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9175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41</v>
      </c>
      <c r="D4" s="45" t="s">
        <v>272</v>
      </c>
      <c r="E4" s="46">
        <v>353.5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276</v>
      </c>
      <c r="U4" s="51">
        <v>9100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40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272</v>
      </c>
      <c r="Q5" s="50">
        <v>0.31182795698924731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244</v>
      </c>
      <c r="AI5" s="54">
        <v>71800</v>
      </c>
    </row>
    <row r="6" spans="1:35">
      <c r="A6" s="44">
        <v>4</v>
      </c>
      <c r="B6" s="45" t="s">
        <v>216</v>
      </c>
      <c r="C6" s="107">
        <v>27</v>
      </c>
      <c r="D6" s="45" t="s">
        <v>195</v>
      </c>
      <c r="E6" s="46">
        <v>217.5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272</v>
      </c>
      <c r="K6" s="49">
        <v>0.53846153846153844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276</v>
      </c>
      <c r="S6" s="50">
        <v>7.8125E-2</v>
      </c>
      <c r="T6" s="47" t="s">
        <v>268</v>
      </c>
      <c r="U6" s="51">
        <v>8550</v>
      </c>
      <c r="V6" s="47" t="s">
        <v>175</v>
      </c>
      <c r="W6" s="51">
        <v>-2950</v>
      </c>
      <c r="X6" s="47" t="s">
        <v>272</v>
      </c>
      <c r="Y6" s="50">
        <v>0.29032258064516131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265</v>
      </c>
      <c r="AE6" s="50">
        <v>0.625</v>
      </c>
      <c r="AF6" s="47" t="s">
        <v>235</v>
      </c>
      <c r="AG6" s="50">
        <v>0.5625</v>
      </c>
      <c r="AH6" s="47" t="s">
        <v>162</v>
      </c>
      <c r="AI6" s="54">
        <v>67800</v>
      </c>
    </row>
    <row r="7" spans="1:35">
      <c r="A7" s="44">
        <v>5</v>
      </c>
      <c r="B7" s="45" t="s">
        <v>168</v>
      </c>
      <c r="C7" s="107">
        <v>18</v>
      </c>
      <c r="D7" s="45" t="s">
        <v>276</v>
      </c>
      <c r="E7" s="46">
        <v>181.50000000000003</v>
      </c>
      <c r="F7" s="47" t="s">
        <v>162</v>
      </c>
      <c r="G7" s="59">
        <v>29.777777777777779</v>
      </c>
      <c r="H7" s="47" t="s">
        <v>272</v>
      </c>
      <c r="I7" s="48">
        <v>1.8461538461538463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265</v>
      </c>
      <c r="S7" s="50">
        <v>8.5365853658536592E-2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167</v>
      </c>
      <c r="Y7" s="50">
        <v>0.2857142857142857</v>
      </c>
      <c r="Z7" s="47" t="s">
        <v>276</v>
      </c>
      <c r="AA7" s="50">
        <v>0.3125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167</v>
      </c>
      <c r="AG7" s="50">
        <v>0.5</v>
      </c>
      <c r="AH7" s="47" t="s">
        <v>228</v>
      </c>
      <c r="AI7" s="54">
        <v>67500</v>
      </c>
    </row>
    <row r="8" spans="1:35">
      <c r="A8" s="44">
        <v>6</v>
      </c>
      <c r="B8" s="45" t="s">
        <v>228</v>
      </c>
      <c r="C8" s="107">
        <v>17</v>
      </c>
      <c r="D8" s="45" t="s">
        <v>168</v>
      </c>
      <c r="E8" s="46">
        <v>154.39999999999998</v>
      </c>
      <c r="F8" s="47" t="s">
        <v>272</v>
      </c>
      <c r="G8" s="59">
        <v>27.192307692307693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255</v>
      </c>
      <c r="S8" s="50">
        <v>8.6956521739130432E-2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223</v>
      </c>
      <c r="Y8" s="50">
        <v>0.2857142857142857</v>
      </c>
      <c r="Z8" s="47" t="s">
        <v>195</v>
      </c>
      <c r="AA8" s="50">
        <v>0.30633802816901406</v>
      </c>
      <c r="AB8" s="47" t="s">
        <v>175</v>
      </c>
      <c r="AC8" s="50">
        <v>0.75</v>
      </c>
      <c r="AD8" s="47" t="s">
        <v>241</v>
      </c>
      <c r="AE8" s="50">
        <v>0.53846153846153844</v>
      </c>
      <c r="AF8" s="47" t="s">
        <v>203</v>
      </c>
      <c r="AG8" s="50">
        <v>0.5</v>
      </c>
      <c r="AH8" s="47" t="s">
        <v>168</v>
      </c>
      <c r="AI8" s="54">
        <v>65600</v>
      </c>
    </row>
    <row r="9" spans="1:35">
      <c r="A9" s="44">
        <v>7</v>
      </c>
      <c r="B9" s="45" t="s">
        <v>238</v>
      </c>
      <c r="C9" s="107">
        <v>17</v>
      </c>
      <c r="D9" s="45" t="s">
        <v>205</v>
      </c>
      <c r="E9" s="46">
        <v>141.1</v>
      </c>
      <c r="F9" s="47" t="s">
        <v>276</v>
      </c>
      <c r="G9" s="59">
        <v>20.166666666666671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255</v>
      </c>
      <c r="O9" s="49">
        <v>0.7</v>
      </c>
      <c r="P9" s="47" t="s">
        <v>263</v>
      </c>
      <c r="Q9" s="50">
        <v>0.27522935779816515</v>
      </c>
      <c r="R9" s="47" t="s">
        <v>169</v>
      </c>
      <c r="S9" s="50">
        <v>8.8235294117647065E-2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175</v>
      </c>
      <c r="Y9" s="50">
        <v>0.26666666666666666</v>
      </c>
      <c r="Z9" s="47" t="s">
        <v>180</v>
      </c>
      <c r="AA9" s="50">
        <v>0.2857142857142857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223</v>
      </c>
      <c r="AG9" s="50">
        <v>0.5</v>
      </c>
      <c r="AH9" s="47" t="s">
        <v>195</v>
      </c>
      <c r="AI9" s="54">
        <v>65500</v>
      </c>
    </row>
    <row r="10" spans="1:35">
      <c r="A10" s="44">
        <v>8</v>
      </c>
      <c r="B10" s="45" t="s">
        <v>179</v>
      </c>
      <c r="C10" s="107">
        <v>16</v>
      </c>
      <c r="D10" s="45" t="s">
        <v>265</v>
      </c>
      <c r="E10" s="46">
        <v>133.9</v>
      </c>
      <c r="F10" s="47" t="s">
        <v>169</v>
      </c>
      <c r="G10" s="59">
        <v>14.26341463414634</v>
      </c>
      <c r="H10" s="47" t="s">
        <v>276</v>
      </c>
      <c r="I10" s="48">
        <v>2</v>
      </c>
      <c r="J10" s="47" t="s">
        <v>276</v>
      </c>
      <c r="K10" s="49">
        <v>0.44444444444444442</v>
      </c>
      <c r="L10" s="47" t="s">
        <v>268</v>
      </c>
      <c r="M10" s="49">
        <v>0</v>
      </c>
      <c r="N10" s="47" t="s">
        <v>272</v>
      </c>
      <c r="O10" s="49">
        <v>0.69230769230769229</v>
      </c>
      <c r="P10" s="47" t="s">
        <v>195</v>
      </c>
      <c r="Q10" s="50">
        <v>0.27464788732394368</v>
      </c>
      <c r="R10" s="47" t="s">
        <v>164</v>
      </c>
      <c r="S10" s="50">
        <v>9.0909090909090912E-2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241</v>
      </c>
      <c r="AA10" s="50">
        <v>0.27083333333333331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269</v>
      </c>
      <c r="AG10" s="50">
        <v>0.5</v>
      </c>
      <c r="AH10" s="47" t="s">
        <v>227</v>
      </c>
      <c r="AI10" s="54">
        <v>64500</v>
      </c>
    </row>
    <row r="11" spans="1:35">
      <c r="A11" s="44">
        <v>9</v>
      </c>
      <c r="B11" s="45" t="s">
        <v>164</v>
      </c>
      <c r="C11" s="107">
        <v>15</v>
      </c>
      <c r="D11" s="45" t="s">
        <v>231</v>
      </c>
      <c r="E11" s="46">
        <v>112.5</v>
      </c>
      <c r="F11" s="47" t="s">
        <v>167</v>
      </c>
      <c r="G11" s="59">
        <v>14</v>
      </c>
      <c r="H11" s="47" t="s">
        <v>191</v>
      </c>
      <c r="I11" s="48">
        <v>2.1428571428571428</v>
      </c>
      <c r="J11" s="47" t="s">
        <v>265</v>
      </c>
      <c r="K11" s="49">
        <v>0.41666666666666669</v>
      </c>
      <c r="L11" s="47" t="s">
        <v>191</v>
      </c>
      <c r="M11" s="49">
        <v>7.1428571428571425E-2</v>
      </c>
      <c r="N11" s="47" t="s">
        <v>265</v>
      </c>
      <c r="O11" s="49">
        <v>0.66666666666666663</v>
      </c>
      <c r="P11" s="47" t="s">
        <v>162</v>
      </c>
      <c r="Q11" s="50">
        <v>0.26923076923076922</v>
      </c>
      <c r="R11" s="47" t="s">
        <v>177</v>
      </c>
      <c r="S11" s="50">
        <v>0.10526315789473684</v>
      </c>
      <c r="T11" s="47" t="s">
        <v>231</v>
      </c>
      <c r="U11" s="51">
        <v>7975</v>
      </c>
      <c r="V11" s="47" t="s">
        <v>277</v>
      </c>
      <c r="W11" s="51">
        <v>-4220</v>
      </c>
      <c r="X11" s="47" t="s">
        <v>162</v>
      </c>
      <c r="Y11" s="50">
        <v>0.25641025641025639</v>
      </c>
      <c r="Z11" s="47" t="s">
        <v>263</v>
      </c>
      <c r="AA11" s="50">
        <v>0.26605504587155965</v>
      </c>
      <c r="AB11" s="47" t="s">
        <v>263</v>
      </c>
      <c r="AC11" s="50">
        <v>0.69565217391304346</v>
      </c>
      <c r="AD11" s="47" t="s">
        <v>263</v>
      </c>
      <c r="AE11" s="50">
        <v>0.44827586206896552</v>
      </c>
      <c r="AF11" s="47" t="s">
        <v>268</v>
      </c>
      <c r="AG11" s="50">
        <v>0.5</v>
      </c>
      <c r="AH11" s="47" t="s">
        <v>216</v>
      </c>
      <c r="AI11" s="54">
        <v>62700</v>
      </c>
    </row>
    <row r="12" spans="1:35">
      <c r="A12" s="44">
        <v>10</v>
      </c>
      <c r="B12" s="45" t="s">
        <v>235</v>
      </c>
      <c r="C12" s="107">
        <v>15</v>
      </c>
      <c r="D12" s="45" t="s">
        <v>255</v>
      </c>
      <c r="E12" s="46">
        <v>106.4</v>
      </c>
      <c r="F12" s="47" t="s">
        <v>265</v>
      </c>
      <c r="G12" s="59">
        <v>11.158333333333333</v>
      </c>
      <c r="H12" s="47" t="s">
        <v>265</v>
      </c>
      <c r="I12" s="48">
        <v>2.1666666666666665</v>
      </c>
      <c r="J12" s="47" t="s">
        <v>168</v>
      </c>
      <c r="K12" s="49">
        <v>0.3888888888888889</v>
      </c>
      <c r="L12" s="47" t="s">
        <v>272</v>
      </c>
      <c r="M12" s="49">
        <v>7.6923076923076927E-2</v>
      </c>
      <c r="N12" s="47" t="s">
        <v>162</v>
      </c>
      <c r="O12" s="49">
        <v>0.66666666666666663</v>
      </c>
      <c r="P12" s="47" t="s">
        <v>265</v>
      </c>
      <c r="Q12" s="50">
        <v>0.25609756097560976</v>
      </c>
      <c r="R12" s="47" t="s">
        <v>179</v>
      </c>
      <c r="S12" s="50">
        <v>0.10687022900763359</v>
      </c>
      <c r="T12" s="47" t="s">
        <v>264</v>
      </c>
      <c r="U12" s="51">
        <v>7966.666666666667</v>
      </c>
      <c r="V12" s="47" t="s">
        <v>272</v>
      </c>
      <c r="W12" s="51">
        <v>-4681.818181818182</v>
      </c>
      <c r="X12" s="47" t="s">
        <v>195</v>
      </c>
      <c r="Y12" s="50">
        <v>0.25352112676056338</v>
      </c>
      <c r="Z12" s="47" t="s">
        <v>164</v>
      </c>
      <c r="AA12" s="50">
        <v>0.256198347107438</v>
      </c>
      <c r="AB12" s="47" t="s">
        <v>272</v>
      </c>
      <c r="AC12" s="50">
        <v>0.66666666666666663</v>
      </c>
      <c r="AD12" s="47" t="s">
        <v>272</v>
      </c>
      <c r="AE12" s="50">
        <v>0.43478260869565216</v>
      </c>
      <c r="AF12" s="47" t="s">
        <v>276</v>
      </c>
      <c r="AG12" s="50">
        <v>0.46666666666666667</v>
      </c>
      <c r="AH12" s="47" t="s">
        <v>276</v>
      </c>
      <c r="AI12" s="54">
        <v>60800</v>
      </c>
    </row>
    <row r="13" spans="1:35">
      <c r="A13" s="44">
        <v>11</v>
      </c>
      <c r="B13" s="45" t="s">
        <v>191</v>
      </c>
      <c r="C13" s="107">
        <v>14</v>
      </c>
      <c r="D13" s="45" t="s">
        <v>263</v>
      </c>
      <c r="E13" s="46">
        <v>88.199999999999989</v>
      </c>
      <c r="F13" s="47" t="s">
        <v>255</v>
      </c>
      <c r="G13" s="59">
        <v>10.64</v>
      </c>
      <c r="H13" s="47" t="s">
        <v>169</v>
      </c>
      <c r="I13" s="48">
        <v>2.1707317073170733</v>
      </c>
      <c r="J13" s="47" t="s">
        <v>163</v>
      </c>
      <c r="K13" s="49">
        <v>0.375</v>
      </c>
      <c r="L13" s="47" t="s">
        <v>276</v>
      </c>
      <c r="M13" s="49">
        <v>0.1111111111111111</v>
      </c>
      <c r="N13" s="47" t="s">
        <v>276</v>
      </c>
      <c r="O13" s="49">
        <v>0.66666666666666663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276</v>
      </c>
      <c r="AC13" s="50">
        <v>0.66666666666666663</v>
      </c>
      <c r="AD13" s="47" t="s">
        <v>161</v>
      </c>
      <c r="AE13" s="50">
        <v>0.3888888888888889</v>
      </c>
      <c r="AF13" s="47" t="s">
        <v>216</v>
      </c>
      <c r="AG13" s="50">
        <v>0.44444444444444442</v>
      </c>
      <c r="AH13" s="47" t="s">
        <v>255</v>
      </c>
      <c r="AI13" s="54">
        <v>60000</v>
      </c>
    </row>
    <row r="14" spans="1:35">
      <c r="A14" s="44">
        <v>12</v>
      </c>
      <c r="B14" s="45" t="s">
        <v>227</v>
      </c>
      <c r="C14" s="107">
        <v>14</v>
      </c>
      <c r="D14" s="45" t="s">
        <v>191</v>
      </c>
      <c r="E14" s="46">
        <v>79.299999999999983</v>
      </c>
      <c r="F14" s="47" t="s">
        <v>168</v>
      </c>
      <c r="G14" s="59">
        <v>8.5777777777777757</v>
      </c>
      <c r="H14" s="47" t="s">
        <v>255</v>
      </c>
      <c r="I14" s="48">
        <v>2.2000000000000002</v>
      </c>
      <c r="J14" s="47" t="s">
        <v>244</v>
      </c>
      <c r="K14" s="49">
        <v>0.36363636363636365</v>
      </c>
      <c r="L14" s="47" t="s">
        <v>238</v>
      </c>
      <c r="M14" s="49">
        <v>0.11764705882352941</v>
      </c>
      <c r="N14" s="47" t="s">
        <v>169</v>
      </c>
      <c r="O14" s="49">
        <v>0.63414634146341464</v>
      </c>
      <c r="P14" s="47" t="s">
        <v>276</v>
      </c>
      <c r="Q14" s="50">
        <v>0.234375</v>
      </c>
      <c r="R14" s="47" t="s">
        <v>263</v>
      </c>
      <c r="S14" s="50">
        <v>0.11009174311926606</v>
      </c>
      <c r="T14" s="47" t="s">
        <v>169</v>
      </c>
      <c r="U14" s="51">
        <v>7679.710144927536</v>
      </c>
      <c r="V14" s="47" t="s">
        <v>162</v>
      </c>
      <c r="W14" s="51">
        <v>-5000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169</v>
      </c>
      <c r="AC14" s="50">
        <v>0.64150943396226412</v>
      </c>
      <c r="AD14" s="47" t="s">
        <v>168</v>
      </c>
      <c r="AE14" s="50">
        <v>0.38297872340425532</v>
      </c>
      <c r="AF14" s="47" t="s">
        <v>161</v>
      </c>
      <c r="AG14" s="50">
        <v>0.4375</v>
      </c>
      <c r="AH14" s="47" t="s">
        <v>205</v>
      </c>
      <c r="AI14" s="54">
        <v>57200</v>
      </c>
    </row>
    <row r="15" spans="1:35">
      <c r="A15" s="44">
        <v>13</v>
      </c>
      <c r="B15" s="45" t="s">
        <v>263</v>
      </c>
      <c r="C15" s="107">
        <v>14</v>
      </c>
      <c r="D15" s="45" t="s">
        <v>264</v>
      </c>
      <c r="E15" s="46">
        <v>63.300000000000004</v>
      </c>
      <c r="F15" s="47" t="s">
        <v>263</v>
      </c>
      <c r="G15" s="59">
        <v>6.2999999999999989</v>
      </c>
      <c r="H15" s="47" t="s">
        <v>263</v>
      </c>
      <c r="I15" s="48">
        <v>2.2857142857142856</v>
      </c>
      <c r="J15" s="47" t="s">
        <v>169</v>
      </c>
      <c r="K15" s="49">
        <v>0.34146341463414637</v>
      </c>
      <c r="L15" s="47" t="s">
        <v>195</v>
      </c>
      <c r="M15" s="49">
        <v>0.125</v>
      </c>
      <c r="N15" s="47" t="s">
        <v>164</v>
      </c>
      <c r="O15" s="49">
        <v>0.6</v>
      </c>
      <c r="P15" s="47" t="s">
        <v>255</v>
      </c>
      <c r="Q15" s="50">
        <v>0.2318840579710145</v>
      </c>
      <c r="R15" s="47" t="s">
        <v>213</v>
      </c>
      <c r="S15" s="50">
        <v>0.1111111111111111</v>
      </c>
      <c r="T15" s="47" t="s">
        <v>164</v>
      </c>
      <c r="U15" s="51">
        <v>7355</v>
      </c>
      <c r="V15" s="47" t="s">
        <v>203</v>
      </c>
      <c r="W15" s="51">
        <v>-5080</v>
      </c>
      <c r="X15" s="47" t="s">
        <v>276</v>
      </c>
      <c r="Y15" s="50">
        <v>0.234375</v>
      </c>
      <c r="Z15" s="47" t="s">
        <v>272</v>
      </c>
      <c r="AA15" s="50">
        <v>0.24731182795698925</v>
      </c>
      <c r="AB15" s="47" t="s">
        <v>238</v>
      </c>
      <c r="AC15" s="50">
        <v>0.63157894736842102</v>
      </c>
      <c r="AD15" s="47" t="s">
        <v>195</v>
      </c>
      <c r="AE15" s="50">
        <v>0.37931034482758619</v>
      </c>
      <c r="AF15" s="47" t="s">
        <v>244</v>
      </c>
      <c r="AG15" s="50">
        <v>0.4375</v>
      </c>
      <c r="AH15" s="47" t="s">
        <v>161</v>
      </c>
      <c r="AI15" s="54">
        <v>54900</v>
      </c>
    </row>
    <row r="16" spans="1:35">
      <c r="A16" s="44">
        <v>14</v>
      </c>
      <c r="B16" s="45" t="s">
        <v>272</v>
      </c>
      <c r="C16" s="107">
        <v>13</v>
      </c>
      <c r="D16" s="45" t="s">
        <v>268</v>
      </c>
      <c r="E16" s="46">
        <v>52.1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161</v>
      </c>
      <c r="K16" s="49">
        <v>0.3</v>
      </c>
      <c r="L16" s="47" t="s">
        <v>263</v>
      </c>
      <c r="M16" s="49">
        <v>0.14285714285714285</v>
      </c>
      <c r="N16" s="47" t="s">
        <v>227</v>
      </c>
      <c r="O16" s="49">
        <v>0.5714285714285714</v>
      </c>
      <c r="P16" s="47" t="s">
        <v>264</v>
      </c>
      <c r="Q16" s="50">
        <v>0.23076923076923078</v>
      </c>
      <c r="R16" s="47" t="s">
        <v>166</v>
      </c>
      <c r="S16" s="50">
        <v>0.11428571428571428</v>
      </c>
      <c r="T16" s="47" t="s">
        <v>277</v>
      </c>
      <c r="U16" s="51">
        <v>7285.7142857142853</v>
      </c>
      <c r="V16" s="47" t="s">
        <v>169</v>
      </c>
      <c r="W16" s="51">
        <v>-5129.6296296296296</v>
      </c>
      <c r="X16" s="47" t="s">
        <v>255</v>
      </c>
      <c r="Y16" s="50">
        <v>0.2318840579710145</v>
      </c>
      <c r="Z16" s="47" t="s">
        <v>191</v>
      </c>
      <c r="AA16" s="50">
        <v>0.24347826086956523</v>
      </c>
      <c r="AB16" s="47" t="s">
        <v>228</v>
      </c>
      <c r="AC16" s="50">
        <v>0.61904761904761907</v>
      </c>
      <c r="AD16" s="47" t="s">
        <v>191</v>
      </c>
      <c r="AE16" s="50">
        <v>0.35714285714285715</v>
      </c>
      <c r="AF16" s="47" t="s">
        <v>255</v>
      </c>
      <c r="AG16" s="50">
        <v>0.4375</v>
      </c>
      <c r="AH16" s="47" t="s">
        <v>265</v>
      </c>
      <c r="AI16" s="54">
        <v>53900</v>
      </c>
    </row>
    <row r="17" spans="1:35">
      <c r="A17" s="44">
        <v>15</v>
      </c>
      <c r="B17" s="45" t="s">
        <v>265</v>
      </c>
      <c r="C17" s="107">
        <v>12</v>
      </c>
      <c r="D17" s="45" t="s">
        <v>164</v>
      </c>
      <c r="E17" s="46">
        <v>22.499999999999993</v>
      </c>
      <c r="F17" s="47" t="s">
        <v>195</v>
      </c>
      <c r="G17" s="59">
        <v>5.4375</v>
      </c>
      <c r="H17" s="47" t="s">
        <v>195</v>
      </c>
      <c r="I17" s="48">
        <v>2.375</v>
      </c>
      <c r="J17" s="47" t="s">
        <v>255</v>
      </c>
      <c r="K17" s="49">
        <v>0.3</v>
      </c>
      <c r="L17" s="47" t="s">
        <v>169</v>
      </c>
      <c r="M17" s="49">
        <v>0.14634146341463414</v>
      </c>
      <c r="N17" s="47" t="s">
        <v>263</v>
      </c>
      <c r="O17" s="49">
        <v>0.5714285714285714</v>
      </c>
      <c r="P17" s="47" t="s">
        <v>241</v>
      </c>
      <c r="Q17" s="50">
        <v>0.22916666666666666</v>
      </c>
      <c r="R17" s="47" t="s">
        <v>163</v>
      </c>
      <c r="S17" s="50">
        <v>0.11594202898550725</v>
      </c>
      <c r="T17" s="47" t="s">
        <v>255</v>
      </c>
      <c r="U17" s="51">
        <v>7212.5</v>
      </c>
      <c r="V17" s="47" t="s">
        <v>276</v>
      </c>
      <c r="W17" s="51">
        <v>-5220</v>
      </c>
      <c r="X17" s="47" t="s">
        <v>265</v>
      </c>
      <c r="Y17" s="50">
        <v>0.23170731707317074</v>
      </c>
      <c r="Z17" s="47" t="s">
        <v>161</v>
      </c>
      <c r="AA17" s="50">
        <v>0.23376623376623376</v>
      </c>
      <c r="AB17" s="47" t="s">
        <v>235</v>
      </c>
      <c r="AC17" s="50">
        <v>0.61538461538461542</v>
      </c>
      <c r="AD17" s="47" t="s">
        <v>169</v>
      </c>
      <c r="AE17" s="50">
        <v>0.3559322033898305</v>
      </c>
      <c r="AF17" s="47" t="s">
        <v>162</v>
      </c>
      <c r="AG17" s="50">
        <v>0.42857142857142855</v>
      </c>
      <c r="AH17" s="47" t="s">
        <v>179</v>
      </c>
      <c r="AI17" s="54">
        <v>53200</v>
      </c>
    </row>
    <row r="18" spans="1:35">
      <c r="A18" s="44">
        <v>16</v>
      </c>
      <c r="B18" s="45" t="s">
        <v>244</v>
      </c>
      <c r="C18" s="107">
        <v>11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263</v>
      </c>
      <c r="K18" s="49">
        <v>0.2857142857142857</v>
      </c>
      <c r="L18" s="47" t="s">
        <v>179</v>
      </c>
      <c r="M18" s="49">
        <v>0.1875</v>
      </c>
      <c r="N18" s="47" t="s">
        <v>241</v>
      </c>
      <c r="O18" s="49">
        <v>0.5714285714285714</v>
      </c>
      <c r="P18" s="47" t="s">
        <v>227</v>
      </c>
      <c r="Q18" s="50">
        <v>0.22580645161290322</v>
      </c>
      <c r="R18" s="47" t="s">
        <v>272</v>
      </c>
      <c r="S18" s="50">
        <v>0.11827956989247312</v>
      </c>
      <c r="T18" s="47" t="s">
        <v>223</v>
      </c>
      <c r="U18" s="51">
        <v>7200</v>
      </c>
      <c r="V18" s="47" t="s">
        <v>262</v>
      </c>
      <c r="W18" s="51">
        <v>-5320</v>
      </c>
      <c r="X18" s="47" t="s">
        <v>213</v>
      </c>
      <c r="Y18" s="50">
        <v>0.22222222222222221</v>
      </c>
      <c r="Z18" s="47" t="s">
        <v>255</v>
      </c>
      <c r="AA18" s="50">
        <v>0.2318840579710145</v>
      </c>
      <c r="AB18" s="47" t="s">
        <v>244</v>
      </c>
      <c r="AC18" s="50">
        <v>0.61538461538461542</v>
      </c>
      <c r="AD18" s="47" t="s">
        <v>216</v>
      </c>
      <c r="AE18" s="50">
        <v>0.34615384615384615</v>
      </c>
      <c r="AF18" s="47" t="s">
        <v>205</v>
      </c>
      <c r="AG18" s="50">
        <v>0.41666666666666669</v>
      </c>
      <c r="AH18" s="47" t="s">
        <v>191</v>
      </c>
      <c r="AI18" s="54">
        <v>52500</v>
      </c>
    </row>
    <row r="19" spans="1:35">
      <c r="A19" s="44">
        <v>17</v>
      </c>
      <c r="B19" s="45" t="s">
        <v>277</v>
      </c>
      <c r="C19" s="107">
        <v>11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195</v>
      </c>
      <c r="K19" s="49">
        <v>0.27500000000000002</v>
      </c>
      <c r="L19" s="47" t="s">
        <v>213</v>
      </c>
      <c r="M19" s="49">
        <v>0.2</v>
      </c>
      <c r="N19" s="47" t="s">
        <v>168</v>
      </c>
      <c r="O19" s="49">
        <v>0.55555555555555558</v>
      </c>
      <c r="P19" s="47" t="s">
        <v>169</v>
      </c>
      <c r="Q19" s="50">
        <v>0.22549019607843138</v>
      </c>
      <c r="R19" s="47" t="s">
        <v>195</v>
      </c>
      <c r="S19" s="50">
        <v>0.11971830985915492</v>
      </c>
      <c r="T19" s="47" t="s">
        <v>227</v>
      </c>
      <c r="U19" s="51">
        <v>7161.9047619047615</v>
      </c>
      <c r="V19" s="47" t="s">
        <v>263</v>
      </c>
      <c r="W19" s="51">
        <v>-5441.666666666667</v>
      </c>
      <c r="X19" s="47" t="s">
        <v>277</v>
      </c>
      <c r="Y19" s="50">
        <v>0.22222222222222221</v>
      </c>
      <c r="Z19" s="47" t="s">
        <v>264</v>
      </c>
      <c r="AA19" s="50">
        <v>0.23076923076923078</v>
      </c>
      <c r="AB19" s="47" t="s">
        <v>265</v>
      </c>
      <c r="AC19" s="50">
        <v>0.57894736842105265</v>
      </c>
      <c r="AD19" s="47" t="s">
        <v>114</v>
      </c>
      <c r="AE19" s="50">
        <v>0.33890577507598785</v>
      </c>
      <c r="AF19" s="47" t="s">
        <v>238</v>
      </c>
      <c r="AG19" s="50">
        <v>0.40909090909090912</v>
      </c>
      <c r="AH19" s="47" t="s">
        <v>164</v>
      </c>
      <c r="AI19" s="54">
        <v>52000</v>
      </c>
    </row>
    <row r="20" spans="1:35">
      <c r="A20" s="44">
        <v>18</v>
      </c>
      <c r="B20" s="45" t="s">
        <v>161</v>
      </c>
      <c r="C20" s="107">
        <v>10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2.4915254237288136</v>
      </c>
      <c r="J20" s="47" t="s">
        <v>216</v>
      </c>
      <c r="K20" s="49">
        <v>0.25925925925925924</v>
      </c>
      <c r="L20" s="47" t="s">
        <v>255</v>
      </c>
      <c r="M20" s="49">
        <v>0.2</v>
      </c>
      <c r="N20" s="47" t="s">
        <v>114</v>
      </c>
      <c r="O20" s="49">
        <v>0.50121065375302665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161</v>
      </c>
      <c r="U20" s="51">
        <v>7025</v>
      </c>
      <c r="V20" s="47" t="s">
        <v>223</v>
      </c>
      <c r="W20" s="51">
        <v>-5450</v>
      </c>
      <c r="X20" s="47" t="s">
        <v>263</v>
      </c>
      <c r="Y20" s="50">
        <v>0.21100917431192662</v>
      </c>
      <c r="Z20" s="47" t="s">
        <v>235</v>
      </c>
      <c r="AA20" s="50">
        <v>0.22608695652173913</v>
      </c>
      <c r="AB20" s="47" t="s">
        <v>114</v>
      </c>
      <c r="AC20" s="50">
        <v>0.54471544715447151</v>
      </c>
      <c r="AD20" s="47" t="s">
        <v>177</v>
      </c>
      <c r="AE20" s="50">
        <v>0.33333333333333331</v>
      </c>
      <c r="AF20" s="47" t="s">
        <v>168</v>
      </c>
      <c r="AG20" s="50">
        <v>0.39534883720930231</v>
      </c>
      <c r="AH20" s="47" t="s">
        <v>272</v>
      </c>
      <c r="AI20" s="54">
        <v>50500</v>
      </c>
    </row>
    <row r="21" spans="1:35">
      <c r="A21" s="44">
        <v>19</v>
      </c>
      <c r="B21" s="45" t="s">
        <v>213</v>
      </c>
      <c r="C21" s="107">
        <v>10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0.25423728813559321</v>
      </c>
      <c r="L21" s="47" t="s">
        <v>162</v>
      </c>
      <c r="M21" s="49">
        <v>0.22222222222222221</v>
      </c>
      <c r="N21" s="47" t="s">
        <v>161</v>
      </c>
      <c r="O21" s="49">
        <v>0.5</v>
      </c>
      <c r="P21" s="47" t="s">
        <v>114</v>
      </c>
      <c r="Q21" s="50">
        <v>0.21162099702872236</v>
      </c>
      <c r="R21" s="47" t="s">
        <v>191</v>
      </c>
      <c r="S21" s="50">
        <v>0.13043478260869565</v>
      </c>
      <c r="T21" s="47" t="s">
        <v>213</v>
      </c>
      <c r="U21" s="51">
        <v>6962.5</v>
      </c>
      <c r="V21" s="47" t="s">
        <v>164</v>
      </c>
      <c r="W21" s="51">
        <v>-5500</v>
      </c>
      <c r="X21" s="47" t="s">
        <v>177</v>
      </c>
      <c r="Y21" s="50">
        <v>0.21052631578947367</v>
      </c>
      <c r="Z21" s="47" t="s">
        <v>114</v>
      </c>
      <c r="AA21" s="50">
        <v>0.21723341036645757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265</v>
      </c>
      <c r="AG21" s="50">
        <v>0.38095238095238093</v>
      </c>
      <c r="AH21" s="47" t="s">
        <v>263</v>
      </c>
      <c r="AI21" s="54">
        <v>44100</v>
      </c>
    </row>
    <row r="22" spans="1:35">
      <c r="A22" s="44">
        <v>20</v>
      </c>
      <c r="B22" s="45" t="s">
        <v>255</v>
      </c>
      <c r="C22" s="107">
        <v>10</v>
      </c>
      <c r="D22" s="45" t="s">
        <v>175</v>
      </c>
      <c r="E22" s="46">
        <v>-2.2000000000000011</v>
      </c>
      <c r="F22" s="47" t="s">
        <v>244</v>
      </c>
      <c r="G22" s="59">
        <v>-0.20909090909091013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114</v>
      </c>
      <c r="M22" s="49">
        <v>0.24697336561743341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191</v>
      </c>
      <c r="U22" s="51">
        <v>6733.333333333333</v>
      </c>
      <c r="V22" s="47" t="s">
        <v>168</v>
      </c>
      <c r="W22" s="51">
        <v>-5835.7142857142853</v>
      </c>
      <c r="X22" s="47" t="s">
        <v>203</v>
      </c>
      <c r="Y22" s="50">
        <v>0.20930232558139536</v>
      </c>
      <c r="Z22" s="47" t="s">
        <v>205</v>
      </c>
      <c r="AA22" s="50">
        <v>0.21428571428571427</v>
      </c>
      <c r="AB22" s="47" t="s">
        <v>227</v>
      </c>
      <c r="AC22" s="50">
        <v>0.53125</v>
      </c>
      <c r="AD22" s="47" t="s">
        <v>163</v>
      </c>
      <c r="AE22" s="50">
        <v>0.31818181818181818</v>
      </c>
      <c r="AF22" s="47" t="s">
        <v>272</v>
      </c>
      <c r="AG22" s="50">
        <v>0.37931034482758619</v>
      </c>
      <c r="AH22" s="47" t="s">
        <v>177</v>
      </c>
      <c r="AI22" s="54">
        <v>42500</v>
      </c>
    </row>
    <row r="23" spans="1:35">
      <c r="A23" s="44">
        <v>21</v>
      </c>
      <c r="B23" s="45" t="s">
        <v>162</v>
      </c>
      <c r="C23" s="107">
        <v>9</v>
      </c>
      <c r="D23" s="45" t="s">
        <v>244</v>
      </c>
      <c r="E23" s="46">
        <v>-2.3000000000000114</v>
      </c>
      <c r="F23" s="47" t="s">
        <v>114</v>
      </c>
      <c r="G23" s="59">
        <v>-0.21791767554479452</v>
      </c>
      <c r="H23" s="47" t="s">
        <v>175</v>
      </c>
      <c r="I23" s="48">
        <v>2.5</v>
      </c>
      <c r="J23" s="47" t="s">
        <v>228</v>
      </c>
      <c r="K23" s="49">
        <v>0.23529411764705882</v>
      </c>
      <c r="L23" s="47" t="s">
        <v>265</v>
      </c>
      <c r="M23" s="49">
        <v>0.25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114</v>
      </c>
      <c r="U23" s="51">
        <v>6715.7566302652103</v>
      </c>
      <c r="V23" s="47" t="s">
        <v>177</v>
      </c>
      <c r="W23" s="51">
        <v>-5950</v>
      </c>
      <c r="X23" s="47" t="s">
        <v>114</v>
      </c>
      <c r="Y23" s="50">
        <v>0.20303730604159789</v>
      </c>
      <c r="Z23" s="47" t="s">
        <v>244</v>
      </c>
      <c r="AA23" s="50">
        <v>0.20512820512820512</v>
      </c>
      <c r="AB23" s="47" t="s">
        <v>195</v>
      </c>
      <c r="AC23" s="50">
        <v>0.52777777777777779</v>
      </c>
      <c r="AD23" s="47" t="s">
        <v>244</v>
      </c>
      <c r="AE23" s="50">
        <v>0.3125</v>
      </c>
      <c r="AF23" s="47" t="s">
        <v>179</v>
      </c>
      <c r="AG23" s="50">
        <v>0.375</v>
      </c>
      <c r="AH23" s="47" t="s">
        <v>163</v>
      </c>
      <c r="AI23" s="54">
        <v>41700</v>
      </c>
    </row>
    <row r="24" spans="1:35">
      <c r="A24" s="44">
        <v>22</v>
      </c>
      <c r="B24" s="45" t="s">
        <v>276</v>
      </c>
      <c r="C24" s="107">
        <v>9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177</v>
      </c>
      <c r="I24" s="48">
        <v>2.5</v>
      </c>
      <c r="J24" s="47" t="s">
        <v>191</v>
      </c>
      <c r="K24" s="49">
        <v>0.21428571428571427</v>
      </c>
      <c r="L24" s="47" t="s">
        <v>223</v>
      </c>
      <c r="M24" s="49">
        <v>0.25</v>
      </c>
      <c r="N24" s="47" t="s">
        <v>163</v>
      </c>
      <c r="O24" s="49">
        <v>0.5</v>
      </c>
      <c r="P24" s="47" t="s">
        <v>244</v>
      </c>
      <c r="Q24" s="50">
        <v>0.20512820512820512</v>
      </c>
      <c r="R24" s="47" t="s">
        <v>216</v>
      </c>
      <c r="S24" s="50">
        <v>0.13407821229050279</v>
      </c>
      <c r="T24" s="47" t="s">
        <v>195</v>
      </c>
      <c r="U24" s="51">
        <v>6474.3589743589746</v>
      </c>
      <c r="V24" s="47" t="s">
        <v>213</v>
      </c>
      <c r="W24" s="51">
        <v>-5966.666666666667</v>
      </c>
      <c r="X24" s="47" t="s">
        <v>163</v>
      </c>
      <c r="Y24" s="50">
        <v>0.20289855072463769</v>
      </c>
      <c r="Z24" s="47" t="s">
        <v>228</v>
      </c>
      <c r="AA24" s="50">
        <v>0.19834710743801653</v>
      </c>
      <c r="AB24" s="47" t="s">
        <v>216</v>
      </c>
      <c r="AC24" s="50">
        <v>0.51515151515151514</v>
      </c>
      <c r="AD24" s="47" t="s">
        <v>255</v>
      </c>
      <c r="AE24" s="50">
        <v>0.3125</v>
      </c>
      <c r="AF24" s="47" t="s">
        <v>213</v>
      </c>
      <c r="AG24" s="50">
        <v>0.375</v>
      </c>
      <c r="AH24" s="47" t="s">
        <v>231</v>
      </c>
      <c r="AI24" s="54">
        <v>41300</v>
      </c>
    </row>
    <row r="25" spans="1:35">
      <c r="A25" s="44">
        <v>23</v>
      </c>
      <c r="B25" s="45" t="s">
        <v>163</v>
      </c>
      <c r="C25" s="107">
        <v>8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244</v>
      </c>
      <c r="I25" s="48">
        <v>2.5454545454545454</v>
      </c>
      <c r="J25" s="47" t="s">
        <v>164</v>
      </c>
      <c r="K25" s="49">
        <v>0.2</v>
      </c>
      <c r="L25" s="47" t="s">
        <v>164</v>
      </c>
      <c r="M25" s="49">
        <v>0.26666666666666666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0.13568834598877516</v>
      </c>
      <c r="T25" s="47" t="s">
        <v>238</v>
      </c>
      <c r="U25" s="51">
        <v>6386.363636363636</v>
      </c>
      <c r="V25" s="47" t="s">
        <v>227</v>
      </c>
      <c r="W25" s="51">
        <v>-5992.8571428571431</v>
      </c>
      <c r="X25" s="47" t="s">
        <v>268</v>
      </c>
      <c r="Y25" s="50">
        <v>0.2</v>
      </c>
      <c r="Z25" s="47" t="s">
        <v>265</v>
      </c>
      <c r="AA25" s="50">
        <v>0.1951219512195122</v>
      </c>
      <c r="AB25" s="47" t="s">
        <v>213</v>
      </c>
      <c r="AC25" s="50">
        <v>0.5</v>
      </c>
      <c r="AD25" s="47" t="s">
        <v>238</v>
      </c>
      <c r="AE25" s="50">
        <v>0.30434782608695654</v>
      </c>
      <c r="AF25" s="47" t="s">
        <v>195</v>
      </c>
      <c r="AG25" s="50">
        <v>0.37179487179487181</v>
      </c>
      <c r="AH25" s="47" t="s">
        <v>235</v>
      </c>
      <c r="AI25" s="54">
        <v>40800</v>
      </c>
    </row>
    <row r="26" spans="1:35">
      <c r="A26" s="44">
        <v>24</v>
      </c>
      <c r="B26" s="45" t="s">
        <v>241</v>
      </c>
      <c r="C26" s="107">
        <v>7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227</v>
      </c>
      <c r="K26" s="49">
        <v>0.14285714285714285</v>
      </c>
      <c r="L26" s="47" t="s">
        <v>244</v>
      </c>
      <c r="M26" s="49">
        <v>0.27272727272727271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238</v>
      </c>
      <c r="S26" s="50">
        <v>0.13934426229508196</v>
      </c>
      <c r="T26" s="47" t="s">
        <v>203</v>
      </c>
      <c r="U26" s="51">
        <v>6275</v>
      </c>
      <c r="V26" s="47" t="s">
        <v>235</v>
      </c>
      <c r="W26" s="51">
        <v>-6118.181818181818</v>
      </c>
      <c r="X26" s="47" t="s">
        <v>168</v>
      </c>
      <c r="Y26" s="50">
        <v>0.19718309859154928</v>
      </c>
      <c r="Z26" s="47" t="s">
        <v>169</v>
      </c>
      <c r="AA26" s="50">
        <v>0.19281045751633988</v>
      </c>
      <c r="AB26" s="47" t="s">
        <v>255</v>
      </c>
      <c r="AC26" s="50">
        <v>0.5</v>
      </c>
      <c r="AD26" s="47" t="s">
        <v>228</v>
      </c>
      <c r="AE26" s="50">
        <v>0.25</v>
      </c>
      <c r="AF26" s="47" t="s">
        <v>241</v>
      </c>
      <c r="AG26" s="50">
        <v>0.36363636363636365</v>
      </c>
      <c r="AH26" s="47" t="s">
        <v>258</v>
      </c>
      <c r="AI26" s="54">
        <v>37500</v>
      </c>
    </row>
    <row r="27" spans="1:35">
      <c r="A27" s="44">
        <v>25</v>
      </c>
      <c r="B27" s="45" t="s">
        <v>258</v>
      </c>
      <c r="C27" s="107">
        <v>7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258</v>
      </c>
      <c r="K27" s="49">
        <v>0.14285714285714285</v>
      </c>
      <c r="L27" s="47" t="s">
        <v>168</v>
      </c>
      <c r="M27" s="49">
        <v>0.27777777777777779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227</v>
      </c>
      <c r="S27" s="50">
        <v>0.15053763440860216</v>
      </c>
      <c r="T27" s="47" t="s">
        <v>163</v>
      </c>
      <c r="U27" s="51">
        <v>5993.333333333333</v>
      </c>
      <c r="V27" s="47" t="s">
        <v>265</v>
      </c>
      <c r="W27" s="51">
        <v>-6157.1428571428569</v>
      </c>
      <c r="X27" s="47" t="s">
        <v>179</v>
      </c>
      <c r="Y27" s="50">
        <v>0.19083969465648856</v>
      </c>
      <c r="Z27" s="47" t="s">
        <v>238</v>
      </c>
      <c r="AA27" s="50">
        <v>0.18852459016393441</v>
      </c>
      <c r="AB27" s="47" t="s">
        <v>163</v>
      </c>
      <c r="AC27" s="50">
        <v>0.5</v>
      </c>
      <c r="AD27" s="47" t="s">
        <v>262</v>
      </c>
      <c r="AE27" s="50">
        <v>0.25</v>
      </c>
      <c r="AF27" s="47" t="s">
        <v>114</v>
      </c>
      <c r="AG27" s="50">
        <v>0.35881435257410299</v>
      </c>
      <c r="AH27" s="47" t="s">
        <v>238</v>
      </c>
      <c r="AI27" s="54">
        <v>35800</v>
      </c>
    </row>
    <row r="28" spans="1:35">
      <c r="A28" s="44">
        <v>26</v>
      </c>
      <c r="B28" s="45" t="s">
        <v>269</v>
      </c>
      <c r="C28" s="107">
        <v>7</v>
      </c>
      <c r="D28" s="45" t="s">
        <v>180</v>
      </c>
      <c r="E28" s="46">
        <v>-52.6</v>
      </c>
      <c r="F28" s="47" t="s">
        <v>228</v>
      </c>
      <c r="G28" s="59">
        <v>-8.7764705882352931</v>
      </c>
      <c r="H28" s="47" t="s">
        <v>238</v>
      </c>
      <c r="I28" s="48">
        <v>2.6470588235294117</v>
      </c>
      <c r="J28" s="47" t="s">
        <v>235</v>
      </c>
      <c r="K28" s="49">
        <v>0.13333333333333333</v>
      </c>
      <c r="L28" s="47" t="s">
        <v>227</v>
      </c>
      <c r="M28" s="49">
        <v>0.2857142857142857</v>
      </c>
      <c r="N28" s="47" t="s">
        <v>195</v>
      </c>
      <c r="O28" s="49">
        <v>0.47499999999999998</v>
      </c>
      <c r="P28" s="47" t="s">
        <v>228</v>
      </c>
      <c r="Q28" s="50">
        <v>0.18181818181818182</v>
      </c>
      <c r="R28" s="47" t="s">
        <v>244</v>
      </c>
      <c r="S28" s="50">
        <v>0.15384615384615385</v>
      </c>
      <c r="T28" s="47" t="s">
        <v>168</v>
      </c>
      <c r="U28" s="51">
        <v>5988.3720930232557</v>
      </c>
      <c r="V28" s="47" t="s">
        <v>114</v>
      </c>
      <c r="W28" s="51">
        <v>-6171.5328467153286</v>
      </c>
      <c r="X28" s="47" t="s">
        <v>216</v>
      </c>
      <c r="Y28" s="50">
        <v>0.18435754189944134</v>
      </c>
      <c r="Z28" s="47" t="s">
        <v>202</v>
      </c>
      <c r="AA28" s="50">
        <v>0.17647058823529413</v>
      </c>
      <c r="AB28" s="47" t="s">
        <v>167</v>
      </c>
      <c r="AC28" s="50">
        <v>0.5</v>
      </c>
      <c r="AD28" s="47" t="s">
        <v>227</v>
      </c>
      <c r="AE28" s="50">
        <v>0.23076923076923078</v>
      </c>
      <c r="AF28" s="47" t="s">
        <v>175</v>
      </c>
      <c r="AG28" s="50">
        <v>0.33333333333333331</v>
      </c>
      <c r="AH28" s="47" t="s">
        <v>264</v>
      </c>
      <c r="AI28" s="54">
        <v>35600</v>
      </c>
    </row>
    <row r="29" spans="1:35">
      <c r="A29" s="44">
        <v>27</v>
      </c>
      <c r="B29" s="45" t="s">
        <v>203</v>
      </c>
      <c r="C29" s="107">
        <v>5</v>
      </c>
      <c r="D29" s="45" t="s">
        <v>262</v>
      </c>
      <c r="E29" s="46">
        <v>-59.2</v>
      </c>
      <c r="F29" s="47" t="s">
        <v>258</v>
      </c>
      <c r="G29" s="59">
        <v>-10.6</v>
      </c>
      <c r="H29" s="47" t="s">
        <v>213</v>
      </c>
      <c r="I29" s="48">
        <v>2.7</v>
      </c>
      <c r="J29" s="47" t="s">
        <v>213</v>
      </c>
      <c r="K29" s="49">
        <v>0</v>
      </c>
      <c r="L29" s="47" t="s">
        <v>241</v>
      </c>
      <c r="M29" s="49">
        <v>0.2857142857142857</v>
      </c>
      <c r="N29" s="47" t="s">
        <v>238</v>
      </c>
      <c r="O29" s="49">
        <v>0.47058823529411764</v>
      </c>
      <c r="P29" s="47" t="s">
        <v>238</v>
      </c>
      <c r="Q29" s="50">
        <v>0.18032786885245902</v>
      </c>
      <c r="R29" s="47" t="s">
        <v>264</v>
      </c>
      <c r="S29" s="50">
        <v>0.15384615384615385</v>
      </c>
      <c r="T29" s="47" t="s">
        <v>272</v>
      </c>
      <c r="U29" s="51">
        <v>5951.7241379310344</v>
      </c>
      <c r="V29" s="47" t="s">
        <v>208</v>
      </c>
      <c r="W29" s="51">
        <v>-6340</v>
      </c>
      <c r="X29" s="47" t="s">
        <v>262</v>
      </c>
      <c r="Y29" s="50">
        <v>0.17391304347826086</v>
      </c>
      <c r="Z29" s="47" t="s">
        <v>262</v>
      </c>
      <c r="AA29" s="50">
        <v>0.17391304347826086</v>
      </c>
      <c r="AB29" s="47" t="s">
        <v>258</v>
      </c>
      <c r="AC29" s="50">
        <v>0.5</v>
      </c>
      <c r="AD29" s="47" t="s">
        <v>164</v>
      </c>
      <c r="AE29" s="50">
        <v>0.22580645161290322</v>
      </c>
      <c r="AF29" s="47" t="s">
        <v>228</v>
      </c>
      <c r="AG29" s="50">
        <v>0.31818181818181818</v>
      </c>
      <c r="AH29" s="47" t="s">
        <v>213</v>
      </c>
      <c r="AI29" s="54">
        <v>34800</v>
      </c>
    </row>
    <row r="30" spans="1:35">
      <c r="A30" s="44">
        <v>28</v>
      </c>
      <c r="B30" s="45" t="s">
        <v>166</v>
      </c>
      <c r="C30" s="107">
        <v>4</v>
      </c>
      <c r="D30" s="45" t="s">
        <v>223</v>
      </c>
      <c r="E30" s="46">
        <v>-72.5</v>
      </c>
      <c r="F30" s="47" t="s">
        <v>241</v>
      </c>
      <c r="G30" s="59">
        <v>-11.285714285714286</v>
      </c>
      <c r="H30" s="47" t="s">
        <v>228</v>
      </c>
      <c r="I30" s="48">
        <v>2.7058823529411766</v>
      </c>
      <c r="J30" s="47" t="s">
        <v>238</v>
      </c>
      <c r="K30" s="49">
        <v>0</v>
      </c>
      <c r="L30" s="47" t="s">
        <v>258</v>
      </c>
      <c r="M30" s="49">
        <v>0.2857142857142857</v>
      </c>
      <c r="N30" s="47" t="s">
        <v>258</v>
      </c>
      <c r="O30" s="49">
        <v>0.42857142857142855</v>
      </c>
      <c r="P30" s="47" t="s">
        <v>258</v>
      </c>
      <c r="Q30" s="50">
        <v>0.18</v>
      </c>
      <c r="R30" s="47" t="s">
        <v>215</v>
      </c>
      <c r="S30" s="50">
        <v>0.16666666666666666</v>
      </c>
      <c r="T30" s="47" t="s">
        <v>177</v>
      </c>
      <c r="U30" s="51">
        <v>5900</v>
      </c>
      <c r="V30" s="47" t="s">
        <v>161</v>
      </c>
      <c r="W30" s="51">
        <v>-6514.2857142857147</v>
      </c>
      <c r="X30" s="47" t="s">
        <v>228</v>
      </c>
      <c r="Y30" s="50">
        <v>0.17355371900826447</v>
      </c>
      <c r="Z30" s="47" t="s">
        <v>277</v>
      </c>
      <c r="AA30" s="50">
        <v>0.1728395061728395</v>
      </c>
      <c r="AB30" s="47" t="s">
        <v>262</v>
      </c>
      <c r="AC30" s="50">
        <v>0.5</v>
      </c>
      <c r="AD30" s="47" t="s">
        <v>231</v>
      </c>
      <c r="AE30" s="50">
        <v>0.2</v>
      </c>
      <c r="AF30" s="47" t="s">
        <v>277</v>
      </c>
      <c r="AG30" s="50">
        <v>0.2857142857142857</v>
      </c>
      <c r="AH30" s="47" t="s">
        <v>167</v>
      </c>
      <c r="AI30" s="54">
        <v>34000</v>
      </c>
    </row>
    <row r="31" spans="1:35">
      <c r="A31" s="44">
        <v>29</v>
      </c>
      <c r="B31" s="45" t="s">
        <v>205</v>
      </c>
      <c r="C31" s="107">
        <v>4</v>
      </c>
      <c r="D31" s="45" t="s">
        <v>258</v>
      </c>
      <c r="E31" s="46">
        <v>-74.2</v>
      </c>
      <c r="F31" s="47" t="s">
        <v>213</v>
      </c>
      <c r="G31" s="59">
        <v>-11.670000000000002</v>
      </c>
      <c r="H31" s="47" t="s">
        <v>241</v>
      </c>
      <c r="I31" s="48">
        <v>2.7142857142857144</v>
      </c>
      <c r="J31" s="47" t="s">
        <v>277</v>
      </c>
      <c r="K31" s="49">
        <v>0</v>
      </c>
      <c r="L31" s="47" t="s">
        <v>216</v>
      </c>
      <c r="M31" s="49">
        <v>0.29629629629629628</v>
      </c>
      <c r="N31" s="47" t="s">
        <v>228</v>
      </c>
      <c r="O31" s="49">
        <v>0.41176470588235292</v>
      </c>
      <c r="P31" s="47" t="s">
        <v>262</v>
      </c>
      <c r="Q31" s="50">
        <v>0.17391304347826086</v>
      </c>
      <c r="R31" s="47" t="s">
        <v>241</v>
      </c>
      <c r="S31" s="50">
        <v>0.16666666666666666</v>
      </c>
      <c r="T31" s="47" t="s">
        <v>258</v>
      </c>
      <c r="U31" s="51">
        <v>5766.666666666667</v>
      </c>
      <c r="V31" s="47" t="s">
        <v>180</v>
      </c>
      <c r="W31" s="51">
        <v>-6600</v>
      </c>
      <c r="X31" s="47" t="s">
        <v>169</v>
      </c>
      <c r="Y31" s="50">
        <v>0.17320261437908496</v>
      </c>
      <c r="Z31" s="47" t="s">
        <v>166</v>
      </c>
      <c r="AA31" s="50">
        <v>0.17142857142857143</v>
      </c>
      <c r="AB31" s="47" t="s">
        <v>269</v>
      </c>
      <c r="AC31" s="50">
        <v>0.42857142857142855</v>
      </c>
      <c r="AD31" s="47" t="s">
        <v>203</v>
      </c>
      <c r="AE31" s="50">
        <v>0.16666666666666666</v>
      </c>
      <c r="AF31" s="47" t="s">
        <v>263</v>
      </c>
      <c r="AG31" s="50">
        <v>0.26666666666666666</v>
      </c>
      <c r="AH31" s="47" t="s">
        <v>241</v>
      </c>
      <c r="AI31" s="54">
        <v>34000</v>
      </c>
    </row>
    <row r="32" spans="1:35">
      <c r="A32" s="44">
        <v>30</v>
      </c>
      <c r="B32" s="45" t="s">
        <v>223</v>
      </c>
      <c r="C32" s="107">
        <v>4</v>
      </c>
      <c r="D32" s="45" t="s">
        <v>241</v>
      </c>
      <c r="E32" s="46">
        <v>-79</v>
      </c>
      <c r="F32" s="47" t="s">
        <v>238</v>
      </c>
      <c r="G32" s="59">
        <v>-12.382352941176467</v>
      </c>
      <c r="H32" s="47" t="s">
        <v>258</v>
      </c>
      <c r="I32" s="48">
        <v>2.7142857142857144</v>
      </c>
      <c r="J32" s="47" t="s">
        <v>166</v>
      </c>
      <c r="K32" s="49">
        <v>0</v>
      </c>
      <c r="L32" s="47" t="s">
        <v>161</v>
      </c>
      <c r="M32" s="49">
        <v>0.3</v>
      </c>
      <c r="N32" s="47" t="s">
        <v>216</v>
      </c>
      <c r="O32" s="49">
        <v>0.40740740740740738</v>
      </c>
      <c r="P32" s="47" t="s">
        <v>215</v>
      </c>
      <c r="Q32" s="50">
        <v>0.16666666666666666</v>
      </c>
      <c r="R32" s="47" t="s">
        <v>202</v>
      </c>
      <c r="S32" s="50">
        <v>0.17647058823529413</v>
      </c>
      <c r="T32" s="47" t="s">
        <v>269</v>
      </c>
      <c r="U32" s="51">
        <v>5650</v>
      </c>
      <c r="V32" s="47" t="s">
        <v>228</v>
      </c>
      <c r="W32" s="51">
        <v>-6926.9230769230771</v>
      </c>
      <c r="X32" s="47" t="s">
        <v>161</v>
      </c>
      <c r="Y32" s="50">
        <v>0.16883116883116883</v>
      </c>
      <c r="Z32" s="47" t="s">
        <v>215</v>
      </c>
      <c r="AA32" s="50">
        <v>0.16666666666666666</v>
      </c>
      <c r="AB32" s="47" t="s">
        <v>179</v>
      </c>
      <c r="AC32" s="50">
        <v>0.4</v>
      </c>
      <c r="AD32" s="47" t="s">
        <v>235</v>
      </c>
      <c r="AE32" s="50">
        <v>0.15384615384615385</v>
      </c>
      <c r="AF32" s="47" t="s">
        <v>177</v>
      </c>
      <c r="AG32" s="50">
        <v>0.25</v>
      </c>
      <c r="AH32" s="47" t="s">
        <v>175</v>
      </c>
      <c r="AI32" s="54">
        <v>33600</v>
      </c>
    </row>
    <row r="33" spans="1:35">
      <c r="A33" s="44">
        <v>31</v>
      </c>
      <c r="B33" s="45" t="s">
        <v>208</v>
      </c>
      <c r="C33" s="107">
        <v>3</v>
      </c>
      <c r="D33" s="45" t="s">
        <v>114</v>
      </c>
      <c r="E33" s="46">
        <v>-90.000000000000142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167</v>
      </c>
      <c r="K33" s="49">
        <v>0</v>
      </c>
      <c r="L33" s="47" t="s">
        <v>262</v>
      </c>
      <c r="M33" s="49">
        <v>0.33333333333333331</v>
      </c>
      <c r="N33" s="47" t="s">
        <v>244</v>
      </c>
      <c r="O33" s="49">
        <v>0.36363636363636365</v>
      </c>
      <c r="P33" s="47" t="s">
        <v>164</v>
      </c>
      <c r="Q33" s="50">
        <v>0.16528925619834711</v>
      </c>
      <c r="R33" s="47" t="s">
        <v>269</v>
      </c>
      <c r="S33" s="50">
        <v>0.17777777777777778</v>
      </c>
      <c r="T33" s="47" t="s">
        <v>265</v>
      </c>
      <c r="U33" s="51">
        <v>5528.5714285714284</v>
      </c>
      <c r="V33" s="47" t="s">
        <v>195</v>
      </c>
      <c r="W33" s="51">
        <v>-6932.3529411764703</v>
      </c>
      <c r="X33" s="47" t="s">
        <v>244</v>
      </c>
      <c r="Y33" s="50">
        <v>0.16666666666666666</v>
      </c>
      <c r="Z33" s="47" t="s">
        <v>258</v>
      </c>
      <c r="AA33" s="50">
        <v>0.16</v>
      </c>
      <c r="AB33" s="47" t="s">
        <v>241</v>
      </c>
      <c r="AC33" s="50">
        <v>0.375</v>
      </c>
      <c r="AD33" s="47" t="s">
        <v>276</v>
      </c>
      <c r="AE33" s="50">
        <v>0.15</v>
      </c>
      <c r="AF33" s="47" t="s">
        <v>231</v>
      </c>
      <c r="AG33" s="50">
        <v>0.25</v>
      </c>
      <c r="AH33" s="47" t="s">
        <v>268</v>
      </c>
      <c r="AI33" s="54">
        <v>32100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223</v>
      </c>
      <c r="G34" s="59">
        <v>-18.125</v>
      </c>
      <c r="H34" s="47" t="s">
        <v>196</v>
      </c>
      <c r="I34" s="48">
        <v>3</v>
      </c>
      <c r="J34" s="47" t="s">
        <v>175</v>
      </c>
      <c r="K34" s="49">
        <v>0</v>
      </c>
      <c r="L34" s="47" t="s">
        <v>228</v>
      </c>
      <c r="M34" s="49">
        <v>0.35294117647058826</v>
      </c>
      <c r="N34" s="47" t="s">
        <v>262</v>
      </c>
      <c r="O34" s="49">
        <v>0.33333333333333331</v>
      </c>
      <c r="P34" s="47" t="s">
        <v>216</v>
      </c>
      <c r="Q34" s="50">
        <v>0.15083798882681565</v>
      </c>
      <c r="R34" s="47" t="s">
        <v>161</v>
      </c>
      <c r="S34" s="50">
        <v>0.18181818181818182</v>
      </c>
      <c r="T34" s="47" t="s">
        <v>263</v>
      </c>
      <c r="U34" s="51">
        <v>5310</v>
      </c>
      <c r="V34" s="47" t="s">
        <v>269</v>
      </c>
      <c r="W34" s="51">
        <v>-7112.5</v>
      </c>
      <c r="X34" s="47" t="s">
        <v>241</v>
      </c>
      <c r="Y34" s="50">
        <v>0.16666666666666666</v>
      </c>
      <c r="Z34" s="47" t="s">
        <v>177</v>
      </c>
      <c r="AA34" s="50">
        <v>0.15789473684210525</v>
      </c>
      <c r="AB34" s="47" t="s">
        <v>191</v>
      </c>
      <c r="AC34" s="50">
        <v>0.33333333333333331</v>
      </c>
      <c r="AD34" s="47" t="s">
        <v>258</v>
      </c>
      <c r="AE34" s="50">
        <v>0.125</v>
      </c>
      <c r="AF34" s="47" t="s">
        <v>262</v>
      </c>
      <c r="AG34" s="50">
        <v>0.25</v>
      </c>
      <c r="AH34" s="47" t="s">
        <v>277</v>
      </c>
      <c r="AI34" s="54">
        <v>29000</v>
      </c>
    </row>
    <row r="35" spans="1:35">
      <c r="A35" s="44">
        <v>33</v>
      </c>
      <c r="B35" s="45" t="s">
        <v>175</v>
      </c>
      <c r="C35" s="107">
        <v>2</v>
      </c>
      <c r="D35" s="45" t="s">
        <v>202</v>
      </c>
      <c r="E35" s="46">
        <v>-105.9</v>
      </c>
      <c r="F35" s="47" t="s">
        <v>262</v>
      </c>
      <c r="G35" s="59">
        <v>-19.733333333333334</v>
      </c>
      <c r="H35" s="47" t="s">
        <v>215</v>
      </c>
      <c r="I35" s="48">
        <v>3</v>
      </c>
      <c r="J35" s="47" t="s">
        <v>180</v>
      </c>
      <c r="K35" s="49">
        <v>0</v>
      </c>
      <c r="L35" s="47" t="s">
        <v>163</v>
      </c>
      <c r="M35" s="49">
        <v>0.375</v>
      </c>
      <c r="N35" s="47" t="s">
        <v>235</v>
      </c>
      <c r="O35" s="49">
        <v>0.26666666666666666</v>
      </c>
      <c r="P35" s="47" t="s">
        <v>213</v>
      </c>
      <c r="Q35" s="50">
        <v>0.14814814814814814</v>
      </c>
      <c r="R35" s="47" t="s">
        <v>277</v>
      </c>
      <c r="S35" s="50">
        <v>0.18518518518518517</v>
      </c>
      <c r="T35" s="47" t="s">
        <v>241</v>
      </c>
      <c r="U35" s="51">
        <v>5090.909090909091</v>
      </c>
      <c r="V35" s="47" t="s">
        <v>163</v>
      </c>
      <c r="W35" s="51">
        <v>-7212.5</v>
      </c>
      <c r="X35" s="47" t="s">
        <v>238</v>
      </c>
      <c r="Y35" s="50">
        <v>0.15573770491803279</v>
      </c>
      <c r="Z35" s="47" t="s">
        <v>216</v>
      </c>
      <c r="AA35" s="50">
        <v>0.14525139664804471</v>
      </c>
      <c r="AB35" s="47" t="s">
        <v>277</v>
      </c>
      <c r="AC35" s="50">
        <v>0.33333333333333331</v>
      </c>
      <c r="AD35" s="47" t="s">
        <v>277</v>
      </c>
      <c r="AE35" s="50">
        <v>7.1428571428571425E-2</v>
      </c>
      <c r="AF35" s="47" t="s">
        <v>169</v>
      </c>
      <c r="AG35" s="50">
        <v>0.24637681159420291</v>
      </c>
      <c r="AH35" s="47" t="s">
        <v>262</v>
      </c>
      <c r="AI35" s="54">
        <v>28000</v>
      </c>
    </row>
    <row r="36" spans="1:35">
      <c r="A36" s="44">
        <v>34</v>
      </c>
      <c r="B36" s="45" t="s">
        <v>177</v>
      </c>
      <c r="C36" s="107">
        <v>2</v>
      </c>
      <c r="D36" s="45" t="s">
        <v>213</v>
      </c>
      <c r="E36" s="46">
        <v>-116.70000000000002</v>
      </c>
      <c r="F36" s="47" t="s">
        <v>235</v>
      </c>
      <c r="G36" s="59">
        <v>-23.986666666666668</v>
      </c>
      <c r="H36" s="47" t="s">
        <v>262</v>
      </c>
      <c r="I36" s="48">
        <v>3</v>
      </c>
      <c r="J36" s="47" t="s">
        <v>199</v>
      </c>
      <c r="K36" s="49">
        <v>0</v>
      </c>
      <c r="L36" s="47" t="s">
        <v>203</v>
      </c>
      <c r="M36" s="49">
        <v>0.4</v>
      </c>
      <c r="N36" s="47" t="s">
        <v>166</v>
      </c>
      <c r="O36" s="49">
        <v>0.25</v>
      </c>
      <c r="P36" s="47" t="s">
        <v>235</v>
      </c>
      <c r="Q36" s="50">
        <v>0.1391304347826087</v>
      </c>
      <c r="R36" s="47" t="s">
        <v>223</v>
      </c>
      <c r="S36" s="50">
        <v>0.19047619047619047</v>
      </c>
      <c r="T36" s="47" t="s">
        <v>235</v>
      </c>
      <c r="U36" s="51">
        <v>5025</v>
      </c>
      <c r="V36" s="47" t="s">
        <v>216</v>
      </c>
      <c r="W36" s="51">
        <v>-7266.666666666667</v>
      </c>
      <c r="X36" s="47" t="s">
        <v>269</v>
      </c>
      <c r="Y36" s="50">
        <v>0.15555555555555556</v>
      </c>
      <c r="Z36" s="47" t="s">
        <v>167</v>
      </c>
      <c r="AA36" s="50">
        <v>0.14285714285714285</v>
      </c>
      <c r="AB36" s="47" t="s">
        <v>203</v>
      </c>
      <c r="AC36" s="50">
        <v>0.33333333333333331</v>
      </c>
      <c r="AD36" s="47" t="s">
        <v>213</v>
      </c>
      <c r="AE36" s="50">
        <v>0</v>
      </c>
      <c r="AF36" s="47" t="s">
        <v>164</v>
      </c>
      <c r="AG36" s="50">
        <v>0.2</v>
      </c>
      <c r="AH36" s="47" t="s">
        <v>215</v>
      </c>
      <c r="AI36" s="54">
        <v>25600</v>
      </c>
    </row>
    <row r="37" spans="1:35">
      <c r="A37" s="44">
        <v>35</v>
      </c>
      <c r="B37" s="45" t="s">
        <v>199</v>
      </c>
      <c r="C37" s="107">
        <v>2</v>
      </c>
      <c r="D37" s="45" t="s">
        <v>166</v>
      </c>
      <c r="E37" s="46">
        <v>-127.99999999999999</v>
      </c>
      <c r="F37" s="47" t="s">
        <v>196</v>
      </c>
      <c r="G37" s="59">
        <v>-27.1</v>
      </c>
      <c r="H37" s="47" t="s">
        <v>235</v>
      </c>
      <c r="I37" s="48">
        <v>3.1333333333333333</v>
      </c>
      <c r="J37" s="47" t="s">
        <v>196</v>
      </c>
      <c r="K37" s="49">
        <v>0</v>
      </c>
      <c r="L37" s="47" t="s">
        <v>166</v>
      </c>
      <c r="M37" s="49">
        <v>0.5</v>
      </c>
      <c r="N37" s="47" t="s">
        <v>277</v>
      </c>
      <c r="O37" s="49">
        <v>0.18181818181818182</v>
      </c>
      <c r="P37" s="47" t="s">
        <v>196</v>
      </c>
      <c r="Q37" s="50">
        <v>0.125</v>
      </c>
      <c r="R37" s="47" t="s">
        <v>235</v>
      </c>
      <c r="S37" s="50">
        <v>0.19130434782608696</v>
      </c>
      <c r="T37" s="47" t="s">
        <v>179</v>
      </c>
      <c r="U37" s="51">
        <v>4909.375</v>
      </c>
      <c r="V37" s="47" t="s">
        <v>244</v>
      </c>
      <c r="W37" s="51">
        <v>-7483.333333333333</v>
      </c>
      <c r="X37" s="47" t="s">
        <v>231</v>
      </c>
      <c r="Y37" s="50">
        <v>0.15384615384615385</v>
      </c>
      <c r="Z37" s="47" t="s">
        <v>227</v>
      </c>
      <c r="AA37" s="50">
        <v>0.13978494623655913</v>
      </c>
      <c r="AB37" s="47" t="s">
        <v>223</v>
      </c>
      <c r="AC37" s="50">
        <v>0.33333333333333331</v>
      </c>
      <c r="AD37" s="47" t="s">
        <v>167</v>
      </c>
      <c r="AE37" s="50">
        <v>0</v>
      </c>
      <c r="AF37" s="47" t="s">
        <v>227</v>
      </c>
      <c r="AG37" s="50">
        <v>0.19047619047619047</v>
      </c>
      <c r="AH37" s="47" t="s">
        <v>203</v>
      </c>
      <c r="AI37" s="54">
        <v>25000</v>
      </c>
    </row>
    <row r="38" spans="1:35">
      <c r="A38" s="44">
        <v>36</v>
      </c>
      <c r="B38" s="45" t="s">
        <v>202</v>
      </c>
      <c r="C38" s="107">
        <v>2</v>
      </c>
      <c r="D38" s="45" t="s">
        <v>208</v>
      </c>
      <c r="E38" s="46">
        <v>-132.69999999999999</v>
      </c>
      <c r="F38" s="47" t="s">
        <v>166</v>
      </c>
      <c r="G38" s="59">
        <v>-31.999999999999996</v>
      </c>
      <c r="H38" s="47" t="s">
        <v>166</v>
      </c>
      <c r="I38" s="48">
        <v>3.25</v>
      </c>
      <c r="J38" s="47" t="s">
        <v>203</v>
      </c>
      <c r="K38" s="49">
        <v>0</v>
      </c>
      <c r="L38" s="47" t="s">
        <v>177</v>
      </c>
      <c r="M38" s="49">
        <v>0.5</v>
      </c>
      <c r="N38" s="47" t="s">
        <v>180</v>
      </c>
      <c r="O38" s="49">
        <v>0</v>
      </c>
      <c r="P38" s="47" t="s">
        <v>223</v>
      </c>
      <c r="Q38" s="50">
        <v>9.5238095238095233E-2</v>
      </c>
      <c r="R38" s="47" t="s">
        <v>168</v>
      </c>
      <c r="S38" s="50">
        <v>0.19718309859154928</v>
      </c>
      <c r="T38" s="47" t="s">
        <v>262</v>
      </c>
      <c r="U38" s="51">
        <v>4525</v>
      </c>
      <c r="V38" s="47" t="s">
        <v>238</v>
      </c>
      <c r="W38" s="51">
        <v>-7558.8235294117649</v>
      </c>
      <c r="X38" s="47" t="s">
        <v>180</v>
      </c>
      <c r="Y38" s="50">
        <v>0.14285714285714285</v>
      </c>
      <c r="Z38" s="47" t="s">
        <v>203</v>
      </c>
      <c r="AA38" s="50">
        <v>0.13953488372093023</v>
      </c>
      <c r="AB38" s="47" t="s">
        <v>164</v>
      </c>
      <c r="AC38" s="50">
        <v>0.3125</v>
      </c>
      <c r="AD38" s="47" t="s">
        <v>175</v>
      </c>
      <c r="AE38" s="50">
        <v>0</v>
      </c>
      <c r="AF38" s="47" t="s">
        <v>191</v>
      </c>
      <c r="AG38" s="50">
        <v>0.14285714285714285</v>
      </c>
      <c r="AH38" s="47" t="s">
        <v>166</v>
      </c>
      <c r="AI38" s="54">
        <v>23700</v>
      </c>
    </row>
    <row r="39" spans="1:35">
      <c r="A39" s="44">
        <v>37</v>
      </c>
      <c r="B39" s="45" t="s">
        <v>231</v>
      </c>
      <c r="C39" s="107">
        <v>2</v>
      </c>
      <c r="D39" s="45" t="s">
        <v>216</v>
      </c>
      <c r="E39" s="46">
        <v>-133.59999999999997</v>
      </c>
      <c r="F39" s="47" t="s">
        <v>203</v>
      </c>
      <c r="G39" s="59">
        <v>-32.279999999999994</v>
      </c>
      <c r="H39" s="47" t="s">
        <v>277</v>
      </c>
      <c r="I39" s="48">
        <v>3.3636363636363638</v>
      </c>
      <c r="J39" s="47" t="s">
        <v>202</v>
      </c>
      <c r="K39" s="49">
        <v>0</v>
      </c>
      <c r="L39" s="47" t="s">
        <v>235</v>
      </c>
      <c r="M39" s="49">
        <v>0.53333333333333333</v>
      </c>
      <c r="N39" s="47" t="s">
        <v>199</v>
      </c>
      <c r="O39" s="49">
        <v>0</v>
      </c>
      <c r="P39" s="47" t="s">
        <v>203</v>
      </c>
      <c r="Q39" s="50">
        <v>9.3023255813953487E-2</v>
      </c>
      <c r="R39" s="47" t="s">
        <v>258</v>
      </c>
      <c r="S39" s="50">
        <v>0.2</v>
      </c>
      <c r="T39" s="47" t="s">
        <v>215</v>
      </c>
      <c r="U39" s="51">
        <v>3900</v>
      </c>
      <c r="V39" s="47" t="s">
        <v>255</v>
      </c>
      <c r="W39" s="51">
        <v>-7600</v>
      </c>
      <c r="X39" s="47" t="s">
        <v>202</v>
      </c>
      <c r="Y39" s="50">
        <v>0.11764705882352941</v>
      </c>
      <c r="Z39" s="47" t="s">
        <v>269</v>
      </c>
      <c r="AA39" s="50">
        <v>0.13333333333333333</v>
      </c>
      <c r="AB39" s="47" t="s">
        <v>180</v>
      </c>
      <c r="AC39" s="50">
        <v>0</v>
      </c>
      <c r="AD39" s="47" t="s">
        <v>180</v>
      </c>
      <c r="AE39" s="50">
        <v>0</v>
      </c>
      <c r="AF39" s="47" t="s">
        <v>180</v>
      </c>
      <c r="AG39" s="50">
        <v>0</v>
      </c>
      <c r="AH39" s="47" t="s">
        <v>269</v>
      </c>
      <c r="AI39" s="54">
        <v>23100</v>
      </c>
    </row>
    <row r="40" spans="1:35">
      <c r="A40" s="44">
        <v>38</v>
      </c>
      <c r="B40" s="45" t="s">
        <v>264</v>
      </c>
      <c r="C40" s="107">
        <v>2</v>
      </c>
      <c r="D40" s="45" t="s">
        <v>228</v>
      </c>
      <c r="E40" s="46">
        <v>-149.19999999999999</v>
      </c>
      <c r="F40" s="47" t="s">
        <v>277</v>
      </c>
      <c r="G40" s="59">
        <v>-32.536363636363632</v>
      </c>
      <c r="H40" s="47" t="s">
        <v>203</v>
      </c>
      <c r="I40" s="48">
        <v>3.4</v>
      </c>
      <c r="J40" s="47" t="s">
        <v>208</v>
      </c>
      <c r="K40" s="49">
        <v>0</v>
      </c>
      <c r="L40" s="47" t="s">
        <v>277</v>
      </c>
      <c r="M40" s="49">
        <v>0.54545454545454541</v>
      </c>
      <c r="N40" s="47" t="s">
        <v>196</v>
      </c>
      <c r="O40" s="49">
        <v>0</v>
      </c>
      <c r="P40" s="47" t="s">
        <v>269</v>
      </c>
      <c r="Q40" s="50">
        <v>8.8888888888888892E-2</v>
      </c>
      <c r="R40" s="47" t="s">
        <v>268</v>
      </c>
      <c r="S40" s="50">
        <v>0.2</v>
      </c>
      <c r="T40" s="47" t="s">
        <v>166</v>
      </c>
      <c r="U40" s="51">
        <v>2928.5714285714284</v>
      </c>
      <c r="V40" s="47" t="s">
        <v>241</v>
      </c>
      <c r="W40" s="51">
        <v>-7687.5</v>
      </c>
      <c r="X40" s="47" t="s">
        <v>166</v>
      </c>
      <c r="Y40" s="50">
        <v>0.11428571428571428</v>
      </c>
      <c r="Z40" s="47" t="s">
        <v>162</v>
      </c>
      <c r="AA40" s="50">
        <v>0.11538461538461539</v>
      </c>
      <c r="AB40" s="47" t="s">
        <v>199</v>
      </c>
      <c r="AC40" s="50">
        <v>0</v>
      </c>
      <c r="AD40" s="47" t="s">
        <v>199</v>
      </c>
      <c r="AE40" s="50">
        <v>0</v>
      </c>
      <c r="AF40" s="47" t="s">
        <v>199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203</v>
      </c>
      <c r="E41" s="46">
        <v>-161.39999999999998</v>
      </c>
      <c r="F41" s="47" t="s">
        <v>269</v>
      </c>
      <c r="G41" s="59">
        <v>-37.628571428571433</v>
      </c>
      <c r="H41" s="47" t="s">
        <v>269</v>
      </c>
      <c r="I41" s="48">
        <v>3.5714285714285716</v>
      </c>
      <c r="J41" s="47" t="s">
        <v>215</v>
      </c>
      <c r="K41" s="49">
        <v>0</v>
      </c>
      <c r="L41" s="47" t="s">
        <v>269</v>
      </c>
      <c r="M41" s="49">
        <v>0.5714285714285714</v>
      </c>
      <c r="N41" s="47" t="s">
        <v>203</v>
      </c>
      <c r="O41" s="49">
        <v>0</v>
      </c>
      <c r="P41" s="47" t="s">
        <v>277</v>
      </c>
      <c r="Q41" s="50">
        <v>8.6419753086419748E-2</v>
      </c>
      <c r="R41" s="47" t="s">
        <v>228</v>
      </c>
      <c r="S41" s="50">
        <v>0.21487603305785125</v>
      </c>
      <c r="T41" s="47" t="s">
        <v>202</v>
      </c>
      <c r="U41" s="51">
        <v>1300</v>
      </c>
      <c r="V41" s="47" t="s">
        <v>268</v>
      </c>
      <c r="W41" s="51">
        <v>-8000</v>
      </c>
      <c r="X41" s="47" t="s">
        <v>235</v>
      </c>
      <c r="Y41" s="50">
        <v>0.11304347826086956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202</v>
      </c>
      <c r="AE41" s="50">
        <v>0</v>
      </c>
      <c r="AF41" s="47" t="s">
        <v>196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238</v>
      </c>
      <c r="E42" s="46">
        <v>-210.49999999999994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223</v>
      </c>
      <c r="K42" s="49">
        <v>0</v>
      </c>
      <c r="L42" s="47" t="s">
        <v>208</v>
      </c>
      <c r="M42" s="49">
        <v>0.66666666666666663</v>
      </c>
      <c r="N42" s="47" t="s">
        <v>202</v>
      </c>
      <c r="O42" s="49">
        <v>0</v>
      </c>
      <c r="P42" s="47" t="s">
        <v>202</v>
      </c>
      <c r="Q42" s="50">
        <v>5.8823529411764705E-2</v>
      </c>
      <c r="R42" s="47" t="s">
        <v>208</v>
      </c>
      <c r="S42" s="50">
        <v>0.21739130434782608</v>
      </c>
      <c r="T42" s="47" t="s">
        <v>196</v>
      </c>
      <c r="U42" s="51">
        <v>1000</v>
      </c>
      <c r="V42" s="47" t="s">
        <v>179</v>
      </c>
      <c r="W42" s="51">
        <v>-8157.1428571428569</v>
      </c>
      <c r="X42" s="47" t="s">
        <v>191</v>
      </c>
      <c r="Y42" s="50">
        <v>0.10434782608695652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208</v>
      </c>
      <c r="AE42" s="50">
        <v>0</v>
      </c>
      <c r="AF42" s="47" t="s">
        <v>202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269</v>
      </c>
      <c r="E43" s="46">
        <v>-263.40000000000003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241</v>
      </c>
      <c r="K43" s="49">
        <v>0</v>
      </c>
      <c r="L43" s="47" t="s">
        <v>180</v>
      </c>
      <c r="M43" s="49">
        <v>1</v>
      </c>
      <c r="N43" s="47" t="s">
        <v>208</v>
      </c>
      <c r="O43" s="49">
        <v>0</v>
      </c>
      <c r="P43" s="47" t="s">
        <v>180</v>
      </c>
      <c r="Q43" s="50">
        <v>0</v>
      </c>
      <c r="R43" s="47" t="s">
        <v>262</v>
      </c>
      <c r="S43" s="50">
        <v>0.21739130434782608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223</v>
      </c>
      <c r="AE43" s="50">
        <v>0</v>
      </c>
      <c r="AF43" s="47" t="s">
        <v>208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277</v>
      </c>
      <c r="E44" s="46">
        <v>-357.9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262</v>
      </c>
      <c r="K44" s="49">
        <v>0</v>
      </c>
      <c r="L44" s="47" t="s">
        <v>199</v>
      </c>
      <c r="M44" s="49">
        <v>1</v>
      </c>
      <c r="N44" s="47" t="s">
        <v>215</v>
      </c>
      <c r="O44" s="49">
        <v>0</v>
      </c>
      <c r="P44" s="47" t="s">
        <v>199</v>
      </c>
      <c r="Q44" s="50">
        <v>0</v>
      </c>
      <c r="R44" s="47" t="s">
        <v>203</v>
      </c>
      <c r="S44" s="50">
        <v>0.23255813953488372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269</v>
      </c>
      <c r="AE44" s="50">
        <v>0</v>
      </c>
      <c r="AF44" s="47" t="s">
        <v>215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-359.8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269</v>
      </c>
      <c r="K45" s="49">
        <v>0</v>
      </c>
      <c r="L45" s="47" t="s">
        <v>202</v>
      </c>
      <c r="M45" s="49">
        <v>1</v>
      </c>
      <c r="N45" s="47" t="s">
        <v>269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268</v>
      </c>
      <c r="AE45" s="50">
        <v>0</v>
      </c>
      <c r="AF45" s="47" t="s">
        <v>258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1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413</v>
      </c>
      <c r="C2" s="121"/>
      <c r="E2" s="32" t="s">
        <v>54</v>
      </c>
      <c r="F2" s="29" t="s">
        <v>20</v>
      </c>
      <c r="G2" s="12">
        <v>362</v>
      </c>
      <c r="H2" s="93">
        <f>IF(B$17=0,0,G2/B$17)</f>
        <v>0.56474258970358815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-62.953995157384988</v>
      </c>
      <c r="P2" s="79">
        <v>413</v>
      </c>
      <c r="Q2" s="63">
        <v>-26000</v>
      </c>
    </row>
    <row r="3" spans="1:17">
      <c r="A3" s="19" t="s">
        <v>8</v>
      </c>
      <c r="B3" s="122">
        <v>3029</v>
      </c>
      <c r="C3" s="123"/>
      <c r="E3" s="33" t="s">
        <v>181</v>
      </c>
      <c r="F3" s="30" t="s">
        <v>156</v>
      </c>
      <c r="G3" s="13">
        <v>332</v>
      </c>
      <c r="H3" s="94">
        <f>IF(B$17=0,0,G3/B$17)</f>
        <v>0.51794071762870519</v>
      </c>
      <c r="I3" s="56">
        <v>18</v>
      </c>
      <c r="K3" s="5">
        <v>1</v>
      </c>
      <c r="L3" s="61">
        <v>11.9</v>
      </c>
      <c r="N3" s="76" t="s">
        <v>104</v>
      </c>
      <c r="O3" s="83">
        <f t="shared" si="0"/>
        <v>-21.791767554479417</v>
      </c>
      <c r="P3" s="80">
        <v>413</v>
      </c>
      <c r="Q3" s="64">
        <v>-9000</v>
      </c>
    </row>
    <row r="4" spans="1:17">
      <c r="A4" s="19" t="s">
        <v>6</v>
      </c>
      <c r="B4" s="124">
        <v>-90.000000000000142</v>
      </c>
      <c r="C4" s="125"/>
      <c r="E4" s="33" t="s">
        <v>184</v>
      </c>
      <c r="F4" s="30" t="s">
        <v>187</v>
      </c>
      <c r="G4" s="13">
        <v>303</v>
      </c>
      <c r="H4" s="94">
        <f>IF(B$17=0,0,G4/B$17)</f>
        <v>0.47269890795631825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-21.728395061728396</v>
      </c>
      <c r="P4" s="80">
        <v>405</v>
      </c>
      <c r="Q4" s="64">
        <v>-8800</v>
      </c>
    </row>
    <row r="5" spans="1:17">
      <c r="A5" s="19" t="s">
        <v>7</v>
      </c>
      <c r="B5" s="126">
        <f>IF(B$2=0,0,B$4/B$2)</f>
        <v>-0.21791767554479452</v>
      </c>
      <c r="C5" s="127"/>
      <c r="E5" s="33" t="s">
        <v>60</v>
      </c>
      <c r="F5" s="30" t="s">
        <v>24</v>
      </c>
      <c r="G5" s="13">
        <v>259</v>
      </c>
      <c r="H5" s="94">
        <f>IF(B$17=0,0,G5/B$17)</f>
        <v>0.40405616224648988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-56.300268096514742</v>
      </c>
      <c r="P5" s="80">
        <v>373</v>
      </c>
      <c r="Q5" s="64">
        <v>-21000</v>
      </c>
    </row>
    <row r="6" spans="1:17">
      <c r="A6" s="19" t="s">
        <v>1</v>
      </c>
      <c r="B6" s="128">
        <f>IF(B$2=0,0,(B$7*1+B$8*2+B$9*3+B$10*4)/B$2)</f>
        <v>2.4915254237288136</v>
      </c>
      <c r="C6" s="129"/>
      <c r="E6" s="33" t="s">
        <v>56</v>
      </c>
      <c r="F6" s="30" t="s">
        <v>185</v>
      </c>
      <c r="G6" s="13">
        <v>160</v>
      </c>
      <c r="H6" s="94">
        <f>IF(B$17=0,0,G6/B$17)</f>
        <v>0.24960998439937598</v>
      </c>
      <c r="I6" s="56">
        <v>27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-15.384615384615385</v>
      </c>
      <c r="P6" s="80">
        <v>260</v>
      </c>
      <c r="Q6" s="64">
        <v>-4000</v>
      </c>
    </row>
    <row r="7" spans="1:17">
      <c r="A7" s="19" t="s">
        <v>2</v>
      </c>
      <c r="B7" s="13">
        <v>105</v>
      </c>
      <c r="C7" s="6">
        <f t="shared" ref="C7:C12" si="2">IF(B$2=0,0,B7/B$2)</f>
        <v>0.25423728813559321</v>
      </c>
      <c r="E7" s="33" t="s">
        <v>57</v>
      </c>
      <c r="F7" s="30" t="s">
        <v>21</v>
      </c>
      <c r="G7" s="13">
        <v>155</v>
      </c>
      <c r="H7" s="94">
        <f>IF(B$17=0,0,G7/B$17)</f>
        <v>0.24180967238689546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-45.454545454545453</v>
      </c>
      <c r="P7" s="80">
        <v>176</v>
      </c>
      <c r="Q7" s="64">
        <v>-8000</v>
      </c>
    </row>
    <row r="8" spans="1:17">
      <c r="A8" s="19" t="s">
        <v>3</v>
      </c>
      <c r="B8" s="13">
        <v>102</v>
      </c>
      <c r="C8" s="6">
        <f>IF(B$2=0,0,B8/B$2)</f>
        <v>0.24697336561743341</v>
      </c>
      <c r="E8" s="33" t="s">
        <v>55</v>
      </c>
      <c r="F8" s="30" t="s">
        <v>155</v>
      </c>
      <c r="G8" s="13">
        <v>152</v>
      </c>
      <c r="H8" s="94">
        <f>IF(B$17=0,0,G8/B$17)</f>
        <v>0.23712948517940718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100</v>
      </c>
      <c r="Q8" s="64">
        <v>0</v>
      </c>
    </row>
    <row r="9" spans="1:17">
      <c r="A9" s="20" t="s">
        <v>4</v>
      </c>
      <c r="B9" s="14">
        <v>104</v>
      </c>
      <c r="C9" s="7">
        <f>IF(B$2=0,0,B9/B$2)</f>
        <v>0.25181598062953997</v>
      </c>
      <c r="E9" s="33" t="s">
        <v>59</v>
      </c>
      <c r="F9" s="30" t="s">
        <v>23</v>
      </c>
      <c r="G9" s="13">
        <v>99</v>
      </c>
      <c r="H9" s="94">
        <f>IF(B$17=0,0,G9/B$17)</f>
        <v>0.1544461778471139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102</v>
      </c>
      <c r="C10" s="7">
        <f>IF(B$2=0,0,B10/B$2)</f>
        <v>0.24697336561743341</v>
      </c>
      <c r="E10" s="33" t="s">
        <v>182</v>
      </c>
      <c r="F10" s="30" t="s">
        <v>19</v>
      </c>
      <c r="G10" s="13">
        <v>71</v>
      </c>
      <c r="H10" s="94">
        <f>IF(B$17=0,0,G10/B$17)</f>
        <v>0.11076443057722309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207</v>
      </c>
      <c r="C11" s="7">
        <f>IF(B$2=0,0,B11/B$2)</f>
        <v>0.50121065375302665</v>
      </c>
      <c r="E11" s="33" t="s">
        <v>58</v>
      </c>
      <c r="F11" s="30" t="s">
        <v>22</v>
      </c>
      <c r="G11" s="13">
        <v>46</v>
      </c>
      <c r="H11" s="94">
        <f>IF(B$17=0,0,G11/B$17)</f>
        <v>7.1762870514820595E-2</v>
      </c>
      <c r="I11" s="56">
        <v>15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18</v>
      </c>
      <c r="C12" s="9">
        <f t="shared" si="2"/>
        <v>4.3583535108958835E-2</v>
      </c>
      <c r="E12" s="33" t="s">
        <v>77</v>
      </c>
      <c r="F12" s="30" t="s">
        <v>41</v>
      </c>
      <c r="G12" s="13">
        <v>29</v>
      </c>
      <c r="H12" s="94">
        <f>IF(B$17=0,0,G12/B$17)</f>
        <v>4.5241809672386897E-2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-1.1423076923076909</v>
      </c>
      <c r="P12" s="79">
        <v>104</v>
      </c>
      <c r="Q12" s="67">
        <v>-118.79999999999986</v>
      </c>
    </row>
    <row r="13" spans="1:17">
      <c r="A13" s="22" t="s">
        <v>97</v>
      </c>
      <c r="B13" s="15">
        <v>615</v>
      </c>
      <c r="C13" s="11">
        <f>IF(B$3=0,0,B13/B$3)</f>
        <v>0.20303730604159789</v>
      </c>
      <c r="E13" s="33" t="s">
        <v>183</v>
      </c>
      <c r="F13" s="30" t="s">
        <v>186</v>
      </c>
      <c r="G13" s="13">
        <v>25</v>
      </c>
      <c r="H13" s="94">
        <f>IF(B$17=0,0,G13/B$17)</f>
        <v>3.9001560062402497E-2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5.4528846153846127</v>
      </c>
      <c r="P13" s="80">
        <v>104</v>
      </c>
      <c r="Q13" s="68">
        <v>567.09999999999968</v>
      </c>
    </row>
    <row r="14" spans="1:17">
      <c r="A14" s="19" t="s">
        <v>94</v>
      </c>
      <c r="B14" s="13">
        <v>658</v>
      </c>
      <c r="C14" s="6">
        <f>IF(B$3=0,0,B14/B$3)</f>
        <v>0.21723341036645757</v>
      </c>
      <c r="E14" s="33" t="s">
        <v>71</v>
      </c>
      <c r="F14" s="30" t="s">
        <v>35</v>
      </c>
      <c r="G14" s="13">
        <v>23</v>
      </c>
      <c r="H14" s="94">
        <f>IF(B$17=0,0,G14/B$17)</f>
        <v>3.5881435257410298E-2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-5.3096153846153831</v>
      </c>
      <c r="P14" s="80">
        <v>104</v>
      </c>
      <c r="Q14" s="68">
        <v>-552.19999999999982</v>
      </c>
    </row>
    <row r="15" spans="1:17">
      <c r="A15" s="18" t="s">
        <v>99</v>
      </c>
      <c r="B15" s="12">
        <f>B21</f>
        <v>335</v>
      </c>
      <c r="C15" s="4">
        <f>IF(B$13=0,0,B15/B$13)</f>
        <v>0.54471544715447151</v>
      </c>
      <c r="E15" s="33" t="s">
        <v>74</v>
      </c>
      <c r="F15" s="30" t="s">
        <v>38</v>
      </c>
      <c r="G15" s="13">
        <v>14</v>
      </c>
      <c r="H15" s="94">
        <f>IF(B$17=0,0,G15/B$17)</f>
        <v>2.1840873634945399E-2</v>
      </c>
      <c r="I15" s="56">
        <v>11</v>
      </c>
      <c r="K15" s="5">
        <v>13</v>
      </c>
      <c r="L15" s="61">
        <v>62.500000000000007</v>
      </c>
      <c r="N15" s="77" t="s">
        <v>159</v>
      </c>
      <c r="O15" s="87">
        <f>IF(P15=0,0,Q15/P15)</f>
        <v>0.13365384615384607</v>
      </c>
      <c r="P15" s="81">
        <v>104</v>
      </c>
      <c r="Q15" s="69">
        <v>13.899999999999991</v>
      </c>
    </row>
    <row r="16" spans="1:17">
      <c r="A16" s="18" t="s">
        <v>100</v>
      </c>
      <c r="B16" s="12">
        <f>B22</f>
        <v>223</v>
      </c>
      <c r="C16" s="4">
        <f>IF(B$14=0,0,B16/B$14)</f>
        <v>0.33890577507598785</v>
      </c>
      <c r="E16" s="33" t="s">
        <v>66</v>
      </c>
      <c r="F16" s="30" t="s">
        <v>30</v>
      </c>
      <c r="G16" s="13">
        <v>8</v>
      </c>
      <c r="H16" s="94">
        <f>IF(B$17=0,0,G16/B$17)</f>
        <v>1.2480499219968799E-2</v>
      </c>
      <c r="I16" s="56">
        <v>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641</v>
      </c>
      <c r="C17" s="4">
        <f>IF(B$3=0,0,B17/B$3)</f>
        <v>0.21162099702872236</v>
      </c>
      <c r="E17" s="33" t="s">
        <v>67</v>
      </c>
      <c r="F17" s="30" t="s">
        <v>31</v>
      </c>
      <c r="G17" s="13">
        <v>7</v>
      </c>
      <c r="H17" s="94">
        <f>IF(B$17=0,0,G17/B$17)</f>
        <v>1.0920436817472699E-2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411</v>
      </c>
      <c r="C18" s="6">
        <f>IF(B$3=0,0,B18/B$3)</f>
        <v>0.13568834598877516</v>
      </c>
      <c r="E18" s="33" t="s">
        <v>78</v>
      </c>
      <c r="F18" s="30" t="s">
        <v>42</v>
      </c>
      <c r="G18" s="13">
        <v>7</v>
      </c>
      <c r="H18" s="94">
        <f>IF(B$17=0,0,G18/B$17)</f>
        <v>1.0920436817472699E-2</v>
      </c>
      <c r="I18" s="56">
        <v>7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230</v>
      </c>
      <c r="C19" s="6">
        <f>IF(B$17=0,0,B19/B$17)</f>
        <v>0.35881435257410299</v>
      </c>
      <c r="E19" s="33" t="s">
        <v>69</v>
      </c>
      <c r="F19" s="30" t="s">
        <v>33</v>
      </c>
      <c r="G19" s="13">
        <v>6</v>
      </c>
      <c r="H19" s="94">
        <f>IF(B$17=0,0,G19/B$17)</f>
        <v>9.3603744149765994E-3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411</v>
      </c>
      <c r="C20" s="6">
        <f>IF(B$17=0,0,B20/B$17)</f>
        <v>0.64118564742589701</v>
      </c>
      <c r="E20" s="33" t="s">
        <v>62</v>
      </c>
      <c r="F20" s="30" t="s">
        <v>26</v>
      </c>
      <c r="G20" s="13">
        <v>4</v>
      </c>
      <c r="H20" s="94">
        <f>IF(B$17=0,0,G20/B$17)</f>
        <v>6.2402496099843996E-3</v>
      </c>
      <c r="I20" s="56">
        <v>5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335</v>
      </c>
      <c r="C21" s="6">
        <f>IF(B$17=0,0,B21/B$17)</f>
        <v>0.5226209048361935</v>
      </c>
      <c r="E21" s="33" t="s">
        <v>61</v>
      </c>
      <c r="F21" s="30" t="s">
        <v>25</v>
      </c>
      <c r="G21" s="13">
        <v>3</v>
      </c>
      <c r="H21" s="94">
        <f>IF(B$17=0,0,G21/B$17)</f>
        <v>4.6801872074882997E-3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223</v>
      </c>
      <c r="C22" s="6">
        <f>IF(B$17=0,0,B22/B$17)</f>
        <v>0.34789391575663026</v>
      </c>
      <c r="E22" s="33" t="s">
        <v>76</v>
      </c>
      <c r="F22" s="30" t="s">
        <v>40</v>
      </c>
      <c r="G22" s="13">
        <v>3</v>
      </c>
      <c r="H22" s="94">
        <f>IF(B$17=0,0,G22/B$17)</f>
        <v>4.6801872074882997E-3</v>
      </c>
      <c r="I22" s="56">
        <v>4</v>
      </c>
      <c r="K22" s="5">
        <v>20</v>
      </c>
      <c r="L22" s="61">
        <v>1.1546319456101628E-14</v>
      </c>
      <c r="N22" s="76" t="s">
        <v>269</v>
      </c>
      <c r="O22" s="86">
        <f>IF(P22=0,0,Q22/P22)</f>
        <v>49.219047619047629</v>
      </c>
      <c r="P22" s="80">
        <v>21</v>
      </c>
      <c r="Q22" s="68">
        <v>1033.6000000000001</v>
      </c>
    </row>
    <row r="23" spans="1:17">
      <c r="A23" s="19" t="s">
        <v>150</v>
      </c>
      <c r="B23" s="13">
        <v>83</v>
      </c>
      <c r="C23" s="6">
        <f>IF(B$17=0,0,B23/B$17)</f>
        <v>0.1294851794071763</v>
      </c>
      <c r="E23" s="33" t="s">
        <v>72</v>
      </c>
      <c r="F23" s="30" t="s">
        <v>36</v>
      </c>
      <c r="G23" s="13">
        <v>2</v>
      </c>
      <c r="H23" s="94">
        <f>IF(B$17=0,0,G23/B$17)</f>
        <v>3.1201248049921998E-3</v>
      </c>
      <c r="I23" s="56">
        <v>3</v>
      </c>
      <c r="K23" s="5">
        <v>21</v>
      </c>
      <c r="L23" s="61">
        <v>-52.599999999999987</v>
      </c>
      <c r="N23" s="76" t="s">
        <v>277</v>
      </c>
      <c r="O23" s="86">
        <f>IF(P23=0,0,Q23/P23)</f>
        <v>43.381818181818176</v>
      </c>
      <c r="P23" s="80">
        <v>33</v>
      </c>
      <c r="Q23" s="68">
        <v>1431.6</v>
      </c>
    </row>
    <row r="24" spans="1:17">
      <c r="A24" s="19" t="s">
        <v>5</v>
      </c>
      <c r="B24" s="16">
        <f>IF(B$17=0,0,C24/B$17)</f>
        <v>6715.7566302652103</v>
      </c>
      <c r="C24" s="8">
        <v>4304800</v>
      </c>
      <c r="E24" s="33" t="s">
        <v>75</v>
      </c>
      <c r="F24" s="30" t="s">
        <v>39</v>
      </c>
      <c r="G24" s="13">
        <v>2</v>
      </c>
      <c r="H24" s="94">
        <f>IF(B$17=0,0,G24/B$17)</f>
        <v>3.1201248049921998E-3</v>
      </c>
      <c r="I24" s="56">
        <v>3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7749.7607655502388</v>
      </c>
      <c r="C25" s="98">
        <v>3239400</v>
      </c>
      <c r="E25" s="33" t="s">
        <v>79</v>
      </c>
      <c r="F25" s="30" t="s">
        <v>43</v>
      </c>
      <c r="G25" s="13">
        <v>1</v>
      </c>
      <c r="H25" s="94">
        <f>IF(B$17=0,0,G25/B$17)</f>
        <v>1.5600624024960999E-3</v>
      </c>
      <c r="I25" s="56">
        <v>2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4777.5784753363232</v>
      </c>
      <c r="C26" s="98">
        <v>1065400</v>
      </c>
      <c r="E26" s="33" t="s">
        <v>80</v>
      </c>
      <c r="F26" s="30" t="s">
        <v>44</v>
      </c>
      <c r="G26" s="13">
        <v>1</v>
      </c>
      <c r="H26" s="94">
        <f>IF(B$17=0,0,G26/B$17)</f>
        <v>1.5600624024960999E-3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-6171.5328467153286</v>
      </c>
      <c r="C27" s="98">
        <v>-2536500</v>
      </c>
      <c r="E27" s="33" t="s">
        <v>82</v>
      </c>
      <c r="F27" s="30" t="s">
        <v>46</v>
      </c>
      <c r="G27" s="13">
        <v>1</v>
      </c>
      <c r="H27" s="94">
        <f>IF(B$17=0,0,G27/B$17)</f>
        <v>1.5600624024960999E-3</v>
      </c>
      <c r="I27" s="56">
        <v>2</v>
      </c>
      <c r="K27" s="5">
        <v>25</v>
      </c>
      <c r="L27" s="61">
        <v>-45.899999999999991</v>
      </c>
      <c r="N27" s="76" t="s">
        <v>235</v>
      </c>
      <c r="O27" s="86">
        <f>IF(P27=0,0,Q27/P27)</f>
        <v>31.315555555555555</v>
      </c>
      <c r="P27" s="80">
        <v>45</v>
      </c>
      <c r="Q27" s="68">
        <v>1409.2</v>
      </c>
    </row>
    <row r="28" spans="1:17">
      <c r="A28" s="19" t="s">
        <v>130</v>
      </c>
      <c r="B28" s="13">
        <v>5</v>
      </c>
      <c r="C28" s="96">
        <v>1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6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16.313725490196077</v>
      </c>
      <c r="P31" s="80">
        <v>51</v>
      </c>
      <c r="Q31" s="68">
        <v>831.99999999999989</v>
      </c>
    </row>
    <row r="32" spans="1:17">
      <c r="A32" s="21" t="s">
        <v>112</v>
      </c>
      <c r="B32" s="26">
        <v>9</v>
      </c>
      <c r="C32" s="9">
        <f>IF(B$3=0,0,B32/B$3)</f>
        <v>2.9712776493892373E-3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73</v>
      </c>
      <c r="C35" s="102">
        <f t="shared" ref="C35:C47" si="3">IF(B$17=0,0,B35/B$17)</f>
        <v>0.11388455538221529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125</v>
      </c>
      <c r="C36" s="6">
        <f t="shared" si="3"/>
        <v>0.19500780031201248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>IF(P36=0,0,Q36/P36)</f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146</v>
      </c>
      <c r="C37" s="6">
        <f t="shared" si="3"/>
        <v>0.22776911076443057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227</v>
      </c>
      <c r="O37" s="86">
        <f>IF(P37=0,0,Q37/P37)</f>
        <v>4.704761904761904</v>
      </c>
      <c r="P37" s="80">
        <v>42</v>
      </c>
      <c r="Q37" s="68">
        <v>197.59999999999997</v>
      </c>
    </row>
    <row r="38" spans="1:17">
      <c r="A38" s="19" t="s">
        <v>137</v>
      </c>
      <c r="B38" s="100">
        <v>136</v>
      </c>
      <c r="C38" s="6">
        <f t="shared" si="3"/>
        <v>0.21216848673946959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179</v>
      </c>
      <c r="O38" s="86">
        <f>IF(P38=0,0,Q38/P38)</f>
        <v>2.4666666666666663</v>
      </c>
      <c r="P38" s="80">
        <v>48</v>
      </c>
      <c r="Q38" s="68">
        <v>118.39999999999998</v>
      </c>
    </row>
    <row r="39" spans="1:17">
      <c r="A39" s="19" t="s">
        <v>138</v>
      </c>
      <c r="B39" s="100">
        <v>69</v>
      </c>
      <c r="C39" s="6">
        <f t="shared" si="3"/>
        <v>0.10764430577223089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>IF(P39=0,0,Q39/P39)</f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63</v>
      </c>
      <c r="C40" s="6">
        <f t="shared" si="3"/>
        <v>9.8283931357254287E-2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244</v>
      </c>
      <c r="O40" s="86">
        <f>IF(P40=0,0,Q40/P40)</f>
        <v>-0.32727272727273105</v>
      </c>
      <c r="P40" s="80">
        <v>33</v>
      </c>
      <c r="Q40" s="68">
        <v>-10.800000000000125</v>
      </c>
    </row>
    <row r="41" spans="1:17">
      <c r="A41" s="19" t="s">
        <v>141</v>
      </c>
      <c r="B41" s="100">
        <v>20</v>
      </c>
      <c r="C41" s="6">
        <f t="shared" si="3"/>
        <v>3.1201248049921998E-2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>IF(P41=0,0,Q41/P41)</f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3</v>
      </c>
      <c r="C42" s="6">
        <f t="shared" si="3"/>
        <v>4.6801872074882997E-3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2</v>
      </c>
      <c r="C43" s="6">
        <f t="shared" si="3"/>
        <v>3.1201248049921998E-3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1</v>
      </c>
      <c r="C44" s="6">
        <f t="shared" si="3"/>
        <v>1.5600624024960999E-3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195</v>
      </c>
      <c r="O45" s="86">
        <f>IF(P45=0,0,Q45/P45)</f>
        <v>-7.3333333333333348</v>
      </c>
      <c r="P45" s="80">
        <v>120</v>
      </c>
      <c r="Q45" s="68">
        <v>-880.00000000000023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191</v>
      </c>
      <c r="O46" s="86">
        <f>IF(P46=0,0,Q46/P46)</f>
        <v>-7.5523809523809531</v>
      </c>
      <c r="P46" s="80">
        <v>42</v>
      </c>
      <c r="Q46" s="68">
        <v>-317.20000000000005</v>
      </c>
    </row>
    <row r="47" spans="1:17">
      <c r="A47" s="21" t="s">
        <v>147</v>
      </c>
      <c r="B47" s="101">
        <v>3</v>
      </c>
      <c r="C47" s="9">
        <f t="shared" si="3"/>
        <v>4.6801872074882997E-3</v>
      </c>
      <c r="K47" s="5">
        <v>45</v>
      </c>
      <c r="L47" s="61">
        <v>-52.099999999999987</v>
      </c>
      <c r="N47" s="76" t="s">
        <v>263</v>
      </c>
      <c r="O47" s="86">
        <f>IF(P47=0,0,Q47/P47)</f>
        <v>-8.4</v>
      </c>
      <c r="P47" s="80">
        <v>42</v>
      </c>
      <c r="Q47" s="68">
        <v>-352.8</v>
      </c>
    </row>
    <row r="48" spans="1:17">
      <c r="K48" s="5">
        <v>46</v>
      </c>
      <c r="L48" s="61">
        <v>-44.199999999999989</v>
      </c>
      <c r="N48" s="76" t="s">
        <v>168</v>
      </c>
      <c r="O48" s="86">
        <f>IF(P48=0,0,Q48/P48)</f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255</v>
      </c>
      <c r="O49" s="86">
        <f>IF(P49=0,0,Q49/P49)</f>
        <v>-15.18666666666665</v>
      </c>
      <c r="P49" s="80">
        <v>30</v>
      </c>
      <c r="Q49" s="68">
        <v>-455.59999999999951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-15.433333333333337</v>
      </c>
      <c r="P50" s="80">
        <v>36</v>
      </c>
      <c r="Q50" s="68">
        <v>-555.60000000000014</v>
      </c>
    </row>
    <row r="51" spans="11:17">
      <c r="K51" s="5">
        <v>49</v>
      </c>
      <c r="L51" s="61">
        <v>-73.599999999999994</v>
      </c>
      <c r="N51" s="76" t="s">
        <v>167</v>
      </c>
      <c r="O51" s="86">
        <f>IF(P51=0,0,Q51/P51)</f>
        <v>-18.666666666666664</v>
      </c>
      <c r="P51" s="80">
        <v>3</v>
      </c>
      <c r="Q51" s="68">
        <v>-55.999999999999993</v>
      </c>
    </row>
    <row r="52" spans="11:17">
      <c r="K52" s="5">
        <v>50</v>
      </c>
      <c r="L52" s="61">
        <v>-72.8</v>
      </c>
      <c r="N52" s="76" t="s">
        <v>169</v>
      </c>
      <c r="O52" s="86">
        <f>IF(P52=0,0,Q52/P52)</f>
        <v>-19.099186991869935</v>
      </c>
      <c r="P52" s="80">
        <v>123</v>
      </c>
      <c r="Q52" s="68">
        <v>-2349.2000000000021</v>
      </c>
    </row>
    <row r="53" spans="11:17">
      <c r="K53" s="5">
        <v>51</v>
      </c>
      <c r="L53" s="61">
        <v>10</v>
      </c>
      <c r="N53" s="76" t="s">
        <v>276</v>
      </c>
      <c r="O53" s="86">
        <f>IF(P53=0,0,Q53/P53)</f>
        <v>-27.259259259259263</v>
      </c>
      <c r="P53" s="80">
        <v>27</v>
      </c>
      <c r="Q53" s="68">
        <v>-736.00000000000011</v>
      </c>
    </row>
    <row r="54" spans="11:17">
      <c r="K54" s="5">
        <v>52</v>
      </c>
      <c r="L54" s="61">
        <v>-20</v>
      </c>
      <c r="N54" s="76" t="s">
        <v>272</v>
      </c>
      <c r="O54" s="86">
        <f>IF(P54=0,0,Q54/P54)</f>
        <v>-36.256410256410263</v>
      </c>
      <c r="P54" s="80">
        <v>39</v>
      </c>
      <c r="Q54" s="68">
        <v>-1414.0000000000002</v>
      </c>
    </row>
    <row r="55" spans="11:17">
      <c r="K55" s="5">
        <v>53</v>
      </c>
      <c r="L55" s="61">
        <v>-10.1</v>
      </c>
      <c r="N55" s="76" t="s">
        <v>162</v>
      </c>
      <c r="O55" s="86">
        <f>IF(P55=0,0,Q55/P55)</f>
        <v>-39.703703703703681</v>
      </c>
      <c r="P55" s="80">
        <v>27</v>
      </c>
      <c r="Q55" s="68">
        <v>-1071.9999999999993</v>
      </c>
    </row>
    <row r="56" spans="11:17">
      <c r="K56" s="5">
        <v>54</v>
      </c>
      <c r="L56" s="61">
        <v>-30.5</v>
      </c>
      <c r="N56" s="76" t="s">
        <v>264</v>
      </c>
      <c r="O56" s="86">
        <f>IF(P56=0,0,Q56/P56)</f>
        <v>-42.199999999999989</v>
      </c>
      <c r="P56" s="80">
        <v>6</v>
      </c>
      <c r="Q56" s="68">
        <v>-253.19999999999993</v>
      </c>
    </row>
    <row r="57" spans="11:17">
      <c r="K57" s="5">
        <v>55</v>
      </c>
      <c r="L57" s="61">
        <v>20.799999999999997</v>
      </c>
      <c r="N57" s="76" t="s">
        <v>205</v>
      </c>
      <c r="O57" s="86">
        <f>IF(P57=0,0,Q57/P57)</f>
        <v>-47.866666666666667</v>
      </c>
      <c r="P57" s="80">
        <v>12</v>
      </c>
      <c r="Q57" s="68">
        <v>-574.4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19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3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31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23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10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7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10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33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24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10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41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0.81159420289855078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778.04878048780483</v>
      </c>
      <c r="P2" s="79">
        <v>41</v>
      </c>
      <c r="Q2" s="63">
        <v>31900</v>
      </c>
    </row>
    <row r="3" spans="1:17">
      <c r="A3" s="19" t="s">
        <v>8</v>
      </c>
      <c r="B3" s="122">
        <v>306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0.6811594202898551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1487.8048780487804</v>
      </c>
      <c r="P3" s="80">
        <v>41</v>
      </c>
      <c r="Q3" s="64">
        <v>61000</v>
      </c>
    </row>
    <row r="4" spans="1:17">
      <c r="A4" s="19" t="s">
        <v>6</v>
      </c>
      <c r="B4" s="124">
        <v>584.79999999999995</v>
      </c>
      <c r="C4" s="125"/>
      <c r="E4" s="33" t="s">
        <v>181</v>
      </c>
      <c r="F4" s="30" t="s">
        <v>156</v>
      </c>
      <c r="G4" s="13">
        <v>34</v>
      </c>
      <c r="H4" s="94">
        <f>IF(B$17=0,0,G4/B$17)</f>
        <v>0.49275362318840582</v>
      </c>
      <c r="I4" s="56">
        <v>28</v>
      </c>
      <c r="K4" s="5">
        <v>2</v>
      </c>
      <c r="L4" s="61">
        <v>0.60000000000000142</v>
      </c>
      <c r="N4" s="76" t="s">
        <v>105</v>
      </c>
      <c r="O4" s="83">
        <f t="shared" si="0"/>
        <v>1520</v>
      </c>
      <c r="P4" s="80">
        <v>40</v>
      </c>
      <c r="Q4" s="64">
        <v>60800</v>
      </c>
    </row>
    <row r="5" spans="1:17">
      <c r="A5" s="19" t="s">
        <v>7</v>
      </c>
      <c r="B5" s="126">
        <f>IF(B$2=0,0,B$4/B$2)</f>
        <v>14.26341463414634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0.36231884057971014</v>
      </c>
      <c r="I5" s="56">
        <v>22</v>
      </c>
      <c r="K5" s="5">
        <v>3</v>
      </c>
      <c r="L5" s="61">
        <v>-32.299999999999997</v>
      </c>
      <c r="N5" s="76" t="s">
        <v>157</v>
      </c>
      <c r="O5" s="83">
        <f>IF(P5=0,0,Q5/P5)</f>
        <v>944.44444444444446</v>
      </c>
      <c r="P5" s="80">
        <v>36</v>
      </c>
      <c r="Q5" s="64">
        <v>34000</v>
      </c>
    </row>
    <row r="6" spans="1:17">
      <c r="A6" s="19" t="s">
        <v>1</v>
      </c>
      <c r="B6" s="128">
        <f>IF(B$2=0,0,(B$7*1+B$8*2+B$9*3+B$10*4)/B$2)</f>
        <v>2.1707317073170733</v>
      </c>
      <c r="C6" s="129"/>
      <c r="E6" s="33" t="s">
        <v>57</v>
      </c>
      <c r="F6" s="30" t="s">
        <v>21</v>
      </c>
      <c r="G6" s="13">
        <v>23</v>
      </c>
      <c r="H6" s="94">
        <f>IF(B$17=0,0,G6/B$17)</f>
        <v>0.33333333333333331</v>
      </c>
      <c r="I6" s="56">
        <v>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1212</v>
      </c>
      <c r="P6" s="80">
        <v>25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0.34146341463414637</v>
      </c>
      <c r="E7" s="33" t="s">
        <v>55</v>
      </c>
      <c r="F7" s="30" t="s">
        <v>155</v>
      </c>
      <c r="G7" s="13">
        <v>18</v>
      </c>
      <c r="H7" s="94">
        <f>IF(B$17=0,0,G7/B$17)</f>
        <v>0.2608695652173913</v>
      </c>
      <c r="I7" s="56">
        <v>12</v>
      </c>
      <c r="K7" s="5">
        <v>5</v>
      </c>
      <c r="L7" s="61">
        <v>-39</v>
      </c>
      <c r="N7" s="76" t="s">
        <v>107</v>
      </c>
      <c r="O7" s="83">
        <f t="shared" si="0"/>
        <v>1741.1764705882354</v>
      </c>
      <c r="P7" s="80">
        <v>17</v>
      </c>
      <c r="Q7" s="64">
        <v>29600</v>
      </c>
    </row>
    <row r="8" spans="1:17">
      <c r="A8" s="19" t="s">
        <v>3</v>
      </c>
      <c r="B8" s="13">
        <v>12</v>
      </c>
      <c r="C8" s="6">
        <f>IF(B$2=0,0,B8/B$2)</f>
        <v>0.29268292682926828</v>
      </c>
      <c r="E8" s="33" t="s">
        <v>59</v>
      </c>
      <c r="F8" s="30" t="s">
        <v>23</v>
      </c>
      <c r="G8" s="13">
        <v>15</v>
      </c>
      <c r="H8" s="94">
        <f>IF(B$17=0,0,G8/B$17)</f>
        <v>0.21739130434782608</v>
      </c>
      <c r="I8" s="56">
        <v>11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0.21951219512195122</v>
      </c>
      <c r="E9" s="33" t="s">
        <v>56</v>
      </c>
      <c r="F9" s="30" t="s">
        <v>185</v>
      </c>
      <c r="G9" s="13">
        <v>12</v>
      </c>
      <c r="H9" s="94">
        <f>IF(B$17=0,0,G9/B$17)</f>
        <v>0.17391304347826086</v>
      </c>
      <c r="I9" s="56">
        <v>33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6</v>
      </c>
      <c r="C10" s="7">
        <f>IF(B$2=0,0,B10/B$2)</f>
        <v>0.14634146341463414</v>
      </c>
      <c r="E10" s="33" t="s">
        <v>58</v>
      </c>
      <c r="F10" s="30" t="s">
        <v>22</v>
      </c>
      <c r="G10" s="13">
        <v>8</v>
      </c>
      <c r="H10" s="94">
        <f>IF(B$17=0,0,G10/B$17)</f>
        <v>0.11594202898550725</v>
      </c>
      <c r="I10" s="56">
        <v>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26</v>
      </c>
      <c r="C11" s="7">
        <f>IF(B$2=0,0,B11/B$2)</f>
        <v>0.63414634146341464</v>
      </c>
      <c r="E11" s="33" t="s">
        <v>182</v>
      </c>
      <c r="F11" s="30" t="s">
        <v>19</v>
      </c>
      <c r="G11" s="13">
        <v>6</v>
      </c>
      <c r="H11" s="94">
        <f>IF(B$17=0,0,G11/B$17)</f>
        <v>8.6956521739130432E-2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6</v>
      </c>
      <c r="H12" s="94">
        <f>IF(B$17=0,0,G12/B$17)</f>
        <v>8.6956521739130432E-2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53</v>
      </c>
      <c r="C13" s="11">
        <f>IF(B$3=0,0,B13/B$3)</f>
        <v>0.17320261437908496</v>
      </c>
      <c r="E13" s="33" t="s">
        <v>62</v>
      </c>
      <c r="F13" s="30" t="s">
        <v>26</v>
      </c>
      <c r="G13" s="13">
        <v>1</v>
      </c>
      <c r="H13" s="94">
        <f>IF(B$17=0,0,G13/B$17)</f>
        <v>1.4492753623188406E-2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59</v>
      </c>
      <c r="C14" s="6">
        <f>IF(B$3=0,0,B14/B$3)</f>
        <v>0.19281045751633988</v>
      </c>
      <c r="E14" s="33" t="s">
        <v>66</v>
      </c>
      <c r="F14" s="30" t="s">
        <v>30</v>
      </c>
      <c r="G14" s="13">
        <v>1</v>
      </c>
      <c r="H14" s="94">
        <f>IF(B$17=0,0,G14/B$17)</f>
        <v>1.4492753623188406E-2</v>
      </c>
      <c r="I14" s="56">
        <v>7</v>
      </c>
      <c r="K14" s="5">
        <v>12</v>
      </c>
      <c r="L14" s="61">
        <v>97.9</v>
      </c>
      <c r="N14" s="76" t="s">
        <v>128</v>
      </c>
      <c r="O14" s="86">
        <f>IF(P14=0,0,Q14/P14)</f>
        <v>1.9428571428571411</v>
      </c>
      <c r="P14" s="80">
        <v>7</v>
      </c>
      <c r="Q14" s="68">
        <v>13.599999999999987</v>
      </c>
    </row>
    <row r="15" spans="1:17">
      <c r="A15" s="18" t="s">
        <v>99</v>
      </c>
      <c r="B15" s="12">
        <f>B21</f>
        <v>34</v>
      </c>
      <c r="C15" s="4">
        <f>IF(B$13=0,0,B15/B$13)</f>
        <v>0.64150943396226412</v>
      </c>
      <c r="E15" s="33" t="s">
        <v>183</v>
      </c>
      <c r="F15" s="30" t="s">
        <v>186</v>
      </c>
      <c r="G15" s="13">
        <v>1</v>
      </c>
      <c r="H15" s="94">
        <f>IF(B$17=0,0,G15/B$17)</f>
        <v>1.4492753623188406E-2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17.899999999999999</v>
      </c>
      <c r="P15" s="81">
        <v>14</v>
      </c>
      <c r="Q15" s="69">
        <v>250.6</v>
      </c>
    </row>
    <row r="16" spans="1:17">
      <c r="A16" s="18" t="s">
        <v>100</v>
      </c>
      <c r="B16" s="12">
        <f>B22</f>
        <v>21</v>
      </c>
      <c r="C16" s="4">
        <f>IF(B$14=0,0,B16/B$14)</f>
        <v>0.3559322033898305</v>
      </c>
      <c r="E16" s="33" t="s">
        <v>71</v>
      </c>
      <c r="F16" s="30" t="s">
        <v>35</v>
      </c>
      <c r="G16" s="13">
        <v>1</v>
      </c>
      <c r="H16" s="94">
        <f>IF(B$17=0,0,G16/B$17)</f>
        <v>1.4492753623188406E-2</v>
      </c>
      <c r="I16" s="56">
        <v>14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</v>
      </c>
      <c r="C17" s="4">
        <f>IF(B$3=0,0,B17/B$3)</f>
        <v>0.22549019607843138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8.8235294117647065E-2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7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17</v>
      </c>
      <c r="C19" s="6">
        <f>IF(B$17=0,0,B19/B$17)</f>
        <v>0.24637681159420291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52</v>
      </c>
      <c r="C20" s="6">
        <f>IF(B$17=0,0,B20/B$17)</f>
        <v>0.75362318840579712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34</v>
      </c>
      <c r="C21" s="6">
        <f>IF(B$17=0,0,B21/B$17)</f>
        <v>0.49275362318840582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21</v>
      </c>
      <c r="C22" s="6">
        <f>IF(B$17=0,0,B22/B$17)</f>
        <v>0.30434782608695654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0.20289855072463769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7679.710144927536</v>
      </c>
      <c r="C24" s="8">
        <v>529900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8427.0833333333339</v>
      </c>
      <c r="C25" s="98">
        <v>404500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5971.4285714285716</v>
      </c>
      <c r="C26" s="98">
        <v>125400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-5129.6296296296296</v>
      </c>
      <c r="C27" s="98">
        <v>-138500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276</v>
      </c>
      <c r="O31" s="86">
        <f t="shared" si="3"/>
        <v>37.4</v>
      </c>
      <c r="P31" s="80">
        <v>1</v>
      </c>
      <c r="Q31" s="68">
        <v>37.4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2</v>
      </c>
      <c r="C35" s="102">
        <f t="shared" ref="C35:C47" si="4">IF(B$17=0,0,B35/B$17)</f>
        <v>2.8985507246376812E-2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163</v>
      </c>
      <c r="O35" s="86">
        <f t="shared" si="3"/>
        <v>24.933333333333337</v>
      </c>
      <c r="P35" s="80">
        <v>3</v>
      </c>
      <c r="Q35" s="68">
        <v>74.800000000000011</v>
      </c>
    </row>
    <row r="36" spans="1:17">
      <c r="A36" s="19" t="s">
        <v>135</v>
      </c>
      <c r="B36" s="13">
        <v>13</v>
      </c>
      <c r="C36" s="6">
        <f t="shared" si="4"/>
        <v>0.18840579710144928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235</v>
      </c>
      <c r="O36" s="86">
        <f t="shared" si="3"/>
        <v>16.225000000000001</v>
      </c>
      <c r="P36" s="80">
        <v>4</v>
      </c>
      <c r="Q36" s="68">
        <v>64.900000000000006</v>
      </c>
    </row>
    <row r="37" spans="1:17">
      <c r="A37" s="19" t="s">
        <v>136</v>
      </c>
      <c r="B37" s="100">
        <v>14</v>
      </c>
      <c r="C37" s="6">
        <f t="shared" si="4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238</v>
      </c>
      <c r="O37" s="86">
        <f t="shared" si="3"/>
        <v>7.25</v>
      </c>
      <c r="P37" s="80">
        <v>4</v>
      </c>
      <c r="Q37" s="68">
        <v>29</v>
      </c>
    </row>
    <row r="38" spans="1:17">
      <c r="A38" s="19" t="s">
        <v>137</v>
      </c>
      <c r="B38" s="100">
        <v>21</v>
      </c>
      <c r="C38" s="6">
        <f t="shared" si="4"/>
        <v>0.30434782608695654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263</v>
      </c>
      <c r="O38" s="86">
        <f t="shared" si="3"/>
        <v>5.0500000000000007</v>
      </c>
      <c r="P38" s="80">
        <v>2</v>
      </c>
      <c r="Q38" s="68">
        <v>10.100000000000001</v>
      </c>
    </row>
    <row r="39" spans="1:17">
      <c r="A39" s="19" t="s">
        <v>138</v>
      </c>
      <c r="B39" s="100">
        <v>5</v>
      </c>
      <c r="C39" s="6">
        <f t="shared" si="4"/>
        <v>7.2463768115942032E-2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195</v>
      </c>
      <c r="O39" s="86">
        <f t="shared" si="3"/>
        <v>-4.2812500000000053</v>
      </c>
      <c r="P39" s="80">
        <v>16</v>
      </c>
      <c r="Q39" s="68">
        <v>-68.500000000000085</v>
      </c>
    </row>
    <row r="40" spans="1:17">
      <c r="A40" s="19" t="s">
        <v>140</v>
      </c>
      <c r="B40" s="100">
        <v>10</v>
      </c>
      <c r="C40" s="6">
        <f t="shared" si="4"/>
        <v>0.14492753623188406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164</v>
      </c>
      <c r="O40" s="86">
        <f t="shared" si="3"/>
        <v>-7.6999999999999975</v>
      </c>
      <c r="P40" s="80">
        <v>7</v>
      </c>
      <c r="Q40" s="68">
        <v>-53.899999999999984</v>
      </c>
    </row>
    <row r="41" spans="1:17">
      <c r="A41" s="19" t="s">
        <v>141</v>
      </c>
      <c r="B41" s="100">
        <v>4</v>
      </c>
      <c r="C41" s="6">
        <f t="shared" si="4"/>
        <v>5.7971014492753624E-2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177</v>
      </c>
      <c r="O41" s="86">
        <f t="shared" si="3"/>
        <v>-10.999999999999996</v>
      </c>
      <c r="P41" s="80">
        <v>2</v>
      </c>
      <c r="Q41" s="68">
        <v>-21.999999999999993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168</v>
      </c>
      <c r="O42" s="86">
        <f t="shared" si="3"/>
        <v>-14.5625</v>
      </c>
      <c r="P42" s="80">
        <v>8</v>
      </c>
      <c r="Q42" s="68">
        <v>-116.5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584.79999999999995</v>
      </c>
      <c r="N43" s="76" t="s">
        <v>269</v>
      </c>
      <c r="O43" s="86">
        <f t="shared" si="3"/>
        <v>-22.5</v>
      </c>
      <c r="P43" s="80">
        <v>1</v>
      </c>
      <c r="Q43" s="68">
        <v>-22.5</v>
      </c>
    </row>
    <row r="44" spans="1:17">
      <c r="A44" s="19" t="s">
        <v>144</v>
      </c>
      <c r="B44" s="100">
        <v>0</v>
      </c>
      <c r="C44" s="6">
        <f t="shared" si="4"/>
        <v>0</v>
      </c>
      <c r="N44" s="76" t="s">
        <v>167</v>
      </c>
      <c r="O44" s="86">
        <f t="shared" si="3"/>
        <v>-28.2</v>
      </c>
      <c r="P44" s="80">
        <v>1</v>
      </c>
      <c r="Q44" s="68">
        <v>-28.2</v>
      </c>
    </row>
    <row r="45" spans="1:17">
      <c r="A45" s="19" t="s">
        <v>145</v>
      </c>
      <c r="B45" s="100">
        <v>0</v>
      </c>
      <c r="C45" s="6">
        <f t="shared" si="4"/>
        <v>0</v>
      </c>
      <c r="N45" s="76" t="s">
        <v>162</v>
      </c>
      <c r="O45" s="86">
        <f t="shared" si="3"/>
        <v>-38.020000000000003</v>
      </c>
      <c r="P45" s="80">
        <v>5</v>
      </c>
      <c r="Q45" s="68">
        <v>-190.10000000000002</v>
      </c>
    </row>
    <row r="46" spans="1:17">
      <c r="A46" s="19" t="s">
        <v>146</v>
      </c>
      <c r="B46" s="100">
        <v>0</v>
      </c>
      <c r="C46" s="6">
        <f t="shared" si="4"/>
        <v>0</v>
      </c>
      <c r="N46" s="76" t="s">
        <v>272</v>
      </c>
      <c r="O46" s="86">
        <f t="shared" si="3"/>
        <v>-79.7</v>
      </c>
      <c r="P46" s="80">
        <v>2</v>
      </c>
      <c r="Q46" s="68">
        <v>-159.4</v>
      </c>
    </row>
    <row r="47" spans="1:17">
      <c r="A47" s="21" t="s">
        <v>147</v>
      </c>
      <c r="B47" s="101">
        <v>0</v>
      </c>
      <c r="C47" s="9">
        <f t="shared" si="4"/>
        <v>0</v>
      </c>
      <c r="N47" s="76" t="s">
        <v>255</v>
      </c>
      <c r="O47" s="86">
        <f t="shared" si="3"/>
        <v>-86.333333333333314</v>
      </c>
      <c r="P47" s="80">
        <v>3</v>
      </c>
      <c r="Q47" s="68">
        <v>-258.99999999999994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10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19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22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10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6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23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10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25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5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10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8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11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20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27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54</v>
      </c>
      <c r="F2" s="29" t="s">
        <v>20</v>
      </c>
      <c r="G2" s="12">
        <v>45</v>
      </c>
      <c r="H2" s="93">
        <f>IF(B$17=0,0,G2/B$17)</f>
        <v>0.57692307692307687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1155</v>
      </c>
      <c r="P2" s="79">
        <v>40</v>
      </c>
      <c r="Q2" s="63">
        <v>46200</v>
      </c>
    </row>
    <row r="3" spans="1:17">
      <c r="A3" s="19" t="s">
        <v>8</v>
      </c>
      <c r="B3" s="122">
        <v>284</v>
      </c>
      <c r="C3" s="123"/>
      <c r="E3" s="33" t="s">
        <v>181</v>
      </c>
      <c r="F3" s="30" t="s">
        <v>156</v>
      </c>
      <c r="G3" s="13">
        <v>38</v>
      </c>
      <c r="H3" s="94">
        <f>IF(B$17=0,0,G3/B$17)</f>
        <v>0.48717948717948717</v>
      </c>
      <c r="I3" s="56">
        <v>29</v>
      </c>
      <c r="K3" s="5">
        <v>1</v>
      </c>
      <c r="L3" s="61">
        <v>-21.3</v>
      </c>
      <c r="N3" s="76" t="s">
        <v>104</v>
      </c>
      <c r="O3" s="83">
        <f t="shared" si="0"/>
        <v>882.5</v>
      </c>
      <c r="P3" s="80">
        <v>40</v>
      </c>
      <c r="Q3" s="64">
        <v>35300</v>
      </c>
    </row>
    <row r="4" spans="1:17">
      <c r="A4" s="19" t="s">
        <v>6</v>
      </c>
      <c r="B4" s="124">
        <v>217.5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0.44871794871794873</v>
      </c>
      <c r="I4" s="56">
        <v>22</v>
      </c>
      <c r="K4" s="5">
        <v>2</v>
      </c>
      <c r="L4" s="61">
        <v>-12.200000000000001</v>
      </c>
      <c r="N4" s="76" t="s">
        <v>105</v>
      </c>
      <c r="O4" s="83">
        <f t="shared" si="0"/>
        <v>858.97435897435901</v>
      </c>
      <c r="P4" s="80">
        <v>39</v>
      </c>
      <c r="Q4" s="64">
        <v>33500</v>
      </c>
    </row>
    <row r="5" spans="1:17">
      <c r="A5" s="19" t="s">
        <v>7</v>
      </c>
      <c r="B5" s="126">
        <f>IF(B$2=0,0,B$4/B$2)</f>
        <v>5.4375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0.39743589743589741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-94.285714285714292</v>
      </c>
      <c r="P5" s="80">
        <v>35</v>
      </c>
      <c r="Q5" s="64">
        <v>-3300</v>
      </c>
    </row>
    <row r="6" spans="1:17">
      <c r="A6" s="19" t="s">
        <v>1</v>
      </c>
      <c r="B6" s="128">
        <f>IF(B$2=0,0,(B$7*1+B$8*2+B$9*3+B$10*4)/B$2)</f>
        <v>2.375</v>
      </c>
      <c r="C6" s="129"/>
      <c r="E6" s="33" t="s">
        <v>55</v>
      </c>
      <c r="F6" s="30" t="s">
        <v>155</v>
      </c>
      <c r="G6" s="13">
        <v>19</v>
      </c>
      <c r="H6" s="94">
        <f>IF(B$17=0,0,G6/B$17)</f>
        <v>0.24358974358974358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263.63636363636363</v>
      </c>
      <c r="P6" s="80">
        <v>22</v>
      </c>
      <c r="Q6" s="64">
        <v>5800</v>
      </c>
    </row>
    <row r="7" spans="1:17">
      <c r="A7" s="19" t="s">
        <v>2</v>
      </c>
      <c r="B7" s="13">
        <v>11</v>
      </c>
      <c r="C7" s="6">
        <f t="shared" ref="C7:C12" si="2">IF(B$2=0,0,B7/B$2)</f>
        <v>0.27500000000000002</v>
      </c>
      <c r="E7" s="33" t="s">
        <v>56</v>
      </c>
      <c r="F7" s="30" t="s">
        <v>185</v>
      </c>
      <c r="G7" s="13">
        <v>18</v>
      </c>
      <c r="H7" s="94">
        <f>IF(B$17=0,0,G7/B$17)</f>
        <v>0.23076923076923078</v>
      </c>
      <c r="I7" s="56">
        <v>29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8</v>
      </c>
      <c r="C8" s="6">
        <f>IF(B$2=0,0,B8/B$2)</f>
        <v>0.2</v>
      </c>
      <c r="E8" s="33" t="s">
        <v>59</v>
      </c>
      <c r="F8" s="30" t="s">
        <v>23</v>
      </c>
      <c r="G8" s="13">
        <v>14</v>
      </c>
      <c r="H8" s="94">
        <f>IF(B$17=0,0,G8/B$17)</f>
        <v>0.17948717948717949</v>
      </c>
      <c r="I8" s="56">
        <v>15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16</v>
      </c>
      <c r="C9" s="7">
        <f>IF(B$2=0,0,B9/B$2)</f>
        <v>0.4</v>
      </c>
      <c r="E9" s="33" t="s">
        <v>57</v>
      </c>
      <c r="F9" s="30" t="s">
        <v>21</v>
      </c>
      <c r="G9" s="13">
        <v>12</v>
      </c>
      <c r="H9" s="94">
        <f>IF(B$17=0,0,G9/B$17)</f>
        <v>0.15384615384615385</v>
      </c>
      <c r="I9" s="56">
        <v>28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0.125</v>
      </c>
      <c r="E10" s="33" t="s">
        <v>182</v>
      </c>
      <c r="F10" s="30" t="s">
        <v>19</v>
      </c>
      <c r="G10" s="13">
        <v>8</v>
      </c>
      <c r="H10" s="94">
        <f>IF(B$17=0,0,G10/B$17)</f>
        <v>0.10256410256410256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0.47499999999999998</v>
      </c>
      <c r="E11" s="33" t="s">
        <v>58</v>
      </c>
      <c r="F11" s="30" t="s">
        <v>22</v>
      </c>
      <c r="G11" s="13">
        <v>6</v>
      </c>
      <c r="H11" s="94">
        <f>IF(B$17=0,0,G11/B$17)</f>
        <v>7.6923076923076927E-2</v>
      </c>
      <c r="I11" s="56">
        <v>14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7.4999999999999997E-2</v>
      </c>
      <c r="E12" s="33" t="s">
        <v>77</v>
      </c>
      <c r="F12" s="30" t="s">
        <v>41</v>
      </c>
      <c r="G12" s="13">
        <v>6</v>
      </c>
      <c r="H12" s="94">
        <f>IF(B$17=0,0,G12/B$17)</f>
        <v>7.6923076923076927E-2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72</v>
      </c>
      <c r="C13" s="11">
        <f>IF(B$3=0,0,B13/B$3)</f>
        <v>0.25352112676056338</v>
      </c>
      <c r="E13" s="33" t="s">
        <v>71</v>
      </c>
      <c r="F13" s="30" t="s">
        <v>35</v>
      </c>
      <c r="G13" s="13">
        <v>5</v>
      </c>
      <c r="H13" s="94">
        <f>IF(B$17=0,0,G13/B$17)</f>
        <v>6.4102564102564097E-2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5.5444444444444452</v>
      </c>
      <c r="P13" s="80">
        <v>9</v>
      </c>
      <c r="Q13" s="68">
        <v>49.900000000000006</v>
      </c>
    </row>
    <row r="14" spans="1:17">
      <c r="A14" s="19" t="s">
        <v>94</v>
      </c>
      <c r="B14" s="13">
        <v>87</v>
      </c>
      <c r="C14" s="6">
        <f>IF(B$3=0,0,B14/B$3)</f>
        <v>0.30633802816901406</v>
      </c>
      <c r="E14" s="33" t="s">
        <v>74</v>
      </c>
      <c r="F14" s="30" t="s">
        <v>38</v>
      </c>
      <c r="G14" s="13">
        <v>3</v>
      </c>
      <c r="H14" s="94">
        <f>IF(B$17=0,0,G14/B$17)</f>
        <v>3.8461538461538464E-2</v>
      </c>
      <c r="I14" s="56">
        <v>9</v>
      </c>
      <c r="K14" s="5">
        <v>12</v>
      </c>
      <c r="L14" s="61">
        <v>-290.00000000000006</v>
      </c>
      <c r="N14" s="76" t="s">
        <v>128</v>
      </c>
      <c r="O14" s="86">
        <f>IF(P14=0,0,Q14/P14)</f>
        <v>13.972727272727271</v>
      </c>
      <c r="P14" s="80">
        <v>11</v>
      </c>
      <c r="Q14" s="68">
        <v>153.69999999999999</v>
      </c>
    </row>
    <row r="15" spans="1:17">
      <c r="A15" s="18" t="s">
        <v>99</v>
      </c>
      <c r="B15" s="12">
        <f>B21</f>
        <v>38</v>
      </c>
      <c r="C15" s="4">
        <f>IF(B$13=0,0,B15/B$13)</f>
        <v>0.52777777777777779</v>
      </c>
      <c r="E15" s="33" t="s">
        <v>183</v>
      </c>
      <c r="F15" s="30" t="s">
        <v>186</v>
      </c>
      <c r="G15" s="13">
        <v>2</v>
      </c>
      <c r="H15" s="94">
        <f>IF(B$17=0,0,G15/B$17)</f>
        <v>2.564102564102564E-2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33</v>
      </c>
      <c r="C16" s="4">
        <f>IF(B$14=0,0,B16/B$14)</f>
        <v>0.37931034482758619</v>
      </c>
      <c r="E16" s="33" t="s">
        <v>78</v>
      </c>
      <c r="F16" s="30" t="s">
        <v>42</v>
      </c>
      <c r="G16" s="13">
        <v>2</v>
      </c>
      <c r="H16" s="94">
        <f>IF(B$17=0,0,G16/B$17)</f>
        <v>2.564102564102564E-2</v>
      </c>
      <c r="I16" s="56">
        <v>6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78</v>
      </c>
      <c r="C17" s="4">
        <f>IF(B$3=0,0,B17/B$3)</f>
        <v>0.27464788732394368</v>
      </c>
      <c r="E17" s="33" t="s">
        <v>62</v>
      </c>
      <c r="F17" s="30" t="s">
        <v>26</v>
      </c>
      <c r="G17" s="13">
        <v>1</v>
      </c>
      <c r="H17" s="94">
        <f>IF(B$17=0,0,G17/B$17)</f>
        <v>1.282051282051282E-2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0.11971830985915492</v>
      </c>
      <c r="E18" s="33" t="s">
        <v>66</v>
      </c>
      <c r="F18" s="30" t="s">
        <v>30</v>
      </c>
      <c r="G18" s="13">
        <v>1</v>
      </c>
      <c r="H18" s="94">
        <f>IF(B$17=0,0,G18/B$17)</f>
        <v>1.282051282051282E-2</v>
      </c>
      <c r="I18" s="56">
        <v>8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29</v>
      </c>
      <c r="C19" s="6">
        <f>IF(B$17=0,0,B19/B$17)</f>
        <v>0.37179487179487181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>IF(P19=0,0,Q19/P19)</f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49</v>
      </c>
      <c r="C20" s="6">
        <f>IF(B$17=0,0,B20/B$17)</f>
        <v>0.62820512820512819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>IF(P20=0,0,Q20/P20)</f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38</v>
      </c>
      <c r="C21" s="6">
        <f>IF(B$17=0,0,B21/B$17)</f>
        <v>0.48717948717948717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>IF(P21=0,0,Q21/P21)</f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33</v>
      </c>
      <c r="C22" s="6">
        <f>IF(B$17=0,0,B22/B$17)</f>
        <v>0.42307692307692307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>IF(P22=0,0,Q22/P22)</f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7</v>
      </c>
      <c r="C23" s="6">
        <f>IF(B$17=0,0,B23/B$17)</f>
        <v>8.9743589743589744E-2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223</v>
      </c>
      <c r="O23" s="86">
        <f>IF(P23=0,0,Q23/P23)</f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6474.3589743589746</v>
      </c>
      <c r="C24" s="8">
        <v>505000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208</v>
      </c>
      <c r="O24" s="86">
        <f>IF(P24=0,0,Q24/P24)</f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7766.666666666667</v>
      </c>
      <c r="C25" s="98">
        <v>349500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8</v>
      </c>
      <c r="K25" s="5">
        <v>23</v>
      </c>
      <c r="L25" s="61">
        <v>-280</v>
      </c>
      <c r="N25" s="76" t="s">
        <v>228</v>
      </c>
      <c r="O25" s="86">
        <f>IF(P25=0,0,Q25/P25)</f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4712.121212121212</v>
      </c>
      <c r="C26" s="98">
        <v>155500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272</v>
      </c>
      <c r="O26" s="86">
        <f>IF(P26=0,0,Q26/P26)</f>
        <v>29</v>
      </c>
      <c r="P26" s="80">
        <v>1</v>
      </c>
      <c r="Q26" s="68">
        <v>29</v>
      </c>
    </row>
    <row r="27" spans="1:17">
      <c r="A27" s="20" t="s">
        <v>132</v>
      </c>
      <c r="B27" s="97">
        <f>IF(B$18=0,0,C27/B$18)</f>
        <v>-6932.3529411764703</v>
      </c>
      <c r="C27" s="98">
        <v>-235700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277</v>
      </c>
      <c r="O27" s="86">
        <f>IF(P27=0,0,Q27/P27)</f>
        <v>28.3</v>
      </c>
      <c r="P27" s="80">
        <v>2</v>
      </c>
      <c r="Q27" s="68">
        <v>56.6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269</v>
      </c>
      <c r="O28" s="86">
        <f>IF(P28=0,0,Q28/P28)</f>
        <v>28.200000000000003</v>
      </c>
      <c r="P28" s="80">
        <v>1</v>
      </c>
      <c r="Q28" s="68">
        <v>28.200000000000003</v>
      </c>
    </row>
    <row r="29" spans="1:17">
      <c r="A29" s="19" t="s">
        <v>131</v>
      </c>
      <c r="B29" s="13">
        <v>34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>IF(P29=0,0,Q29/P29)</f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227</v>
      </c>
      <c r="O30" s="86">
        <f>IF(P30=0,0,Q30/P30)</f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>IF(P31=0,0,Q31/P31)</f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1</v>
      </c>
      <c r="C32" s="9">
        <f>IF(B$3=0,0,B32/B$3)</f>
        <v>3.5211267605633804E-3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>IF(P32=0,0,Q32/P32)</f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241</v>
      </c>
      <c r="O33" s="86">
        <f>IF(P33=0,0,Q33/P33)</f>
        <v>14.16666666666667</v>
      </c>
      <c r="P33" s="80">
        <v>3</v>
      </c>
      <c r="Q33" s="68">
        <v>42.500000000000007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169</v>
      </c>
      <c r="O34" s="86">
        <f>IF(P34=0,0,Q34/P34)</f>
        <v>4.2812500000000044</v>
      </c>
      <c r="P34" s="80">
        <v>16</v>
      </c>
      <c r="Q34" s="68">
        <v>68.500000000000071</v>
      </c>
    </row>
    <row r="35" spans="1:17">
      <c r="A35" s="52" t="s">
        <v>139</v>
      </c>
      <c r="B35" s="99">
        <v>6</v>
      </c>
      <c r="C35" s="102">
        <f t="shared" ref="C35:C47" si="3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>IF(P35=0,0,Q35/P35)</f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19</v>
      </c>
      <c r="C36" s="6">
        <f t="shared" si="3"/>
        <v>0.24358974358974358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263</v>
      </c>
      <c r="O36" s="86">
        <f>IF(P36=0,0,Q36/P36)</f>
        <v>-11.95</v>
      </c>
      <c r="P36" s="80">
        <v>2</v>
      </c>
      <c r="Q36" s="68">
        <v>-23.9</v>
      </c>
    </row>
    <row r="37" spans="1:17">
      <c r="A37" s="19" t="s">
        <v>136</v>
      </c>
      <c r="B37" s="100">
        <v>24</v>
      </c>
      <c r="C37" s="6">
        <f t="shared" si="3"/>
        <v>0.30769230769230771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>IF(P37=0,0,Q37/P37)</f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6</v>
      </c>
      <c r="C38" s="6">
        <f t="shared" si="3"/>
        <v>7.6923076923076927E-2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>IF(P38=0,0,Q38/P38)</f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11</v>
      </c>
      <c r="C39" s="6">
        <f t="shared" si="3"/>
        <v>0.14102564102564102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265</v>
      </c>
      <c r="O39" s="86">
        <f>IF(P39=0,0,Q39/P39)</f>
        <v>-22.333333333333332</v>
      </c>
      <c r="P39" s="80">
        <v>3</v>
      </c>
      <c r="Q39" s="68">
        <v>-67</v>
      </c>
    </row>
    <row r="40" spans="1:17">
      <c r="A40" s="19" t="s">
        <v>140</v>
      </c>
      <c r="B40" s="100">
        <v>8</v>
      </c>
      <c r="C40" s="6">
        <f t="shared" si="3"/>
        <v>0.10256410256410256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168</v>
      </c>
      <c r="O40" s="86">
        <f>IF(P40=0,0,Q40/P40)</f>
        <v>-25.7</v>
      </c>
      <c r="P40" s="80">
        <v>7</v>
      </c>
      <c r="Q40" s="68">
        <v>-179.9</v>
      </c>
    </row>
    <row r="41" spans="1:17">
      <c r="A41" s="19" t="s">
        <v>141</v>
      </c>
      <c r="B41" s="100">
        <v>4</v>
      </c>
      <c r="C41" s="6">
        <f t="shared" si="3"/>
        <v>5.128205128205128E-2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163</v>
      </c>
      <c r="O41" s="86">
        <f>IF(P41=0,0,Q41/P41)</f>
        <v>-30.9</v>
      </c>
      <c r="P41" s="80">
        <v>1</v>
      </c>
      <c r="Q41" s="68">
        <v>-30.9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179</v>
      </c>
      <c r="O42" s="86">
        <f>IF(P42=0,0,Q42/P42)</f>
        <v>-34.119999999999997</v>
      </c>
      <c r="P42" s="80">
        <v>5</v>
      </c>
      <c r="Q42" s="68">
        <v>-170.6</v>
      </c>
    </row>
    <row r="43" spans="1:17">
      <c r="A43" s="19" t="s">
        <v>143</v>
      </c>
      <c r="B43" s="100">
        <v>0</v>
      </c>
      <c r="C43" s="6">
        <f t="shared" si="3"/>
        <v>0</v>
      </c>
      <c r="N43" s="76" t="s">
        <v>162</v>
      </c>
      <c r="O43" s="86">
        <f>IF(P43=0,0,Q43/P43)</f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3"/>
        <v>0</v>
      </c>
      <c r="N44" s="76" t="s">
        <v>244</v>
      </c>
      <c r="O44" s="86">
        <f>IF(P44=0,0,Q44/P44)</f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3"/>
        <v>0</v>
      </c>
      <c r="N45" s="76" t="s">
        <v>276</v>
      </c>
      <c r="O45" s="86">
        <f>IF(P45=0,0,Q45/P45)</f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3"/>
        <v>0</v>
      </c>
      <c r="N46" s="76" t="s">
        <v>191</v>
      </c>
      <c r="O46" s="86">
        <f>IF(P46=0,0,Q46/P46)</f>
        <v>-65.966666666666669</v>
      </c>
      <c r="P46" s="80">
        <v>3</v>
      </c>
      <c r="Q46" s="68">
        <v>-197.9</v>
      </c>
    </row>
    <row r="47" spans="1:17">
      <c r="A47" s="21" t="s">
        <v>147</v>
      </c>
      <c r="B47" s="101">
        <v>0</v>
      </c>
      <c r="C47" s="9">
        <f t="shared" si="3"/>
        <v>0</v>
      </c>
      <c r="N47" s="76" t="s">
        <v>205</v>
      </c>
      <c r="O47" s="86">
        <f>IF(P47=0,0,Q47/P47)</f>
        <v>-66.05</v>
      </c>
      <c r="P47" s="80">
        <v>4</v>
      </c>
      <c r="Q47" s="68">
        <v>-264.2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27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27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19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25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6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10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27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10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27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24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14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12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10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7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10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19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23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-3053.3333333333335</v>
      </c>
      <c r="P2" s="79">
        <v>15</v>
      </c>
      <c r="Q2" s="63">
        <v>-45800</v>
      </c>
    </row>
    <row r="3" spans="1:17">
      <c r="A3" s="19" t="s">
        <v>8</v>
      </c>
      <c r="B3" s="122">
        <v>115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-2800</v>
      </c>
      <c r="P3" s="80">
        <v>15</v>
      </c>
      <c r="Q3" s="64">
        <v>-42000</v>
      </c>
    </row>
    <row r="4" spans="1:17">
      <c r="A4" s="19" t="s">
        <v>6</v>
      </c>
      <c r="B4" s="124">
        <v>-359.8</v>
      </c>
      <c r="C4" s="125"/>
      <c r="E4" s="33" t="s">
        <v>56</v>
      </c>
      <c r="F4" s="30" t="s">
        <v>185</v>
      </c>
      <c r="G4" s="13">
        <v>7</v>
      </c>
      <c r="H4" s="94">
        <f>IF(B$17=0,0,G4/B$17)</f>
        <v>0.4375</v>
      </c>
      <c r="I4" s="56">
        <v>6</v>
      </c>
      <c r="K4" s="5">
        <v>2</v>
      </c>
      <c r="L4" s="61">
        <v>-70.800000000000011</v>
      </c>
      <c r="N4" s="76" t="s">
        <v>105</v>
      </c>
      <c r="O4" s="83">
        <f t="shared" si="0"/>
        <v>-2260</v>
      </c>
      <c r="P4" s="80">
        <v>15</v>
      </c>
      <c r="Q4" s="64">
        <v>-33900</v>
      </c>
    </row>
    <row r="5" spans="1:17">
      <c r="A5" s="19" t="s">
        <v>7</v>
      </c>
      <c r="B5" s="126">
        <f>IF(B$2=0,0,B$4/B$2)</f>
        <v>-23.986666666666668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0.25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-807.14285714285711</v>
      </c>
      <c r="P5" s="80">
        <v>14</v>
      </c>
      <c r="Q5" s="64">
        <v>-11300</v>
      </c>
    </row>
    <row r="6" spans="1:17">
      <c r="A6" s="19" t="s">
        <v>1</v>
      </c>
      <c r="B6" s="128">
        <f>IF(B$2=0,0,(B$7*1+B$8*2+B$9*3+B$10*4)/B$2)</f>
        <v>3.1333333333333333</v>
      </c>
      <c r="C6" s="129"/>
      <c r="E6" s="33" t="s">
        <v>184</v>
      </c>
      <c r="F6" s="30" t="s">
        <v>187</v>
      </c>
      <c r="G6" s="13">
        <v>4</v>
      </c>
      <c r="H6" s="94">
        <f>IF(B$17=0,0,G6/B$17)</f>
        <v>0.25</v>
      </c>
      <c r="I6" s="56">
        <v>34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-1009.0909090909091</v>
      </c>
      <c r="P6" s="80">
        <v>11</v>
      </c>
      <c r="Q6" s="64">
        <v>-11100</v>
      </c>
    </row>
    <row r="7" spans="1:17">
      <c r="A7" s="19" t="s">
        <v>2</v>
      </c>
      <c r="B7" s="13">
        <v>2</v>
      </c>
      <c r="C7" s="6">
        <f t="shared" ref="C7:C12" si="2">IF(B$2=0,0,B7/B$2)</f>
        <v>0.13333333333333333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1400</v>
      </c>
      <c r="P7" s="80">
        <v>7</v>
      </c>
      <c r="Q7" s="64">
        <v>9800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-225.90000000000003</v>
      </c>
      <c r="N8" s="76" t="s">
        <v>108</v>
      </c>
      <c r="O8" s="83">
        <f t="shared" si="0"/>
        <v>625</v>
      </c>
      <c r="P8" s="80">
        <v>4</v>
      </c>
      <c r="Q8" s="64">
        <v>2500</v>
      </c>
    </row>
    <row r="9" spans="1:17">
      <c r="A9" s="20" t="s">
        <v>4</v>
      </c>
      <c r="B9" s="14">
        <v>3</v>
      </c>
      <c r="C9" s="7">
        <f>IF(B$2=0,0,B9/B$2)</f>
        <v>0.2</v>
      </c>
      <c r="E9" s="33" t="s">
        <v>182</v>
      </c>
      <c r="F9" s="30" t="s">
        <v>19</v>
      </c>
      <c r="G9" s="13">
        <v>2</v>
      </c>
      <c r="H9" s="94">
        <f>IF(B$17=0,0,G9/B$17)</f>
        <v>0.125</v>
      </c>
      <c r="I9" s="56">
        <v>15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8</v>
      </c>
      <c r="C10" s="7">
        <f>IF(B$2=0,0,B10/B$2)</f>
        <v>0.53333333333333333</v>
      </c>
      <c r="E10" s="33" t="s">
        <v>59</v>
      </c>
      <c r="F10" s="30" t="s">
        <v>23</v>
      </c>
      <c r="G10" s="13">
        <v>1</v>
      </c>
      <c r="H10" s="94">
        <f>IF(B$17=0,0,G10/B$17)</f>
        <v>6.25E-2</v>
      </c>
      <c r="I10" s="56">
        <v>23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0.26666666666666666</v>
      </c>
      <c r="E11" s="33" t="s">
        <v>61</v>
      </c>
      <c r="F11" s="30" t="s">
        <v>25</v>
      </c>
      <c r="G11" s="13">
        <v>1</v>
      </c>
      <c r="H11" s="94">
        <f>IF(B$17=0,0,G11/B$17)</f>
        <v>6.25E-2</v>
      </c>
      <c r="I11" s="56">
        <v>2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66</v>
      </c>
      <c r="F12" s="30" t="s">
        <v>30</v>
      </c>
      <c r="G12" s="13">
        <v>1</v>
      </c>
      <c r="H12" s="94">
        <f>IF(B$17=0,0,G12/B$17)</f>
        <v>6.25E-2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-2.633333333333336</v>
      </c>
      <c r="P12" s="79">
        <v>6</v>
      </c>
      <c r="Q12" s="67">
        <v>-15.800000000000015</v>
      </c>
    </row>
    <row r="13" spans="1:17">
      <c r="A13" s="22" t="s">
        <v>97</v>
      </c>
      <c r="B13" s="15">
        <v>13</v>
      </c>
      <c r="C13" s="11">
        <f>IF(B$3=0,0,B13/B$3)</f>
        <v>0.11304347826086956</v>
      </c>
      <c r="E13" s="33" t="s">
        <v>71</v>
      </c>
      <c r="F13" s="30" t="s">
        <v>35</v>
      </c>
      <c r="G13" s="13">
        <v>1</v>
      </c>
      <c r="H13" s="94">
        <f>IF(B$17=0,0,G13/B$17)</f>
        <v>6.25E-2</v>
      </c>
      <c r="I13" s="56">
        <v>9</v>
      </c>
      <c r="K13" s="5">
        <v>11</v>
      </c>
      <c r="L13" s="61">
        <v>-378.40000000000003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26</v>
      </c>
      <c r="C14" s="6">
        <f>IF(B$3=0,0,B14/B$3)</f>
        <v>0.22608695652173913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24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8</v>
      </c>
      <c r="C15" s="4">
        <f>IF(B$13=0,0,B15/B$13)</f>
        <v>0.61538461538461542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-40.866666666666667</v>
      </c>
      <c r="P15" s="81">
        <v>3</v>
      </c>
      <c r="Q15" s="69">
        <v>-122.6</v>
      </c>
    </row>
    <row r="16" spans="1:17">
      <c r="A16" s="18" t="s">
        <v>100</v>
      </c>
      <c r="B16" s="12">
        <f>B22</f>
        <v>4</v>
      </c>
      <c r="C16" s="4">
        <f>IF(B$14=0,0,B16/B$14)</f>
        <v>0.15384615384615385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0.1391304347826087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0.19130434782608696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9</v>
      </c>
      <c r="C19" s="6">
        <f>IF(B$17=0,0,B19/B$17)</f>
        <v>0.5625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>IF(P19=0,0,Q19/P19)</f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7</v>
      </c>
      <c r="C20" s="6">
        <f>IF(B$17=0,0,B20/B$17)</f>
        <v>0.4375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216</v>
      </c>
      <c r="O20" s="86">
        <f>IF(P20=0,0,Q20/P20)</f>
        <v>-4.3000000000000016</v>
      </c>
      <c r="P20" s="80">
        <v>3</v>
      </c>
      <c r="Q20" s="68">
        <v>-12.900000000000006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-4.5999999999999996</v>
      </c>
      <c r="P21" s="80">
        <v>4</v>
      </c>
      <c r="Q21" s="68">
        <v>-18.399999999999999</v>
      </c>
    </row>
    <row r="22" spans="1:17">
      <c r="A22" s="19" t="s">
        <v>149</v>
      </c>
      <c r="B22" s="13">
        <v>4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169</v>
      </c>
      <c r="O22" s="86">
        <f>IF(P22=0,0,Q22/P22)</f>
        <v>-16.224999999999998</v>
      </c>
      <c r="P22" s="80">
        <v>4</v>
      </c>
      <c r="Q22" s="68">
        <v>-64.899999999999991</v>
      </c>
    </row>
    <row r="23" spans="1:17">
      <c r="A23" s="19" t="s">
        <v>150</v>
      </c>
      <c r="B23" s="13">
        <v>4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-20.3</v>
      </c>
      <c r="P23" s="80">
        <v>5</v>
      </c>
      <c r="Q23" s="68">
        <v>-101.5</v>
      </c>
    </row>
    <row r="24" spans="1:17">
      <c r="A24" s="19" t="s">
        <v>5</v>
      </c>
      <c r="B24" s="16">
        <f>IF(B$17=0,0,C24/B$17)</f>
        <v>5025</v>
      </c>
      <c r="C24" s="8">
        <v>80400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>IF(P24=0,0,Q24/P24)</f>
        <v>-23.5</v>
      </c>
      <c r="P24" s="80">
        <v>3</v>
      </c>
      <c r="Q24" s="68">
        <v>-70.5</v>
      </c>
    </row>
    <row r="25" spans="1:17">
      <c r="A25" s="20" t="s">
        <v>133</v>
      </c>
      <c r="B25" s="97">
        <f>IF($B$17-B$16=0,0,C25/($B$17-B$16))</f>
        <v>5891.666666666667</v>
      </c>
      <c r="C25" s="98">
        <v>70700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>IF(P25=0,0,Q25/P25)</f>
        <v>-28.300000000000004</v>
      </c>
      <c r="P25" s="80">
        <v>1</v>
      </c>
      <c r="Q25" s="68">
        <v>-28.300000000000004</v>
      </c>
    </row>
    <row r="26" spans="1:17">
      <c r="A26" s="20" t="s">
        <v>134</v>
      </c>
      <c r="B26" s="97">
        <f>IF(B$16=0,0,C26/B$16)</f>
        <v>2425</v>
      </c>
      <c r="C26" s="98">
        <v>9700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265</v>
      </c>
      <c r="O26" s="86">
        <f>IF(P26=0,0,Q26/P26)</f>
        <v>-34.950000000000003</v>
      </c>
      <c r="P26" s="80">
        <v>2</v>
      </c>
      <c r="Q26" s="68">
        <v>-69.900000000000006</v>
      </c>
    </row>
    <row r="27" spans="1:17">
      <c r="A27" s="20" t="s">
        <v>132</v>
      </c>
      <c r="B27" s="97">
        <f>IF(B$18=0,0,C27/B$18)</f>
        <v>-6118.181818181818</v>
      </c>
      <c r="C27" s="98">
        <v>-134600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241</v>
      </c>
      <c r="O27" s="86">
        <f>IF(P27=0,0,Q27/P27)</f>
        <v>-35.400000000000006</v>
      </c>
      <c r="P27" s="80">
        <v>2</v>
      </c>
      <c r="Q27" s="68">
        <v>-70.800000000000011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>IF(P28=0,0,Q28/P28)</f>
        <v>-41.233333333333334</v>
      </c>
      <c r="P28" s="80">
        <v>3</v>
      </c>
      <c r="Q28" s="68">
        <v>-123.7</v>
      </c>
    </row>
    <row r="29" spans="1:17">
      <c r="A29" s="19" t="s">
        <v>131</v>
      </c>
      <c r="B29" s="13">
        <v>27</v>
      </c>
      <c r="C29" s="96">
        <v>27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255</v>
      </c>
      <c r="O29" s="86">
        <f>IF(P29=0,0,Q29/P29)</f>
        <v>-46.175000000000011</v>
      </c>
      <c r="P29" s="80">
        <v>4</v>
      </c>
      <c r="Q29" s="68">
        <v>-184.70000000000005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>IF(P30=0,0,Q30/P30)</f>
        <v>-59.824999999999996</v>
      </c>
      <c r="P30" s="80">
        <v>4</v>
      </c>
      <c r="Q30" s="68">
        <v>-239.29999999999998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262</v>
      </c>
      <c r="O31" s="86">
        <f>IF(P31=0,0,Q31/P31)</f>
        <v>-64.5</v>
      </c>
      <c r="P31" s="80">
        <v>1</v>
      </c>
      <c r="Q31" s="68">
        <v>-64.5</v>
      </c>
    </row>
    <row r="32" spans="1:17">
      <c r="A32" s="21" t="s">
        <v>112</v>
      </c>
      <c r="B32" s="26">
        <v>1</v>
      </c>
      <c r="C32" s="9">
        <f>IF(B$3=0,0,B32/B$3)</f>
        <v>8.6956521739130436E-3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276</v>
      </c>
      <c r="O32" s="86">
        <f>IF(P32=0,0,Q32/P32)</f>
        <v>-67.750000000000014</v>
      </c>
      <c r="P32" s="80">
        <v>2</v>
      </c>
      <c r="Q32" s="68">
        <v>-135.50000000000003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>IF(P33=0,0,Q33/P33)</f>
        <v>-102.8</v>
      </c>
      <c r="P33" s="80">
        <v>3</v>
      </c>
      <c r="Q33" s="68">
        <v>-308.39999999999998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3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4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</v>
      </c>
      <c r="C37" s="6">
        <f t="shared" si="3"/>
        <v>6.25E-2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0.4375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0.63636363636363635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-235.29411764705881</v>
      </c>
      <c r="P2" s="79">
        <v>17</v>
      </c>
      <c r="Q2" s="63">
        <v>-4000</v>
      </c>
    </row>
    <row r="3" spans="1:17">
      <c r="A3" s="19" t="s">
        <v>8</v>
      </c>
      <c r="B3" s="122">
        <v>122</v>
      </c>
      <c r="C3" s="123"/>
      <c r="E3" s="33" t="s">
        <v>181</v>
      </c>
      <c r="F3" s="30" t="s">
        <v>156</v>
      </c>
      <c r="G3" s="13">
        <v>12</v>
      </c>
      <c r="H3" s="94">
        <f>IF(B$17=0,0,G3/B$17)</f>
        <v>0.54545454545454541</v>
      </c>
      <c r="I3" s="56">
        <v>15</v>
      </c>
      <c r="K3" s="5">
        <v>1</v>
      </c>
      <c r="L3" s="61">
        <v>-31</v>
      </c>
      <c r="N3" s="76" t="s">
        <v>104</v>
      </c>
      <c r="O3" s="83">
        <f t="shared" si="0"/>
        <v>635.29411764705878</v>
      </c>
      <c r="P3" s="80">
        <v>17</v>
      </c>
      <c r="Q3" s="64">
        <v>10800</v>
      </c>
    </row>
    <row r="4" spans="1:17">
      <c r="A4" s="19" t="s">
        <v>6</v>
      </c>
      <c r="B4" s="124">
        <v>-210.49999999999994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0.54545454545454541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-943.75</v>
      </c>
      <c r="P4" s="80">
        <v>16</v>
      </c>
      <c r="Q4" s="64">
        <v>-15100</v>
      </c>
    </row>
    <row r="5" spans="1:17">
      <c r="A5" s="19" t="s">
        <v>7</v>
      </c>
      <c r="B5" s="126">
        <f>IF(B$2=0,0,B$4/B$2)</f>
        <v>-12.382352941176467</v>
      </c>
      <c r="C5" s="127"/>
      <c r="E5" s="33" t="s">
        <v>57</v>
      </c>
      <c r="F5" s="30" t="s">
        <v>21</v>
      </c>
      <c r="G5" s="13">
        <v>7</v>
      </c>
      <c r="H5" s="94">
        <f>IF(B$17=0,0,G5/B$17)</f>
        <v>0.31818181818181818</v>
      </c>
      <c r="I5" s="56">
        <v>10</v>
      </c>
      <c r="K5" s="5">
        <v>3</v>
      </c>
      <c r="L5" s="61">
        <v>-44.9</v>
      </c>
      <c r="N5" s="76" t="s">
        <v>157</v>
      </c>
      <c r="O5" s="83">
        <f>IF(P5=0,0,Q5/P5)</f>
        <v>-793.33333333333337</v>
      </c>
      <c r="P5" s="80">
        <v>15</v>
      </c>
      <c r="Q5" s="64">
        <v>-11900</v>
      </c>
    </row>
    <row r="6" spans="1:17">
      <c r="A6" s="19" t="s">
        <v>1</v>
      </c>
      <c r="B6" s="128">
        <f>IF(B$2=0,0,(B$7*1+B$8*2+B$9*3+B$10*4)/B$2)</f>
        <v>2.6470588235294117</v>
      </c>
      <c r="C6" s="129"/>
      <c r="E6" s="33" t="s">
        <v>184</v>
      </c>
      <c r="F6" s="30" t="s">
        <v>187</v>
      </c>
      <c r="G6" s="13">
        <v>7</v>
      </c>
      <c r="H6" s="94">
        <f>IF(B$17=0,0,G6/B$17)</f>
        <v>0.31818181818181818</v>
      </c>
      <c r="I6" s="56">
        <v>31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-2887.5</v>
      </c>
      <c r="P6" s="80">
        <v>8</v>
      </c>
      <c r="Q6" s="64">
        <v>-23100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6</v>
      </c>
      <c r="H7" s="94">
        <f>IF(B$17=0,0,G7/B$17)</f>
        <v>0.27272727272727271</v>
      </c>
      <c r="I7" s="56">
        <v>19</v>
      </c>
      <c r="K7" s="5">
        <v>5</v>
      </c>
      <c r="L7" s="61">
        <v>-96.399999999999991</v>
      </c>
      <c r="N7" s="76" t="s">
        <v>107</v>
      </c>
      <c r="O7" s="83">
        <f t="shared" si="0"/>
        <v>-3440</v>
      </c>
      <c r="P7" s="80">
        <v>5</v>
      </c>
      <c r="Q7" s="64">
        <v>-17200</v>
      </c>
    </row>
    <row r="8" spans="1:17">
      <c r="A8" s="19" t="s">
        <v>3</v>
      </c>
      <c r="B8" s="13">
        <v>8</v>
      </c>
      <c r="C8" s="6">
        <f>IF(B$2=0,0,B8/B$2)</f>
        <v>0.47058823529411764</v>
      </c>
      <c r="E8" s="33" t="s">
        <v>59</v>
      </c>
      <c r="F8" s="30" t="s">
        <v>23</v>
      </c>
      <c r="G8" s="13">
        <v>6</v>
      </c>
      <c r="H8" s="94">
        <f>IF(B$17=0,0,G8/B$17)</f>
        <v>0.27272727272727271</v>
      </c>
      <c r="I8" s="56">
        <v>5</v>
      </c>
      <c r="K8" s="5">
        <v>6</v>
      </c>
      <c r="L8" s="61">
        <v>-123.29999999999998</v>
      </c>
      <c r="N8" s="76" t="s">
        <v>108</v>
      </c>
      <c r="O8" s="83">
        <f t="shared" si="0"/>
        <v>-2100</v>
      </c>
      <c r="P8" s="80">
        <v>1</v>
      </c>
      <c r="Q8" s="64">
        <v>-2100</v>
      </c>
    </row>
    <row r="9" spans="1:17">
      <c r="A9" s="20" t="s">
        <v>4</v>
      </c>
      <c r="B9" s="14">
        <v>7</v>
      </c>
      <c r="C9" s="7">
        <f>IF(B$2=0,0,B9/B$2)</f>
        <v>0.41176470588235292</v>
      </c>
      <c r="E9" s="33" t="s">
        <v>55</v>
      </c>
      <c r="F9" s="30" t="s">
        <v>155</v>
      </c>
      <c r="G9" s="13">
        <v>5</v>
      </c>
      <c r="H9" s="94">
        <f>IF(B$17=0,0,G9/B$17)</f>
        <v>0.22727272727272727</v>
      </c>
      <c r="I9" s="56">
        <v>20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0.11764705882352941</v>
      </c>
      <c r="E10" s="33" t="s">
        <v>182</v>
      </c>
      <c r="F10" s="30" t="s">
        <v>19</v>
      </c>
      <c r="G10" s="13">
        <v>4</v>
      </c>
      <c r="H10" s="94">
        <f>IF(B$17=0,0,G10/B$17)</f>
        <v>0.18181818181818182</v>
      </c>
      <c r="I10" s="56">
        <v>10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0.47058823529411764</v>
      </c>
      <c r="E11" s="33" t="s">
        <v>58</v>
      </c>
      <c r="F11" s="30" t="s">
        <v>22</v>
      </c>
      <c r="G11" s="13">
        <v>1</v>
      </c>
      <c r="H11" s="94">
        <f>IF(B$17=0,0,G11/B$17)</f>
        <v>4.5454545454545456E-2</v>
      </c>
      <c r="I11" s="56">
        <v>21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5.8823529411764705E-2</v>
      </c>
      <c r="E12" s="33" t="s">
        <v>69</v>
      </c>
      <c r="F12" s="30" t="s">
        <v>33</v>
      </c>
      <c r="G12" s="13">
        <v>1</v>
      </c>
      <c r="H12" s="94">
        <f>IF(B$17=0,0,G12/B$17)</f>
        <v>4.5454545454545456E-2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19</v>
      </c>
      <c r="C13" s="11">
        <f>IF(B$3=0,0,B13/B$3)</f>
        <v>0.15573770491803279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-7.7750000000000004</v>
      </c>
      <c r="P13" s="80">
        <v>4</v>
      </c>
      <c r="Q13" s="68">
        <v>-31.1</v>
      </c>
    </row>
    <row r="14" spans="1:17">
      <c r="A14" s="19" t="s">
        <v>94</v>
      </c>
      <c r="B14" s="13">
        <v>23</v>
      </c>
      <c r="C14" s="6">
        <f>IF(B$3=0,0,B14/B$3)</f>
        <v>0.18852459016393441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12</v>
      </c>
      <c r="C15" s="4">
        <f>IF(B$13=0,0,B15/B$13)</f>
        <v>0.63157894736842102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-227.09999999999997</v>
      </c>
      <c r="N15" s="77" t="s">
        <v>159</v>
      </c>
      <c r="O15" s="87">
        <f>IF(P15=0,0,Q15/P15)</f>
        <v>-5.0599999999999987</v>
      </c>
      <c r="P15" s="81">
        <v>5</v>
      </c>
      <c r="Q15" s="69">
        <v>-25.299999999999994</v>
      </c>
    </row>
    <row r="16" spans="1:17">
      <c r="A16" s="18" t="s">
        <v>100</v>
      </c>
      <c r="B16" s="12">
        <f>B22</f>
        <v>7</v>
      </c>
      <c r="C16" s="4">
        <f>IF(B$14=0,0,B16/B$14)</f>
        <v>0.30434782608695654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0.18032786885245902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0.13934426229508196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9</v>
      </c>
      <c r="C19" s="6">
        <f>IF(B$17=0,0,B19/B$17)</f>
        <v>0.40909090909090912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-210.49999999999994</v>
      </c>
      <c r="N19" s="76" t="s">
        <v>276</v>
      </c>
      <c r="O19" s="86">
        <f t="shared" si="3"/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13</v>
      </c>
      <c r="C20" s="6">
        <f>IF(B$17=0,0,B20/B$17)</f>
        <v>0.59090909090909094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263</v>
      </c>
      <c r="O20" s="86">
        <f t="shared" si="3"/>
        <v>57.9</v>
      </c>
      <c r="P20" s="80">
        <v>1</v>
      </c>
      <c r="Q20" s="68">
        <v>57.9</v>
      </c>
    </row>
    <row r="21" spans="1:17">
      <c r="A21" s="19" t="s">
        <v>151</v>
      </c>
      <c r="B21" s="13">
        <v>12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7</v>
      </c>
      <c r="C22" s="6">
        <f>IF(B$17=0,0,B22/B$17)</f>
        <v>0.31818181818181818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228</v>
      </c>
      <c r="O22" s="86">
        <f t="shared" si="3"/>
        <v>13.174999999999999</v>
      </c>
      <c r="P22" s="80">
        <v>4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235</v>
      </c>
      <c r="O23" s="86">
        <f t="shared" si="3"/>
        <v>4.6000000000000014</v>
      </c>
      <c r="P23" s="80">
        <v>4</v>
      </c>
      <c r="Q23" s="68">
        <v>18.400000000000006</v>
      </c>
    </row>
    <row r="24" spans="1:17">
      <c r="A24" s="19" t="s">
        <v>5</v>
      </c>
      <c r="B24" s="16">
        <f>IF(B$17=0,0,C24/B$17)</f>
        <v>6386.363636363636</v>
      </c>
      <c r="C24" s="8">
        <v>140500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244</v>
      </c>
      <c r="O24" s="86">
        <f t="shared" si="3"/>
        <v>-2.6333333333333342</v>
      </c>
      <c r="P24" s="80">
        <v>3</v>
      </c>
      <c r="Q24" s="68">
        <v>-7.9000000000000021</v>
      </c>
    </row>
    <row r="25" spans="1:17">
      <c r="A25" s="20" t="s">
        <v>133</v>
      </c>
      <c r="B25" s="97">
        <f>IF($B$17-B$16=0,0,C25/($B$17-B$16))</f>
        <v>8213.3333333333339</v>
      </c>
      <c r="C25" s="98">
        <v>123200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-7.2500000000000009</v>
      </c>
      <c r="P25" s="80">
        <v>4</v>
      </c>
      <c r="Q25" s="68">
        <v>-29.000000000000004</v>
      </c>
    </row>
    <row r="26" spans="1:17">
      <c r="A26" s="20" t="s">
        <v>134</v>
      </c>
      <c r="B26" s="97">
        <f>IF(B$16=0,0,C26/B$16)</f>
        <v>2471.4285714285716</v>
      </c>
      <c r="C26" s="98">
        <v>17300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241</v>
      </c>
      <c r="O26" s="86">
        <f t="shared" si="3"/>
        <v>-10.849999999999998</v>
      </c>
      <c r="P26" s="80">
        <v>2</v>
      </c>
      <c r="Q26" s="68">
        <v>-21.699999999999996</v>
      </c>
    </row>
    <row r="27" spans="1:17">
      <c r="A27" s="20" t="s">
        <v>132</v>
      </c>
      <c r="B27" s="97">
        <f>IF(B$18=0,0,C27/B$18)</f>
        <v>-7558.8235294117649</v>
      </c>
      <c r="C27" s="98">
        <v>-128500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272</v>
      </c>
      <c r="O29" s="86">
        <f t="shared" si="3"/>
        <v>-57.325000000000003</v>
      </c>
      <c r="P29" s="80">
        <v>4</v>
      </c>
      <c r="Q29" s="68">
        <v>-229.3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255</v>
      </c>
      <c r="O30" s="86">
        <f t="shared" si="3"/>
        <v>-63.800000000000011</v>
      </c>
      <c r="P30" s="80">
        <v>3</v>
      </c>
      <c r="Q30" s="68">
        <v>-191.40000000000003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8.1967213114754103E-3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4.5454545454545456E-2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10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10</v>
      </c>
      <c r="H2" s="93">
        <f>IF(B$17=0,0,G2/B$17)</f>
        <v>0.625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-3145.4545454545455</v>
      </c>
      <c r="P2" s="79">
        <v>11</v>
      </c>
      <c r="Q2" s="63">
        <v>-34600</v>
      </c>
    </row>
    <row r="3" spans="1:17">
      <c r="A3" s="19" t="s">
        <v>8</v>
      </c>
      <c r="B3" s="122">
        <v>78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-1963.6363636363637</v>
      </c>
      <c r="P3" s="80">
        <v>11</v>
      </c>
      <c r="Q3" s="64">
        <v>-21600</v>
      </c>
    </row>
    <row r="4" spans="1:17">
      <c r="A4" s="19" t="s">
        <v>6</v>
      </c>
      <c r="B4" s="124">
        <v>-2.3000000000000114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0.375</v>
      </c>
      <c r="I4" s="56">
        <v>10</v>
      </c>
      <c r="K4" s="5">
        <v>2</v>
      </c>
      <c r="L4" s="61">
        <v>-92.5</v>
      </c>
      <c r="N4" s="76" t="s">
        <v>105</v>
      </c>
      <c r="O4" s="83">
        <f t="shared" si="0"/>
        <v>990</v>
      </c>
      <c r="P4" s="80">
        <v>10</v>
      </c>
      <c r="Q4" s="64">
        <v>9900</v>
      </c>
    </row>
    <row r="5" spans="1:17">
      <c r="A5" s="19" t="s">
        <v>7</v>
      </c>
      <c r="B5" s="126">
        <f>IF(B$2=0,0,B$4/B$2)</f>
        <v>-0.20909090909091013</v>
      </c>
      <c r="C5" s="127"/>
      <c r="E5" s="33" t="s">
        <v>184</v>
      </c>
      <c r="F5" s="30" t="s">
        <v>187</v>
      </c>
      <c r="G5" s="13">
        <v>6</v>
      </c>
      <c r="H5" s="94">
        <f>IF(B$17=0,0,G5/B$17)</f>
        <v>0.375</v>
      </c>
      <c r="I5" s="56">
        <v>24</v>
      </c>
      <c r="K5" s="5">
        <v>3</v>
      </c>
      <c r="L5" s="61">
        <v>-11.400000000000006</v>
      </c>
      <c r="N5" s="76" t="s">
        <v>157</v>
      </c>
      <c r="O5" s="83">
        <f>IF(P5=0,0,Q5/P5)</f>
        <v>2150</v>
      </c>
      <c r="P5" s="80">
        <v>8</v>
      </c>
      <c r="Q5" s="64">
        <v>17200</v>
      </c>
    </row>
    <row r="6" spans="1:17">
      <c r="A6" s="19" t="s">
        <v>1</v>
      </c>
      <c r="B6" s="128">
        <f>IF(B$2=0,0,(B$7*1+B$8*2+B$9*3+B$10*4)/B$2)</f>
        <v>2.5454545454545454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0.3125</v>
      </c>
      <c r="I6" s="56">
        <v>9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-125</v>
      </c>
      <c r="P6" s="80">
        <v>4</v>
      </c>
      <c r="Q6" s="64">
        <v>-500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60</v>
      </c>
      <c r="F7" s="30" t="s">
        <v>24</v>
      </c>
      <c r="G7" s="13">
        <v>5</v>
      </c>
      <c r="H7" s="94">
        <f>IF(B$17=0,0,G7/B$17)</f>
        <v>0.3125</v>
      </c>
      <c r="I7" s="56">
        <v>27</v>
      </c>
      <c r="K7" s="5">
        <v>5</v>
      </c>
      <c r="L7" s="61">
        <v>20.899999999999991</v>
      </c>
      <c r="N7" s="76" t="s">
        <v>107</v>
      </c>
      <c r="O7" s="83">
        <f t="shared" si="0"/>
        <v>4500</v>
      </c>
      <c r="P7" s="80">
        <v>2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4</v>
      </c>
      <c r="H8" s="94">
        <f>IF(B$17=0,0,G8/B$17)</f>
        <v>0.25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7900</v>
      </c>
      <c r="P8" s="80">
        <v>1</v>
      </c>
      <c r="Q8" s="64">
        <v>7900</v>
      </c>
    </row>
    <row r="9" spans="1:17">
      <c r="A9" s="20" t="s">
        <v>4</v>
      </c>
      <c r="B9" s="14">
        <v>4</v>
      </c>
      <c r="C9" s="7">
        <f>IF(B$2=0,0,B9/B$2)</f>
        <v>0.36363636363636365</v>
      </c>
      <c r="E9" s="33" t="s">
        <v>59</v>
      </c>
      <c r="F9" s="30" t="s">
        <v>23</v>
      </c>
      <c r="G9" s="13">
        <v>4</v>
      </c>
      <c r="H9" s="94">
        <f>IF(B$17=0,0,G9/B$17)</f>
        <v>0.25</v>
      </c>
      <c r="I9" s="56">
        <v>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0.27272727272727271</v>
      </c>
      <c r="E10" s="33" t="s">
        <v>183</v>
      </c>
      <c r="F10" s="30" t="s">
        <v>186</v>
      </c>
      <c r="G10" s="13">
        <v>3</v>
      </c>
      <c r="H10" s="94">
        <f>IF(B$17=0,0,G10/B$17)</f>
        <v>0.1875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0.36363636363636365</v>
      </c>
      <c r="E11" s="33" t="s">
        <v>182</v>
      </c>
      <c r="F11" s="30" t="s">
        <v>19</v>
      </c>
      <c r="G11" s="13">
        <v>2</v>
      </c>
      <c r="H11" s="94">
        <f>IF(B$17=0,0,G11/B$17)</f>
        <v>0.125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0.18181818181818182</v>
      </c>
      <c r="E12" s="33" t="s">
        <v>58</v>
      </c>
      <c r="F12" s="30" t="s">
        <v>22</v>
      </c>
      <c r="G12" s="13">
        <v>2</v>
      </c>
      <c r="H12" s="94">
        <f>IF(B$17=0,0,G12/B$17)</f>
        <v>0.125</v>
      </c>
      <c r="I12" s="56">
        <v>6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13</v>
      </c>
      <c r="C13" s="11">
        <f>IF(B$3=0,0,B13/B$3)</f>
        <v>0.16666666666666666</v>
      </c>
      <c r="E13" s="33" t="s">
        <v>71</v>
      </c>
      <c r="F13" s="30" t="s">
        <v>35</v>
      </c>
      <c r="G13" s="13">
        <v>2</v>
      </c>
      <c r="H13" s="94">
        <f>IF(B$17=0,0,G13/B$17)</f>
        <v>0.125</v>
      </c>
      <c r="I13" s="56">
        <v>4</v>
      </c>
      <c r="K13" s="5">
        <v>11</v>
      </c>
      <c r="L13" s="61">
        <v>-2.3000000000000114</v>
      </c>
      <c r="N13" s="76" t="s">
        <v>127</v>
      </c>
      <c r="O13" s="86">
        <f>IF(P13=0,0,Q13/P13)</f>
        <v>19.875</v>
      </c>
      <c r="P13" s="80">
        <v>4</v>
      </c>
      <c r="Q13" s="68">
        <v>79.5</v>
      </c>
    </row>
    <row r="14" spans="1:17">
      <c r="A14" s="19" t="s">
        <v>94</v>
      </c>
      <c r="B14" s="13">
        <v>16</v>
      </c>
      <c r="C14" s="6">
        <f>IF(B$3=0,0,B14/B$3)</f>
        <v>0.20512820512820512</v>
      </c>
      <c r="E14" s="33" t="s">
        <v>67</v>
      </c>
      <c r="F14" s="30" t="s">
        <v>31</v>
      </c>
      <c r="G14" s="13">
        <v>1</v>
      </c>
      <c r="H14" s="94">
        <f>IF(B$17=0,0,G14/B$17)</f>
        <v>6.25E-2</v>
      </c>
      <c r="I14" s="56">
        <v>4</v>
      </c>
      <c r="N14" s="76" t="s">
        <v>128</v>
      </c>
      <c r="O14" s="86">
        <f>IF(P14=0,0,Q14/P14)</f>
        <v>-52.35</v>
      </c>
      <c r="P14" s="80">
        <v>2</v>
      </c>
      <c r="Q14" s="68">
        <v>-104.7</v>
      </c>
    </row>
    <row r="15" spans="1:17">
      <c r="A15" s="18" t="s">
        <v>99</v>
      </c>
      <c r="B15" s="12">
        <f>B21</f>
        <v>8</v>
      </c>
      <c r="C15" s="4">
        <f>IF(B$13=0,0,B15/B$13)</f>
        <v>0.61538461538461542</v>
      </c>
      <c r="E15" s="33" t="s">
        <v>69</v>
      </c>
      <c r="F15" s="30" t="s">
        <v>33</v>
      </c>
      <c r="G15" s="13">
        <v>1</v>
      </c>
      <c r="H15" s="94">
        <f>IF(B$17=0,0,G15/B$17)</f>
        <v>6.25E-2</v>
      </c>
      <c r="I15" s="56">
        <v>3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0.3125</v>
      </c>
      <c r="E16" s="33" t="s">
        <v>78</v>
      </c>
      <c r="F16" s="30" t="s">
        <v>42</v>
      </c>
      <c r="G16" s="13">
        <v>1</v>
      </c>
      <c r="H16" s="94">
        <f>IF(B$17=0,0,G16/B$17)</f>
        <v>6.25E-2</v>
      </c>
      <c r="I16" s="56">
        <v>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0.20512820512820512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0.15384615384615385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269</v>
      </c>
      <c r="O18" s="85">
        <f t="shared" ref="O18:O32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0.3125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10</v>
      </c>
      <c r="N22" s="76" t="s">
        <v>238</v>
      </c>
      <c r="O22" s="86">
        <f t="shared" si="3"/>
        <v>2.6333333333333333</v>
      </c>
      <c r="P22" s="80">
        <v>3</v>
      </c>
      <c r="Q22" s="68">
        <v>7.9</v>
      </c>
    </row>
    <row r="23" spans="1:17">
      <c r="A23" s="19" t="s">
        <v>150</v>
      </c>
      <c r="B23" s="13">
        <v>3</v>
      </c>
      <c r="C23" s="6">
        <f>IF(B$17=0,0,B23/B$17)</f>
        <v>0.1875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216</v>
      </c>
      <c r="O23" s="86">
        <f t="shared" si="3"/>
        <v>-0.59999999999999942</v>
      </c>
      <c r="P23" s="80">
        <v>7</v>
      </c>
      <c r="Q23" s="68">
        <v>-4.1999999999999957</v>
      </c>
    </row>
    <row r="24" spans="1:17">
      <c r="A24" s="19" t="s">
        <v>5</v>
      </c>
      <c r="B24" s="16">
        <f>IF(B$17=0,0,C24/B$17)</f>
        <v>9175</v>
      </c>
      <c r="C24" s="8">
        <v>146800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227</v>
      </c>
      <c r="O24" s="86">
        <f t="shared" si="3"/>
        <v>-13.475</v>
      </c>
      <c r="P24" s="80">
        <v>4</v>
      </c>
      <c r="Q24" s="68">
        <v>-53.9</v>
      </c>
    </row>
    <row r="25" spans="1:17">
      <c r="A25" s="20" t="s">
        <v>133</v>
      </c>
      <c r="B25" s="97">
        <f>IF($B$17-B$16=0,0,C25/($B$17-B$16))</f>
        <v>9954.545454545454</v>
      </c>
      <c r="C25" s="98">
        <v>109500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-16.200000000000006</v>
      </c>
      <c r="P25" s="80">
        <v>2</v>
      </c>
      <c r="Q25" s="68">
        <v>-32.400000000000013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258</v>
      </c>
      <c r="O26" s="86">
        <f t="shared" si="3"/>
        <v>-23.699999999999996</v>
      </c>
      <c r="P26" s="80">
        <v>1</v>
      </c>
      <c r="Q26" s="68">
        <v>-23.699999999999996</v>
      </c>
    </row>
    <row r="27" spans="1:17">
      <c r="A27" s="20" t="s">
        <v>132</v>
      </c>
      <c r="B27" s="97">
        <f>IF(B$18=0,0,C27/B$18)</f>
        <v>-7483.333333333333</v>
      </c>
      <c r="C27" s="98">
        <v>-89800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255</v>
      </c>
      <c r="O27" s="86">
        <f t="shared" si="3"/>
        <v>-37.54999999999999</v>
      </c>
      <c r="P27" s="80">
        <v>2</v>
      </c>
      <c r="Q27" s="68">
        <v>-75.09999999999998</v>
      </c>
    </row>
    <row r="28" spans="1:17">
      <c r="A28" s="19" t="s">
        <v>130</v>
      </c>
      <c r="B28" s="13">
        <v>3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-37.65</v>
      </c>
      <c r="P28" s="80">
        <v>2</v>
      </c>
      <c r="Q28" s="68">
        <v>-75.3</v>
      </c>
    </row>
    <row r="29" spans="1:17">
      <c r="A29" s="19" t="s">
        <v>131</v>
      </c>
      <c r="B29" s="13">
        <v>23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241</v>
      </c>
      <c r="O29" s="86">
        <f t="shared" si="3"/>
        <v>-57.95</v>
      </c>
      <c r="P29" s="80">
        <v>2</v>
      </c>
      <c r="Q29" s="68">
        <v>-115.9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  <c r="N30" s="76" t="s">
        <v>169</v>
      </c>
      <c r="O30" s="86">
        <f t="shared" si="3"/>
        <v>-60.3</v>
      </c>
      <c r="P30" s="80">
        <v>1</v>
      </c>
      <c r="Q30" s="68">
        <v>-60.3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-61.6</v>
      </c>
      <c r="P31" s="80">
        <v>1</v>
      </c>
      <c r="Q31" s="68">
        <v>-61.6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-85.5</v>
      </c>
      <c r="P32" s="80">
        <v>1</v>
      </c>
      <c r="Q32" s="68">
        <v>-85.5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0.1875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6.25E-2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0.625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-2270</v>
      </c>
      <c r="P2" s="79">
        <v>10</v>
      </c>
      <c r="Q2" s="63">
        <v>-22700</v>
      </c>
    </row>
    <row r="3" spans="1:17">
      <c r="A3" s="19" t="s">
        <v>8</v>
      </c>
      <c r="B3" s="122">
        <v>69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80</v>
      </c>
      <c r="N3" s="76" t="s">
        <v>104</v>
      </c>
      <c r="O3" s="83">
        <f t="shared" si="0"/>
        <v>1080</v>
      </c>
      <c r="P3" s="80">
        <v>10</v>
      </c>
      <c r="Q3" s="64">
        <v>10800</v>
      </c>
    </row>
    <row r="4" spans="1:17">
      <c r="A4" s="19" t="s">
        <v>6</v>
      </c>
      <c r="B4" s="124">
        <v>106.4</v>
      </c>
      <c r="C4" s="125"/>
      <c r="E4" s="33" t="s">
        <v>181</v>
      </c>
      <c r="F4" s="30" t="s">
        <v>156</v>
      </c>
      <c r="G4" s="13">
        <v>8</v>
      </c>
      <c r="H4" s="94">
        <f>IF(B$17=0,0,G4/B$17)</f>
        <v>0.5</v>
      </c>
      <c r="I4" s="56">
        <v>19</v>
      </c>
      <c r="K4" s="5">
        <v>2</v>
      </c>
      <c r="L4" s="61">
        <v>145.19999999999999</v>
      </c>
      <c r="N4" s="76" t="s">
        <v>105</v>
      </c>
      <c r="O4" s="83">
        <f t="shared" si="0"/>
        <v>422.22222222222223</v>
      </c>
      <c r="P4" s="80">
        <v>9</v>
      </c>
      <c r="Q4" s="64">
        <v>3800</v>
      </c>
    </row>
    <row r="5" spans="1:17">
      <c r="A5" s="19" t="s">
        <v>7</v>
      </c>
      <c r="B5" s="126">
        <f>IF(B$2=0,0,B$4/B$2)</f>
        <v>10.64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0.4375</v>
      </c>
      <c r="I5" s="56">
        <v>23</v>
      </c>
      <c r="K5" s="5">
        <v>3</v>
      </c>
      <c r="L5" s="61">
        <v>204.6</v>
      </c>
      <c r="N5" s="76" t="s">
        <v>157</v>
      </c>
      <c r="O5" s="83">
        <f>IF(P5=0,0,Q5/P5)</f>
        <v>1455.5555555555557</v>
      </c>
      <c r="P5" s="80">
        <v>9</v>
      </c>
      <c r="Q5" s="64">
        <v>13100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0.375</v>
      </c>
      <c r="I6" s="56">
        <v>10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1742.8571428571429</v>
      </c>
      <c r="P6" s="80">
        <v>7</v>
      </c>
      <c r="Q6" s="64">
        <v>12200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59</v>
      </c>
      <c r="F7" s="30" t="s">
        <v>23</v>
      </c>
      <c r="G7" s="13">
        <v>5</v>
      </c>
      <c r="H7" s="94">
        <f>IF(B$17=0,0,G7/B$17)</f>
        <v>0.3125</v>
      </c>
      <c r="I7" s="56">
        <v>4</v>
      </c>
      <c r="K7" s="5">
        <v>5</v>
      </c>
      <c r="L7" s="61">
        <v>154.19999999999999</v>
      </c>
      <c r="N7" s="76" t="s">
        <v>107</v>
      </c>
      <c r="O7" s="83">
        <f t="shared" si="0"/>
        <v>840</v>
      </c>
      <c r="P7" s="80">
        <v>5</v>
      </c>
      <c r="Q7" s="64">
        <v>4200</v>
      </c>
    </row>
    <row r="8" spans="1:17">
      <c r="A8" s="19" t="s">
        <v>3</v>
      </c>
      <c r="B8" s="13">
        <v>4</v>
      </c>
      <c r="C8" s="6">
        <f>IF(B$2=0,0,B8/B$2)</f>
        <v>0.4</v>
      </c>
      <c r="E8" s="33" t="s">
        <v>57</v>
      </c>
      <c r="F8" s="30" t="s">
        <v>21</v>
      </c>
      <c r="G8" s="13">
        <v>4</v>
      </c>
      <c r="H8" s="94">
        <f>IF(B$17=0,0,G8/B$17)</f>
        <v>0.25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182</v>
      </c>
      <c r="F9" s="30" t="s">
        <v>19</v>
      </c>
      <c r="G9" s="13">
        <v>3</v>
      </c>
      <c r="H9" s="94">
        <f>IF(B$17=0,0,G9/B$17)</f>
        <v>0.1875</v>
      </c>
      <c r="I9" s="56">
        <v>9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55</v>
      </c>
      <c r="F10" s="30" t="s">
        <v>155</v>
      </c>
      <c r="G10" s="13">
        <v>3</v>
      </c>
      <c r="H10" s="94">
        <f>IF(B$17=0,0,G10/B$17)</f>
        <v>0.1875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0.7</v>
      </c>
      <c r="E11" s="33" t="s">
        <v>58</v>
      </c>
      <c r="F11" s="30" t="s">
        <v>22</v>
      </c>
      <c r="G11" s="13">
        <v>1</v>
      </c>
      <c r="H11" s="94">
        <f>IF(B$17=0,0,G11/B$17)</f>
        <v>6.25E-2</v>
      </c>
      <c r="I11" s="56">
        <v>17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6.25E-2</v>
      </c>
      <c r="I12" s="56">
        <v>7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16</v>
      </c>
      <c r="C13" s="11">
        <f>IF(B$3=0,0,B13/B$3)</f>
        <v>0.2318840579710145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-49.6</v>
      </c>
      <c r="P14" s="80">
        <v>2</v>
      </c>
      <c r="Q14" s="68">
        <v>-99.2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24.033333333333335</v>
      </c>
      <c r="P15" s="81">
        <v>3</v>
      </c>
      <c r="Q15" s="69">
        <v>72.100000000000009</v>
      </c>
    </row>
    <row r="16" spans="1:17">
      <c r="A16" s="18" t="s">
        <v>100</v>
      </c>
      <c r="B16" s="12">
        <f>B22</f>
        <v>5</v>
      </c>
      <c r="C16" s="4">
        <f>IF(B$14=0,0,B16/B$14)</f>
        <v>0.3125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0.2318840579710145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8.6956521739130432E-2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10</v>
      </c>
      <c r="N18" s="75" t="s">
        <v>169</v>
      </c>
      <c r="O18" s="85">
        <f t="shared" ref="O18:O31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63.800000000000011</v>
      </c>
      <c r="P19" s="80">
        <v>3</v>
      </c>
      <c r="Q19" s="68">
        <v>191.40000000000003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 t="shared" si="3"/>
        <v>55.85</v>
      </c>
      <c r="P20" s="80">
        <v>2</v>
      </c>
      <c r="Q20" s="68">
        <v>111.7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269</v>
      </c>
      <c r="O21" s="86">
        <f t="shared" si="3"/>
        <v>48.4</v>
      </c>
      <c r="P21" s="80">
        <v>1</v>
      </c>
      <c r="Q21" s="68">
        <v>48.4</v>
      </c>
    </row>
    <row r="22" spans="1:17">
      <c r="A22" s="19" t="s">
        <v>149</v>
      </c>
      <c r="B22" s="13">
        <v>5</v>
      </c>
      <c r="C22" s="6">
        <f>IF(B$17=0,0,B22/B$17)</f>
        <v>0.3125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46.175000000000011</v>
      </c>
      <c r="P22" s="80">
        <v>4</v>
      </c>
      <c r="Q22" s="68">
        <v>184.70000000000005</v>
      </c>
    </row>
    <row r="23" spans="1:17">
      <c r="A23" s="19" t="s">
        <v>150</v>
      </c>
      <c r="B23" s="13">
        <v>3</v>
      </c>
      <c r="C23" s="6">
        <f>IF(B$17=0,0,B23/B$17)</f>
        <v>0.1875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244</v>
      </c>
      <c r="O23" s="86">
        <f t="shared" si="3"/>
        <v>37.549999999999997</v>
      </c>
      <c r="P23" s="80">
        <v>2</v>
      </c>
      <c r="Q23" s="68">
        <v>75.099999999999994</v>
      </c>
    </row>
    <row r="24" spans="1:17">
      <c r="A24" s="19" t="s">
        <v>5</v>
      </c>
      <c r="B24" s="16">
        <f>IF(B$17=0,0,C24/B$17)</f>
        <v>7212.5</v>
      </c>
      <c r="C24" s="8">
        <v>115400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7.6</v>
      </c>
      <c r="P24" s="80">
        <v>2</v>
      </c>
      <c r="Q24" s="68">
        <v>15.2</v>
      </c>
    </row>
    <row r="25" spans="1:17">
      <c r="A25" s="20" t="s">
        <v>133</v>
      </c>
      <c r="B25" s="97">
        <f>IF($B$17-B$16=0,0,C25/($B$17-B$16))</f>
        <v>8681.818181818182</v>
      </c>
      <c r="C25" s="98">
        <v>95500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258</v>
      </c>
      <c r="O25" s="86">
        <f t="shared" si="3"/>
        <v>3.1250000000000022</v>
      </c>
      <c r="P25" s="80">
        <v>4</v>
      </c>
      <c r="Q25" s="68">
        <v>12.500000000000009</v>
      </c>
    </row>
    <row r="26" spans="1:17">
      <c r="A26" s="20" t="s">
        <v>134</v>
      </c>
      <c r="B26" s="97">
        <f>IF(B$16=0,0,C26/B$16)</f>
        <v>3980</v>
      </c>
      <c r="C26" s="98">
        <v>19900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228</v>
      </c>
      <c r="O26" s="86">
        <f t="shared" si="3"/>
        <v>-5.8999999999999995</v>
      </c>
      <c r="P26" s="80">
        <v>2</v>
      </c>
      <c r="Q26" s="68">
        <v>-11.799999999999999</v>
      </c>
    </row>
    <row r="27" spans="1:17">
      <c r="A27" s="20" t="s">
        <v>132</v>
      </c>
      <c r="B27" s="97">
        <f>IF(B$18=0,0,C27/B$18)</f>
        <v>-7600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-10.149999999999999</v>
      </c>
      <c r="P27" s="80">
        <v>2</v>
      </c>
      <c r="Q27" s="68">
        <v>-20.299999999999997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265</v>
      </c>
      <c r="O28" s="86">
        <f t="shared" si="3"/>
        <v>-55.45</v>
      </c>
      <c r="P28" s="80">
        <v>2</v>
      </c>
      <c r="Q28" s="68">
        <v>-110.9</v>
      </c>
    </row>
    <row r="29" spans="1:17">
      <c r="A29" s="19" t="s">
        <v>131</v>
      </c>
      <c r="B29" s="13">
        <v>18</v>
      </c>
      <c r="C29" s="96">
        <v>18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195</v>
      </c>
      <c r="O29" s="86">
        <f t="shared" si="3"/>
        <v>-72.7</v>
      </c>
      <c r="P29" s="80">
        <v>1</v>
      </c>
      <c r="Q29" s="68">
        <v>-72.7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 t="shared" si="3"/>
        <v>-110.7</v>
      </c>
      <c r="P30" s="80">
        <v>1</v>
      </c>
      <c r="Q30" s="68">
        <v>-110.7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-116</v>
      </c>
      <c r="P31" s="80">
        <v>1</v>
      </c>
      <c r="Q31" s="68">
        <v>-116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28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31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30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6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1725</v>
      </c>
      <c r="P2" s="79">
        <v>12</v>
      </c>
      <c r="Q2" s="63">
        <v>20700</v>
      </c>
    </row>
    <row r="3" spans="1:17">
      <c r="A3" s="19" t="s">
        <v>8</v>
      </c>
      <c r="B3" s="122">
        <v>82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-45.8</v>
      </c>
      <c r="N3" s="76" t="s">
        <v>104</v>
      </c>
      <c r="O3" s="83">
        <f t="shared" si="0"/>
        <v>-325</v>
      </c>
      <c r="P3" s="80">
        <v>12</v>
      </c>
      <c r="Q3" s="64">
        <v>-3900</v>
      </c>
    </row>
    <row r="4" spans="1:17">
      <c r="A4" s="19" t="s">
        <v>6</v>
      </c>
      <c r="B4" s="124">
        <v>133.9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0.47619047619047616</v>
      </c>
      <c r="I4" s="56">
        <v>12</v>
      </c>
      <c r="K4" s="5">
        <v>2</v>
      </c>
      <c r="L4" s="61">
        <v>24.700000000000003</v>
      </c>
      <c r="N4" s="76" t="s">
        <v>105</v>
      </c>
      <c r="O4" s="83">
        <f t="shared" si="0"/>
        <v>483.33333333333331</v>
      </c>
      <c r="P4" s="80">
        <v>12</v>
      </c>
      <c r="Q4" s="64">
        <v>5800</v>
      </c>
    </row>
    <row r="5" spans="1:17">
      <c r="A5" s="19" t="s">
        <v>7</v>
      </c>
      <c r="B5" s="126">
        <f>IF(B$2=0,0,B$4/B$2)</f>
        <v>11.158333333333333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0.47619047619047616</v>
      </c>
      <c r="I5" s="56">
        <v>16</v>
      </c>
      <c r="K5" s="5">
        <v>3</v>
      </c>
      <c r="L5" s="61">
        <v>27.400000000000002</v>
      </c>
      <c r="N5" s="76" t="s">
        <v>157</v>
      </c>
      <c r="O5" s="83">
        <f>IF(P5=0,0,Q5/P5)</f>
        <v>-1675</v>
      </c>
      <c r="P5" s="80">
        <v>12</v>
      </c>
      <c r="Q5" s="64">
        <v>-20100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17</v>
      </c>
      <c r="K6" s="5">
        <v>4</v>
      </c>
      <c r="L6" s="61">
        <v>78.2</v>
      </c>
      <c r="N6" s="76" t="s">
        <v>106</v>
      </c>
      <c r="O6" s="83">
        <f t="shared" ref="O6" si="1">IF(P6=0,0,Q6/P6)</f>
        <v>100</v>
      </c>
      <c r="P6" s="80">
        <v>8</v>
      </c>
      <c r="Q6" s="64">
        <v>800</v>
      </c>
    </row>
    <row r="7" spans="1:17">
      <c r="A7" s="19" t="s">
        <v>2</v>
      </c>
      <c r="B7" s="13">
        <v>5</v>
      </c>
      <c r="C7" s="6">
        <f t="shared" ref="C7:C12" si="2">IF(B$2=0,0,B7/B$2)</f>
        <v>0.41666666666666669</v>
      </c>
      <c r="E7" s="33" t="s">
        <v>55</v>
      </c>
      <c r="F7" s="30" t="s">
        <v>155</v>
      </c>
      <c r="G7" s="13">
        <v>3</v>
      </c>
      <c r="H7" s="94">
        <f>IF(B$17=0,0,G7/B$17)</f>
        <v>0.14285714285714285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2250</v>
      </c>
      <c r="P7" s="80">
        <v>4</v>
      </c>
      <c r="Q7" s="64">
        <v>9000</v>
      </c>
    </row>
    <row r="8" spans="1:17">
      <c r="A8" s="19" t="s">
        <v>3</v>
      </c>
      <c r="B8" s="13">
        <v>3</v>
      </c>
      <c r="C8" s="6">
        <f>IF(B$2=0,0,B8/B$2)</f>
        <v>0.25</v>
      </c>
      <c r="E8" s="33" t="s">
        <v>58</v>
      </c>
      <c r="F8" s="30" t="s">
        <v>22</v>
      </c>
      <c r="G8" s="13">
        <v>3</v>
      </c>
      <c r="H8" s="94">
        <f>IF(B$17=0,0,G8/B$17)</f>
        <v>0.14285714285714285</v>
      </c>
      <c r="I8" s="56">
        <v>4</v>
      </c>
      <c r="K8" s="5">
        <v>6</v>
      </c>
      <c r="L8" s="61">
        <v>94.100000000000009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1</v>
      </c>
      <c r="C9" s="7">
        <f>IF(B$2=0,0,B9/B$2)</f>
        <v>8.3333333333333329E-2</v>
      </c>
      <c r="E9" s="33" t="s">
        <v>57</v>
      </c>
      <c r="F9" s="30" t="s">
        <v>21</v>
      </c>
      <c r="G9" s="13">
        <v>2</v>
      </c>
      <c r="H9" s="94">
        <f>IF(B$17=0,0,G9/B$17)</f>
        <v>9.5238095238095233E-2</v>
      </c>
      <c r="I9" s="56">
        <v>31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59</v>
      </c>
      <c r="F10" s="30" t="s">
        <v>23</v>
      </c>
      <c r="G10" s="13">
        <v>2</v>
      </c>
      <c r="H10" s="94">
        <f>IF(B$17=0,0,G10/B$17)</f>
        <v>9.5238095238095233E-2</v>
      </c>
      <c r="I10" s="56">
        <v>18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0.66666666666666663</v>
      </c>
      <c r="E11" s="33" t="s">
        <v>183</v>
      </c>
      <c r="F11" s="30" t="s">
        <v>186</v>
      </c>
      <c r="G11" s="13">
        <v>1</v>
      </c>
      <c r="H11" s="94">
        <f>IF(B$17=0,0,G11/B$17)</f>
        <v>4.7619047619047616E-2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19</v>
      </c>
      <c r="C13" s="11">
        <f>IF(B$3=0,0,B13/B$3)</f>
        <v>0.23170731707317074</v>
      </c>
      <c r="E13" s="33" t="s">
        <v>182</v>
      </c>
      <c r="F13" s="30" t="s">
        <v>19</v>
      </c>
      <c r="G13" s="13">
        <v>0</v>
      </c>
      <c r="H13" s="94">
        <f>IF(B$17=0,0,G13/B$17)</f>
        <v>0</v>
      </c>
      <c r="I13" s="56">
        <v>27</v>
      </c>
      <c r="K13" s="5">
        <v>11</v>
      </c>
      <c r="L13" s="61">
        <v>184.8</v>
      </c>
      <c r="N13" s="76" t="s">
        <v>127</v>
      </c>
      <c r="O13" s="86">
        <f>IF(P13=0,0,Q13/P13)</f>
        <v>11.500000000000004</v>
      </c>
      <c r="P13" s="80">
        <v>2</v>
      </c>
      <c r="Q13" s="68">
        <v>23.000000000000007</v>
      </c>
    </row>
    <row r="14" spans="1:17">
      <c r="A14" s="19" t="s">
        <v>94</v>
      </c>
      <c r="B14" s="13">
        <v>16</v>
      </c>
      <c r="C14" s="6">
        <f>IF(B$3=0,0,B14/B$3)</f>
        <v>0.1951219512195122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15.566666666666668</v>
      </c>
      <c r="P14" s="80">
        <v>3</v>
      </c>
      <c r="Q14" s="68">
        <v>46.7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-26.8</v>
      </c>
      <c r="P15" s="81">
        <v>3</v>
      </c>
      <c r="Q15" s="69">
        <v>-80.400000000000006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0.625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0.25609756097560976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8.5365853658536592E-2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10</v>
      </c>
      <c r="N19" s="76" t="s">
        <v>269</v>
      </c>
      <c r="O19" s="86">
        <f>IF(P19=0,0,Q19/P19)</f>
        <v>77.624999999999986</v>
      </c>
      <c r="P19" s="80">
        <v>4</v>
      </c>
      <c r="Q19" s="68">
        <v>310.49999999999994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255</v>
      </c>
      <c r="O20" s="86">
        <f>IF(P20=0,0,Q20/P20)</f>
        <v>55.45</v>
      </c>
      <c r="P20" s="80">
        <v>2</v>
      </c>
      <c r="Q20" s="68">
        <v>110.9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277</v>
      </c>
      <c r="O21" s="86">
        <f>IF(P21=0,0,Q21/P21)</f>
        <v>47</v>
      </c>
      <c r="P21" s="80">
        <v>4</v>
      </c>
      <c r="Q21" s="68">
        <v>188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235</v>
      </c>
      <c r="O22" s="86">
        <f>IF(P22=0,0,Q22/P22)</f>
        <v>34.949999999999996</v>
      </c>
      <c r="P22" s="80">
        <v>2</v>
      </c>
      <c r="Q22" s="68">
        <v>69.899999999999991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>IF(P23=0,0,Q23/P23)</f>
        <v>22.333333333333332</v>
      </c>
      <c r="P23" s="80">
        <v>3</v>
      </c>
      <c r="Q23" s="68">
        <v>67</v>
      </c>
    </row>
    <row r="24" spans="1:17">
      <c r="A24" s="19" t="s">
        <v>5</v>
      </c>
      <c r="B24" s="16">
        <f>IF(B$17=0,0,C24/B$17)</f>
        <v>5528.5714285714284</v>
      </c>
      <c r="C24" s="8">
        <v>116100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>IF(P24=0,0,Q24/P24)</f>
        <v>20.099999999999998</v>
      </c>
      <c r="P24" s="80">
        <v>1</v>
      </c>
      <c r="Q24" s="68">
        <v>20.099999999999998</v>
      </c>
    </row>
    <row r="25" spans="1:17">
      <c r="A25" s="20" t="s">
        <v>133</v>
      </c>
      <c r="B25" s="97">
        <f>IF($B$17-B$16=0,0,C25/($B$17-B$16))</f>
        <v>8036.363636363636</v>
      </c>
      <c r="C25" s="98">
        <v>88400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262</v>
      </c>
      <c r="O25" s="86">
        <f>IF(P25=0,0,Q25/P25)</f>
        <v>18.400000000000002</v>
      </c>
      <c r="P25" s="80">
        <v>2</v>
      </c>
      <c r="Q25" s="68">
        <v>36.800000000000004</v>
      </c>
    </row>
    <row r="26" spans="1:17">
      <c r="A26" s="20" t="s">
        <v>134</v>
      </c>
      <c r="B26" s="97">
        <f>IF(B$16=0,0,C26/B$16)</f>
        <v>2770</v>
      </c>
      <c r="C26" s="98">
        <v>27700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5.76</v>
      </c>
      <c r="P26" s="80">
        <v>5</v>
      </c>
      <c r="Q26" s="68">
        <v>28.8</v>
      </c>
    </row>
    <row r="27" spans="1:17">
      <c r="A27" s="20" t="s">
        <v>132</v>
      </c>
      <c r="B27" s="97">
        <f>IF(B$18=0,0,C27/B$18)</f>
        <v>-6157.1428571428569</v>
      </c>
      <c r="C27" s="98">
        <v>-43100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263</v>
      </c>
      <c r="O27" s="86">
        <f>IF(P27=0,0,Q27/P27)</f>
        <v>-5.6399999999999961</v>
      </c>
      <c r="P27" s="80">
        <v>5</v>
      </c>
      <c r="Q27" s="68">
        <v>-28.199999999999982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264</v>
      </c>
      <c r="O28" s="86">
        <f>IF(P28=0,0,Q28/P28)</f>
        <v>-29.150000000000006</v>
      </c>
      <c r="P28" s="80">
        <v>2</v>
      </c>
      <c r="Q28" s="68">
        <v>-58.300000000000011</v>
      </c>
    </row>
    <row r="29" spans="1:17">
      <c r="A29" s="19" t="s">
        <v>131</v>
      </c>
      <c r="B29" s="13">
        <v>21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276</v>
      </c>
      <c r="O29" s="86">
        <f>IF(P29=0,0,Q29/P29)</f>
        <v>-33</v>
      </c>
      <c r="P29" s="80">
        <v>2</v>
      </c>
      <c r="Q29" s="68">
        <v>-66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268</v>
      </c>
      <c r="O30" s="86">
        <f>IF(P30=0,0,Q30/P30)</f>
        <v>-49.4</v>
      </c>
      <c r="P30" s="80">
        <v>1</v>
      </c>
      <c r="Q30" s="68">
        <v>-49.4</v>
      </c>
    </row>
    <row r="31" spans="1:17">
      <c r="A31" s="22" t="s">
        <v>148</v>
      </c>
      <c r="B31" s="116">
        <v>53900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>IF(P31=0,0,Q31/P31)</f>
        <v>-68.8</v>
      </c>
      <c r="P31" s="80">
        <v>1</v>
      </c>
      <c r="Q31" s="68">
        <v>-68.8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>IF(P32=0,0,Q32/P32)</f>
        <v>-99.8</v>
      </c>
      <c r="P32" s="80">
        <v>1</v>
      </c>
      <c r="Q32" s="68">
        <v>-99.8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0.19047619047619047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9.5238095238095233E-2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23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16</v>
      </c>
      <c r="H2" s="93">
        <f>IF(B$17=0,0,G2/B$17)</f>
        <v>0.53333333333333333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-50</v>
      </c>
      <c r="P2" s="79">
        <v>14</v>
      </c>
      <c r="Q2" s="63">
        <v>-700</v>
      </c>
    </row>
    <row r="3" spans="1:17">
      <c r="A3" s="19" t="s">
        <v>8</v>
      </c>
      <c r="B3" s="122">
        <v>109</v>
      </c>
      <c r="C3" s="123"/>
      <c r="E3" s="33" t="s">
        <v>184</v>
      </c>
      <c r="F3" s="30" t="s">
        <v>187</v>
      </c>
      <c r="G3" s="13">
        <v>14</v>
      </c>
      <c r="H3" s="94">
        <f>IF(B$17=0,0,G3/B$17)</f>
        <v>0.46666666666666667</v>
      </c>
      <c r="I3" s="56">
        <v>18</v>
      </c>
      <c r="K3" s="5">
        <v>1</v>
      </c>
      <c r="L3" s="61">
        <v>10.3</v>
      </c>
      <c r="N3" s="76" t="s">
        <v>104</v>
      </c>
      <c r="O3" s="83">
        <f t="shared" si="0"/>
        <v>1107.1428571428571</v>
      </c>
      <c r="P3" s="80">
        <v>14</v>
      </c>
      <c r="Q3" s="64">
        <v>15500</v>
      </c>
    </row>
    <row r="4" spans="1:17">
      <c r="A4" s="19" t="s">
        <v>6</v>
      </c>
      <c r="B4" s="124">
        <v>88.199999999999989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0.36666666666666664</v>
      </c>
      <c r="I4" s="56">
        <v>21</v>
      </c>
      <c r="K4" s="5">
        <v>2</v>
      </c>
      <c r="L4" s="61">
        <v>-11.7</v>
      </c>
      <c r="N4" s="76" t="s">
        <v>105</v>
      </c>
      <c r="O4" s="83">
        <f t="shared" si="0"/>
        <v>-492.85714285714283</v>
      </c>
      <c r="P4" s="80">
        <v>14</v>
      </c>
      <c r="Q4" s="64">
        <v>-6900</v>
      </c>
    </row>
    <row r="5" spans="1:17">
      <c r="A5" s="19" t="s">
        <v>7</v>
      </c>
      <c r="B5" s="126">
        <f>IF(B$2=0,0,B$4/B$2)</f>
        <v>6.2999999999999989</v>
      </c>
      <c r="C5" s="127"/>
      <c r="E5" s="33" t="s">
        <v>55</v>
      </c>
      <c r="F5" s="30" t="s">
        <v>155</v>
      </c>
      <c r="G5" s="13">
        <v>7</v>
      </c>
      <c r="H5" s="94">
        <f>IF(B$17=0,0,G5/B$17)</f>
        <v>0.23333333333333334</v>
      </c>
      <c r="I5" s="56">
        <v>19</v>
      </c>
      <c r="K5" s="5">
        <v>3</v>
      </c>
      <c r="L5" s="61">
        <v>-4.8999999999999995</v>
      </c>
      <c r="N5" s="76" t="s">
        <v>157</v>
      </c>
      <c r="O5" s="83">
        <f>IF(P5=0,0,Q5/P5)</f>
        <v>908.33333333333337</v>
      </c>
      <c r="P5" s="80">
        <v>12</v>
      </c>
      <c r="Q5" s="64">
        <v>10900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0.23333333333333334</v>
      </c>
      <c r="I6" s="56">
        <v>28</v>
      </c>
      <c r="K6" s="5">
        <v>4</v>
      </c>
      <c r="L6" s="61">
        <v>43.2</v>
      </c>
      <c r="N6" s="76" t="s">
        <v>106</v>
      </c>
      <c r="O6" s="83">
        <f t="shared" ref="O6" si="1">IF(P6=0,0,Q6/P6)</f>
        <v>1427.2727272727273</v>
      </c>
      <c r="P6" s="80">
        <v>11</v>
      </c>
      <c r="Q6" s="64">
        <v>15700</v>
      </c>
    </row>
    <row r="7" spans="1:17">
      <c r="A7" s="19" t="s">
        <v>2</v>
      </c>
      <c r="B7" s="13">
        <v>4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7</v>
      </c>
      <c r="H7" s="94">
        <f>IF(B$17=0,0,G7/B$17)</f>
        <v>0.23333333333333334</v>
      </c>
      <c r="I7" s="56">
        <v>21</v>
      </c>
      <c r="K7" s="5">
        <v>5</v>
      </c>
      <c r="L7" s="61">
        <v>26.900000000000002</v>
      </c>
      <c r="N7" s="76" t="s">
        <v>107</v>
      </c>
      <c r="O7" s="83">
        <f t="shared" si="0"/>
        <v>277.77777777777777</v>
      </c>
      <c r="P7" s="80">
        <v>9</v>
      </c>
      <c r="Q7" s="64">
        <v>2500</v>
      </c>
    </row>
    <row r="8" spans="1:17">
      <c r="A8" s="19" t="s">
        <v>3</v>
      </c>
      <c r="B8" s="13">
        <v>4</v>
      </c>
      <c r="C8" s="6">
        <f>IF(B$2=0,0,B8/B$2)</f>
        <v>0.2857142857142857</v>
      </c>
      <c r="E8" s="33" t="s">
        <v>182</v>
      </c>
      <c r="F8" s="30" t="s">
        <v>19</v>
      </c>
      <c r="G8" s="13">
        <v>5</v>
      </c>
      <c r="H8" s="94">
        <f>IF(B$17=0,0,G8/B$17)</f>
        <v>0.16666666666666666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-2950</v>
      </c>
      <c r="P8" s="80">
        <v>6</v>
      </c>
      <c r="Q8" s="64">
        <v>-17700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59</v>
      </c>
      <c r="F9" s="30" t="s">
        <v>23</v>
      </c>
      <c r="G9" s="13">
        <v>5</v>
      </c>
      <c r="H9" s="94">
        <f>IF(B$17=0,0,G9/B$17)</f>
        <v>0.16666666666666666</v>
      </c>
      <c r="I9" s="56">
        <v>16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0.14285714285714285</v>
      </c>
      <c r="E10" s="33" t="s">
        <v>54</v>
      </c>
      <c r="F10" s="30" t="s">
        <v>20</v>
      </c>
      <c r="G10" s="13">
        <v>4</v>
      </c>
      <c r="H10" s="94">
        <f>IF(B$17=0,0,G10/B$17)</f>
        <v>0.13333333333333333</v>
      </c>
      <c r="I10" s="56">
        <v>33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183</v>
      </c>
      <c r="F11" s="30" t="s">
        <v>186</v>
      </c>
      <c r="G11" s="13">
        <v>2</v>
      </c>
      <c r="H11" s="94">
        <f>IF(B$17=0,0,G11/B$17)</f>
        <v>6.6666666666666666E-2</v>
      </c>
      <c r="I11" s="56">
        <v>6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3.3333333333333333E-2</v>
      </c>
      <c r="I12" s="56">
        <v>13</v>
      </c>
      <c r="K12" s="5">
        <v>10</v>
      </c>
      <c r="L12" s="61">
        <v>9.6999999999999886</v>
      </c>
      <c r="N12" s="75" t="s">
        <v>126</v>
      </c>
      <c r="O12" s="85">
        <f>IF(P12=0,0,Q12/P12)</f>
        <v>6.7428571428571411</v>
      </c>
      <c r="P12" s="79">
        <v>7</v>
      </c>
      <c r="Q12" s="67">
        <v>47.199999999999989</v>
      </c>
    </row>
    <row r="13" spans="1:17">
      <c r="A13" s="22" t="s">
        <v>97</v>
      </c>
      <c r="B13" s="15">
        <v>23</v>
      </c>
      <c r="C13" s="11">
        <f>IF(B$3=0,0,B13/B$3)</f>
        <v>0.21100917431192662</v>
      </c>
      <c r="E13" s="33" t="s">
        <v>77</v>
      </c>
      <c r="F13" s="30" t="s">
        <v>41</v>
      </c>
      <c r="G13" s="13">
        <v>1</v>
      </c>
      <c r="H13" s="94">
        <f>IF(B$17=0,0,G13/B$17)</f>
        <v>3.3333333333333333E-2</v>
      </c>
      <c r="I13" s="56">
        <v>13</v>
      </c>
      <c r="K13" s="5">
        <v>11</v>
      </c>
      <c r="L13" s="61">
        <v>13.699999999999989</v>
      </c>
      <c r="N13" s="76" t="s">
        <v>127</v>
      </c>
      <c r="O13" s="86">
        <f>IF(P13=0,0,Q13/P13)</f>
        <v>15.366666666666665</v>
      </c>
      <c r="P13" s="80">
        <v>3</v>
      </c>
      <c r="Q13" s="68">
        <v>46.099999999999994</v>
      </c>
    </row>
    <row r="14" spans="1:17">
      <c r="A14" s="19" t="s">
        <v>94</v>
      </c>
      <c r="B14" s="13">
        <v>29</v>
      </c>
      <c r="C14" s="6">
        <f>IF(B$3=0,0,B14/B$3)</f>
        <v>0.26605504587155965</v>
      </c>
      <c r="E14" s="33" t="s">
        <v>78</v>
      </c>
      <c r="F14" s="30" t="s">
        <v>42</v>
      </c>
      <c r="G14" s="13">
        <v>1</v>
      </c>
      <c r="H14" s="94">
        <f>IF(B$17=0,0,G14/B$17)</f>
        <v>3.3333333333333333E-2</v>
      </c>
      <c r="I14" s="56">
        <v>4</v>
      </c>
      <c r="K14" s="5">
        <v>12</v>
      </c>
      <c r="L14" s="61">
        <v>-33.300000000000011</v>
      </c>
      <c r="N14" s="76" t="s">
        <v>128</v>
      </c>
      <c r="O14" s="86">
        <f>IF(P14=0,0,Q14/P14)</f>
        <v>-9.2999999999999989</v>
      </c>
      <c r="P14" s="80">
        <v>2</v>
      </c>
      <c r="Q14" s="68">
        <v>-18.599999999999998</v>
      </c>
    </row>
    <row r="15" spans="1:17">
      <c r="A15" s="18" t="s">
        <v>99</v>
      </c>
      <c r="B15" s="12">
        <f>B21</f>
        <v>16</v>
      </c>
      <c r="C15" s="4">
        <f>IF(B$13=0,0,B15/B$13)</f>
        <v>0.69565217391304346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24</v>
      </c>
      <c r="K15" s="5">
        <v>13</v>
      </c>
      <c r="L15" s="61">
        <v>27.699999999999989</v>
      </c>
      <c r="N15" s="77" t="s">
        <v>159</v>
      </c>
      <c r="O15" s="87">
        <f>IF(P15=0,0,Q15/P15)</f>
        <v>6.75</v>
      </c>
      <c r="P15" s="81">
        <v>2</v>
      </c>
      <c r="Q15" s="69">
        <v>13.5</v>
      </c>
    </row>
    <row r="16" spans="1:17">
      <c r="A16" s="18" t="s">
        <v>100</v>
      </c>
      <c r="B16" s="12">
        <f>B22</f>
        <v>13</v>
      </c>
      <c r="C16" s="4">
        <f>IF(B$14=0,0,B16/B$14)</f>
        <v>0.44827586206896552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0.27522935779816515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0.11009174311926606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277</v>
      </c>
      <c r="O18" s="85">
        <f>IF(P18=0,0,Q18/P18)</f>
        <v>58.233333333333327</v>
      </c>
      <c r="P18" s="79">
        <v>3</v>
      </c>
      <c r="Q18" s="67">
        <v>174.7</v>
      </c>
    </row>
    <row r="19" spans="1:17">
      <c r="A19" s="19" t="s">
        <v>12</v>
      </c>
      <c r="B19" s="13">
        <v>8</v>
      </c>
      <c r="C19" s="6">
        <f>IF(B$17=0,0,B19/B$17)</f>
        <v>0.26666666666666666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244</v>
      </c>
      <c r="O19" s="86">
        <f>IF(P19=0,0,Q19/P19)</f>
        <v>37.65</v>
      </c>
      <c r="P19" s="80">
        <v>2</v>
      </c>
      <c r="Q19" s="68">
        <v>75.3</v>
      </c>
    </row>
    <row r="20" spans="1:17">
      <c r="A20" s="19" t="s">
        <v>11</v>
      </c>
      <c r="B20" s="13">
        <v>22</v>
      </c>
      <c r="C20" s="6">
        <f>IF(B$17=0,0,B20/B$17)</f>
        <v>0.73333333333333328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16</v>
      </c>
      <c r="C21" s="6">
        <f>IF(B$17=0,0,B21/B$17)</f>
        <v>0.53333333333333333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10</v>
      </c>
      <c r="N21" s="76" t="s">
        <v>269</v>
      </c>
      <c r="O21" s="86">
        <f>IF(P21=0,0,Q21/P21)</f>
        <v>30</v>
      </c>
      <c r="P21" s="80">
        <v>1</v>
      </c>
      <c r="Q21" s="68">
        <v>30</v>
      </c>
    </row>
    <row r="22" spans="1:17">
      <c r="A22" s="19" t="s">
        <v>149</v>
      </c>
      <c r="B22" s="13">
        <v>13</v>
      </c>
      <c r="C22" s="6">
        <f>IF(B$17=0,0,B22/B$17)</f>
        <v>0.43333333333333335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8</v>
      </c>
      <c r="N22" s="76" t="s">
        <v>235</v>
      </c>
      <c r="O22" s="86">
        <f>IF(P22=0,0,Q22/P22)</f>
        <v>20.3</v>
      </c>
      <c r="P22" s="80">
        <v>5</v>
      </c>
      <c r="Q22" s="68">
        <v>101.5</v>
      </c>
    </row>
    <row r="23" spans="1:17">
      <c r="A23" s="19" t="s">
        <v>150</v>
      </c>
      <c r="B23" s="13">
        <v>1</v>
      </c>
      <c r="C23" s="6">
        <f>IF(B$17=0,0,B23/B$17)</f>
        <v>3.3333333333333333E-2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262</v>
      </c>
      <c r="O23" s="86">
        <f>IF(P23=0,0,Q23/P23)</f>
        <v>18.100000000000001</v>
      </c>
      <c r="P23" s="80">
        <v>3</v>
      </c>
      <c r="Q23" s="68">
        <v>54.300000000000004</v>
      </c>
    </row>
    <row r="24" spans="1:17">
      <c r="A24" s="19" t="s">
        <v>5</v>
      </c>
      <c r="B24" s="16">
        <f>IF(B$17=0,0,C24/B$17)</f>
        <v>5310</v>
      </c>
      <c r="C24" s="8">
        <v>159300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195</v>
      </c>
      <c r="O24" s="86">
        <f>IF(P24=0,0,Q24/P24)</f>
        <v>11.95</v>
      </c>
      <c r="P24" s="80">
        <v>2</v>
      </c>
      <c r="Q24" s="68">
        <v>23.9</v>
      </c>
    </row>
    <row r="25" spans="1:17">
      <c r="A25" s="20" t="s">
        <v>133</v>
      </c>
      <c r="B25" s="97">
        <f>IF($B$17-B$16=0,0,C25/($B$17-B$16))</f>
        <v>7135.2941176470586</v>
      </c>
      <c r="C25" s="98">
        <v>121300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265</v>
      </c>
      <c r="O25" s="86">
        <f>IF(P25=0,0,Q25/P25)</f>
        <v>5.6399999999999961</v>
      </c>
      <c r="P25" s="80">
        <v>5</v>
      </c>
      <c r="Q25" s="68">
        <v>28.199999999999982</v>
      </c>
    </row>
    <row r="26" spans="1:17">
      <c r="A26" s="20" t="s">
        <v>134</v>
      </c>
      <c r="B26" s="97">
        <f>IF(B$16=0,0,C26/B$16)</f>
        <v>2923.0769230769229</v>
      </c>
      <c r="C26" s="98">
        <v>38000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>IF(P26=0,0,Q26/P26)</f>
        <v>5.2166666666666668</v>
      </c>
      <c r="P26" s="80">
        <v>6</v>
      </c>
      <c r="Q26" s="68">
        <v>31.3</v>
      </c>
    </row>
    <row r="27" spans="1:17">
      <c r="A27" s="20" t="s">
        <v>132</v>
      </c>
      <c r="B27" s="97">
        <f>IF(B$18=0,0,C27/B$18)</f>
        <v>-5441.666666666667</v>
      </c>
      <c r="C27" s="98">
        <v>-65300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228</v>
      </c>
      <c r="O27" s="86">
        <f>IF(P27=0,0,Q27/P27)</f>
        <v>-2.7499999999999964</v>
      </c>
      <c r="P27" s="80">
        <v>2</v>
      </c>
      <c r="Q27" s="68">
        <v>-5.4999999999999929</v>
      </c>
    </row>
    <row r="28" spans="1:17">
      <c r="A28" s="19" t="s">
        <v>130</v>
      </c>
      <c r="B28" s="13">
        <v>3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12</v>
      </c>
      <c r="N28" s="76" t="s">
        <v>169</v>
      </c>
      <c r="O28" s="86">
        <f>IF(P28=0,0,Q28/P28)</f>
        <v>-5.0500000000000007</v>
      </c>
      <c r="P28" s="80">
        <v>2</v>
      </c>
      <c r="Q28" s="68">
        <v>-10.100000000000001</v>
      </c>
    </row>
    <row r="29" spans="1:17">
      <c r="A29" s="19" t="s">
        <v>131</v>
      </c>
      <c r="B29" s="13">
        <v>30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255</v>
      </c>
      <c r="O29" s="86">
        <f>IF(P29=0,0,Q29/P29)</f>
        <v>-7.6000000000000014</v>
      </c>
      <c r="P29" s="80">
        <v>2</v>
      </c>
      <c r="Q29" s="68">
        <v>-15.200000000000003</v>
      </c>
    </row>
    <row r="30" spans="1:17">
      <c r="A30" s="52" t="s">
        <v>111</v>
      </c>
      <c r="B30" s="114">
        <v>2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>IF(P30=0,0,Q30/P30)</f>
        <v>-31.275000000000006</v>
      </c>
      <c r="P30" s="80">
        <v>4</v>
      </c>
      <c r="Q30" s="68">
        <v>-125.10000000000002</v>
      </c>
    </row>
    <row r="31" spans="1:17">
      <c r="A31" s="22" t="s">
        <v>148</v>
      </c>
      <c r="B31" s="116">
        <v>44100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264</v>
      </c>
      <c r="O31" s="86">
        <f>IF(P31=0,0,Q31/P31)</f>
        <v>-45.3</v>
      </c>
      <c r="P31" s="80">
        <v>1</v>
      </c>
      <c r="Q31" s="68">
        <v>-45.3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-57.9</v>
      </c>
      <c r="P32" s="80">
        <v>1</v>
      </c>
      <c r="Q32" s="68">
        <v>-57.9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0.23333333333333334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11</v>
      </c>
      <c r="C37" s="6">
        <f t="shared" si="3"/>
        <v>0.36666666666666664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3.3333333333333333E-2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3.3333333333333333E-2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3.3333333333333333E-2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26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10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-1828.5714285714287</v>
      </c>
      <c r="P2" s="79">
        <v>7</v>
      </c>
      <c r="Q2" s="63">
        <v>-12800</v>
      </c>
    </row>
    <row r="3" spans="1:17">
      <c r="A3" s="19" t="s">
        <v>8</v>
      </c>
      <c r="B3" s="122">
        <v>45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0.75</v>
      </c>
      <c r="I3" s="56">
        <v>6</v>
      </c>
      <c r="K3" s="5">
        <v>1</v>
      </c>
      <c r="L3" s="61">
        <v>-47.4</v>
      </c>
      <c r="N3" s="76" t="s">
        <v>104</v>
      </c>
      <c r="O3" s="83">
        <f t="shared" si="0"/>
        <v>-1500</v>
      </c>
      <c r="P3" s="80">
        <v>7</v>
      </c>
      <c r="Q3" s="64">
        <v>-10500</v>
      </c>
    </row>
    <row r="4" spans="1:17">
      <c r="A4" s="19" t="s">
        <v>6</v>
      </c>
      <c r="B4" s="124">
        <v>-263.40000000000003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-73.2</v>
      </c>
      <c r="N4" s="76" t="s">
        <v>105</v>
      </c>
      <c r="O4" s="83">
        <f t="shared" si="0"/>
        <v>-7200</v>
      </c>
      <c r="P4" s="80">
        <v>7</v>
      </c>
      <c r="Q4" s="64">
        <v>-50400</v>
      </c>
    </row>
    <row r="5" spans="1:17">
      <c r="A5" s="19" t="s">
        <v>7</v>
      </c>
      <c r="B5" s="126">
        <f>IF(B$2=0,0,B$4/B$2)</f>
        <v>-37.628571428571433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-90.1</v>
      </c>
      <c r="N5" s="76" t="s">
        <v>157</v>
      </c>
      <c r="O5" s="83">
        <f>IF(P5=0,0,Q5/P5)</f>
        <v>-1014.2857142857143</v>
      </c>
      <c r="P5" s="80">
        <v>7</v>
      </c>
      <c r="Q5" s="64">
        <v>-7100</v>
      </c>
    </row>
    <row r="6" spans="1:17">
      <c r="A6" s="19" t="s">
        <v>1</v>
      </c>
      <c r="B6" s="128">
        <f>IF(B$2=0,0,(B$7*1+B$8*2+B$9*3+B$10*4)/B$2)</f>
        <v>3.5714285714285716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750</v>
      </c>
      <c r="P6" s="80">
        <v>4</v>
      </c>
      <c r="Q6" s="64">
        <v>3000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0.25</v>
      </c>
      <c r="I7" s="56">
        <v>13</v>
      </c>
      <c r="K7" s="5">
        <v>5</v>
      </c>
      <c r="L7" s="61">
        <v>-164.8</v>
      </c>
      <c r="N7" s="76" t="s">
        <v>107</v>
      </c>
      <c r="O7" s="83">
        <f t="shared" si="0"/>
        <v>-200</v>
      </c>
      <c r="P7" s="80">
        <v>3</v>
      </c>
      <c r="Q7" s="64">
        <v>-600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1</v>
      </c>
      <c r="H8" s="94">
        <f>IF(B$17=0,0,G8/B$17)</f>
        <v>0.25</v>
      </c>
      <c r="I8" s="56">
        <v>14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58</v>
      </c>
      <c r="F9" s="30" t="s">
        <v>22</v>
      </c>
      <c r="G9" s="13">
        <v>1</v>
      </c>
      <c r="H9" s="94">
        <f>IF(B$17=0,0,G9/B$17)</f>
        <v>0.25</v>
      </c>
      <c r="I9" s="56">
        <v>1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0.5714285714285714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7</v>
      </c>
      <c r="C13" s="11">
        <f>IF(B$3=0,0,B13/B$3)</f>
        <v>0.15555555555555556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-37.25</v>
      </c>
      <c r="P13" s="80">
        <v>2</v>
      </c>
      <c r="Q13" s="68">
        <v>-74.5</v>
      </c>
    </row>
    <row r="14" spans="1:17">
      <c r="A14" s="19" t="s">
        <v>94</v>
      </c>
      <c r="B14" s="13">
        <v>6</v>
      </c>
      <c r="C14" s="6">
        <f>IF(B$3=0,0,B14/B$3)</f>
        <v>0.13333333333333333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0.42857142857142855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8.8888888888888892E-2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0.17777777777777778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9" si="3">IF(P18=0,0,Q18/P18)</f>
        <v>28.300000000000004</v>
      </c>
      <c r="P18" s="79">
        <v>1</v>
      </c>
      <c r="Q18" s="67">
        <v>28.300000000000004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 t="shared" si="3"/>
        <v>22.5</v>
      </c>
      <c r="P19" s="80">
        <v>1</v>
      </c>
      <c r="Q19" s="68">
        <v>22.5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 t="shared" si="3"/>
        <v>-17.833333333333336</v>
      </c>
      <c r="P20" s="80">
        <v>3</v>
      </c>
      <c r="Q20" s="68">
        <v>-53.500000000000007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-28.200000000000003</v>
      </c>
      <c r="P21" s="80">
        <v>1</v>
      </c>
      <c r="Q21" s="68">
        <v>-28.200000000000003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213</v>
      </c>
      <c r="O22" s="86">
        <f t="shared" si="3"/>
        <v>-30</v>
      </c>
      <c r="P22" s="80">
        <v>1</v>
      </c>
      <c r="Q22" s="68">
        <v>-30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263</v>
      </c>
      <c r="O23" s="86">
        <f t="shared" si="3"/>
        <v>-30</v>
      </c>
      <c r="P23" s="80">
        <v>1</v>
      </c>
      <c r="Q23" s="68">
        <v>-30</v>
      </c>
    </row>
    <row r="24" spans="1:17">
      <c r="A24" s="19" t="s">
        <v>5</v>
      </c>
      <c r="B24" s="16">
        <f>IF(B$17=0,0,C24/B$17)</f>
        <v>5650</v>
      </c>
      <c r="C24" s="8">
        <v>22600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-42.333333333333343</v>
      </c>
      <c r="P24" s="80">
        <v>3</v>
      </c>
      <c r="Q24" s="68">
        <v>-127.00000000000003</v>
      </c>
    </row>
    <row r="25" spans="1:17">
      <c r="A25" s="20" t="s">
        <v>133</v>
      </c>
      <c r="B25" s="97">
        <f>IF($B$17-B$16=0,0,C25/($B$17-B$16))</f>
        <v>5650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 t="shared" si="3"/>
        <v>-48.4</v>
      </c>
      <c r="P25" s="80">
        <v>1</v>
      </c>
      <c r="Q25" s="68">
        <v>-48.4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272</v>
      </c>
      <c r="O26" s="86">
        <f t="shared" si="3"/>
        <v>-69.433333333333337</v>
      </c>
      <c r="P26" s="80">
        <v>3</v>
      </c>
      <c r="Q26" s="68">
        <v>-208.3</v>
      </c>
    </row>
    <row r="27" spans="1:17">
      <c r="A27" s="20" t="s">
        <v>132</v>
      </c>
      <c r="B27" s="97">
        <f>IF(B$18=0,0,C27/B$18)</f>
        <v>-7112.5</v>
      </c>
      <c r="C27" s="98">
        <v>-56900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 t="shared" si="3"/>
        <v>-77.625</v>
      </c>
      <c r="P27" s="80">
        <v>4</v>
      </c>
      <c r="Q27" s="68">
        <v>-310.5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268</v>
      </c>
      <c r="O28" s="86">
        <f t="shared" si="3"/>
        <v>-99.5</v>
      </c>
      <c r="P28" s="80">
        <v>1</v>
      </c>
      <c r="Q28" s="68">
        <v>-99.5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244</v>
      </c>
      <c r="O29" s="86">
        <f t="shared" si="3"/>
        <v>-149</v>
      </c>
      <c r="P29" s="80">
        <v>1</v>
      </c>
      <c r="Q29" s="68">
        <v>-149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10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18</v>
      </c>
      <c r="H2" s="93">
        <f>IF(B$17=0,0,G2/B$17)</f>
        <v>0.62068965517241381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1030.7692307692307</v>
      </c>
      <c r="P2" s="79">
        <v>13</v>
      </c>
      <c r="Q2" s="63">
        <v>13400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0.48275862068965519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3730.7692307692309</v>
      </c>
      <c r="P3" s="80">
        <v>13</v>
      </c>
      <c r="Q3" s="64">
        <v>48500</v>
      </c>
    </row>
    <row r="4" spans="1:17">
      <c r="A4" s="19" t="s">
        <v>6</v>
      </c>
      <c r="B4" s="124">
        <v>353.5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0.37931034482758619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2907.6923076923076</v>
      </c>
      <c r="P4" s="80">
        <v>13</v>
      </c>
      <c r="Q4" s="64">
        <v>37800</v>
      </c>
    </row>
    <row r="5" spans="1:17">
      <c r="A5" s="19" t="s">
        <v>7</v>
      </c>
      <c r="B5" s="126">
        <f>IF(B$2=0,0,B$4/B$2)</f>
        <v>27.192307692307693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0.34482758620689657</v>
      </c>
      <c r="I5" s="56">
        <v>24</v>
      </c>
      <c r="K5" s="5">
        <v>3</v>
      </c>
      <c r="L5" s="61">
        <v>0.60000000000000142</v>
      </c>
      <c r="N5" s="76" t="s">
        <v>157</v>
      </c>
      <c r="O5" s="83">
        <f>IF(P5=0,0,Q5/P5)</f>
        <v>2153.8461538461538</v>
      </c>
      <c r="P5" s="80">
        <v>13</v>
      </c>
      <c r="Q5" s="64">
        <v>28000</v>
      </c>
    </row>
    <row r="6" spans="1:17">
      <c r="A6" s="19" t="s">
        <v>1</v>
      </c>
      <c r="B6" s="128">
        <f>IF(B$2=0,0,(B$7*1+B$8*2+B$9*3+B$10*4)/B$2)</f>
        <v>1.8461538461538463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0.31034482758620691</v>
      </c>
      <c r="I6" s="56">
        <v>16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-1200</v>
      </c>
      <c r="P6" s="80">
        <v>9</v>
      </c>
      <c r="Q6" s="64">
        <v>-10800</v>
      </c>
    </row>
    <row r="7" spans="1:17">
      <c r="A7" s="19" t="s">
        <v>2</v>
      </c>
      <c r="B7" s="13">
        <v>7</v>
      </c>
      <c r="C7" s="6">
        <f t="shared" ref="C7:C12" si="2">IF(B$2=0,0,B7/B$2)</f>
        <v>0.53846153846153844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-585.71428571428567</v>
      </c>
      <c r="P7" s="80">
        <v>7</v>
      </c>
      <c r="Q7" s="64">
        <v>-4100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5</v>
      </c>
      <c r="H8" s="94">
        <f>IF(B$17=0,0,G8/B$17)</f>
        <v>0.17241379310344829</v>
      </c>
      <c r="I8" s="56">
        <v>26</v>
      </c>
      <c r="K8" s="5">
        <v>6</v>
      </c>
      <c r="L8" s="61">
        <v>189.9</v>
      </c>
      <c r="N8" s="76" t="s">
        <v>108</v>
      </c>
      <c r="O8" s="83">
        <f t="shared" si="0"/>
        <v>-650</v>
      </c>
      <c r="P8" s="80">
        <v>2</v>
      </c>
      <c r="Q8" s="64">
        <v>-1300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182</v>
      </c>
      <c r="F9" s="30" t="s">
        <v>19</v>
      </c>
      <c r="G9" s="13">
        <v>3</v>
      </c>
      <c r="H9" s="94">
        <f>IF(B$17=0,0,G9/B$17)</f>
        <v>0.10344827586206896</v>
      </c>
      <c r="I9" s="56">
        <v>18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7.6923076923076927E-2</v>
      </c>
      <c r="E10" s="33" t="s">
        <v>58</v>
      </c>
      <c r="F10" s="30" t="s">
        <v>22</v>
      </c>
      <c r="G10" s="13">
        <v>2</v>
      </c>
      <c r="H10" s="94">
        <f>IF(B$17=0,0,G10/B$17)</f>
        <v>6.8965517241379309E-2</v>
      </c>
      <c r="I10" s="56">
        <v>16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0.69230769230769229</v>
      </c>
      <c r="E11" s="33" t="s">
        <v>59</v>
      </c>
      <c r="F11" s="30" t="s">
        <v>23</v>
      </c>
      <c r="G11" s="13">
        <v>2</v>
      </c>
      <c r="H11" s="94">
        <f>IF(B$17=0,0,G11/B$17)</f>
        <v>6.8965517241379309E-2</v>
      </c>
      <c r="I11" s="56">
        <v>22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6.8965517241379309E-2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63.166666666666664</v>
      </c>
      <c r="P12" s="79">
        <v>3</v>
      </c>
      <c r="Q12" s="67">
        <v>189.5</v>
      </c>
    </row>
    <row r="13" spans="1:17">
      <c r="A13" s="22" t="s">
        <v>97</v>
      </c>
      <c r="B13" s="15">
        <v>27</v>
      </c>
      <c r="C13" s="11">
        <f>IF(B$3=0,0,B13/B$3)</f>
        <v>0.29032258064516131</v>
      </c>
      <c r="E13" s="33" t="s">
        <v>74</v>
      </c>
      <c r="F13" s="30" t="s">
        <v>38</v>
      </c>
      <c r="G13" s="13">
        <v>2</v>
      </c>
      <c r="H13" s="94">
        <f>IF(B$17=0,0,G13/B$17)</f>
        <v>6.8965517241379309E-2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34.800000000000004</v>
      </c>
      <c r="P13" s="80">
        <v>5</v>
      </c>
      <c r="Q13" s="68">
        <v>174.00000000000003</v>
      </c>
    </row>
    <row r="14" spans="1:17">
      <c r="A14" s="19" t="s">
        <v>94</v>
      </c>
      <c r="B14" s="13">
        <v>23</v>
      </c>
      <c r="C14" s="6">
        <f>IF(B$3=0,0,B14/B$3)</f>
        <v>0.24731182795698925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369.3</v>
      </c>
      <c r="N14" s="76" t="s">
        <v>128</v>
      </c>
      <c r="O14" s="86">
        <f>IF(P14=0,0,Q14/P14)</f>
        <v>-0.36666666666666597</v>
      </c>
      <c r="P14" s="80">
        <v>3</v>
      </c>
      <c r="Q14" s="68">
        <v>-1.0999999999999979</v>
      </c>
    </row>
    <row r="15" spans="1:17">
      <c r="A15" s="18" t="s">
        <v>99</v>
      </c>
      <c r="B15" s="12">
        <f>B21</f>
        <v>18</v>
      </c>
      <c r="C15" s="4">
        <f>IF(B$13=0,0,B15/B$13)</f>
        <v>0.66666666666666663</v>
      </c>
      <c r="E15" s="33" t="s">
        <v>69</v>
      </c>
      <c r="F15" s="30" t="s">
        <v>33</v>
      </c>
      <c r="G15" s="13">
        <v>1</v>
      </c>
      <c r="H15" s="94">
        <f>IF(B$17=0,0,G15/B$17)</f>
        <v>3.4482758620689655E-2</v>
      </c>
      <c r="I15" s="56">
        <v>5</v>
      </c>
      <c r="K15" s="5">
        <v>13</v>
      </c>
      <c r="L15" s="61">
        <v>353.5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10</v>
      </c>
      <c r="C16" s="4">
        <f>IF(B$14=0,0,B16/B$14)</f>
        <v>0.43478260869565216</v>
      </c>
      <c r="E16" s="33" t="s">
        <v>76</v>
      </c>
      <c r="F16" s="30" t="s">
        <v>40</v>
      </c>
      <c r="G16" s="13">
        <v>1</v>
      </c>
      <c r="H16" s="94">
        <f>IF(B$17=0,0,G16/B$17)</f>
        <v>3.4482758620689655E-2</v>
      </c>
      <c r="I16" s="56">
        <v>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0.31182795698924731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0.11827956989247312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277</v>
      </c>
      <c r="O18" s="85">
        <f>IF(P18=0,0,Q18/P18)</f>
        <v>98.920000000000016</v>
      </c>
      <c r="P18" s="79">
        <v>5</v>
      </c>
      <c r="Q18" s="67">
        <v>494.60000000000008</v>
      </c>
    </row>
    <row r="19" spans="1:17">
      <c r="A19" s="19" t="s">
        <v>12</v>
      </c>
      <c r="B19" s="13">
        <v>11</v>
      </c>
      <c r="C19" s="6">
        <f>IF(B$17=0,0,B19/B$17)</f>
        <v>0.37931034482758619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276</v>
      </c>
      <c r="O19" s="86">
        <f>IF(P19=0,0,Q19/P19)</f>
        <v>79.966666666666654</v>
      </c>
      <c r="P19" s="80">
        <v>3</v>
      </c>
      <c r="Q19" s="68">
        <v>239.89999999999998</v>
      </c>
    </row>
    <row r="20" spans="1:17">
      <c r="A20" s="19" t="s">
        <v>11</v>
      </c>
      <c r="B20" s="13">
        <v>18</v>
      </c>
      <c r="C20" s="6">
        <f>IF(B$17=0,0,B20/B$17)</f>
        <v>0.62068965517241381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169</v>
      </c>
      <c r="O20" s="86">
        <f>IF(P20=0,0,Q20/P20)</f>
        <v>79.7</v>
      </c>
      <c r="P20" s="80">
        <v>2</v>
      </c>
      <c r="Q20" s="68">
        <v>159.4</v>
      </c>
    </row>
    <row r="21" spans="1:17">
      <c r="A21" s="19" t="s">
        <v>151</v>
      </c>
      <c r="B21" s="13">
        <v>18</v>
      </c>
      <c r="C21" s="6">
        <f>IF(B$17=0,0,B21/B$17)</f>
        <v>0.62068965517241381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269</v>
      </c>
      <c r="O21" s="86">
        <f>IF(P21=0,0,Q21/P21)</f>
        <v>69.433333333333337</v>
      </c>
      <c r="P21" s="80">
        <v>3</v>
      </c>
      <c r="Q21" s="68">
        <v>208.3</v>
      </c>
    </row>
    <row r="22" spans="1:17">
      <c r="A22" s="19" t="s">
        <v>149</v>
      </c>
      <c r="B22" s="13">
        <v>10</v>
      </c>
      <c r="C22" s="6">
        <f>IF(B$17=0,0,B22/B$17)</f>
        <v>0.34482758620689657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8</v>
      </c>
      <c r="N22" s="76" t="s">
        <v>238</v>
      </c>
      <c r="O22" s="86">
        <f>IF(P22=0,0,Q22/P22)</f>
        <v>57.32500000000001</v>
      </c>
      <c r="P22" s="80">
        <v>4</v>
      </c>
      <c r="Q22" s="68">
        <v>229.30000000000004</v>
      </c>
    </row>
    <row r="23" spans="1:17">
      <c r="A23" s="19" t="s">
        <v>150</v>
      </c>
      <c r="B23" s="13">
        <v>1</v>
      </c>
      <c r="C23" s="6">
        <f>IF(B$17=0,0,B23/B$17)</f>
        <v>3.4482758620689655E-2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>IF(P23=0,0,Q23/P23)</f>
        <v>43.9</v>
      </c>
      <c r="P23" s="80">
        <v>1</v>
      </c>
      <c r="Q23" s="68">
        <v>43.9</v>
      </c>
    </row>
    <row r="24" spans="1:17">
      <c r="A24" s="19" t="s">
        <v>5</v>
      </c>
      <c r="B24" s="16">
        <f>IF(B$17=0,0,C24/B$17)</f>
        <v>5951.7241379310344</v>
      </c>
      <c r="C24" s="8">
        <v>172600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235</v>
      </c>
      <c r="O24" s="86">
        <f>IF(P24=0,0,Q24/P24)</f>
        <v>41.233333333333327</v>
      </c>
      <c r="P24" s="80">
        <v>3</v>
      </c>
      <c r="Q24" s="68">
        <v>123.69999999999997</v>
      </c>
    </row>
    <row r="25" spans="1:17">
      <c r="A25" s="20" t="s">
        <v>133</v>
      </c>
      <c r="B25" s="97">
        <f>IF($B$17-B$16=0,0,C25/($B$17-B$16))</f>
        <v>7610.5263157894733</v>
      </c>
      <c r="C25" s="98">
        <v>144600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241</v>
      </c>
      <c r="O25" s="86">
        <f>IF(P25=0,0,Q25/P25)</f>
        <v>28.099999999999998</v>
      </c>
      <c r="P25" s="80">
        <v>1</v>
      </c>
      <c r="Q25" s="68">
        <v>28.099999999999998</v>
      </c>
    </row>
    <row r="26" spans="1:17">
      <c r="A26" s="20" t="s">
        <v>134</v>
      </c>
      <c r="B26" s="97">
        <f>IF(B$16=0,0,C26/B$16)</f>
        <v>2800</v>
      </c>
      <c r="C26" s="98">
        <v>28000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255</v>
      </c>
      <c r="O26" s="86">
        <f>IF(P26=0,0,Q26/P26)</f>
        <v>10.149999999999999</v>
      </c>
      <c r="P26" s="80">
        <v>2</v>
      </c>
      <c r="Q26" s="68">
        <v>20.299999999999997</v>
      </c>
    </row>
    <row r="27" spans="1:17">
      <c r="A27" s="20" t="s">
        <v>132</v>
      </c>
      <c r="B27" s="97">
        <f>IF(B$18=0,0,C27/B$18)</f>
        <v>-4681.818181818182</v>
      </c>
      <c r="C27" s="98">
        <v>-51500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>IF(P27=0,0,Q27/P27)</f>
        <v>-5.2166666666666668</v>
      </c>
      <c r="P27" s="80">
        <v>6</v>
      </c>
      <c r="Q27" s="68">
        <v>-31.3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>IF(P28=0,0,Q28/P28)</f>
        <v>-5.7600000000000007</v>
      </c>
      <c r="P28" s="80">
        <v>5</v>
      </c>
      <c r="Q28" s="68">
        <v>-28.800000000000004</v>
      </c>
    </row>
    <row r="29" spans="1:17">
      <c r="A29" s="19" t="s">
        <v>131</v>
      </c>
      <c r="B29" s="13">
        <v>16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228</v>
      </c>
      <c r="O29" s="86">
        <f>IF(P29=0,0,Q29/P29)</f>
        <v>-10.75</v>
      </c>
      <c r="P29" s="80">
        <v>2</v>
      </c>
      <c r="Q29" s="68">
        <v>-21.5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>IF(P30=0,0,Q30/P30)</f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-29</v>
      </c>
      <c r="P31" s="80">
        <v>1</v>
      </c>
      <c r="Q31" s="68">
        <v>-29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0.2413793103448276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0.17241379310344829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0.17241379310344829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0.10344827586206896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0.10344827586206896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0.8571428571428571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-3390.909090909091</v>
      </c>
      <c r="P2" s="79">
        <v>11</v>
      </c>
      <c r="Q2" s="63">
        <v>-37300</v>
      </c>
    </row>
    <row r="3" spans="1:17">
      <c r="A3" s="19" t="s">
        <v>8</v>
      </c>
      <c r="B3" s="122">
        <v>81</v>
      </c>
      <c r="C3" s="123"/>
      <c r="E3" s="33" t="s">
        <v>55</v>
      </c>
      <c r="F3" s="30" t="s">
        <v>155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-2981.818181818182</v>
      </c>
      <c r="P3" s="80">
        <v>11</v>
      </c>
      <c r="Q3" s="64">
        <v>-32800</v>
      </c>
    </row>
    <row r="4" spans="1:17">
      <c r="A4" s="19" t="s">
        <v>6</v>
      </c>
      <c r="B4" s="124">
        <v>-357.9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7</v>
      </c>
      <c r="K4" s="5">
        <v>2</v>
      </c>
      <c r="L4" s="61">
        <v>-38</v>
      </c>
      <c r="N4" s="76" t="s">
        <v>105</v>
      </c>
      <c r="O4" s="83">
        <f t="shared" si="0"/>
        <v>-2809.090909090909</v>
      </c>
      <c r="P4" s="80">
        <v>11</v>
      </c>
      <c r="Q4" s="64">
        <v>-30900</v>
      </c>
    </row>
    <row r="5" spans="1:17">
      <c r="A5" s="19" t="s">
        <v>7</v>
      </c>
      <c r="B5" s="126">
        <f>IF(B$2=0,0,B$4/B$2)</f>
        <v>-32.536363636363632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0.42857142857142855</v>
      </c>
      <c r="I5" s="56">
        <v>24</v>
      </c>
      <c r="K5" s="5">
        <v>3</v>
      </c>
      <c r="L5" s="61">
        <v>-56.4</v>
      </c>
      <c r="N5" s="76" t="s">
        <v>157</v>
      </c>
      <c r="O5" s="83">
        <f>IF(P5=0,0,Q5/P5)</f>
        <v>-311.11111111111109</v>
      </c>
      <c r="P5" s="80">
        <v>9</v>
      </c>
      <c r="Q5" s="64">
        <v>-2800</v>
      </c>
    </row>
    <row r="6" spans="1:17">
      <c r="A6" s="19" t="s">
        <v>1</v>
      </c>
      <c r="B6" s="128">
        <f>IF(B$2=0,0,(B$7*1+B$8*2+B$9*3+B$10*4)/B$2)</f>
        <v>3.3636363636363638</v>
      </c>
      <c r="C6" s="129"/>
      <c r="E6" s="33" t="s">
        <v>60</v>
      </c>
      <c r="F6" s="30" t="s">
        <v>24</v>
      </c>
      <c r="G6" s="13">
        <v>3</v>
      </c>
      <c r="H6" s="94">
        <f>IF(B$17=0,0,G6/B$17)</f>
        <v>0.42857142857142855</v>
      </c>
      <c r="I6" s="56">
        <v>15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-300</v>
      </c>
      <c r="P6" s="80">
        <v>5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2</v>
      </c>
      <c r="H7" s="94">
        <f>IF(B$17=0,0,G7/B$17)</f>
        <v>0.2857142857142857</v>
      </c>
      <c r="I7" s="56">
        <v>17</v>
      </c>
      <c r="K7" s="5">
        <v>5</v>
      </c>
      <c r="L7" s="61">
        <v>-125.9</v>
      </c>
      <c r="N7" s="76" t="s">
        <v>107</v>
      </c>
      <c r="O7" s="83">
        <f t="shared" si="0"/>
        <v>-1250</v>
      </c>
      <c r="P7" s="80">
        <v>4</v>
      </c>
      <c r="Q7" s="64">
        <v>-5000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57</v>
      </c>
      <c r="F8" s="30" t="s">
        <v>21</v>
      </c>
      <c r="G8" s="13">
        <v>1</v>
      </c>
      <c r="H8" s="94">
        <f>IF(B$17=0,0,G8/B$17)</f>
        <v>0.14285714285714285</v>
      </c>
      <c r="I8" s="56">
        <v>29</v>
      </c>
      <c r="K8" s="5">
        <v>6</v>
      </c>
      <c r="L8" s="61">
        <v>-178.9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27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0.54545454545454541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0.18181818181818182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18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-17.799999999999997</v>
      </c>
      <c r="P13" s="80">
        <v>4</v>
      </c>
      <c r="Q13" s="68">
        <v>-71.199999999999989</v>
      </c>
    </row>
    <row r="14" spans="1:17">
      <c r="A14" s="19" t="s">
        <v>94</v>
      </c>
      <c r="B14" s="13">
        <v>14</v>
      </c>
      <c r="C14" s="6">
        <f>IF(B$3=0,0,B14/B$3)</f>
        <v>0.1728395061728395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6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-26.45</v>
      </c>
      <c r="P15" s="81">
        <v>2</v>
      </c>
      <c r="Q15" s="69">
        <v>-52.9</v>
      </c>
    </row>
    <row r="16" spans="1:17">
      <c r="A16" s="18" t="s">
        <v>100</v>
      </c>
      <c r="B16" s="12">
        <f>B22</f>
        <v>1</v>
      </c>
      <c r="C16" s="4">
        <f>IF(B$14=0,0,B16/B$14)</f>
        <v>7.1428571428571425E-2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8.6419753086419748E-2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0.18518518518518517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 t="shared" ref="O18:O27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2</v>
      </c>
      <c r="C19" s="6">
        <f>IF(B$17=0,0,B19/B$17)</f>
        <v>0.2857142857142857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17.833333333333332</v>
      </c>
      <c r="P19" s="80">
        <v>3</v>
      </c>
      <c r="Q19" s="68">
        <v>53.5</v>
      </c>
    </row>
    <row r="20" spans="1:17">
      <c r="A20" s="19" t="s">
        <v>11</v>
      </c>
      <c r="B20" s="13">
        <v>5</v>
      </c>
      <c r="C20" s="6">
        <f>IF(B$17=0,0,B20/B$17)</f>
        <v>0.7142857142857143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6</v>
      </c>
      <c r="C21" s="6">
        <f>IF(B$17=0,0,B21/B$17)</f>
        <v>0.8571428571428571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-28.300000000000004</v>
      </c>
      <c r="P21" s="80">
        <v>2</v>
      </c>
      <c r="Q21" s="68">
        <v>-56.600000000000009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-39.024999999999999</v>
      </c>
      <c r="P22" s="80">
        <v>4</v>
      </c>
      <c r="Q22" s="68">
        <v>-156.1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-47</v>
      </c>
      <c r="P23" s="80">
        <v>4</v>
      </c>
      <c r="Q23" s="68">
        <v>-188</v>
      </c>
    </row>
    <row r="24" spans="1:17">
      <c r="A24" s="19" t="s">
        <v>5</v>
      </c>
      <c r="B24" s="16">
        <f>IF(B$17=0,0,C24/B$17)</f>
        <v>7285.7142857142853</v>
      </c>
      <c r="C24" s="8">
        <v>51000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7533.333333333333</v>
      </c>
      <c r="C25" s="98">
        <v>45200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-58.233333333333327</v>
      </c>
      <c r="P25" s="80">
        <v>3</v>
      </c>
      <c r="Q25" s="68">
        <v>-174.7</v>
      </c>
    </row>
    <row r="26" spans="1:17">
      <c r="A26" s="20" t="s">
        <v>134</v>
      </c>
      <c r="B26" s="97">
        <f>IF(B$16=0,0,C26/B$16)</f>
        <v>5800</v>
      </c>
      <c r="C26" s="98">
        <v>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-4220</v>
      </c>
      <c r="C27" s="98">
        <v>-63300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-98.92</v>
      </c>
      <c r="P27" s="80">
        <v>5</v>
      </c>
      <c r="Q27" s="68">
        <v>-494.6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3277.7777777777778</v>
      </c>
      <c r="P2" s="79">
        <v>9</v>
      </c>
      <c r="Q2" s="63">
        <v>29500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>
        <v>18</v>
      </c>
      <c r="K3" s="5">
        <v>1</v>
      </c>
      <c r="L3" s="61">
        <v>10.6</v>
      </c>
      <c r="N3" s="76" t="s">
        <v>104</v>
      </c>
      <c r="O3" s="83">
        <f t="shared" si="0"/>
        <v>-533.33333333333337</v>
      </c>
      <c r="P3" s="80">
        <v>9</v>
      </c>
      <c r="Q3" s="64">
        <v>-4800</v>
      </c>
    </row>
    <row r="4" spans="1:17">
      <c r="A4" s="19" t="s">
        <v>6</v>
      </c>
      <c r="B4" s="124">
        <v>181.50000000000003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0.4</v>
      </c>
      <c r="I4" s="56">
        <v>8</v>
      </c>
      <c r="K4" s="5">
        <v>2</v>
      </c>
      <c r="L4" s="61">
        <v>63.7</v>
      </c>
      <c r="N4" s="76" t="s">
        <v>105</v>
      </c>
      <c r="O4" s="83">
        <f t="shared" si="0"/>
        <v>2111.1111111111113</v>
      </c>
      <c r="P4" s="80">
        <v>9</v>
      </c>
      <c r="Q4" s="64">
        <v>19000</v>
      </c>
    </row>
    <row r="5" spans="1:17">
      <c r="A5" s="19" t="s">
        <v>7</v>
      </c>
      <c r="B5" s="126">
        <f>IF(B$2=0,0,B$4/B$2)</f>
        <v>20.166666666666671</v>
      </c>
      <c r="C5" s="127"/>
      <c r="E5" s="33" t="s">
        <v>57</v>
      </c>
      <c r="F5" s="30" t="s">
        <v>21</v>
      </c>
      <c r="G5" s="13">
        <v>5</v>
      </c>
      <c r="H5" s="94">
        <f>IF(B$17=0,0,G5/B$17)</f>
        <v>0.33333333333333331</v>
      </c>
      <c r="I5" s="56">
        <v>6</v>
      </c>
      <c r="K5" s="5">
        <v>3</v>
      </c>
      <c r="L5" s="61">
        <v>144.5</v>
      </c>
      <c r="N5" s="76" t="s">
        <v>157</v>
      </c>
      <c r="O5" s="83">
        <f>IF(P5=0,0,Q5/P5)</f>
        <v>228.57142857142858</v>
      </c>
      <c r="P5" s="80">
        <v>7</v>
      </c>
      <c r="Q5" s="64">
        <v>1600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-100</v>
      </c>
      <c r="P6" s="80">
        <v>4</v>
      </c>
      <c r="Q6" s="64">
        <v>-400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58</v>
      </c>
      <c r="F7" s="30" t="s">
        <v>22</v>
      </c>
      <c r="G7" s="13">
        <v>3</v>
      </c>
      <c r="H7" s="94">
        <f>IF(B$17=0,0,G7/B$17)</f>
        <v>0.2</v>
      </c>
      <c r="I7" s="56">
        <v>3</v>
      </c>
      <c r="K7" s="5">
        <v>5</v>
      </c>
      <c r="L7" s="61">
        <v>106.70000000000002</v>
      </c>
      <c r="N7" s="76" t="s">
        <v>107</v>
      </c>
      <c r="O7" s="83">
        <f t="shared" si="0"/>
        <v>1300</v>
      </c>
      <c r="P7" s="80">
        <v>4</v>
      </c>
      <c r="Q7" s="64">
        <v>5200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60</v>
      </c>
      <c r="F8" s="30" t="s">
        <v>24</v>
      </c>
      <c r="G8" s="13">
        <v>3</v>
      </c>
      <c r="H8" s="94">
        <f>IF(B$17=0,0,G8/B$17)</f>
        <v>0.2</v>
      </c>
      <c r="I8" s="56">
        <v>33</v>
      </c>
      <c r="K8" s="5">
        <v>6</v>
      </c>
      <c r="L8" s="61">
        <v>173.40000000000003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14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77</v>
      </c>
      <c r="F11" s="30" t="s">
        <v>41</v>
      </c>
      <c r="G11" s="13">
        <v>2</v>
      </c>
      <c r="H11" s="94">
        <f>IF(B$17=0,0,G11/B$17)</f>
        <v>0.13333333333333333</v>
      </c>
      <c r="I11" s="56">
        <v>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-24.8</v>
      </c>
      <c r="P12" s="79">
        <v>3</v>
      </c>
      <c r="Q12" s="67">
        <v>-74.400000000000006</v>
      </c>
    </row>
    <row r="13" spans="1:17">
      <c r="A13" s="22" t="s">
        <v>97</v>
      </c>
      <c r="B13" s="15">
        <v>15</v>
      </c>
      <c r="C13" s="11">
        <f>IF(B$3=0,0,B13/B$3)</f>
        <v>0.234375</v>
      </c>
      <c r="E13" s="33" t="s">
        <v>78</v>
      </c>
      <c r="F13" s="30" t="s">
        <v>42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20</v>
      </c>
      <c r="C14" s="6">
        <f>IF(B$3=0,0,B14/B$3)</f>
        <v>0.3125</v>
      </c>
      <c r="E14" s="33" t="s">
        <v>79</v>
      </c>
      <c r="F14" s="30" t="s">
        <v>43</v>
      </c>
      <c r="G14" s="13">
        <v>1</v>
      </c>
      <c r="H14" s="94">
        <f>IF(B$17=0,0,G14/B$17)</f>
        <v>6.6666666666666666E-2</v>
      </c>
      <c r="I14" s="56">
        <v>1</v>
      </c>
      <c r="N14" s="76" t="s">
        <v>128</v>
      </c>
      <c r="O14" s="86">
        <f>IF(P14=0,0,Q14/P14)</f>
        <v>15.3</v>
      </c>
      <c r="P14" s="80">
        <v>2</v>
      </c>
      <c r="Q14" s="68">
        <v>30.6</v>
      </c>
    </row>
    <row r="15" spans="1:17">
      <c r="A15" s="18" t="s">
        <v>99</v>
      </c>
      <c r="B15" s="12">
        <f>B21</f>
        <v>10</v>
      </c>
      <c r="C15" s="4">
        <f>IF(B$13=0,0,B15/B$13)</f>
        <v>0.66666666666666663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3</v>
      </c>
      <c r="C16" s="4">
        <f>IF(B$14=0,0,B16/B$14)</f>
        <v>0.15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0.234375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7.8125E-2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255</v>
      </c>
      <c r="O18" s="85">
        <f t="shared" ref="O18:O29" si="3">IF(P18=0,0,Q18/P18)</f>
        <v>110.7</v>
      </c>
      <c r="P18" s="79">
        <v>1</v>
      </c>
      <c r="Q18" s="67">
        <v>110.7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235</v>
      </c>
      <c r="O19" s="86">
        <f t="shared" si="3"/>
        <v>67.75</v>
      </c>
      <c r="P19" s="80">
        <v>2</v>
      </c>
      <c r="Q19" s="68">
        <v>135.5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258</v>
      </c>
      <c r="O20" s="86">
        <f t="shared" si="3"/>
        <v>67.100000000000009</v>
      </c>
      <c r="P20" s="80">
        <v>1</v>
      </c>
      <c r="Q20" s="68">
        <v>67.100000000000009</v>
      </c>
    </row>
    <row r="21" spans="1:17">
      <c r="A21" s="19" t="s">
        <v>151</v>
      </c>
      <c r="B21" s="13">
        <v>10</v>
      </c>
      <c r="C21" s="6">
        <f>IF(B$17=0,0,B21/B$17)</f>
        <v>0.66666666666666663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277</v>
      </c>
      <c r="O21" s="86">
        <f t="shared" si="3"/>
        <v>61.06666666666667</v>
      </c>
      <c r="P21" s="80">
        <v>6</v>
      </c>
      <c r="Q21" s="68">
        <v>366.40000000000003</v>
      </c>
    </row>
    <row r="22" spans="1:17">
      <c r="A22" s="19" t="s">
        <v>149</v>
      </c>
      <c r="B22" s="13">
        <v>3</v>
      </c>
      <c r="C22" s="6">
        <f>IF(B$17=0,0,B22/B$17)</f>
        <v>0.2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195</v>
      </c>
      <c r="O22" s="86">
        <f t="shared" si="3"/>
        <v>48.5</v>
      </c>
      <c r="P22" s="80">
        <v>1</v>
      </c>
      <c r="Q22" s="68">
        <v>48.5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42.333333333333336</v>
      </c>
      <c r="P23" s="80">
        <v>3</v>
      </c>
      <c r="Q23" s="68">
        <v>127.00000000000001</v>
      </c>
    </row>
    <row r="24" spans="1:17">
      <c r="A24" s="19" t="s">
        <v>5</v>
      </c>
      <c r="B24" s="16">
        <f>IF(B$17=0,0,C24/B$17)</f>
        <v>9100</v>
      </c>
      <c r="C24" s="8">
        <v>136500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265</v>
      </c>
      <c r="O24" s="86">
        <f t="shared" si="3"/>
        <v>33</v>
      </c>
      <c r="P24" s="80">
        <v>2</v>
      </c>
      <c r="Q24" s="68">
        <v>66</v>
      </c>
    </row>
    <row r="25" spans="1:17">
      <c r="A25" s="20" t="s">
        <v>133</v>
      </c>
      <c r="B25" s="97">
        <f>IF($B$17-B$16=0,0,C25/($B$17-B$16))</f>
        <v>9541.6666666666661</v>
      </c>
      <c r="C25" s="98">
        <v>114500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31.275000000000002</v>
      </c>
      <c r="P25" s="80">
        <v>4</v>
      </c>
      <c r="Q25" s="68">
        <v>125.10000000000001</v>
      </c>
    </row>
    <row r="26" spans="1:17">
      <c r="A26" s="20" t="s">
        <v>134</v>
      </c>
      <c r="B26" s="97">
        <f>IF(B$16=0,0,C26/B$16)</f>
        <v>7333.333333333333</v>
      </c>
      <c r="C26" s="98">
        <v>22000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244</v>
      </c>
      <c r="O26" s="86">
        <f t="shared" si="3"/>
        <v>16.20000000000001</v>
      </c>
      <c r="P26" s="80">
        <v>2</v>
      </c>
      <c r="Q26" s="68">
        <v>32.40000000000002</v>
      </c>
    </row>
    <row r="27" spans="1:17">
      <c r="A27" s="20" t="s">
        <v>132</v>
      </c>
      <c r="B27" s="97">
        <f>IF(B$18=0,0,C27/B$18)</f>
        <v>-5220</v>
      </c>
      <c r="C27" s="98">
        <v>-26100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 t="shared" si="3"/>
        <v>-37.4</v>
      </c>
      <c r="P27" s="80">
        <v>1</v>
      </c>
      <c r="Q27" s="68">
        <v>-37.4</v>
      </c>
    </row>
    <row r="28" spans="1:17">
      <c r="A28" s="19" t="s">
        <v>130</v>
      </c>
      <c r="B28" s="13">
        <v>2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238</v>
      </c>
      <c r="O28" s="86">
        <f t="shared" si="3"/>
        <v>-65.400000000000006</v>
      </c>
      <c r="P28" s="80">
        <v>1</v>
      </c>
      <c r="Q28" s="68">
        <v>-65.400000000000006</v>
      </c>
    </row>
    <row r="29" spans="1:17">
      <c r="A29" s="19" t="s">
        <v>131</v>
      </c>
      <c r="B29" s="13">
        <v>25</v>
      </c>
      <c r="C29" s="96">
        <v>14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12</v>
      </c>
      <c r="N29" s="76" t="s">
        <v>272</v>
      </c>
      <c r="O29" s="86">
        <f t="shared" si="3"/>
        <v>-79.966666666666654</v>
      </c>
      <c r="P29" s="80">
        <v>3</v>
      </c>
      <c r="Q29" s="68">
        <v>-239.89999999999998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6.6666666666666666E-2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2023-09-26T09:28:51Z</dcterms:modified>
</cp:coreProperties>
</file>