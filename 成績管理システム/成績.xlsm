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taro\Desktop\mahjong-club\成績管理システム\"/>
    </mc:Choice>
  </mc:AlternateContent>
  <xr:revisionPtr revIDLastSave="0" documentId="13_ncr:1_{35C73FBA-383B-4E46-AC85-3F234117566A}" xr6:coauthVersionLast="44" xr6:coauthVersionMax="44" xr10:uidLastSave="{00000000-0000-0000-0000-000000000000}"/>
  <bookViews>
    <workbookView xWindow="-110" yWindow="-110" windowWidth="19420" windowHeight="110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92" r:id="rId4"/>
    <sheet name="松澤亮太" sheetId="6193" r:id="rId5"/>
    <sheet name="滝沢悠人" sheetId="6194" r:id="rId6"/>
    <sheet name="大池陸斗" sheetId="6195" r:id="rId7"/>
    <sheet name="百瀬成空" sheetId="6196" r:id="rId8"/>
    <sheet name="佐藤成浩" sheetId="6197" r:id="rId9"/>
    <sheet name="依田幸憲" sheetId="6198" r:id="rId10"/>
    <sheet name="保谷一貴" sheetId="6199" r:id="rId11"/>
    <sheet name="高野源太" sheetId="6200" r:id="rId12"/>
    <sheet name="矢ヶ崎健" sheetId="6201" r:id="rId13"/>
    <sheet name="小林郁斗" sheetId="6202" r:id="rId14"/>
    <sheet name="木角有希" sheetId="6203" r:id="rId15"/>
    <sheet name="福澤大地" sheetId="6204" r:id="rId16"/>
    <sheet name="高橋桜" sheetId="6205" r:id="rId17"/>
    <sheet name="多田洋輔" sheetId="6206" r:id="rId18"/>
    <sheet name="柳澤颯吾" sheetId="6207" r:id="rId19"/>
    <sheet name="石澤巧望" sheetId="6208" r:id="rId20"/>
    <sheet name="小原陸哉" sheetId="6209" r:id="rId21"/>
    <sheet name="Template" sheetId="2228" state="hidden" r:id="rId22"/>
  </sheets>
  <definedNames>
    <definedName name="アガリ数" localSheetId="9">依田幸憲!$B$17</definedName>
    <definedName name="アガリ数" localSheetId="16">高橋桜!$B$17</definedName>
    <definedName name="アガリ数" localSheetId="11">高野源太!$B$17</definedName>
    <definedName name="アガリ数" localSheetId="8">佐藤成浩!$B$17</definedName>
    <definedName name="アガリ数" localSheetId="20">小原陸哉!$B$17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>Template!$B$17</definedName>
    <definedName name="アガリ率" localSheetId="9">依田幸憲!$C$17</definedName>
    <definedName name="アガリ率" localSheetId="16">高橋桜!$C$17</definedName>
    <definedName name="アガリ率" localSheetId="11">高野源太!$C$17</definedName>
    <definedName name="アガリ率" localSheetId="8">佐藤成浩!$C$17</definedName>
    <definedName name="アガリ率" localSheetId="20">小原陸哉!$C$17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>Template!$C$17</definedName>
    <definedName name="ダマアガリ数" localSheetId="9">依田幸憲!$B$23</definedName>
    <definedName name="ダマアガリ数" localSheetId="16">高橋桜!$B$23</definedName>
    <definedName name="ダマアガリ数" localSheetId="11">高野源太!$B$23</definedName>
    <definedName name="ダマアガリ数" localSheetId="8">佐藤成浩!$B$23</definedName>
    <definedName name="ダマアガリ数" localSheetId="20">小原陸哉!$B$23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>Template!$B$23</definedName>
    <definedName name="ダマアガリ点" localSheetId="9">依田幸憲!#REF!</definedName>
    <definedName name="ダマアガリ点" localSheetId="16">高橋桜!#REF!</definedName>
    <definedName name="ダマアガリ点" localSheetId="11">高野源太!#REF!</definedName>
    <definedName name="ダマアガリ点" localSheetId="8">佐藤成浩!#REF!</definedName>
    <definedName name="ダマアガリ点" localSheetId="20">小原陸哉!#REF!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>Template!#REF!</definedName>
    <definedName name="ダマアガリ率" localSheetId="9">依田幸憲!$C$23</definedName>
    <definedName name="ダマアガリ率" localSheetId="16">高橋桜!$C$23</definedName>
    <definedName name="ダマアガリ率" localSheetId="11">高野源太!$C$23</definedName>
    <definedName name="ダマアガリ率" localSheetId="8">佐藤成浩!$C$23</definedName>
    <definedName name="ダマアガリ率" localSheetId="20">小原陸哉!$C$23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>Template!$C$23</definedName>
    <definedName name="チョンボ数" localSheetId="9">依田幸憲!$B$32</definedName>
    <definedName name="チョンボ数" localSheetId="16">高橋桜!$B$32</definedName>
    <definedName name="チョンボ数" localSheetId="11">高野源太!$B$32</definedName>
    <definedName name="チョンボ数" localSheetId="8">佐藤成浩!$B$32</definedName>
    <definedName name="チョンボ数" localSheetId="20">小原陸哉!$B$32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>Template!$B$32</definedName>
    <definedName name="チョンボ率" localSheetId="9">依田幸憲!$C$32</definedName>
    <definedName name="チョンボ率" localSheetId="16">高橋桜!$C$32</definedName>
    <definedName name="チョンボ率" localSheetId="11">高野源太!$C$32</definedName>
    <definedName name="チョンボ率" localSheetId="8">佐藤成浩!$C$32</definedName>
    <definedName name="チョンボ率" localSheetId="20">小原陸哉!$C$32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>Template!$C$32</definedName>
    <definedName name="ツモ数" localSheetId="9">依田幸憲!$B$19</definedName>
    <definedName name="ツモ数" localSheetId="16">高橋桜!$B$19</definedName>
    <definedName name="ツモ数" localSheetId="11">高野源太!$B$19</definedName>
    <definedName name="ツモ数" localSheetId="8">佐藤成浩!$B$19</definedName>
    <definedName name="ツモ数" localSheetId="20">小原陸哉!$B$19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>Template!$B$19</definedName>
    <definedName name="ツモ率" localSheetId="9">依田幸憲!$C$19</definedName>
    <definedName name="ツモ率" localSheetId="16">高橋桜!$C$19</definedName>
    <definedName name="ツモ率" localSheetId="11">高野源太!$C$19</definedName>
    <definedName name="ツモ率" localSheetId="8">佐藤成浩!$C$19</definedName>
    <definedName name="ツモ率" localSheetId="20">小原陸哉!$C$19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>Template!$C$19</definedName>
    <definedName name="トップ数" localSheetId="9">依田幸憲!$B$7</definedName>
    <definedName name="トップ数" localSheetId="16">高橋桜!$B$7</definedName>
    <definedName name="トップ数" localSheetId="11">高野源太!$B$7</definedName>
    <definedName name="トップ数" localSheetId="8">佐藤成浩!$B$7</definedName>
    <definedName name="トップ数" localSheetId="20">小原陸哉!$B$7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>Template!$B$7</definedName>
    <definedName name="トップ率" localSheetId="9">依田幸憲!$C$7</definedName>
    <definedName name="トップ率" localSheetId="16">高橋桜!$C$7</definedName>
    <definedName name="トップ率" localSheetId="11">高野源太!$C$7</definedName>
    <definedName name="トップ率" localSheetId="8">佐藤成浩!$C$7</definedName>
    <definedName name="トップ率" localSheetId="20">小原陸哉!$C$7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>Template!$C$7</definedName>
    <definedName name="ふっとばし数" localSheetId="9">依田幸憲!#REF!</definedName>
    <definedName name="ふっとばし数" localSheetId="16">高橋桜!#REF!</definedName>
    <definedName name="ふっとばし数" localSheetId="11">高野源太!#REF!</definedName>
    <definedName name="ふっとばし数" localSheetId="8">佐藤成浩!#REF!</definedName>
    <definedName name="ふっとばし数" localSheetId="20">小原陸哉!#REF!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>Template!#REF!</definedName>
    <definedName name="ふっとばし率" localSheetId="9">依田幸憲!#REF!</definedName>
    <definedName name="ふっとばし率" localSheetId="16">高橋桜!#REF!</definedName>
    <definedName name="ふっとばし率" localSheetId="11">高野源太!#REF!</definedName>
    <definedName name="ふっとばし率" localSheetId="8">佐藤成浩!#REF!</definedName>
    <definedName name="ふっとばし率" localSheetId="20">小原陸哉!#REF!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>Template!#REF!</definedName>
    <definedName name="ふっとび数" localSheetId="9">依田幸憲!$B$12</definedName>
    <definedName name="ふっとび数" localSheetId="16">高橋桜!$B$12</definedName>
    <definedName name="ふっとび数" localSheetId="11">高野源太!$B$12</definedName>
    <definedName name="ふっとび数" localSheetId="8">佐藤成浩!$B$12</definedName>
    <definedName name="ふっとび数" localSheetId="20">小原陸哉!$B$12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>Template!$B$12</definedName>
    <definedName name="ふっとび率" localSheetId="9">依田幸憲!$C$12</definedName>
    <definedName name="ふっとび率" localSheetId="16">高橋桜!$C$12</definedName>
    <definedName name="ふっとび率" localSheetId="11">高野源太!$C$12</definedName>
    <definedName name="ふっとび率" localSheetId="8">佐藤成浩!$C$12</definedName>
    <definedName name="ふっとび率" localSheetId="20">小原陸哉!$C$12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>Template!$C$12</definedName>
    <definedName name="ラス数" localSheetId="9">依田幸憲!$B$10</definedName>
    <definedName name="ラス数" localSheetId="16">高橋桜!$B$10</definedName>
    <definedName name="ラス数" localSheetId="11">高野源太!$B$10</definedName>
    <definedName name="ラス数" localSheetId="8">佐藤成浩!$B$10</definedName>
    <definedName name="ラス数" localSheetId="20">小原陸哉!$B$10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>Template!$B$10</definedName>
    <definedName name="ラス率" localSheetId="9">依田幸憲!$C$10</definedName>
    <definedName name="ラス率" localSheetId="16">高橋桜!$C$10</definedName>
    <definedName name="ラス率" localSheetId="11">高野源太!$C$10</definedName>
    <definedName name="ラス率" localSheetId="8">佐藤成浩!$C$10</definedName>
    <definedName name="ラス率" localSheetId="20">小原陸哉!$C$10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>Template!$C$10</definedName>
    <definedName name="リーチアガリ数" localSheetId="9">依田幸憲!$B$21</definedName>
    <definedName name="リーチアガリ数" localSheetId="16">高橋桜!$B$21</definedName>
    <definedName name="リーチアガリ数" localSheetId="11">高野源太!$B$21</definedName>
    <definedName name="リーチアガリ数" localSheetId="8">佐藤成浩!$B$21</definedName>
    <definedName name="リーチアガリ数" localSheetId="20">小原陸哉!$B$21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>Template!$B$21</definedName>
    <definedName name="リーチアガリ率" localSheetId="9">依田幸憲!$C$21</definedName>
    <definedName name="リーチアガリ率" localSheetId="16">高橋桜!$C$21</definedName>
    <definedName name="リーチアガリ率" localSheetId="11">高野源太!$C$21</definedName>
    <definedName name="リーチアガリ率" localSheetId="8">佐藤成浩!$C$21</definedName>
    <definedName name="リーチアガリ率" localSheetId="20">小原陸哉!$C$21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>Template!$C$21</definedName>
    <definedName name="リーチ数" localSheetId="9">依田幸憲!$B$13</definedName>
    <definedName name="リーチ数" localSheetId="16">高橋桜!$B$13</definedName>
    <definedName name="リーチ数" localSheetId="11">高野源太!$B$13</definedName>
    <definedName name="リーチ数" localSheetId="8">佐藤成浩!$B$13</definedName>
    <definedName name="リーチ数" localSheetId="20">小原陸哉!$B$13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>Template!$B$13</definedName>
    <definedName name="リーチ成功数" localSheetId="9">依田幸憲!$B$15</definedName>
    <definedName name="リーチ成功数" localSheetId="16">高橋桜!$B$15</definedName>
    <definedName name="リーチ成功数" localSheetId="11">高野源太!$B$15</definedName>
    <definedName name="リーチ成功数" localSheetId="8">佐藤成浩!$B$15</definedName>
    <definedName name="リーチ成功数" localSheetId="20">小原陸哉!$B$15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>Template!$B$15</definedName>
    <definedName name="リーチ成功率" localSheetId="9">依田幸憲!$C$15</definedName>
    <definedName name="リーチ成功率" localSheetId="16">高橋桜!$C$15</definedName>
    <definedName name="リーチ成功率" localSheetId="11">高野源太!$C$15</definedName>
    <definedName name="リーチ成功率" localSheetId="8">佐藤成浩!$C$15</definedName>
    <definedName name="リーチ成功率" localSheetId="20">小原陸哉!$C$15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>Template!$C$15</definedName>
    <definedName name="リーチ率" localSheetId="9">依田幸憲!$C$13</definedName>
    <definedName name="リーチ率" localSheetId="16">高橋桜!$C$13</definedName>
    <definedName name="リーチ率" localSheetId="11">高野源太!$C$13</definedName>
    <definedName name="リーチ率" localSheetId="8">佐藤成浩!$C$13</definedName>
    <definedName name="リーチ率" localSheetId="20">小原陸哉!$C$13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>Template!$C$13</definedName>
    <definedName name="ロン数" localSheetId="9">依田幸憲!$B$20</definedName>
    <definedName name="ロン数" localSheetId="16">高橋桜!$B$20</definedName>
    <definedName name="ロン数" localSheetId="11">高野源太!$B$20</definedName>
    <definedName name="ロン数" localSheetId="8">佐藤成浩!$B$20</definedName>
    <definedName name="ロン数" localSheetId="20">小原陸哉!$B$20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>Template!$B$20</definedName>
    <definedName name="ロン率" localSheetId="9">依田幸憲!$C$20</definedName>
    <definedName name="ロン率" localSheetId="16">高橋桜!$C$20</definedName>
    <definedName name="ロン率" localSheetId="11">高野源太!$C$20</definedName>
    <definedName name="ロン率" localSheetId="8">佐藤成浩!$C$20</definedName>
    <definedName name="ロン率" localSheetId="20">小原陸哉!$C$20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>Template!$C$20</definedName>
    <definedName name="逆転数" localSheetId="9">依田幸憲!#REF!</definedName>
    <definedName name="逆転数" localSheetId="16">高橋桜!#REF!</definedName>
    <definedName name="逆転数" localSheetId="11">高野源太!#REF!</definedName>
    <definedName name="逆転数" localSheetId="8">佐藤成浩!#REF!</definedName>
    <definedName name="逆転数" localSheetId="20">小原陸哉!#REF!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>Template!#REF!</definedName>
    <definedName name="逆転率" localSheetId="9">依田幸憲!#REF!</definedName>
    <definedName name="逆転率" localSheetId="16">高橋桜!#REF!</definedName>
    <definedName name="逆転率" localSheetId="11">高野源太!#REF!</definedName>
    <definedName name="逆転率" localSheetId="8">佐藤成浩!#REF!</definedName>
    <definedName name="逆転率" localSheetId="20">小原陸哉!#REF!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>Template!#REF!</definedName>
    <definedName name="現行連続アガリ" localSheetId="9">依田幸憲!$C$28</definedName>
    <definedName name="現行連続アガリ" localSheetId="16">高橋桜!$C$28</definedName>
    <definedName name="現行連続アガリ" localSheetId="11">高野源太!$C$28</definedName>
    <definedName name="現行連続アガリ" localSheetId="8">佐藤成浩!$C$28</definedName>
    <definedName name="現行連続アガリ" localSheetId="20">小原陸哉!$C$28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>Template!$C$28</definedName>
    <definedName name="現行連続無放銃" localSheetId="9">依田幸憲!$C$29</definedName>
    <definedName name="現行連続無放銃" localSheetId="16">高橋桜!$C$29</definedName>
    <definedName name="現行連続無放銃" localSheetId="11">高野源太!$C$29</definedName>
    <definedName name="現行連続無放銃" localSheetId="8">佐藤成浩!$C$29</definedName>
    <definedName name="現行連続無放銃" localSheetId="20">小原陸哉!$C$29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>Template!$C$29</definedName>
    <definedName name="最高点" localSheetId="9">依田幸憲!$B$31</definedName>
    <definedName name="最高点" localSheetId="16">高橋桜!$B$31</definedName>
    <definedName name="最高点" localSheetId="11">高野源太!$B$31</definedName>
    <definedName name="最高点" localSheetId="8">佐藤成浩!$B$31</definedName>
    <definedName name="最高点" localSheetId="20">小原陸哉!$B$31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>Template!$B$31</definedName>
    <definedName name="最大ドラ数" localSheetId="9">依田幸憲!$B$30</definedName>
    <definedName name="最大ドラ数" localSheetId="16">高橋桜!$B$30</definedName>
    <definedName name="最大ドラ数" localSheetId="11">高野源太!$B$30</definedName>
    <definedName name="最大ドラ数" localSheetId="8">佐藤成浩!$B$30</definedName>
    <definedName name="最大ドラ数" localSheetId="20">小原陸哉!$B$30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>Template!$B$30</definedName>
    <definedName name="最大点数" localSheetId="9">依田幸憲!$B$31</definedName>
    <definedName name="最大点数" localSheetId="16">高橋桜!$B$31</definedName>
    <definedName name="最大点数" localSheetId="11">高野源太!$B$31</definedName>
    <definedName name="最大点数" localSheetId="8">佐藤成浩!$B$31</definedName>
    <definedName name="最大点数" localSheetId="20">小原陸哉!$B$31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>Template!$B$31</definedName>
    <definedName name="三位数" localSheetId="9">依田幸憲!$B$9</definedName>
    <definedName name="三位数" localSheetId="16">高橋桜!$B$9</definedName>
    <definedName name="三位数" localSheetId="11">高野源太!$B$9</definedName>
    <definedName name="三位数" localSheetId="8">佐藤成浩!$B$9</definedName>
    <definedName name="三位数" localSheetId="20">小原陸哉!$B$9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>Template!$B$9</definedName>
    <definedName name="三位率" localSheetId="9">依田幸憲!$C$9</definedName>
    <definedName name="三位率" localSheetId="16">高橋桜!$C$9</definedName>
    <definedName name="三位率" localSheetId="11">高野源太!$C$9</definedName>
    <definedName name="三位率" localSheetId="8">佐藤成浩!$C$9</definedName>
    <definedName name="三位率" localSheetId="20">小原陸哉!$C$9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>Template!$C$9</definedName>
    <definedName name="総局数" localSheetId="9">依田幸憲!$B$3</definedName>
    <definedName name="総局数" localSheetId="16">高橋桜!$B$3</definedName>
    <definedName name="総局数" localSheetId="11">高野源太!$B$3</definedName>
    <definedName name="総局数" localSheetId="8">佐藤成浩!$B$3</definedName>
    <definedName name="総局数" localSheetId="20">小原陸哉!$B$3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>Template!$B$3</definedName>
    <definedName name="対戦数" localSheetId="9">依田幸憲!$B$2</definedName>
    <definedName name="対戦数" localSheetId="16">高橋桜!$B$2</definedName>
    <definedName name="対戦数" localSheetId="11">高野源太!$B$2</definedName>
    <definedName name="対戦数" localSheetId="8">佐藤成浩!$B$2</definedName>
    <definedName name="対戦数" localSheetId="20">小原陸哉!$B$2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>Template!$B$2</definedName>
    <definedName name="通算アガリ点" localSheetId="9">依田幸憲!$C$24</definedName>
    <definedName name="通算アガリ点" localSheetId="16">高橋桜!$C$24</definedName>
    <definedName name="通算アガリ点" localSheetId="11">高野源太!$C$24</definedName>
    <definedName name="通算アガリ点" localSheetId="8">佐藤成浩!$C$24</definedName>
    <definedName name="通算アガリ点" localSheetId="20">小原陸哉!$C$24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>Template!$C$24</definedName>
    <definedName name="通算スコア" localSheetId="9">依田幸憲!$B$4</definedName>
    <definedName name="通算スコア" localSheetId="16">高橋桜!$B$4</definedName>
    <definedName name="通算スコア" localSheetId="11">高野源太!$B$4</definedName>
    <definedName name="通算スコア" localSheetId="8">佐藤成浩!$B$4</definedName>
    <definedName name="通算スコア" localSheetId="20">小原陸哉!$B$4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>Template!$B$4</definedName>
    <definedName name="通算副露アガリ点" localSheetId="9">依田幸憲!$C$26</definedName>
    <definedName name="通算副露アガリ点" localSheetId="16">高橋桜!$C$26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0">小原陸哉!$C$26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>Template!$C$26</definedName>
    <definedName name="通算放銃点" localSheetId="9">依田幸憲!$C$27</definedName>
    <definedName name="通算放銃点" localSheetId="16">高橋桜!$C$27</definedName>
    <definedName name="通算放銃点" localSheetId="11">高野源太!$C$27</definedName>
    <definedName name="通算放銃点" localSheetId="8">佐藤成浩!$C$27</definedName>
    <definedName name="通算放銃点" localSheetId="20">小原陸哉!$C$27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>Template!$C$27</definedName>
    <definedName name="通算門前アガリ点" localSheetId="9">依田幸憲!$C$25</definedName>
    <definedName name="通算門前アガリ点" localSheetId="16">高橋桜!$C$25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0">小原陸哉!$C$25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>Template!$C$25</definedName>
    <definedName name="二位数" localSheetId="9">依田幸憲!$B$8</definedName>
    <definedName name="二位数" localSheetId="16">高橋桜!$B$8</definedName>
    <definedName name="二位数" localSheetId="11">高野源太!$B$8</definedName>
    <definedName name="二位数" localSheetId="8">佐藤成浩!$B$8</definedName>
    <definedName name="二位数" localSheetId="20">小原陸哉!$B$8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>Template!$B$8</definedName>
    <definedName name="二位率" localSheetId="9">依田幸憲!$C$8</definedName>
    <definedName name="二位率" localSheetId="16">高橋桜!$C$8</definedName>
    <definedName name="二位率" localSheetId="11">高野源太!$C$8</definedName>
    <definedName name="二位率" localSheetId="8">佐藤成浩!$C$8</definedName>
    <definedName name="二位率" localSheetId="20">小原陸哉!$C$8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>Template!$C$8</definedName>
    <definedName name="副露アガリ数" localSheetId="9">依田幸憲!$B$22</definedName>
    <definedName name="副露アガリ数" localSheetId="16">高橋桜!$B$22</definedName>
    <definedName name="副露アガリ数" localSheetId="11">高野源太!$B$22</definedName>
    <definedName name="副露アガリ数" localSheetId="8">佐藤成浩!$B$22</definedName>
    <definedName name="副露アガリ数" localSheetId="20">小原陸哉!$B$22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>Template!$B$22</definedName>
    <definedName name="副露アガリ点" localSheetId="9">依田幸憲!$B$26</definedName>
    <definedName name="副露アガリ点" localSheetId="16">高橋桜!$B$26</definedName>
    <definedName name="副露アガリ点" localSheetId="11">高野源太!$B$26</definedName>
    <definedName name="副露アガリ点" localSheetId="8">佐藤成浩!$B$26</definedName>
    <definedName name="副露アガリ点" localSheetId="20">小原陸哉!$B$26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>Template!$B$26</definedName>
    <definedName name="副露アガリ率" localSheetId="9">依田幸憲!$C$22</definedName>
    <definedName name="副露アガリ率" localSheetId="16">高橋桜!$C$22</definedName>
    <definedName name="副露アガリ率" localSheetId="11">高野源太!$C$22</definedName>
    <definedName name="副露アガリ率" localSheetId="8">佐藤成浩!$C$22</definedName>
    <definedName name="副露アガリ率" localSheetId="20">小原陸哉!$C$22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>Template!$C$22</definedName>
    <definedName name="副露数" localSheetId="9">依田幸憲!$B$14</definedName>
    <definedName name="副露数" localSheetId="16">高橋桜!$B$14</definedName>
    <definedName name="副露数" localSheetId="11">高野源太!$B$14</definedName>
    <definedName name="副露数" localSheetId="8">佐藤成浩!$B$14</definedName>
    <definedName name="副露数" localSheetId="20">小原陸哉!$B$14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>Template!$B$14</definedName>
    <definedName name="副露成功数" localSheetId="9">依田幸憲!$B$16</definedName>
    <definedName name="副露成功数" localSheetId="16">高橋桜!$B$16</definedName>
    <definedName name="副露成功数" localSheetId="11">高野源太!$B$16</definedName>
    <definedName name="副露成功数" localSheetId="8">佐藤成浩!$B$16</definedName>
    <definedName name="副露成功数" localSheetId="20">小原陸哉!$B$16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>Template!$B$16</definedName>
    <definedName name="副露成功率" localSheetId="9">依田幸憲!$C$16</definedName>
    <definedName name="副露成功率" localSheetId="16">高橋桜!$C$16</definedName>
    <definedName name="副露成功率" localSheetId="11">高野源太!$C$16</definedName>
    <definedName name="副露成功率" localSheetId="8">佐藤成浩!$C$16</definedName>
    <definedName name="副露成功率" localSheetId="20">小原陸哉!$C$16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>Template!$C$16</definedName>
    <definedName name="副露率" localSheetId="9">依田幸憲!$C$14</definedName>
    <definedName name="副露率" localSheetId="16">高橋桜!$C$14</definedName>
    <definedName name="副露率" localSheetId="11">高野源太!$C$14</definedName>
    <definedName name="副露率" localSheetId="8">佐藤成浩!$C$14</definedName>
    <definedName name="副露率" localSheetId="20">小原陸哉!$C$14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>Template!$C$14</definedName>
    <definedName name="平均アガリ点" localSheetId="9">依田幸憲!$B$24</definedName>
    <definedName name="平均アガリ点" localSheetId="16">高橋桜!$B$24</definedName>
    <definedName name="平均アガリ点" localSheetId="11">高野源太!$B$24</definedName>
    <definedName name="平均アガリ点" localSheetId="8">佐藤成浩!$B$24</definedName>
    <definedName name="平均アガリ点" localSheetId="20">小原陸哉!$B$24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>Template!$B$24</definedName>
    <definedName name="平均スコア" localSheetId="9">依田幸憲!$B$5</definedName>
    <definedName name="平均スコア" localSheetId="16">高橋桜!$B$5</definedName>
    <definedName name="平均スコア" localSheetId="11">高野源太!$B$5</definedName>
    <definedName name="平均スコア" localSheetId="8">佐藤成浩!$B$5</definedName>
    <definedName name="平均スコア" localSheetId="20">小原陸哉!$B$5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>Template!$B$5</definedName>
    <definedName name="平均順位" localSheetId="9">依田幸憲!$B$6</definedName>
    <definedName name="平均順位" localSheetId="16">高橋桜!$B$6</definedName>
    <definedName name="平均順位" localSheetId="11">高野源太!$B$6</definedName>
    <definedName name="平均順位" localSheetId="8">佐藤成浩!$B$6</definedName>
    <definedName name="平均順位" localSheetId="20">小原陸哉!$B$6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>Template!$B$6</definedName>
    <definedName name="平均放銃点" localSheetId="9">依田幸憲!$B$27</definedName>
    <definedName name="平均放銃点" localSheetId="16">高橋桜!$B$27</definedName>
    <definedName name="平均放銃点" localSheetId="11">高野源太!$B$27</definedName>
    <definedName name="平均放銃点" localSheetId="8">佐藤成浩!$B$27</definedName>
    <definedName name="平均放銃点" localSheetId="20">小原陸哉!$B$27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>Template!$B$27</definedName>
    <definedName name="放銃数" localSheetId="9">依田幸憲!$B$18</definedName>
    <definedName name="放銃数" localSheetId="16">高橋桜!$B$18</definedName>
    <definedName name="放銃数" localSheetId="11">高野源太!$B$18</definedName>
    <definedName name="放銃数" localSheetId="8">佐藤成浩!$B$18</definedName>
    <definedName name="放銃数" localSheetId="20">小原陸哉!$B$18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>Template!$B$18</definedName>
    <definedName name="放銃率" localSheetId="9">依田幸憲!$C$18</definedName>
    <definedName name="放銃率" localSheetId="16">高橋桜!$C$18</definedName>
    <definedName name="放銃率" localSheetId="11">高野源太!$C$18</definedName>
    <definedName name="放銃率" localSheetId="8">佐藤成浩!$C$18</definedName>
    <definedName name="放銃率" localSheetId="20">小原陸哉!$C$18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>Template!$C$18</definedName>
    <definedName name="名前" localSheetId="9">依田幸憲!$B$1</definedName>
    <definedName name="名前" localSheetId="16">高橋桜!$B$1</definedName>
    <definedName name="名前" localSheetId="11">高野源太!$B$1</definedName>
    <definedName name="名前" localSheetId="8">佐藤成浩!$B$1</definedName>
    <definedName name="名前" localSheetId="20">小原陸哉!$B$1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>Template!$B$1</definedName>
    <definedName name="門前アガリ点" localSheetId="9">依田幸憲!$B$25</definedName>
    <definedName name="門前アガリ点" localSheetId="16">高橋桜!$B$25</definedName>
    <definedName name="門前アガリ点" localSheetId="11">高野源太!$B$25</definedName>
    <definedName name="門前アガリ点" localSheetId="8">佐藤成浩!$B$25</definedName>
    <definedName name="門前アガリ点" localSheetId="20">小原陸哉!$B$25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>Template!$B$25</definedName>
    <definedName name="連続アガリ" localSheetId="9">依田幸憲!$B$28</definedName>
    <definedName name="連続アガリ" localSheetId="16">高橋桜!$B$28</definedName>
    <definedName name="連続アガリ" localSheetId="11">高野源太!$B$28</definedName>
    <definedName name="連続アガリ" localSheetId="8">佐藤成浩!$B$28</definedName>
    <definedName name="連続アガリ" localSheetId="20">小原陸哉!$B$28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>Template!$B$28</definedName>
    <definedName name="連続無放銃" localSheetId="9">依田幸憲!$B$29</definedName>
    <definedName name="連続無放銃" localSheetId="16">高橋桜!$B$29</definedName>
    <definedName name="連続無放銃" localSheetId="11">高野源太!$B$29</definedName>
    <definedName name="連続無放銃" localSheetId="8">佐藤成浩!$B$29</definedName>
    <definedName name="連続無放銃" localSheetId="20">小原陸哉!$B$29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>Template!$B$29</definedName>
    <definedName name="連対数" localSheetId="9">依田幸憲!$B$11</definedName>
    <definedName name="連対数" localSheetId="16">高橋桜!$B$11</definedName>
    <definedName name="連対数" localSheetId="11">高野源太!$B$11</definedName>
    <definedName name="連対数" localSheetId="8">佐藤成浩!$B$11</definedName>
    <definedName name="連対数" localSheetId="20">小原陸哉!$B$11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>Template!$B$11</definedName>
    <definedName name="連対率" localSheetId="9">依田幸憲!$C$11</definedName>
    <definedName name="連対率" localSheetId="16">高橋桜!$C$11</definedName>
    <definedName name="連対率" localSheetId="11">高野源太!$C$11</definedName>
    <definedName name="連対率" localSheetId="8">佐藤成浩!$C$11</definedName>
    <definedName name="連対率" localSheetId="20">小原陸哉!$C$11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208" l="1"/>
  <c r="O22" i="6208"/>
  <c r="O29" i="6204"/>
  <c r="O18" i="6206"/>
  <c r="O21" i="6207"/>
  <c r="O25" i="6207"/>
  <c r="O20" i="6206"/>
  <c r="O18" i="6204"/>
  <c r="O18" i="6209" l="1"/>
  <c r="O19" i="6209"/>
  <c r="O20" i="6207"/>
  <c r="O27" i="6200"/>
  <c r="O20" i="6209"/>
  <c r="O22" i="6209"/>
  <c r="O21" i="6209"/>
  <c r="C47" i="6209"/>
  <c r="H42" i="6209"/>
  <c r="H38" i="6209"/>
  <c r="H34" i="6209"/>
  <c r="C32" i="6209"/>
  <c r="H31" i="6209"/>
  <c r="H27" i="6209"/>
  <c r="B27" i="6209"/>
  <c r="B26" i="6209"/>
  <c r="H25" i="6209"/>
  <c r="H23" i="6209"/>
  <c r="H21" i="6209"/>
  <c r="H19" i="6209"/>
  <c r="C18" i="6209"/>
  <c r="H17" i="6209"/>
  <c r="C17" i="6209"/>
  <c r="B17" i="6209"/>
  <c r="C46" i="6209" s="1"/>
  <c r="C16" i="6209"/>
  <c r="B16" i="6209"/>
  <c r="O15" i="6209"/>
  <c r="C15" i="6209"/>
  <c r="B15" i="6209"/>
  <c r="O14" i="6209"/>
  <c r="C14" i="6209"/>
  <c r="O13" i="6209"/>
  <c r="C13" i="6209"/>
  <c r="O12" i="6209"/>
  <c r="C12" i="6209"/>
  <c r="C11" i="6209"/>
  <c r="B11" i="6209"/>
  <c r="C10" i="6209"/>
  <c r="O9" i="6209"/>
  <c r="C9" i="6209"/>
  <c r="O8" i="6209"/>
  <c r="H8" i="6209"/>
  <c r="C8" i="6209"/>
  <c r="O7" i="6209"/>
  <c r="C7" i="6209"/>
  <c r="O6" i="6209"/>
  <c r="H6" i="6209"/>
  <c r="B6" i="6209"/>
  <c r="O5" i="6209"/>
  <c r="B5" i="6209"/>
  <c r="O4" i="6209"/>
  <c r="H4" i="6209"/>
  <c r="O3" i="6209"/>
  <c r="H3" i="6209"/>
  <c r="O2" i="6209"/>
  <c r="H2" i="6209"/>
  <c r="O27" i="6196"/>
  <c r="O21" i="6196"/>
  <c r="O21" i="6197"/>
  <c r="O18" i="6197"/>
  <c r="O25" i="6192"/>
  <c r="O19" i="6208"/>
  <c r="O18" i="6208"/>
  <c r="O21" i="6208"/>
  <c r="C32" i="6208"/>
  <c r="B27" i="6208"/>
  <c r="C18" i="6208"/>
  <c r="B17" i="6208"/>
  <c r="C45" i="6208" s="1"/>
  <c r="B16" i="6208"/>
  <c r="B26" i="6208" s="1"/>
  <c r="O15" i="6208"/>
  <c r="C15" i="6208"/>
  <c r="B15" i="6208"/>
  <c r="O14" i="6208"/>
  <c r="C14" i="6208"/>
  <c r="O13" i="6208"/>
  <c r="C13" i="6208"/>
  <c r="O12" i="6208"/>
  <c r="C12" i="6208"/>
  <c r="C11" i="6208"/>
  <c r="B11" i="6208"/>
  <c r="C10" i="6208"/>
  <c r="O9" i="6208"/>
  <c r="C9" i="6208"/>
  <c r="O8" i="6208"/>
  <c r="C8" i="6208"/>
  <c r="O7" i="6208"/>
  <c r="C7" i="6208"/>
  <c r="O6" i="6208"/>
  <c r="B6" i="6208"/>
  <c r="O5" i="6208"/>
  <c r="B5" i="6208"/>
  <c r="O4" i="6208"/>
  <c r="O3" i="6208"/>
  <c r="O2" i="6208"/>
  <c r="O22" i="6192"/>
  <c r="C16" i="6208" l="1"/>
  <c r="H11" i="6209"/>
  <c r="H14" i="6209"/>
  <c r="H16" i="6209"/>
  <c r="C20" i="6209"/>
  <c r="B24" i="6209"/>
  <c r="H28" i="6209"/>
  <c r="C35" i="6209"/>
  <c r="C39" i="6209"/>
  <c r="C43" i="6209"/>
  <c r="H20" i="6209"/>
  <c r="H24" i="6209"/>
  <c r="H29" i="6209"/>
  <c r="H35" i="6209"/>
  <c r="H39" i="6209"/>
  <c r="H43" i="6209"/>
  <c r="H9" i="6209"/>
  <c r="H12" i="6209"/>
  <c r="C21" i="6209"/>
  <c r="B25" i="6209"/>
  <c r="H30" i="6209"/>
  <c r="C36" i="6209"/>
  <c r="C40" i="6209"/>
  <c r="C44" i="6209"/>
  <c r="H36" i="6209"/>
  <c r="H40" i="6209"/>
  <c r="H44" i="6209"/>
  <c r="H7" i="6209"/>
  <c r="H15" i="6209"/>
  <c r="C22" i="6209"/>
  <c r="C37" i="6209"/>
  <c r="C41" i="6209"/>
  <c r="C45" i="6209"/>
  <c r="H10" i="6209"/>
  <c r="H13" i="6209"/>
  <c r="H18" i="6209"/>
  <c r="H22" i="6209"/>
  <c r="H26" i="6209"/>
  <c r="H32" i="6209"/>
  <c r="H37" i="6209"/>
  <c r="H41" i="6209"/>
  <c r="H45" i="6209"/>
  <c r="H5" i="6209"/>
  <c r="C19" i="6209"/>
  <c r="C23" i="6209"/>
  <c r="H33" i="6209"/>
  <c r="C38" i="6209"/>
  <c r="C42" i="6209"/>
  <c r="H2" i="6208"/>
  <c r="H7" i="6208"/>
  <c r="C17" i="6208"/>
  <c r="H23" i="6208"/>
  <c r="H5" i="6208"/>
  <c r="H19" i="6208"/>
  <c r="H27" i="6208"/>
  <c r="H14" i="6208"/>
  <c r="H33" i="6208"/>
  <c r="H38" i="6208"/>
  <c r="H42" i="6208"/>
  <c r="H3" i="6208"/>
  <c r="H10" i="6208"/>
  <c r="C19" i="6208"/>
  <c r="C23" i="6208"/>
  <c r="H34" i="6208"/>
  <c r="C38" i="6208"/>
  <c r="C42" i="6208"/>
  <c r="C46" i="6208"/>
  <c r="H4" i="6208"/>
  <c r="H9" i="6208"/>
  <c r="H20" i="6208"/>
  <c r="H24" i="6208"/>
  <c r="H28" i="6208"/>
  <c r="H35" i="6208"/>
  <c r="H39" i="6208"/>
  <c r="H43" i="6208"/>
  <c r="C47" i="6208"/>
  <c r="H12" i="6208"/>
  <c r="H15" i="6208"/>
  <c r="H17" i="6208"/>
  <c r="C20" i="6208"/>
  <c r="B24" i="6208"/>
  <c r="H29" i="6208"/>
  <c r="C35" i="6208"/>
  <c r="C39" i="6208"/>
  <c r="C43" i="6208"/>
  <c r="H21" i="6208"/>
  <c r="H25" i="6208"/>
  <c r="H30" i="6208"/>
  <c r="H36" i="6208"/>
  <c r="H40" i="6208"/>
  <c r="H44" i="6208"/>
  <c r="H11" i="6208"/>
  <c r="H13" i="6208"/>
  <c r="C21" i="6208"/>
  <c r="B25" i="6208"/>
  <c r="H31" i="6208"/>
  <c r="C36" i="6208"/>
  <c r="C40" i="6208"/>
  <c r="C44" i="6208"/>
  <c r="H6" i="6208"/>
  <c r="H18" i="6208"/>
  <c r="H22" i="6208"/>
  <c r="H26" i="6208"/>
  <c r="H32" i="6208"/>
  <c r="H37" i="6208"/>
  <c r="H41" i="6208"/>
  <c r="H45" i="6208"/>
  <c r="H8" i="6208"/>
  <c r="H16" i="6208"/>
  <c r="C22" i="6208"/>
  <c r="C37" i="6208"/>
  <c r="C41" i="6208"/>
  <c r="O26" i="6197" l="1"/>
  <c r="O18" i="6207"/>
  <c r="O19" i="6207"/>
  <c r="O25" i="6193"/>
  <c r="O24" i="6207"/>
  <c r="O22" i="6207"/>
  <c r="O23" i="6207"/>
  <c r="C32" i="6207"/>
  <c r="B27" i="6207"/>
  <c r="C18" i="6207"/>
  <c r="B17" i="6207"/>
  <c r="C45" i="6207" s="1"/>
  <c r="B16" i="6207"/>
  <c r="B26" i="6207" s="1"/>
  <c r="O15" i="6207"/>
  <c r="B15" i="6207"/>
  <c r="C15" i="6207" s="1"/>
  <c r="O14" i="6207"/>
  <c r="C14" i="6207"/>
  <c r="O13" i="6207"/>
  <c r="C13" i="6207"/>
  <c r="O12" i="6207"/>
  <c r="C12" i="6207"/>
  <c r="C11" i="6207"/>
  <c r="B11" i="6207"/>
  <c r="C10" i="6207"/>
  <c r="O9" i="6207"/>
  <c r="C9" i="6207"/>
  <c r="O8" i="6207"/>
  <c r="C8" i="6207"/>
  <c r="O7" i="6207"/>
  <c r="C7" i="6207"/>
  <c r="O6" i="6207"/>
  <c r="B6" i="6207"/>
  <c r="O5" i="6207"/>
  <c r="B5" i="6207"/>
  <c r="O4" i="6207"/>
  <c r="O3" i="6207"/>
  <c r="O2" i="6207"/>
  <c r="O19" i="6196"/>
  <c r="O31" i="6200"/>
  <c r="O23" i="6200"/>
  <c r="O22" i="6195"/>
  <c r="O19" i="6195"/>
  <c r="O21" i="6192"/>
  <c r="C17" i="6207" l="1"/>
  <c r="C16" i="6207"/>
  <c r="H4" i="6207"/>
  <c r="H5" i="6207"/>
  <c r="H33" i="6207"/>
  <c r="C38" i="6207"/>
  <c r="H20" i="6207"/>
  <c r="H34" i="6207"/>
  <c r="H38" i="6207"/>
  <c r="H42" i="6207"/>
  <c r="H7" i="6207"/>
  <c r="C19" i="6207"/>
  <c r="H3" i="6207"/>
  <c r="H9" i="6207"/>
  <c r="C23" i="6207"/>
  <c r="H15" i="6207"/>
  <c r="H27" i="6207"/>
  <c r="H6" i="6207"/>
  <c r="C42" i="6207"/>
  <c r="C46" i="6207"/>
  <c r="H2" i="6207"/>
  <c r="H12" i="6207"/>
  <c r="H21" i="6207"/>
  <c r="H24" i="6207"/>
  <c r="H28" i="6207"/>
  <c r="H35" i="6207"/>
  <c r="H39" i="6207"/>
  <c r="H43" i="6207"/>
  <c r="C47" i="6207"/>
  <c r="H13" i="6207"/>
  <c r="H16" i="6207"/>
  <c r="H18" i="6207"/>
  <c r="C20" i="6207"/>
  <c r="B24" i="6207"/>
  <c r="H29" i="6207"/>
  <c r="C35" i="6207"/>
  <c r="C39" i="6207"/>
  <c r="C43" i="6207"/>
  <c r="H25" i="6207"/>
  <c r="H30" i="6207"/>
  <c r="H36" i="6207"/>
  <c r="H40" i="6207"/>
  <c r="H44" i="6207"/>
  <c r="H8" i="6207"/>
  <c r="H14" i="6207"/>
  <c r="C21" i="6207"/>
  <c r="B25" i="6207"/>
  <c r="H31" i="6207"/>
  <c r="C36" i="6207"/>
  <c r="C40" i="6207"/>
  <c r="C44" i="6207"/>
  <c r="H22" i="6207"/>
  <c r="H10" i="6207"/>
  <c r="H19" i="6207"/>
  <c r="H23" i="6207"/>
  <c r="H26" i="6207"/>
  <c r="H32" i="6207"/>
  <c r="H37" i="6207"/>
  <c r="H41" i="6207"/>
  <c r="H45" i="6207"/>
  <c r="H11" i="6207"/>
  <c r="H17" i="6207"/>
  <c r="C22" i="6207"/>
  <c r="C37" i="6207"/>
  <c r="C41" i="6207"/>
  <c r="O25" i="6206" l="1"/>
  <c r="O23" i="6204"/>
  <c r="O25" i="6195"/>
  <c r="O24" i="6196"/>
  <c r="O28" i="6197"/>
  <c r="O28" i="6204"/>
  <c r="O19" i="6206"/>
  <c r="O21" i="6206"/>
  <c r="O20" i="6198" l="1"/>
  <c r="O19" i="6198"/>
  <c r="O23" i="6197"/>
  <c r="O22" i="6204"/>
  <c r="O27" i="6204"/>
  <c r="O22" i="6194"/>
  <c r="O20" i="6196" l="1"/>
  <c r="O22" i="6206"/>
  <c r="O23" i="6206"/>
  <c r="O24" i="6206"/>
  <c r="C32" i="6206"/>
  <c r="B27" i="6206"/>
  <c r="C18" i="6206"/>
  <c r="C17" i="6206"/>
  <c r="B17" i="6206"/>
  <c r="C45" i="6206" s="1"/>
  <c r="B16" i="6206"/>
  <c r="B26" i="6206" s="1"/>
  <c r="O15" i="6206"/>
  <c r="B15" i="6206"/>
  <c r="C15" i="6206" s="1"/>
  <c r="O14" i="6206"/>
  <c r="C14" i="6206"/>
  <c r="O13" i="6206"/>
  <c r="H17" i="6206"/>
  <c r="C13" i="6206"/>
  <c r="O12" i="6206"/>
  <c r="C12" i="6206"/>
  <c r="B11" i="6206"/>
  <c r="C11" i="6206" s="1"/>
  <c r="H7" i="6206"/>
  <c r="C10" i="6206"/>
  <c r="O9" i="6206"/>
  <c r="C9" i="6206"/>
  <c r="O8" i="6206"/>
  <c r="C8" i="6206"/>
  <c r="O7" i="6206"/>
  <c r="C7" i="6206"/>
  <c r="O6" i="6206"/>
  <c r="H8" i="6206"/>
  <c r="B6" i="6206"/>
  <c r="O5" i="6206"/>
  <c r="B5" i="6206"/>
  <c r="O4" i="6206"/>
  <c r="O3" i="6206"/>
  <c r="H13" i="6206"/>
  <c r="O2" i="6206"/>
  <c r="O22" i="6193"/>
  <c r="O28" i="6200"/>
  <c r="O30" i="6192"/>
  <c r="C16" i="6206" l="1"/>
  <c r="H20" i="6206"/>
  <c r="H22" i="6206"/>
  <c r="H24" i="6206"/>
  <c r="H26" i="6206"/>
  <c r="H28" i="6206"/>
  <c r="H30" i="6206"/>
  <c r="H33" i="6206"/>
  <c r="H36" i="6206"/>
  <c r="H38" i="6206"/>
  <c r="H40" i="6206"/>
  <c r="H42" i="6206"/>
  <c r="H44" i="6206"/>
  <c r="H4" i="6206"/>
  <c r="H14" i="6206"/>
  <c r="H3" i="6206"/>
  <c r="H16" i="6206"/>
  <c r="C19" i="6206"/>
  <c r="C21" i="6206"/>
  <c r="C23" i="6206"/>
  <c r="B25" i="6206"/>
  <c r="H31" i="6206"/>
  <c r="H34" i="6206"/>
  <c r="C36" i="6206"/>
  <c r="C38" i="6206"/>
  <c r="C40" i="6206"/>
  <c r="C42" i="6206"/>
  <c r="C44" i="6206"/>
  <c r="C46" i="6206"/>
  <c r="H6" i="6206"/>
  <c r="H2" i="6206"/>
  <c r="H9" i="6206"/>
  <c r="H11" i="6206"/>
  <c r="H21" i="6206"/>
  <c r="H23" i="6206"/>
  <c r="H25" i="6206"/>
  <c r="H27" i="6206"/>
  <c r="H29" i="6206"/>
  <c r="H32" i="6206"/>
  <c r="H35" i="6206"/>
  <c r="H37" i="6206"/>
  <c r="H39" i="6206"/>
  <c r="H41" i="6206"/>
  <c r="H43" i="6206"/>
  <c r="H45" i="6206"/>
  <c r="C47" i="6206"/>
  <c r="H5" i="6206"/>
  <c r="H15" i="6206"/>
  <c r="H18" i="6206"/>
  <c r="H19" i="6206"/>
  <c r="H10" i="6206"/>
  <c r="C20" i="6206"/>
  <c r="C22" i="6206"/>
  <c r="B24" i="6206"/>
  <c r="H12" i="6206"/>
  <c r="C35" i="6206"/>
  <c r="C37" i="6206"/>
  <c r="C39" i="6206"/>
  <c r="C41" i="6206"/>
  <c r="C43" i="6206"/>
  <c r="O23" i="6194" l="1"/>
  <c r="O19" i="6194"/>
  <c r="O19" i="6200"/>
  <c r="O25" i="6204"/>
  <c r="O18" i="6205"/>
  <c r="O22" i="6205"/>
  <c r="O30" i="6200"/>
  <c r="O18" i="6196"/>
  <c r="O22" i="6197" l="1"/>
  <c r="O26" i="6196"/>
  <c r="O30" i="6204"/>
  <c r="O24" i="6204"/>
  <c r="O21" i="6204"/>
  <c r="O20" i="6195"/>
  <c r="O23" i="6195"/>
  <c r="O18" i="6193"/>
  <c r="O24" i="6193"/>
  <c r="O19" i="6192"/>
  <c r="O19" i="6205"/>
  <c r="O21" i="6205"/>
  <c r="O20" i="6205"/>
  <c r="C45" i="6205"/>
  <c r="C43" i="6205"/>
  <c r="C41" i="6205"/>
  <c r="C39" i="6205"/>
  <c r="C37" i="6205"/>
  <c r="C35" i="6205"/>
  <c r="C32" i="6205"/>
  <c r="H28" i="6205"/>
  <c r="B27" i="6205"/>
  <c r="B26" i="6205"/>
  <c r="B24" i="6205"/>
  <c r="C22" i="6205"/>
  <c r="C20" i="6205"/>
  <c r="C18" i="6205"/>
  <c r="C17" i="6205"/>
  <c r="B17" i="6205"/>
  <c r="C47" i="6205" s="1"/>
  <c r="H16" i="6205"/>
  <c r="C16" i="6205"/>
  <c r="B16" i="6205"/>
  <c r="O15" i="6205"/>
  <c r="H15" i="6205"/>
  <c r="C15" i="6205"/>
  <c r="B15" i="6205"/>
  <c r="O14" i="6205"/>
  <c r="H14" i="6205"/>
  <c r="C14" i="6205"/>
  <c r="O13" i="6205"/>
  <c r="C13" i="6205"/>
  <c r="O12" i="6205"/>
  <c r="C12" i="6205"/>
  <c r="H11" i="6205"/>
  <c r="C11" i="6205"/>
  <c r="B11" i="6205"/>
  <c r="C10" i="6205"/>
  <c r="O9" i="6205"/>
  <c r="C9" i="6205"/>
  <c r="O8" i="6205"/>
  <c r="C8" i="6205"/>
  <c r="O7" i="6205"/>
  <c r="H7" i="6205"/>
  <c r="C7" i="6205"/>
  <c r="O6" i="6205"/>
  <c r="H6" i="6205"/>
  <c r="B6" i="6205"/>
  <c r="O5" i="6205"/>
  <c r="B5" i="6205"/>
  <c r="O4" i="6205"/>
  <c r="O3" i="6205"/>
  <c r="H3" i="6205"/>
  <c r="O2" i="6205"/>
  <c r="H18" i="6205" l="1"/>
  <c r="H20" i="6205"/>
  <c r="H22" i="6205"/>
  <c r="H24" i="6205"/>
  <c r="H26" i="6205"/>
  <c r="H29" i="6205"/>
  <c r="H32" i="6205"/>
  <c r="H35" i="6205"/>
  <c r="H37" i="6205"/>
  <c r="H39" i="6205"/>
  <c r="H41" i="6205"/>
  <c r="H43" i="6205"/>
  <c r="H45" i="6205"/>
  <c r="H10" i="6205"/>
  <c r="H13" i="6205"/>
  <c r="C46" i="6205"/>
  <c r="H5" i="6205"/>
  <c r="H9" i="6205"/>
  <c r="H12" i="6205"/>
  <c r="C19" i="6205"/>
  <c r="C21" i="6205"/>
  <c r="C23" i="6205"/>
  <c r="B25" i="6205"/>
  <c r="H30" i="6205"/>
  <c r="H33" i="6205"/>
  <c r="C36" i="6205"/>
  <c r="C38" i="6205"/>
  <c r="C40" i="6205"/>
  <c r="C42" i="6205"/>
  <c r="C44" i="6205"/>
  <c r="H2" i="6205"/>
  <c r="H4" i="6205"/>
  <c r="H8" i="6205"/>
  <c r="H17" i="6205"/>
  <c r="H19" i="6205"/>
  <c r="H21" i="6205"/>
  <c r="H23" i="6205"/>
  <c r="H25" i="6205"/>
  <c r="H27" i="6205"/>
  <c r="H31" i="6205"/>
  <c r="H34" i="6205"/>
  <c r="H36" i="6205"/>
  <c r="H38" i="6205"/>
  <c r="H40" i="6205"/>
  <c r="H42" i="6205"/>
  <c r="H44" i="6205"/>
  <c r="O29" i="6200" l="1"/>
  <c r="O20" i="6200"/>
  <c r="O20" i="6204"/>
  <c r="O19" i="6204"/>
  <c r="O26" i="6204"/>
  <c r="C32" i="6204"/>
  <c r="B27" i="6204"/>
  <c r="C18" i="6204"/>
  <c r="B17" i="6204"/>
  <c r="C45" i="6204" s="1"/>
  <c r="B16" i="6204"/>
  <c r="B26" i="6204" s="1"/>
  <c r="O15" i="6204"/>
  <c r="B15" i="6204"/>
  <c r="C15" i="6204" s="1"/>
  <c r="O14" i="6204"/>
  <c r="C14" i="6204"/>
  <c r="O13" i="6204"/>
  <c r="C13" i="6204"/>
  <c r="O12" i="6204"/>
  <c r="C12" i="6204"/>
  <c r="B11" i="6204"/>
  <c r="C11" i="6204" s="1"/>
  <c r="C10" i="6204"/>
  <c r="O9" i="6204"/>
  <c r="C9" i="6204"/>
  <c r="O8" i="6204"/>
  <c r="C8" i="6204"/>
  <c r="O7" i="6204"/>
  <c r="C7" i="6204"/>
  <c r="O6" i="6204"/>
  <c r="B6" i="6204"/>
  <c r="O5" i="6204"/>
  <c r="B5" i="6204"/>
  <c r="O4" i="6204"/>
  <c r="O3" i="6204"/>
  <c r="O2" i="6204"/>
  <c r="O19" i="6201"/>
  <c r="O22" i="6201"/>
  <c r="O18" i="6192"/>
  <c r="O19" i="6203"/>
  <c r="O20" i="6203"/>
  <c r="O18" i="6203"/>
  <c r="C47" i="6203"/>
  <c r="C46" i="6203"/>
  <c r="C45" i="6203"/>
  <c r="H44" i="6203"/>
  <c r="C44" i="6203"/>
  <c r="C43" i="6203"/>
  <c r="H42" i="6203"/>
  <c r="C42" i="6203"/>
  <c r="C41" i="6203"/>
  <c r="H40" i="6203"/>
  <c r="C40" i="6203"/>
  <c r="C39" i="6203"/>
  <c r="H38" i="6203"/>
  <c r="C38" i="6203"/>
  <c r="C37" i="6203"/>
  <c r="H36" i="6203"/>
  <c r="C36" i="6203"/>
  <c r="C35" i="6203"/>
  <c r="H34" i="6203"/>
  <c r="H33" i="6203"/>
  <c r="C32" i="6203"/>
  <c r="H31" i="6203"/>
  <c r="H30" i="6203"/>
  <c r="H28" i="6203"/>
  <c r="H27" i="6203"/>
  <c r="B27" i="6203"/>
  <c r="B26" i="6203"/>
  <c r="H25" i="6203"/>
  <c r="B24" i="6203"/>
  <c r="H23" i="6203"/>
  <c r="C23" i="6203"/>
  <c r="C22" i="6203"/>
  <c r="H21" i="6203"/>
  <c r="C21" i="6203"/>
  <c r="C20" i="6203"/>
  <c r="H19" i="6203"/>
  <c r="C19" i="6203"/>
  <c r="C18" i="6203"/>
  <c r="H17" i="6203"/>
  <c r="C17" i="6203"/>
  <c r="B17" i="6203"/>
  <c r="H45" i="6203" s="1"/>
  <c r="H16" i="6203"/>
  <c r="C16" i="6203"/>
  <c r="B16" i="6203"/>
  <c r="B25" i="6203" s="1"/>
  <c r="O15" i="6203"/>
  <c r="H15" i="6203"/>
  <c r="C15" i="6203"/>
  <c r="B15" i="6203"/>
  <c r="O14" i="6203"/>
  <c r="H14" i="6203"/>
  <c r="C14" i="6203"/>
  <c r="O13" i="6203"/>
  <c r="H13" i="6203"/>
  <c r="C13" i="6203"/>
  <c r="O12" i="6203"/>
  <c r="H12" i="6203"/>
  <c r="C12" i="6203"/>
  <c r="H11" i="6203"/>
  <c r="C11" i="6203"/>
  <c r="B11" i="6203"/>
  <c r="H10" i="6203"/>
  <c r="C10" i="6203"/>
  <c r="O9" i="6203"/>
  <c r="H9" i="6203"/>
  <c r="C9" i="6203"/>
  <c r="O8" i="6203"/>
  <c r="H8" i="6203"/>
  <c r="C8" i="6203"/>
  <c r="O7" i="6203"/>
  <c r="H7" i="6203"/>
  <c r="C7" i="6203"/>
  <c r="O6" i="6203"/>
  <c r="H6" i="6203"/>
  <c r="B6" i="6203"/>
  <c r="O5" i="6203"/>
  <c r="H5" i="6203"/>
  <c r="B5" i="6203"/>
  <c r="O4" i="6203"/>
  <c r="H4" i="6203"/>
  <c r="O3" i="6203"/>
  <c r="H3" i="6203"/>
  <c r="O2" i="6203"/>
  <c r="H2" i="6203"/>
  <c r="O28" i="6192"/>
  <c r="O23" i="6198"/>
  <c r="O18" i="6198"/>
  <c r="O18" i="6195"/>
  <c r="O24" i="6195"/>
  <c r="O21" i="6195"/>
  <c r="O21" i="6202"/>
  <c r="O22" i="6202"/>
  <c r="O29" i="6197"/>
  <c r="C16" i="6204" l="1"/>
  <c r="H16" i="6204"/>
  <c r="H9" i="6204"/>
  <c r="C17" i="6204"/>
  <c r="H8" i="6204"/>
  <c r="H2" i="6204"/>
  <c r="H21" i="6204"/>
  <c r="H23" i="6204"/>
  <c r="H25" i="6204"/>
  <c r="H27" i="6204"/>
  <c r="H29" i="6204"/>
  <c r="H14" i="6204"/>
  <c r="H33" i="6204"/>
  <c r="H36" i="6204"/>
  <c r="H38" i="6204"/>
  <c r="H40" i="6204"/>
  <c r="H42" i="6204"/>
  <c r="H44" i="6204"/>
  <c r="H4" i="6204"/>
  <c r="H7" i="6204"/>
  <c r="H11" i="6204"/>
  <c r="H12" i="6204"/>
  <c r="C19" i="6204"/>
  <c r="C21" i="6204"/>
  <c r="C23" i="6204"/>
  <c r="B25" i="6204"/>
  <c r="H31" i="6204"/>
  <c r="H34" i="6204"/>
  <c r="C36" i="6204"/>
  <c r="C38" i="6204"/>
  <c r="C40" i="6204"/>
  <c r="C42" i="6204"/>
  <c r="C44" i="6204"/>
  <c r="C46" i="6204"/>
  <c r="H5" i="6204"/>
  <c r="H3" i="6204"/>
  <c r="H10" i="6204"/>
  <c r="H20" i="6204"/>
  <c r="H22" i="6204"/>
  <c r="H24" i="6204"/>
  <c r="H26" i="6204"/>
  <c r="H28" i="6204"/>
  <c r="H13" i="6204"/>
  <c r="H32" i="6204"/>
  <c r="H35" i="6204"/>
  <c r="H37" i="6204"/>
  <c r="H39" i="6204"/>
  <c r="H41" i="6204"/>
  <c r="H43" i="6204"/>
  <c r="H45" i="6204"/>
  <c r="C47" i="6204"/>
  <c r="H6" i="6204"/>
  <c r="H15" i="6204"/>
  <c r="H17" i="6204"/>
  <c r="H18" i="6204"/>
  <c r="H19" i="6204"/>
  <c r="C20" i="6204"/>
  <c r="C22" i="6204"/>
  <c r="B24" i="6204"/>
  <c r="H30" i="6204"/>
  <c r="C35" i="6204"/>
  <c r="C37" i="6204"/>
  <c r="C39" i="6204"/>
  <c r="C41" i="6204"/>
  <c r="C43" i="6204"/>
  <c r="H18" i="6203"/>
  <c r="H20" i="6203"/>
  <c r="H22" i="6203"/>
  <c r="H24" i="6203"/>
  <c r="H26" i="6203"/>
  <c r="H29" i="6203"/>
  <c r="H32" i="6203"/>
  <c r="H35" i="6203"/>
  <c r="H37" i="6203"/>
  <c r="H39" i="6203"/>
  <c r="H41" i="6203"/>
  <c r="H43" i="6203"/>
  <c r="O21" i="6193" l="1"/>
  <c r="O28" i="6193"/>
  <c r="O26" i="6194"/>
  <c r="O27" i="6194"/>
  <c r="O25" i="6197"/>
  <c r="O24" i="6197"/>
  <c r="O19" i="6197"/>
  <c r="O27" i="6192"/>
  <c r="O19" i="6202"/>
  <c r="O18" i="6202"/>
  <c r="O20" i="6202"/>
  <c r="C32" i="6202"/>
  <c r="B27" i="6202"/>
  <c r="C18" i="6202"/>
  <c r="B17" i="6202"/>
  <c r="C45" i="6202" s="1"/>
  <c r="C16" i="6202"/>
  <c r="B16" i="6202"/>
  <c r="B26" i="6202" s="1"/>
  <c r="O15" i="6202"/>
  <c r="B15" i="6202"/>
  <c r="C15" i="6202" s="1"/>
  <c r="O14" i="6202"/>
  <c r="C14" i="6202"/>
  <c r="O13" i="6202"/>
  <c r="C13" i="6202"/>
  <c r="O12" i="6202"/>
  <c r="C12" i="6202"/>
  <c r="B11" i="6202"/>
  <c r="C11" i="6202" s="1"/>
  <c r="C10" i="6202"/>
  <c r="O9" i="6202"/>
  <c r="C9" i="6202"/>
  <c r="O8" i="6202"/>
  <c r="C8" i="6202"/>
  <c r="O7" i="6202"/>
  <c r="C7" i="6202"/>
  <c r="O6" i="6202"/>
  <c r="B6" i="6202"/>
  <c r="O5" i="6202"/>
  <c r="B5" i="6202"/>
  <c r="O4" i="6202"/>
  <c r="O3" i="6202"/>
  <c r="O2" i="6202"/>
  <c r="O24" i="6194"/>
  <c r="O25" i="6194"/>
  <c r="O25" i="6200"/>
  <c r="O21" i="6200"/>
  <c r="O26" i="6200"/>
  <c r="O18" i="6201"/>
  <c r="O20" i="6201"/>
  <c r="O21" i="6201"/>
  <c r="C32" i="6201"/>
  <c r="B27" i="6201"/>
  <c r="C18" i="6201"/>
  <c r="B17" i="6201"/>
  <c r="C45" i="6201" s="1"/>
  <c r="C16" i="6201"/>
  <c r="B16" i="6201"/>
  <c r="B26" i="6201" s="1"/>
  <c r="O15" i="6201"/>
  <c r="B15" i="6201"/>
  <c r="C15" i="6201" s="1"/>
  <c r="O14" i="6201"/>
  <c r="C14" i="6201"/>
  <c r="O13" i="6201"/>
  <c r="H14" i="6201"/>
  <c r="C13" i="6201"/>
  <c r="O12" i="6201"/>
  <c r="C12" i="6201"/>
  <c r="B11" i="6201"/>
  <c r="C11" i="6201" s="1"/>
  <c r="H8" i="6201"/>
  <c r="C10" i="6201"/>
  <c r="O9" i="6201"/>
  <c r="C9" i="6201"/>
  <c r="O8" i="6201"/>
  <c r="C8" i="6201"/>
  <c r="O7" i="6201"/>
  <c r="C7" i="6201"/>
  <c r="O6" i="6201"/>
  <c r="B6" i="6201"/>
  <c r="O5" i="6201"/>
  <c r="B5" i="6201"/>
  <c r="O4" i="6201"/>
  <c r="O3" i="6201"/>
  <c r="H4" i="6201"/>
  <c r="O2" i="6201"/>
  <c r="O26" i="6193"/>
  <c r="O27" i="6193"/>
  <c r="O26" i="6192"/>
  <c r="C17" i="6201" l="1"/>
  <c r="H6" i="6201"/>
  <c r="H5" i="6202"/>
  <c r="H8" i="6202"/>
  <c r="C17" i="6202"/>
  <c r="H11" i="6202"/>
  <c r="H15" i="6202"/>
  <c r="H20" i="6202"/>
  <c r="H9" i="6202"/>
  <c r="H23" i="6202"/>
  <c r="H25" i="6202"/>
  <c r="H27" i="6202"/>
  <c r="H30" i="6202"/>
  <c r="H33" i="6202"/>
  <c r="H36" i="6202"/>
  <c r="H38" i="6202"/>
  <c r="H40" i="6202"/>
  <c r="H42" i="6202"/>
  <c r="H44" i="6202"/>
  <c r="H10" i="6202"/>
  <c r="H4" i="6202"/>
  <c r="H7" i="6202"/>
  <c r="H14" i="6202"/>
  <c r="C19" i="6202"/>
  <c r="C21" i="6202"/>
  <c r="C23" i="6202"/>
  <c r="B25" i="6202"/>
  <c r="H31" i="6202"/>
  <c r="H34" i="6202"/>
  <c r="C36" i="6202"/>
  <c r="C38" i="6202"/>
  <c r="C40" i="6202"/>
  <c r="C42" i="6202"/>
  <c r="C44" i="6202"/>
  <c r="C46" i="6202"/>
  <c r="H2" i="6202"/>
  <c r="H3" i="6202"/>
  <c r="H12" i="6202"/>
  <c r="H19" i="6202"/>
  <c r="H21" i="6202"/>
  <c r="H22" i="6202"/>
  <c r="H24" i="6202"/>
  <c r="H26" i="6202"/>
  <c r="H28" i="6202"/>
  <c r="H32" i="6202"/>
  <c r="H35" i="6202"/>
  <c r="H37" i="6202"/>
  <c r="H39" i="6202"/>
  <c r="H41" i="6202"/>
  <c r="H43" i="6202"/>
  <c r="H45" i="6202"/>
  <c r="C47" i="6202"/>
  <c r="H6" i="6202"/>
  <c r="H13" i="6202"/>
  <c r="H16" i="6202"/>
  <c r="H17" i="6202"/>
  <c r="H18" i="6202"/>
  <c r="C20" i="6202"/>
  <c r="C22" i="6202"/>
  <c r="B24" i="6202"/>
  <c r="H29" i="6202"/>
  <c r="C35" i="6202"/>
  <c r="C37" i="6202"/>
  <c r="C39" i="6202"/>
  <c r="C41" i="6202"/>
  <c r="C43" i="6202"/>
  <c r="H19" i="6201"/>
  <c r="H21" i="6201"/>
  <c r="H23" i="6201"/>
  <c r="H25" i="6201"/>
  <c r="H27" i="6201"/>
  <c r="H30" i="6201"/>
  <c r="H33" i="6201"/>
  <c r="H36" i="6201"/>
  <c r="H38" i="6201"/>
  <c r="H40" i="6201"/>
  <c r="H42" i="6201"/>
  <c r="H44" i="6201"/>
  <c r="H9" i="6201"/>
  <c r="H5" i="6201"/>
  <c r="H11" i="6201"/>
  <c r="H13" i="6201"/>
  <c r="C19" i="6201"/>
  <c r="C21" i="6201"/>
  <c r="C23" i="6201"/>
  <c r="B25" i="6201"/>
  <c r="H31" i="6201"/>
  <c r="H34" i="6201"/>
  <c r="C36" i="6201"/>
  <c r="C38" i="6201"/>
  <c r="C40" i="6201"/>
  <c r="C42" i="6201"/>
  <c r="C44" i="6201"/>
  <c r="C46" i="6201"/>
  <c r="H3" i="6201"/>
  <c r="H2" i="6201"/>
  <c r="H10" i="6201"/>
  <c r="H18" i="6201"/>
  <c r="H20" i="6201"/>
  <c r="H22" i="6201"/>
  <c r="H24" i="6201"/>
  <c r="H26" i="6201"/>
  <c r="H28" i="6201"/>
  <c r="H32" i="6201"/>
  <c r="H35" i="6201"/>
  <c r="H37" i="6201"/>
  <c r="H39" i="6201"/>
  <c r="H41" i="6201"/>
  <c r="H43" i="6201"/>
  <c r="H45" i="6201"/>
  <c r="C47" i="6201"/>
  <c r="H7" i="6201"/>
  <c r="H12" i="6201"/>
  <c r="H15" i="6201"/>
  <c r="H16" i="6201"/>
  <c r="H17" i="6201"/>
  <c r="C20" i="6201"/>
  <c r="C22" i="6201"/>
  <c r="B24" i="6201"/>
  <c r="H29" i="6201"/>
  <c r="C35" i="6201"/>
  <c r="C37" i="6201"/>
  <c r="C39" i="6201"/>
  <c r="C41" i="6201"/>
  <c r="C43" i="6201"/>
  <c r="O24" i="6200" l="1"/>
  <c r="O18" i="6200"/>
  <c r="O22" i="6200"/>
  <c r="C32" i="6200"/>
  <c r="B27" i="6200"/>
  <c r="C18" i="6200"/>
  <c r="B17" i="6200"/>
  <c r="H5" i="6200" s="1"/>
  <c r="C16" i="6200"/>
  <c r="B16" i="6200"/>
  <c r="B26" i="6200" s="1"/>
  <c r="O15" i="6200"/>
  <c r="B15" i="6200"/>
  <c r="C15" i="6200" s="1"/>
  <c r="O14" i="6200"/>
  <c r="C14" i="6200"/>
  <c r="O13" i="6200"/>
  <c r="C13" i="6200"/>
  <c r="O12" i="6200"/>
  <c r="C12" i="6200"/>
  <c r="B11" i="6200"/>
  <c r="C11" i="6200" s="1"/>
  <c r="C10" i="6200"/>
  <c r="O9" i="6200"/>
  <c r="C9" i="6200"/>
  <c r="O8" i="6200"/>
  <c r="C8" i="6200"/>
  <c r="O7" i="6200"/>
  <c r="C7" i="6200"/>
  <c r="O6" i="6200"/>
  <c r="B6" i="6200"/>
  <c r="O5" i="6200"/>
  <c r="B5" i="6200"/>
  <c r="O4" i="6200"/>
  <c r="O3" i="6200"/>
  <c r="O2" i="6200"/>
  <c r="O18" i="6199"/>
  <c r="O19" i="6199"/>
  <c r="O20" i="6199"/>
  <c r="C32" i="6199"/>
  <c r="B27" i="6199"/>
  <c r="B26" i="6199"/>
  <c r="C18" i="6199"/>
  <c r="B17" i="6199"/>
  <c r="C47" i="6199" s="1"/>
  <c r="C16" i="6199"/>
  <c r="B16" i="6199"/>
  <c r="O15" i="6199"/>
  <c r="C15" i="6199"/>
  <c r="B15" i="6199"/>
  <c r="O14" i="6199"/>
  <c r="C14" i="6199"/>
  <c r="O13" i="6199"/>
  <c r="C13" i="6199"/>
  <c r="O12" i="6199"/>
  <c r="C12" i="6199"/>
  <c r="B11" i="6199"/>
  <c r="C11" i="6199" s="1"/>
  <c r="H11" i="6199"/>
  <c r="C10" i="6199"/>
  <c r="O9" i="6199"/>
  <c r="C9" i="6199"/>
  <c r="O8" i="6199"/>
  <c r="C8" i="6199"/>
  <c r="O7" i="6199"/>
  <c r="H7" i="6199"/>
  <c r="C7" i="6199"/>
  <c r="O6" i="6199"/>
  <c r="B6" i="6199"/>
  <c r="O5" i="6199"/>
  <c r="B5" i="6199"/>
  <c r="O4" i="6199"/>
  <c r="O3" i="6199"/>
  <c r="O2" i="6199"/>
  <c r="O21" i="6198"/>
  <c r="O24" i="6198"/>
  <c r="O22" i="6198"/>
  <c r="C32" i="6198"/>
  <c r="B27" i="6198"/>
  <c r="C18" i="6198"/>
  <c r="B17" i="6198"/>
  <c r="C46" i="6198" s="1"/>
  <c r="B16" i="6198"/>
  <c r="C16" i="6198" s="1"/>
  <c r="O15" i="6198"/>
  <c r="B15" i="6198"/>
  <c r="C15" i="6198" s="1"/>
  <c r="O14" i="6198"/>
  <c r="C14" i="6198"/>
  <c r="O13" i="6198"/>
  <c r="C13" i="6198"/>
  <c r="O12" i="6198"/>
  <c r="C12" i="6198"/>
  <c r="B11" i="6198"/>
  <c r="C11" i="6198" s="1"/>
  <c r="C10" i="6198"/>
  <c r="O9" i="6198"/>
  <c r="C9" i="6198"/>
  <c r="O8" i="6198"/>
  <c r="C8" i="6198"/>
  <c r="O7" i="6198"/>
  <c r="C7" i="6198"/>
  <c r="O6" i="6198"/>
  <c r="B6" i="6198"/>
  <c r="O5" i="6198"/>
  <c r="B5" i="6198"/>
  <c r="O4" i="6198"/>
  <c r="O3" i="6198"/>
  <c r="O2" i="6198"/>
  <c r="O31" i="6192"/>
  <c r="O30" i="6197"/>
  <c r="O27" i="6197"/>
  <c r="O20" i="6197"/>
  <c r="C32" i="6197"/>
  <c r="B27" i="6197"/>
  <c r="C18" i="6197"/>
  <c r="B17" i="6197"/>
  <c r="C46" i="6197" s="1"/>
  <c r="B16" i="6197"/>
  <c r="C16" i="6197" s="1"/>
  <c r="O15" i="6197"/>
  <c r="B15" i="6197"/>
  <c r="C15" i="6197" s="1"/>
  <c r="O14" i="6197"/>
  <c r="C14" i="6197"/>
  <c r="O13" i="6197"/>
  <c r="C13" i="6197"/>
  <c r="O12" i="6197"/>
  <c r="C12" i="6197"/>
  <c r="B11" i="6197"/>
  <c r="C11" i="6197" s="1"/>
  <c r="C10" i="6197"/>
  <c r="O9" i="6197"/>
  <c r="C9" i="6197"/>
  <c r="O8" i="6197"/>
  <c r="C8" i="6197"/>
  <c r="O7" i="6197"/>
  <c r="C7" i="6197"/>
  <c r="O6" i="6197"/>
  <c r="B6" i="6197"/>
  <c r="O5" i="6197"/>
  <c r="B5" i="6197"/>
  <c r="O4" i="6197"/>
  <c r="O3" i="6197"/>
  <c r="O2" i="6197"/>
  <c r="O33" i="6192"/>
  <c r="O32" i="6192"/>
  <c r="O20" i="6192"/>
  <c r="H7" i="6198" l="1"/>
  <c r="H17" i="6198"/>
  <c r="B26" i="6197"/>
  <c r="H15" i="6197"/>
  <c r="H13" i="6197"/>
  <c r="C22" i="6197"/>
  <c r="C39" i="6197"/>
  <c r="H11" i="6197"/>
  <c r="H5" i="6197"/>
  <c r="H16" i="6197"/>
  <c r="H17" i="6197"/>
  <c r="C45" i="6197"/>
  <c r="H16" i="6198"/>
  <c r="H5" i="6198"/>
  <c r="B24" i="6198"/>
  <c r="H11" i="6198"/>
  <c r="H2" i="6198"/>
  <c r="H13" i="6198"/>
  <c r="H18" i="6198"/>
  <c r="H29" i="6198"/>
  <c r="C35" i="6198"/>
  <c r="H41" i="6198"/>
  <c r="C47" i="6198"/>
  <c r="C20" i="6198"/>
  <c r="H26" i="6198"/>
  <c r="H32" i="6198"/>
  <c r="H37" i="6198"/>
  <c r="H43" i="6198"/>
  <c r="H15" i="6198"/>
  <c r="C17" i="6198"/>
  <c r="H22" i="6198"/>
  <c r="H39" i="6198"/>
  <c r="C43" i="6198"/>
  <c r="H9" i="6198"/>
  <c r="H3" i="6198"/>
  <c r="H4" i="6198"/>
  <c r="H10" i="6198"/>
  <c r="H12" i="6198"/>
  <c r="H14" i="6198"/>
  <c r="H8" i="6198"/>
  <c r="C22" i="6198"/>
  <c r="H28" i="6198"/>
  <c r="H35" i="6198"/>
  <c r="C39" i="6198"/>
  <c r="H45" i="6198"/>
  <c r="B26" i="6198"/>
  <c r="H20" i="6198"/>
  <c r="H24" i="6198"/>
  <c r="C37" i="6198"/>
  <c r="C41" i="6198"/>
  <c r="C45" i="6198"/>
  <c r="H6" i="6197"/>
  <c r="C17" i="6197"/>
  <c r="H24" i="6197"/>
  <c r="H29" i="6197"/>
  <c r="H37" i="6197"/>
  <c r="C41" i="6197"/>
  <c r="H10" i="6197"/>
  <c r="H8" i="6197"/>
  <c r="H14" i="6197"/>
  <c r="H20" i="6197"/>
  <c r="C23" i="6197"/>
  <c r="C35" i="6197"/>
  <c r="H41" i="6197"/>
  <c r="H7" i="6197"/>
  <c r="H12" i="6197"/>
  <c r="B25" i="6197"/>
  <c r="C20" i="6197"/>
  <c r="H4" i="6197"/>
  <c r="H3" i="6197"/>
  <c r="H9" i="6197"/>
  <c r="H18" i="6197"/>
  <c r="C21" i="6197"/>
  <c r="H26" i="6197"/>
  <c r="H32" i="6197"/>
  <c r="C37" i="6197"/>
  <c r="C43" i="6197"/>
  <c r="H16" i="6200"/>
  <c r="C21" i="6200"/>
  <c r="H12" i="6200"/>
  <c r="H10" i="6200"/>
  <c r="H19" i="6200"/>
  <c r="H20" i="6200"/>
  <c r="H21" i="6200"/>
  <c r="C20" i="6200"/>
  <c r="C36" i="6200"/>
  <c r="H29" i="6200"/>
  <c r="H2" i="6200"/>
  <c r="H11" i="6200"/>
  <c r="H3" i="6200"/>
  <c r="H13" i="6200"/>
  <c r="C23" i="6200"/>
  <c r="H32" i="6200"/>
  <c r="H41" i="6200"/>
  <c r="H18" i="6200"/>
  <c r="H37" i="6200"/>
  <c r="H4" i="6200"/>
  <c r="H8" i="6200"/>
  <c r="H25" i="6200"/>
  <c r="H45" i="6200"/>
  <c r="C40" i="6200"/>
  <c r="C44" i="6200"/>
  <c r="C19" i="6200"/>
  <c r="H24" i="6200"/>
  <c r="B24" i="6200"/>
  <c r="H15" i="6200"/>
  <c r="H34" i="6200"/>
  <c r="C38" i="6200"/>
  <c r="C42" i="6200"/>
  <c r="C46" i="6200"/>
  <c r="H6" i="6200"/>
  <c r="H7" i="6200"/>
  <c r="H17" i="6200"/>
  <c r="C17" i="6200"/>
  <c r="H22" i="6200"/>
  <c r="C22" i="6200"/>
  <c r="H27" i="6200"/>
  <c r="H31" i="6200"/>
  <c r="H35" i="6200"/>
  <c r="H39" i="6200"/>
  <c r="H43" i="6200"/>
  <c r="C47" i="6200"/>
  <c r="B25" i="6200"/>
  <c r="C35" i="6200"/>
  <c r="C37" i="6200"/>
  <c r="C39" i="6200"/>
  <c r="C41" i="6200"/>
  <c r="C43" i="6200"/>
  <c r="C45" i="6200"/>
  <c r="H9" i="6200"/>
  <c r="H23" i="6200"/>
  <c r="H14" i="6200"/>
  <c r="H26" i="6200"/>
  <c r="H28" i="6200"/>
  <c r="H30" i="6200"/>
  <c r="H33" i="6200"/>
  <c r="H36" i="6200"/>
  <c r="H38" i="6200"/>
  <c r="H40" i="6200"/>
  <c r="H42" i="6200"/>
  <c r="H44" i="6200"/>
  <c r="C40" i="6199"/>
  <c r="C20" i="6199"/>
  <c r="B24" i="6199"/>
  <c r="H31" i="6199"/>
  <c r="C44" i="6199"/>
  <c r="H4" i="6199"/>
  <c r="H5" i="6199"/>
  <c r="H12" i="6199"/>
  <c r="H15" i="6199"/>
  <c r="H16" i="6199"/>
  <c r="H17" i="6199"/>
  <c r="C19" i="6199"/>
  <c r="C23" i="6199"/>
  <c r="H29" i="6199"/>
  <c r="C35" i="6199"/>
  <c r="C39" i="6199"/>
  <c r="C43" i="6199"/>
  <c r="H14" i="6199"/>
  <c r="C36" i="6199"/>
  <c r="H13" i="6199"/>
  <c r="C17" i="6199"/>
  <c r="C21" i="6199"/>
  <c r="C37" i="6199"/>
  <c r="C41" i="6199"/>
  <c r="C45" i="6199"/>
  <c r="H8" i="6199"/>
  <c r="H6" i="6199"/>
  <c r="H10" i="6199"/>
  <c r="B25" i="6199"/>
  <c r="H3" i="6199"/>
  <c r="C22" i="6199"/>
  <c r="H34" i="6199"/>
  <c r="C38" i="6199"/>
  <c r="C42" i="6199"/>
  <c r="C46" i="6199"/>
  <c r="H19" i="6199"/>
  <c r="H21" i="6199"/>
  <c r="H23" i="6199"/>
  <c r="H25" i="6199"/>
  <c r="H27" i="6199"/>
  <c r="H30" i="6199"/>
  <c r="H33" i="6199"/>
  <c r="H36" i="6199"/>
  <c r="H38" i="6199"/>
  <c r="H40" i="6199"/>
  <c r="H42" i="6199"/>
  <c r="H44" i="6199"/>
  <c r="H2" i="6199"/>
  <c r="H9" i="6199"/>
  <c r="H18" i="6199"/>
  <c r="H20" i="6199"/>
  <c r="H22" i="6199"/>
  <c r="H24" i="6199"/>
  <c r="H26" i="6199"/>
  <c r="H28" i="6199"/>
  <c r="H32" i="6199"/>
  <c r="H35" i="6199"/>
  <c r="H37" i="6199"/>
  <c r="H39" i="6199"/>
  <c r="H41" i="6199"/>
  <c r="H43" i="6199"/>
  <c r="H45" i="6199"/>
  <c r="H19" i="6198"/>
  <c r="H21" i="6198"/>
  <c r="H23" i="6198"/>
  <c r="H25" i="6198"/>
  <c r="H27" i="6198"/>
  <c r="H30" i="6198"/>
  <c r="H33" i="6198"/>
  <c r="H36" i="6198"/>
  <c r="H38" i="6198"/>
  <c r="H40" i="6198"/>
  <c r="H42" i="6198"/>
  <c r="H44" i="6198"/>
  <c r="H6" i="6198"/>
  <c r="C19" i="6198"/>
  <c r="C21" i="6198"/>
  <c r="C23" i="6198"/>
  <c r="B25" i="6198"/>
  <c r="H31" i="6198"/>
  <c r="H34" i="6198"/>
  <c r="C36" i="6198"/>
  <c r="C38" i="6198"/>
  <c r="C40" i="6198"/>
  <c r="C42" i="6198"/>
  <c r="C44" i="6198"/>
  <c r="H45" i="6197"/>
  <c r="C19" i="6197"/>
  <c r="H22" i="6197"/>
  <c r="B24" i="6197"/>
  <c r="H28" i="6197"/>
  <c r="H35" i="6197"/>
  <c r="H39" i="6197"/>
  <c r="H43" i="6197"/>
  <c r="C47" i="6197"/>
  <c r="H19" i="6197"/>
  <c r="H21" i="6197"/>
  <c r="H23" i="6197"/>
  <c r="H25" i="6197"/>
  <c r="H27" i="6197"/>
  <c r="H30" i="6197"/>
  <c r="H33" i="6197"/>
  <c r="H36" i="6197"/>
  <c r="H38" i="6197"/>
  <c r="H40" i="6197"/>
  <c r="H42" i="6197"/>
  <c r="H44" i="6197"/>
  <c r="H2" i="6197"/>
  <c r="H31" i="6197"/>
  <c r="H34" i="6197"/>
  <c r="C36" i="6197"/>
  <c r="C38" i="6197"/>
  <c r="C40" i="6197"/>
  <c r="C42" i="6197"/>
  <c r="C44" i="6197"/>
  <c r="O25" i="6196" l="1"/>
  <c r="O23" i="6196"/>
  <c r="O22" i="6196"/>
  <c r="C32" i="6196"/>
  <c r="B27" i="6196"/>
  <c r="C18" i="6196"/>
  <c r="B17" i="6196"/>
  <c r="C46" i="6196" s="1"/>
  <c r="B16" i="6196"/>
  <c r="B26" i="6196" s="1"/>
  <c r="O15" i="6196"/>
  <c r="B15" i="6196"/>
  <c r="C15" i="6196" s="1"/>
  <c r="O14" i="6196"/>
  <c r="C14" i="6196"/>
  <c r="O13" i="6196"/>
  <c r="C13" i="6196"/>
  <c r="O12" i="6196"/>
  <c r="C12" i="6196"/>
  <c r="B11" i="6196"/>
  <c r="C11" i="6196" s="1"/>
  <c r="C10" i="6196"/>
  <c r="O9" i="6196"/>
  <c r="C9" i="6196"/>
  <c r="O8" i="6196"/>
  <c r="C8" i="6196"/>
  <c r="O7" i="6196"/>
  <c r="C7" i="6196"/>
  <c r="O6" i="6196"/>
  <c r="B6" i="6196"/>
  <c r="O5" i="6196"/>
  <c r="B5" i="6196"/>
  <c r="O4" i="6196"/>
  <c r="O3" i="6196"/>
  <c r="O2" i="6196"/>
  <c r="O28" i="6195"/>
  <c r="O27" i="6195"/>
  <c r="O26" i="6195"/>
  <c r="C32" i="6195"/>
  <c r="B27" i="6195"/>
  <c r="C18" i="6195"/>
  <c r="B17" i="6195"/>
  <c r="C47" i="6195" s="1"/>
  <c r="B16" i="6195"/>
  <c r="B26" i="6195" s="1"/>
  <c r="O15" i="6195"/>
  <c r="B15" i="6195"/>
  <c r="C15" i="6195" s="1"/>
  <c r="O14" i="6195"/>
  <c r="C14" i="6195"/>
  <c r="O13" i="6195"/>
  <c r="C13" i="6195"/>
  <c r="O12" i="6195"/>
  <c r="C12" i="6195"/>
  <c r="C11" i="6195"/>
  <c r="B11" i="6195"/>
  <c r="C10" i="6195"/>
  <c r="O9" i="6195"/>
  <c r="C9" i="6195"/>
  <c r="O8" i="6195"/>
  <c r="C8" i="6195"/>
  <c r="O7" i="6195"/>
  <c r="C7" i="6195"/>
  <c r="O6" i="6195"/>
  <c r="B6" i="6195"/>
  <c r="O5" i="6195"/>
  <c r="B5" i="6195"/>
  <c r="O4" i="6195"/>
  <c r="O3" i="6195"/>
  <c r="O2" i="6195"/>
  <c r="O21" i="6194"/>
  <c r="O20" i="6194"/>
  <c r="O18" i="6194"/>
  <c r="C32" i="6194"/>
  <c r="B27" i="6194"/>
  <c r="C18" i="6194"/>
  <c r="B17" i="6194"/>
  <c r="C47" i="6194" s="1"/>
  <c r="C16" i="6194"/>
  <c r="B16" i="6194"/>
  <c r="B26" i="6194" s="1"/>
  <c r="O15" i="6194"/>
  <c r="B15" i="6194"/>
  <c r="C15" i="6194" s="1"/>
  <c r="O14" i="6194"/>
  <c r="C14" i="6194"/>
  <c r="O13" i="6194"/>
  <c r="C13" i="6194"/>
  <c r="O12" i="6194"/>
  <c r="C12" i="6194"/>
  <c r="B11" i="6194"/>
  <c r="C11" i="6194" s="1"/>
  <c r="C10" i="6194"/>
  <c r="O9" i="6194"/>
  <c r="C9" i="6194"/>
  <c r="O8" i="6194"/>
  <c r="C8" i="6194"/>
  <c r="O7" i="6194"/>
  <c r="C7" i="6194"/>
  <c r="O6" i="6194"/>
  <c r="B6" i="6194"/>
  <c r="O5" i="6194"/>
  <c r="B5" i="6194"/>
  <c r="O4" i="6194"/>
  <c r="O3" i="6194"/>
  <c r="O2" i="6194"/>
  <c r="O23" i="6192"/>
  <c r="O20" i="6193"/>
  <c r="O19" i="6193"/>
  <c r="O23" i="6193"/>
  <c r="C32" i="6193"/>
  <c r="B27" i="6193"/>
  <c r="C18" i="6193"/>
  <c r="B17" i="6193"/>
  <c r="C47" i="6193" s="1"/>
  <c r="B16" i="6193"/>
  <c r="B26" i="6193" s="1"/>
  <c r="O15" i="6193"/>
  <c r="B15" i="6193"/>
  <c r="C15" i="6193" s="1"/>
  <c r="O14" i="6193"/>
  <c r="C14" i="6193"/>
  <c r="O13" i="6193"/>
  <c r="C13" i="6193"/>
  <c r="O12" i="6193"/>
  <c r="C12" i="6193"/>
  <c r="B11" i="6193"/>
  <c r="C11" i="6193" s="1"/>
  <c r="C10" i="6193"/>
  <c r="O9" i="6193"/>
  <c r="C9" i="6193"/>
  <c r="O8" i="6193"/>
  <c r="C8" i="6193"/>
  <c r="O7" i="6193"/>
  <c r="C7" i="6193"/>
  <c r="O6" i="6193"/>
  <c r="B6" i="6193"/>
  <c r="O5" i="6193"/>
  <c r="B5" i="6193"/>
  <c r="O4" i="6193"/>
  <c r="O3" i="6193"/>
  <c r="O2" i="6193"/>
  <c r="O29" i="6192"/>
  <c r="O34" i="6192"/>
  <c r="O24" i="6192"/>
  <c r="C32" i="6192"/>
  <c r="B27" i="6192"/>
  <c r="C18" i="6192"/>
  <c r="B17" i="6192"/>
  <c r="C47" i="6192" s="1"/>
  <c r="B16" i="6192"/>
  <c r="C16" i="6192" s="1"/>
  <c r="O15" i="6192"/>
  <c r="B15" i="6192"/>
  <c r="C15" i="6192" s="1"/>
  <c r="O14" i="6192"/>
  <c r="C14" i="6192"/>
  <c r="O13" i="6192"/>
  <c r="C13" i="6192"/>
  <c r="O12" i="6192"/>
  <c r="C12" i="6192"/>
  <c r="B11" i="6192"/>
  <c r="C11" i="6192" s="1"/>
  <c r="C10" i="6192"/>
  <c r="O9" i="6192"/>
  <c r="C9" i="6192"/>
  <c r="O8" i="6192"/>
  <c r="C8" i="6192"/>
  <c r="O7" i="6192"/>
  <c r="C7" i="6192"/>
  <c r="O6" i="6192"/>
  <c r="B6" i="6192"/>
  <c r="O5" i="6192"/>
  <c r="B5" i="6192"/>
  <c r="O4" i="6192"/>
  <c r="O3" i="6192"/>
  <c r="O2" i="6192"/>
  <c r="H4" i="6195" l="1"/>
  <c r="H3" i="6196"/>
  <c r="H21" i="6196"/>
  <c r="H18" i="6196"/>
  <c r="C17" i="6194"/>
  <c r="H17" i="6194"/>
  <c r="H14" i="6194"/>
  <c r="H8" i="6194"/>
  <c r="H12" i="6193"/>
  <c r="H16" i="6193"/>
  <c r="H11" i="6193"/>
  <c r="H14" i="6196"/>
  <c r="H37" i="6196"/>
  <c r="H7" i="6196"/>
  <c r="H20" i="6196"/>
  <c r="H12" i="6196"/>
  <c r="H8" i="6196"/>
  <c r="H16" i="6196"/>
  <c r="H17" i="6196"/>
  <c r="H29" i="6196"/>
  <c r="H2" i="6196"/>
  <c r="H9" i="6196"/>
  <c r="H22" i="6196"/>
  <c r="C22" i="6196"/>
  <c r="C16" i="6196"/>
  <c r="C43" i="6196"/>
  <c r="C37" i="6196"/>
  <c r="C20" i="6196"/>
  <c r="H15" i="6196"/>
  <c r="H32" i="6196"/>
  <c r="C39" i="6196"/>
  <c r="H10" i="6196"/>
  <c r="H6" i="6196"/>
  <c r="H4" i="6196"/>
  <c r="H19" i="6196"/>
  <c r="B25" i="6196"/>
  <c r="C17" i="6196"/>
  <c r="C21" i="6196"/>
  <c r="C41" i="6196"/>
  <c r="C16" i="6195"/>
  <c r="C16" i="6193"/>
  <c r="H4" i="6193"/>
  <c r="H7" i="6195"/>
  <c r="H16" i="6195"/>
  <c r="H6" i="6195"/>
  <c r="C17" i="6195"/>
  <c r="C17" i="6193"/>
  <c r="H4" i="6194"/>
  <c r="H7" i="6192"/>
  <c r="H45" i="6196"/>
  <c r="H24" i="6196"/>
  <c r="C23" i="6196"/>
  <c r="C35" i="6196"/>
  <c r="H41" i="6196"/>
  <c r="C45" i="6196"/>
  <c r="C19" i="6196"/>
  <c r="H25" i="6196"/>
  <c r="B24" i="6196"/>
  <c r="H28" i="6196"/>
  <c r="H35" i="6196"/>
  <c r="H39" i="6196"/>
  <c r="H43" i="6196"/>
  <c r="C47" i="6196"/>
  <c r="H23" i="6196"/>
  <c r="H13" i="6196"/>
  <c r="H11" i="6196"/>
  <c r="H26" i="6196"/>
  <c r="H27" i="6196"/>
  <c r="H30" i="6196"/>
  <c r="H33" i="6196"/>
  <c r="H36" i="6196"/>
  <c r="H38" i="6196"/>
  <c r="H40" i="6196"/>
  <c r="H42" i="6196"/>
  <c r="H44" i="6196"/>
  <c r="H5" i="6196"/>
  <c r="H31" i="6196"/>
  <c r="H34" i="6196"/>
  <c r="C36" i="6196"/>
  <c r="C38" i="6196"/>
  <c r="C40" i="6196"/>
  <c r="C42" i="6196"/>
  <c r="C44" i="6196"/>
  <c r="H13" i="6195"/>
  <c r="H5" i="6195"/>
  <c r="H15" i="6195"/>
  <c r="C19" i="6195"/>
  <c r="C21" i="6195"/>
  <c r="C23" i="6195"/>
  <c r="H31" i="6195"/>
  <c r="H34" i="6195"/>
  <c r="C36" i="6195"/>
  <c r="C38" i="6195"/>
  <c r="C40" i="6195"/>
  <c r="C42" i="6195"/>
  <c r="C44" i="6195"/>
  <c r="H8" i="6195"/>
  <c r="H14" i="6195"/>
  <c r="H17" i="6195"/>
  <c r="H18" i="6195"/>
  <c r="H19" i="6195"/>
  <c r="C20" i="6195"/>
  <c r="C22" i="6195"/>
  <c r="B24" i="6195"/>
  <c r="H29" i="6195"/>
  <c r="C35" i="6195"/>
  <c r="C37" i="6195"/>
  <c r="C39" i="6195"/>
  <c r="C41" i="6195"/>
  <c r="C43" i="6195"/>
  <c r="C45" i="6195"/>
  <c r="H12" i="6195"/>
  <c r="H22" i="6195"/>
  <c r="H25" i="6195"/>
  <c r="H27" i="6195"/>
  <c r="H30" i="6195"/>
  <c r="H33" i="6195"/>
  <c r="H36" i="6195"/>
  <c r="H38" i="6195"/>
  <c r="H40" i="6195"/>
  <c r="H42" i="6195"/>
  <c r="H44" i="6195"/>
  <c r="H9" i="6195"/>
  <c r="H11" i="6195"/>
  <c r="B25" i="6195"/>
  <c r="C46" i="6195"/>
  <c r="H3" i="6195"/>
  <c r="H2" i="6195"/>
  <c r="H10" i="6195"/>
  <c r="H20" i="6195"/>
  <c r="H21" i="6195"/>
  <c r="H23" i="6195"/>
  <c r="H24" i="6195"/>
  <c r="H26" i="6195"/>
  <c r="H28" i="6195"/>
  <c r="H32" i="6195"/>
  <c r="H35" i="6195"/>
  <c r="H37" i="6195"/>
  <c r="H39" i="6195"/>
  <c r="H41" i="6195"/>
  <c r="H43" i="6195"/>
  <c r="H45" i="6195"/>
  <c r="H10" i="6192"/>
  <c r="H11" i="6194"/>
  <c r="H25" i="6194"/>
  <c r="H13" i="6194"/>
  <c r="H36" i="6194"/>
  <c r="H44" i="6194"/>
  <c r="H6" i="6194"/>
  <c r="H10" i="6194"/>
  <c r="H16" i="6194"/>
  <c r="C19" i="6194"/>
  <c r="C23" i="6194"/>
  <c r="H34" i="6194"/>
  <c r="C36" i="6194"/>
  <c r="C38" i="6194"/>
  <c r="C40" i="6194"/>
  <c r="C42" i="6194"/>
  <c r="C44" i="6194"/>
  <c r="H7" i="6194"/>
  <c r="H15" i="6194"/>
  <c r="H18" i="6194"/>
  <c r="H19" i="6194"/>
  <c r="H20" i="6194"/>
  <c r="C20" i="6194"/>
  <c r="C22" i="6194"/>
  <c r="B24" i="6194"/>
  <c r="H29" i="6194"/>
  <c r="C35" i="6194"/>
  <c r="C37" i="6194"/>
  <c r="C39" i="6194"/>
  <c r="C41" i="6194"/>
  <c r="C43" i="6194"/>
  <c r="C45" i="6194"/>
  <c r="H23" i="6194"/>
  <c r="H27" i="6194"/>
  <c r="H30" i="6194"/>
  <c r="H33" i="6194"/>
  <c r="H38" i="6194"/>
  <c r="H40" i="6194"/>
  <c r="H42" i="6194"/>
  <c r="H3" i="6194"/>
  <c r="C21" i="6194"/>
  <c r="B25" i="6194"/>
  <c r="H31" i="6194"/>
  <c r="C46" i="6194"/>
  <c r="H5" i="6194"/>
  <c r="H2" i="6194"/>
  <c r="H9" i="6194"/>
  <c r="H21" i="6194"/>
  <c r="H22" i="6194"/>
  <c r="H24" i="6194"/>
  <c r="H26" i="6194"/>
  <c r="H12" i="6194"/>
  <c r="H28" i="6194"/>
  <c r="H32" i="6194"/>
  <c r="H35" i="6194"/>
  <c r="H37" i="6194"/>
  <c r="H39" i="6194"/>
  <c r="H41" i="6194"/>
  <c r="H43" i="6194"/>
  <c r="H45" i="6194"/>
  <c r="H20" i="6193"/>
  <c r="H10" i="6193"/>
  <c r="H27" i="6193"/>
  <c r="H33" i="6193"/>
  <c r="H38" i="6193"/>
  <c r="H3" i="6193"/>
  <c r="H8" i="6193"/>
  <c r="C19" i="6193"/>
  <c r="C23" i="6193"/>
  <c r="C44" i="6193"/>
  <c r="H6" i="6193"/>
  <c r="H14" i="6193"/>
  <c r="H17" i="6193"/>
  <c r="H18" i="6193"/>
  <c r="H19" i="6193"/>
  <c r="C20" i="6193"/>
  <c r="C22" i="6193"/>
  <c r="B24" i="6193"/>
  <c r="H29" i="6193"/>
  <c r="C35" i="6193"/>
  <c r="C37" i="6193"/>
  <c r="C39" i="6193"/>
  <c r="C41" i="6193"/>
  <c r="C43" i="6193"/>
  <c r="C45" i="6193"/>
  <c r="H22" i="6193"/>
  <c r="H25" i="6193"/>
  <c r="H30" i="6193"/>
  <c r="H36" i="6193"/>
  <c r="H40" i="6193"/>
  <c r="H42" i="6193"/>
  <c r="H44" i="6193"/>
  <c r="H7" i="6193"/>
  <c r="H15" i="6193"/>
  <c r="C21" i="6193"/>
  <c r="B25" i="6193"/>
  <c r="H31" i="6193"/>
  <c r="H34" i="6193"/>
  <c r="C36" i="6193"/>
  <c r="C38" i="6193"/>
  <c r="C40" i="6193"/>
  <c r="C42" i="6193"/>
  <c r="C46" i="6193"/>
  <c r="H5" i="6193"/>
  <c r="H2" i="6193"/>
  <c r="H9" i="6193"/>
  <c r="H13" i="6193"/>
  <c r="H21" i="6193"/>
  <c r="H23" i="6193"/>
  <c r="H24" i="6193"/>
  <c r="H26" i="6193"/>
  <c r="H28" i="6193"/>
  <c r="H32" i="6193"/>
  <c r="H35" i="6193"/>
  <c r="H37" i="6193"/>
  <c r="H39" i="6193"/>
  <c r="H41" i="6193"/>
  <c r="H43" i="6193"/>
  <c r="H45" i="6193"/>
  <c r="B24" i="6192"/>
  <c r="C21" i="6192"/>
  <c r="H4" i="6192"/>
  <c r="H25" i="6192"/>
  <c r="C20" i="6192"/>
  <c r="H8" i="6192"/>
  <c r="H9" i="6192"/>
  <c r="H15" i="6192"/>
  <c r="B25" i="6192"/>
  <c r="C17" i="6192"/>
  <c r="H5" i="6192"/>
  <c r="H2" i="6192"/>
  <c r="H11" i="6192"/>
  <c r="C22" i="6192"/>
  <c r="H18" i="6192"/>
  <c r="H6" i="6192"/>
  <c r="H24" i="6192"/>
  <c r="H26" i="6192"/>
  <c r="H27" i="6192"/>
  <c r="H19" i="6192"/>
  <c r="C19" i="6192"/>
  <c r="C23" i="6192"/>
  <c r="B26" i="6192"/>
  <c r="C35" i="6192"/>
  <c r="C37" i="6192"/>
  <c r="C39" i="6192"/>
  <c r="C41" i="6192"/>
  <c r="C43" i="6192"/>
  <c r="C45" i="6192"/>
  <c r="H12" i="6192"/>
  <c r="H16" i="6192"/>
  <c r="H13" i="6192"/>
  <c r="H30" i="6192"/>
  <c r="H21" i="6192"/>
  <c r="H23" i="6192"/>
  <c r="H33" i="6192"/>
  <c r="H36" i="6192"/>
  <c r="H38" i="6192"/>
  <c r="H40" i="6192"/>
  <c r="H42" i="6192"/>
  <c r="H44" i="6192"/>
  <c r="H3" i="6192"/>
  <c r="H31" i="6192"/>
  <c r="H34" i="6192"/>
  <c r="C36" i="6192"/>
  <c r="C38" i="6192"/>
  <c r="C40" i="6192"/>
  <c r="C42" i="6192"/>
  <c r="C44" i="6192"/>
  <c r="C46" i="6192"/>
  <c r="H14" i="6192"/>
  <c r="H28" i="6192"/>
  <c r="H29" i="6192"/>
  <c r="H20" i="6192"/>
  <c r="H17" i="6192"/>
  <c r="H22" i="6192"/>
  <c r="H32" i="6192"/>
  <c r="H35" i="6192"/>
  <c r="H37" i="6192"/>
  <c r="H39" i="6192"/>
  <c r="H41" i="6192"/>
  <c r="H43" i="6192"/>
  <c r="H45" i="619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<sst xmlns="http://schemas.openxmlformats.org/spreadsheetml/2006/main" count="3723" uniqueCount="209">
  <si>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</si>
  <si>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</si>
  <si>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</si>
  <si>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</si>
  <si>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</si>
  <si>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</si>
  <si>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</si>
  <si>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</si>
  <si>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</si>
  <si>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</si>
  <si>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</si>
  <si>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</si>
  <si>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</si>
  <si>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</si>
  <si>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</si>
  <si>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</si>
  <si>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</si>
  <si>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</si>
  <si>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</si>
  <si>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</si>
  <si>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</si>
  <si>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</si>
  <si>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</si>
  <si>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</si>
  <si>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</si>
  <si>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</si>
  <si>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</si>
  <si>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</si>
  <si>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</si>
  <si>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</si>
  <si>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</si>
  <si>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</si>
  <si>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</si>
  <si>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</si>
  <si>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</si>
  <si>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</si>
  <si>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</si>
  <si>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</si>
  <si>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</si>
  <si>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</si>
  <si>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</si>
  <si>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</si>
  <si>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</si>
  <si>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</si>
  <si>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</si>
  <si>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</si>
  <si>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</si>
  <si>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</si>
  <si>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</si>
  <si>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</si>
  <si>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</si>
  <si>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</si>
  <si>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</si>
  <si>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</si>
  <si>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</si>
  <si>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</si>
  <si>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</si>
  <si>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</si>
  <si>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</si>
  <si>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</si>
  <si>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</si>
  <si>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</si>
  <si>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</si>
  <si>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</si>
  <si>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</si>
  <si>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</si>
  <si>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</si>
  <si>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</si>
  <si>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</si>
  <si>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</si>
  <si>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</si>
  <si>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</si>
  <si>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</si>
  <si>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</si>
  <si>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</si>
  <si>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</si>
  <si>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</si>
  <si>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</si>
  <si>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</si>
  <si>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</si>
  <si>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</si>
  <si>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</si>
  <si>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</si>
  <si>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</si>
  <si>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</si>
  <si>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</si>
  <si>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</si>
  <si>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</si>
  <si>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</si>
  <si>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</si>
  <si>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</si>
  <si>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</si>
  <si>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</si>
  <si>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</si>
  <si>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</si>
  <si>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</si>
  <si>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</si>
  <si>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</si>
  <si>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</si>
  <si>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</si>
  <si>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</si>
  <si>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</si>
  <si>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</si>
  <si>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</si>
  <si>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</si>
  <si>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</si>
  <si>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</si>
  <si>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</si>
  <si>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</si>
  <si>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</si>
  <si>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</si>
  <si>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</si>
  <si>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</si>
  <si>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</si>
  <si>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</si>
  <si>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</si>
  <si>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</si>
  <si>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</si>
  <si>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</si>
  <si>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</si>
  <si>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</si>
  <si>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</si>
  <si>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</si>
  <si>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</si>
  <si>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</si>
  <si>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</si>
  <si>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</si>
  <si>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</si>
  <si>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</si>
  <si>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</si>
  <si>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</si>
  <si>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</si>
  <si>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</si>
  <si>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</si>
  <si>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</si>
  <si>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</si>
  <si>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</si>
  <si>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</si>
  <si>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</si>
  <si>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</si>
  <si>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</si>
  <si>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</si>
  <si>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</si>
  <si>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</si>
  <si>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</si>
  <si>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</si>
  <si>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</si>
  <si>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</si>
  <si>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</si>
  <si>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</si>
  <si>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</si>
  <si>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</si>
  <si>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</si>
  <si>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</si>
  <si>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</si>
  <si>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</si>
  <si>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</si>
  <si>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</si>
  <si>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</si>
  <si>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</si>
  <si>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</si>
  <si>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</si>
  <si>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</si>
  <si>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</si>
  <si>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</si>
  <si>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</si>
  <si>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</si>
  <si>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</si>
  <si>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</si>
  <si>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</si>
  <si>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</si>
  <si>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</si>
  <si>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</si>
  <si>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</si>
  <si>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</si>
  <si>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</si>
  <si>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</si>
  <si>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</si>
  <si>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</si>
  <si>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</si>
  <si>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</si>
  <si>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</si>
  <si>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</si>
  <si>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</si>
  <si>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</si>
  <si>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</si>
  <si>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</si>
  <si>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</si>
  <si>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</si>
  <si>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</si>
  <si>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</si>
  <si>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</si>
  <si>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</si>
  <si>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</si>
  <si>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</si>
  <si>
    <t>2019-12-20@A.xlsm</t>
  </si>
  <si>
    <t>2019-12-20@B.xlsm</t>
  </si>
  <si>
    <t>高橋桜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</si>
  <si>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</si>
  <si>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</si>
  <si>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</si>
  <si>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</si>
  <si>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</si>
  <si>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</si>
  <si>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2020-01-31@A.xlsm</t>
  </si>
  <si>
    <t>小原陸哉</t>
  </si>
  <si>
    <t>石澤巧望</t>
  </si>
  <si>
    <t>2020-01-31@B.xlsm</t>
  </si>
  <si>
    <t>2020-02-21@A.xlsm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</si>
</sst>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全体!$L$2:$L$98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1.5</c:v>
                </c:pt>
                <c:pt idx="74">
                  <c:v>74</c:v>
                </c:pt>
                <c:pt idx="75">
                  <c:v>8.9000000000000057</c:v>
                </c:pt>
                <c:pt idx="76">
                  <c:v>-19.999999999999993</c:v>
                </c:pt>
                <c:pt idx="77">
                  <c:v>-19.299999999999994</c:v>
                </c:pt>
                <c:pt idx="78">
                  <c:v>-74.5</c:v>
                </c:pt>
                <c:pt idx="79">
                  <c:v>-94.6</c:v>
                </c:pt>
                <c:pt idx="80">
                  <c:v>-20</c:v>
                </c:pt>
                <c:pt idx="81">
                  <c:v>36</c:v>
                </c:pt>
                <c:pt idx="82">
                  <c:v>46.3</c:v>
                </c:pt>
                <c:pt idx="83">
                  <c:v>-9.9000000000000057</c:v>
                </c:pt>
                <c:pt idx="84">
                  <c:v>-20.000000000000007</c:v>
                </c:pt>
                <c:pt idx="85">
                  <c:v>2.5999999999999943</c:v>
                </c:pt>
                <c:pt idx="86">
                  <c:v>68.5</c:v>
                </c:pt>
                <c:pt idx="87">
                  <c:v>7.1000000000000014</c:v>
                </c:pt>
                <c:pt idx="88">
                  <c:v>-20</c:v>
                </c:pt>
                <c:pt idx="89">
                  <c:v>-39.6</c:v>
                </c:pt>
                <c:pt idx="90">
                  <c:v>-29.1</c:v>
                </c:pt>
                <c:pt idx="91">
                  <c:v>24.5</c:v>
                </c:pt>
                <c:pt idx="92">
                  <c:v>-20</c:v>
                </c:pt>
                <c:pt idx="93">
                  <c:v>-27.6</c:v>
                </c:pt>
                <c:pt idx="94">
                  <c:v>57.999999999999993</c:v>
                </c:pt>
                <c:pt idx="95">
                  <c:v>7.9999999999999929</c:v>
                </c:pt>
                <c:pt idx="96">
                  <c:v>-20.000000000000007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A-4E0B-9212-4A1EFB3C4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-20.833333333333332</c:v>
                </c:pt>
                <c:pt idx="1">
                  <c:v>0</c:v>
                </c:pt>
                <c:pt idx="2">
                  <c:v>0</c:v>
                </c:pt>
                <c:pt idx="3">
                  <c:v>-10.416666666666666</c:v>
                </c:pt>
                <c:pt idx="4">
                  <c:v>0</c:v>
                </c:pt>
                <c:pt idx="5">
                  <c:v>-111.11111111111111</c:v>
                </c:pt>
                <c:pt idx="6">
                  <c:v>0</c:v>
                </c:pt>
                <c:pt idx="7">
                  <c:v>41.666666666666664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51-43CA-A879-616741A25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26</c:v>
                </c:pt>
                <c:pt idx="1">
                  <c:v>35</c:v>
                </c:pt>
                <c:pt idx="2">
                  <c:v>31</c:v>
                </c:pt>
                <c:pt idx="3">
                  <c:v>26</c:v>
                </c:pt>
                <c:pt idx="4">
                  <c:v>20</c:v>
                </c:pt>
                <c:pt idx="5">
                  <c:v>20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E6-4AE2-9ADC-4D50E4F2F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松澤亮太!$L$2:$L$13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0-4542-9790-0D6BB5B03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963.63636363636363</c:v>
                </c:pt>
                <c:pt idx="1">
                  <c:v>-1518.1818181818182</c:v>
                </c:pt>
                <c:pt idx="2">
                  <c:v>445.45454545454544</c:v>
                </c:pt>
                <c:pt idx="3">
                  <c:v>-372.72727272727275</c:v>
                </c:pt>
                <c:pt idx="4">
                  <c:v>518.18181818181813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8-4A67-8326-70B5205BB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4-40BE-927C-E8C23F057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F-484D-8716-847825401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6-4F87-8D31-55834BA28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C-4B53-A56A-2296170A5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7-4504-A093-FE59D6562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3AF-8915-0F86FD8D7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7-44BA-AF2F-7F41F857F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-5.2999999999999901</c:v>
                </c:pt>
                <c:pt idx="9">
                  <c:v>69.300000000000011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2-4F6C-9104-1A5D9AFF9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-1788.8888888888889</c:v>
                </c:pt>
                <c:pt idx="1">
                  <c:v>-1477.7777777777778</c:v>
                </c:pt>
                <c:pt idx="2">
                  <c:v>755.55555555555554</c:v>
                </c:pt>
                <c:pt idx="3">
                  <c:v>-2233.3333333333335</c:v>
                </c:pt>
                <c:pt idx="4">
                  <c:v>888.88888888888891</c:v>
                </c:pt>
                <c:pt idx="5">
                  <c:v>3928.5714285714284</c:v>
                </c:pt>
                <c:pt idx="6">
                  <c:v>1160</c:v>
                </c:pt>
                <c:pt idx="7">
                  <c:v>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59-4CE7-9D02-A01B5635D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2-40CD-88AB-2046D0F2C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佐藤成浩!$L$2:$L$14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138.39999999999998</c:v>
                </c:pt>
                <c:pt idx="11">
                  <c:v>160.99999999999997</c:v>
                </c:pt>
                <c:pt idx="12">
                  <c:v>116.49999999999997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6-4B9D-A4A3-B67D7076A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2850</c:v>
                </c:pt>
                <c:pt idx="1">
                  <c:v>891.66666666666663</c:v>
                </c:pt>
                <c:pt idx="2">
                  <c:v>2108.3333333333335</c:v>
                </c:pt>
                <c:pt idx="3">
                  <c:v>-991.66666666666663</c:v>
                </c:pt>
                <c:pt idx="4">
                  <c:v>854.5454545454545</c:v>
                </c:pt>
                <c:pt idx="5">
                  <c:v>2400</c:v>
                </c:pt>
                <c:pt idx="6">
                  <c:v>-685.71428571428567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1-47A3-8887-2159F7E88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8-443E-91B0-C9A4C4DDF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57-4541-B94E-1974744E3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0-454A-B9F5-2AB13C266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E-4383-A29A-0F5760084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71-450D-A43C-D30FE2C2B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C-4B08-BB9F-54ADDFA0B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C3-4BDE-A4F5-285891B18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高野源太!$L$2:$L$15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66.899999999999991</c:v>
                </c:pt>
                <c:pt idx="11">
                  <c:v>56.79999999999999</c:v>
                </c:pt>
                <c:pt idx="12">
                  <c:v>110.39999999999999</c:v>
                </c:pt>
                <c:pt idx="13">
                  <c:v>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02-45E7-AB8D-BFE48689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1015.3846153846154</c:v>
                </c:pt>
                <c:pt idx="1">
                  <c:v>-1023.0769230769231</c:v>
                </c:pt>
                <c:pt idx="2">
                  <c:v>692.30769230769226</c:v>
                </c:pt>
                <c:pt idx="3">
                  <c:v>1746.1538461538462</c:v>
                </c:pt>
                <c:pt idx="4">
                  <c:v>50</c:v>
                </c:pt>
                <c:pt idx="5">
                  <c:v>2500</c:v>
                </c:pt>
                <c:pt idx="6">
                  <c:v>-1383.3333333333333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9-4323-A40A-0FE105B17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7-4E76-887B-D14CEA144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F3-411A-8B18-0B05B951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4-4D21-9B0C-BBA48DEE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5-453B-88E7-C46ED8616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B-40AE-823C-C6C2235EE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B-461A-BCCF-28E41D8F1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4-40AA-AC28-666F15210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9-4B68-90BD-1AFED2953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3-4BCE-8B1D-E869DE527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0-4E2D-88B7-9C90977F3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福澤大地!$L$2:$L$12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0C-4D03-9D52-85C0425AF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-160</c:v>
                </c:pt>
                <c:pt idx="1">
                  <c:v>-240</c:v>
                </c:pt>
                <c:pt idx="2">
                  <c:v>-4160</c:v>
                </c:pt>
                <c:pt idx="3">
                  <c:v>820</c:v>
                </c:pt>
                <c:pt idx="4">
                  <c:v>1390</c:v>
                </c:pt>
                <c:pt idx="5">
                  <c:v>600</c:v>
                </c:pt>
                <c:pt idx="6">
                  <c:v>1020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6-42DA-9257-C9779670A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1-4E06-A16D-EFA149510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7-4505-B8D3-C5644B205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296-B7E9-D50BAC0B7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29-4FFF-AE54-A42CBCEE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多田洋輔!$L$2:$L$9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A8-47CE-AA0B-0332047C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-1114.2857142857142</c:v>
                </c:pt>
                <c:pt idx="1">
                  <c:v>1928.5714285714287</c:v>
                </c:pt>
                <c:pt idx="2">
                  <c:v>557.14285714285711</c:v>
                </c:pt>
                <c:pt idx="3">
                  <c:v>1614.2857142857142</c:v>
                </c:pt>
                <c:pt idx="4">
                  <c:v>100</c:v>
                </c:pt>
                <c:pt idx="5">
                  <c:v>-2220</c:v>
                </c:pt>
                <c:pt idx="6">
                  <c:v>1725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C-4BAE-88CF-60A9AE3FA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0-41DA-B1AC-20B08756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柳澤颯吾!$L$2:$L$7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-67.400000000000006</c:v>
                </c:pt>
                <c:pt idx="4">
                  <c:v>-123.60000000000001</c:v>
                </c:pt>
                <c:pt idx="5">
                  <c:v>-151.60000000000002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46-430B-8158-78967C1A1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-360</c:v>
                </c:pt>
                <c:pt idx="1">
                  <c:v>160</c:v>
                </c:pt>
                <c:pt idx="2">
                  <c:v>-1640</c:v>
                </c:pt>
                <c:pt idx="3">
                  <c:v>-1400</c:v>
                </c:pt>
                <c:pt idx="4">
                  <c:v>-2140</c:v>
                </c:pt>
                <c:pt idx="5">
                  <c:v>-4040</c:v>
                </c:pt>
                <c:pt idx="6">
                  <c:v>-4250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2-42BD-91BB-0F01728E8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B-4DFB-8FD8-208679304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石澤巧望!$L$2:$L$4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21.5</c:v>
                </c:pt>
                <c:pt idx="2">
                  <c:v>-5.6000000000000014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D-4B50-A34E-5B987BD4E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3000</c:v>
                </c:pt>
                <c:pt idx="1">
                  <c:v>-300</c:v>
                </c:pt>
                <c:pt idx="2">
                  <c:v>1500</c:v>
                </c:pt>
                <c:pt idx="3">
                  <c:v>-500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A0-440E-82B1-EF9AA10C5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57-44C8-8499-56954E359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小原陸哉!$L$1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小原陸哉!$K$2:$K$4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小原陸哉!$L$2:$L$4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-28.9</c:v>
                </c:pt>
                <c:pt idx="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7-43F0-A5EE-8FA2AA3D0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小原陸哉!$O$1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小原陸哉!$N$2:$N$9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小原陸哉!$O$2:$O$9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-6200</c:v>
                </c:pt>
                <c:pt idx="2">
                  <c:v>-1000</c:v>
                </c:pt>
                <c:pt idx="3">
                  <c:v>-500</c:v>
                </c:pt>
                <c:pt idx="4">
                  <c:v>-1300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0-4ACE-92F0-6EB8B6717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小原陸哉!$A$35:$A$47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小原陸哉!$B$35:$B$47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5D-49CE-A557-DAD114DB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14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43861.810474537036</v>
      </c>
      <c r="C2" s="24" t="s">
        <v>106</v>
      </c>
    </row>
    <row r="3" spans="1:4">
      <c r="A3" s="24" t="s">
        <v>169</v>
      </c>
      <c r="B3" s="25">
        <v>43861.810474537036</v>
      </c>
      <c r="C3" s="24" t="s">
        <v>106</v>
      </c>
    </row>
    <row r="4" spans="1:4">
      <c r="A4" s="24" t="s">
        <v>178</v>
      </c>
      <c r="B4" s="25">
        <v>43861.810474537036</v>
      </c>
      <c r="C4" s="24" t="s">
        <v>106</v>
      </c>
      <c r="D4" s="24" t="s">
        <v>180</v>
      </c>
    </row>
    <row r="5" spans="1:4">
      <c r="A5" s="24" t="s">
        <v>182</v>
      </c>
      <c r="B5" s="25">
        <v>43861.810474537036</v>
      </c>
      <c r="C5" s="24" t="s">
        <v>106</v>
      </c>
      <c r="D5" s="24" t="s">
        <v>180</v>
      </c>
    </row>
    <row r="6" spans="1:4">
      <c r="A6" s="24" t="s">
        <v>195</v>
      </c>
      <c r="B6" s="25">
        <v>43861.810474537036</v>
      </c>
      <c r="C6" s="24" t="s">
        <v>106</v>
      </c>
      <c r="D6" s="24" t="s">
        <v>180</v>
      </c>
    </row>
    <row r="7" spans="1:4">
      <c r="A7" s="24" t="s">
        <v>196</v>
      </c>
      <c r="B7" s="25">
        <v>43861.810474537036</v>
      </c>
      <c r="C7" s="24" t="s">
        <v>106</v>
      </c>
      <c r="D7" s="24" t="s">
        <v>180</v>
      </c>
    </row>
    <row r="8" spans="1:4">
      <c r="A8" s="24" t="s">
        <v>198</v>
      </c>
      <c r="B8" s="25">
        <v>43861.810474537036</v>
      </c>
      <c r="C8" s="24" t="s">
        <v>106</v>
      </c>
      <c r="D8" s="24" t="s">
        <v>180</v>
      </c>
    </row>
    <row r="9" spans="1:4">
      <c r="A9" s="24" t="s">
        <v>200</v>
      </c>
      <c r="B9" s="25">
        <v>43861.810474537036</v>
      </c>
      <c r="C9" s="24" t="s">
        <v>106</v>
      </c>
      <c r="D9" s="24" t="s">
        <v>180</v>
      </c>
    </row>
    <row r="10" spans="1:4">
      <c r="A10" s="24" t="s">
        <v>201</v>
      </c>
      <c r="B10" s="25">
        <v>43861.810474537036</v>
      </c>
      <c r="C10" s="24" t="s">
        <v>106</v>
      </c>
      <c r="D10" s="24" t="s">
        <v>180</v>
      </c>
    </row>
    <row r="11" spans="1:4">
      <c r="A11" s="24" t="s">
        <v>202</v>
      </c>
      <c r="B11" s="25">
        <v>43861.810474537036</v>
      </c>
      <c r="C11" s="24" t="s">
        <v>106</v>
      </c>
      <c r="D11" s="24" t="s">
        <v>180</v>
      </c>
    </row>
    <row r="12" spans="1:4">
      <c r="A12" s="24" t="s">
        <v>204</v>
      </c>
      <c r="B12" s="25">
        <v>43861.810474537036</v>
      </c>
      <c r="C12" s="24" t="s">
        <v>106</v>
      </c>
      <c r="D12" s="24" t="s">
        <v>180</v>
      </c>
    </row>
    <row r="13" spans="1:4">
      <c r="A13" s="24" t="s">
        <v>207</v>
      </c>
      <c r="B13" s="25">
        <v>43861.810474537036</v>
      </c>
      <c r="C13" s="24" t="s">
        <v>106</v>
      </c>
      <c r="D13" s="24" t="s">
        <v>180</v>
      </c>
    </row>
    <row r="14" spans="1:4">
      <c r="A14" s="24" t="s">
        <v>208</v>
      </c>
      <c r="B14" s="25">
        <v>43882.752916666665</v>
      </c>
      <c r="C14" s="24" t="s">
        <v>106</v>
      </c>
      <c r="D14" s="24" t="s">
        <v>180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118</v>
      </c>
      <c r="B1">
        <v>96</v>
      </c>
    </row>
    <row r="2" spans="1:2">
      <c r="A2" t="s">
        <v>168</v>
      </c>
      <c r="B2">
        <v>11</v>
      </c>
    </row>
    <row r="3" spans="1:2">
      <c r="A3" t="s">
        <v>165</v>
      </c>
      <c r="B3">
        <v>7</v>
      </c>
    </row>
    <row r="4" spans="1:2">
      <c r="A4" t="s">
        <v>166</v>
      </c>
      <c r="B4">
        <v>6</v>
      </c>
    </row>
    <row r="5" spans="1:2">
      <c r="A5" t="s">
        <v>167</v>
      </c>
      <c r="B5">
        <v>9</v>
      </c>
    </row>
    <row r="6" spans="1:2">
      <c r="A6" t="s">
        <v>173</v>
      </c>
      <c r="B6">
        <v>12</v>
      </c>
    </row>
    <row r="7" spans="1:2">
      <c r="A7" t="s">
        <v>170</v>
      </c>
      <c r="B7">
        <v>4</v>
      </c>
    </row>
    <row r="8" spans="1:2">
      <c r="A8" t="s">
        <v>171</v>
      </c>
      <c r="B8">
        <v>1</v>
      </c>
    </row>
    <row r="9" spans="1:2">
      <c r="A9" t="s">
        <v>172</v>
      </c>
      <c r="B9">
        <v>13</v>
      </c>
    </row>
    <row r="10" spans="1:2">
      <c r="A10" t="s">
        <v>179</v>
      </c>
      <c r="B10">
        <v>2</v>
      </c>
    </row>
    <row r="11" spans="1:2">
      <c r="A11" t="s">
        <v>181</v>
      </c>
      <c r="B11">
        <v>2</v>
      </c>
    </row>
    <row r="12" spans="1:2">
      <c r="A12" t="s">
        <v>184</v>
      </c>
      <c r="B12">
        <v>1</v>
      </c>
    </row>
    <row r="13" spans="1:2">
      <c r="A13" t="s">
        <v>183</v>
      </c>
      <c r="B13">
        <v>10</v>
      </c>
    </row>
    <row r="14" spans="1:2">
      <c r="A14" t="s">
        <v>197</v>
      </c>
      <c r="B14">
        <v>2</v>
      </c>
    </row>
    <row r="15" spans="1:2">
      <c r="A15" t="s">
        <v>199</v>
      </c>
      <c r="B15">
        <v>7</v>
      </c>
    </row>
    <row r="16" spans="1:2">
      <c r="A16" t="s">
        <v>203</v>
      </c>
      <c r="B16">
        <v>5</v>
      </c>
    </row>
    <row r="17" spans="1:2">
      <c r="A17" t="s">
        <v>206</v>
      </c>
      <c r="B17">
        <v>2</v>
      </c>
    </row>
    <row r="18" spans="1:2">
      <c r="A18" t="s">
        <v>205</v>
      </c>
      <c r="B18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640625" style="69" customWidth="1"/>
    <col min="3" max="3" width="10.6640625" style="137" customWidth="1"/>
    <col min="4" max="4" width="10.6640625" style="69" customWidth="1"/>
    <col min="5" max="5" width="10.6640625" style="70" customWidth="1"/>
    <col min="6" max="6" width="10.6640625" style="71" customWidth="1"/>
    <col min="7" max="7" width="10.6640625" style="83" customWidth="1"/>
    <col min="8" max="8" width="10.6640625" style="71" customWidth="1"/>
    <col min="9" max="9" width="10.6640625" style="72" customWidth="1"/>
    <col min="10" max="10" width="10.6640625" style="71" customWidth="1"/>
    <col min="11" max="11" width="10.6640625" style="73" customWidth="1"/>
    <col min="12" max="12" width="10.6640625" style="71" customWidth="1"/>
    <col min="13" max="13" width="10.6640625" style="73" customWidth="1"/>
    <col min="14" max="14" width="10.6640625" style="71" customWidth="1"/>
    <col min="15" max="15" width="10.6640625" style="73" customWidth="1"/>
    <col min="16" max="16" width="10.6640625" style="71" customWidth="1"/>
    <col min="17" max="17" width="10.6640625" style="74" customWidth="1"/>
    <col min="18" max="18" width="10.6640625" style="71" customWidth="1"/>
    <col min="19" max="19" width="10.6640625" style="74" customWidth="1"/>
    <col min="20" max="20" width="10.6640625" style="71" customWidth="1"/>
    <col min="21" max="21" width="10.6640625" style="75" customWidth="1"/>
    <col min="22" max="22" width="10.6640625" style="71" customWidth="1"/>
    <col min="23" max="23" width="10.6640625" style="75" customWidth="1"/>
    <col min="24" max="24" width="10.6640625" style="71" customWidth="1"/>
    <col min="25" max="25" width="10.6640625" style="74" customWidth="1"/>
    <col min="26" max="26" width="10.6640625" style="71" customWidth="1"/>
    <col min="27" max="27" width="10.6640625" style="74" customWidth="1"/>
    <col min="28" max="28" width="10.6640625" style="71" customWidth="1"/>
    <col min="29" max="29" width="10.6640625" style="74" customWidth="1"/>
    <col min="30" max="30" width="10.6640625" style="71" customWidth="1"/>
    <col min="31" max="31" width="10.6640625" style="74" customWidth="1"/>
    <col min="32" max="32" width="10.6640625" style="71" customWidth="1"/>
    <col min="33" max="33" width="10.6640625" style="74" customWidth="1"/>
    <col min="34" max="34" width="10.6640625" style="71" customWidth="1"/>
    <col min="35" max="35" width="10.6640625" style="78" customWidth="1"/>
    <col min="36" max="16384" width="9" style="59"/>
  </cols>
  <sheetData>
    <row r="1" spans="1:35">
      <c r="A1" s="58"/>
      <c r="B1" s="146" t="s">
        <v>9</v>
      </c>
      <c r="C1" s="147"/>
      <c r="D1" s="146" t="s">
        <v>6</v>
      </c>
      <c r="E1" s="147"/>
      <c r="F1" s="146" t="s">
        <v>7</v>
      </c>
      <c r="G1" s="147"/>
      <c r="H1" s="146" t="s">
        <v>15</v>
      </c>
      <c r="I1" s="147"/>
      <c r="J1" s="146" t="s">
        <v>14</v>
      </c>
      <c r="K1" s="147"/>
      <c r="L1" s="146" t="s">
        <v>129</v>
      </c>
      <c r="M1" s="147"/>
      <c r="N1" s="146" t="s">
        <v>158</v>
      </c>
      <c r="O1" s="147"/>
      <c r="P1" s="146" t="s">
        <v>119</v>
      </c>
      <c r="Q1" s="147"/>
      <c r="R1" s="146" t="s">
        <v>120</v>
      </c>
      <c r="S1" s="147"/>
      <c r="T1" s="146" t="s">
        <v>5</v>
      </c>
      <c r="U1" s="147"/>
      <c r="V1" s="146" t="s">
        <v>16</v>
      </c>
      <c r="W1" s="147"/>
      <c r="X1" s="146" t="s">
        <v>102</v>
      </c>
      <c r="Y1" s="147"/>
      <c r="Z1" s="146" t="s">
        <v>99</v>
      </c>
      <c r="AA1" s="147"/>
      <c r="AB1" s="146" t="s">
        <v>105</v>
      </c>
      <c r="AC1" s="147"/>
      <c r="AD1" s="146" t="s">
        <v>121</v>
      </c>
      <c r="AE1" s="147"/>
      <c r="AF1" s="146" t="s">
        <v>117</v>
      </c>
      <c r="AG1" s="147"/>
      <c r="AH1" s="146" t="s">
        <v>152</v>
      </c>
      <c r="AI1" s="147"/>
    </row>
    <row r="2" spans="1:35">
      <c r="A2" s="58" t="s">
        <v>128</v>
      </c>
      <c r="B2" s="148"/>
      <c r="C2" s="149"/>
      <c r="D2" s="148"/>
      <c r="E2" s="149"/>
      <c r="F2" s="148"/>
      <c r="G2" s="149"/>
      <c r="H2" s="150">
        <v>0.89147976877420054</v>
      </c>
      <c r="I2" s="151"/>
      <c r="J2" s="150">
        <v>0.91409748147370784</v>
      </c>
      <c r="K2" s="151"/>
      <c r="L2" s="150">
        <v>0.58611167858602042</v>
      </c>
      <c r="M2" s="151"/>
      <c r="N2" s="150">
        <v>0.70785919866164948</v>
      </c>
      <c r="O2" s="151"/>
      <c r="P2" s="150">
        <v>0.72532210644983119</v>
      </c>
      <c r="Q2" s="151"/>
      <c r="R2" s="150">
        <v>-0.92407027332452496</v>
      </c>
      <c r="S2" s="151"/>
      <c r="T2" s="150">
        <v>0.34102790845295394</v>
      </c>
      <c r="U2" s="151"/>
      <c r="V2" s="150">
        <v>0.17844479735032909</v>
      </c>
      <c r="W2" s="151"/>
      <c r="X2" s="150">
        <v>-0.99527025680914505</v>
      </c>
      <c r="Y2" s="151"/>
      <c r="Z2" s="150">
        <v>0.2308839194191892</v>
      </c>
      <c r="AA2" s="151"/>
      <c r="AB2" s="150">
        <v>0.99102464678653857</v>
      </c>
      <c r="AC2" s="151"/>
      <c r="AD2" s="150">
        <v>0.30524009025963761</v>
      </c>
      <c r="AE2" s="151"/>
      <c r="AF2" s="150">
        <v>0.90575397847432515</v>
      </c>
      <c r="AG2" s="151"/>
      <c r="AH2" s="150">
        <v>0.81760205819600296</v>
      </c>
      <c r="AI2" s="151"/>
    </row>
    <row r="3" spans="1:35">
      <c r="A3" s="60">
        <v>1</v>
      </c>
      <c r="B3" s="61" t="s">
        <v>118</v>
      </c>
      <c r="C3" s="136">
        <v>24</v>
      </c>
      <c r="D3" s="61" t="s">
        <v>172</v>
      </c>
      <c r="E3" s="62">
        <v>196</v>
      </c>
      <c r="F3" s="63" t="s">
        <v>166</v>
      </c>
      <c r="G3" s="82">
        <v>30.3</v>
      </c>
      <c r="H3" s="63" t="s">
        <v>166</v>
      </c>
      <c r="I3" s="64">
        <v>1.8333333333333333</v>
      </c>
      <c r="J3" s="63" t="s">
        <v>166</v>
      </c>
      <c r="K3" s="65">
        <v>0.66666666666666663</v>
      </c>
      <c r="L3" s="63" t="s">
        <v>171</v>
      </c>
      <c r="M3" s="65">
        <v>0</v>
      </c>
      <c r="N3" s="63" t="s">
        <v>171</v>
      </c>
      <c r="O3" s="65">
        <v>1</v>
      </c>
      <c r="P3" s="63" t="s">
        <v>172</v>
      </c>
      <c r="Q3" s="66">
        <v>0.31632653061224492</v>
      </c>
      <c r="R3" s="63" t="s">
        <v>171</v>
      </c>
      <c r="S3" s="66">
        <v>0</v>
      </c>
      <c r="T3" s="63" t="s">
        <v>173</v>
      </c>
      <c r="U3" s="67">
        <v>10076.470588235294</v>
      </c>
      <c r="V3" s="63" t="s">
        <v>171</v>
      </c>
      <c r="W3" s="67">
        <v>0</v>
      </c>
      <c r="X3" s="63" t="s">
        <v>171</v>
      </c>
      <c r="Y3" s="66">
        <v>0.2857142857142857</v>
      </c>
      <c r="Z3" s="63" t="s">
        <v>172</v>
      </c>
      <c r="AA3" s="66">
        <v>0.36734693877551022</v>
      </c>
      <c r="AB3" s="63" t="s">
        <v>170</v>
      </c>
      <c r="AC3" s="66">
        <v>0.75</v>
      </c>
      <c r="AD3" s="63" t="s">
        <v>170</v>
      </c>
      <c r="AE3" s="66">
        <v>0.66666666666666663</v>
      </c>
      <c r="AF3" s="63" t="s">
        <v>170</v>
      </c>
      <c r="AG3" s="66">
        <v>0.5714285714285714</v>
      </c>
      <c r="AH3" s="63" t="s">
        <v>118</v>
      </c>
      <c r="AI3" s="77">
        <v>67800</v>
      </c>
    </row>
    <row r="4" spans="1:35">
      <c r="A4" s="68">
        <v>2</v>
      </c>
      <c r="B4" s="69" t="s">
        <v>172</v>
      </c>
      <c r="C4" s="137">
        <v>13</v>
      </c>
      <c r="D4" s="69" t="s">
        <v>166</v>
      </c>
      <c r="E4" s="70">
        <v>181.8</v>
      </c>
      <c r="F4" s="71" t="s">
        <v>172</v>
      </c>
      <c r="G4" s="83">
        <v>15.076923076923077</v>
      </c>
      <c r="H4" s="71" t="s">
        <v>171</v>
      </c>
      <c r="I4" s="72">
        <v>2</v>
      </c>
      <c r="J4" s="71" t="s">
        <v>181</v>
      </c>
      <c r="K4" s="73">
        <v>0.5</v>
      </c>
      <c r="L4" s="71" t="s">
        <v>179</v>
      </c>
      <c r="M4" s="73">
        <v>0</v>
      </c>
      <c r="N4" s="71" t="s">
        <v>199</v>
      </c>
      <c r="O4" s="73">
        <v>0.7142857142857143</v>
      </c>
      <c r="P4" s="71" t="s">
        <v>171</v>
      </c>
      <c r="Q4" s="74">
        <v>0.2857142857142857</v>
      </c>
      <c r="R4" s="71" t="s">
        <v>206</v>
      </c>
      <c r="S4" s="74">
        <v>0</v>
      </c>
      <c r="T4" s="71" t="s">
        <v>171</v>
      </c>
      <c r="U4" s="75">
        <v>8600</v>
      </c>
      <c r="V4" s="71" t="s">
        <v>206</v>
      </c>
      <c r="W4" s="75">
        <v>0</v>
      </c>
      <c r="X4" s="71" t="s">
        <v>179</v>
      </c>
      <c r="Y4" s="74">
        <v>0.26666666666666666</v>
      </c>
      <c r="Z4" s="71" t="s">
        <v>167</v>
      </c>
      <c r="AA4" s="74">
        <v>0.33783783783783783</v>
      </c>
      <c r="AB4" s="71" t="s">
        <v>179</v>
      </c>
      <c r="AC4" s="74">
        <v>0.75</v>
      </c>
      <c r="AD4" s="71" t="s">
        <v>183</v>
      </c>
      <c r="AE4" s="74">
        <v>0.5</v>
      </c>
      <c r="AF4" s="71" t="s">
        <v>167</v>
      </c>
      <c r="AG4" s="74">
        <v>0.52941176470588236</v>
      </c>
      <c r="AH4" s="71" t="s">
        <v>166</v>
      </c>
      <c r="AI4" s="78">
        <v>67800</v>
      </c>
    </row>
    <row r="5" spans="1:35">
      <c r="A5" s="68">
        <v>3</v>
      </c>
      <c r="B5" s="69" t="s">
        <v>173</v>
      </c>
      <c r="C5" s="137">
        <v>12</v>
      </c>
      <c r="D5" s="69" t="s">
        <v>173</v>
      </c>
      <c r="E5" s="70">
        <v>116.49999999999997</v>
      </c>
      <c r="F5" s="71" t="s">
        <v>171</v>
      </c>
      <c r="G5" s="83">
        <v>14</v>
      </c>
      <c r="H5" s="71" t="s">
        <v>199</v>
      </c>
      <c r="I5" s="72">
        <v>2</v>
      </c>
      <c r="J5" s="71" t="s">
        <v>172</v>
      </c>
      <c r="K5" s="73">
        <v>0.46153846153846156</v>
      </c>
      <c r="L5" s="71" t="s">
        <v>199</v>
      </c>
      <c r="M5" s="73">
        <v>0</v>
      </c>
      <c r="N5" s="71" t="s">
        <v>166</v>
      </c>
      <c r="O5" s="73">
        <v>0.66666666666666663</v>
      </c>
      <c r="P5" s="71" t="s">
        <v>183</v>
      </c>
      <c r="Q5" s="74">
        <v>0.26190476190476192</v>
      </c>
      <c r="R5" s="71" t="s">
        <v>168</v>
      </c>
      <c r="S5" s="74">
        <v>7.7777777777777779E-2</v>
      </c>
      <c r="T5" s="71" t="s">
        <v>179</v>
      </c>
      <c r="U5" s="75">
        <v>8400</v>
      </c>
      <c r="V5" s="71" t="s">
        <v>199</v>
      </c>
      <c r="W5" s="75">
        <v>-2300</v>
      </c>
      <c r="X5" s="71" t="s">
        <v>168</v>
      </c>
      <c r="Y5" s="74">
        <v>0.25555555555555554</v>
      </c>
      <c r="Z5" s="71" t="s">
        <v>197</v>
      </c>
      <c r="AA5" s="74">
        <v>0.33333333333333331</v>
      </c>
      <c r="AB5" s="71" t="s">
        <v>181</v>
      </c>
      <c r="AC5" s="74">
        <v>0.75</v>
      </c>
      <c r="AD5" s="71" t="s">
        <v>166</v>
      </c>
      <c r="AE5" s="74">
        <v>0.5</v>
      </c>
      <c r="AF5" s="71" t="s">
        <v>166</v>
      </c>
      <c r="AG5" s="74">
        <v>0.5</v>
      </c>
      <c r="AH5" s="71" t="s">
        <v>172</v>
      </c>
      <c r="AI5" s="78">
        <v>65600</v>
      </c>
    </row>
    <row r="6" spans="1:35">
      <c r="A6" s="68">
        <v>4</v>
      </c>
      <c r="B6" s="69" t="s">
        <v>168</v>
      </c>
      <c r="C6" s="137">
        <v>11</v>
      </c>
      <c r="D6" s="69" t="s">
        <v>167</v>
      </c>
      <c r="E6" s="70">
        <v>69.300000000000011</v>
      </c>
      <c r="F6" s="71" t="s">
        <v>173</v>
      </c>
      <c r="G6" s="83">
        <v>9.7083333333333304</v>
      </c>
      <c r="H6" s="71" t="s">
        <v>172</v>
      </c>
      <c r="I6" s="72">
        <v>2.1538461538461537</v>
      </c>
      <c r="J6" s="71" t="s">
        <v>167</v>
      </c>
      <c r="K6" s="73">
        <v>0.44444444444444442</v>
      </c>
      <c r="L6" s="71" t="s">
        <v>206</v>
      </c>
      <c r="M6" s="73">
        <v>0</v>
      </c>
      <c r="N6" s="71" t="s">
        <v>172</v>
      </c>
      <c r="O6" s="73">
        <v>0.61538461538461542</v>
      </c>
      <c r="P6" s="71" t="s">
        <v>166</v>
      </c>
      <c r="Q6" s="74">
        <v>0.25</v>
      </c>
      <c r="R6" s="71" t="s">
        <v>181</v>
      </c>
      <c r="S6" s="74">
        <v>0.10526315789473684</v>
      </c>
      <c r="T6" s="71" t="s">
        <v>166</v>
      </c>
      <c r="U6" s="75">
        <v>7835.7142857142853</v>
      </c>
      <c r="V6" s="71" t="s">
        <v>205</v>
      </c>
      <c r="W6" s="75">
        <v>-2450</v>
      </c>
      <c r="X6" s="71" t="s">
        <v>166</v>
      </c>
      <c r="Y6" s="74">
        <v>0.23214285714285715</v>
      </c>
      <c r="Z6" s="71" t="s">
        <v>184</v>
      </c>
      <c r="AA6" s="74">
        <v>0.2857142857142857</v>
      </c>
      <c r="AB6" s="71" t="s">
        <v>166</v>
      </c>
      <c r="AC6" s="74">
        <v>0.69230769230769229</v>
      </c>
      <c r="AD6" s="71" t="s">
        <v>206</v>
      </c>
      <c r="AE6" s="74">
        <v>0.5</v>
      </c>
      <c r="AF6" s="71" t="s">
        <v>171</v>
      </c>
      <c r="AG6" s="74">
        <v>0.5</v>
      </c>
      <c r="AH6" s="71" t="s">
        <v>173</v>
      </c>
      <c r="AI6" s="78">
        <v>62800</v>
      </c>
    </row>
    <row r="7" spans="1:35">
      <c r="A7" s="68">
        <v>5</v>
      </c>
      <c r="B7" s="69" t="s">
        <v>183</v>
      </c>
      <c r="C7" s="137">
        <v>10</v>
      </c>
      <c r="D7" s="69" t="s">
        <v>199</v>
      </c>
      <c r="E7" s="70">
        <v>62.4</v>
      </c>
      <c r="F7" s="71" t="s">
        <v>199</v>
      </c>
      <c r="G7" s="83">
        <v>8.9142857142857146</v>
      </c>
      <c r="H7" s="71" t="s">
        <v>183</v>
      </c>
      <c r="I7" s="72">
        <v>2.2000000000000002</v>
      </c>
      <c r="J7" s="71" t="s">
        <v>183</v>
      </c>
      <c r="K7" s="73">
        <v>0.3</v>
      </c>
      <c r="L7" s="71" t="s">
        <v>205</v>
      </c>
      <c r="M7" s="73">
        <v>0</v>
      </c>
      <c r="N7" s="71" t="s">
        <v>183</v>
      </c>
      <c r="O7" s="73">
        <v>0.6</v>
      </c>
      <c r="P7" s="71" t="s">
        <v>206</v>
      </c>
      <c r="Q7" s="74">
        <v>0.25</v>
      </c>
      <c r="R7" s="71" t="s">
        <v>167</v>
      </c>
      <c r="S7" s="74">
        <v>0.10810810810810811</v>
      </c>
      <c r="T7" s="71" t="s">
        <v>165</v>
      </c>
      <c r="U7" s="75">
        <v>6458.333333333333</v>
      </c>
      <c r="V7" s="71" t="s">
        <v>179</v>
      </c>
      <c r="W7" s="75">
        <v>-2950</v>
      </c>
      <c r="X7" s="71" t="s">
        <v>181</v>
      </c>
      <c r="Y7" s="74">
        <v>0.21052631578947367</v>
      </c>
      <c r="Z7" s="71" t="s">
        <v>199</v>
      </c>
      <c r="AA7" s="74">
        <v>0.26785714285714285</v>
      </c>
      <c r="AB7" s="71" t="s">
        <v>172</v>
      </c>
      <c r="AC7" s="74">
        <v>0.6875</v>
      </c>
      <c r="AD7" s="71" t="s">
        <v>172</v>
      </c>
      <c r="AE7" s="74">
        <v>0.44444444444444442</v>
      </c>
      <c r="AF7" s="71" t="s">
        <v>172</v>
      </c>
      <c r="AG7" s="74">
        <v>0.41935483870967744</v>
      </c>
      <c r="AH7" s="71" t="s">
        <v>165</v>
      </c>
      <c r="AI7" s="78">
        <v>54900</v>
      </c>
    </row>
    <row r="8" spans="1:35">
      <c r="A8" s="68">
        <v>6</v>
      </c>
      <c r="B8" s="69" t="s">
        <v>167</v>
      </c>
      <c r="C8" s="137">
        <v>9</v>
      </c>
      <c r="D8" s="69" t="s">
        <v>183</v>
      </c>
      <c r="E8" s="70">
        <v>36.199999999999996</v>
      </c>
      <c r="F8" s="71" t="s">
        <v>167</v>
      </c>
      <c r="G8" s="83">
        <v>7.7000000000000011</v>
      </c>
      <c r="H8" s="71" t="s">
        <v>173</v>
      </c>
      <c r="I8" s="72">
        <v>2.3333333333333335</v>
      </c>
      <c r="J8" s="71" t="s">
        <v>199</v>
      </c>
      <c r="K8" s="73">
        <v>0.2857142857142857</v>
      </c>
      <c r="L8" s="71" t="s">
        <v>173</v>
      </c>
      <c r="M8" s="73">
        <v>8.3333333333333329E-2</v>
      </c>
      <c r="N8" s="71" t="s">
        <v>167</v>
      </c>
      <c r="O8" s="73">
        <v>0.55555555555555558</v>
      </c>
      <c r="P8" s="71" t="s">
        <v>167</v>
      </c>
      <c r="Q8" s="74">
        <v>0.22972972972972974</v>
      </c>
      <c r="R8" s="71" t="s">
        <v>170</v>
      </c>
      <c r="S8" s="74">
        <v>0.11428571428571428</v>
      </c>
      <c r="T8" s="71" t="s">
        <v>118</v>
      </c>
      <c r="U8" s="75">
        <v>6209.2024539877302</v>
      </c>
      <c r="V8" s="71" t="s">
        <v>166</v>
      </c>
      <c r="W8" s="75">
        <v>-3914.2857142857142</v>
      </c>
      <c r="X8" s="71" t="s">
        <v>183</v>
      </c>
      <c r="Y8" s="74">
        <v>0.20238095238095238</v>
      </c>
      <c r="Z8" s="71" t="s">
        <v>183</v>
      </c>
      <c r="AA8" s="74">
        <v>0.26190476190476192</v>
      </c>
      <c r="AB8" s="71" t="s">
        <v>173</v>
      </c>
      <c r="AC8" s="74">
        <v>0.61111111111111116</v>
      </c>
      <c r="AD8" s="71" t="s">
        <v>203</v>
      </c>
      <c r="AE8" s="74">
        <v>0.375</v>
      </c>
      <c r="AF8" s="71" t="s">
        <v>165</v>
      </c>
      <c r="AG8" s="74">
        <v>0.41666666666666669</v>
      </c>
      <c r="AH8" s="71" t="s">
        <v>167</v>
      </c>
      <c r="AI8" s="78">
        <v>54600</v>
      </c>
    </row>
    <row r="9" spans="1:35">
      <c r="A9" s="68">
        <v>7</v>
      </c>
      <c r="B9" s="69" t="s">
        <v>165</v>
      </c>
      <c r="C9" s="137">
        <v>7</v>
      </c>
      <c r="D9" s="69" t="s">
        <v>171</v>
      </c>
      <c r="E9" s="70">
        <v>14</v>
      </c>
      <c r="F9" s="71" t="s">
        <v>183</v>
      </c>
      <c r="G9" s="83">
        <v>3.6199999999999997</v>
      </c>
      <c r="H9" s="71" t="s">
        <v>167</v>
      </c>
      <c r="I9" s="72">
        <v>2.3333333333333335</v>
      </c>
      <c r="J9" s="71" t="s">
        <v>118</v>
      </c>
      <c r="K9" s="73">
        <v>0.26041666666666669</v>
      </c>
      <c r="L9" s="71" t="s">
        <v>183</v>
      </c>
      <c r="M9" s="73">
        <v>0.1</v>
      </c>
      <c r="N9" s="71" t="s">
        <v>173</v>
      </c>
      <c r="O9" s="73">
        <v>0.5</v>
      </c>
      <c r="P9" s="71" t="s">
        <v>199</v>
      </c>
      <c r="Q9" s="74">
        <v>0.21428571428571427</v>
      </c>
      <c r="R9" s="71" t="s">
        <v>173</v>
      </c>
      <c r="S9" s="74">
        <v>0.11764705882352941</v>
      </c>
      <c r="T9" s="71" t="s">
        <v>167</v>
      </c>
      <c r="U9" s="75">
        <v>6000</v>
      </c>
      <c r="V9" s="71" t="s">
        <v>173</v>
      </c>
      <c r="W9" s="75">
        <v>-4558.333333333333</v>
      </c>
      <c r="X9" s="71" t="s">
        <v>205</v>
      </c>
      <c r="Y9" s="74">
        <v>0.2</v>
      </c>
      <c r="Z9" s="71" t="s">
        <v>168</v>
      </c>
      <c r="AA9" s="74">
        <v>0.25555555555555554</v>
      </c>
      <c r="AB9" s="71" t="s">
        <v>203</v>
      </c>
      <c r="AC9" s="74">
        <v>0.6</v>
      </c>
      <c r="AD9" s="71" t="s">
        <v>118</v>
      </c>
      <c r="AE9" s="74">
        <v>0.37433155080213903</v>
      </c>
      <c r="AF9" s="71" t="s">
        <v>183</v>
      </c>
      <c r="AG9" s="74">
        <v>0.36363636363636365</v>
      </c>
      <c r="AH9" s="71" t="s">
        <v>199</v>
      </c>
      <c r="AI9" s="78">
        <v>45900</v>
      </c>
    </row>
    <row r="10" spans="1:35">
      <c r="A10" s="68">
        <v>8</v>
      </c>
      <c r="B10" s="69" t="s">
        <v>199</v>
      </c>
      <c r="C10" s="137">
        <v>7</v>
      </c>
      <c r="D10" s="69" t="s">
        <v>181</v>
      </c>
      <c r="E10" s="70">
        <v>3.8999999999999986</v>
      </c>
      <c r="F10" s="71" t="s">
        <v>181</v>
      </c>
      <c r="G10" s="83">
        <v>1.9499999999999993</v>
      </c>
      <c r="H10" s="71" t="s">
        <v>118</v>
      </c>
      <c r="I10" s="72">
        <v>2.4791666666666665</v>
      </c>
      <c r="J10" s="71" t="s">
        <v>173</v>
      </c>
      <c r="K10" s="73">
        <v>0.25</v>
      </c>
      <c r="L10" s="71" t="s">
        <v>166</v>
      </c>
      <c r="M10" s="73">
        <v>0.16666666666666666</v>
      </c>
      <c r="N10" s="71" t="s">
        <v>118</v>
      </c>
      <c r="O10" s="73">
        <v>0.5</v>
      </c>
      <c r="P10" s="71" t="s">
        <v>181</v>
      </c>
      <c r="Q10" s="74">
        <v>0.21052631578947367</v>
      </c>
      <c r="R10" s="71" t="s">
        <v>183</v>
      </c>
      <c r="S10" s="74">
        <v>0.11904761904761904</v>
      </c>
      <c r="T10" s="71" t="s">
        <v>172</v>
      </c>
      <c r="U10" s="75">
        <v>5958.0645161290322</v>
      </c>
      <c r="V10" s="71" t="s">
        <v>203</v>
      </c>
      <c r="W10" s="75">
        <v>-4883.333333333333</v>
      </c>
      <c r="X10" s="71" t="s">
        <v>167</v>
      </c>
      <c r="Y10" s="74">
        <v>0.1891891891891892</v>
      </c>
      <c r="Z10" s="71" t="s">
        <v>206</v>
      </c>
      <c r="AA10" s="74">
        <v>0.25</v>
      </c>
      <c r="AB10" s="71" t="s">
        <v>167</v>
      </c>
      <c r="AC10" s="74">
        <v>0.5714285714285714</v>
      </c>
      <c r="AD10" s="71" t="s">
        <v>165</v>
      </c>
      <c r="AE10" s="74">
        <v>0.35714285714285715</v>
      </c>
      <c r="AF10" s="71" t="s">
        <v>118</v>
      </c>
      <c r="AG10" s="74">
        <v>0.3619631901840491</v>
      </c>
      <c r="AH10" s="71" t="s">
        <v>181</v>
      </c>
      <c r="AI10" s="78">
        <v>42500</v>
      </c>
    </row>
    <row r="11" spans="1:35">
      <c r="A11" s="68">
        <v>9</v>
      </c>
      <c r="B11" s="69" t="s">
        <v>166</v>
      </c>
      <c r="C11" s="137">
        <v>6</v>
      </c>
      <c r="D11" s="69" t="s">
        <v>179</v>
      </c>
      <c r="E11" s="70">
        <v>-2.2000000000000011</v>
      </c>
      <c r="F11" s="71" t="s">
        <v>118</v>
      </c>
      <c r="G11" s="83">
        <v>-0.2083333333333334</v>
      </c>
      <c r="H11" s="71" t="s">
        <v>179</v>
      </c>
      <c r="I11" s="72">
        <v>2.5</v>
      </c>
      <c r="J11" s="71" t="s">
        <v>165</v>
      </c>
      <c r="K11" s="73">
        <v>0.14285714285714285</v>
      </c>
      <c r="L11" s="71" t="s">
        <v>172</v>
      </c>
      <c r="M11" s="73">
        <v>0.23076923076923078</v>
      </c>
      <c r="N11" s="71" t="s">
        <v>179</v>
      </c>
      <c r="O11" s="73">
        <v>0.5</v>
      </c>
      <c r="P11" s="71" t="s">
        <v>118</v>
      </c>
      <c r="Q11" s="74">
        <v>0.2068527918781726</v>
      </c>
      <c r="R11" s="71" t="s">
        <v>166</v>
      </c>
      <c r="S11" s="74">
        <v>0.125</v>
      </c>
      <c r="T11" s="71" t="s">
        <v>181</v>
      </c>
      <c r="U11" s="75">
        <v>5900</v>
      </c>
      <c r="V11" s="71" t="s">
        <v>172</v>
      </c>
      <c r="W11" s="75">
        <v>-5523.5294117647063</v>
      </c>
      <c r="X11" s="71" t="s">
        <v>206</v>
      </c>
      <c r="Y11" s="74">
        <v>0.1875</v>
      </c>
      <c r="Z11" s="71" t="s">
        <v>118</v>
      </c>
      <c r="AA11" s="74">
        <v>0.23730964467005075</v>
      </c>
      <c r="AB11" s="71" t="s">
        <v>171</v>
      </c>
      <c r="AC11" s="74">
        <v>0.5</v>
      </c>
      <c r="AD11" s="71" t="s">
        <v>181</v>
      </c>
      <c r="AE11" s="74">
        <v>0.33333333333333331</v>
      </c>
      <c r="AF11" s="71" t="s">
        <v>179</v>
      </c>
      <c r="AG11" s="74">
        <v>0.33333333333333331</v>
      </c>
      <c r="AH11" s="71" t="s">
        <v>206</v>
      </c>
      <c r="AI11" s="78">
        <v>41500</v>
      </c>
    </row>
    <row r="12" spans="1:35">
      <c r="A12" s="68">
        <v>10</v>
      </c>
      <c r="B12" s="69" t="s">
        <v>203</v>
      </c>
      <c r="C12" s="137">
        <v>5</v>
      </c>
      <c r="D12" s="69" t="s">
        <v>206</v>
      </c>
      <c r="E12" s="70">
        <v>-5.6000000000000014</v>
      </c>
      <c r="F12" s="71" t="s">
        <v>179</v>
      </c>
      <c r="G12" s="83">
        <v>-1.1000000000000005</v>
      </c>
      <c r="H12" s="71" t="s">
        <v>181</v>
      </c>
      <c r="I12" s="72">
        <v>2.5</v>
      </c>
      <c r="J12" s="71" t="s">
        <v>168</v>
      </c>
      <c r="K12" s="73">
        <v>9.0909090909090912E-2</v>
      </c>
      <c r="L12" s="71" t="s">
        <v>118</v>
      </c>
      <c r="M12" s="73">
        <v>0.23958333333333334</v>
      </c>
      <c r="N12" s="71" t="s">
        <v>181</v>
      </c>
      <c r="O12" s="73">
        <v>0.5</v>
      </c>
      <c r="P12" s="71" t="s">
        <v>165</v>
      </c>
      <c r="Q12" s="74">
        <v>0.2</v>
      </c>
      <c r="R12" s="71" t="s">
        <v>199</v>
      </c>
      <c r="S12" s="74">
        <v>0.125</v>
      </c>
      <c r="T12" s="71" t="s">
        <v>206</v>
      </c>
      <c r="U12" s="75">
        <v>5750</v>
      </c>
      <c r="V12" s="71" t="s">
        <v>168</v>
      </c>
      <c r="W12" s="75">
        <v>-5628.5714285714284</v>
      </c>
      <c r="X12" s="71" t="s">
        <v>165</v>
      </c>
      <c r="Y12" s="74">
        <v>0.18333333333333332</v>
      </c>
      <c r="Z12" s="71" t="s">
        <v>165</v>
      </c>
      <c r="AA12" s="74">
        <v>0.23333333333333334</v>
      </c>
      <c r="AB12" s="71" t="s">
        <v>118</v>
      </c>
      <c r="AC12" s="74">
        <v>0.49305555555555558</v>
      </c>
      <c r="AD12" s="71" t="s">
        <v>199</v>
      </c>
      <c r="AE12" s="74">
        <v>0.33333333333333331</v>
      </c>
      <c r="AF12" s="71" t="s">
        <v>173</v>
      </c>
      <c r="AG12" s="74">
        <v>0.29411764705882354</v>
      </c>
      <c r="AH12" s="71" t="s">
        <v>168</v>
      </c>
      <c r="AI12" s="78">
        <v>38300</v>
      </c>
    </row>
    <row r="13" spans="1:35">
      <c r="A13" s="68">
        <v>11</v>
      </c>
      <c r="B13" s="69" t="s">
        <v>170</v>
      </c>
      <c r="C13" s="137">
        <v>4</v>
      </c>
      <c r="D13" s="69" t="s">
        <v>118</v>
      </c>
      <c r="E13" s="70">
        <v>-20.000000000000007</v>
      </c>
      <c r="F13" s="71" t="s">
        <v>206</v>
      </c>
      <c r="G13" s="83">
        <v>-2.8000000000000007</v>
      </c>
      <c r="H13" s="71" t="s">
        <v>206</v>
      </c>
      <c r="I13" s="72">
        <v>2.5</v>
      </c>
      <c r="J13" s="71" t="s">
        <v>170</v>
      </c>
      <c r="K13" s="73">
        <v>0</v>
      </c>
      <c r="L13" s="71" t="s">
        <v>165</v>
      </c>
      <c r="M13" s="73">
        <v>0.2857142857142857</v>
      </c>
      <c r="N13" s="71" t="s">
        <v>206</v>
      </c>
      <c r="O13" s="73">
        <v>0.5</v>
      </c>
      <c r="P13" s="71" t="s">
        <v>170</v>
      </c>
      <c r="Q13" s="74">
        <v>0.2</v>
      </c>
      <c r="R13" s="71" t="s">
        <v>118</v>
      </c>
      <c r="S13" s="74">
        <v>0.13197969543147209</v>
      </c>
      <c r="T13" s="71" t="s">
        <v>199</v>
      </c>
      <c r="U13" s="75">
        <v>5658.333333333333</v>
      </c>
      <c r="V13" s="71" t="s">
        <v>118</v>
      </c>
      <c r="W13" s="75">
        <v>-5873.0769230769229</v>
      </c>
      <c r="X13" s="71" t="s">
        <v>118</v>
      </c>
      <c r="Y13" s="74">
        <v>0.18274111675126903</v>
      </c>
      <c r="Z13" s="71" t="s">
        <v>203</v>
      </c>
      <c r="AA13" s="74">
        <v>0.20512820512820512</v>
      </c>
      <c r="AB13" s="71" t="s">
        <v>165</v>
      </c>
      <c r="AC13" s="74">
        <v>0.45454545454545453</v>
      </c>
      <c r="AD13" s="71" t="s">
        <v>167</v>
      </c>
      <c r="AE13" s="74">
        <v>0.32</v>
      </c>
      <c r="AF13" s="71" t="s">
        <v>181</v>
      </c>
      <c r="AG13" s="74">
        <v>0.25</v>
      </c>
      <c r="AH13" s="71" t="s">
        <v>183</v>
      </c>
      <c r="AI13" s="78">
        <v>36000</v>
      </c>
    </row>
    <row r="14" spans="1:35">
      <c r="A14" s="68">
        <v>12</v>
      </c>
      <c r="B14" s="69" t="s">
        <v>179</v>
      </c>
      <c r="C14" s="137">
        <v>2</v>
      </c>
      <c r="D14" s="69" t="s">
        <v>205</v>
      </c>
      <c r="E14" s="70">
        <v>-49</v>
      </c>
      <c r="F14" s="71" t="s">
        <v>165</v>
      </c>
      <c r="G14" s="83">
        <v>-10.314285714285713</v>
      </c>
      <c r="H14" s="71" t="s">
        <v>165</v>
      </c>
      <c r="I14" s="72">
        <v>2.7142857142857144</v>
      </c>
      <c r="J14" s="71" t="s">
        <v>171</v>
      </c>
      <c r="K14" s="73">
        <v>0</v>
      </c>
      <c r="L14" s="71" t="s">
        <v>167</v>
      </c>
      <c r="M14" s="73">
        <v>0.33333333333333331</v>
      </c>
      <c r="N14" s="71" t="s">
        <v>168</v>
      </c>
      <c r="O14" s="73">
        <v>0.45454545454545453</v>
      </c>
      <c r="P14" s="71" t="s">
        <v>179</v>
      </c>
      <c r="Q14" s="74">
        <v>0.2</v>
      </c>
      <c r="R14" s="71" t="s">
        <v>179</v>
      </c>
      <c r="S14" s="74">
        <v>0.13333333333333333</v>
      </c>
      <c r="T14" s="71" t="s">
        <v>168</v>
      </c>
      <c r="U14" s="75">
        <v>5583.333333333333</v>
      </c>
      <c r="V14" s="71" t="s">
        <v>181</v>
      </c>
      <c r="W14" s="75">
        <v>-5950</v>
      </c>
      <c r="X14" s="71" t="s">
        <v>173</v>
      </c>
      <c r="Y14" s="74">
        <v>0.17647058823529413</v>
      </c>
      <c r="Z14" s="71" t="s">
        <v>170</v>
      </c>
      <c r="AA14" s="74">
        <v>0.17142857142857143</v>
      </c>
      <c r="AB14" s="71" t="s">
        <v>183</v>
      </c>
      <c r="AC14" s="74">
        <v>0.41176470588235292</v>
      </c>
      <c r="AD14" s="71" t="s">
        <v>168</v>
      </c>
      <c r="AE14" s="74">
        <v>0.30434782608695654</v>
      </c>
      <c r="AF14" s="71" t="s">
        <v>206</v>
      </c>
      <c r="AG14" s="74">
        <v>0.25</v>
      </c>
      <c r="AH14" s="71" t="s">
        <v>171</v>
      </c>
      <c r="AI14" s="78">
        <v>34000</v>
      </c>
    </row>
    <row r="15" spans="1:35">
      <c r="A15" s="68">
        <v>13</v>
      </c>
      <c r="B15" s="69" t="s">
        <v>181</v>
      </c>
      <c r="C15" s="137">
        <v>2</v>
      </c>
      <c r="D15" s="69" t="s">
        <v>184</v>
      </c>
      <c r="E15" s="70">
        <v>-52.6</v>
      </c>
      <c r="F15" s="71" t="s">
        <v>168</v>
      </c>
      <c r="G15" s="83">
        <v>-12.863636363636363</v>
      </c>
      <c r="H15" s="71" t="s">
        <v>168</v>
      </c>
      <c r="I15" s="72">
        <v>2.8181818181818183</v>
      </c>
      <c r="J15" s="71" t="s">
        <v>179</v>
      </c>
      <c r="K15" s="73">
        <v>0</v>
      </c>
      <c r="L15" s="71" t="s">
        <v>168</v>
      </c>
      <c r="M15" s="73">
        <v>0.36363636363636365</v>
      </c>
      <c r="N15" s="71" t="s">
        <v>165</v>
      </c>
      <c r="O15" s="73">
        <v>0.42857142857142855</v>
      </c>
      <c r="P15" s="71" t="s">
        <v>173</v>
      </c>
      <c r="Q15" s="74">
        <v>0.16666666666666666</v>
      </c>
      <c r="R15" s="71" t="s">
        <v>197</v>
      </c>
      <c r="S15" s="74">
        <v>0.13333333333333333</v>
      </c>
      <c r="T15" s="71" t="s">
        <v>183</v>
      </c>
      <c r="U15" s="75">
        <v>4481.818181818182</v>
      </c>
      <c r="V15" s="71" t="s">
        <v>184</v>
      </c>
      <c r="W15" s="75">
        <v>-6600</v>
      </c>
      <c r="X15" s="71" t="s">
        <v>172</v>
      </c>
      <c r="Y15" s="74">
        <v>0.16326530612244897</v>
      </c>
      <c r="Z15" s="71" t="s">
        <v>181</v>
      </c>
      <c r="AA15" s="74">
        <v>0.15789473684210525</v>
      </c>
      <c r="AB15" s="71" t="s">
        <v>199</v>
      </c>
      <c r="AC15" s="74">
        <v>0.4</v>
      </c>
      <c r="AD15" s="71" t="s">
        <v>173</v>
      </c>
      <c r="AE15" s="74">
        <v>0.26666666666666666</v>
      </c>
      <c r="AF15" s="71" t="s">
        <v>199</v>
      </c>
      <c r="AG15" s="74">
        <v>0.16666666666666666</v>
      </c>
      <c r="AH15" s="71" t="s">
        <v>179</v>
      </c>
      <c r="AI15" s="78">
        <v>33600</v>
      </c>
    </row>
    <row r="16" spans="1:35">
      <c r="A16" s="68">
        <v>14</v>
      </c>
      <c r="B16" s="69" t="s">
        <v>197</v>
      </c>
      <c r="C16" s="137">
        <v>2</v>
      </c>
      <c r="D16" s="69" t="s">
        <v>165</v>
      </c>
      <c r="E16" s="70">
        <v>-72.199999999999989</v>
      </c>
      <c r="F16" s="71" t="s">
        <v>205</v>
      </c>
      <c r="G16" s="83">
        <v>-24.5</v>
      </c>
      <c r="H16" s="71" t="s">
        <v>205</v>
      </c>
      <c r="I16" s="72">
        <v>3</v>
      </c>
      <c r="J16" s="71" t="s">
        <v>184</v>
      </c>
      <c r="K16" s="73">
        <v>0</v>
      </c>
      <c r="L16" s="71" t="s">
        <v>203</v>
      </c>
      <c r="M16" s="73">
        <v>0.4</v>
      </c>
      <c r="N16" s="71" t="s">
        <v>170</v>
      </c>
      <c r="O16" s="73">
        <v>0.25</v>
      </c>
      <c r="P16" s="71" t="s">
        <v>203</v>
      </c>
      <c r="Q16" s="74">
        <v>0.15384615384615385</v>
      </c>
      <c r="R16" s="71" t="s">
        <v>205</v>
      </c>
      <c r="S16" s="74">
        <v>0.13333333333333333</v>
      </c>
      <c r="T16" s="71" t="s">
        <v>203</v>
      </c>
      <c r="U16" s="75">
        <v>3983.3333333333335</v>
      </c>
      <c r="V16" s="71" t="s">
        <v>165</v>
      </c>
      <c r="W16" s="75">
        <v>-7220</v>
      </c>
      <c r="X16" s="71" t="s">
        <v>184</v>
      </c>
      <c r="Y16" s="74">
        <v>0.14285714285714285</v>
      </c>
      <c r="Z16" s="71" t="s">
        <v>173</v>
      </c>
      <c r="AA16" s="74">
        <v>0.14705882352941177</v>
      </c>
      <c r="AB16" s="71" t="s">
        <v>206</v>
      </c>
      <c r="AC16" s="74">
        <v>0.33333333333333331</v>
      </c>
      <c r="AD16" s="71" t="s">
        <v>171</v>
      </c>
      <c r="AE16" s="74">
        <v>0</v>
      </c>
      <c r="AF16" s="71" t="s">
        <v>203</v>
      </c>
      <c r="AG16" s="74">
        <v>0.16666666666666666</v>
      </c>
      <c r="AH16" s="71" t="s">
        <v>203</v>
      </c>
      <c r="AI16" s="78">
        <v>29100</v>
      </c>
    </row>
    <row r="17" spans="1:35">
      <c r="A17" s="68">
        <v>15</v>
      </c>
      <c r="B17" s="69" t="s">
        <v>206</v>
      </c>
      <c r="C17" s="137">
        <v>2</v>
      </c>
      <c r="D17" s="69" t="s">
        <v>197</v>
      </c>
      <c r="E17" s="70">
        <v>-97.4</v>
      </c>
      <c r="F17" s="71" t="s">
        <v>203</v>
      </c>
      <c r="G17" s="83">
        <v>-30.320000000000004</v>
      </c>
      <c r="H17" s="71" t="s">
        <v>203</v>
      </c>
      <c r="I17" s="72">
        <v>3.2</v>
      </c>
      <c r="J17" s="71" t="s">
        <v>197</v>
      </c>
      <c r="K17" s="73">
        <v>0</v>
      </c>
      <c r="L17" s="71" t="s">
        <v>170</v>
      </c>
      <c r="M17" s="73">
        <v>0.5</v>
      </c>
      <c r="N17" s="71" t="s">
        <v>203</v>
      </c>
      <c r="O17" s="73">
        <v>0.2</v>
      </c>
      <c r="P17" s="71" t="s">
        <v>168</v>
      </c>
      <c r="Q17" s="74">
        <v>0.13333333333333333</v>
      </c>
      <c r="R17" s="71" t="s">
        <v>165</v>
      </c>
      <c r="S17" s="74">
        <v>0.16666666666666666</v>
      </c>
      <c r="T17" s="71" t="s">
        <v>170</v>
      </c>
      <c r="U17" s="75">
        <v>2928.5714285714284</v>
      </c>
      <c r="V17" s="71" t="s">
        <v>167</v>
      </c>
      <c r="W17" s="75">
        <v>-7887.5</v>
      </c>
      <c r="X17" s="71" t="s">
        <v>203</v>
      </c>
      <c r="Y17" s="74">
        <v>0.12820512820512819</v>
      </c>
      <c r="Z17" s="71" t="s">
        <v>166</v>
      </c>
      <c r="AA17" s="74">
        <v>0.14285714285714285</v>
      </c>
      <c r="AB17" s="71" t="s">
        <v>168</v>
      </c>
      <c r="AC17" s="74">
        <v>0.17391304347826086</v>
      </c>
      <c r="AD17" s="71" t="s">
        <v>179</v>
      </c>
      <c r="AE17" s="74">
        <v>0</v>
      </c>
      <c r="AF17" s="71" t="s">
        <v>168</v>
      </c>
      <c r="AG17" s="74">
        <v>8.3333333333333329E-2</v>
      </c>
      <c r="AH17" s="71" t="s">
        <v>170</v>
      </c>
      <c r="AI17" s="78">
        <v>23700</v>
      </c>
    </row>
    <row r="18" spans="1:35">
      <c r="A18" s="68">
        <v>16</v>
      </c>
      <c r="B18" s="69" t="s">
        <v>205</v>
      </c>
      <c r="C18" s="137">
        <v>2</v>
      </c>
      <c r="D18" s="69" t="s">
        <v>170</v>
      </c>
      <c r="E18" s="70">
        <v>-127.99999999999999</v>
      </c>
      <c r="F18" s="71" t="s">
        <v>170</v>
      </c>
      <c r="G18" s="83">
        <v>-31.999999999999996</v>
      </c>
      <c r="H18" s="71" t="s">
        <v>170</v>
      </c>
      <c r="I18" s="72">
        <v>3.25</v>
      </c>
      <c r="J18" s="71" t="s">
        <v>203</v>
      </c>
      <c r="K18" s="73">
        <v>0</v>
      </c>
      <c r="L18" s="71" t="s">
        <v>181</v>
      </c>
      <c r="M18" s="73">
        <v>0.5</v>
      </c>
      <c r="N18" s="71" t="s">
        <v>184</v>
      </c>
      <c r="O18" s="73">
        <v>0</v>
      </c>
      <c r="P18" s="71" t="s">
        <v>184</v>
      </c>
      <c r="Q18" s="74">
        <v>0</v>
      </c>
      <c r="R18" s="71" t="s">
        <v>172</v>
      </c>
      <c r="S18" s="74">
        <v>0.17346938775510204</v>
      </c>
      <c r="T18" s="71" t="s">
        <v>184</v>
      </c>
      <c r="U18" s="75">
        <v>0</v>
      </c>
      <c r="V18" s="71" t="s">
        <v>183</v>
      </c>
      <c r="W18" s="75">
        <v>-8390</v>
      </c>
      <c r="X18" s="71" t="s">
        <v>170</v>
      </c>
      <c r="Y18" s="74">
        <v>0.11428571428571428</v>
      </c>
      <c r="Z18" s="71" t="s">
        <v>171</v>
      </c>
      <c r="AA18" s="74">
        <v>0.14285714285714285</v>
      </c>
      <c r="AB18" s="71" t="s">
        <v>184</v>
      </c>
      <c r="AC18" s="74">
        <v>0</v>
      </c>
      <c r="AD18" s="71" t="s">
        <v>184</v>
      </c>
      <c r="AE18" s="74">
        <v>0</v>
      </c>
      <c r="AF18" s="71" t="s">
        <v>184</v>
      </c>
      <c r="AG18" s="74">
        <v>0</v>
      </c>
      <c r="AH18" s="71" t="s">
        <v>205</v>
      </c>
      <c r="AI18" s="78">
        <v>19900</v>
      </c>
    </row>
    <row r="19" spans="1:35">
      <c r="A19" s="68">
        <v>17</v>
      </c>
      <c r="B19" s="69" t="s">
        <v>171</v>
      </c>
      <c r="C19" s="137">
        <v>1</v>
      </c>
      <c r="D19" s="69" t="s">
        <v>168</v>
      </c>
      <c r="E19" s="70">
        <v>-141.5</v>
      </c>
      <c r="F19" s="71" t="s">
        <v>197</v>
      </c>
      <c r="G19" s="83">
        <v>-48.7</v>
      </c>
      <c r="H19" s="71" t="s">
        <v>184</v>
      </c>
      <c r="I19" s="72">
        <v>4</v>
      </c>
      <c r="J19" s="71" t="s">
        <v>206</v>
      </c>
      <c r="K19" s="73">
        <v>0</v>
      </c>
      <c r="L19" s="71" t="s">
        <v>184</v>
      </c>
      <c r="M19" s="73">
        <v>1</v>
      </c>
      <c r="N19" s="71" t="s">
        <v>197</v>
      </c>
      <c r="O19" s="73">
        <v>0</v>
      </c>
      <c r="P19" s="71" t="s">
        <v>197</v>
      </c>
      <c r="Q19" s="74">
        <v>0</v>
      </c>
      <c r="R19" s="71" t="s">
        <v>184</v>
      </c>
      <c r="S19" s="74">
        <v>0.2857142857142857</v>
      </c>
      <c r="T19" s="71" t="s">
        <v>197</v>
      </c>
      <c r="U19" s="75">
        <v>0</v>
      </c>
      <c r="V19" s="71" t="s">
        <v>197</v>
      </c>
      <c r="W19" s="75">
        <v>-10000</v>
      </c>
      <c r="X19" s="71" t="s">
        <v>199</v>
      </c>
      <c r="Y19" s="74">
        <v>8.9285714285714288E-2</v>
      </c>
      <c r="Z19" s="71" t="s">
        <v>179</v>
      </c>
      <c r="AA19" s="74">
        <v>0</v>
      </c>
      <c r="AB19" s="71" t="s">
        <v>197</v>
      </c>
      <c r="AC19" s="74">
        <v>0</v>
      </c>
      <c r="AD19" s="71" t="s">
        <v>197</v>
      </c>
      <c r="AE19" s="74">
        <v>0</v>
      </c>
      <c r="AF19" s="71" t="s">
        <v>197</v>
      </c>
      <c r="AG19" s="74">
        <v>0</v>
      </c>
      <c r="AH19" s="71" t="s">
        <v>197</v>
      </c>
      <c r="AI19" s="78">
        <v>14100</v>
      </c>
    </row>
    <row r="20" spans="1:35">
      <c r="A20" s="68">
        <v>18</v>
      </c>
      <c r="B20" s="69" t="s">
        <v>184</v>
      </c>
      <c r="C20" s="137">
        <v>1</v>
      </c>
      <c r="D20" s="69" t="s">
        <v>203</v>
      </c>
      <c r="E20" s="70">
        <v>-151.60000000000002</v>
      </c>
      <c r="F20" s="71" t="s">
        <v>184</v>
      </c>
      <c r="G20" s="83">
        <v>-52.6</v>
      </c>
      <c r="H20" s="71" t="s">
        <v>197</v>
      </c>
      <c r="I20" s="72">
        <v>4</v>
      </c>
      <c r="J20" s="71" t="s">
        <v>205</v>
      </c>
      <c r="K20" s="73">
        <v>0</v>
      </c>
      <c r="L20" s="71" t="s">
        <v>197</v>
      </c>
      <c r="M20" s="73">
        <v>1</v>
      </c>
      <c r="N20" s="71" t="s">
        <v>205</v>
      </c>
      <c r="O20" s="73">
        <v>0</v>
      </c>
      <c r="P20" s="71" t="s">
        <v>205</v>
      </c>
      <c r="Q20" s="74">
        <v>0</v>
      </c>
      <c r="R20" s="71" t="s">
        <v>203</v>
      </c>
      <c r="S20" s="74">
        <v>0.30769230769230771</v>
      </c>
      <c r="T20" s="71" t="s">
        <v>205</v>
      </c>
      <c r="U20" s="75">
        <v>0</v>
      </c>
      <c r="V20" s="71" t="s">
        <v>170</v>
      </c>
      <c r="W20" s="75">
        <v>-11400</v>
      </c>
      <c r="X20" s="71" t="s">
        <v>197</v>
      </c>
      <c r="Y20" s="74">
        <v>6.6666666666666666E-2</v>
      </c>
      <c r="Z20" s="71" t="s">
        <v>205</v>
      </c>
      <c r="AA20" s="74">
        <v>0</v>
      </c>
      <c r="AB20" s="71" t="s">
        <v>205</v>
      </c>
      <c r="AC20" s="74">
        <v>0</v>
      </c>
      <c r="AD20" s="71" t="s">
        <v>205</v>
      </c>
      <c r="AE20" s="74">
        <v>0</v>
      </c>
      <c r="AF20" s="71" t="s">
        <v>205</v>
      </c>
      <c r="AG20" s="74">
        <v>0</v>
      </c>
      <c r="AH20" s="71" t="s">
        <v>184</v>
      </c>
      <c r="AI20" s="78">
        <v>7400</v>
      </c>
    </row>
  </sheetData>
  <sortState xmlns:xlrd2="http://schemas.microsoft.com/office/spreadsheetml/2017/richdata2" ref="AH3:AI5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65369-E226-4585-94C4-B0DF803867BE}">
  <sheetPr codeName="Sheet4"/>
  <dimension ref="A1:Q98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118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96</v>
      </c>
      <c r="C2" s="159"/>
      <c r="E2" s="54" t="s">
        <v>55</v>
      </c>
      <c r="F2" s="51" t="s">
        <v>20</v>
      </c>
      <c r="G2" s="39">
        <v>97</v>
      </c>
      <c r="H2" s="117">
        <f>IF(B$17=0,0,G2/B$17)</f>
        <v>0.59509202453987731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-20.833333333333332</v>
      </c>
      <c r="P2" s="103">
        <v>96</v>
      </c>
      <c r="Q2" s="87">
        <v>-2000</v>
      </c>
    </row>
    <row r="3" spans="1:17">
      <c r="A3" s="47" t="s">
        <v>8</v>
      </c>
      <c r="B3" s="160">
        <v>788</v>
      </c>
      <c r="C3" s="161"/>
      <c r="E3" s="55" t="s">
        <v>188</v>
      </c>
      <c r="F3" s="52" t="s">
        <v>194</v>
      </c>
      <c r="G3" s="40">
        <v>75</v>
      </c>
      <c r="H3" s="118">
        <f>IF(B$17=0,0,G3/B$17)</f>
        <v>0.46012269938650308</v>
      </c>
      <c r="I3" s="80">
        <v>7</v>
      </c>
      <c r="K3" s="32">
        <v>1</v>
      </c>
      <c r="L3" s="85">
        <v>11.9</v>
      </c>
      <c r="N3" s="100" t="s">
        <v>108</v>
      </c>
      <c r="O3" s="107">
        <f t="shared" si="0"/>
        <v>0</v>
      </c>
      <c r="P3" s="104">
        <v>96</v>
      </c>
      <c r="Q3" s="88">
        <v>0</v>
      </c>
    </row>
    <row r="4" spans="1:17">
      <c r="A4" s="47" t="s">
        <v>6</v>
      </c>
      <c r="B4" s="162">
        <v>-20.000000000000007</v>
      </c>
      <c r="C4" s="163"/>
      <c r="E4" s="55" t="s">
        <v>61</v>
      </c>
      <c r="F4" s="52" t="s">
        <v>24</v>
      </c>
      <c r="G4" s="40">
        <v>71</v>
      </c>
      <c r="H4" s="118">
        <f>IF(B$17=0,0,G4/B$17)</f>
        <v>0.43558282208588955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0</v>
      </c>
      <c r="P4" s="104">
        <v>96</v>
      </c>
      <c r="Q4" s="88">
        <v>0</v>
      </c>
    </row>
    <row r="5" spans="1:17">
      <c r="A5" s="47" t="s">
        <v>7</v>
      </c>
      <c r="B5" s="164">
        <f>IF(B$2=0,0,B$4/B$2)</f>
        <v>-0.2083333333333334</v>
      </c>
      <c r="C5" s="165"/>
      <c r="E5" s="55" t="s">
        <v>185</v>
      </c>
      <c r="F5" s="52" t="s">
        <v>160</v>
      </c>
      <c r="G5" s="40">
        <v>70</v>
      </c>
      <c r="H5" s="118">
        <f>IF(B$17=0,0,G5/B$17)</f>
        <v>0.42944785276073622</v>
      </c>
      <c r="I5" s="80">
        <v>8</v>
      </c>
      <c r="K5" s="32">
        <v>3</v>
      </c>
      <c r="L5" s="85">
        <v>25.100000000000009</v>
      </c>
      <c r="N5" s="100" t="s">
        <v>161</v>
      </c>
      <c r="O5" s="107">
        <f>IF(P5=0,0,Q5/P5)</f>
        <v>-10.416666666666666</v>
      </c>
      <c r="P5" s="104">
        <v>96</v>
      </c>
      <c r="Q5" s="88">
        <v>-1000</v>
      </c>
    </row>
    <row r="6" spans="1:17">
      <c r="A6" s="47" t="s">
        <v>1</v>
      </c>
      <c r="B6" s="166">
        <f>IF(B$2=0,0,(B$7*1+B$8*2+B$9*3+B$10*4)/B$2)</f>
        <v>2.4791666666666665</v>
      </c>
      <c r="C6" s="167"/>
      <c r="E6" s="55" t="s">
        <v>58</v>
      </c>
      <c r="F6" s="52" t="s">
        <v>21</v>
      </c>
      <c r="G6" s="40">
        <v>37</v>
      </c>
      <c r="H6" s="118">
        <f>IF(B$17=0,0,G6/B$17)</f>
        <v>0.22699386503067484</v>
      </c>
      <c r="I6" s="80">
        <v>11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0</v>
      </c>
      <c r="P6" s="104">
        <v>92</v>
      </c>
      <c r="Q6" s="88">
        <v>0</v>
      </c>
    </row>
    <row r="7" spans="1:17">
      <c r="A7" s="47" t="s">
        <v>2</v>
      </c>
      <c r="B7" s="40">
        <v>25</v>
      </c>
      <c r="C7" s="33">
        <f t="shared" ref="C7:C12" si="2">IF(B$2=0,0,B7/B$2)</f>
        <v>0.26041666666666669</v>
      </c>
      <c r="E7" s="55" t="s">
        <v>57</v>
      </c>
      <c r="F7" s="52" t="s">
        <v>189</v>
      </c>
      <c r="G7" s="40">
        <v>36</v>
      </c>
      <c r="H7" s="118">
        <f>IF(B$17=0,0,G7/B$17)</f>
        <v>0.22085889570552147</v>
      </c>
      <c r="I7" s="80">
        <v>10</v>
      </c>
      <c r="K7" s="32">
        <v>5</v>
      </c>
      <c r="L7" s="85">
        <v>-14.199999999999992</v>
      </c>
      <c r="N7" s="100" t="s">
        <v>111</v>
      </c>
      <c r="O7" s="107">
        <f t="shared" si="0"/>
        <v>-111.11111111111111</v>
      </c>
      <c r="P7" s="104">
        <v>72</v>
      </c>
      <c r="Q7" s="88">
        <v>-8000</v>
      </c>
    </row>
    <row r="8" spans="1:17">
      <c r="A8" s="47" t="s">
        <v>3</v>
      </c>
      <c r="B8" s="40">
        <v>23</v>
      </c>
      <c r="C8" s="33">
        <f>IF(B$2=0,0,B8/B$2)</f>
        <v>0.23958333333333334</v>
      </c>
      <c r="E8" s="55" t="s">
        <v>56</v>
      </c>
      <c r="F8" s="52" t="s">
        <v>159</v>
      </c>
      <c r="G8" s="40">
        <v>35</v>
      </c>
      <c r="H8" s="118">
        <f>IF(B$17=0,0,G8/B$17)</f>
        <v>0.21472392638036811</v>
      </c>
      <c r="I8" s="80">
        <v>8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48</v>
      </c>
      <c r="Q8" s="88">
        <v>0</v>
      </c>
    </row>
    <row r="9" spans="1:17">
      <c r="A9" s="48" t="s">
        <v>4</v>
      </c>
      <c r="B9" s="41">
        <v>25</v>
      </c>
      <c r="C9" s="34">
        <f>IF(B$2=0,0,B9/B$2)</f>
        <v>0.26041666666666669</v>
      </c>
      <c r="E9" s="55" t="s">
        <v>60</v>
      </c>
      <c r="F9" s="52" t="s">
        <v>23</v>
      </c>
      <c r="G9" s="40">
        <v>32</v>
      </c>
      <c r="H9" s="118">
        <f>IF(B$17=0,0,G9/B$17)</f>
        <v>0.19631901840490798</v>
      </c>
      <c r="I9" s="80">
        <v>7</v>
      </c>
      <c r="K9" s="32">
        <v>7</v>
      </c>
      <c r="L9" s="85">
        <v>-61.099999999999994</v>
      </c>
      <c r="N9" s="101" t="s">
        <v>162</v>
      </c>
      <c r="O9" s="108">
        <f t="shared" si="0"/>
        <v>41.666666666666664</v>
      </c>
      <c r="P9" s="105">
        <v>24</v>
      </c>
      <c r="Q9" s="89">
        <v>1000</v>
      </c>
    </row>
    <row r="10" spans="1:17">
      <c r="A10" s="48" t="s">
        <v>156</v>
      </c>
      <c r="B10" s="41">
        <v>23</v>
      </c>
      <c r="C10" s="34">
        <f>IF(B$2=0,0,B10/B$2)</f>
        <v>0.23958333333333334</v>
      </c>
      <c r="E10" s="55" t="s">
        <v>186</v>
      </c>
      <c r="F10" s="52" t="s">
        <v>19</v>
      </c>
      <c r="G10" s="40">
        <v>21</v>
      </c>
      <c r="H10" s="118">
        <f>IF(B$17=0,0,G10/B$17)</f>
        <v>0.12883435582822086</v>
      </c>
      <c r="I10" s="80">
        <v>7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48</v>
      </c>
      <c r="C11" s="34">
        <f>IF(B$2=0,0,B11/B$2)</f>
        <v>0.5</v>
      </c>
      <c r="E11" s="55" t="s">
        <v>59</v>
      </c>
      <c r="F11" s="52" t="s">
        <v>22</v>
      </c>
      <c r="G11" s="40">
        <v>15</v>
      </c>
      <c r="H11" s="118">
        <f>IF(B$17=0,0,G11/B$17)</f>
        <v>9.202453987730061E-2</v>
      </c>
      <c r="I11" s="80">
        <v>5</v>
      </c>
      <c r="K11" s="32">
        <v>9</v>
      </c>
      <c r="L11" s="85">
        <v>-52.099999999999994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7</v>
      </c>
      <c r="C12" s="36">
        <f t="shared" si="2"/>
        <v>7.2916666666666671E-2</v>
      </c>
      <c r="E12" s="55" t="s">
        <v>187</v>
      </c>
      <c r="F12" s="52" t="s">
        <v>190</v>
      </c>
      <c r="G12" s="40">
        <v>8</v>
      </c>
      <c r="H12" s="118">
        <f>IF(B$17=0,0,G12/B$17)</f>
        <v>4.9079754601226995E-2</v>
      </c>
      <c r="I12" s="80">
        <v>4</v>
      </c>
      <c r="K12" s="32">
        <v>10</v>
      </c>
      <c r="L12" s="85">
        <v>-38.499999999999993</v>
      </c>
      <c r="N12" s="99" t="s">
        <v>130</v>
      </c>
      <c r="O12" s="109">
        <f>IF(P12=0,0,Q12/P12)</f>
        <v>-15.016666666666671</v>
      </c>
      <c r="P12" s="103">
        <v>24</v>
      </c>
      <c r="Q12" s="91">
        <v>-360.40000000000009</v>
      </c>
    </row>
    <row r="13" spans="1:17">
      <c r="A13" s="50" t="s">
        <v>101</v>
      </c>
      <c r="B13" s="43">
        <v>144</v>
      </c>
      <c r="C13" s="38">
        <f>IF(B$3=0,0,B13/B$3)</f>
        <v>0.18274111675126903</v>
      </c>
      <c r="E13" s="55" t="s">
        <v>72</v>
      </c>
      <c r="F13" s="52" t="s">
        <v>35</v>
      </c>
      <c r="G13" s="40">
        <v>7</v>
      </c>
      <c r="H13" s="118">
        <f>IF(B$17=0,0,G13/B$17)</f>
        <v>4.2944785276073622E-2</v>
      </c>
      <c r="I13" s="80">
        <v>5</v>
      </c>
      <c r="K13" s="32">
        <v>11</v>
      </c>
      <c r="L13" s="85">
        <v>18.100000000000009</v>
      </c>
      <c r="N13" s="100" t="s">
        <v>131</v>
      </c>
      <c r="O13" s="110">
        <f>IF(P13=0,0,Q13/P13)</f>
        <v>16.654166666666669</v>
      </c>
      <c r="P13" s="104">
        <v>24</v>
      </c>
      <c r="Q13" s="92">
        <v>399.70000000000005</v>
      </c>
    </row>
    <row r="14" spans="1:17">
      <c r="A14" s="47" t="s">
        <v>98</v>
      </c>
      <c r="B14" s="40">
        <v>187</v>
      </c>
      <c r="C14" s="33">
        <f>IF(B$3=0,0,B14/B$3)</f>
        <v>0.23730964467005075</v>
      </c>
      <c r="E14" s="55" t="s">
        <v>68</v>
      </c>
      <c r="F14" s="52" t="s">
        <v>31</v>
      </c>
      <c r="G14" s="40">
        <v>5</v>
      </c>
      <c r="H14" s="118">
        <f>IF(B$17=0,0,G14/B$17)</f>
        <v>3.0674846625766871E-2</v>
      </c>
      <c r="I14" s="80">
        <v>6</v>
      </c>
      <c r="K14" s="32">
        <v>12</v>
      </c>
      <c r="L14" s="85">
        <v>7.1054273576010019E-15</v>
      </c>
      <c r="N14" s="100" t="s">
        <v>132</v>
      </c>
      <c r="O14" s="110">
        <f>IF(P14=0,0,Q14/P14)</f>
        <v>3.6083333333333392</v>
      </c>
      <c r="P14" s="104">
        <v>24</v>
      </c>
      <c r="Q14" s="92">
        <v>86.600000000000136</v>
      </c>
    </row>
    <row r="15" spans="1:17">
      <c r="A15" s="46" t="s">
        <v>103</v>
      </c>
      <c r="B15" s="39">
        <f>B21</f>
        <v>71</v>
      </c>
      <c r="C15" s="31">
        <f>IF(B$13=0,0,B15/B$13)</f>
        <v>0.49305555555555558</v>
      </c>
      <c r="E15" s="55" t="s">
        <v>63</v>
      </c>
      <c r="F15" s="52" t="s">
        <v>26</v>
      </c>
      <c r="G15" s="40">
        <v>2</v>
      </c>
      <c r="H15" s="118">
        <f>IF(B$17=0,0,G15/B$17)</f>
        <v>1.2269938650306749E-2</v>
      </c>
      <c r="I15" s="80">
        <v>3</v>
      </c>
      <c r="K15" s="32">
        <v>13</v>
      </c>
      <c r="L15" s="85">
        <v>62.500000000000007</v>
      </c>
      <c r="N15" s="101" t="s">
        <v>163</v>
      </c>
      <c r="O15" s="111">
        <f>IF(P15=0,0,Q15/P15)</f>
        <v>-6.0791666666666684</v>
      </c>
      <c r="P15" s="105">
        <v>24</v>
      </c>
      <c r="Q15" s="93">
        <v>-145.90000000000003</v>
      </c>
    </row>
    <row r="16" spans="1:17">
      <c r="A16" s="46" t="s">
        <v>104</v>
      </c>
      <c r="B16" s="39">
        <f>B22</f>
        <v>70</v>
      </c>
      <c r="C16" s="31">
        <f>IF(B$14=0,0,B16/B$14)</f>
        <v>0.37433155080213903</v>
      </c>
      <c r="E16" s="55" t="s">
        <v>70</v>
      </c>
      <c r="F16" s="52" t="s">
        <v>33</v>
      </c>
      <c r="G16" s="40">
        <v>2</v>
      </c>
      <c r="H16" s="118">
        <f>IF(B$17=0,0,G16/B$17)</f>
        <v>1.2269938650306749E-2</v>
      </c>
      <c r="I16" s="80">
        <v>3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163</v>
      </c>
      <c r="C17" s="31">
        <f>IF(B$3=0,0,B17/B$3)</f>
        <v>0.2068527918781726</v>
      </c>
      <c r="E17" s="55" t="s">
        <v>75</v>
      </c>
      <c r="F17" s="52" t="s">
        <v>38</v>
      </c>
      <c r="G17" s="40">
        <v>2</v>
      </c>
      <c r="H17" s="118">
        <f>IF(B$17=0,0,G17/B$17)</f>
        <v>1.2269938650306749E-2</v>
      </c>
      <c r="I17" s="80">
        <v>3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104</v>
      </c>
      <c r="C18" s="33">
        <f>IF(B$3=0,0,B18/B$3)</f>
        <v>0.13197969543147209</v>
      </c>
      <c r="E18" s="55" t="s">
        <v>78</v>
      </c>
      <c r="F18" s="52" t="s">
        <v>41</v>
      </c>
      <c r="G18" s="40">
        <v>2</v>
      </c>
      <c r="H18" s="118">
        <f>IF(B$17=0,0,G18/B$17)</f>
        <v>1.2269938650306749E-2</v>
      </c>
      <c r="I18" s="80">
        <v>3</v>
      </c>
      <c r="K18" s="32">
        <v>16</v>
      </c>
      <c r="L18" s="85">
        <v>1.4210854715202004E-14</v>
      </c>
      <c r="N18" s="99" t="s">
        <v>184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59</v>
      </c>
      <c r="C19" s="33">
        <f>IF(B$17=0,0,B19/B$17)</f>
        <v>0.3619631901840491</v>
      </c>
      <c r="E19" s="55" t="s">
        <v>67</v>
      </c>
      <c r="F19" s="52" t="s">
        <v>30</v>
      </c>
      <c r="G19" s="40">
        <v>1</v>
      </c>
      <c r="H19" s="118">
        <f>IF(B$17=0,0,G19/B$17)</f>
        <v>6.1349693251533744E-3</v>
      </c>
      <c r="I19" s="80">
        <v>2</v>
      </c>
      <c r="K19" s="32">
        <v>17</v>
      </c>
      <c r="L19" s="85">
        <v>-32.899999999999984</v>
      </c>
      <c r="N19" s="100" t="s">
        <v>197</v>
      </c>
      <c r="O19" s="110">
        <f>IF(P19=0,0,Q19/P19)</f>
        <v>63.266666666666659</v>
      </c>
      <c r="P19" s="104">
        <v>6</v>
      </c>
      <c r="Q19" s="92">
        <v>379.59999999999997</v>
      </c>
    </row>
    <row r="20" spans="1:17">
      <c r="A20" s="47" t="s">
        <v>11</v>
      </c>
      <c r="B20" s="40">
        <v>104</v>
      </c>
      <c r="C20" s="33">
        <f>IF(B$17=0,0,B20/B$17)</f>
        <v>0.6380368098159509</v>
      </c>
      <c r="E20" s="55" t="s">
        <v>73</v>
      </c>
      <c r="F20" s="52" t="s">
        <v>36</v>
      </c>
      <c r="G20" s="40">
        <v>1</v>
      </c>
      <c r="H20" s="118">
        <f>IF(B$17=0,0,G20/B$17)</f>
        <v>6.1349693251533744E-3</v>
      </c>
      <c r="I20" s="80">
        <v>2</v>
      </c>
      <c r="K20" s="32">
        <v>18</v>
      </c>
      <c r="L20" s="85">
        <v>-91.499999999999986</v>
      </c>
      <c r="N20" s="100" t="s">
        <v>170</v>
      </c>
      <c r="O20" s="110">
        <f>IF(P20=0,0,Q20/P20)</f>
        <v>42.666666666666664</v>
      </c>
      <c r="P20" s="104">
        <v>12</v>
      </c>
      <c r="Q20" s="92">
        <v>512</v>
      </c>
    </row>
    <row r="21" spans="1:17">
      <c r="A21" s="47" t="s">
        <v>155</v>
      </c>
      <c r="B21" s="40">
        <v>71</v>
      </c>
      <c r="C21" s="33">
        <f>IF(B$17=0,0,B21/B$17)</f>
        <v>0.43558282208588955</v>
      </c>
      <c r="E21" s="55" t="s">
        <v>76</v>
      </c>
      <c r="F21" s="52" t="s">
        <v>39</v>
      </c>
      <c r="G21" s="40">
        <v>1</v>
      </c>
      <c r="H21" s="118">
        <f>IF(B$17=0,0,G21/B$17)</f>
        <v>6.1349693251533744E-3</v>
      </c>
      <c r="I21" s="80">
        <v>2</v>
      </c>
      <c r="K21" s="32">
        <v>19</v>
      </c>
      <c r="L21" s="85">
        <v>-3.6999999999999886</v>
      </c>
      <c r="N21" s="100" t="s">
        <v>203</v>
      </c>
      <c r="O21" s="110">
        <f>IF(P21=0,0,Q21/P21)</f>
        <v>40.426666666666662</v>
      </c>
      <c r="P21" s="104">
        <v>15</v>
      </c>
      <c r="Q21" s="92">
        <v>606.4</v>
      </c>
    </row>
    <row r="22" spans="1:17">
      <c r="A22" s="47" t="s">
        <v>153</v>
      </c>
      <c r="B22" s="40">
        <v>70</v>
      </c>
      <c r="C22" s="33">
        <f>IF(B$17=0,0,B22/B$17)</f>
        <v>0.42944785276073622</v>
      </c>
      <c r="E22" s="55" t="s">
        <v>77</v>
      </c>
      <c r="F22" s="52" t="s">
        <v>40</v>
      </c>
      <c r="G22" s="40">
        <v>1</v>
      </c>
      <c r="H22" s="118">
        <f>IF(B$17=0,0,G22/B$17)</f>
        <v>6.1349693251533744E-3</v>
      </c>
      <c r="I22" s="80">
        <v>2</v>
      </c>
      <c r="K22" s="32">
        <v>20</v>
      </c>
      <c r="L22" s="85">
        <v>1.1546319456101628E-14</v>
      </c>
      <c r="N22" s="100" t="s">
        <v>205</v>
      </c>
      <c r="O22" s="110">
        <f>IF(P22=0,0,Q22/P22)</f>
        <v>32.666666666666671</v>
      </c>
      <c r="P22" s="104">
        <v>6</v>
      </c>
      <c r="Q22" s="92">
        <v>196.00000000000003</v>
      </c>
    </row>
    <row r="23" spans="1:17">
      <c r="A23" s="47" t="s">
        <v>154</v>
      </c>
      <c r="B23" s="40">
        <v>22</v>
      </c>
      <c r="C23" s="33">
        <f>IF(B$17=0,0,B23/B$17)</f>
        <v>0.13496932515337423</v>
      </c>
      <c r="E23" s="55" t="s">
        <v>79</v>
      </c>
      <c r="F23" s="52" t="s">
        <v>42</v>
      </c>
      <c r="G23" s="40">
        <v>1</v>
      </c>
      <c r="H23" s="118">
        <f>IF(B$17=0,0,G23/B$17)</f>
        <v>6.1349693251533744E-3</v>
      </c>
      <c r="I23" s="80">
        <v>2</v>
      </c>
      <c r="K23" s="32">
        <v>21</v>
      </c>
      <c r="L23" s="85">
        <v>-52.599999999999987</v>
      </c>
      <c r="N23" s="100" t="s">
        <v>168</v>
      </c>
      <c r="O23" s="110">
        <f>IF(P23=0,0,Q23/P23)</f>
        <v>17.151515151515156</v>
      </c>
      <c r="P23" s="104">
        <v>33</v>
      </c>
      <c r="Q23" s="92">
        <v>566.00000000000011</v>
      </c>
    </row>
    <row r="24" spans="1:17">
      <c r="A24" s="47" t="s">
        <v>5</v>
      </c>
      <c r="B24" s="44">
        <f>IF(B$17=0,0,C24/B$17)</f>
        <v>6209.2024539877302</v>
      </c>
      <c r="C24" s="35">
        <v>1012100</v>
      </c>
      <c r="E24" s="55" t="s">
        <v>62</v>
      </c>
      <c r="F24" s="52" t="s">
        <v>25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165</v>
      </c>
      <c r="O24" s="110">
        <f>IF(P24=0,0,Q24/P24)</f>
        <v>12.800000000000006</v>
      </c>
      <c r="P24" s="104">
        <v>21</v>
      </c>
      <c r="Q24" s="92">
        <v>268.80000000000013</v>
      </c>
    </row>
    <row r="25" spans="1:17">
      <c r="A25" s="48" t="s">
        <v>137</v>
      </c>
      <c r="B25" s="121">
        <f>IF($B$17-B$16=0,0,C25/($B$17-B$16))</f>
        <v>7475.2688172043008</v>
      </c>
      <c r="C25" s="122">
        <v>695200</v>
      </c>
      <c r="E25" s="55" t="s">
        <v>64</v>
      </c>
      <c r="F25" s="52" t="s">
        <v>27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206</v>
      </c>
      <c r="O25" s="110">
        <f>IF(P25=0,0,Q25/P25)</f>
        <v>3.7333333333333356</v>
      </c>
      <c r="P25" s="104">
        <v>6</v>
      </c>
      <c r="Q25" s="92">
        <v>22.400000000000013</v>
      </c>
    </row>
    <row r="26" spans="1:17">
      <c r="A26" s="48" t="s">
        <v>138</v>
      </c>
      <c r="B26" s="121">
        <f>IF(B$16=0,0,C26/B$16)</f>
        <v>4527.1428571428569</v>
      </c>
      <c r="C26" s="122">
        <v>316900</v>
      </c>
      <c r="E26" s="55" t="s">
        <v>65</v>
      </c>
      <c r="F26" s="52" t="s">
        <v>28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179</v>
      </c>
      <c r="O26" s="110">
        <f>IF(P26=0,0,Q26/P26)</f>
        <v>1.4666666666666668</v>
      </c>
      <c r="P26" s="104">
        <v>6</v>
      </c>
      <c r="Q26" s="92">
        <v>8.8000000000000007</v>
      </c>
    </row>
    <row r="27" spans="1:17">
      <c r="A27" s="48" t="s">
        <v>136</v>
      </c>
      <c r="B27" s="121">
        <f>IF(B$18=0,0,C27/B$18)</f>
        <v>-5873.0769230769229</v>
      </c>
      <c r="C27" s="122">
        <v>-610800</v>
      </c>
      <c r="E27" s="55" t="s">
        <v>66</v>
      </c>
      <c r="F27" s="52" t="s">
        <v>29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181</v>
      </c>
      <c r="O27" s="110">
        <f>IF(P27=0,0,Q27/P27)</f>
        <v>-2.6</v>
      </c>
      <c r="P27" s="104">
        <v>6</v>
      </c>
      <c r="Q27" s="92">
        <v>-15.600000000000001</v>
      </c>
    </row>
    <row r="28" spans="1:17">
      <c r="A28" s="47" t="s">
        <v>134</v>
      </c>
      <c r="B28" s="40">
        <v>4</v>
      </c>
      <c r="C28" s="120">
        <v>0</v>
      </c>
      <c r="E28" s="55" t="s">
        <v>69</v>
      </c>
      <c r="F28" s="52" t="s">
        <v>32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183</v>
      </c>
      <c r="O28" s="110">
        <f>IF(P28=0,0,Q28/P28)</f>
        <v>-5.16</v>
      </c>
      <c r="P28" s="104">
        <v>30</v>
      </c>
      <c r="Q28" s="92">
        <v>-154.80000000000001</v>
      </c>
    </row>
    <row r="29" spans="1:17">
      <c r="A29" s="47" t="s">
        <v>135</v>
      </c>
      <c r="B29" s="40">
        <v>27</v>
      </c>
      <c r="C29" s="120">
        <v>4</v>
      </c>
      <c r="E29" s="55" t="s">
        <v>71</v>
      </c>
      <c r="F29" s="52" t="s">
        <v>34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167</v>
      </c>
      <c r="O29" s="110">
        <f>IF(P29=0,0,Q29/P29)</f>
        <v>-10.637037037037032</v>
      </c>
      <c r="P29" s="104">
        <v>27</v>
      </c>
      <c r="Q29" s="92">
        <v>-287.19999999999987</v>
      </c>
    </row>
    <row r="30" spans="1:17">
      <c r="A30" s="76" t="s">
        <v>115</v>
      </c>
      <c r="B30" s="152">
        <v>5</v>
      </c>
      <c r="C30" s="153"/>
      <c r="E30" s="55" t="s">
        <v>74</v>
      </c>
      <c r="F30" s="52" t="s">
        <v>37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199</v>
      </c>
      <c r="O30" s="110">
        <f>IF(P30=0,0,Q30/P30)</f>
        <v>-11.885714285714288</v>
      </c>
      <c r="P30" s="104">
        <v>21</v>
      </c>
      <c r="Q30" s="92">
        <v>-249.60000000000005</v>
      </c>
    </row>
    <row r="31" spans="1:17">
      <c r="A31" s="50" t="s">
        <v>152</v>
      </c>
      <c r="B31" s="154">
        <v>67800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173</v>
      </c>
      <c r="O31" s="110">
        <f>IF(P31=0,0,Q31/P31)</f>
        <v>-13.222222222222221</v>
      </c>
      <c r="P31" s="104">
        <v>36</v>
      </c>
      <c r="Q31" s="92">
        <v>-476</v>
      </c>
    </row>
    <row r="32" spans="1:17">
      <c r="A32" s="49" t="s">
        <v>116</v>
      </c>
      <c r="B32" s="57">
        <v>2</v>
      </c>
      <c r="C32" s="36">
        <f>IF(B$3=0,0,B32/B$3)</f>
        <v>2.5380710659898475E-3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171</v>
      </c>
      <c r="O32" s="110">
        <f>IF(P32=0,0,Q32/P32)</f>
        <v>-18.666666666666664</v>
      </c>
      <c r="P32" s="104">
        <v>3</v>
      </c>
      <c r="Q32" s="92">
        <v>-55.999999999999993</v>
      </c>
    </row>
    <row r="33" spans="1:17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172</v>
      </c>
      <c r="O33" s="110">
        <f>IF(P33=0,0,Q33/P33)</f>
        <v>-20.615384615384624</v>
      </c>
      <c r="P33" s="104">
        <v>39</v>
      </c>
      <c r="Q33" s="92">
        <v>-804.00000000000034</v>
      </c>
    </row>
    <row r="34" spans="1:17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166</v>
      </c>
      <c r="O34" s="110">
        <f>IF(P34=0,0,Q34/P34)</f>
        <v>-40.399999999999991</v>
      </c>
      <c r="P34" s="104">
        <v>18</v>
      </c>
      <c r="Q34" s="92">
        <v>-727.19999999999982</v>
      </c>
    </row>
    <row r="35" spans="1:17">
      <c r="A35" s="76" t="s">
        <v>143</v>
      </c>
      <c r="B35" s="134">
        <v>26</v>
      </c>
      <c r="C35" s="126">
        <f t="shared" ref="C35:C47" si="3">IF(B$17=0,0,B35/B$17)</f>
        <v>0.15950920245398773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</row>
    <row r="36" spans="1:17">
      <c r="A36" s="47" t="s">
        <v>139</v>
      </c>
      <c r="B36" s="40">
        <v>35</v>
      </c>
      <c r="C36" s="33">
        <f t="shared" si="3"/>
        <v>0.21472392638036811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</row>
    <row r="37" spans="1:17">
      <c r="A37" s="47" t="s">
        <v>140</v>
      </c>
      <c r="B37" s="135">
        <v>31</v>
      </c>
      <c r="C37" s="33">
        <f t="shared" si="3"/>
        <v>0.19018404907975461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</row>
    <row r="38" spans="1:17">
      <c r="A38" s="47" t="s">
        <v>141</v>
      </c>
      <c r="B38" s="135">
        <v>26</v>
      </c>
      <c r="C38" s="33">
        <f t="shared" si="3"/>
        <v>0.15950920245398773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7">
      <c r="A39" s="47" t="s">
        <v>142</v>
      </c>
      <c r="B39" s="135">
        <v>20</v>
      </c>
      <c r="C39" s="33">
        <f t="shared" si="3"/>
        <v>0.12269938650306748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144</v>
      </c>
      <c r="B40" s="135">
        <v>20</v>
      </c>
      <c r="C40" s="33">
        <f t="shared" si="3"/>
        <v>0.12269938650306748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145</v>
      </c>
      <c r="B41" s="135">
        <v>5</v>
      </c>
      <c r="C41" s="33">
        <f t="shared" si="3"/>
        <v>3.0674846625766871E-2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  <c r="K42" s="32">
        <v>40</v>
      </c>
      <c r="L42" s="85">
        <v>-19.999999999999993</v>
      </c>
    </row>
    <row r="43" spans="1:17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  <c r="K43" s="32">
        <v>41</v>
      </c>
      <c r="L43" s="85">
        <v>-66.399999999999991</v>
      </c>
    </row>
    <row r="44" spans="1:17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  <c r="K44" s="32">
        <v>42</v>
      </c>
      <c r="L44" s="85">
        <v>-59.29999999999999</v>
      </c>
    </row>
    <row r="45" spans="1:17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  <c r="K45" s="32">
        <v>43</v>
      </c>
      <c r="L45" s="85">
        <v>-74.699999999999989</v>
      </c>
    </row>
    <row r="46" spans="1:17">
      <c r="A46" s="47" t="s">
        <v>150</v>
      </c>
      <c r="B46" s="135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151</v>
      </c>
      <c r="B47" s="125">
        <v>0</v>
      </c>
      <c r="C47" s="36">
        <f t="shared" si="3"/>
        <v>0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1.5</v>
      </c>
    </row>
    <row r="76" spans="11:12">
      <c r="K76" s="32">
        <v>74</v>
      </c>
      <c r="L76" s="85">
        <v>74</v>
      </c>
    </row>
    <row r="77" spans="11:12">
      <c r="K77" s="32">
        <v>75</v>
      </c>
      <c r="L77" s="85">
        <v>8.9000000000000057</v>
      </c>
    </row>
    <row r="78" spans="11:12">
      <c r="K78" s="32">
        <v>76</v>
      </c>
      <c r="L78" s="85">
        <v>-19.999999999999993</v>
      </c>
    </row>
    <row r="79" spans="11:12">
      <c r="K79" s="32">
        <v>77</v>
      </c>
      <c r="L79" s="85">
        <v>-19.299999999999994</v>
      </c>
    </row>
    <row r="80" spans="11:12">
      <c r="K80" s="32">
        <v>78</v>
      </c>
      <c r="L80" s="85">
        <v>-74.5</v>
      </c>
    </row>
    <row r="81" spans="11:12">
      <c r="K81" s="32">
        <v>79</v>
      </c>
      <c r="L81" s="85">
        <v>-94.6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36</v>
      </c>
    </row>
    <row r="84" spans="11:12">
      <c r="K84" s="32">
        <v>82</v>
      </c>
      <c r="L84" s="85">
        <v>46.3</v>
      </c>
    </row>
    <row r="85" spans="11:12">
      <c r="K85" s="32">
        <v>83</v>
      </c>
      <c r="L85" s="85">
        <v>-9.9000000000000057</v>
      </c>
    </row>
    <row r="86" spans="11:12">
      <c r="K86" s="32">
        <v>84</v>
      </c>
      <c r="L86" s="85">
        <v>-20.000000000000007</v>
      </c>
    </row>
    <row r="87" spans="11:12">
      <c r="K87" s="32">
        <v>85</v>
      </c>
      <c r="L87" s="85">
        <v>2.5999999999999943</v>
      </c>
    </row>
    <row r="88" spans="11:12">
      <c r="K88" s="32">
        <v>86</v>
      </c>
      <c r="L88" s="85">
        <v>68.5</v>
      </c>
    </row>
    <row r="89" spans="11:12">
      <c r="K89" s="32">
        <v>87</v>
      </c>
      <c r="L89" s="85">
        <v>7.1000000000000014</v>
      </c>
    </row>
    <row r="90" spans="11:12">
      <c r="K90" s="32">
        <v>88</v>
      </c>
      <c r="L90" s="85">
        <v>-20</v>
      </c>
    </row>
    <row r="91" spans="11:12">
      <c r="K91" s="32">
        <v>89</v>
      </c>
      <c r="L91" s="85">
        <v>-39.6</v>
      </c>
    </row>
    <row r="92" spans="11:12">
      <c r="K92" s="32">
        <v>90</v>
      </c>
      <c r="L92" s="85">
        <v>-29.1</v>
      </c>
    </row>
    <row r="93" spans="11:12">
      <c r="K93" s="32">
        <v>91</v>
      </c>
      <c r="L93" s="85">
        <v>24.5</v>
      </c>
    </row>
    <row r="94" spans="11:12">
      <c r="K94" s="32">
        <v>92</v>
      </c>
      <c r="L94" s="85">
        <v>-20</v>
      </c>
    </row>
    <row r="95" spans="11:12">
      <c r="K95" s="32">
        <v>93</v>
      </c>
      <c r="L95" s="85">
        <v>-27.6</v>
      </c>
    </row>
    <row r="96" spans="11:12">
      <c r="K96" s="32">
        <v>94</v>
      </c>
      <c r="L96" s="85">
        <v>57.999999999999993</v>
      </c>
    </row>
    <row r="97" spans="11:12">
      <c r="K97" s="32">
        <v>95</v>
      </c>
      <c r="L97" s="85">
        <v>7.9999999999999929</v>
      </c>
    </row>
    <row r="98" spans="11:12">
      <c r="K98" s="32">
        <v>96</v>
      </c>
      <c r="L98" s="85">
        <v>-20.000000000000007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A6D87-4AF6-4CDC-9D5C-39C69C41FC9F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168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11</v>
      </c>
      <c r="C2" s="159"/>
      <c r="E2" s="54" t="s">
        <v>55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963.63636363636363</v>
      </c>
      <c r="P2" s="103">
        <v>11</v>
      </c>
      <c r="Q2" s="87">
        <v>10600</v>
      </c>
    </row>
    <row r="3" spans="1:17">
      <c r="A3" s="47" t="s">
        <v>8</v>
      </c>
      <c r="B3" s="160">
        <v>90</v>
      </c>
      <c r="C3" s="161"/>
      <c r="E3" s="55" t="s">
        <v>188</v>
      </c>
      <c r="F3" s="52" t="s">
        <v>194</v>
      </c>
      <c r="G3" s="40">
        <v>6</v>
      </c>
      <c r="H3" s="118">
        <f>IF(B$17=0,0,G3/B$17)</f>
        <v>0.5</v>
      </c>
      <c r="I3" s="80">
        <v>4</v>
      </c>
      <c r="K3" s="32">
        <v>1</v>
      </c>
      <c r="L3" s="85">
        <v>11.9</v>
      </c>
      <c r="N3" s="100" t="s">
        <v>108</v>
      </c>
      <c r="O3" s="107">
        <f t="shared" si="0"/>
        <v>-1518.1818181818182</v>
      </c>
      <c r="P3" s="104">
        <v>11</v>
      </c>
      <c r="Q3" s="88">
        <v>-16700</v>
      </c>
    </row>
    <row r="4" spans="1:17">
      <c r="A4" s="47" t="s">
        <v>6</v>
      </c>
      <c r="B4" s="162">
        <v>-141.5</v>
      </c>
      <c r="C4" s="163"/>
      <c r="E4" s="55" t="s">
        <v>61</v>
      </c>
      <c r="F4" s="52" t="s">
        <v>24</v>
      </c>
      <c r="G4" s="40">
        <v>5</v>
      </c>
      <c r="H4" s="118">
        <f>IF(B$17=0,0,G4/B$17)</f>
        <v>0.41666666666666669</v>
      </c>
      <c r="I4" s="80">
        <v>8</v>
      </c>
      <c r="K4" s="32">
        <v>2</v>
      </c>
      <c r="L4" s="85">
        <v>-40.200000000000003</v>
      </c>
      <c r="N4" s="100" t="s">
        <v>109</v>
      </c>
      <c r="O4" s="107">
        <f t="shared" si="0"/>
        <v>445.45454545454544</v>
      </c>
      <c r="P4" s="104">
        <v>11</v>
      </c>
      <c r="Q4" s="88">
        <v>4900</v>
      </c>
    </row>
    <row r="5" spans="1:17">
      <c r="A5" s="47" t="s">
        <v>7</v>
      </c>
      <c r="B5" s="164">
        <f>IF(B$2=0,0,B$4/B$2)</f>
        <v>-12.863636363636363</v>
      </c>
      <c r="C5" s="165"/>
      <c r="E5" s="55" t="s">
        <v>185</v>
      </c>
      <c r="F5" s="52" t="s">
        <v>160</v>
      </c>
      <c r="G5" s="40">
        <v>4</v>
      </c>
      <c r="H5" s="118">
        <f>IF(B$17=0,0,G5/B$17)</f>
        <v>0.33333333333333331</v>
      </c>
      <c r="I5" s="80">
        <v>12</v>
      </c>
      <c r="K5" s="32">
        <v>3</v>
      </c>
      <c r="L5" s="85">
        <v>-53.2</v>
      </c>
      <c r="N5" s="100" t="s">
        <v>161</v>
      </c>
      <c r="O5" s="107">
        <f>IF(P5=0,0,Q5/P5)</f>
        <v>-372.72727272727275</v>
      </c>
      <c r="P5" s="104">
        <v>11</v>
      </c>
      <c r="Q5" s="88">
        <v>-4100</v>
      </c>
    </row>
    <row r="6" spans="1:17">
      <c r="A6" s="47" t="s">
        <v>1</v>
      </c>
      <c r="B6" s="166">
        <f>IF(B$2=0,0,(B$7*1+B$8*2+B$9*3+B$10*4)/B$2)</f>
        <v>2.8181818181818183</v>
      </c>
      <c r="C6" s="167"/>
      <c r="E6" s="55" t="s">
        <v>58</v>
      </c>
      <c r="F6" s="52" t="s">
        <v>21</v>
      </c>
      <c r="G6" s="40">
        <v>3</v>
      </c>
      <c r="H6" s="118">
        <f>IF(B$17=0,0,G6/B$17)</f>
        <v>0.25</v>
      </c>
      <c r="I6" s="80">
        <v>5</v>
      </c>
      <c r="K6" s="32">
        <v>4</v>
      </c>
      <c r="L6" s="85">
        <v>-41.2</v>
      </c>
      <c r="N6" s="100" t="s">
        <v>110</v>
      </c>
      <c r="O6" s="107">
        <f t="shared" ref="O6" si="1">IF(P6=0,0,Q6/P6)</f>
        <v>518.18181818181813</v>
      </c>
      <c r="P6" s="104">
        <v>11</v>
      </c>
      <c r="Q6" s="88">
        <v>5700</v>
      </c>
    </row>
    <row r="7" spans="1:17">
      <c r="A7" s="47" t="s">
        <v>2</v>
      </c>
      <c r="B7" s="40">
        <v>1</v>
      </c>
      <c r="C7" s="33">
        <f t="shared" ref="C7:C12" si="2">IF(B$2=0,0,B7/B$2)</f>
        <v>9.0909090909090912E-2</v>
      </c>
      <c r="E7" s="55" t="s">
        <v>60</v>
      </c>
      <c r="F7" s="52" t="s">
        <v>23</v>
      </c>
      <c r="G7" s="40">
        <v>3</v>
      </c>
      <c r="H7" s="118">
        <f>IF(B$17=0,0,G7/B$17)</f>
        <v>0.25</v>
      </c>
      <c r="I7" s="80">
        <v>4</v>
      </c>
      <c r="K7" s="32">
        <v>5</v>
      </c>
      <c r="L7" s="85">
        <v>17.099999999999994</v>
      </c>
      <c r="N7" s="100" t="s">
        <v>111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4</v>
      </c>
      <c r="C8" s="33">
        <f>IF(B$2=0,0,B8/B$2)</f>
        <v>0.36363636363636365</v>
      </c>
      <c r="E8" s="55" t="s">
        <v>56</v>
      </c>
      <c r="F8" s="52" t="s">
        <v>159</v>
      </c>
      <c r="G8" s="40">
        <v>2</v>
      </c>
      <c r="H8" s="118">
        <f>IF(B$17=0,0,G8/B$17)</f>
        <v>0.16666666666666666</v>
      </c>
      <c r="I8" s="80">
        <v>11</v>
      </c>
      <c r="K8" s="32">
        <v>6</v>
      </c>
      <c r="L8" s="85">
        <v>24.199999999999996</v>
      </c>
      <c r="N8" s="100" t="s">
        <v>112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0.18181818181818182</v>
      </c>
      <c r="E9" s="55" t="s">
        <v>59</v>
      </c>
      <c r="F9" s="52" t="s">
        <v>22</v>
      </c>
      <c r="G9" s="40">
        <v>2</v>
      </c>
      <c r="H9" s="118">
        <f>IF(B$17=0,0,G9/B$17)</f>
        <v>0.16666666666666666</v>
      </c>
      <c r="I9" s="80">
        <v>3</v>
      </c>
      <c r="K9" s="32">
        <v>7</v>
      </c>
      <c r="L9" s="85">
        <v>32.099999999999994</v>
      </c>
      <c r="N9" s="101" t="s">
        <v>162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156</v>
      </c>
      <c r="B10" s="41">
        <v>4</v>
      </c>
      <c r="C10" s="34">
        <f>IF(B$2=0,0,B10/B$2)</f>
        <v>0.36363636363636365</v>
      </c>
      <c r="E10" s="55" t="s">
        <v>72</v>
      </c>
      <c r="F10" s="52" t="s">
        <v>35</v>
      </c>
      <c r="G10" s="40">
        <v>2</v>
      </c>
      <c r="H10" s="118">
        <f>IF(B$17=0,0,G10/B$17)</f>
        <v>0.16666666666666666</v>
      </c>
      <c r="I10" s="80">
        <v>1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0.45454545454545453</v>
      </c>
      <c r="E11" s="55" t="s">
        <v>186</v>
      </c>
      <c r="F11" s="52" t="s">
        <v>19</v>
      </c>
      <c r="G11" s="40">
        <v>1</v>
      </c>
      <c r="H11" s="118">
        <f>IF(B$17=0,0,G11/B$17)</f>
        <v>8.3333333333333329E-2</v>
      </c>
      <c r="I11" s="80">
        <v>10</v>
      </c>
      <c r="K11" s="32">
        <v>9</v>
      </c>
      <c r="L11" s="85">
        <v>-71.900000000000006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9.0909090909090912E-2</v>
      </c>
      <c r="E12" s="55" t="s">
        <v>57</v>
      </c>
      <c r="F12" s="52" t="s">
        <v>189</v>
      </c>
      <c r="G12" s="40">
        <v>1</v>
      </c>
      <c r="H12" s="118">
        <f>IF(B$17=0,0,G12/B$17)</f>
        <v>8.3333333333333329E-2</v>
      </c>
      <c r="I12" s="80">
        <v>14</v>
      </c>
      <c r="K12" s="32">
        <v>10</v>
      </c>
      <c r="L12" s="85">
        <v>-91.5</v>
      </c>
      <c r="N12" s="99" t="s">
        <v>130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101</v>
      </c>
      <c r="B13" s="43">
        <v>23</v>
      </c>
      <c r="C13" s="38">
        <f>IF(B$3=0,0,B13/B$3)</f>
        <v>0.25555555555555554</v>
      </c>
      <c r="E13" s="55" t="s">
        <v>68</v>
      </c>
      <c r="F13" s="52" t="s">
        <v>31</v>
      </c>
      <c r="G13" s="40">
        <v>1</v>
      </c>
      <c r="H13" s="118">
        <f>IF(B$17=0,0,G13/B$17)</f>
        <v>8.3333333333333329E-2</v>
      </c>
      <c r="I13" s="80">
        <v>2</v>
      </c>
      <c r="K13" s="32">
        <v>11</v>
      </c>
      <c r="L13" s="85">
        <v>-141.5</v>
      </c>
      <c r="N13" s="100" t="s">
        <v>131</v>
      </c>
      <c r="O13" s="110">
        <f>IF(P13=0,0,Q13/P13)</f>
        <v>21.324999999999999</v>
      </c>
      <c r="P13" s="104">
        <v>4</v>
      </c>
      <c r="Q13" s="92">
        <v>85.3</v>
      </c>
    </row>
    <row r="14" spans="1:17">
      <c r="A14" s="47" t="s">
        <v>98</v>
      </c>
      <c r="B14" s="40">
        <v>23</v>
      </c>
      <c r="C14" s="33">
        <f>IF(B$3=0,0,B14/B$3)</f>
        <v>0.25555555555555554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-50</v>
      </c>
      <c r="P14" s="104">
        <v>1</v>
      </c>
      <c r="Q14" s="92">
        <v>-50</v>
      </c>
    </row>
    <row r="15" spans="1:17">
      <c r="A15" s="46" t="s">
        <v>103</v>
      </c>
      <c r="B15" s="39">
        <f>B21</f>
        <v>4</v>
      </c>
      <c r="C15" s="31">
        <f>IF(B$13=0,0,B15/B$13)</f>
        <v>0.17391304347826086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7</v>
      </c>
      <c r="C16" s="31">
        <f>IF(B$14=0,0,B16/B$14)</f>
        <v>0.30434782608695654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0.13333333333333333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7.7777777777777779E-2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197</v>
      </c>
      <c r="O18" s="109">
        <f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1</v>
      </c>
      <c r="C19" s="33">
        <f>IF(B$17=0,0,B19/B$17)</f>
        <v>8.3333333333333329E-2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166</v>
      </c>
      <c r="O19" s="110">
        <f>IF(P19=0,0,Q19/P19)</f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11</v>
      </c>
      <c r="C20" s="33">
        <f>IF(B$17=0,0,B20/B$17)</f>
        <v>0.91666666666666663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167</v>
      </c>
      <c r="O20" s="110">
        <f>IF(P20=0,0,Q20/P20)</f>
        <v>12.475000000000001</v>
      </c>
      <c r="P20" s="104">
        <v>4</v>
      </c>
      <c r="Q20" s="92">
        <v>49.900000000000006</v>
      </c>
    </row>
    <row r="21" spans="1:17">
      <c r="A21" s="47" t="s">
        <v>155</v>
      </c>
      <c r="B21" s="40">
        <v>4</v>
      </c>
      <c r="C21" s="33">
        <f>IF(B$17=0,0,B21/B$17)</f>
        <v>0.33333333333333331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173</v>
      </c>
      <c r="O21" s="110">
        <f>IF(P21=0,0,Q21/P21)</f>
        <v>-5.5400000000000036</v>
      </c>
      <c r="P21" s="104">
        <v>5</v>
      </c>
      <c r="Q21" s="92">
        <v>-27.700000000000017</v>
      </c>
    </row>
    <row r="22" spans="1:17">
      <c r="A22" s="47" t="s">
        <v>153</v>
      </c>
      <c r="B22" s="40">
        <v>7</v>
      </c>
      <c r="C22" s="33">
        <f>IF(B$17=0,0,B22/B$17)</f>
        <v>0.58333333333333337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199</v>
      </c>
      <c r="O22" s="110">
        <f>IF(P22=0,0,Q22/P22)</f>
        <v>-13.5</v>
      </c>
      <c r="P22" s="104">
        <v>4</v>
      </c>
      <c r="Q22" s="92">
        <v>-54</v>
      </c>
    </row>
    <row r="23" spans="1:17">
      <c r="A23" s="47" t="s">
        <v>154</v>
      </c>
      <c r="B23" s="40">
        <v>1</v>
      </c>
      <c r="C23" s="33">
        <f>IF(B$17=0,0,B23/B$17)</f>
        <v>8.3333333333333329E-2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>IF(P23=0,0,Q23/P23)</f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5583.333333333333</v>
      </c>
      <c r="C24" s="35">
        <v>67000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183</v>
      </c>
      <c r="O24" s="110">
        <f>IF(P24=0,0,Q24/P24)</f>
        <v>-23.566666666666666</v>
      </c>
      <c r="P24" s="104">
        <v>3</v>
      </c>
      <c r="Q24" s="92">
        <v>-70.7</v>
      </c>
    </row>
    <row r="25" spans="1:17">
      <c r="A25" s="48" t="s">
        <v>137</v>
      </c>
      <c r="B25" s="121">
        <f>IF($B$17-B$16=0,0,C25/($B$17-B$16))</f>
        <v>6620</v>
      </c>
      <c r="C25" s="122">
        <v>33100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203</v>
      </c>
      <c r="O25" s="110">
        <f>IF(P25=0,0,Q25/P25)</f>
        <v>-45.8</v>
      </c>
      <c r="P25" s="104">
        <v>2</v>
      </c>
      <c r="Q25" s="92">
        <v>-91.6</v>
      </c>
    </row>
    <row r="26" spans="1:17">
      <c r="A26" s="48" t="s">
        <v>138</v>
      </c>
      <c r="B26" s="121">
        <f>IF(B$16=0,0,C26/B$16)</f>
        <v>4842.8571428571431</v>
      </c>
      <c r="C26" s="122">
        <v>33900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172</v>
      </c>
      <c r="O26" s="110">
        <f>IF(P26=0,0,Q26/P26)</f>
        <v>-57.9</v>
      </c>
      <c r="P26" s="104">
        <v>6</v>
      </c>
      <c r="Q26" s="92">
        <v>-347.4</v>
      </c>
    </row>
    <row r="27" spans="1:17">
      <c r="A27" s="48" t="s">
        <v>136</v>
      </c>
      <c r="B27" s="121">
        <f>IF(B$18=0,0,C27/B$18)</f>
        <v>-5628.5714285714284</v>
      </c>
      <c r="C27" s="122">
        <v>-39400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179</v>
      </c>
      <c r="O27" s="110">
        <f>IF(P27=0,0,Q27/P27)</f>
        <v>-65.7</v>
      </c>
      <c r="P27" s="104">
        <v>1</v>
      </c>
      <c r="Q27" s="92">
        <v>-65.7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181</v>
      </c>
      <c r="O28" s="110">
        <f>IF(P28=0,0,Q28/P28)</f>
        <v>-75.5</v>
      </c>
      <c r="P28" s="104">
        <v>1</v>
      </c>
      <c r="Q28" s="92">
        <v>-75.5</v>
      </c>
    </row>
    <row r="29" spans="1:17">
      <c r="A29" s="47" t="s">
        <v>135</v>
      </c>
      <c r="B29" s="40">
        <v>25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38300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0.16666666666666666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0.16666666666666666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0.16666666666666666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8.3333333333333329E-2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0.16666666666666666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1D77-EB0B-46D7-B74C-C0625321AFC1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165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7</v>
      </c>
      <c r="C2" s="159"/>
      <c r="E2" s="54" t="s">
        <v>55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60">
        <v>60</v>
      </c>
      <c r="C3" s="161"/>
      <c r="E3" s="55" t="s">
        <v>188</v>
      </c>
      <c r="F3" s="52" t="s">
        <v>194</v>
      </c>
      <c r="G3" s="40">
        <v>7</v>
      </c>
      <c r="H3" s="118">
        <f>IF(B$17=0,0,G3/B$17)</f>
        <v>0.58333333333333337</v>
      </c>
      <c r="I3" s="80">
        <v>3</v>
      </c>
      <c r="K3" s="32">
        <v>1</v>
      </c>
      <c r="L3" s="85">
        <v>74.900000000000006</v>
      </c>
      <c r="N3" s="100" t="s">
        <v>108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62">
        <v>-72.199999999999989</v>
      </c>
      <c r="C4" s="163"/>
      <c r="E4" s="55" t="s">
        <v>61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109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64">
        <f>IF(B$2=0,0,B$4/B$2)</f>
        <v>-10.314285714285713</v>
      </c>
      <c r="C5" s="165"/>
      <c r="E5" s="55" t="s">
        <v>185</v>
      </c>
      <c r="F5" s="52" t="s">
        <v>160</v>
      </c>
      <c r="G5" s="40">
        <v>5</v>
      </c>
      <c r="H5" s="118">
        <f>IF(B$17=0,0,G5/B$17)</f>
        <v>0.41666666666666669</v>
      </c>
      <c r="I5" s="80">
        <v>10</v>
      </c>
      <c r="K5" s="32">
        <v>3</v>
      </c>
      <c r="L5" s="85">
        <v>-7.4999999999999929</v>
      </c>
      <c r="N5" s="100" t="s">
        <v>161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66">
        <f>IF(B$2=0,0,(B$7*1+B$8*2+B$9*3+B$10*4)/B$2)</f>
        <v>2.7142857142857144</v>
      </c>
      <c r="C6" s="167"/>
      <c r="E6" s="55" t="s">
        <v>56</v>
      </c>
      <c r="F6" s="52" t="s">
        <v>159</v>
      </c>
      <c r="G6" s="40">
        <v>3</v>
      </c>
      <c r="H6" s="118">
        <f>IF(B$17=0,0,G6/B$17)</f>
        <v>0.25</v>
      </c>
      <c r="I6" s="80">
        <v>6</v>
      </c>
      <c r="K6" s="32">
        <v>4</v>
      </c>
      <c r="L6" s="85">
        <v>-0.89999999999999325</v>
      </c>
      <c r="N6" s="100" t="s">
        <v>110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58</v>
      </c>
      <c r="F7" s="52" t="s">
        <v>21</v>
      </c>
      <c r="G7" s="40">
        <v>3</v>
      </c>
      <c r="H7" s="118">
        <f>IF(B$17=0,0,G7/B$17)</f>
        <v>0.25</v>
      </c>
      <c r="I7" s="80">
        <v>5</v>
      </c>
      <c r="K7" s="32">
        <v>5</v>
      </c>
      <c r="L7" s="85">
        <v>-28.499999999999993</v>
      </c>
      <c r="N7" s="100" t="s">
        <v>111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57</v>
      </c>
      <c r="F8" s="52" t="s">
        <v>189</v>
      </c>
      <c r="G8" s="40">
        <v>2</v>
      </c>
      <c r="H8" s="118">
        <f>IF(B$17=0,0,G8/B$17)</f>
        <v>0.16666666666666666</v>
      </c>
      <c r="I8" s="80">
        <v>11</v>
      </c>
      <c r="K8" s="32">
        <v>6</v>
      </c>
      <c r="L8" s="85">
        <v>-82.1</v>
      </c>
      <c r="N8" s="100" t="s">
        <v>112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59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-72.199999999999989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2</v>
      </c>
      <c r="C10" s="34">
        <f>IF(B$2=0,0,B10/B$2)</f>
        <v>0.2857142857142857</v>
      </c>
      <c r="E10" s="55" t="s">
        <v>60</v>
      </c>
      <c r="F10" s="52" t="s">
        <v>23</v>
      </c>
      <c r="G10" s="40">
        <v>1</v>
      </c>
      <c r="H10" s="118">
        <f>IF(B$17=0,0,G10/B$17)</f>
        <v>8.3333333333333329E-2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0.42857142857142855</v>
      </c>
      <c r="E11" s="55" t="s">
        <v>187</v>
      </c>
      <c r="F11" s="52" t="s">
        <v>190</v>
      </c>
      <c r="G11" s="40">
        <v>1</v>
      </c>
      <c r="H11" s="118">
        <f>IF(B$17=0,0,G11/B$17)</f>
        <v>8.3333333333333329E-2</v>
      </c>
      <c r="I11" s="80">
        <v>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75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130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101</v>
      </c>
      <c r="B13" s="43">
        <v>11</v>
      </c>
      <c r="C13" s="38">
        <f>IF(B$3=0,0,B13/B$3)</f>
        <v>0.18333333333333332</v>
      </c>
      <c r="E13" s="55" t="s">
        <v>76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14</v>
      </c>
      <c r="C14" s="33">
        <f>IF(B$3=0,0,B14/B$3)</f>
        <v>0.23333333333333334</v>
      </c>
      <c r="E14" s="55" t="s">
        <v>186</v>
      </c>
      <c r="F14" s="52" t="s">
        <v>19</v>
      </c>
      <c r="G14" s="40">
        <v>0</v>
      </c>
      <c r="H14" s="118">
        <f>IF(B$17=0,0,G14/B$17)</f>
        <v>0</v>
      </c>
      <c r="I14" s="80">
        <v>11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5</v>
      </c>
      <c r="C15" s="31">
        <f>IF(B$13=0,0,B15/B$13)</f>
        <v>0.45454545454545453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104</v>
      </c>
      <c r="B16" s="39">
        <f>B22</f>
        <v>5</v>
      </c>
      <c r="C16" s="31">
        <f>IF(B$14=0,0,B16/B$14)</f>
        <v>0.35714285714285715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 t="shared" ref="O18:O27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197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167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155</v>
      </c>
      <c r="B21" s="40">
        <v>5</v>
      </c>
      <c r="C21" s="33">
        <f>IF(B$17=0,0,B21/B$17)</f>
        <v>0.41666666666666669</v>
      </c>
      <c r="E21" s="55" t="s">
        <v>68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168</v>
      </c>
      <c r="O21" s="110">
        <f t="shared" si="3"/>
        <v>15.233333333333334</v>
      </c>
      <c r="P21" s="104">
        <v>3</v>
      </c>
      <c r="Q21" s="92">
        <v>45.7</v>
      </c>
    </row>
    <row r="22" spans="1:17">
      <c r="A22" s="47" t="s">
        <v>153</v>
      </c>
      <c r="B22" s="40">
        <v>5</v>
      </c>
      <c r="C22" s="33">
        <f>IF(B$17=0,0,B22/B$17)</f>
        <v>0.41666666666666669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170</v>
      </c>
      <c r="O22" s="110">
        <f t="shared" si="3"/>
        <v>13.549999999999997</v>
      </c>
      <c r="P22" s="104">
        <v>2</v>
      </c>
      <c r="Q22" s="92">
        <v>27.099999999999994</v>
      </c>
    </row>
    <row r="23" spans="1:17">
      <c r="A23" s="47" t="s">
        <v>154</v>
      </c>
      <c r="B23" s="40">
        <v>2</v>
      </c>
      <c r="C23" s="33">
        <f>IF(B$17=0,0,B23/B$17)</f>
        <v>0.16666666666666666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183</v>
      </c>
      <c r="O23" s="110">
        <f t="shared" si="3"/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172</v>
      </c>
      <c r="O24" s="110">
        <f t="shared" si="3"/>
        <v>-30.900000000000006</v>
      </c>
      <c r="P24" s="104">
        <v>3</v>
      </c>
      <c r="Q24" s="92">
        <v>-92.700000000000017</v>
      </c>
    </row>
    <row r="25" spans="1:17">
      <c r="A25" s="48" t="s">
        <v>137</v>
      </c>
      <c r="B25" s="121">
        <f>IF($B$17-B$16=0,0,C25/($B$17-B$16))</f>
        <v>8857.1428571428569</v>
      </c>
      <c r="C25" s="122">
        <v>62000</v>
      </c>
      <c r="E25" s="55" t="s">
        <v>72</v>
      </c>
      <c r="F25" s="52" t="s">
        <v>35</v>
      </c>
      <c r="G25" s="40">
        <v>0</v>
      </c>
      <c r="H25" s="118">
        <f>IF(B$17=0,0,G25/B$17)</f>
        <v>0</v>
      </c>
      <c r="I25" s="80">
        <v>7</v>
      </c>
      <c r="N25" s="100" t="s">
        <v>179</v>
      </c>
      <c r="O25" s="110">
        <f t="shared" si="3"/>
        <v>-31.700000000000003</v>
      </c>
      <c r="P25" s="104">
        <v>1</v>
      </c>
      <c r="Q25" s="92">
        <v>-31.700000000000003</v>
      </c>
    </row>
    <row r="26" spans="1:17">
      <c r="A26" s="48" t="s">
        <v>138</v>
      </c>
      <c r="B26" s="121">
        <f>IF(B$16=0,0,C26/B$16)</f>
        <v>3100</v>
      </c>
      <c r="C26" s="122">
        <v>15500</v>
      </c>
      <c r="E26" s="55" t="s">
        <v>73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173</v>
      </c>
      <c r="O26" s="110">
        <f t="shared" si="3"/>
        <v>-58.824999999999989</v>
      </c>
      <c r="P26" s="104">
        <v>4</v>
      </c>
      <c r="Q26" s="92">
        <v>-235.29999999999995</v>
      </c>
    </row>
    <row r="27" spans="1:17">
      <c r="A27" s="48" t="s">
        <v>136</v>
      </c>
      <c r="B27" s="121">
        <f>IF(B$18=0,0,C27/B$18)</f>
        <v>-7220</v>
      </c>
      <c r="C27" s="122">
        <v>-72200</v>
      </c>
      <c r="E27" s="55" t="s">
        <v>74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181</v>
      </c>
      <c r="O27" s="110">
        <f t="shared" si="3"/>
        <v>-126.8</v>
      </c>
      <c r="P27" s="104">
        <v>1</v>
      </c>
      <c r="Q27" s="92">
        <v>-126.8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17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3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54900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1.6666666666666666E-2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4">IF(B$17=0,0,B35/B$17)</f>
        <v>8.3333333333333329E-2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4</v>
      </c>
      <c r="C36" s="33">
        <f t="shared" si="4"/>
        <v>0.33333333333333331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4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4"/>
        <v>8.3333333333333329E-2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4"/>
        <v>0.16666666666666666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4"/>
        <v>0.16666666666666666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3089-72A2-4465-B800-A3D401111996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166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6</v>
      </c>
      <c r="C2" s="159"/>
      <c r="E2" s="54" t="s">
        <v>55</v>
      </c>
      <c r="F2" s="51" t="s">
        <v>20</v>
      </c>
      <c r="G2" s="39">
        <v>11</v>
      </c>
      <c r="H2" s="117">
        <f>IF(B$17=0,0,G2/B$17)</f>
        <v>0.7857142857142857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60">
        <v>56</v>
      </c>
      <c r="C3" s="161"/>
      <c r="E3" s="55" t="s">
        <v>185</v>
      </c>
      <c r="F3" s="52" t="s">
        <v>160</v>
      </c>
      <c r="G3" s="40">
        <v>8</v>
      </c>
      <c r="H3" s="118">
        <f>IF(B$17=0,0,G3/B$17)</f>
        <v>0.5714285714285714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62">
        <v>181.8</v>
      </c>
      <c r="C4" s="163"/>
      <c r="E4" s="55" t="s">
        <v>61</v>
      </c>
      <c r="F4" s="52" t="s">
        <v>24</v>
      </c>
      <c r="G4" s="40">
        <v>8</v>
      </c>
      <c r="H4" s="118">
        <f>IF(B$17=0,0,G4/B$17)</f>
        <v>0.5714285714285714</v>
      </c>
      <c r="I4" s="80">
        <v>3</v>
      </c>
      <c r="K4" s="32">
        <v>2</v>
      </c>
      <c r="L4" s="85">
        <v>26.099999999999994</v>
      </c>
      <c r="N4" s="100" t="s">
        <v>109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64">
        <f>IF(B$2=0,0,B$4/B$2)</f>
        <v>30.3</v>
      </c>
      <c r="C5" s="165"/>
      <c r="E5" s="55" t="s">
        <v>188</v>
      </c>
      <c r="F5" s="52" t="s">
        <v>194</v>
      </c>
      <c r="G5" s="40">
        <v>7</v>
      </c>
      <c r="H5" s="118">
        <f>IF(B$17=0,0,G5/B$17)</f>
        <v>0.5</v>
      </c>
      <c r="I5" s="80">
        <v>4</v>
      </c>
      <c r="K5" s="32">
        <v>3</v>
      </c>
      <c r="L5" s="85">
        <v>81.5</v>
      </c>
      <c r="N5" s="100" t="s">
        <v>161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66">
        <f>IF(B$2=0,0,(B$7*1+B$8*2+B$9*3+B$10*4)/B$2)</f>
        <v>1.8333333333333333</v>
      </c>
      <c r="C6" s="167"/>
      <c r="E6" s="55" t="s">
        <v>57</v>
      </c>
      <c r="F6" s="52" t="s">
        <v>189</v>
      </c>
      <c r="G6" s="40">
        <v>6</v>
      </c>
      <c r="H6" s="118">
        <f>IF(B$17=0,0,G6/B$17)</f>
        <v>0.42857142857142855</v>
      </c>
      <c r="I6" s="80">
        <v>2</v>
      </c>
      <c r="K6" s="32">
        <v>4</v>
      </c>
      <c r="L6" s="85">
        <v>65.5</v>
      </c>
      <c r="N6" s="100" t="s">
        <v>110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186</v>
      </c>
      <c r="F7" s="52" t="s">
        <v>19</v>
      </c>
      <c r="G7" s="40">
        <v>5</v>
      </c>
      <c r="H7" s="118">
        <f>IF(B$17=0,0,G7/B$17)</f>
        <v>0.35714285714285715</v>
      </c>
      <c r="I7" s="80">
        <v>1</v>
      </c>
      <c r="K7" s="32">
        <v>5</v>
      </c>
      <c r="L7" s="85">
        <v>124</v>
      </c>
      <c r="N7" s="100" t="s">
        <v>111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4</v>
      </c>
      <c r="H8" s="118">
        <f>IF(B$17=0,0,G8/B$17)</f>
        <v>0.2857142857142857</v>
      </c>
      <c r="I8" s="80">
        <v>4</v>
      </c>
      <c r="K8" s="32">
        <v>6</v>
      </c>
      <c r="L8" s="85">
        <v>181.8</v>
      </c>
      <c r="N8" s="100" t="s">
        <v>112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56</v>
      </c>
      <c r="F9" s="52" t="s">
        <v>159</v>
      </c>
      <c r="G9" s="40">
        <v>1</v>
      </c>
      <c r="H9" s="118">
        <f>IF(B$17=0,0,G9/B$17)</f>
        <v>7.1428571428571425E-2</v>
      </c>
      <c r="I9" s="80">
        <v>12</v>
      </c>
      <c r="N9" s="101" t="s">
        <v>162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156</v>
      </c>
      <c r="B10" s="41">
        <v>1</v>
      </c>
      <c r="C10" s="34">
        <f>IF(B$2=0,0,B10/B$2)</f>
        <v>0.16666666666666666</v>
      </c>
      <c r="E10" s="55" t="s">
        <v>59</v>
      </c>
      <c r="F10" s="52" t="s">
        <v>22</v>
      </c>
      <c r="G10" s="40">
        <v>1</v>
      </c>
      <c r="H10" s="118">
        <f>IF(B$17=0,0,G10/B$17)</f>
        <v>7.1428571428571425E-2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0.66666666666666663</v>
      </c>
      <c r="E11" s="55" t="s">
        <v>60</v>
      </c>
      <c r="F11" s="52" t="s">
        <v>23</v>
      </c>
      <c r="G11" s="40">
        <v>1</v>
      </c>
      <c r="H11" s="118">
        <f>IF(B$17=0,0,G11/B$17)</f>
        <v>7.1428571428571425E-2</v>
      </c>
      <c r="I11" s="80">
        <v>10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187</v>
      </c>
      <c r="F12" s="52" t="s">
        <v>190</v>
      </c>
      <c r="G12" s="40">
        <v>1</v>
      </c>
      <c r="H12" s="118">
        <f>IF(B$17=0,0,G12/B$17)</f>
        <v>7.1428571428571425E-2</v>
      </c>
      <c r="I12" s="80">
        <v>3</v>
      </c>
      <c r="N12" s="99" t="s">
        <v>130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101</v>
      </c>
      <c r="B13" s="43">
        <v>13</v>
      </c>
      <c r="C13" s="38">
        <f>IF(B$3=0,0,B13/B$3)</f>
        <v>0.23214285714285715</v>
      </c>
      <c r="E13" s="55" t="s">
        <v>72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131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98</v>
      </c>
      <c r="B14" s="40">
        <v>8</v>
      </c>
      <c r="C14" s="33">
        <f>IF(B$3=0,0,B14/B$3)</f>
        <v>0.14285714285714285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103</v>
      </c>
      <c r="B15" s="39">
        <f>B21</f>
        <v>9</v>
      </c>
      <c r="C15" s="31">
        <f>IF(B$13=0,0,B15/B$13)</f>
        <v>0.69230769230769229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4</v>
      </c>
      <c r="C16" s="31">
        <f>IF(B$14=0,0,B16/B$14)</f>
        <v>0.5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181</v>
      </c>
      <c r="O18" s="109">
        <f t="shared" ref="O18:O28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172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68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197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155</v>
      </c>
      <c r="B21" s="40">
        <v>9</v>
      </c>
      <c r="C21" s="33">
        <f>IF(B$17=0,0,B21/B$17)</f>
        <v>0.6428571428571429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 t="shared" si="3"/>
        <v>84.1</v>
      </c>
      <c r="P21" s="104">
        <v>1</v>
      </c>
      <c r="Q21" s="92">
        <v>84.1</v>
      </c>
    </row>
    <row r="22" spans="1:17">
      <c r="A22" s="47" t="s">
        <v>153</v>
      </c>
      <c r="B22" s="40">
        <v>4</v>
      </c>
      <c r="C22" s="33">
        <f>IF(B$17=0,0,B22/B$17)</f>
        <v>0.2857142857142857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79.099999999999994</v>
      </c>
      <c r="P22" s="104">
        <v>1</v>
      </c>
      <c r="Q22" s="92">
        <v>79.099999999999994</v>
      </c>
    </row>
    <row r="23" spans="1:17">
      <c r="A23" s="47" t="s">
        <v>154</v>
      </c>
      <c r="B23" s="40">
        <v>1</v>
      </c>
      <c r="C23" s="33">
        <f>IF(B$17=0,0,B23/B$17)</f>
        <v>7.1428571428571425E-2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183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173</v>
      </c>
      <c r="O24" s="110">
        <f t="shared" si="3"/>
        <v>48.199999999999996</v>
      </c>
      <c r="P24" s="104">
        <v>2</v>
      </c>
      <c r="Q24" s="92">
        <v>96.399999999999991</v>
      </c>
    </row>
    <row r="25" spans="1:17">
      <c r="A25" s="48" t="s">
        <v>137</v>
      </c>
      <c r="B25" s="121">
        <f>IF($B$17-B$16=0,0,C25/($B$17-B$16))</f>
        <v>7480</v>
      </c>
      <c r="C25" s="122">
        <v>74800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199</v>
      </c>
      <c r="O25" s="110">
        <f t="shared" si="3"/>
        <v>47.8</v>
      </c>
      <c r="P25" s="104">
        <v>1</v>
      </c>
      <c r="Q25" s="92">
        <v>47.8</v>
      </c>
    </row>
    <row r="26" spans="1:17">
      <c r="A26" s="48" t="s">
        <v>138</v>
      </c>
      <c r="B26" s="121">
        <f>IF(B$16=0,0,C26/B$16)</f>
        <v>8725</v>
      </c>
      <c r="C26" s="122">
        <v>34900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167</v>
      </c>
      <c r="O26" s="110">
        <f t="shared" si="3"/>
        <v>37.875</v>
      </c>
      <c r="P26" s="104">
        <v>4</v>
      </c>
      <c r="Q26" s="92">
        <v>151.5</v>
      </c>
    </row>
    <row r="27" spans="1:17">
      <c r="A27" s="48" t="s">
        <v>136</v>
      </c>
      <c r="B27" s="121">
        <f>IF(B$18=0,0,C27/B$18)</f>
        <v>-3914.2857142857142</v>
      </c>
      <c r="C27" s="122">
        <v>-27400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168</v>
      </c>
      <c r="O27" s="110">
        <f t="shared" si="3"/>
        <v>-34.833333333333336</v>
      </c>
      <c r="P27" s="104">
        <v>3</v>
      </c>
      <c r="Q27" s="92">
        <v>-104.5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165</v>
      </c>
      <c r="O28" s="110">
        <f t="shared" si="3"/>
        <v>-136.60000000000002</v>
      </c>
      <c r="P28" s="104">
        <v>1</v>
      </c>
      <c r="Q28" s="92">
        <v>-136.60000000000002</v>
      </c>
    </row>
    <row r="29" spans="1:17">
      <c r="A29" s="47" t="s">
        <v>135</v>
      </c>
      <c r="B29" s="40">
        <v>19</v>
      </c>
      <c r="C29" s="120">
        <v>9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67800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4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4"/>
        <v>0.21428571428571427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4</v>
      </c>
      <c r="C38" s="33">
        <f t="shared" si="4"/>
        <v>0.2857142857142857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4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4"/>
        <v>0.21428571428571427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EB8BA-62BD-49E7-BB11-91749A50AEE1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167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9</v>
      </c>
      <c r="C2" s="159"/>
      <c r="E2" s="54" t="s">
        <v>55</v>
      </c>
      <c r="F2" s="51" t="s">
        <v>20</v>
      </c>
      <c r="G2" s="39">
        <v>9</v>
      </c>
      <c r="H2" s="117">
        <f>IF(B$17=0,0,G2/B$17)</f>
        <v>0.52941176470588236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-1788.8888888888889</v>
      </c>
      <c r="P2" s="103">
        <v>9</v>
      </c>
      <c r="Q2" s="87">
        <v>-16100</v>
      </c>
    </row>
    <row r="3" spans="1:17">
      <c r="A3" s="47" t="s">
        <v>8</v>
      </c>
      <c r="B3" s="160">
        <v>74</v>
      </c>
      <c r="C3" s="161"/>
      <c r="E3" s="55" t="s">
        <v>185</v>
      </c>
      <c r="F3" s="52" t="s">
        <v>160</v>
      </c>
      <c r="G3" s="40">
        <v>8</v>
      </c>
      <c r="H3" s="118">
        <f>IF(B$17=0,0,G3/B$17)</f>
        <v>0.47058823529411764</v>
      </c>
      <c r="I3" s="80">
        <v>7</v>
      </c>
      <c r="K3" s="32">
        <v>1</v>
      </c>
      <c r="L3" s="85">
        <v>-25.1</v>
      </c>
      <c r="N3" s="100" t="s">
        <v>108</v>
      </c>
      <c r="O3" s="107">
        <f t="shared" si="0"/>
        <v>-1477.7777777777778</v>
      </c>
      <c r="P3" s="104">
        <v>9</v>
      </c>
      <c r="Q3" s="88">
        <v>-13300</v>
      </c>
    </row>
    <row r="4" spans="1:17">
      <c r="A4" s="47" t="s">
        <v>6</v>
      </c>
      <c r="B4" s="162">
        <v>69.300000000000011</v>
      </c>
      <c r="C4" s="163"/>
      <c r="E4" s="55" t="s">
        <v>61</v>
      </c>
      <c r="F4" s="52" t="s">
        <v>24</v>
      </c>
      <c r="G4" s="40">
        <v>8</v>
      </c>
      <c r="H4" s="118">
        <f>IF(B$17=0,0,G4/B$17)</f>
        <v>0.47058823529411764</v>
      </c>
      <c r="I4" s="80">
        <v>5</v>
      </c>
      <c r="K4" s="32">
        <v>2</v>
      </c>
      <c r="L4" s="85">
        <v>-75.7</v>
      </c>
      <c r="N4" s="100" t="s">
        <v>109</v>
      </c>
      <c r="O4" s="107">
        <f t="shared" si="0"/>
        <v>755.55555555555554</v>
      </c>
      <c r="P4" s="104">
        <v>9</v>
      </c>
      <c r="Q4" s="88">
        <v>6800</v>
      </c>
    </row>
    <row r="5" spans="1:17">
      <c r="A5" s="47" t="s">
        <v>7</v>
      </c>
      <c r="B5" s="164">
        <f>IF(B$2=0,0,B$4/B$2)</f>
        <v>7.7000000000000011</v>
      </c>
      <c r="C5" s="165"/>
      <c r="E5" s="55" t="s">
        <v>188</v>
      </c>
      <c r="F5" s="52" t="s">
        <v>194</v>
      </c>
      <c r="G5" s="40">
        <v>6</v>
      </c>
      <c r="H5" s="118">
        <f>IF(B$17=0,0,G5/B$17)</f>
        <v>0.35294117647058826</v>
      </c>
      <c r="I5" s="80">
        <v>10</v>
      </c>
      <c r="K5" s="32">
        <v>3</v>
      </c>
      <c r="L5" s="85">
        <v>-14</v>
      </c>
      <c r="N5" s="100" t="s">
        <v>161</v>
      </c>
      <c r="O5" s="107">
        <f>IF(P5=0,0,Q5/P5)</f>
        <v>-2233.3333333333335</v>
      </c>
      <c r="P5" s="104">
        <v>9</v>
      </c>
      <c r="Q5" s="88">
        <v>-20100</v>
      </c>
    </row>
    <row r="6" spans="1:17">
      <c r="A6" s="47" t="s">
        <v>1</v>
      </c>
      <c r="B6" s="166">
        <f>IF(B$2=0,0,(B$7*1+B$8*2+B$9*3+B$10*4)/B$2)</f>
        <v>2.3333333333333335</v>
      </c>
      <c r="C6" s="167"/>
      <c r="E6" s="55" t="s">
        <v>57</v>
      </c>
      <c r="F6" s="52" t="s">
        <v>189</v>
      </c>
      <c r="G6" s="40">
        <v>4</v>
      </c>
      <c r="H6" s="118">
        <f>IF(B$17=0,0,G6/B$17)</f>
        <v>0.23529411764705882</v>
      </c>
      <c r="I6" s="80">
        <v>7</v>
      </c>
      <c r="K6" s="32">
        <v>4</v>
      </c>
      <c r="L6" s="85">
        <v>40.700000000000003</v>
      </c>
      <c r="N6" s="100" t="s">
        <v>110</v>
      </c>
      <c r="O6" s="107">
        <f t="shared" ref="O6" si="1">IF(P6=0,0,Q6/P6)</f>
        <v>888.88888888888891</v>
      </c>
      <c r="P6" s="104">
        <v>9</v>
      </c>
      <c r="Q6" s="88">
        <v>8000</v>
      </c>
    </row>
    <row r="7" spans="1:17">
      <c r="A7" s="47" t="s">
        <v>2</v>
      </c>
      <c r="B7" s="40">
        <v>4</v>
      </c>
      <c r="C7" s="33">
        <f t="shared" ref="C7:C12" si="2">IF(B$2=0,0,B7/B$2)</f>
        <v>0.44444444444444442</v>
      </c>
      <c r="E7" s="55" t="s">
        <v>60</v>
      </c>
      <c r="F7" s="52" t="s">
        <v>23</v>
      </c>
      <c r="G7" s="40">
        <v>4</v>
      </c>
      <c r="H7" s="118">
        <f>IF(B$17=0,0,G7/B$17)</f>
        <v>0.23529411764705882</v>
      </c>
      <c r="I7" s="80">
        <v>6</v>
      </c>
      <c r="K7" s="32">
        <v>5</v>
      </c>
      <c r="L7" s="85">
        <v>97</v>
      </c>
      <c r="N7" s="100" t="s">
        <v>111</v>
      </c>
      <c r="O7" s="107">
        <f t="shared" si="0"/>
        <v>3928.5714285714284</v>
      </c>
      <c r="P7" s="104">
        <v>7</v>
      </c>
      <c r="Q7" s="88">
        <v>27500</v>
      </c>
    </row>
    <row r="8" spans="1:17">
      <c r="A8" s="47" t="s">
        <v>3</v>
      </c>
      <c r="B8" s="40">
        <v>1</v>
      </c>
      <c r="C8" s="33">
        <f>IF(B$2=0,0,B8/B$2)</f>
        <v>0.1111111111111111</v>
      </c>
      <c r="E8" s="55" t="s">
        <v>56</v>
      </c>
      <c r="F8" s="52" t="s">
        <v>159</v>
      </c>
      <c r="G8" s="40">
        <v>3</v>
      </c>
      <c r="H8" s="118">
        <f>IF(B$17=0,0,G8/B$17)</f>
        <v>0.17647058823529413</v>
      </c>
      <c r="I8" s="80">
        <v>10</v>
      </c>
      <c r="K8" s="32">
        <v>6</v>
      </c>
      <c r="L8" s="85">
        <v>50.2</v>
      </c>
      <c r="N8" s="100" t="s">
        <v>112</v>
      </c>
      <c r="O8" s="107">
        <f t="shared" si="0"/>
        <v>1160</v>
      </c>
      <c r="P8" s="104">
        <v>5</v>
      </c>
      <c r="Q8" s="88">
        <v>5800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58</v>
      </c>
      <c r="F9" s="52" t="s">
        <v>21</v>
      </c>
      <c r="G9" s="40">
        <v>3</v>
      </c>
      <c r="H9" s="118">
        <f>IF(B$17=0,0,G9/B$17)</f>
        <v>0.17647058823529413</v>
      </c>
      <c r="I9" s="80">
        <v>12</v>
      </c>
      <c r="K9" s="32">
        <v>7</v>
      </c>
      <c r="L9" s="85">
        <v>59.800000000000004</v>
      </c>
      <c r="N9" s="101" t="s">
        <v>162</v>
      </c>
      <c r="O9" s="108">
        <f t="shared" si="0"/>
        <v>2850</v>
      </c>
      <c r="P9" s="105">
        <v>2</v>
      </c>
      <c r="Q9" s="89">
        <v>5700</v>
      </c>
    </row>
    <row r="10" spans="1:17">
      <c r="A10" s="48" t="s">
        <v>156</v>
      </c>
      <c r="B10" s="41">
        <v>3</v>
      </c>
      <c r="C10" s="34">
        <f>IF(B$2=0,0,B10/B$2)</f>
        <v>0.33333333333333331</v>
      </c>
      <c r="E10" s="55" t="s">
        <v>186</v>
      </c>
      <c r="F10" s="52" t="s">
        <v>19</v>
      </c>
      <c r="G10" s="40">
        <v>2</v>
      </c>
      <c r="H10" s="118">
        <f>IF(B$17=0,0,G10/B$17)</f>
        <v>0.11764705882352941</v>
      </c>
      <c r="I10" s="80">
        <v>8</v>
      </c>
      <c r="K10" s="32">
        <v>8</v>
      </c>
      <c r="L10" s="85">
        <v>-5.2999999999999901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0.55555555555555558</v>
      </c>
      <c r="E11" s="55" t="s">
        <v>72</v>
      </c>
      <c r="F11" s="52" t="s">
        <v>35</v>
      </c>
      <c r="G11" s="40">
        <v>2</v>
      </c>
      <c r="H11" s="118">
        <f>IF(B$17=0,0,G11/B$17)</f>
        <v>0.11764705882352941</v>
      </c>
      <c r="I11" s="80">
        <v>3</v>
      </c>
      <c r="K11" s="32">
        <v>9</v>
      </c>
      <c r="L11" s="85">
        <v>69.300000000000011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68</v>
      </c>
      <c r="F12" s="52" t="s">
        <v>31</v>
      </c>
      <c r="G12" s="40">
        <v>1</v>
      </c>
      <c r="H12" s="118">
        <f>IF(B$17=0,0,G12/B$17)</f>
        <v>5.8823529411764705E-2</v>
      </c>
      <c r="I12" s="80">
        <v>4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14</v>
      </c>
      <c r="C13" s="38">
        <f>IF(B$3=0,0,B13/B$3)</f>
        <v>0.1891891891891892</v>
      </c>
      <c r="E13" s="55" t="s">
        <v>70</v>
      </c>
      <c r="F13" s="52" t="s">
        <v>33</v>
      </c>
      <c r="G13" s="40">
        <v>1</v>
      </c>
      <c r="H13" s="118">
        <f>IF(B$17=0,0,G13/B$17)</f>
        <v>5.8823529411764705E-2</v>
      </c>
      <c r="I13" s="80">
        <v>2</v>
      </c>
      <c r="N13" s="100" t="s">
        <v>131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98</v>
      </c>
      <c r="B14" s="40">
        <v>25</v>
      </c>
      <c r="C14" s="33">
        <f>IF(B$3=0,0,B14/B$3)</f>
        <v>0.33783783783783783</v>
      </c>
      <c r="E14" s="55" t="s">
        <v>73</v>
      </c>
      <c r="F14" s="52" t="s">
        <v>36</v>
      </c>
      <c r="G14" s="40">
        <v>1</v>
      </c>
      <c r="H14" s="118">
        <f>IF(B$17=0,0,G14/B$17)</f>
        <v>5.8823529411764705E-2</v>
      </c>
      <c r="I14" s="80">
        <v>1</v>
      </c>
      <c r="N14" s="100" t="s">
        <v>132</v>
      </c>
      <c r="O14" s="110">
        <f>IF(P14=0,0,Q14/P14)</f>
        <v>-27.749999999999996</v>
      </c>
      <c r="P14" s="104">
        <v>2</v>
      </c>
      <c r="Q14" s="92">
        <v>-55.499999999999993</v>
      </c>
    </row>
    <row r="15" spans="1:17">
      <c r="A15" s="46" t="s">
        <v>103</v>
      </c>
      <c r="B15" s="39">
        <f>B21</f>
        <v>8</v>
      </c>
      <c r="C15" s="31">
        <f>IF(B$13=0,0,B15/B$13)</f>
        <v>0.5714285714285714</v>
      </c>
      <c r="E15" s="55" t="s">
        <v>75</v>
      </c>
      <c r="F15" s="52" t="s">
        <v>38</v>
      </c>
      <c r="G15" s="40">
        <v>1</v>
      </c>
      <c r="H15" s="118">
        <f>IF(B$17=0,0,G15/B$17)</f>
        <v>5.8823529411764705E-2</v>
      </c>
      <c r="I15" s="80">
        <v>2</v>
      </c>
      <c r="N15" s="101" t="s">
        <v>163</v>
      </c>
      <c r="O15" s="111">
        <f>IF(P15=0,0,Q15/P15)</f>
        <v>40.125</v>
      </c>
      <c r="P15" s="105">
        <v>4</v>
      </c>
      <c r="Q15" s="93">
        <v>160.5</v>
      </c>
    </row>
    <row r="16" spans="1:17">
      <c r="A16" s="46" t="s">
        <v>104</v>
      </c>
      <c r="B16" s="39">
        <f>B22</f>
        <v>8</v>
      </c>
      <c r="C16" s="31">
        <f>IF(B$14=0,0,B16/B$14)</f>
        <v>0.32</v>
      </c>
      <c r="E16" s="55" t="s">
        <v>59</v>
      </c>
      <c r="F16" s="52" t="s">
        <v>22</v>
      </c>
      <c r="G16" s="40">
        <v>0</v>
      </c>
      <c r="H16" s="118">
        <f>IF(B$17=0,0,G16/B$17)</f>
        <v>0</v>
      </c>
      <c r="I16" s="80">
        <v>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0.22972972972972974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8</v>
      </c>
      <c r="C18" s="33">
        <f>IF(B$3=0,0,B18/B$3)</f>
        <v>0.10810810810810811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N18" s="99" t="s">
        <v>172</v>
      </c>
      <c r="O18" s="109">
        <f t="shared" ref="O18:O27" si="3">IF(P18=0,0,Q18/P18)</f>
        <v>88.820000000000022</v>
      </c>
      <c r="P18" s="103">
        <v>5</v>
      </c>
      <c r="Q18" s="91">
        <v>444.10000000000008</v>
      </c>
    </row>
    <row r="19" spans="1:17">
      <c r="A19" s="47" t="s">
        <v>12</v>
      </c>
      <c r="B19" s="40">
        <v>9</v>
      </c>
      <c r="C19" s="33">
        <f>IF(B$17=0,0,B19/B$17)</f>
        <v>0.52941176470588236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203</v>
      </c>
      <c r="O19" s="110">
        <f t="shared" si="3"/>
        <v>80.349999999999994</v>
      </c>
      <c r="P19" s="104">
        <v>2</v>
      </c>
      <c r="Q19" s="92">
        <v>160.69999999999999</v>
      </c>
    </row>
    <row r="20" spans="1:17">
      <c r="A20" s="47" t="s">
        <v>11</v>
      </c>
      <c r="B20" s="40">
        <v>8</v>
      </c>
      <c r="C20" s="33">
        <f>IF(B$17=0,0,B20/B$17)</f>
        <v>0.47058823529411764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199</v>
      </c>
      <c r="O20" s="110">
        <f t="shared" si="3"/>
        <v>33.666666666666664</v>
      </c>
      <c r="P20" s="104">
        <v>3</v>
      </c>
      <c r="Q20" s="92">
        <v>101</v>
      </c>
    </row>
    <row r="21" spans="1:17">
      <c r="A21" s="47" t="s">
        <v>155</v>
      </c>
      <c r="B21" s="40">
        <v>8</v>
      </c>
      <c r="C21" s="33">
        <f>IF(B$17=0,0,B21/B$17)</f>
        <v>0.47058823529411764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205</v>
      </c>
      <c r="O21" s="110">
        <f t="shared" si="3"/>
        <v>29.25</v>
      </c>
      <c r="P21" s="104">
        <v>2</v>
      </c>
      <c r="Q21" s="92">
        <v>58.5</v>
      </c>
    </row>
    <row r="22" spans="1:17">
      <c r="A22" s="47" t="s">
        <v>153</v>
      </c>
      <c r="B22" s="40">
        <v>8</v>
      </c>
      <c r="C22" s="33">
        <f>IF(B$17=0,0,B22/B$17)</f>
        <v>0.47058823529411764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168</v>
      </c>
      <c r="O22" s="110">
        <f t="shared" si="3"/>
        <v>-12.474999999999993</v>
      </c>
      <c r="P22" s="104">
        <v>4</v>
      </c>
      <c r="Q22" s="92">
        <v>-49.89999999999997</v>
      </c>
    </row>
    <row r="23" spans="1:17">
      <c r="A23" s="47" t="s">
        <v>154</v>
      </c>
      <c r="B23" s="40">
        <v>1</v>
      </c>
      <c r="C23" s="33">
        <f>IF(B$17=0,0,B23/B$17)</f>
        <v>5.8823529411764705E-2</v>
      </c>
      <c r="E23" s="55" t="s">
        <v>187</v>
      </c>
      <c r="F23" s="52" t="s">
        <v>190</v>
      </c>
      <c r="G23" s="40">
        <v>0</v>
      </c>
      <c r="H23" s="118">
        <f>IF(B$17=0,0,G23/B$17)</f>
        <v>0</v>
      </c>
      <c r="I23" s="80">
        <v>5</v>
      </c>
      <c r="N23" s="100" t="s">
        <v>165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6000</v>
      </c>
      <c r="C24" s="35">
        <v>102000</v>
      </c>
      <c r="E24" s="55" t="s">
        <v>69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N24" s="100" t="s">
        <v>183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137</v>
      </c>
      <c r="B25" s="121">
        <f>IF($B$17-B$16=0,0,C25/($B$17-B$16))</f>
        <v>7033.333333333333</v>
      </c>
      <c r="C25" s="122">
        <v>63300</v>
      </c>
      <c r="E25" s="55" t="s">
        <v>71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166</v>
      </c>
      <c r="O25" s="110">
        <f t="shared" si="3"/>
        <v>-37.875</v>
      </c>
      <c r="P25" s="104">
        <v>4</v>
      </c>
      <c r="Q25" s="92">
        <v>-151.5</v>
      </c>
    </row>
    <row r="26" spans="1:17">
      <c r="A26" s="48" t="s">
        <v>138</v>
      </c>
      <c r="B26" s="121">
        <f>IF(B$16=0,0,C26/B$16)</f>
        <v>4837.5</v>
      </c>
      <c r="C26" s="122">
        <v>38700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173</v>
      </c>
      <c r="O26" s="110">
        <f t="shared" si="3"/>
        <v>-39.93333333333333</v>
      </c>
      <c r="P26" s="104">
        <v>3</v>
      </c>
      <c r="Q26" s="92">
        <v>-119.8</v>
      </c>
    </row>
    <row r="27" spans="1:17">
      <c r="A27" s="48" t="s">
        <v>136</v>
      </c>
      <c r="B27" s="121">
        <f>IF(B$18=0,0,C27/B$18)</f>
        <v>-7887.5</v>
      </c>
      <c r="C27" s="122">
        <v>-63100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206</v>
      </c>
      <c r="O27" s="110">
        <f t="shared" si="3"/>
        <v>-86.6</v>
      </c>
      <c r="P27" s="104">
        <v>1</v>
      </c>
      <c r="Q27" s="92">
        <v>-86.6</v>
      </c>
    </row>
    <row r="28" spans="1:17">
      <c r="A28" s="47" t="s">
        <v>134</v>
      </c>
      <c r="B28" s="40">
        <v>2</v>
      </c>
      <c r="C28" s="120">
        <v>2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16</v>
      </c>
      <c r="C29" s="120">
        <v>8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5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54600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4">IF(B$17=0,0,B35/B$17)</f>
        <v>5.8823529411764705E-2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6</v>
      </c>
      <c r="C36" s="33">
        <f t="shared" si="4"/>
        <v>0.35294117647058826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4</v>
      </c>
      <c r="C37" s="33">
        <f t="shared" si="4"/>
        <v>0.23529411764705882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4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4"/>
        <v>0.17647058823529413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4"/>
        <v>0.17647058823529413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C7E1-350C-4F0C-BC7A-8E67D5CEE73F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173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12</v>
      </c>
      <c r="C2" s="159"/>
      <c r="E2" s="54" t="s">
        <v>188</v>
      </c>
      <c r="F2" s="51" t="s">
        <v>194</v>
      </c>
      <c r="G2" s="39">
        <v>15</v>
      </c>
      <c r="H2" s="117">
        <f>IF(B$17=0,0,G2/B$17)</f>
        <v>0.88235294117647056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2850</v>
      </c>
      <c r="P2" s="103">
        <v>12</v>
      </c>
      <c r="Q2" s="87">
        <v>34200</v>
      </c>
    </row>
    <row r="3" spans="1:17">
      <c r="A3" s="47" t="s">
        <v>8</v>
      </c>
      <c r="B3" s="160">
        <v>102</v>
      </c>
      <c r="C3" s="161"/>
      <c r="E3" s="55" t="s">
        <v>55</v>
      </c>
      <c r="F3" s="52" t="s">
        <v>20</v>
      </c>
      <c r="G3" s="40">
        <v>14</v>
      </c>
      <c r="H3" s="118">
        <f>IF(B$17=0,0,G3/B$17)</f>
        <v>0.82352941176470584</v>
      </c>
      <c r="I3" s="80">
        <v>3</v>
      </c>
      <c r="K3" s="32">
        <v>1</v>
      </c>
      <c r="L3" s="85">
        <v>-14.2</v>
      </c>
      <c r="N3" s="100" t="s">
        <v>108</v>
      </c>
      <c r="O3" s="107">
        <f t="shared" si="0"/>
        <v>891.66666666666663</v>
      </c>
      <c r="P3" s="104">
        <v>12</v>
      </c>
      <c r="Q3" s="88">
        <v>10700</v>
      </c>
    </row>
    <row r="4" spans="1:17">
      <c r="A4" s="47" t="s">
        <v>6</v>
      </c>
      <c r="B4" s="162">
        <v>116.49999999999997</v>
      </c>
      <c r="C4" s="163"/>
      <c r="E4" s="55" t="s">
        <v>185</v>
      </c>
      <c r="F4" s="52" t="s">
        <v>160</v>
      </c>
      <c r="G4" s="40">
        <v>11</v>
      </c>
      <c r="H4" s="118">
        <f>IF(B$17=0,0,G4/B$17)</f>
        <v>0.6470588235294118</v>
      </c>
      <c r="I4" s="80">
        <v>3</v>
      </c>
      <c r="K4" s="32">
        <v>2</v>
      </c>
      <c r="L4" s="85">
        <v>0.60000000000000142</v>
      </c>
      <c r="N4" s="100" t="s">
        <v>109</v>
      </c>
      <c r="O4" s="107">
        <f t="shared" si="0"/>
        <v>2108.3333333333335</v>
      </c>
      <c r="P4" s="104">
        <v>12</v>
      </c>
      <c r="Q4" s="88">
        <v>25300</v>
      </c>
    </row>
    <row r="5" spans="1:17">
      <c r="A5" s="47" t="s">
        <v>7</v>
      </c>
      <c r="B5" s="164">
        <f>IF(B$2=0,0,B$4/B$2)</f>
        <v>9.7083333333333304</v>
      </c>
      <c r="C5" s="165"/>
      <c r="E5" s="55" t="s">
        <v>58</v>
      </c>
      <c r="F5" s="52" t="s">
        <v>21</v>
      </c>
      <c r="G5" s="40">
        <v>8</v>
      </c>
      <c r="H5" s="118">
        <f>IF(B$17=0,0,G5/B$17)</f>
        <v>0.47058823529411764</v>
      </c>
      <c r="I5" s="80">
        <v>2</v>
      </c>
      <c r="K5" s="32">
        <v>3</v>
      </c>
      <c r="L5" s="85">
        <v>-32.299999999999997</v>
      </c>
      <c r="N5" s="100" t="s">
        <v>161</v>
      </c>
      <c r="O5" s="107">
        <f>IF(P5=0,0,Q5/P5)</f>
        <v>-991.66666666666663</v>
      </c>
      <c r="P5" s="104">
        <v>12</v>
      </c>
      <c r="Q5" s="88">
        <v>-11900</v>
      </c>
    </row>
    <row r="6" spans="1:17">
      <c r="A6" s="47" t="s">
        <v>1</v>
      </c>
      <c r="B6" s="166">
        <f>IF(B$2=0,0,(B$7*1+B$8*2+B$9*3+B$10*4)/B$2)</f>
        <v>2.3333333333333335</v>
      </c>
      <c r="C6" s="167"/>
      <c r="E6" s="55" t="s">
        <v>56</v>
      </c>
      <c r="F6" s="52" t="s">
        <v>159</v>
      </c>
      <c r="G6" s="40">
        <v>7</v>
      </c>
      <c r="H6" s="118">
        <f>IF(B$17=0,0,G6/B$17)</f>
        <v>0.41176470588235292</v>
      </c>
      <c r="I6" s="80">
        <v>3</v>
      </c>
      <c r="K6" s="32">
        <v>4</v>
      </c>
      <c r="L6" s="85">
        <v>-23.999999999999996</v>
      </c>
      <c r="N6" s="100" t="s">
        <v>110</v>
      </c>
      <c r="O6" s="107">
        <f t="shared" ref="O6" si="1">IF(P6=0,0,Q6/P6)</f>
        <v>854.5454545454545</v>
      </c>
      <c r="P6" s="104">
        <v>11</v>
      </c>
      <c r="Q6" s="88">
        <v>9400</v>
      </c>
    </row>
    <row r="7" spans="1:17">
      <c r="A7" s="47" t="s">
        <v>2</v>
      </c>
      <c r="B7" s="40">
        <v>3</v>
      </c>
      <c r="C7" s="33">
        <f t="shared" ref="C7:C12" si="2">IF(B$2=0,0,B7/B$2)</f>
        <v>0.25</v>
      </c>
      <c r="E7" s="55" t="s">
        <v>60</v>
      </c>
      <c r="F7" s="52" t="s">
        <v>23</v>
      </c>
      <c r="G7" s="40">
        <v>6</v>
      </c>
      <c r="H7" s="118">
        <f>IF(B$17=0,0,G7/B$17)</f>
        <v>0.35294117647058826</v>
      </c>
      <c r="I7" s="80">
        <v>2</v>
      </c>
      <c r="K7" s="32">
        <v>5</v>
      </c>
      <c r="L7" s="85">
        <v>-39</v>
      </c>
      <c r="N7" s="100" t="s">
        <v>111</v>
      </c>
      <c r="O7" s="107">
        <f t="shared" si="0"/>
        <v>2400</v>
      </c>
      <c r="P7" s="104">
        <v>8</v>
      </c>
      <c r="Q7" s="88">
        <v>19200</v>
      </c>
    </row>
    <row r="8" spans="1:17">
      <c r="A8" s="47" t="s">
        <v>3</v>
      </c>
      <c r="B8" s="40">
        <v>3</v>
      </c>
      <c r="C8" s="33">
        <f>IF(B$2=0,0,B8/B$2)</f>
        <v>0.25</v>
      </c>
      <c r="E8" s="55" t="s">
        <v>61</v>
      </c>
      <c r="F8" s="52" t="s">
        <v>24</v>
      </c>
      <c r="G8" s="40">
        <v>6</v>
      </c>
      <c r="H8" s="118">
        <f>IF(B$17=0,0,G8/B$17)</f>
        <v>0.35294117647058826</v>
      </c>
      <c r="I8" s="80">
        <v>10</v>
      </c>
      <c r="K8" s="32">
        <v>6</v>
      </c>
      <c r="L8" s="85">
        <v>43.8</v>
      </c>
      <c r="N8" s="100" t="s">
        <v>112</v>
      </c>
      <c r="O8" s="107">
        <f t="shared" si="0"/>
        <v>-685.71428571428567</v>
      </c>
      <c r="P8" s="104">
        <v>7</v>
      </c>
      <c r="Q8" s="88">
        <v>-4800</v>
      </c>
    </row>
    <row r="9" spans="1:17">
      <c r="A9" s="48" t="s">
        <v>4</v>
      </c>
      <c r="B9" s="41">
        <v>5</v>
      </c>
      <c r="C9" s="34">
        <f>IF(B$2=0,0,B9/B$2)</f>
        <v>0.41666666666666669</v>
      </c>
      <c r="E9" s="55" t="s">
        <v>59</v>
      </c>
      <c r="F9" s="52" t="s">
        <v>22</v>
      </c>
      <c r="G9" s="40">
        <v>5</v>
      </c>
      <c r="H9" s="118">
        <f>IF(B$17=0,0,G9/B$17)</f>
        <v>0.29411764705882354</v>
      </c>
      <c r="I9" s="80">
        <v>1</v>
      </c>
      <c r="K9" s="32">
        <v>7</v>
      </c>
      <c r="L9" s="85">
        <v>95.1</v>
      </c>
      <c r="N9" s="101" t="s">
        <v>162</v>
      </c>
      <c r="O9" s="108">
        <f t="shared" si="0"/>
        <v>-1866.6666666666667</v>
      </c>
      <c r="P9" s="105">
        <v>3</v>
      </c>
      <c r="Q9" s="89">
        <v>-5600</v>
      </c>
    </row>
    <row r="10" spans="1:17">
      <c r="A10" s="48" t="s">
        <v>156</v>
      </c>
      <c r="B10" s="41">
        <v>1</v>
      </c>
      <c r="C10" s="34">
        <f>IF(B$2=0,0,B10/B$2)</f>
        <v>8.3333333333333329E-2</v>
      </c>
      <c r="E10" s="55" t="s">
        <v>57</v>
      </c>
      <c r="F10" s="52" t="s">
        <v>189</v>
      </c>
      <c r="G10" s="40">
        <v>4</v>
      </c>
      <c r="H10" s="118">
        <f>IF(B$17=0,0,G10/B$17)</f>
        <v>0.23529411764705882</v>
      </c>
      <c r="I10" s="80">
        <v>7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6</v>
      </c>
      <c r="C11" s="34">
        <f>IF(B$2=0,0,B11/B$2)</f>
        <v>0.5</v>
      </c>
      <c r="E11" s="55" t="s">
        <v>186</v>
      </c>
      <c r="F11" s="52" t="s">
        <v>19</v>
      </c>
      <c r="G11" s="40">
        <v>3</v>
      </c>
      <c r="H11" s="118">
        <f>IF(B$17=0,0,G11/B$17)</f>
        <v>0.17647058823529413</v>
      </c>
      <c r="I11" s="80">
        <v>5</v>
      </c>
      <c r="K11" s="32">
        <v>9</v>
      </c>
      <c r="L11" s="85">
        <v>65.899999999999991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1</v>
      </c>
      <c r="H12" s="118">
        <f>IF(B$17=0,0,G12/B$17)</f>
        <v>5.8823529411764705E-2</v>
      </c>
      <c r="I12" s="80">
        <v>1</v>
      </c>
      <c r="K12" s="32">
        <v>10</v>
      </c>
      <c r="L12" s="85">
        <v>138.39999999999998</v>
      </c>
      <c r="N12" s="99" t="s">
        <v>130</v>
      </c>
      <c r="O12" s="109">
        <f>IF(P12=0,0,Q12/P12)</f>
        <v>-8.1666666666666643</v>
      </c>
      <c r="P12" s="103">
        <v>3</v>
      </c>
      <c r="Q12" s="91">
        <v>-24.499999999999993</v>
      </c>
    </row>
    <row r="13" spans="1:17">
      <c r="A13" s="50" t="s">
        <v>101</v>
      </c>
      <c r="B13" s="43">
        <v>18</v>
      </c>
      <c r="C13" s="38">
        <f>IF(B$3=0,0,B13/B$3)</f>
        <v>0.17647058823529413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K13" s="32">
        <v>11</v>
      </c>
      <c r="L13" s="85">
        <v>160.99999999999997</v>
      </c>
      <c r="N13" s="100" t="s">
        <v>131</v>
      </c>
      <c r="O13" s="110">
        <f>IF(P13=0,0,Q13/P13)</f>
        <v>43.65</v>
      </c>
      <c r="P13" s="104">
        <v>2</v>
      </c>
      <c r="Q13" s="92">
        <v>87.3</v>
      </c>
    </row>
    <row r="14" spans="1:17">
      <c r="A14" s="47" t="s">
        <v>98</v>
      </c>
      <c r="B14" s="40">
        <v>15</v>
      </c>
      <c r="C14" s="33">
        <f>IF(B$3=0,0,B14/B$3)</f>
        <v>0.14705882352941177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K14" s="32">
        <v>12</v>
      </c>
      <c r="L14" s="85">
        <v>116.49999999999997</v>
      </c>
      <c r="N14" s="100" t="s">
        <v>132</v>
      </c>
      <c r="O14" s="110">
        <f>IF(P14=0,0,Q14/P14)</f>
        <v>39.699999999999996</v>
      </c>
      <c r="P14" s="104">
        <v>3</v>
      </c>
      <c r="Q14" s="92">
        <v>119.1</v>
      </c>
    </row>
    <row r="15" spans="1:17">
      <c r="A15" s="46" t="s">
        <v>103</v>
      </c>
      <c r="B15" s="39">
        <f>B21</f>
        <v>11</v>
      </c>
      <c r="C15" s="31">
        <f>IF(B$13=0,0,B15/B$13)</f>
        <v>0.61111111111111116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-16.350000000000001</v>
      </c>
      <c r="P15" s="105">
        <v>4</v>
      </c>
      <c r="Q15" s="93">
        <v>-65.400000000000006</v>
      </c>
    </row>
    <row r="16" spans="1:17">
      <c r="A16" s="46" t="s">
        <v>104</v>
      </c>
      <c r="B16" s="39">
        <f>B22</f>
        <v>4</v>
      </c>
      <c r="C16" s="31">
        <f>IF(B$14=0,0,B16/B$14)</f>
        <v>0.26666666666666666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0.16666666666666666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12</v>
      </c>
      <c r="C18" s="33">
        <f>IF(B$3=0,0,B18/B$3)</f>
        <v>0.11764705882352941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205</v>
      </c>
      <c r="O18" s="109">
        <f>IF(P18=0,0,Q18/P18)</f>
        <v>101.4</v>
      </c>
      <c r="P18" s="103">
        <v>1</v>
      </c>
      <c r="Q18" s="91">
        <v>101.4</v>
      </c>
    </row>
    <row r="19" spans="1:17">
      <c r="A19" s="47" t="s">
        <v>12</v>
      </c>
      <c r="B19" s="40">
        <v>5</v>
      </c>
      <c r="C19" s="33">
        <f>IF(B$17=0,0,B19/B$17)</f>
        <v>0.29411764705882354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165</v>
      </c>
      <c r="O19" s="110">
        <f>IF(P19=0,0,Q19/P19)</f>
        <v>58.824999999999996</v>
      </c>
      <c r="P19" s="104">
        <v>4</v>
      </c>
      <c r="Q19" s="92">
        <v>235.29999999999998</v>
      </c>
    </row>
    <row r="20" spans="1:17">
      <c r="A20" s="47" t="s">
        <v>11</v>
      </c>
      <c r="B20" s="40">
        <v>12</v>
      </c>
      <c r="C20" s="33">
        <f>IF(B$17=0,0,B20/B$17)</f>
        <v>0.70588235294117652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53.75</v>
      </c>
      <c r="P20" s="104">
        <v>4</v>
      </c>
      <c r="Q20" s="92">
        <v>215</v>
      </c>
    </row>
    <row r="21" spans="1:17">
      <c r="A21" s="47" t="s">
        <v>155</v>
      </c>
      <c r="B21" s="40">
        <v>11</v>
      </c>
      <c r="C21" s="33">
        <f>IF(B$17=0,0,B21/B$17)</f>
        <v>0.6470588235294118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206</v>
      </c>
      <c r="O21" s="110">
        <f>IF(P21=0,0,Q21/P21)</f>
        <v>50.349999999999994</v>
      </c>
      <c r="P21" s="104">
        <v>2</v>
      </c>
      <c r="Q21" s="92">
        <v>100.69999999999999</v>
      </c>
    </row>
    <row r="22" spans="1:17">
      <c r="A22" s="47" t="s">
        <v>153</v>
      </c>
      <c r="B22" s="40">
        <v>4</v>
      </c>
      <c r="C22" s="33">
        <f>IF(B$17=0,0,B22/B$17)</f>
        <v>0.23529411764705882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>IF(P22=0,0,Q22/P22)</f>
        <v>39.93333333333333</v>
      </c>
      <c r="P22" s="104">
        <v>3</v>
      </c>
      <c r="Q22" s="92">
        <v>119.8</v>
      </c>
    </row>
    <row r="23" spans="1:17">
      <c r="A23" s="47" t="s">
        <v>154</v>
      </c>
      <c r="B23" s="40">
        <v>2</v>
      </c>
      <c r="C23" s="33">
        <f>IF(B$17=0,0,B23/B$17)</f>
        <v>0.11764705882352941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  <c r="N23" s="100" t="s">
        <v>183</v>
      </c>
      <c r="O23" s="110">
        <f>IF(P23=0,0,Q23/P23)</f>
        <v>26.880000000000006</v>
      </c>
      <c r="P23" s="104">
        <v>5</v>
      </c>
      <c r="Q23" s="92">
        <v>134.40000000000003</v>
      </c>
    </row>
    <row r="24" spans="1:17">
      <c r="A24" s="47" t="s">
        <v>5</v>
      </c>
      <c r="B24" s="44">
        <f>IF(B$17=0,0,C24/B$17)</f>
        <v>10076.470588235294</v>
      </c>
      <c r="C24" s="35">
        <v>171300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168</v>
      </c>
      <c r="O24" s="110">
        <f>IF(P24=0,0,Q24/P24)</f>
        <v>5.5400000000000018</v>
      </c>
      <c r="P24" s="104">
        <v>5</v>
      </c>
      <c r="Q24" s="92">
        <v>27.70000000000001</v>
      </c>
    </row>
    <row r="25" spans="1:17">
      <c r="A25" s="48" t="s">
        <v>137</v>
      </c>
      <c r="B25" s="121">
        <f>IF($B$17-B$16=0,0,C25/($B$17-B$16))</f>
        <v>11569.23076923077</v>
      </c>
      <c r="C25" s="122">
        <v>150400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181</v>
      </c>
      <c r="O25" s="110">
        <f>IF(P25=0,0,Q25/P25)</f>
        <v>-10.999999999999996</v>
      </c>
      <c r="P25" s="104">
        <v>2</v>
      </c>
      <c r="Q25" s="92">
        <v>-21.999999999999993</v>
      </c>
    </row>
    <row r="26" spans="1:17">
      <c r="A26" s="48" t="s">
        <v>138</v>
      </c>
      <c r="B26" s="121">
        <f>IF(B$16=0,0,C26/B$16)</f>
        <v>5225</v>
      </c>
      <c r="C26" s="122">
        <v>20900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203</v>
      </c>
      <c r="O26" s="110">
        <f>IF(P26=0,0,Q26/P26)</f>
        <v>-20.6</v>
      </c>
      <c r="P26" s="104">
        <v>1</v>
      </c>
      <c r="Q26" s="92">
        <v>-20.6</v>
      </c>
    </row>
    <row r="27" spans="1:17">
      <c r="A27" s="48" t="s">
        <v>136</v>
      </c>
      <c r="B27" s="121">
        <f>IF(B$18=0,0,C27/B$18)</f>
        <v>-4558.333333333333</v>
      </c>
      <c r="C27" s="122">
        <v>-54700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171</v>
      </c>
      <c r="O27" s="110">
        <f>IF(P27=0,0,Q27/P27)</f>
        <v>-28.2</v>
      </c>
      <c r="P27" s="104">
        <v>1</v>
      </c>
      <c r="Q27" s="92">
        <v>-28.2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199</v>
      </c>
      <c r="O28" s="110">
        <f>IF(P28=0,0,Q28/P28)</f>
        <v>-45.8</v>
      </c>
      <c r="P28" s="104">
        <v>2</v>
      </c>
      <c r="Q28" s="92">
        <v>-91.6</v>
      </c>
    </row>
    <row r="29" spans="1:17">
      <c r="A29" s="47" t="s">
        <v>135</v>
      </c>
      <c r="B29" s="40">
        <v>27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  <c r="N29" s="100" t="s">
        <v>166</v>
      </c>
      <c r="O29" s="110">
        <f>IF(P29=0,0,Q29/P29)</f>
        <v>-48.199999999999996</v>
      </c>
      <c r="P29" s="104">
        <v>2</v>
      </c>
      <c r="Q29" s="92">
        <v>-96.399999999999991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172</v>
      </c>
      <c r="O30" s="110">
        <f>IF(P30=0,0,Q30/P30)</f>
        <v>-49.875</v>
      </c>
      <c r="P30" s="104">
        <v>4</v>
      </c>
      <c r="Q30" s="92">
        <v>-199.5</v>
      </c>
    </row>
    <row r="31" spans="1:17">
      <c r="A31" s="50" t="s">
        <v>152</v>
      </c>
      <c r="B31" s="154">
        <v>62800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0.11764705882352941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5.8823529411764705E-2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5</v>
      </c>
      <c r="C38" s="33">
        <f t="shared" si="3"/>
        <v>0.29411764705882354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3"/>
        <v>0.17647058823529413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4</v>
      </c>
      <c r="C40" s="33">
        <f t="shared" si="3"/>
        <v>0.23529411764705882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2</v>
      </c>
      <c r="C41" s="33">
        <f t="shared" si="3"/>
        <v>0.11764705882352941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FD8AD-5706-4847-8404-37A08CE37EC5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170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4</v>
      </c>
      <c r="C2" s="159"/>
      <c r="E2" s="54" t="s">
        <v>185</v>
      </c>
      <c r="F2" s="51" t="s">
        <v>160</v>
      </c>
      <c r="G2" s="39">
        <v>3</v>
      </c>
      <c r="H2" s="117">
        <f>IF(B$17=0,0,G2/B$17)</f>
        <v>0.42857142857142855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0">
        <v>35</v>
      </c>
      <c r="C3" s="161"/>
      <c r="E3" s="55" t="s">
        <v>57</v>
      </c>
      <c r="F3" s="52" t="s">
        <v>189</v>
      </c>
      <c r="G3" s="40">
        <v>3</v>
      </c>
      <c r="H3" s="118">
        <f>IF(B$17=0,0,G3/B$17)</f>
        <v>0.42857142857142855</v>
      </c>
      <c r="I3" s="80">
        <v>2</v>
      </c>
      <c r="K3" s="32">
        <v>1</v>
      </c>
      <c r="L3" s="85">
        <v>-60.9</v>
      </c>
      <c r="N3" s="100" t="s">
        <v>108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2">
        <v>-127.99999999999999</v>
      </c>
      <c r="C4" s="163"/>
      <c r="E4" s="55" t="s">
        <v>61</v>
      </c>
      <c r="F4" s="52" t="s">
        <v>24</v>
      </c>
      <c r="G4" s="40">
        <v>3</v>
      </c>
      <c r="H4" s="118">
        <f>IF(B$17=0,0,G4/B$17)</f>
        <v>0.42857142857142855</v>
      </c>
      <c r="I4" s="80">
        <v>7</v>
      </c>
      <c r="K4" s="32">
        <v>2</v>
      </c>
      <c r="L4" s="85">
        <v>-57.199999999999996</v>
      </c>
      <c r="N4" s="100" t="s">
        <v>109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4">
        <f>IF(B$2=0,0,B$4/B$2)</f>
        <v>-31.999999999999996</v>
      </c>
      <c r="C5" s="165"/>
      <c r="E5" s="55" t="s">
        <v>55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-87.199999999999989</v>
      </c>
      <c r="N5" s="100" t="s">
        <v>161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6">
        <f>IF(B$2=0,0,(B$7*1+B$8*2+B$9*3+B$10*4)/B$2)</f>
        <v>3.25</v>
      </c>
      <c r="C6" s="167"/>
      <c r="E6" s="55" t="s">
        <v>188</v>
      </c>
      <c r="F6" s="52" t="s">
        <v>194</v>
      </c>
      <c r="G6" s="40">
        <v>2</v>
      </c>
      <c r="H6" s="118">
        <f>IF(B$17=0,0,G6/B$17)</f>
        <v>0.2857142857142857</v>
      </c>
      <c r="I6" s="80">
        <v>14</v>
      </c>
      <c r="K6" s="32">
        <v>4</v>
      </c>
      <c r="L6" s="85">
        <v>-127.99999999999999</v>
      </c>
      <c r="N6" s="100" t="s">
        <v>110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22</v>
      </c>
      <c r="G7" s="40">
        <v>1</v>
      </c>
      <c r="H7" s="118">
        <f>IF(B$17=0,0,G7/B$17)</f>
        <v>0.14285714285714285</v>
      </c>
      <c r="I7" s="80">
        <v>4</v>
      </c>
      <c r="N7" s="100" t="s">
        <v>111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68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112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186</v>
      </c>
      <c r="F9" s="52" t="s">
        <v>19</v>
      </c>
      <c r="G9" s="40">
        <v>0</v>
      </c>
      <c r="H9" s="118">
        <f>IF(B$17=0,0,G9/B$17)</f>
        <v>0</v>
      </c>
      <c r="I9" s="80">
        <v>11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2</v>
      </c>
      <c r="C10" s="34">
        <f>IF(B$2=0,0,B10/B$2)</f>
        <v>0.5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0.25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12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0.11428571428571428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6</v>
      </c>
      <c r="C14" s="33">
        <f>IF(B$3=0,0,B14/B$3)</f>
        <v>0.17142857142857143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104</v>
      </c>
      <c r="B16" s="39">
        <f>B22</f>
        <v>4</v>
      </c>
      <c r="C16" s="31">
        <f>IF(B$14=0,0,B16/B$14)</f>
        <v>0.66666666666666663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181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165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183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155</v>
      </c>
      <c r="B21" s="40">
        <v>3</v>
      </c>
      <c r="C21" s="33">
        <f>IF(B$17=0,0,B21/B$17)</f>
        <v>0.42857142857142855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173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153</v>
      </c>
      <c r="B22" s="40">
        <v>4</v>
      </c>
      <c r="C22" s="33">
        <f>IF(B$17=0,0,B22/B$17)</f>
        <v>0.5714285714285714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172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137</v>
      </c>
      <c r="B25" s="121">
        <f>IF($B$17-B$16=0,0,C25/($B$17-B$16))</f>
        <v>4666.666666666667</v>
      </c>
      <c r="C25" s="122">
        <v>14000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1625</v>
      </c>
      <c r="C26" s="122">
        <v>6500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-11400</v>
      </c>
      <c r="C27" s="122">
        <v>-45600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4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1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23700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4">IF(B$17=0,0,B35/B$17)</f>
        <v>0.2857142857142857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4"/>
        <v>0.42857142857142855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4"/>
        <v>0.14285714285714285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4"/>
        <v>0.14285714285714285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4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4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4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4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4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4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4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4AB3-C7D8-4514-9213-AA354339BFFF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171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</v>
      </c>
      <c r="C2" s="159"/>
      <c r="E2" s="54" t="s">
        <v>188</v>
      </c>
      <c r="F2" s="51" t="s">
        <v>194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0">
        <v>7</v>
      </c>
      <c r="C3" s="16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2">
        <v>14</v>
      </c>
      <c r="C4" s="163"/>
      <c r="E4" s="55" t="s">
        <v>185</v>
      </c>
      <c r="F4" s="52" t="s">
        <v>160</v>
      </c>
      <c r="G4" s="40">
        <v>1</v>
      </c>
      <c r="H4" s="118">
        <f>IF(B$17=0,0,G4/B$17)</f>
        <v>0.5</v>
      </c>
      <c r="I4" s="80">
        <v>5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4">
        <f>IF(B$2=0,0,B$4/B$2)</f>
        <v>14</v>
      </c>
      <c r="C5" s="165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6">
        <f>IF(B$2=0,0,(B$7*1+B$8*2+B$9*3+B$10*4)/B$2)</f>
        <v>2</v>
      </c>
      <c r="C6" s="167"/>
      <c r="E6" s="55" t="s">
        <v>57</v>
      </c>
      <c r="F6" s="52" t="s">
        <v>189</v>
      </c>
      <c r="G6" s="40">
        <v>1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186</v>
      </c>
      <c r="F8" s="52" t="s">
        <v>19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15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34000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C5891-0F3F-46CE-BFDB-61A1560C8A22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172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13</v>
      </c>
      <c r="C2" s="159"/>
      <c r="E2" s="54" t="s">
        <v>55</v>
      </c>
      <c r="F2" s="51" t="s">
        <v>20</v>
      </c>
      <c r="G2" s="39">
        <v>18</v>
      </c>
      <c r="H2" s="117">
        <f>IF(B$17=0,0,G2/B$17)</f>
        <v>0.58064516129032262</v>
      </c>
      <c r="I2" s="79">
        <v>8</v>
      </c>
      <c r="K2" s="30">
        <v>0</v>
      </c>
      <c r="L2" s="84">
        <v>0</v>
      </c>
      <c r="N2" s="99" t="s">
        <v>107</v>
      </c>
      <c r="O2" s="106">
        <f t="shared" ref="O2:O9" si="0">IF(P2=0,0,Q2/P2)</f>
        <v>1015.3846153846154</v>
      </c>
      <c r="P2" s="103">
        <v>13</v>
      </c>
      <c r="Q2" s="87">
        <v>13200</v>
      </c>
    </row>
    <row r="3" spans="1:17">
      <c r="A3" s="47" t="s">
        <v>8</v>
      </c>
      <c r="B3" s="160">
        <v>98</v>
      </c>
      <c r="C3" s="161"/>
      <c r="E3" s="55" t="s">
        <v>61</v>
      </c>
      <c r="F3" s="52" t="s">
        <v>24</v>
      </c>
      <c r="G3" s="40">
        <v>12</v>
      </c>
      <c r="H3" s="118">
        <f>IF(B$17=0,0,G3/B$17)</f>
        <v>0.38709677419354838</v>
      </c>
      <c r="I3" s="80">
        <v>9</v>
      </c>
      <c r="K3" s="32">
        <v>1</v>
      </c>
      <c r="L3" s="85">
        <v>61.1</v>
      </c>
      <c r="N3" s="100" t="s">
        <v>108</v>
      </c>
      <c r="O3" s="107">
        <f t="shared" si="0"/>
        <v>-1023.0769230769231</v>
      </c>
      <c r="P3" s="104">
        <v>13</v>
      </c>
      <c r="Q3" s="88">
        <v>-13300</v>
      </c>
    </row>
    <row r="4" spans="1:17">
      <c r="A4" s="47" t="s">
        <v>6</v>
      </c>
      <c r="B4" s="162">
        <v>196</v>
      </c>
      <c r="C4" s="163"/>
      <c r="E4" s="55" t="s">
        <v>185</v>
      </c>
      <c r="F4" s="52" t="s">
        <v>160</v>
      </c>
      <c r="G4" s="40">
        <v>11</v>
      </c>
      <c r="H4" s="118">
        <f>IF(B$17=0,0,G4/B$17)</f>
        <v>0.35483870967741937</v>
      </c>
      <c r="I4" s="80">
        <v>11</v>
      </c>
      <c r="K4" s="32">
        <v>2</v>
      </c>
      <c r="L4" s="85">
        <v>117.7</v>
      </c>
      <c r="N4" s="100" t="s">
        <v>109</v>
      </c>
      <c r="O4" s="107">
        <f t="shared" si="0"/>
        <v>692.30769230769226</v>
      </c>
      <c r="P4" s="104">
        <v>13</v>
      </c>
      <c r="Q4" s="88">
        <v>9000</v>
      </c>
    </row>
    <row r="5" spans="1:17">
      <c r="A5" s="47" t="s">
        <v>7</v>
      </c>
      <c r="B5" s="164">
        <f>IF(B$2=0,0,B$4/B$2)</f>
        <v>15.076923076923077</v>
      </c>
      <c r="C5" s="165"/>
      <c r="E5" s="55" t="s">
        <v>188</v>
      </c>
      <c r="F5" s="52" t="s">
        <v>194</v>
      </c>
      <c r="G5" s="40">
        <v>11</v>
      </c>
      <c r="H5" s="118">
        <f>IF(B$17=0,0,G5/B$17)</f>
        <v>0.35483870967741937</v>
      </c>
      <c r="I5" s="80">
        <v>9</v>
      </c>
      <c r="K5" s="32">
        <v>3</v>
      </c>
      <c r="L5" s="85">
        <v>130.9</v>
      </c>
      <c r="N5" s="100" t="s">
        <v>161</v>
      </c>
      <c r="O5" s="107">
        <f>IF(P5=0,0,Q5/P5)</f>
        <v>1746.1538461538462</v>
      </c>
      <c r="P5" s="104">
        <v>13</v>
      </c>
      <c r="Q5" s="88">
        <v>22700</v>
      </c>
    </row>
    <row r="6" spans="1:17">
      <c r="A6" s="47" t="s">
        <v>1</v>
      </c>
      <c r="B6" s="166">
        <f>IF(B$2=0,0,(B$7*1+B$8*2+B$9*3+B$10*4)/B$2)</f>
        <v>2.1538461538461537</v>
      </c>
      <c r="C6" s="167"/>
      <c r="E6" s="55" t="s">
        <v>56</v>
      </c>
      <c r="F6" s="52" t="s">
        <v>159</v>
      </c>
      <c r="G6" s="40">
        <v>8</v>
      </c>
      <c r="H6" s="118">
        <f>IF(B$17=0,0,G6/B$17)</f>
        <v>0.25806451612903225</v>
      </c>
      <c r="I6" s="80">
        <v>5</v>
      </c>
      <c r="K6" s="32">
        <v>4</v>
      </c>
      <c r="L6" s="85">
        <v>67.600000000000009</v>
      </c>
      <c r="N6" s="100" t="s">
        <v>110</v>
      </c>
      <c r="O6" s="107">
        <f t="shared" ref="O6" si="1">IF(P6=0,0,Q6/P6)</f>
        <v>50</v>
      </c>
      <c r="P6" s="104">
        <v>12</v>
      </c>
      <c r="Q6" s="88">
        <v>600</v>
      </c>
    </row>
    <row r="7" spans="1:17">
      <c r="A7" s="47" t="s">
        <v>2</v>
      </c>
      <c r="B7" s="40">
        <v>6</v>
      </c>
      <c r="C7" s="33">
        <f t="shared" ref="C7:C12" si="2">IF(B$2=0,0,B7/B$2)</f>
        <v>0.46153846153846156</v>
      </c>
      <c r="E7" s="55" t="s">
        <v>60</v>
      </c>
      <c r="F7" s="52" t="s">
        <v>23</v>
      </c>
      <c r="G7" s="40">
        <v>8</v>
      </c>
      <c r="H7" s="118">
        <f>IF(B$17=0,0,G7/B$17)</f>
        <v>0.25806451612903225</v>
      </c>
      <c r="I7" s="80">
        <v>3</v>
      </c>
      <c r="K7" s="32">
        <v>5</v>
      </c>
      <c r="L7" s="85">
        <v>127.9</v>
      </c>
      <c r="N7" s="100" t="s">
        <v>111</v>
      </c>
      <c r="O7" s="107">
        <f t="shared" si="0"/>
        <v>2500</v>
      </c>
      <c r="P7" s="104">
        <v>11</v>
      </c>
      <c r="Q7" s="88">
        <v>27500</v>
      </c>
    </row>
    <row r="8" spans="1:17">
      <c r="A8" s="47" t="s">
        <v>3</v>
      </c>
      <c r="B8" s="40">
        <v>2</v>
      </c>
      <c r="C8" s="33">
        <f>IF(B$2=0,0,B8/B$2)</f>
        <v>0.15384615384615385</v>
      </c>
      <c r="E8" s="55" t="s">
        <v>57</v>
      </c>
      <c r="F8" s="52" t="s">
        <v>189</v>
      </c>
      <c r="G8" s="40">
        <v>7</v>
      </c>
      <c r="H8" s="118">
        <f>IF(B$17=0,0,G8/B$17)</f>
        <v>0.22580645161290322</v>
      </c>
      <c r="I8" s="80">
        <v>9</v>
      </c>
      <c r="K8" s="32">
        <v>6</v>
      </c>
      <c r="L8" s="85">
        <v>81.5</v>
      </c>
      <c r="N8" s="100" t="s">
        <v>112</v>
      </c>
      <c r="O8" s="107">
        <f t="shared" si="0"/>
        <v>-1383.3333333333333</v>
      </c>
      <c r="P8" s="104">
        <v>6</v>
      </c>
      <c r="Q8" s="88">
        <v>-8300</v>
      </c>
    </row>
    <row r="9" spans="1:17">
      <c r="A9" s="48" t="s">
        <v>4</v>
      </c>
      <c r="B9" s="41">
        <v>2</v>
      </c>
      <c r="C9" s="34">
        <f>IF(B$2=0,0,B9/B$2)</f>
        <v>0.15384615384615385</v>
      </c>
      <c r="E9" s="55" t="s">
        <v>187</v>
      </c>
      <c r="F9" s="52" t="s">
        <v>190</v>
      </c>
      <c r="G9" s="40">
        <v>6</v>
      </c>
      <c r="H9" s="118">
        <f>IF(B$17=0,0,G9/B$17)</f>
        <v>0.19354838709677419</v>
      </c>
      <c r="I9" s="80">
        <v>1</v>
      </c>
      <c r="K9" s="32">
        <v>7</v>
      </c>
      <c r="L9" s="85">
        <v>49.4</v>
      </c>
      <c r="N9" s="101" t="s">
        <v>162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156</v>
      </c>
      <c r="B10" s="41">
        <v>3</v>
      </c>
      <c r="C10" s="34">
        <f>IF(B$2=0,0,B10/B$2)</f>
        <v>0.23076923076923078</v>
      </c>
      <c r="E10" s="55" t="s">
        <v>186</v>
      </c>
      <c r="F10" s="52" t="s">
        <v>19</v>
      </c>
      <c r="G10" s="40">
        <v>4</v>
      </c>
      <c r="H10" s="118">
        <f>IF(B$17=0,0,G10/B$17)</f>
        <v>0.12903225806451613</v>
      </c>
      <c r="I10" s="80">
        <v>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8</v>
      </c>
      <c r="C11" s="34">
        <f>IF(B$2=0,0,B11/B$2)</f>
        <v>0.61538461538461542</v>
      </c>
      <c r="E11" s="55" t="s">
        <v>58</v>
      </c>
      <c r="F11" s="52" t="s">
        <v>21</v>
      </c>
      <c r="G11" s="40">
        <v>4</v>
      </c>
      <c r="H11" s="118">
        <f>IF(B$17=0,0,G11/B$17)</f>
        <v>0.12903225806451613</v>
      </c>
      <c r="I11" s="80">
        <v>13</v>
      </c>
      <c r="K11" s="32">
        <v>9</v>
      </c>
      <c r="L11" s="85">
        <v>66.199999999999989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7.6923076923076927E-2</v>
      </c>
      <c r="E12" s="55" t="s">
        <v>59</v>
      </c>
      <c r="F12" s="52" t="s">
        <v>22</v>
      </c>
      <c r="G12" s="40">
        <v>1</v>
      </c>
      <c r="H12" s="118">
        <f>IF(B$17=0,0,G12/B$17)</f>
        <v>3.2258064516129031E-2</v>
      </c>
      <c r="I12" s="80">
        <v>10</v>
      </c>
      <c r="K12" s="32">
        <v>10</v>
      </c>
      <c r="L12" s="85">
        <v>66.899999999999991</v>
      </c>
      <c r="N12" s="99" t="s">
        <v>130</v>
      </c>
      <c r="O12" s="109">
        <f>IF(P12=0,0,Q12/P12)</f>
        <v>-22.85</v>
      </c>
      <c r="P12" s="103">
        <v>2</v>
      </c>
      <c r="Q12" s="91">
        <v>-45.7</v>
      </c>
    </row>
    <row r="13" spans="1:17">
      <c r="A13" s="50" t="s">
        <v>101</v>
      </c>
      <c r="B13" s="43">
        <v>16</v>
      </c>
      <c r="C13" s="38">
        <f>IF(B$3=0,0,B13/B$3)</f>
        <v>0.16326530612244897</v>
      </c>
      <c r="E13" s="55" t="s">
        <v>68</v>
      </c>
      <c r="F13" s="52" t="s">
        <v>31</v>
      </c>
      <c r="G13" s="40">
        <v>1</v>
      </c>
      <c r="H13" s="118">
        <f>IF(B$17=0,0,G13/B$17)</f>
        <v>3.2258064516129031E-2</v>
      </c>
      <c r="I13" s="80">
        <v>5</v>
      </c>
      <c r="K13" s="32">
        <v>11</v>
      </c>
      <c r="L13" s="85">
        <v>56.79999999999999</v>
      </c>
      <c r="N13" s="100" t="s">
        <v>131</v>
      </c>
      <c r="O13" s="110">
        <f>IF(P13=0,0,Q13/P13)</f>
        <v>34.133333333333333</v>
      </c>
      <c r="P13" s="104">
        <v>3</v>
      </c>
      <c r="Q13" s="92">
        <v>102.39999999999999</v>
      </c>
    </row>
    <row r="14" spans="1:17">
      <c r="A14" s="47" t="s">
        <v>98</v>
      </c>
      <c r="B14" s="40">
        <v>36</v>
      </c>
      <c r="C14" s="33">
        <f>IF(B$3=0,0,B14/B$3)</f>
        <v>0.36734693877551022</v>
      </c>
      <c r="E14" s="55" t="s">
        <v>72</v>
      </c>
      <c r="F14" s="52" t="s">
        <v>35</v>
      </c>
      <c r="G14" s="40">
        <v>1</v>
      </c>
      <c r="H14" s="118">
        <f>IF(B$17=0,0,G14/B$17)</f>
        <v>3.2258064516129031E-2</v>
      </c>
      <c r="I14" s="80">
        <v>6</v>
      </c>
      <c r="K14" s="32">
        <v>12</v>
      </c>
      <c r="L14" s="85">
        <v>110.39999999999999</v>
      </c>
      <c r="N14" s="100" t="s">
        <v>132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103</v>
      </c>
      <c r="B15" s="39">
        <f>B21</f>
        <v>11</v>
      </c>
      <c r="C15" s="31">
        <f>IF(B$13=0,0,B15/B$13)</f>
        <v>0.6875</v>
      </c>
      <c r="E15" s="55" t="s">
        <v>78</v>
      </c>
      <c r="F15" s="52" t="s">
        <v>41</v>
      </c>
      <c r="G15" s="40">
        <v>1</v>
      </c>
      <c r="H15" s="118">
        <f>IF(B$17=0,0,G15/B$17)</f>
        <v>3.2258064516129031E-2</v>
      </c>
      <c r="I15" s="80">
        <v>2</v>
      </c>
      <c r="K15" s="32">
        <v>13</v>
      </c>
      <c r="L15" s="85">
        <v>196</v>
      </c>
      <c r="N15" s="101" t="s">
        <v>163</v>
      </c>
      <c r="O15" s="111">
        <f>IF(P15=0,0,Q15/P15)</f>
        <v>0.22500000000000009</v>
      </c>
      <c r="P15" s="105">
        <v>4</v>
      </c>
      <c r="Q15" s="93">
        <v>0.90000000000000036</v>
      </c>
    </row>
    <row r="16" spans="1:17">
      <c r="A16" s="46" t="s">
        <v>104</v>
      </c>
      <c r="B16" s="39">
        <f>B22</f>
        <v>16</v>
      </c>
      <c r="C16" s="31">
        <f>IF(B$14=0,0,B16/B$14)</f>
        <v>0.44444444444444442</v>
      </c>
      <c r="E16" s="55" t="s">
        <v>62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31</v>
      </c>
      <c r="C17" s="31">
        <f>IF(B$3=0,0,B17/B$3)</f>
        <v>0.31632653061224492</v>
      </c>
      <c r="E17" s="55" t="s">
        <v>63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17</v>
      </c>
      <c r="C18" s="33">
        <f>IF(B$3=0,0,B18/B$3)</f>
        <v>0.17346938775510204</v>
      </c>
      <c r="E18" s="55" t="s">
        <v>64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13</v>
      </c>
      <c r="C19" s="33">
        <f>IF(B$17=0,0,B19/B$17)</f>
        <v>0.41935483870967744</v>
      </c>
      <c r="E19" s="55" t="s">
        <v>65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197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18</v>
      </c>
      <c r="C20" s="33">
        <f>IF(B$17=0,0,B20/B$17)</f>
        <v>0.58064516129032262</v>
      </c>
      <c r="E20" s="55" t="s">
        <v>66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155</v>
      </c>
      <c r="B21" s="40">
        <v>11</v>
      </c>
      <c r="C21" s="33">
        <f>IF(B$17=0,0,B21/B$17)</f>
        <v>0.35483870967741937</v>
      </c>
      <c r="E21" s="55" t="s">
        <v>67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168</v>
      </c>
      <c r="O21" s="110">
        <f>IF(P21=0,0,Q21/P21)</f>
        <v>57.9</v>
      </c>
      <c r="P21" s="104">
        <v>6</v>
      </c>
      <c r="Q21" s="92">
        <v>347.4</v>
      </c>
    </row>
    <row r="22" spans="1:17">
      <c r="A22" s="47" t="s">
        <v>153</v>
      </c>
      <c r="B22" s="40">
        <v>16</v>
      </c>
      <c r="C22" s="33">
        <f>IF(B$17=0,0,B22/B$17)</f>
        <v>0.5161290322580645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173</v>
      </c>
      <c r="O22" s="110">
        <f>IF(P22=0,0,Q22/P22)</f>
        <v>49.875</v>
      </c>
      <c r="P22" s="104">
        <v>4</v>
      </c>
      <c r="Q22" s="92">
        <v>199.5</v>
      </c>
    </row>
    <row r="23" spans="1:17">
      <c r="A23" s="47" t="s">
        <v>154</v>
      </c>
      <c r="B23" s="40">
        <v>4</v>
      </c>
      <c r="C23" s="33">
        <f>IF(B$17=0,0,B23/B$17)</f>
        <v>0.12903225806451613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203</v>
      </c>
      <c r="O23" s="110">
        <f>IF(P23=0,0,Q23/P23)</f>
        <v>48.92</v>
      </c>
      <c r="P23" s="104">
        <v>5</v>
      </c>
      <c r="Q23" s="92">
        <v>244.6</v>
      </c>
    </row>
    <row r="24" spans="1:17">
      <c r="A24" s="47" t="s">
        <v>5</v>
      </c>
      <c r="B24" s="44">
        <f>IF(B$17=0,0,C24/B$17)</f>
        <v>5958.0645161290322</v>
      </c>
      <c r="C24" s="35">
        <v>184700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171</v>
      </c>
      <c r="O24" s="110">
        <f>IF(P24=0,0,Q24/P24)</f>
        <v>47.1</v>
      </c>
      <c r="P24" s="104">
        <v>1</v>
      </c>
      <c r="Q24" s="92">
        <v>47.1</v>
      </c>
    </row>
    <row r="25" spans="1:17">
      <c r="A25" s="48" t="s">
        <v>137</v>
      </c>
      <c r="B25" s="121">
        <f>IF($B$17-B$16=0,0,C25/($B$17-B$16))</f>
        <v>8006.666666666667</v>
      </c>
      <c r="C25" s="122">
        <v>120100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179</v>
      </c>
      <c r="O25" s="110">
        <f>IF(P25=0,0,Q25/P25)</f>
        <v>36</v>
      </c>
      <c r="P25" s="104">
        <v>2</v>
      </c>
      <c r="Q25" s="92">
        <v>72</v>
      </c>
    </row>
    <row r="26" spans="1:17">
      <c r="A26" s="48" t="s">
        <v>138</v>
      </c>
      <c r="B26" s="121">
        <f>IF(B$16=0,0,C26/B$16)</f>
        <v>4037.5</v>
      </c>
      <c r="C26" s="122">
        <v>64600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165</v>
      </c>
      <c r="O26" s="110">
        <f>IF(P26=0,0,Q26/P26)</f>
        <v>30.900000000000006</v>
      </c>
      <c r="P26" s="104">
        <v>3</v>
      </c>
      <c r="Q26" s="92">
        <v>92.700000000000017</v>
      </c>
    </row>
    <row r="27" spans="1:17">
      <c r="A27" s="48" t="s">
        <v>136</v>
      </c>
      <c r="B27" s="121">
        <f>IF(B$18=0,0,C27/B$18)</f>
        <v>-5523.5294117647063</v>
      </c>
      <c r="C27" s="122">
        <v>-93900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  <c r="N27" s="100" t="s">
        <v>205</v>
      </c>
      <c r="O27" s="110">
        <f>IF(P27=0,0,Q27/P27)</f>
        <v>20.8</v>
      </c>
      <c r="P27" s="104">
        <v>1</v>
      </c>
      <c r="Q27" s="92">
        <v>20.8</v>
      </c>
    </row>
    <row r="28" spans="1:17">
      <c r="A28" s="47" t="s">
        <v>134</v>
      </c>
      <c r="B28" s="40">
        <v>3</v>
      </c>
      <c r="C28" s="120">
        <v>3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  <c r="N28" s="100" t="s">
        <v>199</v>
      </c>
      <c r="O28" s="110">
        <f>IF(P28=0,0,Q28/P28)</f>
        <v>10.449999999999998</v>
      </c>
      <c r="P28" s="104">
        <v>4</v>
      </c>
      <c r="Q28" s="92">
        <v>41.79999999999999</v>
      </c>
    </row>
    <row r="29" spans="1:17">
      <c r="A29" s="47" t="s">
        <v>135</v>
      </c>
      <c r="B29" s="40">
        <v>22</v>
      </c>
      <c r="C29" s="120">
        <v>5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183</v>
      </c>
      <c r="O29" s="110">
        <f>IF(P29=0,0,Q29/P29)</f>
        <v>-3.375</v>
      </c>
      <c r="P29" s="104">
        <v>4</v>
      </c>
      <c r="Q29" s="92">
        <v>-13.5</v>
      </c>
    </row>
    <row r="30" spans="1:17">
      <c r="A30" s="76" t="s">
        <v>115</v>
      </c>
      <c r="B30" s="152">
        <v>5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167</v>
      </c>
      <c r="O30" s="110">
        <f>IF(P30=0,0,Q30/P30)</f>
        <v>-88.820000000000022</v>
      </c>
      <c r="P30" s="104">
        <v>5</v>
      </c>
      <c r="Q30" s="92">
        <v>-444.10000000000014</v>
      </c>
    </row>
    <row r="31" spans="1:17">
      <c r="A31" s="50" t="s">
        <v>152</v>
      </c>
      <c r="B31" s="154">
        <v>65600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166</v>
      </c>
      <c r="O31" s="110">
        <f>IF(P31=0,0,Q31/P31)</f>
        <v>-103.9</v>
      </c>
      <c r="P31" s="104">
        <v>1</v>
      </c>
      <c r="Q31" s="92">
        <v>-103.9</v>
      </c>
    </row>
    <row r="32" spans="1:17">
      <c r="A32" s="49" t="s">
        <v>116</v>
      </c>
      <c r="B32" s="57">
        <v>1</v>
      </c>
      <c r="C32" s="36">
        <f>IF(B$3=0,0,B32/B$3)</f>
        <v>1.020408163265306E-2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6</v>
      </c>
      <c r="C35" s="126">
        <f t="shared" ref="C35:C47" si="3">IF(B$17=0,0,B35/B$17)</f>
        <v>0.19354838709677419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6</v>
      </c>
      <c r="C36" s="33">
        <f t="shared" si="3"/>
        <v>0.19354838709677419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7</v>
      </c>
      <c r="C37" s="33">
        <f t="shared" si="3"/>
        <v>0.22580645161290322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5</v>
      </c>
      <c r="C38" s="33">
        <f t="shared" si="3"/>
        <v>0.16129032258064516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3"/>
        <v>9.6774193548387094E-2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3</v>
      </c>
      <c r="C40" s="33">
        <f t="shared" si="3"/>
        <v>9.6774193548387094E-2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3.2258064516129031E-2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D319-D540-4E08-BD19-0840C1409922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179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0">
        <v>15</v>
      </c>
      <c r="C3" s="161"/>
      <c r="E3" s="55" t="s">
        <v>185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2">
        <v>-2.2000000000000011</v>
      </c>
      <c r="C4" s="163"/>
      <c r="E4" s="55" t="s">
        <v>186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4">
        <f>IF(B$2=0,0,B$4/B$2)</f>
        <v>-1.1000000000000005</v>
      </c>
      <c r="C5" s="16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57</v>
      </c>
      <c r="F6" s="52" t="s">
        <v>189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11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188</v>
      </c>
      <c r="F9" s="52" t="s">
        <v>194</v>
      </c>
      <c r="G9" s="40">
        <v>1</v>
      </c>
      <c r="H9" s="118">
        <f>IF(B$17=0,0,G9/B$17)</f>
        <v>0.33333333333333331</v>
      </c>
      <c r="I9" s="80">
        <v>11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184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183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3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33600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BC073-1608-481F-9190-E27F3681D859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181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185</v>
      </c>
      <c r="F2" s="51" t="s">
        <v>160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0">
        <v>19</v>
      </c>
      <c r="C3" s="161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13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2">
        <v>3.8999999999999986</v>
      </c>
      <c r="C4" s="163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6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4">
        <f>IF(B$2=0,0,B$4/B$2)</f>
        <v>1.9499999999999993</v>
      </c>
      <c r="C5" s="165"/>
      <c r="E5" s="55" t="s">
        <v>57</v>
      </c>
      <c r="F5" s="52" t="s">
        <v>189</v>
      </c>
      <c r="G5" s="40">
        <v>1</v>
      </c>
      <c r="H5" s="118">
        <f>IF(B$17=0,0,G5/B$17)</f>
        <v>0.25</v>
      </c>
      <c r="I5" s="80">
        <v>5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5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13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188</v>
      </c>
      <c r="F10" s="52" t="s">
        <v>194</v>
      </c>
      <c r="G10" s="40">
        <v>1</v>
      </c>
      <c r="H10" s="118">
        <f>IF(B$17=0,0,G10/B$17)</f>
        <v>0.25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186</v>
      </c>
      <c r="F11" s="52" t="s">
        <v>19</v>
      </c>
      <c r="G11" s="40">
        <v>0</v>
      </c>
      <c r="H11" s="118">
        <f>IF(B$17=0,0,G11/B$17)</f>
        <v>0</v>
      </c>
      <c r="I11" s="80">
        <v>11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2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42500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E048-6442-4F31-A2C6-1795B41EA4D5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184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</v>
      </c>
      <c r="C2" s="159"/>
      <c r="E2" s="54" t="s">
        <v>185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0">
        <v>7</v>
      </c>
      <c r="C3" s="161"/>
      <c r="E3" s="55" t="s">
        <v>186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2">
        <v>-52.6</v>
      </c>
      <c r="C4" s="16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4">
        <f>IF(B$2=0,0,B$4/B$2)</f>
        <v>-52.6</v>
      </c>
      <c r="C5" s="16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57</v>
      </c>
      <c r="F6" s="52" t="s">
        <v>189</v>
      </c>
      <c r="G6" s="40">
        <v>0</v>
      </c>
      <c r="H6" s="118">
        <f>IF(B$17=0,0,G6/B$17)</f>
        <v>0</v>
      </c>
      <c r="I6" s="80">
        <v>16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187</v>
      </c>
      <c r="F18" s="52" t="s">
        <v>190</v>
      </c>
      <c r="G18" s="40">
        <v>0</v>
      </c>
      <c r="H18" s="118">
        <f>IF(B$17=0,0,G18/B$17)</f>
        <v>0</v>
      </c>
      <c r="I18" s="80">
        <v>5</v>
      </c>
      <c r="N18" s="99" t="s">
        <v>179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183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7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4">
        <v>7400</v>
      </c>
      <c r="C31" s="15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191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188</v>
      </c>
      <c r="F45" s="53" t="s">
        <v>194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D1B16-6DEF-4220-A3D6-238AD44EC11A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183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10</v>
      </c>
      <c r="C2" s="159"/>
      <c r="E2" s="54" t="s">
        <v>61</v>
      </c>
      <c r="F2" s="51" t="s">
        <v>24</v>
      </c>
      <c r="G2" s="39">
        <v>13</v>
      </c>
      <c r="H2" s="117">
        <f>IF(B$17=0,0,G2/B$17)</f>
        <v>0.59090909090909094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-160</v>
      </c>
      <c r="P2" s="103">
        <v>10</v>
      </c>
      <c r="Q2" s="87">
        <v>-1600</v>
      </c>
    </row>
    <row r="3" spans="1:17">
      <c r="A3" s="47" t="s">
        <v>8</v>
      </c>
      <c r="B3" s="160">
        <v>84</v>
      </c>
      <c r="C3" s="161"/>
      <c r="E3" s="55" t="s">
        <v>55</v>
      </c>
      <c r="F3" s="52" t="s">
        <v>20</v>
      </c>
      <c r="G3" s="40">
        <v>11</v>
      </c>
      <c r="H3" s="118">
        <f>IF(B$17=0,0,G3/B$17)</f>
        <v>0.5</v>
      </c>
      <c r="I3" s="80">
        <v>10</v>
      </c>
      <c r="K3" s="32">
        <v>1</v>
      </c>
      <c r="L3" s="85">
        <v>55.2</v>
      </c>
      <c r="N3" s="100" t="s">
        <v>108</v>
      </c>
      <c r="O3" s="107">
        <f t="shared" si="0"/>
        <v>-240</v>
      </c>
      <c r="P3" s="104">
        <v>10</v>
      </c>
      <c r="Q3" s="88">
        <v>-2400</v>
      </c>
    </row>
    <row r="4" spans="1:17">
      <c r="A4" s="47" t="s">
        <v>6</v>
      </c>
      <c r="B4" s="162">
        <v>36.199999999999996</v>
      </c>
      <c r="C4" s="163"/>
      <c r="E4" s="55" t="s">
        <v>188</v>
      </c>
      <c r="F4" s="52" t="s">
        <v>194</v>
      </c>
      <c r="G4" s="40">
        <v>8</v>
      </c>
      <c r="H4" s="118">
        <f>IF(B$17=0,0,G4/B$17)</f>
        <v>0.36363636363636365</v>
      </c>
      <c r="I4" s="80">
        <v>8</v>
      </c>
      <c r="K4" s="32">
        <v>2</v>
      </c>
      <c r="L4" s="85">
        <v>33.700000000000003</v>
      </c>
      <c r="N4" s="100" t="s">
        <v>109</v>
      </c>
      <c r="O4" s="107">
        <f t="shared" si="0"/>
        <v>-4160</v>
      </c>
      <c r="P4" s="104">
        <v>10</v>
      </c>
      <c r="Q4" s="88">
        <v>-41600</v>
      </c>
    </row>
    <row r="5" spans="1:17">
      <c r="A5" s="47" t="s">
        <v>7</v>
      </c>
      <c r="B5" s="164">
        <f>IF(B$2=0,0,B$4/B$2)</f>
        <v>3.6199999999999997</v>
      </c>
      <c r="C5" s="165"/>
      <c r="E5" s="55" t="s">
        <v>185</v>
      </c>
      <c r="F5" s="52" t="s">
        <v>160</v>
      </c>
      <c r="G5" s="40">
        <v>7</v>
      </c>
      <c r="H5" s="118">
        <f>IF(B$17=0,0,G5/B$17)</f>
        <v>0.31818181818181818</v>
      </c>
      <c r="I5" s="80">
        <v>13</v>
      </c>
      <c r="K5" s="32">
        <v>3</v>
      </c>
      <c r="L5" s="85">
        <v>42.5</v>
      </c>
      <c r="N5" s="100" t="s">
        <v>161</v>
      </c>
      <c r="O5" s="107">
        <f>IF(P5=0,0,Q5/P5)</f>
        <v>820</v>
      </c>
      <c r="P5" s="104">
        <v>10</v>
      </c>
      <c r="Q5" s="88">
        <v>8200</v>
      </c>
    </row>
    <row r="6" spans="1:17">
      <c r="A6" s="47" t="s">
        <v>1</v>
      </c>
      <c r="B6" s="166">
        <f>IF(B$2=0,0,(B$7*1+B$8*2+B$9*3+B$10*4)/B$2)</f>
        <v>2.2000000000000002</v>
      </c>
      <c r="C6" s="167"/>
      <c r="E6" s="55" t="s">
        <v>58</v>
      </c>
      <c r="F6" s="52" t="s">
        <v>21</v>
      </c>
      <c r="G6" s="40">
        <v>5</v>
      </c>
      <c r="H6" s="118">
        <f>IF(B$17=0,0,G6/B$17)</f>
        <v>0.22727272727272727</v>
      </c>
      <c r="I6" s="80">
        <v>10</v>
      </c>
      <c r="K6" s="32">
        <v>4</v>
      </c>
      <c r="L6" s="85">
        <v>43.3</v>
      </c>
      <c r="N6" s="100" t="s">
        <v>110</v>
      </c>
      <c r="O6" s="107">
        <f t="shared" ref="O6" si="1">IF(P6=0,0,Q6/P6)</f>
        <v>1390</v>
      </c>
      <c r="P6" s="104">
        <v>10</v>
      </c>
      <c r="Q6" s="88">
        <v>13900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56</v>
      </c>
      <c r="F7" s="52" t="s">
        <v>159</v>
      </c>
      <c r="G7" s="40">
        <v>4</v>
      </c>
      <c r="H7" s="118">
        <f>IF(B$17=0,0,G7/B$17)</f>
        <v>0.18181818181818182</v>
      </c>
      <c r="I7" s="80">
        <v>9</v>
      </c>
      <c r="K7" s="32">
        <v>5</v>
      </c>
      <c r="L7" s="85">
        <v>22.9</v>
      </c>
      <c r="N7" s="100" t="s">
        <v>111</v>
      </c>
      <c r="O7" s="107">
        <f t="shared" si="0"/>
        <v>600</v>
      </c>
      <c r="P7" s="104">
        <v>7</v>
      </c>
      <c r="Q7" s="88">
        <v>4200</v>
      </c>
    </row>
    <row r="8" spans="1:17">
      <c r="A8" s="47" t="s">
        <v>3</v>
      </c>
      <c r="B8" s="40">
        <v>3</v>
      </c>
      <c r="C8" s="33">
        <f>IF(B$2=0,0,B8/B$2)</f>
        <v>0.3</v>
      </c>
      <c r="E8" s="55" t="s">
        <v>57</v>
      </c>
      <c r="F8" s="52" t="s">
        <v>189</v>
      </c>
      <c r="G8" s="40">
        <v>3</v>
      </c>
      <c r="H8" s="118">
        <f>IF(B$17=0,0,G8/B$17)</f>
        <v>0.13636363636363635</v>
      </c>
      <c r="I8" s="80">
        <v>13</v>
      </c>
      <c r="K8" s="32">
        <v>6</v>
      </c>
      <c r="L8" s="85">
        <v>53.5</v>
      </c>
      <c r="N8" s="100" t="s">
        <v>112</v>
      </c>
      <c r="O8" s="107">
        <f t="shared" si="0"/>
        <v>1020</v>
      </c>
      <c r="P8" s="104">
        <v>5</v>
      </c>
      <c r="Q8" s="88">
        <v>5100</v>
      </c>
    </row>
    <row r="9" spans="1:17">
      <c r="A9" s="48" t="s">
        <v>4</v>
      </c>
      <c r="B9" s="41">
        <v>3</v>
      </c>
      <c r="C9" s="34">
        <f>IF(B$2=0,0,B9/B$2)</f>
        <v>0.3</v>
      </c>
      <c r="E9" s="55" t="s">
        <v>186</v>
      </c>
      <c r="F9" s="52" t="s">
        <v>19</v>
      </c>
      <c r="G9" s="40">
        <v>2</v>
      </c>
      <c r="H9" s="118">
        <f>IF(B$17=0,0,G9/B$17)</f>
        <v>9.0909090909090912E-2</v>
      </c>
      <c r="I9" s="80">
        <v>9</v>
      </c>
      <c r="K9" s="32">
        <v>7</v>
      </c>
      <c r="L9" s="85">
        <v>31.1</v>
      </c>
      <c r="N9" s="101" t="s">
        <v>162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156</v>
      </c>
      <c r="B10" s="41">
        <v>1</v>
      </c>
      <c r="C10" s="34">
        <f>IF(B$2=0,0,B10/B$2)</f>
        <v>0.1</v>
      </c>
      <c r="E10" s="55" t="s">
        <v>59</v>
      </c>
      <c r="F10" s="52" t="s">
        <v>22</v>
      </c>
      <c r="G10" s="40">
        <v>2</v>
      </c>
      <c r="H10" s="118">
        <f>IF(B$17=0,0,G10/B$17)</f>
        <v>9.0909090909090912E-2</v>
      </c>
      <c r="I10" s="80">
        <v>6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6</v>
      </c>
      <c r="C11" s="34">
        <f>IF(B$2=0,0,B11/B$2)</f>
        <v>0.6</v>
      </c>
      <c r="E11" s="55" t="s">
        <v>60</v>
      </c>
      <c r="F11" s="52" t="s">
        <v>23</v>
      </c>
      <c r="G11" s="40">
        <v>1</v>
      </c>
      <c r="H11" s="118">
        <f>IF(B$17=0,0,G11/B$17)</f>
        <v>4.5454545454545456E-2</v>
      </c>
      <c r="I11" s="80">
        <v>11</v>
      </c>
      <c r="K11" s="32">
        <v>9</v>
      </c>
      <c r="L11" s="85">
        <v>25.699999999999996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63</v>
      </c>
      <c r="F12" s="52" t="s">
        <v>26</v>
      </c>
      <c r="G12" s="40">
        <v>1</v>
      </c>
      <c r="H12" s="118">
        <f>IF(B$17=0,0,G12/B$17)</f>
        <v>4.5454545454545456E-2</v>
      </c>
      <c r="I12" s="80">
        <v>2</v>
      </c>
      <c r="K12" s="32">
        <v>10</v>
      </c>
      <c r="L12" s="85">
        <v>36.199999999999996</v>
      </c>
      <c r="N12" s="99" t="s">
        <v>130</v>
      </c>
      <c r="O12" s="109">
        <f>IF(P12=0,0,Q12/P12)</f>
        <v>56</v>
      </c>
      <c r="P12" s="103">
        <v>1</v>
      </c>
      <c r="Q12" s="91">
        <v>56</v>
      </c>
    </row>
    <row r="13" spans="1:17">
      <c r="A13" s="50" t="s">
        <v>101</v>
      </c>
      <c r="B13" s="43">
        <v>17</v>
      </c>
      <c r="C13" s="38">
        <f>IF(B$3=0,0,B13/B$3)</f>
        <v>0.20238095238095238</v>
      </c>
      <c r="E13" s="55" t="s">
        <v>77</v>
      </c>
      <c r="F13" s="52" t="s">
        <v>40</v>
      </c>
      <c r="G13" s="40">
        <v>1</v>
      </c>
      <c r="H13" s="118">
        <f>IF(B$17=0,0,G13/B$17)</f>
        <v>4.5454545454545456E-2</v>
      </c>
      <c r="I13" s="80">
        <v>1</v>
      </c>
      <c r="N13" s="100" t="s">
        <v>131</v>
      </c>
      <c r="O13" s="110">
        <f>IF(P13=0,0,Q13/P13)</f>
        <v>-7.4999999999999289E-2</v>
      </c>
      <c r="P13" s="104">
        <v>4</v>
      </c>
      <c r="Q13" s="92">
        <v>-0.29999999999999716</v>
      </c>
    </row>
    <row r="14" spans="1:17">
      <c r="A14" s="47" t="s">
        <v>98</v>
      </c>
      <c r="B14" s="40">
        <v>22</v>
      </c>
      <c r="C14" s="33">
        <f>IF(B$3=0,0,B14/B$3)</f>
        <v>0.26190476190476192</v>
      </c>
      <c r="E14" s="55" t="s">
        <v>79</v>
      </c>
      <c r="F14" s="52" t="s">
        <v>42</v>
      </c>
      <c r="G14" s="40">
        <v>1</v>
      </c>
      <c r="H14" s="118">
        <f>IF(B$17=0,0,G14/B$17)</f>
        <v>4.5454545454545456E-2</v>
      </c>
      <c r="I14" s="80">
        <v>1</v>
      </c>
      <c r="N14" s="100" t="s">
        <v>132</v>
      </c>
      <c r="O14" s="110">
        <f>IF(P14=0,0,Q14/P14)</f>
        <v>0.50000000000000355</v>
      </c>
      <c r="P14" s="104">
        <v>4</v>
      </c>
      <c r="Q14" s="92">
        <v>2.0000000000000142</v>
      </c>
    </row>
    <row r="15" spans="1:17">
      <c r="A15" s="46" t="s">
        <v>103</v>
      </c>
      <c r="B15" s="39">
        <f>B21</f>
        <v>7</v>
      </c>
      <c r="C15" s="31">
        <f>IF(B$13=0,0,B15/B$13)</f>
        <v>0.41176470588235292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104</v>
      </c>
      <c r="B16" s="39">
        <f>B22</f>
        <v>11</v>
      </c>
      <c r="C16" s="31">
        <f>IF(B$14=0,0,B16/B$14)</f>
        <v>0.5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22</v>
      </c>
      <c r="C17" s="31">
        <f>IF(B$3=0,0,B17/B$3)</f>
        <v>0.26190476190476192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0.11904761904761904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203</v>
      </c>
      <c r="O18" s="109">
        <f>IF(P18=0,0,Q18/P18)</f>
        <v>112.2</v>
      </c>
      <c r="P18" s="103">
        <v>1</v>
      </c>
      <c r="Q18" s="91">
        <v>112.2</v>
      </c>
    </row>
    <row r="19" spans="1:17">
      <c r="A19" s="47" t="s">
        <v>12</v>
      </c>
      <c r="B19" s="40">
        <v>8</v>
      </c>
      <c r="C19" s="33">
        <f>IF(B$17=0,0,B19/B$17)</f>
        <v>0.36363636363636365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184</v>
      </c>
      <c r="O19" s="110">
        <f>IF(P19=0,0,Q19/P19)</f>
        <v>107.80000000000001</v>
      </c>
      <c r="P19" s="104">
        <v>1</v>
      </c>
      <c r="Q19" s="92">
        <v>107.80000000000001</v>
      </c>
    </row>
    <row r="20" spans="1:17">
      <c r="A20" s="47" t="s">
        <v>11</v>
      </c>
      <c r="B20" s="40">
        <v>14</v>
      </c>
      <c r="C20" s="33">
        <f>IF(B$17=0,0,B20/B$17)</f>
        <v>0.63636363636363635</v>
      </c>
      <c r="E20" s="55" t="s">
        <v>68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179</v>
      </c>
      <c r="O20" s="110">
        <f>IF(P20=0,0,Q20/P20)</f>
        <v>71</v>
      </c>
      <c r="P20" s="104">
        <v>1</v>
      </c>
      <c r="Q20" s="92">
        <v>71</v>
      </c>
    </row>
    <row r="21" spans="1:17">
      <c r="A21" s="47" t="s">
        <v>155</v>
      </c>
      <c r="B21" s="40">
        <v>7</v>
      </c>
      <c r="C21" s="33">
        <f>IF(B$17=0,0,B21/B$17)</f>
        <v>0.31818181818181818</v>
      </c>
      <c r="E21" s="55" t="s">
        <v>187</v>
      </c>
      <c r="F21" s="52" t="s">
        <v>190</v>
      </c>
      <c r="G21" s="40">
        <v>0</v>
      </c>
      <c r="H21" s="118">
        <f>IF(B$17=0,0,G21/B$17)</f>
        <v>0</v>
      </c>
      <c r="I21" s="80">
        <v>5</v>
      </c>
      <c r="N21" s="100" t="s">
        <v>197</v>
      </c>
      <c r="O21" s="110">
        <f>IF(P21=0,0,Q21/P21)</f>
        <v>42.35</v>
      </c>
      <c r="P21" s="104">
        <v>2</v>
      </c>
      <c r="Q21" s="92">
        <v>84.7</v>
      </c>
    </row>
    <row r="22" spans="1:17">
      <c r="A22" s="47" t="s">
        <v>153</v>
      </c>
      <c r="B22" s="40">
        <v>11</v>
      </c>
      <c r="C22" s="33">
        <f>IF(B$17=0,0,B22/B$17)</f>
        <v>0.5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170</v>
      </c>
      <c r="O22" s="110">
        <f>IF(P22=0,0,Q22/P22)</f>
        <v>25.6</v>
      </c>
      <c r="P22" s="104">
        <v>2</v>
      </c>
      <c r="Q22" s="92">
        <v>51.2</v>
      </c>
    </row>
    <row r="23" spans="1:17">
      <c r="A23" s="47" t="s">
        <v>154</v>
      </c>
      <c r="B23" s="40">
        <v>4</v>
      </c>
      <c r="C23" s="33">
        <f>IF(B$17=0,0,B23/B$17)</f>
        <v>0.18181818181818182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167</v>
      </c>
      <c r="O23" s="110">
        <f>IF(P23=0,0,Q23/P23)</f>
        <v>24.4</v>
      </c>
      <c r="P23" s="104">
        <v>1</v>
      </c>
      <c r="Q23" s="92">
        <v>24.4</v>
      </c>
    </row>
    <row r="24" spans="1:17">
      <c r="A24" s="47" t="s">
        <v>5</v>
      </c>
      <c r="B24" s="44">
        <f>IF(B$17=0,0,C24/B$17)</f>
        <v>4481.818181818182</v>
      </c>
      <c r="C24" s="35">
        <v>98600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>IF(P24=0,0,Q24/P24)</f>
        <v>23.566666666666666</v>
      </c>
      <c r="P24" s="104">
        <v>3</v>
      </c>
      <c r="Q24" s="92">
        <v>70.7</v>
      </c>
    </row>
    <row r="25" spans="1:17">
      <c r="A25" s="48" t="s">
        <v>137</v>
      </c>
      <c r="B25" s="121">
        <f>IF($B$17-B$16=0,0,C25/($B$17-B$16))</f>
        <v>5300</v>
      </c>
      <c r="C25" s="122">
        <v>58300</v>
      </c>
      <c r="E25" s="55" t="s">
        <v>72</v>
      </c>
      <c r="F25" s="52" t="s">
        <v>35</v>
      </c>
      <c r="G25" s="40">
        <v>0</v>
      </c>
      <c r="H25" s="118">
        <f>IF(B$17=0,0,G25/B$17)</f>
        <v>0</v>
      </c>
      <c r="I25" s="80">
        <v>7</v>
      </c>
      <c r="N25" s="100" t="s">
        <v>165</v>
      </c>
      <c r="O25" s="110">
        <f>IF(P25=0,0,Q25/P25)</f>
        <v>20.166666666666668</v>
      </c>
      <c r="P25" s="104">
        <v>3</v>
      </c>
      <c r="Q25" s="92">
        <v>60.500000000000007</v>
      </c>
    </row>
    <row r="26" spans="1:17">
      <c r="A26" s="48" t="s">
        <v>138</v>
      </c>
      <c r="B26" s="121">
        <f>IF(B$16=0,0,C26/B$16)</f>
        <v>3663.6363636363635</v>
      </c>
      <c r="C26" s="122">
        <v>40300</v>
      </c>
      <c r="E26" s="55" t="s">
        <v>73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172</v>
      </c>
      <c r="O26" s="110">
        <f>IF(P26=0,0,Q26/P26)</f>
        <v>3.3749999999999982</v>
      </c>
      <c r="P26" s="104">
        <v>4</v>
      </c>
      <c r="Q26" s="92">
        <v>13.499999999999993</v>
      </c>
    </row>
    <row r="27" spans="1:17">
      <c r="A27" s="48" t="s">
        <v>136</v>
      </c>
      <c r="B27" s="121">
        <f>IF(B$18=0,0,C27/B$18)</f>
        <v>-8390</v>
      </c>
      <c r="C27" s="122">
        <v>-83900</v>
      </c>
      <c r="E27" s="55" t="s">
        <v>74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173</v>
      </c>
      <c r="O27" s="110">
        <f>IF(P27=0,0,Q27/P27)</f>
        <v>-26.879999999999995</v>
      </c>
      <c r="P27" s="104">
        <v>5</v>
      </c>
      <c r="Q27" s="92">
        <v>-134.39999999999998</v>
      </c>
    </row>
    <row r="28" spans="1:17">
      <c r="A28" s="47" t="s">
        <v>134</v>
      </c>
      <c r="B28" s="40">
        <v>3</v>
      </c>
      <c r="C28" s="120">
        <v>0</v>
      </c>
      <c r="E28" s="55" t="s">
        <v>75</v>
      </c>
      <c r="F28" s="52" t="s">
        <v>38</v>
      </c>
      <c r="G28" s="40">
        <v>0</v>
      </c>
      <c r="H28" s="118">
        <f>IF(B$17=0,0,G28/B$17)</f>
        <v>0</v>
      </c>
      <c r="I28" s="80">
        <v>4</v>
      </c>
      <c r="N28" s="100" t="s">
        <v>199</v>
      </c>
      <c r="O28" s="110">
        <f>IF(P28=0,0,Q28/P28)</f>
        <v>-28.675000000000001</v>
      </c>
      <c r="P28" s="104">
        <v>4</v>
      </c>
      <c r="Q28" s="92">
        <v>-114.7</v>
      </c>
    </row>
    <row r="29" spans="1:17">
      <c r="A29" s="47" t="s">
        <v>135</v>
      </c>
      <c r="B29" s="40">
        <v>17</v>
      </c>
      <c r="C29" s="120">
        <v>15</v>
      </c>
      <c r="E29" s="55" t="s">
        <v>76</v>
      </c>
      <c r="F29" s="52" t="s">
        <v>39</v>
      </c>
      <c r="G29" s="40">
        <v>0</v>
      </c>
      <c r="H29" s="118">
        <f>IF(B$17=0,0,G29/B$17)</f>
        <v>0</v>
      </c>
      <c r="I29" s="80">
        <v>3</v>
      </c>
      <c r="N29" s="100" t="s">
        <v>206</v>
      </c>
      <c r="O29" s="110">
        <f>IF(P29=0,0,Q29/P29)</f>
        <v>-34.299999999999997</v>
      </c>
      <c r="P29" s="104">
        <v>1</v>
      </c>
      <c r="Q29" s="92">
        <v>-34.299999999999997</v>
      </c>
    </row>
    <row r="30" spans="1:17">
      <c r="A30" s="76" t="s">
        <v>115</v>
      </c>
      <c r="B30" s="152">
        <v>4</v>
      </c>
      <c r="C30" s="153"/>
      <c r="E30" s="55" t="s">
        <v>78</v>
      </c>
      <c r="F30" s="52" t="s">
        <v>41</v>
      </c>
      <c r="G30" s="40">
        <v>0</v>
      </c>
      <c r="H30" s="118">
        <f>IF(B$17=0,0,G30/B$17)</f>
        <v>0</v>
      </c>
      <c r="I30" s="80">
        <v>4</v>
      </c>
      <c r="N30" s="100" t="s">
        <v>166</v>
      </c>
      <c r="O30" s="110">
        <f>IF(P30=0,0,Q30/P30)</f>
        <v>-78.900000000000006</v>
      </c>
      <c r="P30" s="104">
        <v>2</v>
      </c>
      <c r="Q30" s="92">
        <v>-157.80000000000001</v>
      </c>
    </row>
    <row r="31" spans="1:17">
      <c r="A31" s="50" t="s">
        <v>152</v>
      </c>
      <c r="B31" s="154">
        <v>36000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5</v>
      </c>
      <c r="C35" s="126">
        <f t="shared" ref="C35:C47" si="3">IF(B$17=0,0,B35/B$17)</f>
        <v>0.22727272727272727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5</v>
      </c>
      <c r="C36" s="33">
        <f t="shared" si="3"/>
        <v>0.22727272727272727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5</v>
      </c>
      <c r="C37" s="33">
        <f t="shared" si="3"/>
        <v>0.22727272727272727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0.13636363636363635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3</v>
      </c>
      <c r="C39" s="33">
        <f t="shared" si="3"/>
        <v>0.13636363636363635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4.5454545454545456E-2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7081-0598-4499-A779-FF31AE43074E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197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185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0">
        <v>15</v>
      </c>
      <c r="C3" s="161"/>
      <c r="E3" s="55" t="s">
        <v>186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-45.9</v>
      </c>
      <c r="N3" s="100" t="s">
        <v>108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2">
        <v>-97.4</v>
      </c>
      <c r="C4" s="16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-97.4</v>
      </c>
      <c r="N4" s="100" t="s">
        <v>109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4">
        <f>IF(B$2=0,0,B$4/B$2)</f>
        <v>-48.7</v>
      </c>
      <c r="C5" s="16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57</v>
      </c>
      <c r="F6" s="52" t="s">
        <v>189</v>
      </c>
      <c r="G6" s="40">
        <v>0</v>
      </c>
      <c r="H6" s="118">
        <f>IF(B$17=0,0,G6/B$17)</f>
        <v>0</v>
      </c>
      <c r="I6" s="80">
        <v>16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2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</v>
      </c>
      <c r="C13" s="38">
        <f>IF(B$3=0,0,B13/B$3)</f>
        <v>6.6666666666666666E-2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5</v>
      </c>
      <c r="C14" s="33">
        <f>IF(B$3=0,0,B14/B$3)</f>
        <v>0.33333333333333331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187</v>
      </c>
      <c r="F18" s="52" t="s">
        <v>190</v>
      </c>
      <c r="G18" s="40">
        <v>0</v>
      </c>
      <c r="H18" s="118">
        <f>IF(B$17=0,0,G18/B$17)</f>
        <v>0</v>
      </c>
      <c r="I18" s="80">
        <v>5</v>
      </c>
      <c r="N18" s="99" t="s">
        <v>165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183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168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7</v>
      </c>
      <c r="N22" s="100" t="s">
        <v>172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-10000</v>
      </c>
      <c r="C27" s="122">
        <v>-20000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12</v>
      </c>
      <c r="C29" s="120">
        <v>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4">
        <v>14100</v>
      </c>
      <c r="C31" s="15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191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188</v>
      </c>
      <c r="F45" s="53" t="s">
        <v>194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23F28-4A66-4279-B55D-F65BEF6F0EFA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199</v>
      </c>
      <c r="C1" s="15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7</v>
      </c>
      <c r="C2" s="159"/>
      <c r="E2" s="54" t="s">
        <v>55</v>
      </c>
      <c r="F2" s="51" t="s">
        <v>20</v>
      </c>
      <c r="G2" s="39">
        <v>11</v>
      </c>
      <c r="H2" s="117">
        <f>IF(B$17=0,0,G2/B$17)</f>
        <v>0.91666666666666663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-1114.2857142857142</v>
      </c>
      <c r="P2" s="103">
        <v>7</v>
      </c>
      <c r="Q2" s="87">
        <v>-7800</v>
      </c>
    </row>
    <row r="3" spans="1:17">
      <c r="A3" s="47" t="s">
        <v>8</v>
      </c>
      <c r="B3" s="160">
        <v>56</v>
      </c>
      <c r="C3" s="161"/>
      <c r="E3" s="55" t="s">
        <v>60</v>
      </c>
      <c r="F3" s="52" t="s">
        <v>23</v>
      </c>
      <c r="G3" s="40">
        <v>6</v>
      </c>
      <c r="H3" s="118">
        <f>IF(B$17=0,0,G3/B$17)</f>
        <v>0.5</v>
      </c>
      <c r="I3" s="80">
        <v>1</v>
      </c>
      <c r="K3" s="32">
        <v>1</v>
      </c>
      <c r="L3" s="85">
        <v>-15.4</v>
      </c>
      <c r="N3" s="100" t="s">
        <v>108</v>
      </c>
      <c r="O3" s="107">
        <f t="shared" si="0"/>
        <v>1928.5714285714287</v>
      </c>
      <c r="P3" s="104">
        <v>7</v>
      </c>
      <c r="Q3" s="88">
        <v>13500</v>
      </c>
    </row>
    <row r="4" spans="1:17">
      <c r="A4" s="47" t="s">
        <v>6</v>
      </c>
      <c r="B4" s="162">
        <v>62.4</v>
      </c>
      <c r="C4" s="163"/>
      <c r="E4" s="55" t="s">
        <v>188</v>
      </c>
      <c r="F4" s="52" t="s">
        <v>194</v>
      </c>
      <c r="G4" s="40">
        <v>4</v>
      </c>
      <c r="H4" s="118">
        <f>IF(B$17=0,0,G4/B$17)</f>
        <v>0.33333333333333331</v>
      </c>
      <c r="I4" s="80">
        <v>11</v>
      </c>
      <c r="K4" s="32">
        <v>2</v>
      </c>
      <c r="L4" s="85">
        <v>-47.5</v>
      </c>
      <c r="N4" s="100" t="s">
        <v>109</v>
      </c>
      <c r="O4" s="107">
        <f t="shared" si="0"/>
        <v>557.14285714285711</v>
      </c>
      <c r="P4" s="104">
        <v>7</v>
      </c>
      <c r="Q4" s="88">
        <v>3900</v>
      </c>
    </row>
    <row r="5" spans="1:17">
      <c r="A5" s="47" t="s">
        <v>7</v>
      </c>
      <c r="B5" s="164">
        <f>IF(B$2=0,0,B$4/B$2)</f>
        <v>8.9142857142857146</v>
      </c>
      <c r="C5" s="165"/>
      <c r="E5" s="55" t="s">
        <v>58</v>
      </c>
      <c r="F5" s="52" t="s">
        <v>21</v>
      </c>
      <c r="G5" s="40">
        <v>3</v>
      </c>
      <c r="H5" s="118">
        <f>IF(B$17=0,0,G5/B$17)</f>
        <v>0.25</v>
      </c>
      <c r="I5" s="80">
        <v>5</v>
      </c>
      <c r="K5" s="32">
        <v>3</v>
      </c>
      <c r="L5" s="85">
        <v>-16.899999999999999</v>
      </c>
      <c r="N5" s="100" t="s">
        <v>161</v>
      </c>
      <c r="O5" s="107">
        <f>IF(P5=0,0,Q5/P5)</f>
        <v>1614.2857142857142</v>
      </c>
      <c r="P5" s="104">
        <v>7</v>
      </c>
      <c r="Q5" s="88">
        <v>11300</v>
      </c>
    </row>
    <row r="6" spans="1:17">
      <c r="A6" s="47" t="s">
        <v>1</v>
      </c>
      <c r="B6" s="166">
        <f>IF(B$2=0,0,(B$7*1+B$8*2+B$9*3+B$10*4)/B$2)</f>
        <v>2</v>
      </c>
      <c r="C6" s="167"/>
      <c r="E6" s="55" t="s">
        <v>185</v>
      </c>
      <c r="F6" s="52" t="s">
        <v>160</v>
      </c>
      <c r="G6" s="40">
        <v>2</v>
      </c>
      <c r="H6" s="118">
        <f>IF(B$17=0,0,G6/B$17)</f>
        <v>0.16666666666666666</v>
      </c>
      <c r="I6" s="80">
        <v>15</v>
      </c>
      <c r="K6" s="32">
        <v>4</v>
      </c>
      <c r="L6" s="85">
        <v>-6.1999999999999993</v>
      </c>
      <c r="N6" s="100" t="s">
        <v>110</v>
      </c>
      <c r="O6" s="107">
        <f t="shared" ref="O6" si="1">IF(P6=0,0,Q6/P6)</f>
        <v>100</v>
      </c>
      <c r="P6" s="104">
        <v>7</v>
      </c>
      <c r="Q6" s="88">
        <v>700</v>
      </c>
    </row>
    <row r="7" spans="1:17">
      <c r="A7" s="47" t="s">
        <v>2</v>
      </c>
      <c r="B7" s="40">
        <v>2</v>
      </c>
      <c r="C7" s="33">
        <f t="shared" ref="C7:C12" si="2">IF(B$2=0,0,B7/B$2)</f>
        <v>0.2857142857142857</v>
      </c>
      <c r="E7" s="55" t="s">
        <v>61</v>
      </c>
      <c r="F7" s="52" t="s">
        <v>24</v>
      </c>
      <c r="G7" s="40">
        <v>2</v>
      </c>
      <c r="H7" s="118">
        <f>IF(B$17=0,0,G7/B$17)</f>
        <v>0.16666666666666666</v>
      </c>
      <c r="I7" s="80">
        <v>14</v>
      </c>
      <c r="K7" s="32">
        <v>5</v>
      </c>
      <c r="L7" s="85">
        <v>4.1000000000000014</v>
      </c>
      <c r="N7" s="100" t="s">
        <v>111</v>
      </c>
      <c r="O7" s="107">
        <f t="shared" si="0"/>
        <v>-2220</v>
      </c>
      <c r="P7" s="104">
        <v>5</v>
      </c>
      <c r="Q7" s="88">
        <v>-11100</v>
      </c>
    </row>
    <row r="8" spans="1:17">
      <c r="A8" s="47" t="s">
        <v>3</v>
      </c>
      <c r="B8" s="40">
        <v>3</v>
      </c>
      <c r="C8" s="33">
        <f>IF(B$2=0,0,B8/B$2)</f>
        <v>0.42857142857142855</v>
      </c>
      <c r="E8" s="55" t="s">
        <v>57</v>
      </c>
      <c r="F8" s="52" t="s">
        <v>189</v>
      </c>
      <c r="G8" s="40">
        <v>1</v>
      </c>
      <c r="H8" s="118">
        <f>IF(B$17=0,0,G8/B$17)</f>
        <v>8.3333333333333329E-2</v>
      </c>
      <c r="I8" s="80">
        <v>14</v>
      </c>
      <c r="K8" s="32">
        <v>6</v>
      </c>
      <c r="L8" s="85">
        <v>70</v>
      </c>
      <c r="N8" s="100" t="s">
        <v>112</v>
      </c>
      <c r="O8" s="107">
        <f t="shared" si="0"/>
        <v>1725</v>
      </c>
      <c r="P8" s="104">
        <v>4</v>
      </c>
      <c r="Q8" s="88">
        <v>6900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59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62.4</v>
      </c>
      <c r="N9" s="101" t="s">
        <v>162</v>
      </c>
      <c r="O9" s="108">
        <f t="shared" si="0"/>
        <v>0</v>
      </c>
      <c r="P9" s="105">
        <v>2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67</v>
      </c>
      <c r="F10" s="52" t="s">
        <v>30</v>
      </c>
      <c r="G10" s="40">
        <v>1</v>
      </c>
      <c r="H10" s="118">
        <f>IF(B$17=0,0,G10/B$17)</f>
        <v>8.3333333333333329E-2</v>
      </c>
      <c r="I10" s="80">
        <v>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0.7142857142857143</v>
      </c>
      <c r="E11" s="55" t="s">
        <v>68</v>
      </c>
      <c r="F11" s="52" t="s">
        <v>31</v>
      </c>
      <c r="G11" s="40">
        <v>1</v>
      </c>
      <c r="H11" s="118">
        <f>IF(B$17=0,0,G11/B$17)</f>
        <v>8.3333333333333329E-2</v>
      </c>
      <c r="I11" s="80">
        <v>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78</v>
      </c>
      <c r="F12" s="52" t="s">
        <v>41</v>
      </c>
      <c r="G12" s="40">
        <v>1</v>
      </c>
      <c r="H12" s="118">
        <f>IF(B$17=0,0,G12/B$17)</f>
        <v>8.3333333333333329E-2</v>
      </c>
      <c r="I12" s="80">
        <v>1</v>
      </c>
      <c r="N12" s="99" t="s">
        <v>130</v>
      </c>
      <c r="O12" s="109">
        <f>IF(P12=0,0,Q12/P12)</f>
        <v>-19.850000000000001</v>
      </c>
      <c r="P12" s="103">
        <v>2</v>
      </c>
      <c r="Q12" s="91">
        <v>-39.700000000000003</v>
      </c>
    </row>
    <row r="13" spans="1:17">
      <c r="A13" s="50" t="s">
        <v>101</v>
      </c>
      <c r="B13" s="43">
        <v>5</v>
      </c>
      <c r="C13" s="38">
        <f>IF(B$3=0,0,B13/B$3)</f>
        <v>8.9285714285714288E-2</v>
      </c>
      <c r="E13" s="55" t="s">
        <v>186</v>
      </c>
      <c r="F13" s="52" t="s">
        <v>19</v>
      </c>
      <c r="G13" s="40">
        <v>0</v>
      </c>
      <c r="H13" s="118">
        <f>IF(B$17=0,0,G13/B$17)</f>
        <v>0</v>
      </c>
      <c r="I13" s="80">
        <v>11</v>
      </c>
      <c r="N13" s="100" t="s">
        <v>131</v>
      </c>
      <c r="O13" s="110">
        <f>IF(P13=0,0,Q13/P13)</f>
        <v>35.6</v>
      </c>
      <c r="P13" s="104">
        <v>3</v>
      </c>
      <c r="Q13" s="92">
        <v>106.80000000000001</v>
      </c>
    </row>
    <row r="14" spans="1:17">
      <c r="A14" s="47" t="s">
        <v>98</v>
      </c>
      <c r="B14" s="40">
        <v>15</v>
      </c>
      <c r="C14" s="33">
        <f>IF(B$3=0,0,B14/B$3)</f>
        <v>0.26785714285714285</v>
      </c>
      <c r="E14" s="55" t="s">
        <v>56</v>
      </c>
      <c r="F14" s="52" t="s">
        <v>159</v>
      </c>
      <c r="G14" s="40">
        <v>0</v>
      </c>
      <c r="H14" s="118">
        <f>IF(B$17=0,0,G14/B$17)</f>
        <v>0</v>
      </c>
      <c r="I14" s="80">
        <v>13</v>
      </c>
      <c r="N14" s="100" t="s">
        <v>132</v>
      </c>
      <c r="O14" s="110">
        <f>IF(P14=0,0,Q14/P14)</f>
        <v>-15.4</v>
      </c>
      <c r="P14" s="104">
        <v>1</v>
      </c>
      <c r="Q14" s="92">
        <v>-15.4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10.7</v>
      </c>
      <c r="P15" s="105">
        <v>1</v>
      </c>
      <c r="Q15" s="93">
        <v>10.7</v>
      </c>
    </row>
    <row r="16" spans="1:17">
      <c r="A16" s="46" t="s">
        <v>104</v>
      </c>
      <c r="B16" s="39">
        <f>B22</f>
        <v>5</v>
      </c>
      <c r="C16" s="31">
        <f>IF(B$14=0,0,B16/B$14)</f>
        <v>0.33333333333333331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0.21428571428571427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206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2</v>
      </c>
      <c r="C19" s="33">
        <f>IF(B$17=0,0,B19/B$17)</f>
        <v>0.16666666666666666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>IF(P19=0,0,Q19/P19)</f>
        <v>45.8</v>
      </c>
      <c r="P19" s="104">
        <v>2</v>
      </c>
      <c r="Q19" s="92">
        <v>91.6</v>
      </c>
    </row>
    <row r="20" spans="1:17">
      <c r="A20" s="47" t="s">
        <v>11</v>
      </c>
      <c r="B20" s="40">
        <v>10</v>
      </c>
      <c r="C20" s="33">
        <f>IF(B$17=0,0,B20/B$17)</f>
        <v>0.83333333333333337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203</v>
      </c>
      <c r="O20" s="110">
        <f>IF(P20=0,0,Q20/P20)</f>
        <v>43.45</v>
      </c>
      <c r="P20" s="104">
        <v>2</v>
      </c>
      <c r="Q20" s="92">
        <v>86.9</v>
      </c>
    </row>
    <row r="21" spans="1:17">
      <c r="A21" s="47" t="s">
        <v>155</v>
      </c>
      <c r="B21" s="40">
        <v>2</v>
      </c>
      <c r="C21" s="33">
        <f>IF(B$17=0,0,B21/B$17)</f>
        <v>0.16666666666666666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183</v>
      </c>
      <c r="O21" s="110">
        <f>IF(P21=0,0,Q21/P21)</f>
        <v>28.674999999999997</v>
      </c>
      <c r="P21" s="104">
        <v>4</v>
      </c>
      <c r="Q21" s="92">
        <v>114.69999999999999</v>
      </c>
    </row>
    <row r="22" spans="1:17">
      <c r="A22" s="47" t="s">
        <v>153</v>
      </c>
      <c r="B22" s="40">
        <v>5</v>
      </c>
      <c r="C22" s="33">
        <f>IF(B$17=0,0,B22/B$17)</f>
        <v>0.41666666666666669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168</v>
      </c>
      <c r="O22" s="110">
        <f>IF(P22=0,0,Q22/P22)</f>
        <v>13.5</v>
      </c>
      <c r="P22" s="104">
        <v>4</v>
      </c>
      <c r="Q22" s="92">
        <v>54</v>
      </c>
    </row>
    <row r="23" spans="1:17">
      <c r="A23" s="47" t="s">
        <v>154</v>
      </c>
      <c r="B23" s="40">
        <v>5</v>
      </c>
      <c r="C23" s="33">
        <f>IF(B$17=0,0,B23/B$17)</f>
        <v>0.41666666666666669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172</v>
      </c>
      <c r="O23" s="110">
        <f>IF(P23=0,0,Q23/P23)</f>
        <v>-10.45</v>
      </c>
      <c r="P23" s="104">
        <v>4</v>
      </c>
      <c r="Q23" s="92">
        <v>-41.8</v>
      </c>
    </row>
    <row r="24" spans="1:17">
      <c r="A24" s="47" t="s">
        <v>5</v>
      </c>
      <c r="B24" s="44">
        <f>IF(B$17=0,0,C24/B$17)</f>
        <v>5658.333333333333</v>
      </c>
      <c r="C24" s="35">
        <v>67900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7</v>
      </c>
      <c r="N24" s="100" t="s">
        <v>167</v>
      </c>
      <c r="O24" s="110">
        <f>IF(P24=0,0,Q24/P24)</f>
        <v>-33.666666666666671</v>
      </c>
      <c r="P24" s="104">
        <v>3</v>
      </c>
      <c r="Q24" s="92">
        <v>-101.00000000000001</v>
      </c>
    </row>
    <row r="25" spans="1:17">
      <c r="A25" s="48" t="s">
        <v>137</v>
      </c>
      <c r="B25" s="121">
        <f>IF($B$17-B$16=0,0,C25/($B$17-B$16))</f>
        <v>3471.4285714285716</v>
      </c>
      <c r="C25" s="122">
        <v>24300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166</v>
      </c>
      <c r="O25" s="110">
        <f>IF(P25=0,0,Q25/P25)</f>
        <v>-47.8</v>
      </c>
      <c r="P25" s="104">
        <v>1</v>
      </c>
      <c r="Q25" s="92">
        <v>-47.8</v>
      </c>
    </row>
    <row r="26" spans="1:17">
      <c r="A26" s="48" t="s">
        <v>138</v>
      </c>
      <c r="B26" s="121">
        <f>IF(B$16=0,0,C26/B$16)</f>
        <v>8720</v>
      </c>
      <c r="C26" s="122">
        <v>43600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-2300</v>
      </c>
      <c r="C27" s="122">
        <v>-16100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134</v>
      </c>
      <c r="B28" s="40">
        <v>2</v>
      </c>
      <c r="C28" s="120">
        <v>0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18</v>
      </c>
      <c r="C29" s="120">
        <v>11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5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45900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3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0.16666666666666666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8.3333333333333329E-2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8.3333333333333329E-2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E9102-5D98-4324-A8DC-23393C575DDF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203</v>
      </c>
      <c r="C1" s="157"/>
      <c r="E1" s="114" t="s">
        <v>133</v>
      </c>
      <c r="F1" s="139" t="s">
        <v>95</v>
      </c>
      <c r="G1" s="138" t="s">
        <v>96</v>
      </c>
      <c r="H1" s="115" t="s">
        <v>97</v>
      </c>
      <c r="I1" s="139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5</v>
      </c>
      <c r="C2" s="159"/>
      <c r="E2" s="54" t="s">
        <v>185</v>
      </c>
      <c r="F2" s="51" t="s">
        <v>160</v>
      </c>
      <c r="G2" s="39">
        <v>3</v>
      </c>
      <c r="H2" s="117">
        <f>IF(B$17=0,0,G2/B$17)</f>
        <v>0.5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-360</v>
      </c>
      <c r="P2" s="103">
        <v>5</v>
      </c>
      <c r="Q2" s="87">
        <v>-1800</v>
      </c>
    </row>
    <row r="3" spans="1:17">
      <c r="A3" s="47" t="s">
        <v>8</v>
      </c>
      <c r="B3" s="160">
        <v>39</v>
      </c>
      <c r="C3" s="161"/>
      <c r="E3" s="55" t="s">
        <v>56</v>
      </c>
      <c r="F3" s="52" t="s">
        <v>159</v>
      </c>
      <c r="G3" s="40">
        <v>3</v>
      </c>
      <c r="H3" s="118">
        <f>IF(B$17=0,0,G3/B$17)</f>
        <v>0.5</v>
      </c>
      <c r="I3" s="80">
        <v>2</v>
      </c>
      <c r="K3" s="32">
        <v>1</v>
      </c>
      <c r="L3" s="85">
        <v>-21.3</v>
      </c>
      <c r="N3" s="100" t="s">
        <v>108</v>
      </c>
      <c r="O3" s="107">
        <f t="shared" si="0"/>
        <v>160</v>
      </c>
      <c r="P3" s="104">
        <v>5</v>
      </c>
      <c r="Q3" s="88">
        <v>800</v>
      </c>
    </row>
    <row r="4" spans="1:17">
      <c r="A4" s="47" t="s">
        <v>6</v>
      </c>
      <c r="B4" s="162">
        <v>-151.60000000000002</v>
      </c>
      <c r="C4" s="163"/>
      <c r="E4" s="55" t="s">
        <v>186</v>
      </c>
      <c r="F4" s="52" t="s">
        <v>19</v>
      </c>
      <c r="G4" s="40">
        <v>2</v>
      </c>
      <c r="H4" s="118">
        <f>IF(B$17=0,0,G4/B$17)</f>
        <v>0.33333333333333331</v>
      </c>
      <c r="I4" s="80">
        <v>2</v>
      </c>
      <c r="K4" s="32">
        <v>2</v>
      </c>
      <c r="L4" s="85">
        <v>-12.200000000000001</v>
      </c>
      <c r="N4" s="100" t="s">
        <v>109</v>
      </c>
      <c r="O4" s="107">
        <f t="shared" si="0"/>
        <v>-1640</v>
      </c>
      <c r="P4" s="104">
        <v>5</v>
      </c>
      <c r="Q4" s="88">
        <v>-8200</v>
      </c>
    </row>
    <row r="5" spans="1:17">
      <c r="A5" s="47" t="s">
        <v>7</v>
      </c>
      <c r="B5" s="164">
        <f>IF(B$2=0,0,B$4/B$2)</f>
        <v>-30.320000000000004</v>
      </c>
      <c r="C5" s="165"/>
      <c r="E5" s="55" t="s">
        <v>61</v>
      </c>
      <c r="F5" s="52" t="s">
        <v>24</v>
      </c>
      <c r="G5" s="40">
        <v>2</v>
      </c>
      <c r="H5" s="118">
        <f>IF(B$17=0,0,G5/B$17)</f>
        <v>0.33333333333333331</v>
      </c>
      <c r="I5" s="80">
        <v>11</v>
      </c>
      <c r="K5" s="32">
        <v>3</v>
      </c>
      <c r="L5" s="85">
        <v>-67.400000000000006</v>
      </c>
      <c r="N5" s="100" t="s">
        <v>161</v>
      </c>
      <c r="O5" s="107">
        <f>IF(P5=0,0,Q5/P5)</f>
        <v>-1400</v>
      </c>
      <c r="P5" s="104">
        <v>5</v>
      </c>
      <c r="Q5" s="88">
        <v>-7000</v>
      </c>
    </row>
    <row r="6" spans="1:17">
      <c r="A6" s="47" t="s">
        <v>1</v>
      </c>
      <c r="B6" s="166">
        <f>IF(B$2=0,0,(B$7*1+B$8*2+B$9*3+B$10*4)/B$2)</f>
        <v>3.2</v>
      </c>
      <c r="C6" s="167"/>
      <c r="E6" s="55" t="s">
        <v>188</v>
      </c>
      <c r="F6" s="52" t="s">
        <v>194</v>
      </c>
      <c r="G6" s="40">
        <v>2</v>
      </c>
      <c r="H6" s="118">
        <f>IF(B$17=0,0,G6/B$17)</f>
        <v>0.33333333333333331</v>
      </c>
      <c r="I6" s="80">
        <v>11</v>
      </c>
      <c r="K6" s="32">
        <v>4</v>
      </c>
      <c r="L6" s="85">
        <v>-123.60000000000001</v>
      </c>
      <c r="N6" s="100" t="s">
        <v>110</v>
      </c>
      <c r="O6" s="107">
        <f t="shared" ref="O6" si="1">IF(P6=0,0,Q6/P6)</f>
        <v>-2140</v>
      </c>
      <c r="P6" s="104">
        <v>5</v>
      </c>
      <c r="Q6" s="88">
        <v>-10700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189</v>
      </c>
      <c r="G7" s="40">
        <v>1</v>
      </c>
      <c r="H7" s="118">
        <f>IF(B$17=0,0,G7/B$17)</f>
        <v>0.16666666666666666</v>
      </c>
      <c r="I7" s="80">
        <v>11</v>
      </c>
      <c r="K7" s="32">
        <v>5</v>
      </c>
      <c r="L7" s="85">
        <v>-151.60000000000002</v>
      </c>
      <c r="N7" s="100" t="s">
        <v>111</v>
      </c>
      <c r="O7" s="107">
        <f t="shared" si="0"/>
        <v>-4040</v>
      </c>
      <c r="P7" s="104">
        <v>5</v>
      </c>
      <c r="Q7" s="88">
        <v>-20200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60</v>
      </c>
      <c r="F8" s="52" t="s">
        <v>23</v>
      </c>
      <c r="G8" s="40">
        <v>1</v>
      </c>
      <c r="H8" s="118">
        <f>IF(B$17=0,0,G8/B$17)</f>
        <v>0.16666666666666666</v>
      </c>
      <c r="I8" s="80">
        <v>8</v>
      </c>
      <c r="N8" s="100" t="s">
        <v>112</v>
      </c>
      <c r="O8" s="107">
        <f t="shared" si="0"/>
        <v>-4250</v>
      </c>
      <c r="P8" s="104">
        <v>2</v>
      </c>
      <c r="Q8" s="88">
        <v>-8500</v>
      </c>
    </row>
    <row r="9" spans="1:17">
      <c r="A9" s="48" t="s">
        <v>4</v>
      </c>
      <c r="B9" s="41">
        <v>2</v>
      </c>
      <c r="C9" s="34">
        <f>IF(B$2=0,0,B9/B$2)</f>
        <v>0.4</v>
      </c>
      <c r="E9" s="55" t="s">
        <v>72</v>
      </c>
      <c r="F9" s="52" t="s">
        <v>35</v>
      </c>
      <c r="G9" s="40">
        <v>1</v>
      </c>
      <c r="H9" s="118">
        <f>IF(B$17=0,0,G9/B$17)</f>
        <v>0.16666666666666666</v>
      </c>
      <c r="I9" s="80">
        <v>1</v>
      </c>
      <c r="N9" s="101" t="s">
        <v>162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156</v>
      </c>
      <c r="B10" s="41">
        <v>2</v>
      </c>
      <c r="C10" s="34">
        <f>IF(B$2=0,0,B10/B$2)</f>
        <v>0.4</v>
      </c>
      <c r="E10" s="55" t="s">
        <v>55</v>
      </c>
      <c r="F10" s="52" t="s">
        <v>20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5</v>
      </c>
      <c r="C13" s="38">
        <f>IF(B$3=0,0,B13/B$3)</f>
        <v>0.12820512820512819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-55.2</v>
      </c>
      <c r="P13" s="104">
        <v>1</v>
      </c>
      <c r="Q13" s="92">
        <v>-55.2</v>
      </c>
    </row>
    <row r="14" spans="1:17">
      <c r="A14" s="47" t="s">
        <v>98</v>
      </c>
      <c r="B14" s="40">
        <v>8</v>
      </c>
      <c r="C14" s="33">
        <f>IF(B$3=0,0,B14/B$3)</f>
        <v>0.20512820512820512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-23.55</v>
      </c>
      <c r="P14" s="104">
        <v>2</v>
      </c>
      <c r="Q14" s="92">
        <v>-47.1</v>
      </c>
    </row>
    <row r="15" spans="1:17">
      <c r="A15" s="46" t="s">
        <v>103</v>
      </c>
      <c r="B15" s="39">
        <f>B21</f>
        <v>3</v>
      </c>
      <c r="C15" s="31">
        <f>IF(B$13=0,0,B15/B$13)</f>
        <v>0.6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-24.65</v>
      </c>
      <c r="P15" s="105">
        <v>2</v>
      </c>
      <c r="Q15" s="93">
        <v>-49.3</v>
      </c>
    </row>
    <row r="16" spans="1:17">
      <c r="A16" s="46" t="s">
        <v>104</v>
      </c>
      <c r="B16" s="39">
        <f>B22</f>
        <v>3</v>
      </c>
      <c r="C16" s="31">
        <f>IF(B$14=0,0,B16/B$14)</f>
        <v>0.375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0.15384615384615385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12</v>
      </c>
      <c r="C18" s="33">
        <f>IF(B$3=0,0,B18/B$3)</f>
        <v>0.30769230769230771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45.8</v>
      </c>
      <c r="P18" s="103">
        <v>2</v>
      </c>
      <c r="Q18" s="91">
        <v>91.6</v>
      </c>
    </row>
    <row r="19" spans="1:17">
      <c r="A19" s="47" t="s">
        <v>12</v>
      </c>
      <c r="B19" s="40">
        <v>1</v>
      </c>
      <c r="C19" s="33">
        <f>IF(B$17=0,0,B19/B$17)</f>
        <v>0.16666666666666666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173</v>
      </c>
      <c r="O19" s="110">
        <f>IF(P19=0,0,Q19/P19)</f>
        <v>20.6</v>
      </c>
      <c r="P19" s="104">
        <v>1</v>
      </c>
      <c r="Q19" s="92">
        <v>20.6</v>
      </c>
    </row>
    <row r="20" spans="1:17">
      <c r="A20" s="47" t="s">
        <v>11</v>
      </c>
      <c r="B20" s="40">
        <v>5</v>
      </c>
      <c r="C20" s="33">
        <f>IF(B$17=0,0,B20/B$17)</f>
        <v>0.83333333333333337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205</v>
      </c>
      <c r="O20" s="110">
        <f>IF(P20=0,0,Q20/P20)</f>
        <v>-35.1</v>
      </c>
      <c r="P20" s="104">
        <v>1</v>
      </c>
      <c r="Q20" s="92">
        <v>-35.1</v>
      </c>
    </row>
    <row r="21" spans="1:17">
      <c r="A21" s="47" t="s">
        <v>155</v>
      </c>
      <c r="B21" s="40">
        <v>3</v>
      </c>
      <c r="C21" s="33">
        <f>IF(B$17=0,0,B21/B$17)</f>
        <v>0.5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>IF(P21=0,0,Q21/P21)</f>
        <v>-43.45</v>
      </c>
      <c r="P21" s="104">
        <v>2</v>
      </c>
      <c r="Q21" s="92">
        <v>-86.9</v>
      </c>
    </row>
    <row r="22" spans="1:17">
      <c r="A22" s="47" t="s">
        <v>153</v>
      </c>
      <c r="B22" s="40">
        <v>3</v>
      </c>
      <c r="C22" s="33">
        <f>IF(B$17=0,0,B22/B$17)</f>
        <v>0.5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172</v>
      </c>
      <c r="O22" s="110">
        <f>IF(P22=0,0,Q22/P22)</f>
        <v>-48.92</v>
      </c>
      <c r="P22" s="104">
        <v>5</v>
      </c>
      <c r="Q22" s="92">
        <v>-244.60000000000002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166</v>
      </c>
      <c r="O23" s="110">
        <f>IF(P23=0,0,Q23/P23)</f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3983.3333333333335</v>
      </c>
      <c r="C24" s="35">
        <v>23900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167</v>
      </c>
      <c r="O24" s="110">
        <f>IF(P24=0,0,Q24/P24)</f>
        <v>-80.349999999999994</v>
      </c>
      <c r="P24" s="104">
        <v>2</v>
      </c>
      <c r="Q24" s="92">
        <v>-160.69999999999999</v>
      </c>
    </row>
    <row r="25" spans="1:17">
      <c r="A25" s="48" t="s">
        <v>137</v>
      </c>
      <c r="B25" s="121">
        <f>IF($B$17-B$16=0,0,C25/($B$17-B$16))</f>
        <v>6633.333333333333</v>
      </c>
      <c r="C25" s="122">
        <v>19900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183</v>
      </c>
      <c r="O25" s="110">
        <f>IF(P25=0,0,Q25/P25)</f>
        <v>-112.2</v>
      </c>
      <c r="P25" s="104">
        <v>1</v>
      </c>
      <c r="Q25" s="92">
        <v>-112.2</v>
      </c>
    </row>
    <row r="26" spans="1:17">
      <c r="A26" s="48" t="s">
        <v>138</v>
      </c>
      <c r="B26" s="121">
        <f>IF(B$16=0,0,C26/B$16)</f>
        <v>1333.3333333333333</v>
      </c>
      <c r="C26" s="122">
        <v>4000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-4883.333333333333</v>
      </c>
      <c r="C27" s="122">
        <v>-58600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4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29100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40">
        <v>2</v>
      </c>
      <c r="C35" s="126">
        <f t="shared" ref="C35:C47" si="3">IF(B$17=0,0,B35/B$17)</f>
        <v>0.33333333333333331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0.33333333333333331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41">
        <v>1</v>
      </c>
      <c r="C37" s="33">
        <f t="shared" si="3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41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41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41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41">
        <v>1</v>
      </c>
      <c r="C41" s="33">
        <f t="shared" si="3"/>
        <v>0.16666666666666666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41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41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41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41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41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84D0-1D9A-435E-93E9-0E98ABE30A83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206</v>
      </c>
      <c r="C1" s="157"/>
      <c r="E1" s="114" t="s">
        <v>133</v>
      </c>
      <c r="F1" s="143" t="s">
        <v>95</v>
      </c>
      <c r="G1" s="142" t="s">
        <v>96</v>
      </c>
      <c r="H1" s="115" t="s">
        <v>97</v>
      </c>
      <c r="I1" s="14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61</v>
      </c>
      <c r="F2" s="51" t="s">
        <v>24</v>
      </c>
      <c r="G2" s="39">
        <v>4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3000</v>
      </c>
      <c r="P2" s="103">
        <v>2</v>
      </c>
      <c r="Q2" s="87">
        <v>6000</v>
      </c>
    </row>
    <row r="3" spans="1:17">
      <c r="A3" s="47" t="s">
        <v>8</v>
      </c>
      <c r="B3" s="160">
        <v>16</v>
      </c>
      <c r="C3" s="161"/>
      <c r="E3" s="55" t="s">
        <v>188</v>
      </c>
      <c r="F3" s="52" t="s">
        <v>194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21.5</v>
      </c>
      <c r="N3" s="100" t="s">
        <v>108</v>
      </c>
      <c r="O3" s="107">
        <f t="shared" si="0"/>
        <v>-300</v>
      </c>
      <c r="P3" s="104">
        <v>2</v>
      </c>
      <c r="Q3" s="88">
        <v>-600</v>
      </c>
    </row>
    <row r="4" spans="1:17">
      <c r="A4" s="47" t="s">
        <v>6</v>
      </c>
      <c r="B4" s="162">
        <v>-5.6000000000000014</v>
      </c>
      <c r="C4" s="163"/>
      <c r="E4" s="55" t="s">
        <v>185</v>
      </c>
      <c r="F4" s="52" t="s">
        <v>160</v>
      </c>
      <c r="G4" s="40">
        <v>1</v>
      </c>
      <c r="H4" s="118">
        <f>IF(B$17=0,0,G4/B$17)</f>
        <v>0.25</v>
      </c>
      <c r="I4" s="80">
        <v>14</v>
      </c>
      <c r="K4" s="32">
        <v>2</v>
      </c>
      <c r="L4" s="85">
        <v>-5.6000000000000014</v>
      </c>
      <c r="N4" s="100" t="s">
        <v>109</v>
      </c>
      <c r="O4" s="107">
        <f t="shared" si="0"/>
        <v>1500</v>
      </c>
      <c r="P4" s="104">
        <v>2</v>
      </c>
      <c r="Q4" s="88">
        <v>3000</v>
      </c>
    </row>
    <row r="5" spans="1:17">
      <c r="A5" s="47" t="s">
        <v>7</v>
      </c>
      <c r="B5" s="164">
        <f>IF(B$2=0,0,B$4/B$2)</f>
        <v>-2.8000000000000007</v>
      </c>
      <c r="C5" s="165"/>
      <c r="E5" s="55" t="s">
        <v>186</v>
      </c>
      <c r="F5" s="52" t="s">
        <v>19</v>
      </c>
      <c r="G5" s="40">
        <v>1</v>
      </c>
      <c r="H5" s="118">
        <f>IF(B$17=0,0,G5/B$17)</f>
        <v>0.25</v>
      </c>
      <c r="I5" s="80">
        <v>4</v>
      </c>
      <c r="N5" s="100" t="s">
        <v>161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55</v>
      </c>
      <c r="F6" s="52" t="s">
        <v>20</v>
      </c>
      <c r="G6" s="40">
        <v>1</v>
      </c>
      <c r="H6" s="118">
        <f>IF(B$17=0,0,G6/B$17)</f>
        <v>0.25</v>
      </c>
      <c r="I6" s="80">
        <v>13</v>
      </c>
      <c r="N6" s="100" t="s">
        <v>110</v>
      </c>
      <c r="O6" s="107">
        <f t="shared" ref="O6" si="1">IF(P6=0,0,Q6/P6)</f>
        <v>-1500</v>
      </c>
      <c r="P6" s="104">
        <v>2</v>
      </c>
      <c r="Q6" s="88">
        <v>-3000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189</v>
      </c>
      <c r="G7" s="40">
        <v>1</v>
      </c>
      <c r="H7" s="118">
        <f>IF(B$17=0,0,G7/B$17)</f>
        <v>0.25</v>
      </c>
      <c r="I7" s="80">
        <v>5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1</v>
      </c>
      <c r="H8" s="118">
        <f>IF(B$17=0,0,G8/B$17)</f>
        <v>0.25</v>
      </c>
      <c r="I8" s="80">
        <v>5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59</v>
      </c>
      <c r="F9" s="52" t="s">
        <v>22</v>
      </c>
      <c r="G9" s="40">
        <v>1</v>
      </c>
      <c r="H9" s="118">
        <f>IF(B$17=0,0,G9/B$17)</f>
        <v>0.25</v>
      </c>
      <c r="I9" s="80">
        <v>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21.5</v>
      </c>
      <c r="P12" s="103">
        <v>1</v>
      </c>
      <c r="Q12" s="91">
        <v>21.5</v>
      </c>
    </row>
    <row r="13" spans="1:17">
      <c r="A13" s="50" t="s">
        <v>101</v>
      </c>
      <c r="B13" s="43">
        <v>3</v>
      </c>
      <c r="C13" s="38">
        <f>IF(B$3=0,0,B13/B$3)</f>
        <v>0.1875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4</v>
      </c>
      <c r="C14" s="33">
        <f>IF(B$3=0,0,B14/B$3)</f>
        <v>0.25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0.33333333333333331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104</v>
      </c>
      <c r="B16" s="39">
        <f>B22</f>
        <v>2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0.25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167</v>
      </c>
      <c r="O18" s="109">
        <f>IF(P18=0,0,Q18/P18)</f>
        <v>86.6</v>
      </c>
      <c r="P18" s="103">
        <v>1</v>
      </c>
      <c r="Q18" s="91">
        <v>86.6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205</v>
      </c>
      <c r="O19" s="110">
        <f>IF(P19=0,0,Q19/P19)</f>
        <v>50.4</v>
      </c>
      <c r="P19" s="104">
        <v>1</v>
      </c>
      <c r="Q19" s="92">
        <v>50.4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183</v>
      </c>
      <c r="O20" s="110">
        <f>IF(P20=0,0,Q20/P20)</f>
        <v>34.299999999999997</v>
      </c>
      <c r="P20" s="104">
        <v>1</v>
      </c>
      <c r="Q20" s="92">
        <v>34.299999999999997</v>
      </c>
    </row>
    <row r="21" spans="1:17">
      <c r="A21" s="47" t="s">
        <v>155</v>
      </c>
      <c r="B21" s="40">
        <v>1</v>
      </c>
      <c r="C21" s="33">
        <f>IF(B$17=0,0,B21/B$17)</f>
        <v>0.25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173</v>
      </c>
      <c r="O21" s="110">
        <f>IF(P21=0,0,Q21/P21)</f>
        <v>-50.349999999999994</v>
      </c>
      <c r="P21" s="104">
        <v>2</v>
      </c>
      <c r="Q21" s="92">
        <v>-100.69999999999999</v>
      </c>
    </row>
    <row r="22" spans="1:17">
      <c r="A22" s="47" t="s">
        <v>153</v>
      </c>
      <c r="B22" s="40">
        <v>2</v>
      </c>
      <c r="C22" s="33">
        <f>IF(B$17=0,0,B22/B$17)</f>
        <v>0.5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>IF(P22=0,0,Q22/P22)</f>
        <v>-93</v>
      </c>
      <c r="P22" s="104">
        <v>1</v>
      </c>
      <c r="Q22" s="92">
        <v>-93</v>
      </c>
    </row>
    <row r="23" spans="1:17">
      <c r="A23" s="47" t="s">
        <v>154</v>
      </c>
      <c r="B23" s="40">
        <v>1</v>
      </c>
      <c r="C23" s="33">
        <f>IF(B$17=0,0,B23/B$17)</f>
        <v>0.25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5750</v>
      </c>
      <c r="C24" s="35">
        <v>23000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5000</v>
      </c>
      <c r="C25" s="122">
        <v>10000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6500</v>
      </c>
      <c r="C26" s="122">
        <v>13000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16</v>
      </c>
      <c r="C29" s="120">
        <v>16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52">
        <v>2</v>
      </c>
      <c r="C30" s="15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54">
        <v>41500</v>
      </c>
      <c r="C31" s="15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4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4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4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4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4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4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4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45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45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45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4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433B-A884-4393-AA68-B0F819DD51D7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8203125" style="27" customWidth="1"/>
    <col min="5" max="5" width="3.58203125" style="113" bestFit="1" customWidth="1"/>
    <col min="6" max="6" width="11" style="37" bestFit="1" customWidth="1"/>
    <col min="7" max="9" width="9" style="27" customWidth="1"/>
    <col min="10" max="10" width="3.58203125" style="27" customWidth="1"/>
    <col min="11" max="11" width="3.5" style="32" customWidth="1"/>
    <col min="12" max="12" width="9" style="85" customWidth="1"/>
    <col min="13" max="13" width="3.58203125" style="27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27"/>
  </cols>
  <sheetData>
    <row r="1" spans="1:17">
      <c r="A1" s="45" t="s">
        <v>0</v>
      </c>
      <c r="B1" s="156" t="s">
        <v>205</v>
      </c>
      <c r="C1" s="157"/>
      <c r="E1" s="114" t="s">
        <v>133</v>
      </c>
      <c r="F1" s="143" t="s">
        <v>95</v>
      </c>
      <c r="G1" s="142" t="s">
        <v>96</v>
      </c>
      <c r="H1" s="115" t="s">
        <v>97</v>
      </c>
      <c r="I1" s="14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8">
        <v>2</v>
      </c>
      <c r="C2" s="159"/>
      <c r="E2" s="54" t="s">
        <v>185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-500</v>
      </c>
      <c r="P2" s="103">
        <v>2</v>
      </c>
      <c r="Q2" s="87">
        <v>-1000</v>
      </c>
    </row>
    <row r="3" spans="1:17">
      <c r="A3" s="47" t="s">
        <v>8</v>
      </c>
      <c r="B3" s="160">
        <v>15</v>
      </c>
      <c r="C3" s="161"/>
      <c r="E3" s="55" t="s">
        <v>186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-28.9</v>
      </c>
      <c r="N3" s="100" t="s">
        <v>108</v>
      </c>
      <c r="O3" s="107">
        <f t="shared" si="0"/>
        <v>-6200</v>
      </c>
      <c r="P3" s="104">
        <v>2</v>
      </c>
      <c r="Q3" s="88">
        <v>-12400</v>
      </c>
    </row>
    <row r="4" spans="1:17">
      <c r="A4" s="47" t="s">
        <v>6</v>
      </c>
      <c r="B4" s="162">
        <v>-49</v>
      </c>
      <c r="C4" s="16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-49</v>
      </c>
      <c r="N4" s="100" t="s">
        <v>109</v>
      </c>
      <c r="O4" s="107">
        <f t="shared" si="0"/>
        <v>-1000</v>
      </c>
      <c r="P4" s="104">
        <v>2</v>
      </c>
      <c r="Q4" s="88">
        <v>-2000</v>
      </c>
    </row>
    <row r="5" spans="1:17">
      <c r="A5" s="47" t="s">
        <v>7</v>
      </c>
      <c r="B5" s="164">
        <f>IF(B$2=0,0,B$4/B$2)</f>
        <v>-24.5</v>
      </c>
      <c r="C5" s="16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66">
        <f>IF(B$2=0,0,(B$7*1+B$8*2+B$9*3+B$10*4)/B$2)</f>
        <v>3</v>
      </c>
      <c r="C6" s="167"/>
      <c r="E6" s="55" t="s">
        <v>57</v>
      </c>
      <c r="F6" s="52" t="s">
        <v>189</v>
      </c>
      <c r="G6" s="40">
        <v>0</v>
      </c>
      <c r="H6" s="118">
        <f>IF(B$17=0,0,G6/B$17)</f>
        <v>0</v>
      </c>
      <c r="I6" s="80">
        <v>16</v>
      </c>
      <c r="N6" s="100" t="s">
        <v>110</v>
      </c>
      <c r="O6" s="107">
        <f t="shared" ref="O6" si="1">IF(P6=0,0,Q6/P6)</f>
        <v>-1300</v>
      </c>
      <c r="P6" s="104">
        <v>2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3</v>
      </c>
      <c r="C13" s="38">
        <f>IF(B$3=0,0,B13/B$3)</f>
        <v>0.2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-20.100000000000001</v>
      </c>
      <c r="P14" s="104">
        <v>1</v>
      </c>
      <c r="Q14" s="92">
        <v>-20.100000000000001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-28.9</v>
      </c>
      <c r="P15" s="105">
        <v>1</v>
      </c>
      <c r="Q15" s="93">
        <v>-28.9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187</v>
      </c>
      <c r="F18" s="52" t="s">
        <v>190</v>
      </c>
      <c r="G18" s="40">
        <v>0</v>
      </c>
      <c r="H18" s="118">
        <f>IF(B$17=0,0,G18/B$17)</f>
        <v>0</v>
      </c>
      <c r="I18" s="80">
        <v>5</v>
      </c>
      <c r="N18" s="99" t="s">
        <v>203</v>
      </c>
      <c r="O18" s="109">
        <f>IF(P18=0,0,Q18/P18)</f>
        <v>35.1</v>
      </c>
      <c r="P18" s="103">
        <v>1</v>
      </c>
      <c r="Q18" s="91">
        <v>35.1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-20.8</v>
      </c>
      <c r="P19" s="104">
        <v>1</v>
      </c>
      <c r="Q19" s="92">
        <v>-20.8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167</v>
      </c>
      <c r="O20" s="110">
        <f>IF(P20=0,0,Q20/P20)</f>
        <v>-29.25</v>
      </c>
      <c r="P20" s="104">
        <v>2</v>
      </c>
      <c r="Q20" s="92">
        <v>-58.5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206</v>
      </c>
      <c r="O21" s="110">
        <f>IF(P21=0,0,Q21/P21)</f>
        <v>-50.4</v>
      </c>
      <c r="P21" s="104">
        <v>1</v>
      </c>
      <c r="Q21" s="92">
        <v>-50.4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7</v>
      </c>
      <c r="N22" s="100" t="s">
        <v>173</v>
      </c>
      <c r="O22" s="110">
        <f>IF(P22=0,0,Q22/P22)</f>
        <v>-101.4</v>
      </c>
      <c r="P22" s="104">
        <v>1</v>
      </c>
      <c r="Q22" s="92">
        <v>-101.4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-2450</v>
      </c>
      <c r="C27" s="122">
        <v>-4900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9</v>
      </c>
      <c r="C29" s="120">
        <v>9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54">
        <v>19900</v>
      </c>
      <c r="C31" s="15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4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4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4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4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4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4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45">
        <v>0</v>
      </c>
      <c r="C42" s="33">
        <f t="shared" si="3"/>
        <v>0</v>
      </c>
      <c r="E42" s="55" t="s">
        <v>92</v>
      </c>
      <c r="F42" s="52" t="s">
        <v>191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45">
        <v>0</v>
      </c>
      <c r="C43" s="33">
        <f t="shared" si="3"/>
        <v>0</v>
      </c>
      <c r="E43" s="55" t="s">
        <v>93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45">
        <v>0</v>
      </c>
      <c r="C44" s="33">
        <f t="shared" si="3"/>
        <v>0</v>
      </c>
      <c r="E44" s="55" t="s">
        <v>94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45">
        <v>0</v>
      </c>
      <c r="C45" s="33">
        <f t="shared" si="3"/>
        <v>0</v>
      </c>
      <c r="E45" s="56" t="s">
        <v>188</v>
      </c>
      <c r="F45" s="53" t="s">
        <v>194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4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8203125" style="1" customWidth="1"/>
    <col min="11" max="11" width="3.5" style="5" customWidth="1"/>
    <col min="12" max="12" width="9" style="85" customWidth="1"/>
    <col min="13" max="13" width="3.58203125" style="1" customWidth="1"/>
    <col min="14" max="14" width="9" style="100" customWidth="1"/>
    <col min="15" max="15" width="9" style="110" customWidth="1"/>
    <col min="16" max="16" width="9" style="104" customWidth="1"/>
    <col min="17" max="17" width="3.58203125" style="92" customWidth="1"/>
    <col min="18" max="16384" width="9" style="1"/>
  </cols>
  <sheetData>
    <row r="1" spans="1:17">
      <c r="A1" s="17" t="s">
        <v>0</v>
      </c>
      <c r="B1" s="156"/>
      <c r="C1" s="157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58">
        <v>0</v>
      </c>
      <c r="C2" s="159"/>
      <c r="E2" s="54" t="s">
        <v>185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0">
        <v>0</v>
      </c>
      <c r="C3" s="161"/>
      <c r="E3" s="55" t="s">
        <v>186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2">
        <v>0</v>
      </c>
      <c r="C4" s="163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4">
        <f>IF(B$2=0,0,B$4/B$2)</f>
        <v>0</v>
      </c>
      <c r="C5" s="165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6">
        <f>IF(B$2=0,0,(B$7*1+B$8*2+B$9*3+B$10*4)/B$2)</f>
        <v>0</v>
      </c>
      <c r="C6" s="167"/>
      <c r="E6" s="55" t="s">
        <v>57</v>
      </c>
      <c r="F6" s="52" t="s">
        <v>189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187</v>
      </c>
      <c r="F18" s="52" t="s">
        <v>190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52">
        <v>0</v>
      </c>
      <c r="C30" s="153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54">
        <v>-1000000</v>
      </c>
      <c r="C31" s="155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175</v>
      </c>
      <c r="B34" s="130" t="s">
        <v>176</v>
      </c>
      <c r="C34" s="131" t="s">
        <v>177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191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192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193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188</v>
      </c>
      <c r="F45" s="53" t="s">
        <v>194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1083</vt:i4>
      </vt:variant>
    </vt:vector>
  </HeadingPairs>
  <TitlesOfParts>
    <vt:vector size="110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高橋桜</vt:lpstr>
      <vt:lpstr>多田洋輔</vt:lpstr>
      <vt:lpstr>柳澤颯吾</vt:lpstr>
      <vt:lpstr>石澤巧望</vt:lpstr>
      <vt:lpstr>小原陸哉</vt:lpstr>
      <vt:lpstr>Template</vt:lpstr>
      <vt:lpstr>依田幸憲!アガリ数</vt:lpstr>
      <vt:lpstr>高橋桜!アガリ数</vt:lpstr>
      <vt:lpstr>高野源太!アガリ数</vt:lpstr>
      <vt:lpstr>佐藤成浩!アガリ数</vt:lpstr>
      <vt:lpstr>小原陸哉!アガリ数</vt:lpstr>
      <vt:lpstr>小林郁斗!アガリ数</vt:lpstr>
      <vt:lpstr>松澤亮太!アガリ数</vt:lpstr>
      <vt:lpstr>石澤巧望!アガリ数</vt:lpstr>
      <vt:lpstr>全体!アガリ数</vt:lpstr>
      <vt:lpstr>多田洋輔!アガリ数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柳澤颯吾!アガリ数</vt:lpstr>
      <vt:lpstr>アガリ数</vt:lpstr>
      <vt:lpstr>依田幸憲!アガリ率</vt:lpstr>
      <vt:lpstr>高橋桜!アガリ率</vt:lpstr>
      <vt:lpstr>高野源太!アガリ率</vt:lpstr>
      <vt:lpstr>佐藤成浩!アガリ率</vt:lpstr>
      <vt:lpstr>小原陸哉!アガリ率</vt:lpstr>
      <vt:lpstr>小林郁斗!アガリ率</vt:lpstr>
      <vt:lpstr>松澤亮太!アガリ率</vt:lpstr>
      <vt:lpstr>石澤巧望!アガリ率</vt:lpstr>
      <vt:lpstr>全体!アガリ率</vt:lpstr>
      <vt:lpstr>多田洋輔!アガリ率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柳澤颯吾!アガリ率</vt:lpstr>
      <vt:lpstr>アガリ率</vt:lpstr>
      <vt:lpstr>依田幸憲!ダマアガリ数</vt:lpstr>
      <vt:lpstr>高橋桜!ダマアガリ数</vt:lpstr>
      <vt:lpstr>高野源太!ダマアガリ数</vt:lpstr>
      <vt:lpstr>佐藤成浩!ダマアガリ数</vt:lpstr>
      <vt:lpstr>小原陸哉!ダマアガリ数</vt:lpstr>
      <vt:lpstr>小林郁斗!ダマアガリ数</vt:lpstr>
      <vt:lpstr>松澤亮太!ダマアガリ数</vt:lpstr>
      <vt:lpstr>石澤巧望!ダマアガリ数</vt:lpstr>
      <vt:lpstr>全体!ダマアガリ数</vt:lpstr>
      <vt:lpstr>多田洋輔!ダマアガリ数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柳澤颯吾!ダマアガリ数</vt:lpstr>
      <vt:lpstr>ダマアガリ数</vt:lpstr>
      <vt:lpstr>依田幸憲!ダマアガリ率</vt:lpstr>
      <vt:lpstr>高橋桜!ダマアガリ率</vt:lpstr>
      <vt:lpstr>高野源太!ダマアガリ率</vt:lpstr>
      <vt:lpstr>佐藤成浩!ダマアガリ率</vt:lpstr>
      <vt:lpstr>小原陸哉!ダマアガリ率</vt:lpstr>
      <vt:lpstr>小林郁斗!ダマアガリ率</vt:lpstr>
      <vt:lpstr>松澤亮太!ダマアガリ率</vt:lpstr>
      <vt:lpstr>石澤巧望!ダマアガリ率</vt:lpstr>
      <vt:lpstr>全体!ダマアガリ率</vt:lpstr>
      <vt:lpstr>多田洋輔!ダマアガリ率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柳澤颯吾!ダマアガリ率</vt:lpstr>
      <vt:lpstr>ダマアガリ率</vt:lpstr>
      <vt:lpstr>依田幸憲!チョンボ数</vt:lpstr>
      <vt:lpstr>高橋桜!チョンボ数</vt:lpstr>
      <vt:lpstr>高野源太!チョンボ数</vt:lpstr>
      <vt:lpstr>佐藤成浩!チョンボ数</vt:lpstr>
      <vt:lpstr>小原陸哉!チョンボ数</vt:lpstr>
      <vt:lpstr>小林郁斗!チョンボ数</vt:lpstr>
      <vt:lpstr>松澤亮太!チョンボ数</vt:lpstr>
      <vt:lpstr>石澤巧望!チョンボ数</vt:lpstr>
      <vt:lpstr>全体!チョンボ数</vt:lpstr>
      <vt:lpstr>多田洋輔!チョンボ数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柳澤颯吾!チョンボ数</vt:lpstr>
      <vt:lpstr>チョンボ数</vt:lpstr>
      <vt:lpstr>依田幸憲!チョンボ率</vt:lpstr>
      <vt:lpstr>高橋桜!チョンボ率</vt:lpstr>
      <vt:lpstr>高野源太!チョンボ率</vt:lpstr>
      <vt:lpstr>佐藤成浩!チョンボ率</vt:lpstr>
      <vt:lpstr>小原陸哉!チョンボ率</vt:lpstr>
      <vt:lpstr>小林郁斗!チョンボ率</vt:lpstr>
      <vt:lpstr>松澤亮太!チョンボ率</vt:lpstr>
      <vt:lpstr>石澤巧望!チョンボ率</vt:lpstr>
      <vt:lpstr>全体!チョンボ率</vt:lpstr>
      <vt:lpstr>多田洋輔!チョンボ率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柳澤颯吾!チョンボ率</vt:lpstr>
      <vt:lpstr>チョンボ率</vt:lpstr>
      <vt:lpstr>依田幸憲!ツモ数</vt:lpstr>
      <vt:lpstr>高橋桜!ツモ数</vt:lpstr>
      <vt:lpstr>高野源太!ツモ数</vt:lpstr>
      <vt:lpstr>佐藤成浩!ツモ数</vt:lpstr>
      <vt:lpstr>小原陸哉!ツモ数</vt:lpstr>
      <vt:lpstr>小林郁斗!ツモ数</vt:lpstr>
      <vt:lpstr>松澤亮太!ツモ数</vt:lpstr>
      <vt:lpstr>石澤巧望!ツモ数</vt:lpstr>
      <vt:lpstr>全体!ツモ数</vt:lpstr>
      <vt:lpstr>多田洋輔!ツモ数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柳澤颯吾!ツモ数</vt:lpstr>
      <vt:lpstr>ツモ数</vt:lpstr>
      <vt:lpstr>依田幸憲!ツモ率</vt:lpstr>
      <vt:lpstr>高橋桜!ツモ率</vt:lpstr>
      <vt:lpstr>高野源太!ツモ率</vt:lpstr>
      <vt:lpstr>佐藤成浩!ツモ率</vt:lpstr>
      <vt:lpstr>小原陸哉!ツモ率</vt:lpstr>
      <vt:lpstr>小林郁斗!ツモ率</vt:lpstr>
      <vt:lpstr>松澤亮太!ツモ率</vt:lpstr>
      <vt:lpstr>石澤巧望!ツモ率</vt:lpstr>
      <vt:lpstr>全体!ツモ率</vt:lpstr>
      <vt:lpstr>多田洋輔!ツモ率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柳澤颯吾!ツモ率</vt:lpstr>
      <vt:lpstr>ツモ率</vt:lpstr>
      <vt:lpstr>依田幸憲!トップ数</vt:lpstr>
      <vt:lpstr>高橋桜!トップ数</vt:lpstr>
      <vt:lpstr>高野源太!トップ数</vt:lpstr>
      <vt:lpstr>佐藤成浩!トップ数</vt:lpstr>
      <vt:lpstr>小原陸哉!トップ数</vt:lpstr>
      <vt:lpstr>小林郁斗!トップ数</vt:lpstr>
      <vt:lpstr>松澤亮太!トップ数</vt:lpstr>
      <vt:lpstr>石澤巧望!トップ数</vt:lpstr>
      <vt:lpstr>全体!トップ数</vt:lpstr>
      <vt:lpstr>多田洋輔!トップ数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柳澤颯吾!トップ数</vt:lpstr>
      <vt:lpstr>トップ数</vt:lpstr>
      <vt:lpstr>依田幸憲!トップ率</vt:lpstr>
      <vt:lpstr>高橋桜!トップ率</vt:lpstr>
      <vt:lpstr>高野源太!トップ率</vt:lpstr>
      <vt:lpstr>佐藤成浩!トップ率</vt:lpstr>
      <vt:lpstr>小原陸哉!トップ率</vt:lpstr>
      <vt:lpstr>小林郁斗!トップ率</vt:lpstr>
      <vt:lpstr>松澤亮太!トップ率</vt:lpstr>
      <vt:lpstr>石澤巧望!トップ率</vt:lpstr>
      <vt:lpstr>全体!トップ率</vt:lpstr>
      <vt:lpstr>多田洋輔!トップ率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柳澤颯吾!トップ率</vt:lpstr>
      <vt:lpstr>トップ率</vt:lpstr>
      <vt:lpstr>依田幸憲!ふっとび数</vt:lpstr>
      <vt:lpstr>高橋桜!ふっとび数</vt:lpstr>
      <vt:lpstr>高野源太!ふっとび数</vt:lpstr>
      <vt:lpstr>佐藤成浩!ふっとび数</vt:lpstr>
      <vt:lpstr>小原陸哉!ふっとび数</vt:lpstr>
      <vt:lpstr>小林郁斗!ふっとび数</vt:lpstr>
      <vt:lpstr>松澤亮太!ふっとび数</vt:lpstr>
      <vt:lpstr>石澤巧望!ふっとび数</vt:lpstr>
      <vt:lpstr>全体!ふっとび数</vt:lpstr>
      <vt:lpstr>多田洋輔!ふっとび数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柳澤颯吾!ふっとび数</vt:lpstr>
      <vt:lpstr>ふっとび数</vt:lpstr>
      <vt:lpstr>依田幸憲!ふっとび率</vt:lpstr>
      <vt:lpstr>高橋桜!ふっとび率</vt:lpstr>
      <vt:lpstr>高野源太!ふっとび率</vt:lpstr>
      <vt:lpstr>佐藤成浩!ふっとび率</vt:lpstr>
      <vt:lpstr>小原陸哉!ふっとび率</vt:lpstr>
      <vt:lpstr>小林郁斗!ふっとび率</vt:lpstr>
      <vt:lpstr>松澤亮太!ふっとび率</vt:lpstr>
      <vt:lpstr>石澤巧望!ふっとび率</vt:lpstr>
      <vt:lpstr>全体!ふっとび率</vt:lpstr>
      <vt:lpstr>多田洋輔!ふっとび率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柳澤颯吾!ふっとび率</vt:lpstr>
      <vt:lpstr>ふっとび率</vt:lpstr>
      <vt:lpstr>依田幸憲!ラス数</vt:lpstr>
      <vt:lpstr>高橋桜!ラス数</vt:lpstr>
      <vt:lpstr>高野源太!ラス数</vt:lpstr>
      <vt:lpstr>佐藤成浩!ラス数</vt:lpstr>
      <vt:lpstr>小原陸哉!ラス数</vt:lpstr>
      <vt:lpstr>小林郁斗!ラス数</vt:lpstr>
      <vt:lpstr>松澤亮太!ラス数</vt:lpstr>
      <vt:lpstr>石澤巧望!ラス数</vt:lpstr>
      <vt:lpstr>全体!ラス数</vt:lpstr>
      <vt:lpstr>多田洋輔!ラス数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柳澤颯吾!ラス数</vt:lpstr>
      <vt:lpstr>ラス数</vt:lpstr>
      <vt:lpstr>依田幸憲!ラス率</vt:lpstr>
      <vt:lpstr>高橋桜!ラス率</vt:lpstr>
      <vt:lpstr>高野源太!ラス率</vt:lpstr>
      <vt:lpstr>佐藤成浩!ラス率</vt:lpstr>
      <vt:lpstr>小原陸哉!ラス率</vt:lpstr>
      <vt:lpstr>小林郁斗!ラス率</vt:lpstr>
      <vt:lpstr>松澤亮太!ラス率</vt:lpstr>
      <vt:lpstr>石澤巧望!ラス率</vt:lpstr>
      <vt:lpstr>全体!ラス率</vt:lpstr>
      <vt:lpstr>多田洋輔!ラス率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柳澤颯吾!ラス率</vt:lpstr>
      <vt:lpstr>ラス率</vt:lpstr>
      <vt:lpstr>依田幸憲!リーチアガリ数</vt:lpstr>
      <vt:lpstr>高橋桜!リーチアガリ数</vt:lpstr>
      <vt:lpstr>高野源太!リーチアガリ数</vt:lpstr>
      <vt:lpstr>佐藤成浩!リーチアガリ数</vt:lpstr>
      <vt:lpstr>小原陸哉!リーチアガリ数</vt:lpstr>
      <vt:lpstr>小林郁斗!リーチアガリ数</vt:lpstr>
      <vt:lpstr>松澤亮太!リーチアガリ数</vt:lpstr>
      <vt:lpstr>石澤巧望!リーチアガリ数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柳澤颯吾!リーチアガリ数</vt:lpstr>
      <vt:lpstr>リーチアガリ数</vt:lpstr>
      <vt:lpstr>依田幸憲!リーチアガリ率</vt:lpstr>
      <vt:lpstr>高橋桜!リーチアガリ率</vt:lpstr>
      <vt:lpstr>高野源太!リーチアガリ率</vt:lpstr>
      <vt:lpstr>佐藤成浩!リーチアガリ率</vt:lpstr>
      <vt:lpstr>小原陸哉!リーチアガリ率</vt:lpstr>
      <vt:lpstr>小林郁斗!リーチアガリ率</vt:lpstr>
      <vt:lpstr>松澤亮太!リーチアガリ率</vt:lpstr>
      <vt:lpstr>石澤巧望!リーチアガリ率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柳澤颯吾!リーチアガリ率</vt:lpstr>
      <vt:lpstr>リーチアガリ率</vt:lpstr>
      <vt:lpstr>依田幸憲!リーチ数</vt:lpstr>
      <vt:lpstr>高橋桜!リーチ数</vt:lpstr>
      <vt:lpstr>高野源太!リーチ数</vt:lpstr>
      <vt:lpstr>佐藤成浩!リーチ数</vt:lpstr>
      <vt:lpstr>小原陸哉!リーチ数</vt:lpstr>
      <vt:lpstr>小林郁斗!リーチ数</vt:lpstr>
      <vt:lpstr>松澤亮太!リーチ数</vt:lpstr>
      <vt:lpstr>石澤巧望!リーチ数</vt:lpstr>
      <vt:lpstr>全体!リーチ数</vt:lpstr>
      <vt:lpstr>多田洋輔!リーチ数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柳澤颯吾!リーチ数</vt:lpstr>
      <vt:lpstr>リーチ数</vt:lpstr>
      <vt:lpstr>依田幸憲!リーチ成功数</vt:lpstr>
      <vt:lpstr>高橋桜!リーチ成功数</vt:lpstr>
      <vt:lpstr>高野源太!リーチ成功数</vt:lpstr>
      <vt:lpstr>佐藤成浩!リーチ成功数</vt:lpstr>
      <vt:lpstr>小原陸哉!リーチ成功数</vt:lpstr>
      <vt:lpstr>小林郁斗!リーチ成功数</vt:lpstr>
      <vt:lpstr>松澤亮太!リーチ成功数</vt:lpstr>
      <vt:lpstr>石澤巧望!リーチ成功数</vt:lpstr>
      <vt:lpstr>全体!リーチ成功数</vt:lpstr>
      <vt:lpstr>多田洋輔!リーチ成功数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柳澤颯吾!リーチ成功数</vt:lpstr>
      <vt:lpstr>リーチ成功数</vt:lpstr>
      <vt:lpstr>依田幸憲!リーチ成功率</vt:lpstr>
      <vt:lpstr>高橋桜!リーチ成功率</vt:lpstr>
      <vt:lpstr>高野源太!リーチ成功率</vt:lpstr>
      <vt:lpstr>佐藤成浩!リーチ成功率</vt:lpstr>
      <vt:lpstr>小原陸哉!リーチ成功率</vt:lpstr>
      <vt:lpstr>小林郁斗!リーチ成功率</vt:lpstr>
      <vt:lpstr>松澤亮太!リーチ成功率</vt:lpstr>
      <vt:lpstr>石澤巧望!リーチ成功率</vt:lpstr>
      <vt:lpstr>全体!リーチ成功率</vt:lpstr>
      <vt:lpstr>多田洋輔!リーチ成功率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柳澤颯吾!リーチ成功率</vt:lpstr>
      <vt:lpstr>リーチ成功率</vt:lpstr>
      <vt:lpstr>依田幸憲!リーチ率</vt:lpstr>
      <vt:lpstr>高橋桜!リーチ率</vt:lpstr>
      <vt:lpstr>高野源太!リーチ率</vt:lpstr>
      <vt:lpstr>佐藤成浩!リーチ率</vt:lpstr>
      <vt:lpstr>小原陸哉!リーチ率</vt:lpstr>
      <vt:lpstr>小林郁斗!リーチ率</vt:lpstr>
      <vt:lpstr>松澤亮太!リーチ率</vt:lpstr>
      <vt:lpstr>石澤巧望!リーチ率</vt:lpstr>
      <vt:lpstr>全体!リーチ率</vt:lpstr>
      <vt:lpstr>多田洋輔!リーチ率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柳澤颯吾!リーチ率</vt:lpstr>
      <vt:lpstr>リーチ率</vt:lpstr>
      <vt:lpstr>依田幸憲!ロン数</vt:lpstr>
      <vt:lpstr>高橋桜!ロン数</vt:lpstr>
      <vt:lpstr>高野源太!ロン数</vt:lpstr>
      <vt:lpstr>佐藤成浩!ロン数</vt:lpstr>
      <vt:lpstr>小原陸哉!ロン数</vt:lpstr>
      <vt:lpstr>小林郁斗!ロン数</vt:lpstr>
      <vt:lpstr>松澤亮太!ロン数</vt:lpstr>
      <vt:lpstr>石澤巧望!ロン数</vt:lpstr>
      <vt:lpstr>全体!ロン数</vt:lpstr>
      <vt:lpstr>多田洋輔!ロン数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柳澤颯吾!ロン数</vt:lpstr>
      <vt:lpstr>ロン数</vt:lpstr>
      <vt:lpstr>依田幸憲!ロン率</vt:lpstr>
      <vt:lpstr>高橋桜!ロン率</vt:lpstr>
      <vt:lpstr>高野源太!ロン率</vt:lpstr>
      <vt:lpstr>佐藤成浩!ロン率</vt:lpstr>
      <vt:lpstr>小原陸哉!ロン率</vt:lpstr>
      <vt:lpstr>小林郁斗!ロン率</vt:lpstr>
      <vt:lpstr>松澤亮太!ロン率</vt:lpstr>
      <vt:lpstr>石澤巧望!ロン率</vt:lpstr>
      <vt:lpstr>全体!ロン率</vt:lpstr>
      <vt:lpstr>多田洋輔!ロン率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柳澤颯吾!ロン率</vt:lpstr>
      <vt:lpstr>ロン率</vt:lpstr>
      <vt:lpstr>依田幸憲!現行連続アガリ</vt:lpstr>
      <vt:lpstr>高橋桜!現行連続アガリ</vt:lpstr>
      <vt:lpstr>高野源太!現行連続アガリ</vt:lpstr>
      <vt:lpstr>佐藤成浩!現行連続アガリ</vt:lpstr>
      <vt:lpstr>小原陸哉!現行連続アガリ</vt:lpstr>
      <vt:lpstr>小林郁斗!現行連続アガリ</vt:lpstr>
      <vt:lpstr>松澤亮太!現行連続アガリ</vt:lpstr>
      <vt:lpstr>石澤巧望!現行連続アガリ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柳澤颯吾!現行連続アガリ</vt:lpstr>
      <vt:lpstr>現行連続アガリ</vt:lpstr>
      <vt:lpstr>依田幸憲!現行連続無放銃</vt:lpstr>
      <vt:lpstr>高橋桜!現行連続無放銃</vt:lpstr>
      <vt:lpstr>高野源太!現行連続無放銃</vt:lpstr>
      <vt:lpstr>佐藤成浩!現行連続無放銃</vt:lpstr>
      <vt:lpstr>小原陸哉!現行連続無放銃</vt:lpstr>
      <vt:lpstr>小林郁斗!現行連続無放銃</vt:lpstr>
      <vt:lpstr>松澤亮太!現行連続無放銃</vt:lpstr>
      <vt:lpstr>石澤巧望!現行連続無放銃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柳澤颯吾!現行連続無放銃</vt:lpstr>
      <vt:lpstr>現行連続無放銃</vt:lpstr>
      <vt:lpstr>依田幸憲!最高点</vt:lpstr>
      <vt:lpstr>高橋桜!最高点</vt:lpstr>
      <vt:lpstr>高野源太!最高点</vt:lpstr>
      <vt:lpstr>佐藤成浩!最高点</vt:lpstr>
      <vt:lpstr>小原陸哉!最高点</vt:lpstr>
      <vt:lpstr>小林郁斗!最高点</vt:lpstr>
      <vt:lpstr>松澤亮太!最高点</vt:lpstr>
      <vt:lpstr>石澤巧望!最高点</vt:lpstr>
      <vt:lpstr>全体!最高点</vt:lpstr>
      <vt:lpstr>多田洋輔!最高点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柳澤颯吾!最高点</vt:lpstr>
      <vt:lpstr>最高点</vt:lpstr>
      <vt:lpstr>依田幸憲!最大ドラ数</vt:lpstr>
      <vt:lpstr>高橋桜!最大ドラ数</vt:lpstr>
      <vt:lpstr>高野源太!最大ドラ数</vt:lpstr>
      <vt:lpstr>佐藤成浩!最大ドラ数</vt:lpstr>
      <vt:lpstr>小原陸哉!最大ドラ数</vt:lpstr>
      <vt:lpstr>小林郁斗!最大ドラ数</vt:lpstr>
      <vt:lpstr>松澤亮太!最大ドラ数</vt:lpstr>
      <vt:lpstr>石澤巧望!最大ドラ数</vt:lpstr>
      <vt:lpstr>全体!最大ドラ数</vt:lpstr>
      <vt:lpstr>多田洋輔!最大ドラ数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柳澤颯吾!最大ドラ数</vt:lpstr>
      <vt:lpstr>最大ドラ数</vt:lpstr>
      <vt:lpstr>依田幸憲!最大点数</vt:lpstr>
      <vt:lpstr>高橋桜!最大点数</vt:lpstr>
      <vt:lpstr>高野源太!最大点数</vt:lpstr>
      <vt:lpstr>佐藤成浩!最大点数</vt:lpstr>
      <vt:lpstr>小原陸哉!最大点数</vt:lpstr>
      <vt:lpstr>小林郁斗!最大点数</vt:lpstr>
      <vt:lpstr>松澤亮太!最大点数</vt:lpstr>
      <vt:lpstr>石澤巧望!最大点数</vt:lpstr>
      <vt:lpstr>全体!最大点数</vt:lpstr>
      <vt:lpstr>多田洋輔!最大点数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柳澤颯吾!最大点数</vt:lpstr>
      <vt:lpstr>最大点数</vt:lpstr>
      <vt:lpstr>依田幸憲!三位数</vt:lpstr>
      <vt:lpstr>高橋桜!三位数</vt:lpstr>
      <vt:lpstr>高野源太!三位数</vt:lpstr>
      <vt:lpstr>佐藤成浩!三位数</vt:lpstr>
      <vt:lpstr>小原陸哉!三位数</vt:lpstr>
      <vt:lpstr>小林郁斗!三位数</vt:lpstr>
      <vt:lpstr>松澤亮太!三位数</vt:lpstr>
      <vt:lpstr>石澤巧望!三位数</vt:lpstr>
      <vt:lpstr>全体!三位数</vt:lpstr>
      <vt:lpstr>多田洋輔!三位数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柳澤颯吾!三位数</vt:lpstr>
      <vt:lpstr>三位数</vt:lpstr>
      <vt:lpstr>依田幸憲!三位率</vt:lpstr>
      <vt:lpstr>高橋桜!三位率</vt:lpstr>
      <vt:lpstr>高野源太!三位率</vt:lpstr>
      <vt:lpstr>佐藤成浩!三位率</vt:lpstr>
      <vt:lpstr>小原陸哉!三位率</vt:lpstr>
      <vt:lpstr>小林郁斗!三位率</vt:lpstr>
      <vt:lpstr>松澤亮太!三位率</vt:lpstr>
      <vt:lpstr>石澤巧望!三位率</vt:lpstr>
      <vt:lpstr>全体!三位率</vt:lpstr>
      <vt:lpstr>多田洋輔!三位率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柳澤颯吾!三位率</vt:lpstr>
      <vt:lpstr>三位率</vt:lpstr>
      <vt:lpstr>依田幸憲!総局数</vt:lpstr>
      <vt:lpstr>高橋桜!総局数</vt:lpstr>
      <vt:lpstr>高野源太!総局数</vt:lpstr>
      <vt:lpstr>佐藤成浩!総局数</vt:lpstr>
      <vt:lpstr>小原陸哉!総局数</vt:lpstr>
      <vt:lpstr>小林郁斗!総局数</vt:lpstr>
      <vt:lpstr>松澤亮太!総局数</vt:lpstr>
      <vt:lpstr>石澤巧望!総局数</vt:lpstr>
      <vt:lpstr>全体!総局数</vt:lpstr>
      <vt:lpstr>多田洋輔!総局数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柳澤颯吾!総局数</vt:lpstr>
      <vt:lpstr>総局数</vt:lpstr>
      <vt:lpstr>依田幸憲!対戦数</vt:lpstr>
      <vt:lpstr>高橋桜!対戦数</vt:lpstr>
      <vt:lpstr>高野源太!対戦数</vt:lpstr>
      <vt:lpstr>佐藤成浩!対戦数</vt:lpstr>
      <vt:lpstr>小原陸哉!対戦数</vt:lpstr>
      <vt:lpstr>小林郁斗!対戦数</vt:lpstr>
      <vt:lpstr>松澤亮太!対戦数</vt:lpstr>
      <vt:lpstr>石澤巧望!対戦数</vt:lpstr>
      <vt:lpstr>全体!対戦数</vt:lpstr>
      <vt:lpstr>多田洋輔!対戦数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柳澤颯吾!対戦数</vt:lpstr>
      <vt:lpstr>対戦数</vt:lpstr>
      <vt:lpstr>依田幸憲!通算アガリ点</vt:lpstr>
      <vt:lpstr>高橋桜!通算アガリ点</vt:lpstr>
      <vt:lpstr>高野源太!通算アガリ点</vt:lpstr>
      <vt:lpstr>佐藤成浩!通算アガリ点</vt:lpstr>
      <vt:lpstr>小原陸哉!通算アガリ点</vt:lpstr>
      <vt:lpstr>小林郁斗!通算アガリ点</vt:lpstr>
      <vt:lpstr>松澤亮太!通算アガリ点</vt:lpstr>
      <vt:lpstr>石澤巧望!通算アガリ点</vt:lpstr>
      <vt:lpstr>全体!通算アガリ点</vt:lpstr>
      <vt:lpstr>多田洋輔!通算アガリ点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柳澤颯吾!通算アガリ点</vt:lpstr>
      <vt:lpstr>通算アガリ点</vt:lpstr>
      <vt:lpstr>依田幸憲!通算スコア</vt:lpstr>
      <vt:lpstr>高橋桜!通算スコア</vt:lpstr>
      <vt:lpstr>高野源太!通算スコア</vt:lpstr>
      <vt:lpstr>佐藤成浩!通算スコア</vt:lpstr>
      <vt:lpstr>小原陸哉!通算スコア</vt:lpstr>
      <vt:lpstr>小林郁斗!通算スコア</vt:lpstr>
      <vt:lpstr>松澤亮太!通算スコア</vt:lpstr>
      <vt:lpstr>石澤巧望!通算スコア</vt:lpstr>
      <vt:lpstr>全体!通算スコア</vt:lpstr>
      <vt:lpstr>多田洋輔!通算スコア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柳澤颯吾!通算スコア</vt:lpstr>
      <vt:lpstr>通算スコア</vt:lpstr>
      <vt:lpstr>依田幸憲!通算副露アガリ点</vt:lpstr>
      <vt:lpstr>高橋桜!通算副露アガリ点</vt:lpstr>
      <vt:lpstr>高野源太!通算副露アガリ点</vt:lpstr>
      <vt:lpstr>佐藤成浩!通算副露アガリ点</vt:lpstr>
      <vt:lpstr>小原陸哉!通算副露アガリ点</vt:lpstr>
      <vt:lpstr>小林郁斗!通算副露アガリ点</vt:lpstr>
      <vt:lpstr>松澤亮太!通算副露アガリ点</vt:lpstr>
      <vt:lpstr>石澤巧望!通算副露アガリ点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柳澤颯吾!通算副露アガリ点</vt:lpstr>
      <vt:lpstr>通算副露アガリ点</vt:lpstr>
      <vt:lpstr>依田幸憲!通算放銃点</vt:lpstr>
      <vt:lpstr>高橋桜!通算放銃点</vt:lpstr>
      <vt:lpstr>高野源太!通算放銃点</vt:lpstr>
      <vt:lpstr>佐藤成浩!通算放銃点</vt:lpstr>
      <vt:lpstr>小原陸哉!通算放銃点</vt:lpstr>
      <vt:lpstr>小林郁斗!通算放銃点</vt:lpstr>
      <vt:lpstr>松澤亮太!通算放銃点</vt:lpstr>
      <vt:lpstr>石澤巧望!通算放銃点</vt:lpstr>
      <vt:lpstr>全体!通算放銃点</vt:lpstr>
      <vt:lpstr>多田洋輔!通算放銃点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柳澤颯吾!通算放銃点</vt:lpstr>
      <vt:lpstr>通算放銃点</vt:lpstr>
      <vt:lpstr>依田幸憲!通算門前アガリ点</vt:lpstr>
      <vt:lpstr>高橋桜!通算門前アガリ点</vt:lpstr>
      <vt:lpstr>高野源太!通算門前アガリ点</vt:lpstr>
      <vt:lpstr>佐藤成浩!通算門前アガリ点</vt:lpstr>
      <vt:lpstr>小原陸哉!通算門前アガリ点</vt:lpstr>
      <vt:lpstr>小林郁斗!通算門前アガリ点</vt:lpstr>
      <vt:lpstr>松澤亮太!通算門前アガリ点</vt:lpstr>
      <vt:lpstr>石澤巧望!通算門前アガリ点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柳澤颯吾!通算門前アガリ点</vt:lpstr>
      <vt:lpstr>通算門前アガリ点</vt:lpstr>
      <vt:lpstr>依田幸憲!二位数</vt:lpstr>
      <vt:lpstr>高橋桜!二位数</vt:lpstr>
      <vt:lpstr>高野源太!二位数</vt:lpstr>
      <vt:lpstr>佐藤成浩!二位数</vt:lpstr>
      <vt:lpstr>小原陸哉!二位数</vt:lpstr>
      <vt:lpstr>小林郁斗!二位数</vt:lpstr>
      <vt:lpstr>松澤亮太!二位数</vt:lpstr>
      <vt:lpstr>石澤巧望!二位数</vt:lpstr>
      <vt:lpstr>全体!二位数</vt:lpstr>
      <vt:lpstr>多田洋輔!二位数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柳澤颯吾!二位数</vt:lpstr>
      <vt:lpstr>二位数</vt:lpstr>
      <vt:lpstr>依田幸憲!二位率</vt:lpstr>
      <vt:lpstr>高橋桜!二位率</vt:lpstr>
      <vt:lpstr>高野源太!二位率</vt:lpstr>
      <vt:lpstr>佐藤成浩!二位率</vt:lpstr>
      <vt:lpstr>小原陸哉!二位率</vt:lpstr>
      <vt:lpstr>小林郁斗!二位率</vt:lpstr>
      <vt:lpstr>松澤亮太!二位率</vt:lpstr>
      <vt:lpstr>石澤巧望!二位率</vt:lpstr>
      <vt:lpstr>全体!二位率</vt:lpstr>
      <vt:lpstr>多田洋輔!二位率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柳澤颯吾!二位率</vt:lpstr>
      <vt:lpstr>二位率</vt:lpstr>
      <vt:lpstr>依田幸憲!副露アガリ数</vt:lpstr>
      <vt:lpstr>高橋桜!副露アガリ数</vt:lpstr>
      <vt:lpstr>高野源太!副露アガリ数</vt:lpstr>
      <vt:lpstr>佐藤成浩!副露アガリ数</vt:lpstr>
      <vt:lpstr>小原陸哉!副露アガリ数</vt:lpstr>
      <vt:lpstr>小林郁斗!副露アガリ数</vt:lpstr>
      <vt:lpstr>松澤亮太!副露アガリ数</vt:lpstr>
      <vt:lpstr>石澤巧望!副露アガリ数</vt:lpstr>
      <vt:lpstr>全体!副露アガリ数</vt:lpstr>
      <vt:lpstr>多田洋輔!副露アガリ数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柳澤颯吾!副露アガリ数</vt:lpstr>
      <vt:lpstr>副露アガリ数</vt:lpstr>
      <vt:lpstr>依田幸憲!副露アガリ点</vt:lpstr>
      <vt:lpstr>高橋桜!副露アガリ点</vt:lpstr>
      <vt:lpstr>高野源太!副露アガリ点</vt:lpstr>
      <vt:lpstr>佐藤成浩!副露アガリ点</vt:lpstr>
      <vt:lpstr>小原陸哉!副露アガリ点</vt:lpstr>
      <vt:lpstr>小林郁斗!副露アガリ点</vt:lpstr>
      <vt:lpstr>松澤亮太!副露アガリ点</vt:lpstr>
      <vt:lpstr>石澤巧望!副露アガリ点</vt:lpstr>
      <vt:lpstr>全体!副露アガリ点</vt:lpstr>
      <vt:lpstr>多田洋輔!副露アガリ点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柳澤颯吾!副露アガリ点</vt:lpstr>
      <vt:lpstr>副露アガリ点</vt:lpstr>
      <vt:lpstr>依田幸憲!副露アガリ率</vt:lpstr>
      <vt:lpstr>高橋桜!副露アガリ率</vt:lpstr>
      <vt:lpstr>高野源太!副露アガリ率</vt:lpstr>
      <vt:lpstr>佐藤成浩!副露アガリ率</vt:lpstr>
      <vt:lpstr>小原陸哉!副露アガリ率</vt:lpstr>
      <vt:lpstr>小林郁斗!副露アガリ率</vt:lpstr>
      <vt:lpstr>松澤亮太!副露アガリ率</vt:lpstr>
      <vt:lpstr>石澤巧望!副露アガリ率</vt:lpstr>
      <vt:lpstr>全体!副露アガリ率</vt:lpstr>
      <vt:lpstr>多田洋輔!副露アガリ率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柳澤颯吾!副露アガリ率</vt:lpstr>
      <vt:lpstr>副露アガリ率</vt:lpstr>
      <vt:lpstr>依田幸憲!副露数</vt:lpstr>
      <vt:lpstr>高橋桜!副露数</vt:lpstr>
      <vt:lpstr>高野源太!副露数</vt:lpstr>
      <vt:lpstr>佐藤成浩!副露数</vt:lpstr>
      <vt:lpstr>小原陸哉!副露数</vt:lpstr>
      <vt:lpstr>小林郁斗!副露数</vt:lpstr>
      <vt:lpstr>松澤亮太!副露数</vt:lpstr>
      <vt:lpstr>石澤巧望!副露数</vt:lpstr>
      <vt:lpstr>全体!副露数</vt:lpstr>
      <vt:lpstr>多田洋輔!副露数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柳澤颯吾!副露数</vt:lpstr>
      <vt:lpstr>副露数</vt:lpstr>
      <vt:lpstr>依田幸憲!副露成功数</vt:lpstr>
      <vt:lpstr>高橋桜!副露成功数</vt:lpstr>
      <vt:lpstr>高野源太!副露成功数</vt:lpstr>
      <vt:lpstr>佐藤成浩!副露成功数</vt:lpstr>
      <vt:lpstr>小原陸哉!副露成功数</vt:lpstr>
      <vt:lpstr>小林郁斗!副露成功数</vt:lpstr>
      <vt:lpstr>松澤亮太!副露成功数</vt:lpstr>
      <vt:lpstr>石澤巧望!副露成功数</vt:lpstr>
      <vt:lpstr>全体!副露成功数</vt:lpstr>
      <vt:lpstr>多田洋輔!副露成功数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柳澤颯吾!副露成功数</vt:lpstr>
      <vt:lpstr>副露成功数</vt:lpstr>
      <vt:lpstr>依田幸憲!副露成功率</vt:lpstr>
      <vt:lpstr>高橋桜!副露成功率</vt:lpstr>
      <vt:lpstr>高野源太!副露成功率</vt:lpstr>
      <vt:lpstr>佐藤成浩!副露成功率</vt:lpstr>
      <vt:lpstr>小原陸哉!副露成功率</vt:lpstr>
      <vt:lpstr>小林郁斗!副露成功率</vt:lpstr>
      <vt:lpstr>松澤亮太!副露成功率</vt:lpstr>
      <vt:lpstr>石澤巧望!副露成功率</vt:lpstr>
      <vt:lpstr>全体!副露成功率</vt:lpstr>
      <vt:lpstr>多田洋輔!副露成功率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柳澤颯吾!副露成功率</vt:lpstr>
      <vt:lpstr>副露成功率</vt:lpstr>
      <vt:lpstr>依田幸憲!副露率</vt:lpstr>
      <vt:lpstr>高橋桜!副露率</vt:lpstr>
      <vt:lpstr>高野源太!副露率</vt:lpstr>
      <vt:lpstr>佐藤成浩!副露率</vt:lpstr>
      <vt:lpstr>小原陸哉!副露率</vt:lpstr>
      <vt:lpstr>小林郁斗!副露率</vt:lpstr>
      <vt:lpstr>松澤亮太!副露率</vt:lpstr>
      <vt:lpstr>石澤巧望!副露率</vt:lpstr>
      <vt:lpstr>全体!副露率</vt:lpstr>
      <vt:lpstr>多田洋輔!副露率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柳澤颯吾!副露率</vt:lpstr>
      <vt:lpstr>副露率</vt:lpstr>
      <vt:lpstr>依田幸憲!平均アガリ点</vt:lpstr>
      <vt:lpstr>高橋桜!平均アガリ点</vt:lpstr>
      <vt:lpstr>高野源太!平均アガリ点</vt:lpstr>
      <vt:lpstr>佐藤成浩!平均アガリ点</vt:lpstr>
      <vt:lpstr>小原陸哉!平均アガリ点</vt:lpstr>
      <vt:lpstr>小林郁斗!平均アガリ点</vt:lpstr>
      <vt:lpstr>松澤亮太!平均アガリ点</vt:lpstr>
      <vt:lpstr>石澤巧望!平均アガリ点</vt:lpstr>
      <vt:lpstr>全体!平均アガリ点</vt:lpstr>
      <vt:lpstr>多田洋輔!平均アガリ点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柳澤颯吾!平均アガリ点</vt:lpstr>
      <vt:lpstr>平均アガリ点</vt:lpstr>
      <vt:lpstr>依田幸憲!平均スコア</vt:lpstr>
      <vt:lpstr>高橋桜!平均スコア</vt:lpstr>
      <vt:lpstr>高野源太!平均スコア</vt:lpstr>
      <vt:lpstr>佐藤成浩!平均スコア</vt:lpstr>
      <vt:lpstr>小原陸哉!平均スコア</vt:lpstr>
      <vt:lpstr>小林郁斗!平均スコア</vt:lpstr>
      <vt:lpstr>松澤亮太!平均スコア</vt:lpstr>
      <vt:lpstr>石澤巧望!平均スコア</vt:lpstr>
      <vt:lpstr>全体!平均スコア</vt:lpstr>
      <vt:lpstr>多田洋輔!平均スコア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柳澤颯吾!平均スコア</vt:lpstr>
      <vt:lpstr>平均スコア</vt:lpstr>
      <vt:lpstr>依田幸憲!平均順位</vt:lpstr>
      <vt:lpstr>高橋桜!平均順位</vt:lpstr>
      <vt:lpstr>高野源太!平均順位</vt:lpstr>
      <vt:lpstr>佐藤成浩!平均順位</vt:lpstr>
      <vt:lpstr>小原陸哉!平均順位</vt:lpstr>
      <vt:lpstr>小林郁斗!平均順位</vt:lpstr>
      <vt:lpstr>松澤亮太!平均順位</vt:lpstr>
      <vt:lpstr>石澤巧望!平均順位</vt:lpstr>
      <vt:lpstr>全体!平均順位</vt:lpstr>
      <vt:lpstr>多田洋輔!平均順位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柳澤颯吾!平均順位</vt:lpstr>
      <vt:lpstr>平均順位</vt:lpstr>
      <vt:lpstr>依田幸憲!平均放銃点</vt:lpstr>
      <vt:lpstr>高橋桜!平均放銃点</vt:lpstr>
      <vt:lpstr>高野源太!平均放銃点</vt:lpstr>
      <vt:lpstr>佐藤成浩!平均放銃点</vt:lpstr>
      <vt:lpstr>小原陸哉!平均放銃点</vt:lpstr>
      <vt:lpstr>小林郁斗!平均放銃点</vt:lpstr>
      <vt:lpstr>松澤亮太!平均放銃点</vt:lpstr>
      <vt:lpstr>石澤巧望!平均放銃点</vt:lpstr>
      <vt:lpstr>全体!平均放銃点</vt:lpstr>
      <vt:lpstr>多田洋輔!平均放銃点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柳澤颯吾!平均放銃点</vt:lpstr>
      <vt:lpstr>平均放銃点</vt:lpstr>
      <vt:lpstr>依田幸憲!放銃数</vt:lpstr>
      <vt:lpstr>高橋桜!放銃数</vt:lpstr>
      <vt:lpstr>高野源太!放銃数</vt:lpstr>
      <vt:lpstr>佐藤成浩!放銃数</vt:lpstr>
      <vt:lpstr>小原陸哉!放銃数</vt:lpstr>
      <vt:lpstr>小林郁斗!放銃数</vt:lpstr>
      <vt:lpstr>松澤亮太!放銃数</vt:lpstr>
      <vt:lpstr>石澤巧望!放銃数</vt:lpstr>
      <vt:lpstr>全体!放銃数</vt:lpstr>
      <vt:lpstr>多田洋輔!放銃数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柳澤颯吾!放銃数</vt:lpstr>
      <vt:lpstr>放銃数</vt:lpstr>
      <vt:lpstr>依田幸憲!放銃率</vt:lpstr>
      <vt:lpstr>高橋桜!放銃率</vt:lpstr>
      <vt:lpstr>高野源太!放銃率</vt:lpstr>
      <vt:lpstr>佐藤成浩!放銃率</vt:lpstr>
      <vt:lpstr>小原陸哉!放銃率</vt:lpstr>
      <vt:lpstr>小林郁斗!放銃率</vt:lpstr>
      <vt:lpstr>松澤亮太!放銃率</vt:lpstr>
      <vt:lpstr>石澤巧望!放銃率</vt:lpstr>
      <vt:lpstr>全体!放銃率</vt:lpstr>
      <vt:lpstr>多田洋輔!放銃率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柳澤颯吾!放銃率</vt:lpstr>
      <vt:lpstr>放銃率</vt:lpstr>
      <vt:lpstr>依田幸憲!名前</vt:lpstr>
      <vt:lpstr>高橋桜!名前</vt:lpstr>
      <vt:lpstr>高野源太!名前</vt:lpstr>
      <vt:lpstr>佐藤成浩!名前</vt:lpstr>
      <vt:lpstr>小原陸哉!名前</vt:lpstr>
      <vt:lpstr>小林郁斗!名前</vt:lpstr>
      <vt:lpstr>松澤亮太!名前</vt:lpstr>
      <vt:lpstr>石澤巧望!名前</vt:lpstr>
      <vt:lpstr>全体!名前</vt:lpstr>
      <vt:lpstr>多田洋輔!名前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柳澤颯吾!名前</vt:lpstr>
      <vt:lpstr>名前</vt:lpstr>
      <vt:lpstr>依田幸憲!門前アガリ点</vt:lpstr>
      <vt:lpstr>高橋桜!門前アガリ点</vt:lpstr>
      <vt:lpstr>高野源太!門前アガリ点</vt:lpstr>
      <vt:lpstr>佐藤成浩!門前アガリ点</vt:lpstr>
      <vt:lpstr>小原陸哉!門前アガリ点</vt:lpstr>
      <vt:lpstr>小林郁斗!門前アガリ点</vt:lpstr>
      <vt:lpstr>松澤亮太!門前アガリ点</vt:lpstr>
      <vt:lpstr>石澤巧望!門前アガリ点</vt:lpstr>
      <vt:lpstr>全体!門前アガリ点</vt:lpstr>
      <vt:lpstr>多田洋輔!門前アガリ点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柳澤颯吾!門前アガリ点</vt:lpstr>
      <vt:lpstr>門前アガリ点</vt:lpstr>
      <vt:lpstr>依田幸憲!連続アガリ</vt:lpstr>
      <vt:lpstr>高橋桜!連続アガリ</vt:lpstr>
      <vt:lpstr>高野源太!連続アガリ</vt:lpstr>
      <vt:lpstr>佐藤成浩!連続アガリ</vt:lpstr>
      <vt:lpstr>小原陸哉!連続アガリ</vt:lpstr>
      <vt:lpstr>小林郁斗!連続アガリ</vt:lpstr>
      <vt:lpstr>松澤亮太!連続アガリ</vt:lpstr>
      <vt:lpstr>石澤巧望!連続アガリ</vt:lpstr>
      <vt:lpstr>全体!連続アガリ</vt:lpstr>
      <vt:lpstr>多田洋輔!連続アガリ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柳澤颯吾!連続アガリ</vt:lpstr>
      <vt:lpstr>連続アガリ</vt:lpstr>
      <vt:lpstr>依田幸憲!連続無放銃</vt:lpstr>
      <vt:lpstr>高橋桜!連続無放銃</vt:lpstr>
      <vt:lpstr>高野源太!連続無放銃</vt:lpstr>
      <vt:lpstr>佐藤成浩!連続無放銃</vt:lpstr>
      <vt:lpstr>小原陸哉!連続無放銃</vt:lpstr>
      <vt:lpstr>小林郁斗!連続無放銃</vt:lpstr>
      <vt:lpstr>松澤亮太!連続無放銃</vt:lpstr>
      <vt:lpstr>石澤巧望!連続無放銃</vt:lpstr>
      <vt:lpstr>全体!連続無放銃</vt:lpstr>
      <vt:lpstr>多田洋輔!連続無放銃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柳澤颯吾!連続無放銃</vt:lpstr>
      <vt:lpstr>連続無放銃</vt:lpstr>
      <vt:lpstr>依田幸憲!連対数</vt:lpstr>
      <vt:lpstr>高橋桜!連対数</vt:lpstr>
      <vt:lpstr>高野源太!連対数</vt:lpstr>
      <vt:lpstr>佐藤成浩!連対数</vt:lpstr>
      <vt:lpstr>小原陸哉!連対数</vt:lpstr>
      <vt:lpstr>小林郁斗!連対数</vt:lpstr>
      <vt:lpstr>松澤亮太!連対数</vt:lpstr>
      <vt:lpstr>石澤巧望!連対数</vt:lpstr>
      <vt:lpstr>全体!連対数</vt:lpstr>
      <vt:lpstr>多田洋輔!連対数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柳澤颯吾!連対数</vt:lpstr>
      <vt:lpstr>連対数</vt:lpstr>
      <vt:lpstr>依田幸憲!連対率</vt:lpstr>
      <vt:lpstr>高橋桜!連対率</vt:lpstr>
      <vt:lpstr>高野源太!連対率</vt:lpstr>
      <vt:lpstr>佐藤成浩!連対率</vt:lpstr>
      <vt:lpstr>小原陸哉!連対率</vt:lpstr>
      <vt:lpstr>小林郁斗!連対率</vt:lpstr>
      <vt:lpstr>松澤亮太!連対率</vt:lpstr>
      <vt:lpstr>石澤巧望!連対率</vt:lpstr>
      <vt:lpstr>全体!連対率</vt:lpstr>
      <vt:lpstr>多田洋輔!連対率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柳澤颯吾!連対率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Rentaro</cp:lastModifiedBy>
  <dcterms:created xsi:type="dcterms:W3CDTF">2018-11-18T09:24:12Z</dcterms:created>
  <dcterms:modified xsi:type="dcterms:W3CDTF">2020-02-21T09:04:43Z</dcterms:modified>
</cp:coreProperties>
</file>