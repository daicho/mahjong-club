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ntaro\Desktop\Rentaro\mahjong-club\成績管理システム\"/>
    </mc:Choice>
  </mc:AlternateContent>
  <xr:revisionPtr revIDLastSave="0" documentId="13_ncr:1_{55A8D1C3-B971-4F3E-8FF8-EF16A892416F}" xr6:coauthVersionLast="45" xr6:coauthVersionMax="45" xr10:uidLastSave="{00000000-0000-0000-0000-000000000000}"/>
  <bookViews>
    <workbookView xWindow="-110" yWindow="-110" windowWidth="19420" windowHeight="1102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28" r:id="rId4"/>
    <sheet name="松澤亮太" sheetId="6229" r:id="rId5"/>
    <sheet name="滝沢悠人" sheetId="6230" r:id="rId6"/>
    <sheet name="大池陸斗" sheetId="6231" r:id="rId7"/>
    <sheet name="百瀬成空" sheetId="6232" r:id="rId8"/>
    <sheet name="佐藤成浩" sheetId="6233" r:id="rId9"/>
    <sheet name="依田幸憲" sheetId="6234" r:id="rId10"/>
    <sheet name="保谷一貴" sheetId="6235" r:id="rId11"/>
    <sheet name="高野源太" sheetId="6236" r:id="rId12"/>
    <sheet name="矢ヶ崎健" sheetId="6237" r:id="rId13"/>
    <sheet name="小林郁斗" sheetId="6238" r:id="rId14"/>
    <sheet name="木角有希" sheetId="6239" r:id="rId15"/>
    <sheet name="福澤大地" sheetId="6240" r:id="rId16"/>
    <sheet name="髙橋桜" sheetId="6241" r:id="rId17"/>
    <sheet name="多田洋輔" sheetId="6242" r:id="rId18"/>
    <sheet name="柳澤颯吾" sheetId="6243" r:id="rId19"/>
    <sheet name="石澤巧望" sheetId="6244" r:id="rId20"/>
    <sheet name="小原陸哉" sheetId="6245" r:id="rId21"/>
    <sheet name="川上翔大" sheetId="6246" r:id="rId22"/>
    <sheet name="北沢蓮太郎" sheetId="6247" r:id="rId23"/>
    <sheet name="市川大智" sheetId="6248" r:id="rId24"/>
    <sheet name="Template" sheetId="2228" state="hidden" r:id="rId25"/>
  </sheets>
  <definedNames>
    <definedName name="アガリ数" localSheetId="9">依田幸憲!$B$17</definedName>
    <definedName name="アガリ数" localSheetId="11">高野源太!$B$17</definedName>
    <definedName name="アガリ数" localSheetId="8">佐藤成浩!$B$17</definedName>
    <definedName name="アガリ数" localSheetId="23">市川大智!$B$17</definedName>
    <definedName name="アガリ数" localSheetId="20">小原陸哉!$B$17</definedName>
    <definedName name="アガリ数" localSheetId="13">小林郁斗!$B$17</definedName>
    <definedName name="アガリ数" localSheetId="4">松澤亮太!$B$17</definedName>
    <definedName name="アガリ数" localSheetId="19">石澤巧望!$B$17</definedName>
    <definedName name="アガリ数" localSheetId="21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2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16">髙橋桜!$B$17</definedName>
    <definedName name="アガリ数">Template!$B$17</definedName>
    <definedName name="アガリ率" localSheetId="9">依田幸憲!$C$17</definedName>
    <definedName name="アガリ率" localSheetId="11">高野源太!$C$17</definedName>
    <definedName name="アガリ率" localSheetId="8">佐藤成浩!$C$17</definedName>
    <definedName name="アガリ率" localSheetId="23">市川大智!$C$17</definedName>
    <definedName name="アガリ率" localSheetId="20">小原陸哉!$C$17</definedName>
    <definedName name="アガリ率" localSheetId="13">小林郁斗!$C$17</definedName>
    <definedName name="アガリ率" localSheetId="4">松澤亮太!$C$17</definedName>
    <definedName name="アガリ率" localSheetId="19">石澤巧望!$C$17</definedName>
    <definedName name="アガリ率" localSheetId="21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2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16">髙橋桜!$C$17</definedName>
    <definedName name="アガリ率">Template!$C$17</definedName>
    <definedName name="ダマアガリ数" localSheetId="9">依田幸憲!$B$23</definedName>
    <definedName name="ダマアガリ数" localSheetId="11">高野源太!$B$23</definedName>
    <definedName name="ダマアガリ数" localSheetId="8">佐藤成浩!$B$23</definedName>
    <definedName name="ダマアガリ数" localSheetId="23">市川大智!$B$23</definedName>
    <definedName name="ダマアガリ数" localSheetId="20">小原陸哉!$B$23</definedName>
    <definedName name="ダマアガリ数" localSheetId="13">小林郁斗!$B$23</definedName>
    <definedName name="ダマアガリ数" localSheetId="4">松澤亮太!$B$23</definedName>
    <definedName name="ダマアガリ数" localSheetId="19">石澤巧望!$B$23</definedName>
    <definedName name="ダマアガリ数" localSheetId="21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2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16">髙橋桜!$B$23</definedName>
    <definedName name="ダマアガリ数">Template!$B$23</definedName>
    <definedName name="ダマアガリ点" localSheetId="9">依田幸憲!#REF!</definedName>
    <definedName name="ダマアガリ点" localSheetId="11">高野源太!#REF!</definedName>
    <definedName name="ダマアガリ点" localSheetId="8">佐藤成浩!#REF!</definedName>
    <definedName name="ダマアガリ点" localSheetId="23">市川大智!#REF!</definedName>
    <definedName name="ダマアガリ点" localSheetId="20">小原陸哉!#REF!</definedName>
    <definedName name="ダマアガリ点" localSheetId="13">小林郁斗!#REF!</definedName>
    <definedName name="ダマアガリ点" localSheetId="4">松澤亮太!#REF!</definedName>
    <definedName name="ダマアガリ点" localSheetId="19">石澤巧望!#REF!</definedName>
    <definedName name="ダマアガリ点" localSheetId="21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2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16">髙橋桜!#REF!</definedName>
    <definedName name="ダマアガリ点">Template!#REF!</definedName>
    <definedName name="ダマアガリ率" localSheetId="9">依田幸憲!$C$23</definedName>
    <definedName name="ダマアガリ率" localSheetId="11">高野源太!$C$23</definedName>
    <definedName name="ダマアガリ率" localSheetId="8">佐藤成浩!$C$23</definedName>
    <definedName name="ダマアガリ率" localSheetId="23">市川大智!$C$23</definedName>
    <definedName name="ダマアガリ率" localSheetId="20">小原陸哉!$C$23</definedName>
    <definedName name="ダマアガリ率" localSheetId="13">小林郁斗!$C$23</definedName>
    <definedName name="ダマアガリ率" localSheetId="4">松澤亮太!$C$23</definedName>
    <definedName name="ダマアガリ率" localSheetId="19">石澤巧望!$C$23</definedName>
    <definedName name="ダマアガリ率" localSheetId="21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2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16">髙橋桜!$C$23</definedName>
    <definedName name="ダマアガリ率">Template!$C$23</definedName>
    <definedName name="チョンボ数" localSheetId="9">依田幸憲!$B$32</definedName>
    <definedName name="チョンボ数" localSheetId="11">高野源太!$B$32</definedName>
    <definedName name="チョンボ数" localSheetId="8">佐藤成浩!$B$32</definedName>
    <definedName name="チョンボ数" localSheetId="23">市川大智!$B$32</definedName>
    <definedName name="チョンボ数" localSheetId="20">小原陸哉!$B$32</definedName>
    <definedName name="チョンボ数" localSheetId="13">小林郁斗!$B$32</definedName>
    <definedName name="チョンボ数" localSheetId="4">松澤亮太!$B$32</definedName>
    <definedName name="チョンボ数" localSheetId="19">石澤巧望!$B$32</definedName>
    <definedName name="チョンボ数" localSheetId="21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2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16">髙橋桜!$B$32</definedName>
    <definedName name="チョンボ数">Template!$B$32</definedName>
    <definedName name="チョンボ率" localSheetId="9">依田幸憲!$C$32</definedName>
    <definedName name="チョンボ率" localSheetId="11">高野源太!$C$32</definedName>
    <definedName name="チョンボ率" localSheetId="8">佐藤成浩!$C$32</definedName>
    <definedName name="チョンボ率" localSheetId="23">市川大智!$C$32</definedName>
    <definedName name="チョンボ率" localSheetId="20">小原陸哉!$C$32</definedName>
    <definedName name="チョンボ率" localSheetId="13">小林郁斗!$C$32</definedName>
    <definedName name="チョンボ率" localSheetId="4">松澤亮太!$C$32</definedName>
    <definedName name="チョンボ率" localSheetId="19">石澤巧望!$C$32</definedName>
    <definedName name="チョンボ率" localSheetId="21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2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16">髙橋桜!$C$32</definedName>
    <definedName name="チョンボ率">Template!$C$32</definedName>
    <definedName name="ツモ数" localSheetId="9">依田幸憲!$B$19</definedName>
    <definedName name="ツモ数" localSheetId="11">高野源太!$B$19</definedName>
    <definedName name="ツモ数" localSheetId="8">佐藤成浩!$B$19</definedName>
    <definedName name="ツモ数" localSheetId="23">市川大智!$B$19</definedName>
    <definedName name="ツモ数" localSheetId="20">小原陸哉!$B$19</definedName>
    <definedName name="ツモ数" localSheetId="13">小林郁斗!$B$19</definedName>
    <definedName name="ツモ数" localSheetId="4">松澤亮太!$B$19</definedName>
    <definedName name="ツモ数" localSheetId="19">石澤巧望!$B$19</definedName>
    <definedName name="ツモ数" localSheetId="21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2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16">髙橋桜!$B$19</definedName>
    <definedName name="ツモ数">Template!$B$19</definedName>
    <definedName name="ツモ率" localSheetId="9">依田幸憲!$C$19</definedName>
    <definedName name="ツモ率" localSheetId="11">高野源太!$C$19</definedName>
    <definedName name="ツモ率" localSheetId="8">佐藤成浩!$C$19</definedName>
    <definedName name="ツモ率" localSheetId="23">市川大智!$C$19</definedName>
    <definedName name="ツモ率" localSheetId="20">小原陸哉!$C$19</definedName>
    <definedName name="ツモ率" localSheetId="13">小林郁斗!$C$19</definedName>
    <definedName name="ツモ率" localSheetId="4">松澤亮太!$C$19</definedName>
    <definedName name="ツモ率" localSheetId="19">石澤巧望!$C$19</definedName>
    <definedName name="ツモ率" localSheetId="21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2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16">髙橋桜!$C$19</definedName>
    <definedName name="ツモ率">Template!$C$19</definedName>
    <definedName name="トップ数" localSheetId="9">依田幸憲!$B$7</definedName>
    <definedName name="トップ数" localSheetId="11">高野源太!$B$7</definedName>
    <definedName name="トップ数" localSheetId="8">佐藤成浩!$B$7</definedName>
    <definedName name="トップ数" localSheetId="23">市川大智!$B$7</definedName>
    <definedName name="トップ数" localSheetId="20">小原陸哉!$B$7</definedName>
    <definedName name="トップ数" localSheetId="13">小林郁斗!$B$7</definedName>
    <definedName name="トップ数" localSheetId="4">松澤亮太!$B$7</definedName>
    <definedName name="トップ数" localSheetId="19">石澤巧望!$B$7</definedName>
    <definedName name="トップ数" localSheetId="21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2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16">髙橋桜!$B$7</definedName>
    <definedName name="トップ数">Template!$B$7</definedName>
    <definedName name="トップ率" localSheetId="9">依田幸憲!$C$7</definedName>
    <definedName name="トップ率" localSheetId="11">高野源太!$C$7</definedName>
    <definedName name="トップ率" localSheetId="8">佐藤成浩!$C$7</definedName>
    <definedName name="トップ率" localSheetId="23">市川大智!$C$7</definedName>
    <definedName name="トップ率" localSheetId="20">小原陸哉!$C$7</definedName>
    <definedName name="トップ率" localSheetId="13">小林郁斗!$C$7</definedName>
    <definedName name="トップ率" localSheetId="4">松澤亮太!$C$7</definedName>
    <definedName name="トップ率" localSheetId="19">石澤巧望!$C$7</definedName>
    <definedName name="トップ率" localSheetId="21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2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16">髙橋桜!$C$7</definedName>
    <definedName name="トップ率">Template!$C$7</definedName>
    <definedName name="ふっとばし数" localSheetId="9">依田幸憲!#REF!</definedName>
    <definedName name="ふっとばし数" localSheetId="11">高野源太!#REF!</definedName>
    <definedName name="ふっとばし数" localSheetId="8">佐藤成浩!#REF!</definedName>
    <definedName name="ふっとばし数" localSheetId="23">市川大智!#REF!</definedName>
    <definedName name="ふっとばし数" localSheetId="20">小原陸哉!#REF!</definedName>
    <definedName name="ふっとばし数" localSheetId="13">小林郁斗!#REF!</definedName>
    <definedName name="ふっとばし数" localSheetId="4">松澤亮太!#REF!</definedName>
    <definedName name="ふっとばし数" localSheetId="19">石澤巧望!#REF!</definedName>
    <definedName name="ふっとばし数" localSheetId="21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2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16">髙橋桜!#REF!</definedName>
    <definedName name="ふっとばし数">Template!#REF!</definedName>
    <definedName name="ふっとばし率" localSheetId="9">依田幸憲!#REF!</definedName>
    <definedName name="ふっとばし率" localSheetId="11">高野源太!#REF!</definedName>
    <definedName name="ふっとばし率" localSheetId="8">佐藤成浩!#REF!</definedName>
    <definedName name="ふっとばし率" localSheetId="23">市川大智!#REF!</definedName>
    <definedName name="ふっとばし率" localSheetId="20">小原陸哉!#REF!</definedName>
    <definedName name="ふっとばし率" localSheetId="13">小林郁斗!#REF!</definedName>
    <definedName name="ふっとばし率" localSheetId="4">松澤亮太!#REF!</definedName>
    <definedName name="ふっとばし率" localSheetId="19">石澤巧望!#REF!</definedName>
    <definedName name="ふっとばし率" localSheetId="21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2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16">髙橋桜!#REF!</definedName>
    <definedName name="ふっとばし率">Template!#REF!</definedName>
    <definedName name="ふっとび数" localSheetId="9">依田幸憲!$B$12</definedName>
    <definedName name="ふっとび数" localSheetId="11">高野源太!$B$12</definedName>
    <definedName name="ふっとび数" localSheetId="8">佐藤成浩!$B$12</definedName>
    <definedName name="ふっとび数" localSheetId="23">市川大智!$B$12</definedName>
    <definedName name="ふっとび数" localSheetId="20">小原陸哉!$B$12</definedName>
    <definedName name="ふっとび数" localSheetId="13">小林郁斗!$B$12</definedName>
    <definedName name="ふっとび数" localSheetId="4">松澤亮太!$B$12</definedName>
    <definedName name="ふっとび数" localSheetId="19">石澤巧望!$B$12</definedName>
    <definedName name="ふっとび数" localSheetId="21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2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16">髙橋桜!$B$12</definedName>
    <definedName name="ふっとび数">Template!$B$12</definedName>
    <definedName name="ふっとび率" localSheetId="9">依田幸憲!$C$12</definedName>
    <definedName name="ふっとび率" localSheetId="11">高野源太!$C$12</definedName>
    <definedName name="ふっとび率" localSheetId="8">佐藤成浩!$C$12</definedName>
    <definedName name="ふっとび率" localSheetId="23">市川大智!$C$12</definedName>
    <definedName name="ふっとび率" localSheetId="20">小原陸哉!$C$12</definedName>
    <definedName name="ふっとび率" localSheetId="13">小林郁斗!$C$12</definedName>
    <definedName name="ふっとび率" localSheetId="4">松澤亮太!$C$12</definedName>
    <definedName name="ふっとび率" localSheetId="19">石澤巧望!$C$12</definedName>
    <definedName name="ふっとび率" localSheetId="21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2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16">髙橋桜!$C$12</definedName>
    <definedName name="ふっとび率">Template!$C$12</definedName>
    <definedName name="ラス数" localSheetId="9">依田幸憲!$B$10</definedName>
    <definedName name="ラス数" localSheetId="11">高野源太!$B$10</definedName>
    <definedName name="ラス数" localSheetId="8">佐藤成浩!$B$10</definedName>
    <definedName name="ラス数" localSheetId="23">市川大智!$B$10</definedName>
    <definedName name="ラス数" localSheetId="20">小原陸哉!$B$10</definedName>
    <definedName name="ラス数" localSheetId="13">小林郁斗!$B$10</definedName>
    <definedName name="ラス数" localSheetId="4">松澤亮太!$B$10</definedName>
    <definedName name="ラス数" localSheetId="19">石澤巧望!$B$10</definedName>
    <definedName name="ラス数" localSheetId="21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2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16">髙橋桜!$B$10</definedName>
    <definedName name="ラス数">Template!$B$10</definedName>
    <definedName name="ラス率" localSheetId="9">依田幸憲!$C$10</definedName>
    <definedName name="ラス率" localSheetId="11">高野源太!$C$10</definedName>
    <definedName name="ラス率" localSheetId="8">佐藤成浩!$C$10</definedName>
    <definedName name="ラス率" localSheetId="23">市川大智!$C$10</definedName>
    <definedName name="ラス率" localSheetId="20">小原陸哉!$C$10</definedName>
    <definedName name="ラス率" localSheetId="13">小林郁斗!$C$10</definedName>
    <definedName name="ラス率" localSheetId="4">松澤亮太!$C$10</definedName>
    <definedName name="ラス率" localSheetId="19">石澤巧望!$C$10</definedName>
    <definedName name="ラス率" localSheetId="21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2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16">髙橋桜!$C$10</definedName>
    <definedName name="ラス率">Template!$C$10</definedName>
    <definedName name="リーチアガリ数" localSheetId="9">依田幸憲!$B$21</definedName>
    <definedName name="リーチアガリ数" localSheetId="11">高野源太!$B$21</definedName>
    <definedName name="リーチアガリ数" localSheetId="8">佐藤成浩!$B$21</definedName>
    <definedName name="リーチアガリ数" localSheetId="23">市川大智!$B$21</definedName>
    <definedName name="リーチアガリ数" localSheetId="20">小原陸哉!$B$21</definedName>
    <definedName name="リーチアガリ数" localSheetId="13">小林郁斗!$B$21</definedName>
    <definedName name="リーチアガリ数" localSheetId="4">松澤亮太!$B$21</definedName>
    <definedName name="リーチアガリ数" localSheetId="19">石澤巧望!$B$21</definedName>
    <definedName name="リーチアガリ数" localSheetId="21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2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16">髙橋桜!$B$21</definedName>
    <definedName name="リーチアガリ数">Template!$B$21</definedName>
    <definedName name="リーチアガリ率" localSheetId="9">依田幸憲!$C$21</definedName>
    <definedName name="リーチアガリ率" localSheetId="11">高野源太!$C$21</definedName>
    <definedName name="リーチアガリ率" localSheetId="8">佐藤成浩!$C$21</definedName>
    <definedName name="リーチアガリ率" localSheetId="23">市川大智!$C$21</definedName>
    <definedName name="リーチアガリ率" localSheetId="20">小原陸哉!$C$21</definedName>
    <definedName name="リーチアガリ率" localSheetId="13">小林郁斗!$C$21</definedName>
    <definedName name="リーチアガリ率" localSheetId="4">松澤亮太!$C$21</definedName>
    <definedName name="リーチアガリ率" localSheetId="19">石澤巧望!$C$21</definedName>
    <definedName name="リーチアガリ率" localSheetId="21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2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16">髙橋桜!$C$21</definedName>
    <definedName name="リーチアガリ率">Template!$C$21</definedName>
    <definedName name="リーチ数" localSheetId="9">依田幸憲!$B$13</definedName>
    <definedName name="リーチ数" localSheetId="11">高野源太!$B$13</definedName>
    <definedName name="リーチ数" localSheetId="8">佐藤成浩!$B$13</definedName>
    <definedName name="リーチ数" localSheetId="23">市川大智!$B$13</definedName>
    <definedName name="リーチ数" localSheetId="20">小原陸哉!$B$13</definedName>
    <definedName name="リーチ数" localSheetId="13">小林郁斗!$B$13</definedName>
    <definedName name="リーチ数" localSheetId="4">松澤亮太!$B$13</definedName>
    <definedName name="リーチ数" localSheetId="19">石澤巧望!$B$13</definedName>
    <definedName name="リーチ数" localSheetId="21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2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16">髙橋桜!$B$13</definedName>
    <definedName name="リーチ数">Template!$B$13</definedName>
    <definedName name="リーチ成功数" localSheetId="9">依田幸憲!$B$15</definedName>
    <definedName name="リーチ成功数" localSheetId="11">高野源太!$B$15</definedName>
    <definedName name="リーチ成功数" localSheetId="8">佐藤成浩!$B$15</definedName>
    <definedName name="リーチ成功数" localSheetId="23">市川大智!$B$15</definedName>
    <definedName name="リーチ成功数" localSheetId="20">小原陸哉!$B$15</definedName>
    <definedName name="リーチ成功数" localSheetId="13">小林郁斗!$B$15</definedName>
    <definedName name="リーチ成功数" localSheetId="4">松澤亮太!$B$15</definedName>
    <definedName name="リーチ成功数" localSheetId="19">石澤巧望!$B$15</definedName>
    <definedName name="リーチ成功数" localSheetId="21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2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16">髙橋桜!$B$15</definedName>
    <definedName name="リーチ成功数">Template!$B$15</definedName>
    <definedName name="リーチ成功率" localSheetId="9">依田幸憲!$C$15</definedName>
    <definedName name="リーチ成功率" localSheetId="11">高野源太!$C$15</definedName>
    <definedName name="リーチ成功率" localSheetId="8">佐藤成浩!$C$15</definedName>
    <definedName name="リーチ成功率" localSheetId="23">市川大智!$C$15</definedName>
    <definedName name="リーチ成功率" localSheetId="20">小原陸哉!$C$15</definedName>
    <definedName name="リーチ成功率" localSheetId="13">小林郁斗!$C$15</definedName>
    <definedName name="リーチ成功率" localSheetId="4">松澤亮太!$C$15</definedName>
    <definedName name="リーチ成功率" localSheetId="19">石澤巧望!$C$15</definedName>
    <definedName name="リーチ成功率" localSheetId="21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2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16">髙橋桜!$C$15</definedName>
    <definedName name="リーチ成功率">Template!$C$15</definedName>
    <definedName name="リーチ率" localSheetId="9">依田幸憲!$C$13</definedName>
    <definedName name="リーチ率" localSheetId="11">高野源太!$C$13</definedName>
    <definedName name="リーチ率" localSheetId="8">佐藤成浩!$C$13</definedName>
    <definedName name="リーチ率" localSheetId="23">市川大智!$C$13</definedName>
    <definedName name="リーチ率" localSheetId="20">小原陸哉!$C$13</definedName>
    <definedName name="リーチ率" localSheetId="13">小林郁斗!$C$13</definedName>
    <definedName name="リーチ率" localSheetId="4">松澤亮太!$C$13</definedName>
    <definedName name="リーチ率" localSheetId="19">石澤巧望!$C$13</definedName>
    <definedName name="リーチ率" localSheetId="21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2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16">髙橋桜!$C$13</definedName>
    <definedName name="リーチ率">Template!$C$13</definedName>
    <definedName name="ロン数" localSheetId="9">依田幸憲!$B$20</definedName>
    <definedName name="ロン数" localSheetId="11">高野源太!$B$20</definedName>
    <definedName name="ロン数" localSheetId="8">佐藤成浩!$B$20</definedName>
    <definedName name="ロン数" localSheetId="23">市川大智!$B$20</definedName>
    <definedName name="ロン数" localSheetId="20">小原陸哉!$B$20</definedName>
    <definedName name="ロン数" localSheetId="13">小林郁斗!$B$20</definedName>
    <definedName name="ロン数" localSheetId="4">松澤亮太!$B$20</definedName>
    <definedName name="ロン数" localSheetId="19">石澤巧望!$B$20</definedName>
    <definedName name="ロン数" localSheetId="21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2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16">髙橋桜!$B$20</definedName>
    <definedName name="ロン数">Template!$B$20</definedName>
    <definedName name="ロン率" localSheetId="9">依田幸憲!$C$20</definedName>
    <definedName name="ロン率" localSheetId="11">高野源太!$C$20</definedName>
    <definedName name="ロン率" localSheetId="8">佐藤成浩!$C$20</definedName>
    <definedName name="ロン率" localSheetId="23">市川大智!$C$20</definedName>
    <definedName name="ロン率" localSheetId="20">小原陸哉!$C$20</definedName>
    <definedName name="ロン率" localSheetId="13">小林郁斗!$C$20</definedName>
    <definedName name="ロン率" localSheetId="4">松澤亮太!$C$20</definedName>
    <definedName name="ロン率" localSheetId="19">石澤巧望!$C$20</definedName>
    <definedName name="ロン率" localSheetId="21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2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16">髙橋桜!$C$20</definedName>
    <definedName name="ロン率">Template!$C$20</definedName>
    <definedName name="逆転数" localSheetId="9">依田幸憲!#REF!</definedName>
    <definedName name="逆転数" localSheetId="11">高野源太!#REF!</definedName>
    <definedName name="逆転数" localSheetId="8">佐藤成浩!#REF!</definedName>
    <definedName name="逆転数" localSheetId="23">市川大智!#REF!</definedName>
    <definedName name="逆転数" localSheetId="20">小原陸哉!#REF!</definedName>
    <definedName name="逆転数" localSheetId="13">小林郁斗!#REF!</definedName>
    <definedName name="逆転数" localSheetId="4">松澤亮太!#REF!</definedName>
    <definedName name="逆転数" localSheetId="19">石澤巧望!#REF!</definedName>
    <definedName name="逆転数" localSheetId="21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2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16">髙橋桜!#REF!</definedName>
    <definedName name="逆転数">Template!#REF!</definedName>
    <definedName name="逆転率" localSheetId="9">依田幸憲!#REF!</definedName>
    <definedName name="逆転率" localSheetId="11">高野源太!#REF!</definedName>
    <definedName name="逆転率" localSheetId="8">佐藤成浩!#REF!</definedName>
    <definedName name="逆転率" localSheetId="23">市川大智!#REF!</definedName>
    <definedName name="逆転率" localSheetId="20">小原陸哉!#REF!</definedName>
    <definedName name="逆転率" localSheetId="13">小林郁斗!#REF!</definedName>
    <definedName name="逆転率" localSheetId="4">松澤亮太!#REF!</definedName>
    <definedName name="逆転率" localSheetId="19">石澤巧望!#REF!</definedName>
    <definedName name="逆転率" localSheetId="21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2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16">髙橋桜!#REF!</definedName>
    <definedName name="逆転率">Template!#REF!</definedName>
    <definedName name="現行連続アガリ" localSheetId="9">依田幸憲!$C$28</definedName>
    <definedName name="現行連続アガリ" localSheetId="11">高野源太!$C$28</definedName>
    <definedName name="現行連続アガリ" localSheetId="8">佐藤成浩!$C$28</definedName>
    <definedName name="現行連続アガリ" localSheetId="23">市川大智!$C$28</definedName>
    <definedName name="現行連続アガリ" localSheetId="20">小原陸哉!$C$28</definedName>
    <definedName name="現行連続アガリ" localSheetId="13">小林郁斗!$C$28</definedName>
    <definedName name="現行連続アガリ" localSheetId="4">松澤亮太!$C$28</definedName>
    <definedName name="現行連続アガリ" localSheetId="19">石澤巧望!$C$28</definedName>
    <definedName name="現行連続アガリ" localSheetId="21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2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16">髙橋桜!$C$28</definedName>
    <definedName name="現行連続アガリ">Template!$C$28</definedName>
    <definedName name="現行連続無放銃" localSheetId="9">依田幸憲!$C$29</definedName>
    <definedName name="現行連続無放銃" localSheetId="11">高野源太!$C$29</definedName>
    <definedName name="現行連続無放銃" localSheetId="8">佐藤成浩!$C$29</definedName>
    <definedName name="現行連続無放銃" localSheetId="23">市川大智!$C$29</definedName>
    <definedName name="現行連続無放銃" localSheetId="20">小原陸哉!$C$29</definedName>
    <definedName name="現行連続無放銃" localSheetId="13">小林郁斗!$C$29</definedName>
    <definedName name="現行連続無放銃" localSheetId="4">松澤亮太!$C$29</definedName>
    <definedName name="現行連続無放銃" localSheetId="19">石澤巧望!$C$29</definedName>
    <definedName name="現行連続無放銃" localSheetId="21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2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16">髙橋桜!$C$29</definedName>
    <definedName name="現行連続無放銃">Template!$C$29</definedName>
    <definedName name="最高点" localSheetId="9">依田幸憲!$B$31</definedName>
    <definedName name="最高点" localSheetId="11">高野源太!$B$31</definedName>
    <definedName name="最高点" localSheetId="8">佐藤成浩!$B$31</definedName>
    <definedName name="最高点" localSheetId="23">市川大智!$B$31</definedName>
    <definedName name="最高点" localSheetId="20">小原陸哉!$B$31</definedName>
    <definedName name="最高点" localSheetId="13">小林郁斗!$B$31</definedName>
    <definedName name="最高点" localSheetId="4">松澤亮太!$B$31</definedName>
    <definedName name="最高点" localSheetId="19">石澤巧望!$B$31</definedName>
    <definedName name="最高点" localSheetId="21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2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16">髙橋桜!$B$31</definedName>
    <definedName name="最高点">Template!$B$31</definedName>
    <definedName name="最大ドラ数" localSheetId="9">依田幸憲!$B$30</definedName>
    <definedName name="最大ドラ数" localSheetId="11">高野源太!$B$30</definedName>
    <definedName name="最大ドラ数" localSheetId="8">佐藤成浩!$B$30</definedName>
    <definedName name="最大ドラ数" localSheetId="23">市川大智!$B$30</definedName>
    <definedName name="最大ドラ数" localSheetId="20">小原陸哉!$B$30</definedName>
    <definedName name="最大ドラ数" localSheetId="13">小林郁斗!$B$30</definedName>
    <definedName name="最大ドラ数" localSheetId="4">松澤亮太!$B$30</definedName>
    <definedName name="最大ドラ数" localSheetId="19">石澤巧望!$B$30</definedName>
    <definedName name="最大ドラ数" localSheetId="21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2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16">髙橋桜!$B$30</definedName>
    <definedName name="最大ドラ数">Template!$B$30</definedName>
    <definedName name="最大点数" localSheetId="9">依田幸憲!$B$31</definedName>
    <definedName name="最大点数" localSheetId="11">高野源太!$B$31</definedName>
    <definedName name="最大点数" localSheetId="8">佐藤成浩!$B$31</definedName>
    <definedName name="最大点数" localSheetId="23">市川大智!$B$31</definedName>
    <definedName name="最大点数" localSheetId="20">小原陸哉!$B$31</definedName>
    <definedName name="最大点数" localSheetId="13">小林郁斗!$B$31</definedName>
    <definedName name="最大点数" localSheetId="4">松澤亮太!$B$31</definedName>
    <definedName name="最大点数" localSheetId="19">石澤巧望!$B$31</definedName>
    <definedName name="最大点数" localSheetId="21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2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16">髙橋桜!$B$31</definedName>
    <definedName name="最大点数">Template!$B$31</definedName>
    <definedName name="三位数" localSheetId="9">依田幸憲!$B$9</definedName>
    <definedName name="三位数" localSheetId="11">高野源太!$B$9</definedName>
    <definedName name="三位数" localSheetId="8">佐藤成浩!$B$9</definedName>
    <definedName name="三位数" localSheetId="23">市川大智!$B$9</definedName>
    <definedName name="三位数" localSheetId="20">小原陸哉!$B$9</definedName>
    <definedName name="三位数" localSheetId="13">小林郁斗!$B$9</definedName>
    <definedName name="三位数" localSheetId="4">松澤亮太!$B$9</definedName>
    <definedName name="三位数" localSheetId="19">石澤巧望!$B$9</definedName>
    <definedName name="三位数" localSheetId="21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2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16">髙橋桜!$B$9</definedName>
    <definedName name="三位数">Template!$B$9</definedName>
    <definedName name="三位率" localSheetId="9">依田幸憲!$C$9</definedName>
    <definedName name="三位率" localSheetId="11">高野源太!$C$9</definedName>
    <definedName name="三位率" localSheetId="8">佐藤成浩!$C$9</definedName>
    <definedName name="三位率" localSheetId="23">市川大智!$C$9</definedName>
    <definedName name="三位率" localSheetId="20">小原陸哉!$C$9</definedName>
    <definedName name="三位率" localSheetId="13">小林郁斗!$C$9</definedName>
    <definedName name="三位率" localSheetId="4">松澤亮太!$C$9</definedName>
    <definedName name="三位率" localSheetId="19">石澤巧望!$C$9</definedName>
    <definedName name="三位率" localSheetId="21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2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16">髙橋桜!$C$9</definedName>
    <definedName name="三位率">Template!$C$9</definedName>
    <definedName name="総局数" localSheetId="9">依田幸憲!$B$3</definedName>
    <definedName name="総局数" localSheetId="11">高野源太!$B$3</definedName>
    <definedName name="総局数" localSheetId="8">佐藤成浩!$B$3</definedName>
    <definedName name="総局数" localSheetId="23">市川大智!$B$3</definedName>
    <definedName name="総局数" localSheetId="20">小原陸哉!$B$3</definedName>
    <definedName name="総局数" localSheetId="13">小林郁斗!$B$3</definedName>
    <definedName name="総局数" localSheetId="4">松澤亮太!$B$3</definedName>
    <definedName name="総局数" localSheetId="19">石澤巧望!$B$3</definedName>
    <definedName name="総局数" localSheetId="21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2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16">髙橋桜!$B$3</definedName>
    <definedName name="総局数">Template!$B$3</definedName>
    <definedName name="対戦数" localSheetId="9">依田幸憲!$B$2</definedName>
    <definedName name="対戦数" localSheetId="11">高野源太!$B$2</definedName>
    <definedName name="対戦数" localSheetId="8">佐藤成浩!$B$2</definedName>
    <definedName name="対戦数" localSheetId="23">市川大智!$B$2</definedName>
    <definedName name="対戦数" localSheetId="20">小原陸哉!$B$2</definedName>
    <definedName name="対戦数" localSheetId="13">小林郁斗!$B$2</definedName>
    <definedName name="対戦数" localSheetId="4">松澤亮太!$B$2</definedName>
    <definedName name="対戦数" localSheetId="19">石澤巧望!$B$2</definedName>
    <definedName name="対戦数" localSheetId="21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2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16">髙橋桜!$B$2</definedName>
    <definedName name="対戦数">Template!$B$2</definedName>
    <definedName name="通算アガリ点" localSheetId="9">依田幸憲!$C$24</definedName>
    <definedName name="通算アガリ点" localSheetId="11">高野源太!$C$24</definedName>
    <definedName name="通算アガリ点" localSheetId="8">佐藤成浩!$C$24</definedName>
    <definedName name="通算アガリ点" localSheetId="23">市川大智!$C$24</definedName>
    <definedName name="通算アガリ点" localSheetId="20">小原陸哉!$C$24</definedName>
    <definedName name="通算アガリ点" localSheetId="13">小林郁斗!$C$24</definedName>
    <definedName name="通算アガリ点" localSheetId="4">松澤亮太!$C$24</definedName>
    <definedName name="通算アガリ点" localSheetId="19">石澤巧望!$C$24</definedName>
    <definedName name="通算アガリ点" localSheetId="21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2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16">髙橋桜!$C$24</definedName>
    <definedName name="通算アガリ点">Template!$C$24</definedName>
    <definedName name="通算スコア" localSheetId="9">依田幸憲!$B$4</definedName>
    <definedName name="通算スコア" localSheetId="11">高野源太!$B$4</definedName>
    <definedName name="通算スコア" localSheetId="8">佐藤成浩!$B$4</definedName>
    <definedName name="通算スコア" localSheetId="23">市川大智!$B$4</definedName>
    <definedName name="通算スコア" localSheetId="20">小原陸哉!$B$4</definedName>
    <definedName name="通算スコア" localSheetId="13">小林郁斗!$B$4</definedName>
    <definedName name="通算スコア" localSheetId="4">松澤亮太!$B$4</definedName>
    <definedName name="通算スコア" localSheetId="19">石澤巧望!$B$4</definedName>
    <definedName name="通算スコア" localSheetId="21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2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16">髙橋桜!$B$4</definedName>
    <definedName name="通算スコア">Template!$B$4</definedName>
    <definedName name="通算副露アガリ点" localSheetId="9">依田幸憲!$C$26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3">市川大智!$C$26</definedName>
    <definedName name="通算副露アガリ点" localSheetId="20">小原陸哉!$C$26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19">石澤巧望!$C$26</definedName>
    <definedName name="通算副露アガリ点" localSheetId="21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2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16">髙橋桜!$C$26</definedName>
    <definedName name="通算副露アガリ点">Template!$C$26</definedName>
    <definedName name="通算放銃点" localSheetId="9">依田幸憲!$C$27</definedName>
    <definedName name="通算放銃点" localSheetId="11">高野源太!$C$27</definedName>
    <definedName name="通算放銃点" localSheetId="8">佐藤成浩!$C$27</definedName>
    <definedName name="通算放銃点" localSheetId="23">市川大智!$C$27</definedName>
    <definedName name="通算放銃点" localSheetId="20">小原陸哉!$C$27</definedName>
    <definedName name="通算放銃点" localSheetId="13">小林郁斗!$C$27</definedName>
    <definedName name="通算放銃点" localSheetId="4">松澤亮太!$C$27</definedName>
    <definedName name="通算放銃点" localSheetId="19">石澤巧望!$C$27</definedName>
    <definedName name="通算放銃点" localSheetId="21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2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16">髙橋桜!$C$27</definedName>
    <definedName name="通算放銃点">Template!$C$27</definedName>
    <definedName name="通算門前アガリ点" localSheetId="9">依田幸憲!$C$25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3">市川大智!$C$25</definedName>
    <definedName name="通算門前アガリ点" localSheetId="20">小原陸哉!$C$25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19">石澤巧望!$C$25</definedName>
    <definedName name="通算門前アガリ点" localSheetId="21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2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16">髙橋桜!$C$25</definedName>
    <definedName name="通算門前アガリ点">Template!$C$25</definedName>
    <definedName name="二位数" localSheetId="9">依田幸憲!$B$8</definedName>
    <definedName name="二位数" localSheetId="11">高野源太!$B$8</definedName>
    <definedName name="二位数" localSheetId="8">佐藤成浩!$B$8</definedName>
    <definedName name="二位数" localSheetId="23">市川大智!$B$8</definedName>
    <definedName name="二位数" localSheetId="20">小原陸哉!$B$8</definedName>
    <definedName name="二位数" localSheetId="13">小林郁斗!$B$8</definedName>
    <definedName name="二位数" localSheetId="4">松澤亮太!$B$8</definedName>
    <definedName name="二位数" localSheetId="19">石澤巧望!$B$8</definedName>
    <definedName name="二位数" localSheetId="21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2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16">髙橋桜!$B$8</definedName>
    <definedName name="二位数">Template!$B$8</definedName>
    <definedName name="二位率" localSheetId="9">依田幸憲!$C$8</definedName>
    <definedName name="二位率" localSheetId="11">高野源太!$C$8</definedName>
    <definedName name="二位率" localSheetId="8">佐藤成浩!$C$8</definedName>
    <definedName name="二位率" localSheetId="23">市川大智!$C$8</definedName>
    <definedName name="二位率" localSheetId="20">小原陸哉!$C$8</definedName>
    <definedName name="二位率" localSheetId="13">小林郁斗!$C$8</definedName>
    <definedName name="二位率" localSheetId="4">松澤亮太!$C$8</definedName>
    <definedName name="二位率" localSheetId="19">石澤巧望!$C$8</definedName>
    <definedName name="二位率" localSheetId="21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2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16">髙橋桜!$C$8</definedName>
    <definedName name="二位率">Template!$C$8</definedName>
    <definedName name="副露アガリ数" localSheetId="9">依田幸憲!$B$22</definedName>
    <definedName name="副露アガリ数" localSheetId="11">高野源太!$B$22</definedName>
    <definedName name="副露アガリ数" localSheetId="8">佐藤成浩!$B$22</definedName>
    <definedName name="副露アガリ数" localSheetId="23">市川大智!$B$22</definedName>
    <definedName name="副露アガリ数" localSheetId="20">小原陸哉!$B$22</definedName>
    <definedName name="副露アガリ数" localSheetId="13">小林郁斗!$B$22</definedName>
    <definedName name="副露アガリ数" localSheetId="4">松澤亮太!$B$22</definedName>
    <definedName name="副露アガリ数" localSheetId="19">石澤巧望!$B$22</definedName>
    <definedName name="副露アガリ数" localSheetId="21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2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16">髙橋桜!$B$22</definedName>
    <definedName name="副露アガリ数">Template!$B$22</definedName>
    <definedName name="副露アガリ点" localSheetId="9">依田幸憲!$B$26</definedName>
    <definedName name="副露アガリ点" localSheetId="11">高野源太!$B$26</definedName>
    <definedName name="副露アガリ点" localSheetId="8">佐藤成浩!$B$26</definedName>
    <definedName name="副露アガリ点" localSheetId="23">市川大智!$B$26</definedName>
    <definedName name="副露アガリ点" localSheetId="20">小原陸哉!$B$26</definedName>
    <definedName name="副露アガリ点" localSheetId="13">小林郁斗!$B$26</definedName>
    <definedName name="副露アガリ点" localSheetId="4">松澤亮太!$B$26</definedName>
    <definedName name="副露アガリ点" localSheetId="19">石澤巧望!$B$26</definedName>
    <definedName name="副露アガリ点" localSheetId="21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2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16">髙橋桜!$B$26</definedName>
    <definedName name="副露アガリ点">Template!$B$26</definedName>
    <definedName name="副露アガリ率" localSheetId="9">依田幸憲!$C$22</definedName>
    <definedName name="副露アガリ率" localSheetId="11">高野源太!$C$22</definedName>
    <definedName name="副露アガリ率" localSheetId="8">佐藤成浩!$C$22</definedName>
    <definedName name="副露アガリ率" localSheetId="23">市川大智!$C$22</definedName>
    <definedName name="副露アガリ率" localSheetId="20">小原陸哉!$C$22</definedName>
    <definedName name="副露アガリ率" localSheetId="13">小林郁斗!$C$22</definedName>
    <definedName name="副露アガリ率" localSheetId="4">松澤亮太!$C$22</definedName>
    <definedName name="副露アガリ率" localSheetId="19">石澤巧望!$C$22</definedName>
    <definedName name="副露アガリ率" localSheetId="21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2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16">髙橋桜!$C$22</definedName>
    <definedName name="副露アガリ率">Template!$C$22</definedName>
    <definedName name="副露数" localSheetId="9">依田幸憲!$B$14</definedName>
    <definedName name="副露数" localSheetId="11">高野源太!$B$14</definedName>
    <definedName name="副露数" localSheetId="8">佐藤成浩!$B$14</definedName>
    <definedName name="副露数" localSheetId="23">市川大智!$B$14</definedName>
    <definedName name="副露数" localSheetId="20">小原陸哉!$B$14</definedName>
    <definedName name="副露数" localSheetId="13">小林郁斗!$B$14</definedName>
    <definedName name="副露数" localSheetId="4">松澤亮太!$B$14</definedName>
    <definedName name="副露数" localSheetId="19">石澤巧望!$B$14</definedName>
    <definedName name="副露数" localSheetId="21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2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16">髙橋桜!$B$14</definedName>
    <definedName name="副露数">Template!$B$14</definedName>
    <definedName name="副露成功数" localSheetId="9">依田幸憲!$B$16</definedName>
    <definedName name="副露成功数" localSheetId="11">高野源太!$B$16</definedName>
    <definedName name="副露成功数" localSheetId="8">佐藤成浩!$B$16</definedName>
    <definedName name="副露成功数" localSheetId="23">市川大智!$B$16</definedName>
    <definedName name="副露成功数" localSheetId="20">小原陸哉!$B$16</definedName>
    <definedName name="副露成功数" localSheetId="13">小林郁斗!$B$16</definedName>
    <definedName name="副露成功数" localSheetId="4">松澤亮太!$B$16</definedName>
    <definedName name="副露成功数" localSheetId="19">石澤巧望!$B$16</definedName>
    <definedName name="副露成功数" localSheetId="21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2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16">髙橋桜!$B$16</definedName>
    <definedName name="副露成功数">Template!$B$16</definedName>
    <definedName name="副露成功率" localSheetId="9">依田幸憲!$C$16</definedName>
    <definedName name="副露成功率" localSheetId="11">高野源太!$C$16</definedName>
    <definedName name="副露成功率" localSheetId="8">佐藤成浩!$C$16</definedName>
    <definedName name="副露成功率" localSheetId="23">市川大智!$C$16</definedName>
    <definedName name="副露成功率" localSheetId="20">小原陸哉!$C$16</definedName>
    <definedName name="副露成功率" localSheetId="13">小林郁斗!$C$16</definedName>
    <definedName name="副露成功率" localSheetId="4">松澤亮太!$C$16</definedName>
    <definedName name="副露成功率" localSheetId="19">石澤巧望!$C$16</definedName>
    <definedName name="副露成功率" localSheetId="21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2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16">髙橋桜!$C$16</definedName>
    <definedName name="副露成功率">Template!$C$16</definedName>
    <definedName name="副露率" localSheetId="9">依田幸憲!$C$14</definedName>
    <definedName name="副露率" localSheetId="11">高野源太!$C$14</definedName>
    <definedName name="副露率" localSheetId="8">佐藤成浩!$C$14</definedName>
    <definedName name="副露率" localSheetId="23">市川大智!$C$14</definedName>
    <definedName name="副露率" localSheetId="20">小原陸哉!$C$14</definedName>
    <definedName name="副露率" localSheetId="13">小林郁斗!$C$14</definedName>
    <definedName name="副露率" localSheetId="4">松澤亮太!$C$14</definedName>
    <definedName name="副露率" localSheetId="19">石澤巧望!$C$14</definedName>
    <definedName name="副露率" localSheetId="21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2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16">髙橋桜!$C$14</definedName>
    <definedName name="副露率">Template!$C$14</definedName>
    <definedName name="平均アガリ点" localSheetId="9">依田幸憲!$B$24</definedName>
    <definedName name="平均アガリ点" localSheetId="11">高野源太!$B$24</definedName>
    <definedName name="平均アガリ点" localSheetId="8">佐藤成浩!$B$24</definedName>
    <definedName name="平均アガリ点" localSheetId="23">市川大智!$B$24</definedName>
    <definedName name="平均アガリ点" localSheetId="20">小原陸哉!$B$24</definedName>
    <definedName name="平均アガリ点" localSheetId="13">小林郁斗!$B$24</definedName>
    <definedName name="平均アガリ点" localSheetId="4">松澤亮太!$B$24</definedName>
    <definedName name="平均アガリ点" localSheetId="19">石澤巧望!$B$24</definedName>
    <definedName name="平均アガリ点" localSheetId="21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2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16">髙橋桜!$B$24</definedName>
    <definedName name="平均アガリ点">Template!$B$24</definedName>
    <definedName name="平均スコア" localSheetId="9">依田幸憲!$B$5</definedName>
    <definedName name="平均スコア" localSheetId="11">高野源太!$B$5</definedName>
    <definedName name="平均スコア" localSheetId="8">佐藤成浩!$B$5</definedName>
    <definedName name="平均スコア" localSheetId="23">市川大智!$B$5</definedName>
    <definedName name="平均スコア" localSheetId="20">小原陸哉!$B$5</definedName>
    <definedName name="平均スコア" localSheetId="13">小林郁斗!$B$5</definedName>
    <definedName name="平均スコア" localSheetId="4">松澤亮太!$B$5</definedName>
    <definedName name="平均スコア" localSheetId="19">石澤巧望!$B$5</definedName>
    <definedName name="平均スコア" localSheetId="21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2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16">髙橋桜!$B$5</definedName>
    <definedName name="平均スコア">Template!$B$5</definedName>
    <definedName name="平均順位" localSheetId="9">依田幸憲!$B$6</definedName>
    <definedName name="平均順位" localSheetId="11">高野源太!$B$6</definedName>
    <definedName name="平均順位" localSheetId="8">佐藤成浩!$B$6</definedName>
    <definedName name="平均順位" localSheetId="23">市川大智!$B$6</definedName>
    <definedName name="平均順位" localSheetId="20">小原陸哉!$B$6</definedName>
    <definedName name="平均順位" localSheetId="13">小林郁斗!$B$6</definedName>
    <definedName name="平均順位" localSheetId="4">松澤亮太!$B$6</definedName>
    <definedName name="平均順位" localSheetId="19">石澤巧望!$B$6</definedName>
    <definedName name="平均順位" localSheetId="21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2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16">髙橋桜!$B$6</definedName>
    <definedName name="平均順位">Template!$B$6</definedName>
    <definedName name="平均放銃点" localSheetId="9">依田幸憲!$B$27</definedName>
    <definedName name="平均放銃点" localSheetId="11">高野源太!$B$27</definedName>
    <definedName name="平均放銃点" localSheetId="8">佐藤成浩!$B$27</definedName>
    <definedName name="平均放銃点" localSheetId="23">市川大智!$B$27</definedName>
    <definedName name="平均放銃点" localSheetId="20">小原陸哉!$B$27</definedName>
    <definedName name="平均放銃点" localSheetId="13">小林郁斗!$B$27</definedName>
    <definedName name="平均放銃点" localSheetId="4">松澤亮太!$B$27</definedName>
    <definedName name="平均放銃点" localSheetId="19">石澤巧望!$B$27</definedName>
    <definedName name="平均放銃点" localSheetId="21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2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16">髙橋桜!$B$27</definedName>
    <definedName name="平均放銃点">Template!$B$27</definedName>
    <definedName name="放銃数" localSheetId="9">依田幸憲!$B$18</definedName>
    <definedName name="放銃数" localSheetId="11">高野源太!$B$18</definedName>
    <definedName name="放銃数" localSheetId="8">佐藤成浩!$B$18</definedName>
    <definedName name="放銃数" localSheetId="23">市川大智!$B$18</definedName>
    <definedName name="放銃数" localSheetId="20">小原陸哉!$B$18</definedName>
    <definedName name="放銃数" localSheetId="13">小林郁斗!$B$18</definedName>
    <definedName name="放銃数" localSheetId="4">松澤亮太!$B$18</definedName>
    <definedName name="放銃数" localSheetId="19">石澤巧望!$B$18</definedName>
    <definedName name="放銃数" localSheetId="21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2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16">髙橋桜!$B$18</definedName>
    <definedName name="放銃数">Template!$B$18</definedName>
    <definedName name="放銃率" localSheetId="9">依田幸憲!$C$18</definedName>
    <definedName name="放銃率" localSheetId="11">高野源太!$C$18</definedName>
    <definedName name="放銃率" localSheetId="8">佐藤成浩!$C$18</definedName>
    <definedName name="放銃率" localSheetId="23">市川大智!$C$18</definedName>
    <definedName name="放銃率" localSheetId="20">小原陸哉!$C$18</definedName>
    <definedName name="放銃率" localSheetId="13">小林郁斗!$C$18</definedName>
    <definedName name="放銃率" localSheetId="4">松澤亮太!$C$18</definedName>
    <definedName name="放銃率" localSheetId="19">石澤巧望!$C$18</definedName>
    <definedName name="放銃率" localSheetId="21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2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16">髙橋桜!$C$18</definedName>
    <definedName name="放銃率">Template!$C$18</definedName>
    <definedName name="名前" localSheetId="9">依田幸憲!$B$1</definedName>
    <definedName name="名前" localSheetId="11">高野源太!$B$1</definedName>
    <definedName name="名前" localSheetId="8">佐藤成浩!$B$1</definedName>
    <definedName name="名前" localSheetId="23">市川大智!$B$1</definedName>
    <definedName name="名前" localSheetId="20">小原陸哉!$B$1</definedName>
    <definedName name="名前" localSheetId="13">小林郁斗!$B$1</definedName>
    <definedName name="名前" localSheetId="4">松澤亮太!$B$1</definedName>
    <definedName name="名前" localSheetId="19">石澤巧望!$B$1</definedName>
    <definedName name="名前" localSheetId="21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2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16">髙橋桜!$B$1</definedName>
    <definedName name="名前">Template!$B$1</definedName>
    <definedName name="門前アガリ点" localSheetId="9">依田幸憲!$B$25</definedName>
    <definedName name="門前アガリ点" localSheetId="11">高野源太!$B$25</definedName>
    <definedName name="門前アガリ点" localSheetId="8">佐藤成浩!$B$25</definedName>
    <definedName name="門前アガリ点" localSheetId="23">市川大智!$B$25</definedName>
    <definedName name="門前アガリ点" localSheetId="20">小原陸哉!$B$25</definedName>
    <definedName name="門前アガリ点" localSheetId="13">小林郁斗!$B$25</definedName>
    <definedName name="門前アガリ点" localSheetId="4">松澤亮太!$B$25</definedName>
    <definedName name="門前アガリ点" localSheetId="19">石澤巧望!$B$25</definedName>
    <definedName name="門前アガリ点" localSheetId="21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2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16">髙橋桜!$B$25</definedName>
    <definedName name="門前アガリ点">Template!$B$25</definedName>
    <definedName name="連続アガリ" localSheetId="9">依田幸憲!$B$28</definedName>
    <definedName name="連続アガリ" localSheetId="11">高野源太!$B$28</definedName>
    <definedName name="連続アガリ" localSheetId="8">佐藤成浩!$B$28</definedName>
    <definedName name="連続アガリ" localSheetId="23">市川大智!$B$28</definedName>
    <definedName name="連続アガリ" localSheetId="20">小原陸哉!$B$28</definedName>
    <definedName name="連続アガリ" localSheetId="13">小林郁斗!$B$28</definedName>
    <definedName name="連続アガリ" localSheetId="4">松澤亮太!$B$28</definedName>
    <definedName name="連続アガリ" localSheetId="19">石澤巧望!$B$28</definedName>
    <definedName name="連続アガリ" localSheetId="21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2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16">髙橋桜!$B$28</definedName>
    <definedName name="連続アガリ">Template!$B$28</definedName>
    <definedName name="連続無放銃" localSheetId="9">依田幸憲!$B$29</definedName>
    <definedName name="連続無放銃" localSheetId="11">高野源太!$B$29</definedName>
    <definedName name="連続無放銃" localSheetId="8">佐藤成浩!$B$29</definedName>
    <definedName name="連続無放銃" localSheetId="23">市川大智!$B$29</definedName>
    <definedName name="連続無放銃" localSheetId="20">小原陸哉!$B$29</definedName>
    <definedName name="連続無放銃" localSheetId="13">小林郁斗!$B$29</definedName>
    <definedName name="連続無放銃" localSheetId="4">松澤亮太!$B$29</definedName>
    <definedName name="連続無放銃" localSheetId="19">石澤巧望!$B$29</definedName>
    <definedName name="連続無放銃" localSheetId="21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2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16">髙橋桜!$B$29</definedName>
    <definedName name="連続無放銃">Template!$B$29</definedName>
    <definedName name="連対数" localSheetId="9">依田幸憲!$B$11</definedName>
    <definedName name="連対数" localSheetId="11">高野源太!$B$11</definedName>
    <definedName name="連対数" localSheetId="8">佐藤成浩!$B$11</definedName>
    <definedName name="連対数" localSheetId="23">市川大智!$B$11</definedName>
    <definedName name="連対数" localSheetId="20">小原陸哉!$B$11</definedName>
    <definedName name="連対数" localSheetId="13">小林郁斗!$B$11</definedName>
    <definedName name="連対数" localSheetId="4">松澤亮太!$B$11</definedName>
    <definedName name="連対数" localSheetId="19">石澤巧望!$B$11</definedName>
    <definedName name="連対数" localSheetId="21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2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16">髙橋桜!$B$11</definedName>
    <definedName name="連対数">Template!$B$11</definedName>
    <definedName name="連対率" localSheetId="9">依田幸憲!$C$11</definedName>
    <definedName name="連対率" localSheetId="11">高野源太!$C$11</definedName>
    <definedName name="連対率" localSheetId="8">佐藤成浩!$C$11</definedName>
    <definedName name="連対率" localSheetId="23">市川大智!$C$11</definedName>
    <definedName name="連対率" localSheetId="20">小原陸哉!$C$11</definedName>
    <definedName name="連対率" localSheetId="13">小林郁斗!$C$11</definedName>
    <definedName name="連対率" localSheetId="4">松澤亮太!$C$11</definedName>
    <definedName name="連対率" localSheetId="19">石澤巧望!$C$11</definedName>
    <definedName name="連対率" localSheetId="21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2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2" i="6242" l="1"/>
  <c r="O19" i="6243"/>
  <c r="O18" i="6248"/>
  <c r="O21" i="6248"/>
  <c r="O19" i="6246"/>
  <c r="O22" i="6246"/>
  <c r="O21" i="6236"/>
  <c r="O20" i="6246"/>
  <c r="O23" i="6243" l="1"/>
  <c r="O24" i="6240"/>
  <c r="O18" i="6229"/>
  <c r="O31" i="6228"/>
  <c r="O19" i="6248"/>
  <c r="O20" i="6248"/>
  <c r="O22" i="6248"/>
  <c r="C32" i="6248"/>
  <c r="B27" i="6248"/>
  <c r="C18" i="6248"/>
  <c r="B17" i="6248"/>
  <c r="C44" i="6248" s="1"/>
  <c r="B16" i="6248"/>
  <c r="B26" i="6248" s="1"/>
  <c r="O15" i="6248"/>
  <c r="C15" i="6248"/>
  <c r="B15" i="6248"/>
  <c r="O14" i="6248"/>
  <c r="C14" i="6248"/>
  <c r="O13" i="6248"/>
  <c r="C13" i="6248"/>
  <c r="O12" i="6248"/>
  <c r="C12" i="6248"/>
  <c r="C11" i="6248"/>
  <c r="B11" i="6248"/>
  <c r="C10" i="6248"/>
  <c r="O9" i="6248"/>
  <c r="C9" i="6248"/>
  <c r="O8" i="6248"/>
  <c r="C8" i="6248"/>
  <c r="O7" i="6248"/>
  <c r="C7" i="6248"/>
  <c r="O6" i="6248"/>
  <c r="B6" i="6248"/>
  <c r="O5" i="6248"/>
  <c r="B5" i="6248"/>
  <c r="O4" i="6248"/>
  <c r="O3" i="6248"/>
  <c r="O2" i="6248"/>
  <c r="C16" i="6248" l="1"/>
  <c r="H15" i="6248"/>
  <c r="H11" i="6248"/>
  <c r="C19" i="6248"/>
  <c r="H7" i="6248"/>
  <c r="H39" i="6248"/>
  <c r="H21" i="6248"/>
  <c r="C39" i="6248"/>
  <c r="H17" i="6248"/>
  <c r="C45" i="6248"/>
  <c r="H8" i="6248"/>
  <c r="H34" i="6248"/>
  <c r="H9" i="6248"/>
  <c r="H25" i="6248"/>
  <c r="B24" i="6248"/>
  <c r="C46" i="6248"/>
  <c r="H35" i="6248"/>
  <c r="C40" i="6248"/>
  <c r="C47" i="6248"/>
  <c r="H3" i="6248"/>
  <c r="H12" i="6248"/>
  <c r="C20" i="6248"/>
  <c r="C35" i="6248"/>
  <c r="H41" i="6248"/>
  <c r="H13" i="6248"/>
  <c r="H16" i="6248"/>
  <c r="H18" i="6248"/>
  <c r="C21" i="6248"/>
  <c r="H28" i="6248"/>
  <c r="C36" i="6248"/>
  <c r="C41" i="6248"/>
  <c r="H14" i="6248"/>
  <c r="H2" i="6248"/>
  <c r="H4" i="6248"/>
  <c r="H6" i="6248"/>
  <c r="H23" i="6248"/>
  <c r="H29" i="6248"/>
  <c r="H37" i="6248"/>
  <c r="C42" i="6248"/>
  <c r="H10" i="6248"/>
  <c r="C17" i="6248"/>
  <c r="C22" i="6248"/>
  <c r="H31" i="6248"/>
  <c r="C37" i="6248"/>
  <c r="H5" i="6248"/>
  <c r="H19" i="6248"/>
  <c r="C23" i="6248"/>
  <c r="H32" i="6248"/>
  <c r="C38" i="6248"/>
  <c r="C43" i="6248"/>
  <c r="B25" i="6248"/>
  <c r="H20" i="6248"/>
  <c r="H24" i="6248"/>
  <c r="H27" i="6248"/>
  <c r="H33" i="6248"/>
  <c r="H38" i="6248"/>
  <c r="H42" i="6248"/>
  <c r="H22" i="6248"/>
  <c r="H26" i="6248"/>
  <c r="H30" i="6248"/>
  <c r="H36" i="6248"/>
  <c r="H40" i="6248"/>
  <c r="O20" i="6242" l="1"/>
  <c r="O21" i="6242"/>
  <c r="O20" i="6247"/>
  <c r="O18" i="6247"/>
  <c r="O19" i="6247"/>
  <c r="C42" i="6247"/>
  <c r="H41" i="6247"/>
  <c r="H40" i="6247"/>
  <c r="C40" i="6247"/>
  <c r="H38" i="6247"/>
  <c r="H36" i="6247"/>
  <c r="C36" i="6247"/>
  <c r="H34" i="6247"/>
  <c r="H33" i="6247"/>
  <c r="H32" i="6247"/>
  <c r="C32" i="6247"/>
  <c r="H27" i="6247"/>
  <c r="B27" i="6247"/>
  <c r="H26" i="6247"/>
  <c r="H25" i="6247"/>
  <c r="H23" i="6247"/>
  <c r="C23" i="6247"/>
  <c r="C21" i="6247"/>
  <c r="H19" i="6247"/>
  <c r="C19" i="6247"/>
  <c r="H18" i="6247"/>
  <c r="C18" i="6247"/>
  <c r="H17" i="6247"/>
  <c r="B17" i="6247"/>
  <c r="C47" i="6247" s="1"/>
  <c r="C16" i="6247"/>
  <c r="B16" i="6247"/>
  <c r="B26" i="6247" s="1"/>
  <c r="O15" i="6247"/>
  <c r="C15" i="6247"/>
  <c r="B15" i="6247"/>
  <c r="O14" i="6247"/>
  <c r="C14" i="6247"/>
  <c r="O13" i="6247"/>
  <c r="H13" i="6247"/>
  <c r="C13" i="6247"/>
  <c r="O12" i="6247"/>
  <c r="H12" i="6247"/>
  <c r="C12" i="6247"/>
  <c r="C11" i="6247"/>
  <c r="B11" i="6247"/>
  <c r="H10" i="6247"/>
  <c r="C10" i="6247"/>
  <c r="O9" i="6247"/>
  <c r="H2" i="6247"/>
  <c r="C9" i="6247"/>
  <c r="O8" i="6247"/>
  <c r="H9" i="6247"/>
  <c r="C8" i="6247"/>
  <c r="O7" i="6247"/>
  <c r="H8" i="6247"/>
  <c r="C7" i="6247"/>
  <c r="O6" i="6247"/>
  <c r="H7" i="6247"/>
  <c r="B6" i="6247"/>
  <c r="O5" i="6247"/>
  <c r="B5" i="6247"/>
  <c r="O4" i="6247"/>
  <c r="H5" i="6247"/>
  <c r="O3" i="6247"/>
  <c r="H4" i="6247"/>
  <c r="O2" i="6247"/>
  <c r="H3" i="6247"/>
  <c r="O20" i="6233"/>
  <c r="O18" i="6233"/>
  <c r="O21" i="6228"/>
  <c r="O21" i="6246"/>
  <c r="O18" i="6246"/>
  <c r="O23" i="6246"/>
  <c r="C32" i="6246"/>
  <c r="B27" i="6246"/>
  <c r="B26" i="6246"/>
  <c r="C18" i="6246"/>
  <c r="B17" i="6246"/>
  <c r="C45" i="6246" s="1"/>
  <c r="C16" i="6246"/>
  <c r="B16" i="6246"/>
  <c r="O15" i="6246"/>
  <c r="B15" i="6246"/>
  <c r="C15" i="6246" s="1"/>
  <c r="O14" i="6246"/>
  <c r="C14" i="6246"/>
  <c r="O13" i="6246"/>
  <c r="C13" i="6246"/>
  <c r="O12" i="6246"/>
  <c r="C12" i="6246"/>
  <c r="C11" i="6246"/>
  <c r="B11" i="6246"/>
  <c r="C10" i="6246"/>
  <c r="O9" i="6246"/>
  <c r="C9" i="6246"/>
  <c r="O8" i="6246"/>
  <c r="C8" i="6246"/>
  <c r="O7" i="6246"/>
  <c r="C7" i="6246"/>
  <c r="O6" i="6246"/>
  <c r="B6" i="6246"/>
  <c r="O5" i="6246"/>
  <c r="B5" i="6246"/>
  <c r="O4" i="6246"/>
  <c r="O3" i="6246"/>
  <c r="O2" i="6246"/>
  <c r="O18" i="6228"/>
  <c r="H15" i="6246" l="1"/>
  <c r="C20" i="6246"/>
  <c r="H12" i="6246"/>
  <c r="H34" i="6246"/>
  <c r="H17" i="6246"/>
  <c r="C39" i="6246"/>
  <c r="H42" i="6247"/>
  <c r="H21" i="6247"/>
  <c r="H30" i="6247"/>
  <c r="H37" i="6247"/>
  <c r="C45" i="6247"/>
  <c r="H6" i="6247"/>
  <c r="C17" i="6247"/>
  <c r="H22" i="6247"/>
  <c r="H31" i="6247"/>
  <c r="C38" i="6247"/>
  <c r="C46" i="6247"/>
  <c r="B25" i="6247"/>
  <c r="H11" i="6247"/>
  <c r="H14" i="6247"/>
  <c r="H16" i="6247"/>
  <c r="C20" i="6247"/>
  <c r="B24" i="6247"/>
  <c r="H28" i="6247"/>
  <c r="C35" i="6247"/>
  <c r="C39" i="6247"/>
  <c r="C43" i="6247"/>
  <c r="H20" i="6247"/>
  <c r="H24" i="6247"/>
  <c r="H29" i="6247"/>
  <c r="H35" i="6247"/>
  <c r="H39" i="6247"/>
  <c r="C44" i="6247"/>
  <c r="H15" i="6247"/>
  <c r="C22" i="6247"/>
  <c r="C37" i="6247"/>
  <c r="C41" i="6247"/>
  <c r="C41" i="6246"/>
  <c r="H5" i="6246"/>
  <c r="H27" i="6246"/>
  <c r="H10" i="6246"/>
  <c r="C35" i="6246"/>
  <c r="H18" i="6246"/>
  <c r="H42" i="6246"/>
  <c r="H41" i="6246"/>
  <c r="H6" i="6246"/>
  <c r="C22" i="6246"/>
  <c r="H23" i="6246"/>
  <c r="H8" i="6246"/>
  <c r="H16" i="6246"/>
  <c r="C23" i="6246"/>
  <c r="C37" i="6246"/>
  <c r="H11" i="6246"/>
  <c r="H19" i="6246"/>
  <c r="H38" i="6246"/>
  <c r="C43" i="6246"/>
  <c r="H22" i="6246"/>
  <c r="C17" i="6246"/>
  <c r="H28" i="6246"/>
  <c r="H14" i="6246"/>
  <c r="H24" i="6246"/>
  <c r="H32" i="6246"/>
  <c r="H3" i="6246"/>
  <c r="B24" i="6246"/>
  <c r="C38" i="6246"/>
  <c r="C46" i="6246"/>
  <c r="H4" i="6246"/>
  <c r="H35" i="6246"/>
  <c r="H13" i="6246"/>
  <c r="H7" i="6246"/>
  <c r="H37" i="6246"/>
  <c r="H29" i="6246"/>
  <c r="C19" i="6246"/>
  <c r="H2" i="6246"/>
  <c r="H9" i="6246"/>
  <c r="H20" i="6246"/>
  <c r="H26" i="6246"/>
  <c r="H33" i="6246"/>
  <c r="H39" i="6246"/>
  <c r="C47" i="6246"/>
  <c r="C42" i="6246"/>
  <c r="H21" i="6246"/>
  <c r="H25" i="6246"/>
  <c r="H30" i="6246"/>
  <c r="H36" i="6246"/>
  <c r="H40" i="6246"/>
  <c r="C44" i="6246"/>
  <c r="C21" i="6246"/>
  <c r="B25" i="6246"/>
  <c r="H31" i="6246"/>
  <c r="C36" i="6246"/>
  <c r="C40" i="6246"/>
  <c r="O20" i="6244" l="1"/>
  <c r="O22" i="6244"/>
  <c r="O30" i="6240"/>
  <c r="O18" i="6242"/>
  <c r="O24" i="6243"/>
  <c r="O27" i="6243"/>
  <c r="O19" i="6242"/>
  <c r="O19" i="6240"/>
  <c r="O18" i="6245" l="1"/>
  <c r="O19" i="6245"/>
  <c r="O21" i="6243"/>
  <c r="O27" i="6236"/>
  <c r="O20" i="6245"/>
  <c r="O22" i="6245"/>
  <c r="O21" i="6245"/>
  <c r="C47" i="6245"/>
  <c r="H41" i="6245"/>
  <c r="C39" i="6245"/>
  <c r="H36" i="6245"/>
  <c r="H33" i="6245"/>
  <c r="C32" i="6245"/>
  <c r="H27" i="6245"/>
  <c r="B27" i="6245"/>
  <c r="B26" i="6245"/>
  <c r="H22" i="6245"/>
  <c r="C20" i="6245"/>
  <c r="C18" i="6245"/>
  <c r="H17" i="6245"/>
  <c r="B17" i="6245"/>
  <c r="C45" i="6245" s="1"/>
  <c r="H16" i="6245"/>
  <c r="C16" i="6245"/>
  <c r="B16" i="6245"/>
  <c r="O15" i="6245"/>
  <c r="C15" i="6245"/>
  <c r="B15" i="6245"/>
  <c r="O14" i="6245"/>
  <c r="H14" i="6245"/>
  <c r="C14" i="6245"/>
  <c r="O13" i="6245"/>
  <c r="C13" i="6245"/>
  <c r="O12" i="6245"/>
  <c r="C12" i="6245"/>
  <c r="H11" i="6245"/>
  <c r="C11" i="6245"/>
  <c r="B11" i="6245"/>
  <c r="C10" i="6245"/>
  <c r="O9" i="6245"/>
  <c r="C9" i="6245"/>
  <c r="O8" i="6245"/>
  <c r="H8" i="6245"/>
  <c r="C8" i="6245"/>
  <c r="O7" i="6245"/>
  <c r="C7" i="6245"/>
  <c r="O6" i="6245"/>
  <c r="H6" i="6245"/>
  <c r="B6" i="6245"/>
  <c r="O5" i="6245"/>
  <c r="H5" i="6245"/>
  <c r="B5" i="6245"/>
  <c r="O4" i="6245"/>
  <c r="O3" i="6245"/>
  <c r="H3" i="6245"/>
  <c r="O2" i="6245"/>
  <c r="H2" i="6245"/>
  <c r="O27" i="6232"/>
  <c r="O21" i="6232"/>
  <c r="O23" i="6233"/>
  <c r="O19" i="6233"/>
  <c r="O26" i="6228"/>
  <c r="O19" i="6244"/>
  <c r="O18" i="6244"/>
  <c r="O21" i="6244"/>
  <c r="C36" i="6244"/>
  <c r="C32" i="6244"/>
  <c r="B27" i="6244"/>
  <c r="H27" i="6244"/>
  <c r="H20" i="6244"/>
  <c r="C18" i="6244"/>
  <c r="B17" i="6244"/>
  <c r="C47" i="6244" s="1"/>
  <c r="B16" i="6244"/>
  <c r="B26" i="6244" s="1"/>
  <c r="O15" i="6244"/>
  <c r="B15" i="6244"/>
  <c r="C15" i="6244" s="1"/>
  <c r="O14" i="6244"/>
  <c r="C14" i="6244"/>
  <c r="O13" i="6244"/>
  <c r="H14" i="6244"/>
  <c r="C13" i="6244"/>
  <c r="O12" i="6244"/>
  <c r="C12" i="6244"/>
  <c r="B11" i="6244"/>
  <c r="C11" i="6244" s="1"/>
  <c r="C10" i="6244"/>
  <c r="O9" i="6244"/>
  <c r="C9" i="6244"/>
  <c r="O8" i="6244"/>
  <c r="C8" i="6244"/>
  <c r="O7" i="6244"/>
  <c r="H8" i="6244"/>
  <c r="C7" i="6244"/>
  <c r="O6" i="6244"/>
  <c r="B6" i="6244"/>
  <c r="O5" i="6244"/>
  <c r="B5" i="6244"/>
  <c r="O4" i="6244"/>
  <c r="H6" i="6244"/>
  <c r="O3" i="6244"/>
  <c r="O2" i="6244"/>
  <c r="O24" i="6228"/>
  <c r="C16" i="6244" l="1"/>
  <c r="H21" i="6245"/>
  <c r="H26" i="6245"/>
  <c r="H34" i="6245"/>
  <c r="H40" i="6245"/>
  <c r="C17" i="6245"/>
  <c r="C22" i="6245"/>
  <c r="C35" i="6245"/>
  <c r="C41" i="6245"/>
  <c r="H15" i="6245"/>
  <c r="C23" i="6245"/>
  <c r="H28" i="6245"/>
  <c r="C37" i="6245"/>
  <c r="C42" i="6245"/>
  <c r="H4" i="6245"/>
  <c r="H13" i="6245"/>
  <c r="H18" i="6245"/>
  <c r="H23" i="6245"/>
  <c r="H31" i="6245"/>
  <c r="H37" i="6245"/>
  <c r="H42" i="6245"/>
  <c r="H7" i="6245"/>
  <c r="H10" i="6245"/>
  <c r="C19" i="6245"/>
  <c r="B24" i="6245"/>
  <c r="C38" i="6245"/>
  <c r="C43" i="6245"/>
  <c r="H19" i="6245"/>
  <c r="H25" i="6245"/>
  <c r="H32" i="6245"/>
  <c r="H38" i="6245"/>
  <c r="C46" i="6245"/>
  <c r="C19" i="6244"/>
  <c r="H20" i="6245"/>
  <c r="H24" i="6245"/>
  <c r="H29" i="6245"/>
  <c r="H35" i="6245"/>
  <c r="H39" i="6245"/>
  <c r="C44" i="6245"/>
  <c r="H9" i="6245"/>
  <c r="H12" i="6245"/>
  <c r="C21" i="6245"/>
  <c r="B25" i="6245"/>
  <c r="H30" i="6245"/>
  <c r="C36" i="6245"/>
  <c r="C40" i="6245"/>
  <c r="H38" i="6244"/>
  <c r="H32" i="6244"/>
  <c r="C38" i="6244"/>
  <c r="H39" i="6244"/>
  <c r="H4" i="6244"/>
  <c r="C17" i="6244"/>
  <c r="H18" i="6244"/>
  <c r="H41" i="6244"/>
  <c r="C21" i="6244"/>
  <c r="H9" i="6244"/>
  <c r="H23" i="6244"/>
  <c r="C40" i="6244"/>
  <c r="C23" i="6244"/>
  <c r="H7" i="6244"/>
  <c r="H24" i="6244"/>
  <c r="H34" i="6244"/>
  <c r="H42" i="6244"/>
  <c r="H2" i="6244"/>
  <c r="H31" i="6244"/>
  <c r="H10" i="6244"/>
  <c r="C22" i="6244"/>
  <c r="H33" i="6244"/>
  <c r="H5" i="6244"/>
  <c r="H13" i="6244"/>
  <c r="H11" i="6244"/>
  <c r="H16" i="6244"/>
  <c r="H19" i="6244"/>
  <c r="H26" i="6244"/>
  <c r="H35" i="6244"/>
  <c r="C42" i="6244"/>
  <c r="H22" i="6244"/>
  <c r="H28" i="6244"/>
  <c r="H37" i="6244"/>
  <c r="C46" i="6244"/>
  <c r="H3" i="6244"/>
  <c r="H12" i="6244"/>
  <c r="H15" i="6244"/>
  <c r="H17" i="6244"/>
  <c r="C20" i="6244"/>
  <c r="B24" i="6244"/>
  <c r="H29" i="6244"/>
  <c r="C35" i="6244"/>
  <c r="C39" i="6244"/>
  <c r="C43" i="6244"/>
  <c r="H21" i="6244"/>
  <c r="H25" i="6244"/>
  <c r="H30" i="6244"/>
  <c r="H36" i="6244"/>
  <c r="H40" i="6244"/>
  <c r="C44" i="6244"/>
  <c r="B25" i="6244"/>
  <c r="C45" i="6244"/>
  <c r="C37" i="6244"/>
  <c r="C41" i="6244"/>
  <c r="O30" i="6233" l="1"/>
  <c r="O20" i="6243"/>
  <c r="O18" i="6243"/>
  <c r="O22" i="6229"/>
  <c r="O26" i="6243"/>
  <c r="O22" i="6243"/>
  <c r="O25" i="6243"/>
  <c r="C32" i="6243"/>
  <c r="B27" i="6243"/>
  <c r="C18" i="6243"/>
  <c r="B17" i="6243"/>
  <c r="C45" i="6243" s="1"/>
  <c r="B16" i="6243"/>
  <c r="B26" i="6243" s="1"/>
  <c r="O15" i="6243"/>
  <c r="B15" i="6243"/>
  <c r="C15" i="6243" s="1"/>
  <c r="O14" i="6243"/>
  <c r="C14" i="6243"/>
  <c r="O13" i="6243"/>
  <c r="C13" i="6243"/>
  <c r="O12" i="6243"/>
  <c r="C12" i="6243"/>
  <c r="B11" i="6243"/>
  <c r="C11" i="6243" s="1"/>
  <c r="C10" i="6243"/>
  <c r="O9" i="6243"/>
  <c r="C9" i="6243"/>
  <c r="O8" i="6243"/>
  <c r="C8" i="6243"/>
  <c r="O7" i="6243"/>
  <c r="C7" i="6243"/>
  <c r="O6" i="6243"/>
  <c r="B6" i="6243"/>
  <c r="O5" i="6243"/>
  <c r="B5" i="6243"/>
  <c r="O4" i="6243"/>
  <c r="O3" i="6243"/>
  <c r="O2" i="6243"/>
  <c r="O19" i="6232"/>
  <c r="O32" i="6236"/>
  <c r="O22" i="6236"/>
  <c r="O22" i="6231"/>
  <c r="O19" i="6231"/>
  <c r="O22" i="6228"/>
  <c r="C16" i="6243" l="1"/>
  <c r="H3" i="6243"/>
  <c r="H41" i="6243"/>
  <c r="H33" i="6243"/>
  <c r="C39" i="6243"/>
  <c r="H2" i="6243"/>
  <c r="C19" i="6243"/>
  <c r="H21" i="6243"/>
  <c r="B24" i="6243"/>
  <c r="H26" i="6243"/>
  <c r="H12" i="6243"/>
  <c r="C20" i="6243"/>
  <c r="H16" i="6243"/>
  <c r="H7" i="6243"/>
  <c r="H42" i="6243"/>
  <c r="H13" i="6243"/>
  <c r="H18" i="6243"/>
  <c r="H27" i="6243"/>
  <c r="H8" i="6243"/>
  <c r="C17" i="6243"/>
  <c r="C22" i="6243"/>
  <c r="H6" i="6243"/>
  <c r="H10" i="6243"/>
  <c r="H19" i="6243"/>
  <c r="H9" i="6243"/>
  <c r="H28" i="6243"/>
  <c r="C37" i="6243"/>
  <c r="C43" i="6243"/>
  <c r="H35" i="6243"/>
  <c r="H37" i="6243"/>
  <c r="H11" i="6243"/>
  <c r="H17" i="6243"/>
  <c r="C23" i="6243"/>
  <c r="H38" i="6243"/>
  <c r="C46" i="6243"/>
  <c r="C41" i="6243"/>
  <c r="H4" i="6243"/>
  <c r="H23" i="6243"/>
  <c r="C35" i="6243"/>
  <c r="H14" i="6243"/>
  <c r="H29" i="6243"/>
  <c r="H5" i="6243"/>
  <c r="H15" i="6243"/>
  <c r="H20" i="6243"/>
  <c r="H24" i="6243"/>
  <c r="H32" i="6243"/>
  <c r="H39" i="6243"/>
  <c r="C47" i="6243"/>
  <c r="H34" i="6243"/>
  <c r="C38" i="6243"/>
  <c r="C42" i="6243"/>
  <c r="H22" i="6243"/>
  <c r="H25" i="6243"/>
  <c r="H30" i="6243"/>
  <c r="H36" i="6243"/>
  <c r="H40" i="6243"/>
  <c r="C44" i="6243"/>
  <c r="C21" i="6243"/>
  <c r="B25" i="6243"/>
  <c r="H31" i="6243"/>
  <c r="C36" i="6243"/>
  <c r="C40" i="6243"/>
  <c r="O28" i="6242" l="1"/>
  <c r="O23" i="6240"/>
  <c r="O25" i="6231"/>
  <c r="O24" i="6232"/>
  <c r="O26" i="6233"/>
  <c r="O28" i="6240"/>
  <c r="O26" i="6242"/>
  <c r="O23" i="6242"/>
  <c r="O20" i="6234" l="1"/>
  <c r="O19" i="6234"/>
  <c r="O25" i="6233"/>
  <c r="O22" i="6240"/>
  <c r="O29" i="6240"/>
  <c r="O22" i="6230"/>
  <c r="O20" i="6232" l="1"/>
  <c r="O24" i="6242"/>
  <c r="O25" i="6242"/>
  <c r="O27" i="6242"/>
  <c r="C32" i="6242"/>
  <c r="B27" i="6242"/>
  <c r="C18" i="6242"/>
  <c r="B17" i="6242"/>
  <c r="C45" i="6242" s="1"/>
  <c r="B16" i="6242"/>
  <c r="B26" i="6242" s="1"/>
  <c r="O15" i="6242"/>
  <c r="B15" i="6242"/>
  <c r="C15" i="6242" s="1"/>
  <c r="O14" i="6242"/>
  <c r="C14" i="6242"/>
  <c r="O13" i="6242"/>
  <c r="C13" i="6242"/>
  <c r="O12" i="6242"/>
  <c r="C12" i="6242"/>
  <c r="B11" i="6242"/>
  <c r="C11" i="6242" s="1"/>
  <c r="C10" i="6242"/>
  <c r="O9" i="6242"/>
  <c r="C9" i="6242"/>
  <c r="O8" i="6242"/>
  <c r="C8" i="6242"/>
  <c r="O7" i="6242"/>
  <c r="C7" i="6242"/>
  <c r="O6" i="6242"/>
  <c r="B6" i="6242"/>
  <c r="O5" i="6242"/>
  <c r="B5" i="6242"/>
  <c r="O4" i="6242"/>
  <c r="O3" i="6242"/>
  <c r="O2" i="6242"/>
  <c r="O25" i="6229"/>
  <c r="O29" i="6236"/>
  <c r="O34" i="6228"/>
  <c r="C16" i="6242" l="1"/>
  <c r="H6" i="6242"/>
  <c r="H8" i="6242"/>
  <c r="H12" i="6242"/>
  <c r="C39" i="6242"/>
  <c r="C17" i="6242"/>
  <c r="H29" i="6242"/>
  <c r="H15" i="6242"/>
  <c r="H9" i="6242"/>
  <c r="H41" i="6242"/>
  <c r="C22" i="6242"/>
  <c r="C41" i="6242"/>
  <c r="H10" i="6242"/>
  <c r="H24" i="6242"/>
  <c r="H42" i="6242"/>
  <c r="H19" i="6242"/>
  <c r="H13" i="6242"/>
  <c r="C37" i="6242"/>
  <c r="H17" i="6242"/>
  <c r="H20" i="6242"/>
  <c r="H32" i="6242"/>
  <c r="C43" i="6242"/>
  <c r="C23" i="6242"/>
  <c r="H3" i="6242"/>
  <c r="H2" i="6242"/>
  <c r="H25" i="6242"/>
  <c r="H7" i="6242"/>
  <c r="C38" i="6242"/>
  <c r="C46" i="6242"/>
  <c r="H18" i="6242"/>
  <c r="C20" i="6242"/>
  <c r="H34" i="6242"/>
  <c r="H11" i="6242"/>
  <c r="H23" i="6242"/>
  <c r="H28" i="6242"/>
  <c r="H35" i="6242"/>
  <c r="C35" i="6242"/>
  <c r="H14" i="6242"/>
  <c r="H37" i="6242"/>
  <c r="H38" i="6242"/>
  <c r="H4" i="6242"/>
  <c r="C19" i="6242"/>
  <c r="B24" i="6242"/>
  <c r="H21" i="6242"/>
  <c r="H27" i="6242"/>
  <c r="H33" i="6242"/>
  <c r="H39" i="6242"/>
  <c r="C47" i="6242"/>
  <c r="C42" i="6242"/>
  <c r="H22" i="6242"/>
  <c r="H26" i="6242"/>
  <c r="H30" i="6242"/>
  <c r="H36" i="6242"/>
  <c r="H40" i="6242"/>
  <c r="C44" i="6242"/>
  <c r="H5" i="6242"/>
  <c r="H16" i="6242"/>
  <c r="C21" i="6242"/>
  <c r="B25" i="6242"/>
  <c r="H31" i="6242"/>
  <c r="C36" i="6242"/>
  <c r="C40" i="6242"/>
  <c r="O23" i="6230" l="1"/>
  <c r="O19" i="6230"/>
  <c r="O19" i="6236"/>
  <c r="O25" i="6240"/>
  <c r="O18" i="6241"/>
  <c r="O22" i="6241"/>
  <c r="O31" i="6236"/>
  <c r="O18" i="6232"/>
  <c r="O24" i="6233" l="1"/>
  <c r="O26" i="6232"/>
  <c r="O31" i="6240"/>
  <c r="O27" i="6240"/>
  <c r="O21" i="6240"/>
  <c r="O20" i="6231"/>
  <c r="O23" i="6231"/>
  <c r="O19" i="6229"/>
  <c r="O21" i="6229"/>
  <c r="O20" i="6228"/>
  <c r="O19" i="6241"/>
  <c r="O21" i="6241"/>
  <c r="O20" i="6241"/>
  <c r="C47" i="6241"/>
  <c r="C43" i="6241"/>
  <c r="H42" i="6241"/>
  <c r="C41" i="6241"/>
  <c r="C39" i="6241"/>
  <c r="C37" i="6241"/>
  <c r="H34" i="6241"/>
  <c r="C32" i="6241"/>
  <c r="H28" i="6241"/>
  <c r="H27" i="6241"/>
  <c r="B27" i="6241"/>
  <c r="B24" i="6241"/>
  <c r="C22" i="6241"/>
  <c r="C20" i="6241"/>
  <c r="H19" i="6241"/>
  <c r="C18" i="6241"/>
  <c r="C17" i="6241"/>
  <c r="B17" i="6241"/>
  <c r="C46" i="6241" s="1"/>
  <c r="H16" i="6241"/>
  <c r="B16" i="6241"/>
  <c r="B26" i="6241" s="1"/>
  <c r="O15" i="6241"/>
  <c r="H15" i="6241"/>
  <c r="B15" i="6241"/>
  <c r="C15" i="6241" s="1"/>
  <c r="O14" i="6241"/>
  <c r="H14" i="6241"/>
  <c r="C14" i="6241"/>
  <c r="O13" i="6241"/>
  <c r="H13" i="6241"/>
  <c r="C13" i="6241"/>
  <c r="O12" i="6241"/>
  <c r="C12" i="6241"/>
  <c r="H11" i="6241"/>
  <c r="C11" i="6241"/>
  <c r="B11" i="6241"/>
  <c r="H10" i="6241"/>
  <c r="C10" i="6241"/>
  <c r="O9" i="6241"/>
  <c r="C9" i="6241"/>
  <c r="O8" i="6241"/>
  <c r="H8" i="6241"/>
  <c r="C8" i="6241"/>
  <c r="O7" i="6241"/>
  <c r="H7" i="6241"/>
  <c r="C7" i="6241"/>
  <c r="O6" i="6241"/>
  <c r="H6" i="6241"/>
  <c r="B6" i="6241"/>
  <c r="O5" i="6241"/>
  <c r="B5" i="6241"/>
  <c r="O4" i="6241"/>
  <c r="O3" i="6241"/>
  <c r="H3" i="6241"/>
  <c r="O2" i="6241"/>
  <c r="H2" i="6241"/>
  <c r="C16" i="6241" l="1"/>
  <c r="H23" i="6241"/>
  <c r="C35" i="6241"/>
  <c r="H38" i="6241"/>
  <c r="H18" i="6241"/>
  <c r="H22" i="6241"/>
  <c r="H26" i="6241"/>
  <c r="H32" i="6241"/>
  <c r="H37" i="6241"/>
  <c r="H41" i="6241"/>
  <c r="H5" i="6241"/>
  <c r="C19" i="6241"/>
  <c r="C23" i="6241"/>
  <c r="H33" i="6241"/>
  <c r="C38" i="6241"/>
  <c r="C42" i="6241"/>
  <c r="H20" i="6241"/>
  <c r="H24" i="6241"/>
  <c r="H29" i="6241"/>
  <c r="H35" i="6241"/>
  <c r="H39" i="6241"/>
  <c r="C44" i="6241"/>
  <c r="C21" i="6241"/>
  <c r="B25" i="6241"/>
  <c r="C36" i="6241"/>
  <c r="C40" i="6241"/>
  <c r="C45" i="6241"/>
  <c r="H9" i="6241"/>
  <c r="H12" i="6241"/>
  <c r="H30" i="6241"/>
  <c r="H4" i="6241"/>
  <c r="H17" i="6241"/>
  <c r="H21" i="6241"/>
  <c r="H25" i="6241"/>
  <c r="H31" i="6241"/>
  <c r="H36" i="6241"/>
  <c r="H40" i="6241"/>
  <c r="O30" i="6236" l="1"/>
  <c r="O20" i="6236"/>
  <c r="O20" i="6240"/>
  <c r="O18" i="6240"/>
  <c r="O26" i="6240"/>
  <c r="C32" i="6240"/>
  <c r="B27" i="6240"/>
  <c r="C18" i="6240"/>
  <c r="B17" i="6240"/>
  <c r="C44" i="6240" s="1"/>
  <c r="B16" i="6240"/>
  <c r="B26" i="6240" s="1"/>
  <c r="O15" i="6240"/>
  <c r="B15" i="6240"/>
  <c r="C15" i="6240" s="1"/>
  <c r="O14" i="6240"/>
  <c r="C14" i="6240"/>
  <c r="O13" i="6240"/>
  <c r="C13" i="6240"/>
  <c r="O12" i="6240"/>
  <c r="C12" i="6240"/>
  <c r="B11" i="6240"/>
  <c r="C11" i="6240" s="1"/>
  <c r="C10" i="6240"/>
  <c r="O9" i="6240"/>
  <c r="C9" i="6240"/>
  <c r="O8" i="6240"/>
  <c r="C8" i="6240"/>
  <c r="O7" i="6240"/>
  <c r="C7" i="6240"/>
  <c r="O6" i="6240"/>
  <c r="B6" i="6240"/>
  <c r="O5" i="6240"/>
  <c r="B5" i="6240"/>
  <c r="O4" i="6240"/>
  <c r="O3" i="6240"/>
  <c r="O2" i="6240"/>
  <c r="O19" i="6237"/>
  <c r="O22" i="6237"/>
  <c r="O19" i="6228"/>
  <c r="O19" i="6239"/>
  <c r="O20" i="6239"/>
  <c r="O18" i="6239"/>
  <c r="C47" i="6239"/>
  <c r="H40" i="6239"/>
  <c r="C39" i="6239"/>
  <c r="H38" i="6239"/>
  <c r="H32" i="6239"/>
  <c r="C32" i="6239"/>
  <c r="H31" i="6239"/>
  <c r="B27" i="6239"/>
  <c r="H25" i="6239"/>
  <c r="B24" i="6239"/>
  <c r="H23" i="6239"/>
  <c r="H19" i="6239"/>
  <c r="C19" i="6239"/>
  <c r="H18" i="6239"/>
  <c r="C18" i="6239"/>
  <c r="B17" i="6239"/>
  <c r="C45" i="6239" s="1"/>
  <c r="C16" i="6239"/>
  <c r="B16" i="6239"/>
  <c r="B26" i="6239" s="1"/>
  <c r="O15" i="6239"/>
  <c r="B15" i="6239"/>
  <c r="C15" i="6239" s="1"/>
  <c r="O14" i="6239"/>
  <c r="H14" i="6239"/>
  <c r="C14" i="6239"/>
  <c r="O13" i="6239"/>
  <c r="H13" i="6239"/>
  <c r="C13" i="6239"/>
  <c r="O12" i="6239"/>
  <c r="H12" i="6239"/>
  <c r="C12" i="6239"/>
  <c r="H11" i="6239"/>
  <c r="C11" i="6239"/>
  <c r="B11" i="6239"/>
  <c r="H10" i="6239"/>
  <c r="C10" i="6239"/>
  <c r="O9" i="6239"/>
  <c r="H9" i="6239"/>
  <c r="C9" i="6239"/>
  <c r="O8" i="6239"/>
  <c r="H8" i="6239"/>
  <c r="C8" i="6239"/>
  <c r="O7" i="6239"/>
  <c r="H7" i="6239"/>
  <c r="C7" i="6239"/>
  <c r="O6" i="6239"/>
  <c r="H6" i="6239"/>
  <c r="B6" i="6239"/>
  <c r="O5" i="6239"/>
  <c r="H5" i="6239"/>
  <c r="B5" i="6239"/>
  <c r="O4" i="6239"/>
  <c r="H4" i="6239"/>
  <c r="O3" i="6239"/>
  <c r="H3" i="6239"/>
  <c r="O2" i="6239"/>
  <c r="H2" i="6239"/>
  <c r="O29" i="6228"/>
  <c r="O23" i="6234"/>
  <c r="O18" i="6234"/>
  <c r="O18" i="6231"/>
  <c r="O24" i="6231"/>
  <c r="O21" i="6231"/>
  <c r="O21" i="6238"/>
  <c r="O22" i="6238"/>
  <c r="O32" i="6233"/>
  <c r="H16" i="6239" l="1"/>
  <c r="C20" i="6239"/>
  <c r="H34" i="6239"/>
  <c r="C41" i="6239"/>
  <c r="H21" i="6239"/>
  <c r="H26" i="6239"/>
  <c r="C35" i="6239"/>
  <c r="H41" i="6239"/>
  <c r="C17" i="6239"/>
  <c r="C22" i="6239"/>
  <c r="H36" i="6239"/>
  <c r="H42" i="6239"/>
  <c r="H17" i="6239"/>
  <c r="H22" i="6239"/>
  <c r="H27" i="6239"/>
  <c r="C37" i="6239"/>
  <c r="C43" i="6239"/>
  <c r="H15" i="6239"/>
  <c r="C23" i="6239"/>
  <c r="H28" i="6239"/>
  <c r="H37" i="6239"/>
  <c r="C46" i="6239"/>
  <c r="C16" i="6240"/>
  <c r="C35" i="6240"/>
  <c r="C20" i="6240"/>
  <c r="H25" i="6240"/>
  <c r="H26" i="6240"/>
  <c r="H19" i="6240"/>
  <c r="H9" i="6240"/>
  <c r="H3" i="6240"/>
  <c r="H6" i="6240"/>
  <c r="H37" i="6240"/>
  <c r="C22" i="6240"/>
  <c r="H8" i="6240"/>
  <c r="H11" i="6240"/>
  <c r="H18" i="6240"/>
  <c r="H20" i="6240"/>
  <c r="H16" i="6240"/>
  <c r="H30" i="6240"/>
  <c r="H21" i="6240"/>
  <c r="H12" i="6240"/>
  <c r="H34" i="6240"/>
  <c r="C39" i="6240"/>
  <c r="H29" i="6240"/>
  <c r="H41" i="6240"/>
  <c r="C17" i="6240"/>
  <c r="C42" i="6240"/>
  <c r="H14" i="6240"/>
  <c r="C36" i="6240"/>
  <c r="C41" i="6240"/>
  <c r="H2" i="6240"/>
  <c r="H17" i="6240"/>
  <c r="H22" i="6240"/>
  <c r="C23" i="6240"/>
  <c r="H31" i="6240"/>
  <c r="C37" i="6240"/>
  <c r="H4" i="6240"/>
  <c r="H7" i="6240"/>
  <c r="C19" i="6240"/>
  <c r="H27" i="6240"/>
  <c r="H32" i="6240"/>
  <c r="C38" i="6240"/>
  <c r="C43" i="6240"/>
  <c r="H5" i="6240"/>
  <c r="H10" i="6240"/>
  <c r="H23" i="6240"/>
  <c r="B24" i="6240"/>
  <c r="H39" i="6240"/>
  <c r="C45" i="6240"/>
  <c r="C46" i="6240"/>
  <c r="C21" i="6240"/>
  <c r="H13" i="6240"/>
  <c r="H35" i="6240"/>
  <c r="C40" i="6240"/>
  <c r="C47" i="6240"/>
  <c r="B25" i="6240"/>
  <c r="H33" i="6240"/>
  <c r="H38" i="6240"/>
  <c r="H42" i="6240"/>
  <c r="H24" i="6240"/>
  <c r="H28" i="6240"/>
  <c r="H15" i="6240"/>
  <c r="H36" i="6240"/>
  <c r="H40" i="6240"/>
  <c r="H33" i="6239"/>
  <c r="C38" i="6239"/>
  <c r="C42" i="6239"/>
  <c r="H20" i="6239"/>
  <c r="H24" i="6239"/>
  <c r="H29" i="6239"/>
  <c r="H35" i="6239"/>
  <c r="H39" i="6239"/>
  <c r="C44" i="6239"/>
  <c r="C21" i="6239"/>
  <c r="B25" i="6239"/>
  <c r="H30" i="6239"/>
  <c r="C36" i="6239"/>
  <c r="C40" i="6239"/>
  <c r="O24" i="6229" l="1"/>
  <c r="O29" i="6229"/>
  <c r="O26" i="6230"/>
  <c r="O27" i="6230"/>
  <c r="O28" i="6233"/>
  <c r="O27" i="6233"/>
  <c r="O21" i="6233"/>
  <c r="O30" i="6228"/>
  <c r="O19" i="6238"/>
  <c r="O18" i="6238"/>
  <c r="O20" i="6238"/>
  <c r="C32" i="6238"/>
  <c r="B27" i="6238"/>
  <c r="C18" i="6238"/>
  <c r="B17" i="6238"/>
  <c r="C45" i="6238" s="1"/>
  <c r="B16" i="6238"/>
  <c r="B26" i="6238" s="1"/>
  <c r="O15" i="6238"/>
  <c r="B15" i="6238"/>
  <c r="C15" i="6238" s="1"/>
  <c r="O14" i="6238"/>
  <c r="C14" i="6238"/>
  <c r="O13" i="6238"/>
  <c r="C13" i="6238"/>
  <c r="O12" i="6238"/>
  <c r="C12" i="6238"/>
  <c r="B11" i="6238"/>
  <c r="C11" i="6238" s="1"/>
  <c r="C10" i="6238"/>
  <c r="O9" i="6238"/>
  <c r="C9" i="6238"/>
  <c r="O8" i="6238"/>
  <c r="C8" i="6238"/>
  <c r="O7" i="6238"/>
  <c r="C7" i="6238"/>
  <c r="O6" i="6238"/>
  <c r="B6" i="6238"/>
  <c r="O5" i="6238"/>
  <c r="B5" i="6238"/>
  <c r="O4" i="6238"/>
  <c r="O3" i="6238"/>
  <c r="O2" i="6238"/>
  <c r="O24" i="6230"/>
  <c r="O25" i="6230"/>
  <c r="O24" i="6236"/>
  <c r="O25" i="6236"/>
  <c r="O26" i="6236"/>
  <c r="O18" i="6237"/>
  <c r="O20" i="6237"/>
  <c r="O21" i="6237"/>
  <c r="C32" i="6237"/>
  <c r="B27" i="6237"/>
  <c r="C18" i="6237"/>
  <c r="B17" i="6237"/>
  <c r="C44" i="6237" s="1"/>
  <c r="C16" i="6237"/>
  <c r="B16" i="6237"/>
  <c r="B26" i="6237" s="1"/>
  <c r="O15" i="6237"/>
  <c r="B15" i="6237"/>
  <c r="C15" i="6237" s="1"/>
  <c r="O14" i="6237"/>
  <c r="C14" i="6237"/>
  <c r="O13" i="6237"/>
  <c r="C13" i="6237"/>
  <c r="O12" i="6237"/>
  <c r="C12" i="6237"/>
  <c r="B11" i="6237"/>
  <c r="C11" i="6237" s="1"/>
  <c r="C10" i="6237"/>
  <c r="O9" i="6237"/>
  <c r="C9" i="6237"/>
  <c r="O8" i="6237"/>
  <c r="C8" i="6237"/>
  <c r="O7" i="6237"/>
  <c r="C7" i="6237"/>
  <c r="O6" i="6237"/>
  <c r="B6" i="6237"/>
  <c r="O5" i="6237"/>
  <c r="B5" i="6237"/>
  <c r="O4" i="6237"/>
  <c r="O3" i="6237"/>
  <c r="O2" i="6237"/>
  <c r="O27" i="6229"/>
  <c r="O28" i="6229"/>
  <c r="O27" i="6228"/>
  <c r="C21" i="6237" l="1"/>
  <c r="H10" i="6237"/>
  <c r="H15" i="6237"/>
  <c r="H3" i="6237"/>
  <c r="H28" i="6237"/>
  <c r="C35" i="6237"/>
  <c r="H17" i="6237"/>
  <c r="C16" i="6238"/>
  <c r="H18" i="6238"/>
  <c r="C20" i="6238"/>
  <c r="H16" i="6238"/>
  <c r="H4" i="6238"/>
  <c r="H2" i="6238"/>
  <c r="H13" i="6238"/>
  <c r="H12" i="6238"/>
  <c r="H34" i="6238"/>
  <c r="C39" i="6238"/>
  <c r="C17" i="6238"/>
  <c r="C47" i="6238"/>
  <c r="H22" i="6238"/>
  <c r="H27" i="6238"/>
  <c r="H35" i="6238"/>
  <c r="H41" i="6238"/>
  <c r="C22" i="6238"/>
  <c r="C35" i="6238"/>
  <c r="C41" i="6238"/>
  <c r="H11" i="6238"/>
  <c r="H42" i="6238"/>
  <c r="C37" i="6238"/>
  <c r="H19" i="6238"/>
  <c r="H23" i="6238"/>
  <c r="H28" i="6238"/>
  <c r="H17" i="6238"/>
  <c r="C23" i="6238"/>
  <c r="H29" i="6238"/>
  <c r="C42" i="6238"/>
  <c r="C19" i="6238"/>
  <c r="H5" i="6238"/>
  <c r="H37" i="6238"/>
  <c r="H3" i="6238"/>
  <c r="H15" i="6238"/>
  <c r="H20" i="6238"/>
  <c r="H24" i="6238"/>
  <c r="H32" i="6238"/>
  <c r="H38" i="6238"/>
  <c r="H10" i="6238"/>
  <c r="H6" i="6238"/>
  <c r="H8" i="6238"/>
  <c r="B24" i="6238"/>
  <c r="C38" i="6238"/>
  <c r="C43" i="6238"/>
  <c r="H21" i="6238"/>
  <c r="H26" i="6238"/>
  <c r="H33" i="6238"/>
  <c r="H39" i="6238"/>
  <c r="C46" i="6238"/>
  <c r="H9" i="6238"/>
  <c r="H25" i="6238"/>
  <c r="H30" i="6238"/>
  <c r="H36" i="6238"/>
  <c r="H40" i="6238"/>
  <c r="C44" i="6238"/>
  <c r="H7" i="6238"/>
  <c r="H14" i="6238"/>
  <c r="C21" i="6238"/>
  <c r="B25" i="6238"/>
  <c r="H31" i="6238"/>
  <c r="C36" i="6238"/>
  <c r="C40" i="6238"/>
  <c r="C36" i="6237"/>
  <c r="H41" i="6237"/>
  <c r="H12" i="6237"/>
  <c r="C20" i="6237"/>
  <c r="C41" i="6237"/>
  <c r="C42" i="6237"/>
  <c r="H37" i="6237"/>
  <c r="H31" i="6237"/>
  <c r="H2" i="6237"/>
  <c r="H32" i="6237"/>
  <c r="C43" i="6237"/>
  <c r="H4" i="6237"/>
  <c r="H29" i="6237"/>
  <c r="H11" i="6237"/>
  <c r="C22" i="6237"/>
  <c r="C23" i="6237"/>
  <c r="H7" i="6237"/>
  <c r="H39" i="6237"/>
  <c r="C45" i="6237"/>
  <c r="C17" i="6237"/>
  <c r="C37" i="6237"/>
  <c r="H18" i="6237"/>
  <c r="H24" i="6237"/>
  <c r="H8" i="6237"/>
  <c r="H14" i="6237"/>
  <c r="C19" i="6237"/>
  <c r="B24" i="6237"/>
  <c r="H34" i="6237"/>
  <c r="C46" i="6237"/>
  <c r="H6" i="6237"/>
  <c r="H22" i="6237"/>
  <c r="H13" i="6237"/>
  <c r="H9" i="6237"/>
  <c r="C38" i="6237"/>
  <c r="H16" i="6237"/>
  <c r="C39" i="6237"/>
  <c r="H5" i="6237"/>
  <c r="H20" i="6237"/>
  <c r="H26" i="6237"/>
  <c r="H35" i="6237"/>
  <c r="C40" i="6237"/>
  <c r="C47" i="6237"/>
  <c r="B25" i="6237"/>
  <c r="H19" i="6237"/>
  <c r="H23" i="6237"/>
  <c r="H27" i="6237"/>
  <c r="H33" i="6237"/>
  <c r="H38" i="6237"/>
  <c r="H42" i="6237"/>
  <c r="H21" i="6237"/>
  <c r="H25" i="6237"/>
  <c r="H30" i="6237"/>
  <c r="H36" i="6237"/>
  <c r="H40" i="6237"/>
  <c r="O23" i="6236" l="1"/>
  <c r="O18" i="6236"/>
  <c r="O28" i="6236"/>
  <c r="C32" i="6236"/>
  <c r="B27" i="6236"/>
  <c r="C18" i="6236"/>
  <c r="B17" i="6236"/>
  <c r="C46" i="6236" s="1"/>
  <c r="C16" i="6236"/>
  <c r="B16" i="6236"/>
  <c r="O15" i="6236"/>
  <c r="B15" i="6236"/>
  <c r="C15" i="6236" s="1"/>
  <c r="O14" i="6236"/>
  <c r="C14" i="6236"/>
  <c r="O13" i="6236"/>
  <c r="C13" i="6236"/>
  <c r="O12" i="6236"/>
  <c r="C12" i="6236"/>
  <c r="B11" i="6236"/>
  <c r="C11" i="6236" s="1"/>
  <c r="C10" i="6236"/>
  <c r="O9" i="6236"/>
  <c r="C9" i="6236"/>
  <c r="O8" i="6236"/>
  <c r="C8" i="6236"/>
  <c r="O7" i="6236"/>
  <c r="C7" i="6236"/>
  <c r="O6" i="6236"/>
  <c r="B6" i="6236"/>
  <c r="O5" i="6236"/>
  <c r="B5" i="6236"/>
  <c r="O4" i="6236"/>
  <c r="O3" i="6236"/>
  <c r="O2" i="6236"/>
  <c r="O18" i="6235"/>
  <c r="O19" i="6235"/>
  <c r="O20" i="6235"/>
  <c r="C32" i="6235"/>
  <c r="H32" i="6235"/>
  <c r="B27" i="6235"/>
  <c r="C18" i="6235"/>
  <c r="B17" i="6235"/>
  <c r="C44" i="6235" s="1"/>
  <c r="C16" i="6235"/>
  <c r="B16" i="6235"/>
  <c r="B26" i="6235" s="1"/>
  <c r="O15" i="6235"/>
  <c r="B15" i="6235"/>
  <c r="C15" i="6235" s="1"/>
  <c r="O14" i="6235"/>
  <c r="C14" i="6235"/>
  <c r="O13" i="6235"/>
  <c r="C13" i="6235"/>
  <c r="O12" i="6235"/>
  <c r="C12" i="6235"/>
  <c r="B11" i="6235"/>
  <c r="C11" i="6235" s="1"/>
  <c r="H11" i="6235"/>
  <c r="C10" i="6235"/>
  <c r="O9" i="6235"/>
  <c r="C9" i="6235"/>
  <c r="O8" i="6235"/>
  <c r="C8" i="6235"/>
  <c r="O7" i="6235"/>
  <c r="C7" i="6235"/>
  <c r="O6" i="6235"/>
  <c r="B6" i="6235"/>
  <c r="O5" i="6235"/>
  <c r="B5" i="6235"/>
  <c r="O4" i="6235"/>
  <c r="O3" i="6235"/>
  <c r="H8" i="6235"/>
  <c r="O2" i="6235"/>
  <c r="O21" i="6234"/>
  <c r="O24" i="6234"/>
  <c r="O22" i="6234"/>
  <c r="C32" i="6234"/>
  <c r="B27" i="6234"/>
  <c r="B26" i="6234"/>
  <c r="C18" i="6234"/>
  <c r="B17" i="6234"/>
  <c r="C46" i="6234" s="1"/>
  <c r="B16" i="6234"/>
  <c r="C16" i="6234" s="1"/>
  <c r="O15" i="6234"/>
  <c r="B15" i="6234"/>
  <c r="C15" i="6234" s="1"/>
  <c r="O14" i="6234"/>
  <c r="C14" i="6234"/>
  <c r="O13" i="6234"/>
  <c r="C13" i="6234"/>
  <c r="O12" i="6234"/>
  <c r="C12" i="6234"/>
  <c r="B11" i="6234"/>
  <c r="C11" i="6234" s="1"/>
  <c r="C10" i="6234"/>
  <c r="O9" i="6234"/>
  <c r="C9" i="6234"/>
  <c r="O8" i="6234"/>
  <c r="C8" i="6234"/>
  <c r="O7" i="6234"/>
  <c r="C7" i="6234"/>
  <c r="O6" i="6234"/>
  <c r="B6" i="6234"/>
  <c r="O5" i="6234"/>
  <c r="B5" i="6234"/>
  <c r="O4" i="6234"/>
  <c r="O3" i="6234"/>
  <c r="O2" i="6234"/>
  <c r="O36" i="6228"/>
  <c r="O29" i="6233"/>
  <c r="O31" i="6233"/>
  <c r="O22" i="6233"/>
  <c r="C32" i="6233"/>
  <c r="B27" i="6233"/>
  <c r="C18" i="6233"/>
  <c r="B17" i="6233"/>
  <c r="C45" i="6233" s="1"/>
  <c r="B16" i="6233"/>
  <c r="B26" i="6233" s="1"/>
  <c r="O15" i="6233"/>
  <c r="B15" i="6233"/>
  <c r="C15" i="6233" s="1"/>
  <c r="O14" i="6233"/>
  <c r="C14" i="6233"/>
  <c r="O13" i="6233"/>
  <c r="C13" i="6233"/>
  <c r="O12" i="6233"/>
  <c r="C12" i="6233"/>
  <c r="B11" i="6233"/>
  <c r="C11" i="6233" s="1"/>
  <c r="C10" i="6233"/>
  <c r="O9" i="6233"/>
  <c r="C9" i="6233"/>
  <c r="O8" i="6233"/>
  <c r="C8" i="6233"/>
  <c r="O7" i="6233"/>
  <c r="C7" i="6233"/>
  <c r="O6" i="6233"/>
  <c r="B6" i="6233"/>
  <c r="O5" i="6233"/>
  <c r="B5" i="6233"/>
  <c r="O4" i="6233"/>
  <c r="O3" i="6233"/>
  <c r="O2" i="6233"/>
  <c r="O33" i="6228"/>
  <c r="O35" i="6228"/>
  <c r="O23" i="6228"/>
  <c r="C19" i="6235" l="1"/>
  <c r="H20" i="6235"/>
  <c r="H37" i="6235"/>
  <c r="C20" i="6235"/>
  <c r="C37" i="6235"/>
  <c r="C23" i="6235"/>
  <c r="H38" i="6235"/>
  <c r="H14" i="6235"/>
  <c r="H24" i="6235"/>
  <c r="H4" i="6235"/>
  <c r="H6" i="6235"/>
  <c r="H17" i="6235"/>
  <c r="B24" i="6235"/>
  <c r="H9" i="6234"/>
  <c r="C16" i="6233"/>
  <c r="B25" i="6236"/>
  <c r="C17" i="6234"/>
  <c r="H3" i="6234"/>
  <c r="H21" i="6234"/>
  <c r="H10" i="6233"/>
  <c r="H37" i="6233"/>
  <c r="H5" i="6236"/>
  <c r="H10" i="6236"/>
  <c r="C22" i="6236"/>
  <c r="H19" i="6236"/>
  <c r="H21" i="6236"/>
  <c r="H15" i="6236"/>
  <c r="H7" i="6236"/>
  <c r="H9" i="6236"/>
  <c r="C38" i="6236"/>
  <c r="H16" i="6236"/>
  <c r="H31" i="6236"/>
  <c r="H20" i="6236"/>
  <c r="C19" i="6236"/>
  <c r="C39" i="6236"/>
  <c r="H3" i="6236"/>
  <c r="H18" i="6236"/>
  <c r="C20" i="6236"/>
  <c r="C40" i="6236"/>
  <c r="H12" i="6236"/>
  <c r="C21" i="6236"/>
  <c r="C41" i="6236"/>
  <c r="C42" i="6236"/>
  <c r="H8" i="6236"/>
  <c r="C35" i="6236"/>
  <c r="C43" i="6236"/>
  <c r="H11" i="6236"/>
  <c r="H6" i="6236"/>
  <c r="H17" i="6236"/>
  <c r="C17" i="6236"/>
  <c r="C23" i="6236"/>
  <c r="C36" i="6236"/>
  <c r="C45" i="6236"/>
  <c r="H34" i="6236"/>
  <c r="H14" i="6236"/>
  <c r="B24" i="6236"/>
  <c r="C37" i="6236"/>
  <c r="C47" i="6236"/>
  <c r="B26" i="6236"/>
  <c r="H28" i="6236"/>
  <c r="H33" i="6236"/>
  <c r="H38" i="6236"/>
  <c r="H42" i="6236"/>
  <c r="H22" i="6236"/>
  <c r="H25" i="6236"/>
  <c r="H29" i="6236"/>
  <c r="H35" i="6236"/>
  <c r="H39" i="6236"/>
  <c r="H4" i="6236"/>
  <c r="H23" i="6236"/>
  <c r="H26" i="6236"/>
  <c r="H30" i="6236"/>
  <c r="H36" i="6236"/>
  <c r="H40" i="6236"/>
  <c r="C44" i="6236"/>
  <c r="H2" i="6236"/>
  <c r="H13" i="6236"/>
  <c r="H24" i="6236"/>
  <c r="H27" i="6236"/>
  <c r="H32" i="6236"/>
  <c r="H37" i="6236"/>
  <c r="H41" i="6236"/>
  <c r="C41" i="6235"/>
  <c r="H15" i="6235"/>
  <c r="H3" i="6235"/>
  <c r="H12" i="6235"/>
  <c r="H42" i="6235"/>
  <c r="H9" i="6235"/>
  <c r="H19" i="6235"/>
  <c r="H31" i="6235"/>
  <c r="C42" i="6235"/>
  <c r="H26" i="6235"/>
  <c r="H33" i="6235"/>
  <c r="C38" i="6235"/>
  <c r="H2" i="6235"/>
  <c r="C43" i="6235"/>
  <c r="H34" i="6235"/>
  <c r="H10" i="6235"/>
  <c r="H13" i="6235"/>
  <c r="C17" i="6235"/>
  <c r="H22" i="6235"/>
  <c r="H35" i="6235"/>
  <c r="C39" i="6235"/>
  <c r="C45" i="6235"/>
  <c r="H27" i="6235"/>
  <c r="H5" i="6235"/>
  <c r="H18" i="6235"/>
  <c r="C22" i="6235"/>
  <c r="H28" i="6235"/>
  <c r="C35" i="6235"/>
  <c r="C40" i="6235"/>
  <c r="C46" i="6235"/>
  <c r="C21" i="6235"/>
  <c r="H39" i="6235"/>
  <c r="H7" i="6235"/>
  <c r="H16" i="6235"/>
  <c r="H23" i="6235"/>
  <c r="H29" i="6235"/>
  <c r="C36" i="6235"/>
  <c r="H41" i="6235"/>
  <c r="C47" i="6235"/>
  <c r="B25" i="6235"/>
  <c r="H21" i="6235"/>
  <c r="H25" i="6235"/>
  <c r="H30" i="6235"/>
  <c r="H36" i="6235"/>
  <c r="H40" i="6235"/>
  <c r="H11" i="6234"/>
  <c r="H17" i="6234"/>
  <c r="C22" i="6234"/>
  <c r="C41" i="6234"/>
  <c r="C47" i="6234"/>
  <c r="H4" i="6234"/>
  <c r="H15" i="6234"/>
  <c r="H19" i="6234"/>
  <c r="H23" i="6234"/>
  <c r="H27" i="6234"/>
  <c r="H33" i="6234"/>
  <c r="H38" i="6234"/>
  <c r="H42" i="6234"/>
  <c r="C37" i="6234"/>
  <c r="H10" i="6234"/>
  <c r="C19" i="6234"/>
  <c r="C23" i="6234"/>
  <c r="H34" i="6234"/>
  <c r="C38" i="6234"/>
  <c r="C42" i="6234"/>
  <c r="H2" i="6234"/>
  <c r="H7" i="6234"/>
  <c r="H20" i="6234"/>
  <c r="H24" i="6234"/>
  <c r="H28" i="6234"/>
  <c r="H35" i="6234"/>
  <c r="H39" i="6234"/>
  <c r="H6" i="6234"/>
  <c r="H13" i="6234"/>
  <c r="H16" i="6234"/>
  <c r="H18" i="6234"/>
  <c r="C20" i="6234"/>
  <c r="B24" i="6234"/>
  <c r="H29" i="6234"/>
  <c r="C35" i="6234"/>
  <c r="C39" i="6234"/>
  <c r="C43" i="6234"/>
  <c r="H25" i="6234"/>
  <c r="H30" i="6234"/>
  <c r="H36" i="6234"/>
  <c r="H40" i="6234"/>
  <c r="C44" i="6234"/>
  <c r="H12" i="6234"/>
  <c r="H14" i="6234"/>
  <c r="C21" i="6234"/>
  <c r="B25" i="6234"/>
  <c r="H31" i="6234"/>
  <c r="C36" i="6234"/>
  <c r="C40" i="6234"/>
  <c r="C45" i="6234"/>
  <c r="H5" i="6234"/>
  <c r="H8" i="6234"/>
  <c r="H22" i="6234"/>
  <c r="H26" i="6234"/>
  <c r="H32" i="6234"/>
  <c r="H37" i="6234"/>
  <c r="H41" i="6234"/>
  <c r="H25" i="6233"/>
  <c r="H27" i="6233"/>
  <c r="C17" i="6233"/>
  <c r="H39" i="6233"/>
  <c r="H20" i="6233"/>
  <c r="H41" i="6233"/>
  <c r="C41" i="6233"/>
  <c r="C37" i="6233"/>
  <c r="H2" i="6233"/>
  <c r="H6" i="6233"/>
  <c r="H29" i="6233"/>
  <c r="H11" i="6233"/>
  <c r="H18" i="6233"/>
  <c r="H22" i="6233"/>
  <c r="H32" i="6233"/>
  <c r="H3" i="6233"/>
  <c r="H4" i="6233"/>
  <c r="H24" i="6233"/>
  <c r="C46" i="6233"/>
  <c r="H8" i="6233"/>
  <c r="H16" i="6233"/>
  <c r="C22" i="6233"/>
  <c r="H35" i="6233"/>
  <c r="C47" i="6233"/>
  <c r="H42" i="6233"/>
  <c r="H5" i="6233"/>
  <c r="H21" i="6233"/>
  <c r="H13" i="6233"/>
  <c r="H28" i="6233"/>
  <c r="H33" i="6233"/>
  <c r="H38" i="6233"/>
  <c r="H7" i="6233"/>
  <c r="C19" i="6233"/>
  <c r="C23" i="6233"/>
  <c r="H34" i="6233"/>
  <c r="C38" i="6233"/>
  <c r="C42" i="6233"/>
  <c r="H15" i="6233"/>
  <c r="H17" i="6233"/>
  <c r="H19" i="6233"/>
  <c r="C20" i="6233"/>
  <c r="B24" i="6233"/>
  <c r="H14" i="6233"/>
  <c r="C35" i="6233"/>
  <c r="C39" i="6233"/>
  <c r="C43" i="6233"/>
  <c r="H23" i="6233"/>
  <c r="H26" i="6233"/>
  <c r="H30" i="6233"/>
  <c r="H36" i="6233"/>
  <c r="H40" i="6233"/>
  <c r="C44" i="6233"/>
  <c r="H9" i="6233"/>
  <c r="H12" i="6233"/>
  <c r="C21" i="6233"/>
  <c r="B25" i="6233"/>
  <c r="H31" i="6233"/>
  <c r="C36" i="6233"/>
  <c r="C40" i="6233"/>
  <c r="O25" i="6232" l="1"/>
  <c r="O23" i="6232"/>
  <c r="O22" i="6232"/>
  <c r="C35" i="6232"/>
  <c r="C32" i="6232"/>
  <c r="H28" i="6232"/>
  <c r="B27" i="6232"/>
  <c r="C21" i="6232"/>
  <c r="C18" i="6232"/>
  <c r="B17" i="6232"/>
  <c r="C44" i="6232" s="1"/>
  <c r="H22" i="6232"/>
  <c r="B16" i="6232"/>
  <c r="B26" i="6232" s="1"/>
  <c r="O15" i="6232"/>
  <c r="B15" i="6232"/>
  <c r="C15" i="6232" s="1"/>
  <c r="O14" i="6232"/>
  <c r="C14" i="6232"/>
  <c r="O13" i="6232"/>
  <c r="C13" i="6232"/>
  <c r="O12" i="6232"/>
  <c r="C12" i="6232"/>
  <c r="B11" i="6232"/>
  <c r="C11" i="6232" s="1"/>
  <c r="C10" i="6232"/>
  <c r="O9" i="6232"/>
  <c r="C9" i="6232"/>
  <c r="O8" i="6232"/>
  <c r="C8" i="6232"/>
  <c r="O7" i="6232"/>
  <c r="C7" i="6232"/>
  <c r="O6" i="6232"/>
  <c r="H6" i="6232"/>
  <c r="B6" i="6232"/>
  <c r="O5" i="6232"/>
  <c r="B5" i="6232"/>
  <c r="O4" i="6232"/>
  <c r="O3" i="6232"/>
  <c r="H10" i="6232"/>
  <c r="O2" i="6232"/>
  <c r="H3" i="6232"/>
  <c r="O28" i="6231"/>
  <c r="O27" i="6231"/>
  <c r="O26" i="6231"/>
  <c r="C32" i="6231"/>
  <c r="B27" i="6231"/>
  <c r="C18" i="6231"/>
  <c r="B17" i="6231"/>
  <c r="C45" i="6231" s="1"/>
  <c r="B16" i="6231"/>
  <c r="B26" i="6231" s="1"/>
  <c r="O15" i="6231"/>
  <c r="B15" i="6231"/>
  <c r="C15" i="6231" s="1"/>
  <c r="O14" i="6231"/>
  <c r="C14" i="6231"/>
  <c r="O13" i="6231"/>
  <c r="C13" i="6231"/>
  <c r="O12" i="6231"/>
  <c r="C12" i="6231"/>
  <c r="B11" i="6231"/>
  <c r="C11" i="6231" s="1"/>
  <c r="C10" i="6231"/>
  <c r="O9" i="6231"/>
  <c r="C9" i="6231"/>
  <c r="O8" i="6231"/>
  <c r="C8" i="6231"/>
  <c r="O7" i="6231"/>
  <c r="C7" i="6231"/>
  <c r="O6" i="6231"/>
  <c r="B6" i="6231"/>
  <c r="O5" i="6231"/>
  <c r="B5" i="6231"/>
  <c r="O4" i="6231"/>
  <c r="O3" i="6231"/>
  <c r="O2" i="6231"/>
  <c r="O21" i="6230"/>
  <c r="O20" i="6230"/>
  <c r="O18" i="6230"/>
  <c r="C32" i="6230"/>
  <c r="B27" i="6230"/>
  <c r="C18" i="6230"/>
  <c r="B17" i="6230"/>
  <c r="C46" i="6230" s="1"/>
  <c r="B16" i="6230"/>
  <c r="O15" i="6230"/>
  <c r="B15" i="6230"/>
  <c r="C15" i="6230" s="1"/>
  <c r="O14" i="6230"/>
  <c r="C14" i="6230"/>
  <c r="O13" i="6230"/>
  <c r="C13" i="6230"/>
  <c r="O12" i="6230"/>
  <c r="C12" i="6230"/>
  <c r="B11" i="6230"/>
  <c r="C11" i="6230" s="1"/>
  <c r="C10" i="6230"/>
  <c r="O9" i="6230"/>
  <c r="C9" i="6230"/>
  <c r="O8" i="6230"/>
  <c r="C8" i="6230"/>
  <c r="O7" i="6230"/>
  <c r="C7" i="6230"/>
  <c r="O6" i="6230"/>
  <c r="B6" i="6230"/>
  <c r="O5" i="6230"/>
  <c r="B5" i="6230"/>
  <c r="O4" i="6230"/>
  <c r="O3" i="6230"/>
  <c r="O2" i="6230"/>
  <c r="O28" i="6228"/>
  <c r="O23" i="6229"/>
  <c r="O20" i="6229"/>
  <c r="O26" i="6229"/>
  <c r="C32" i="6229"/>
  <c r="B27" i="6229"/>
  <c r="C18" i="6229"/>
  <c r="B17" i="6229"/>
  <c r="C45" i="6229" s="1"/>
  <c r="B16" i="6229"/>
  <c r="B26" i="6229" s="1"/>
  <c r="O15" i="6229"/>
  <c r="B15" i="6229"/>
  <c r="C15" i="6229" s="1"/>
  <c r="O14" i="6229"/>
  <c r="C14" i="6229"/>
  <c r="O13" i="6229"/>
  <c r="C13" i="6229"/>
  <c r="O12" i="6229"/>
  <c r="C12" i="6229"/>
  <c r="B11" i="6229"/>
  <c r="C11" i="6229" s="1"/>
  <c r="C10" i="6229"/>
  <c r="O9" i="6229"/>
  <c r="C9" i="6229"/>
  <c r="O8" i="6229"/>
  <c r="C8" i="6229"/>
  <c r="O7" i="6229"/>
  <c r="C7" i="6229"/>
  <c r="O6" i="6229"/>
  <c r="B6" i="6229"/>
  <c r="O5" i="6229"/>
  <c r="B5" i="6229"/>
  <c r="O4" i="6229"/>
  <c r="O3" i="6229"/>
  <c r="O2" i="6229"/>
  <c r="O32" i="6228"/>
  <c r="O37" i="6228"/>
  <c r="O25" i="6228"/>
  <c r="C32" i="6228"/>
  <c r="B27" i="6228"/>
  <c r="C18" i="6228"/>
  <c r="B17" i="6228"/>
  <c r="C44" i="6228" s="1"/>
  <c r="B16" i="6228"/>
  <c r="B26" i="6228" s="1"/>
  <c r="O15" i="6228"/>
  <c r="B15" i="6228"/>
  <c r="C15" i="6228" s="1"/>
  <c r="O14" i="6228"/>
  <c r="C14" i="6228"/>
  <c r="O13" i="6228"/>
  <c r="C13" i="6228"/>
  <c r="O12" i="6228"/>
  <c r="C12" i="6228"/>
  <c r="B11" i="6228"/>
  <c r="C11" i="6228" s="1"/>
  <c r="C10" i="6228"/>
  <c r="O9" i="6228"/>
  <c r="C9" i="6228"/>
  <c r="O8" i="6228"/>
  <c r="C8" i="6228"/>
  <c r="O7" i="6228"/>
  <c r="C7" i="6228"/>
  <c r="O6" i="6228"/>
  <c r="B6" i="6228"/>
  <c r="O5" i="6228"/>
  <c r="B5" i="6228"/>
  <c r="O4" i="6228"/>
  <c r="O3" i="6228"/>
  <c r="O2" i="6228"/>
  <c r="B25" i="6230" l="1"/>
  <c r="H16" i="6232"/>
  <c r="C16" i="6230"/>
  <c r="H32" i="6231"/>
  <c r="C16" i="6232"/>
  <c r="H20" i="6232"/>
  <c r="C16" i="6231"/>
  <c r="C16" i="6229"/>
  <c r="H3" i="6231"/>
  <c r="H21" i="6231"/>
  <c r="H23" i="6231"/>
  <c r="H6" i="6231"/>
  <c r="H7" i="6231"/>
  <c r="C22" i="6231"/>
  <c r="H18" i="6231"/>
  <c r="H37" i="6231"/>
  <c r="H10" i="6231"/>
  <c r="H18" i="6229"/>
  <c r="H32" i="6229"/>
  <c r="H12" i="6229"/>
  <c r="H20" i="6229"/>
  <c r="H2" i="6229"/>
  <c r="H13" i="6229"/>
  <c r="H37" i="6229"/>
  <c r="C39" i="6229"/>
  <c r="H5" i="6229"/>
  <c r="H7" i="6229"/>
  <c r="C35" i="6229"/>
  <c r="H19" i="6229"/>
  <c r="C20" i="6229"/>
  <c r="H10" i="6229"/>
  <c r="H24" i="6229"/>
  <c r="B24" i="6229"/>
  <c r="H9" i="6229"/>
  <c r="H8" i="6230"/>
  <c r="H10" i="6230"/>
  <c r="H13" i="6230"/>
  <c r="C16" i="6228"/>
  <c r="C36" i="6232"/>
  <c r="H41" i="6232"/>
  <c r="H17" i="6232"/>
  <c r="C20" i="6232"/>
  <c r="C41" i="6232"/>
  <c r="H25" i="6232"/>
  <c r="H29" i="6232"/>
  <c r="H37" i="6232"/>
  <c r="C42" i="6232"/>
  <c r="H7" i="6232"/>
  <c r="H18" i="6232"/>
  <c r="C17" i="6232"/>
  <c r="C22" i="6232"/>
  <c r="H31" i="6232"/>
  <c r="C37" i="6232"/>
  <c r="H5" i="6232"/>
  <c r="H12" i="6232"/>
  <c r="C43" i="6232"/>
  <c r="C23" i="6232"/>
  <c r="C38" i="6232"/>
  <c r="H9" i="6232"/>
  <c r="H21" i="6232"/>
  <c r="H14" i="6232"/>
  <c r="H39" i="6232"/>
  <c r="C45" i="6232"/>
  <c r="H4" i="6232"/>
  <c r="H19" i="6232"/>
  <c r="C19" i="6232"/>
  <c r="B24" i="6232"/>
  <c r="H34" i="6232"/>
  <c r="C39" i="6232"/>
  <c r="C46" i="6232"/>
  <c r="H2" i="6232"/>
  <c r="H32" i="6232"/>
  <c r="H8" i="6232"/>
  <c r="H24" i="6232"/>
  <c r="H15" i="6232"/>
  <c r="H35" i="6232"/>
  <c r="C40" i="6232"/>
  <c r="C47" i="6232"/>
  <c r="B25" i="6232"/>
  <c r="H23" i="6232"/>
  <c r="H11" i="6232"/>
  <c r="H27" i="6232"/>
  <c r="H33" i="6232"/>
  <c r="H38" i="6232"/>
  <c r="H42" i="6232"/>
  <c r="H13" i="6232"/>
  <c r="H26" i="6232"/>
  <c r="H30" i="6232"/>
  <c r="H36" i="6232"/>
  <c r="H40" i="6232"/>
  <c r="H24" i="6231"/>
  <c r="C37" i="6231"/>
  <c r="H41" i="6231"/>
  <c r="C17" i="6231"/>
  <c r="C41" i="6231"/>
  <c r="H2" i="6231"/>
  <c r="H8" i="6231"/>
  <c r="H4" i="6231"/>
  <c r="H20" i="6231"/>
  <c r="C46" i="6231"/>
  <c r="H26" i="6231"/>
  <c r="H28" i="6231"/>
  <c r="C47" i="6231"/>
  <c r="H16" i="6231"/>
  <c r="H12" i="6231"/>
  <c r="H13" i="6231"/>
  <c r="H27" i="6231"/>
  <c r="H33" i="6231"/>
  <c r="H38" i="6231"/>
  <c r="H42" i="6231"/>
  <c r="H9" i="6231"/>
  <c r="C19" i="6231"/>
  <c r="C23" i="6231"/>
  <c r="H34" i="6231"/>
  <c r="C38" i="6231"/>
  <c r="C42" i="6231"/>
  <c r="H35" i="6231"/>
  <c r="H39" i="6231"/>
  <c r="H5" i="6231"/>
  <c r="H14" i="6231"/>
  <c r="H17" i="6231"/>
  <c r="H19" i="6231"/>
  <c r="C20" i="6231"/>
  <c r="B24" i="6231"/>
  <c r="H29" i="6231"/>
  <c r="C35" i="6231"/>
  <c r="C39" i="6231"/>
  <c r="C43" i="6231"/>
  <c r="H22" i="6231"/>
  <c r="H25" i="6231"/>
  <c r="H30" i="6231"/>
  <c r="H36" i="6231"/>
  <c r="H40" i="6231"/>
  <c r="C44" i="6231"/>
  <c r="H11" i="6231"/>
  <c r="H15" i="6231"/>
  <c r="C21" i="6231"/>
  <c r="B25" i="6231"/>
  <c r="H31" i="6231"/>
  <c r="C36" i="6231"/>
  <c r="C40" i="6231"/>
  <c r="H26" i="6228"/>
  <c r="H17" i="6230"/>
  <c r="H34" i="6230"/>
  <c r="H22" i="6230"/>
  <c r="H14" i="6230"/>
  <c r="C20" i="6230"/>
  <c r="C35" i="6230"/>
  <c r="H35" i="6230"/>
  <c r="H25" i="6230"/>
  <c r="H38" i="6230"/>
  <c r="H4" i="6230"/>
  <c r="H16" i="6230"/>
  <c r="B24" i="6230"/>
  <c r="C39" i="6230"/>
  <c r="C17" i="6230"/>
  <c r="C40" i="6230"/>
  <c r="H6" i="6230"/>
  <c r="H31" i="6230"/>
  <c r="C41" i="6230"/>
  <c r="H9" i="6230"/>
  <c r="C19" i="6230"/>
  <c r="C43" i="6230"/>
  <c r="H5" i="6230"/>
  <c r="H15" i="6230"/>
  <c r="H18" i="6230"/>
  <c r="H20" i="6230"/>
  <c r="C21" i="6230"/>
  <c r="H28" i="6230"/>
  <c r="C36" i="6230"/>
  <c r="H42" i="6230"/>
  <c r="C22" i="6230"/>
  <c r="H29" i="6230"/>
  <c r="C37" i="6230"/>
  <c r="C42" i="6230"/>
  <c r="C23" i="6230"/>
  <c r="C38" i="6230"/>
  <c r="C45" i="6230"/>
  <c r="H7" i="6230"/>
  <c r="H19" i="6230"/>
  <c r="H11" i="6230"/>
  <c r="H26" i="6230"/>
  <c r="H33" i="6230"/>
  <c r="H39" i="6230"/>
  <c r="C47" i="6230"/>
  <c r="B26" i="6230"/>
  <c r="H3" i="6230"/>
  <c r="H23" i="6230"/>
  <c r="H27" i="6230"/>
  <c r="H30" i="6230"/>
  <c r="H36" i="6230"/>
  <c r="H40" i="6230"/>
  <c r="C44" i="6230"/>
  <c r="H2" i="6230"/>
  <c r="H21" i="6230"/>
  <c r="H24" i="6230"/>
  <c r="H12" i="6230"/>
  <c r="H32" i="6230"/>
  <c r="H37" i="6230"/>
  <c r="H41" i="6230"/>
  <c r="C36" i="6228"/>
  <c r="H41" i="6228"/>
  <c r="H24" i="6228"/>
  <c r="C20" i="6228"/>
  <c r="H11" i="6228"/>
  <c r="C21" i="6228"/>
  <c r="H23" i="6228"/>
  <c r="H10" i="6228"/>
  <c r="C41" i="6228"/>
  <c r="H5" i="6228"/>
  <c r="H6" i="6228"/>
  <c r="H21" i="6228"/>
  <c r="C35" i="6228"/>
  <c r="H27" i="6229"/>
  <c r="H41" i="6229"/>
  <c r="C43" i="6229"/>
  <c r="H6" i="6229"/>
  <c r="H15" i="6229"/>
  <c r="C17" i="6229"/>
  <c r="H30" i="6229"/>
  <c r="C46" i="6229"/>
  <c r="C22" i="6229"/>
  <c r="C37" i="6229"/>
  <c r="C41" i="6229"/>
  <c r="C47" i="6229"/>
  <c r="H3" i="6229"/>
  <c r="H17" i="6229"/>
  <c r="H21" i="6229"/>
  <c r="H11" i="6229"/>
  <c r="H28" i="6229"/>
  <c r="H33" i="6229"/>
  <c r="H38" i="6229"/>
  <c r="H42" i="6229"/>
  <c r="C19" i="6229"/>
  <c r="C23" i="6229"/>
  <c r="H34" i="6229"/>
  <c r="C38" i="6229"/>
  <c r="C42" i="6229"/>
  <c r="H22" i="6229"/>
  <c r="H25" i="6229"/>
  <c r="H29" i="6229"/>
  <c r="H35" i="6229"/>
  <c r="H39" i="6229"/>
  <c r="H4" i="6229"/>
  <c r="H23" i="6229"/>
  <c r="H26" i="6229"/>
  <c r="H14" i="6229"/>
  <c r="H36" i="6229"/>
  <c r="H40" i="6229"/>
  <c r="C44" i="6229"/>
  <c r="H8" i="6229"/>
  <c r="H16" i="6229"/>
  <c r="C21" i="6229"/>
  <c r="B25" i="6229"/>
  <c r="H31" i="6229"/>
  <c r="C36" i="6229"/>
  <c r="C40" i="6229"/>
  <c r="H37" i="6228"/>
  <c r="H29" i="6228"/>
  <c r="H9" i="6228"/>
  <c r="C22" i="6228"/>
  <c r="H3" i="6228"/>
  <c r="H32" i="6228"/>
  <c r="H16" i="6228"/>
  <c r="C17" i="6228"/>
  <c r="H31" i="6228"/>
  <c r="H2" i="6228"/>
  <c r="H14" i="6228"/>
  <c r="C23" i="6228"/>
  <c r="C38" i="6228"/>
  <c r="H27" i="6228"/>
  <c r="H22" i="6228"/>
  <c r="H39" i="6228"/>
  <c r="C45" i="6228"/>
  <c r="C43" i="6228"/>
  <c r="H8" i="6228"/>
  <c r="H4" i="6228"/>
  <c r="H25" i="6228"/>
  <c r="C19" i="6228"/>
  <c r="H34" i="6228"/>
  <c r="C39" i="6228"/>
  <c r="C46" i="6228"/>
  <c r="C42" i="6228"/>
  <c r="H17" i="6228"/>
  <c r="C37" i="6228"/>
  <c r="B24" i="6228"/>
  <c r="H7" i="6228"/>
  <c r="H28" i="6228"/>
  <c r="H15" i="6228"/>
  <c r="H35" i="6228"/>
  <c r="C40" i="6228"/>
  <c r="C47" i="6228"/>
  <c r="B25" i="6228"/>
  <c r="H12" i="6228"/>
  <c r="H13" i="6228"/>
  <c r="H19" i="6228"/>
  <c r="H33" i="6228"/>
  <c r="H38" i="6228"/>
  <c r="H42" i="6228"/>
  <c r="H18" i="6228"/>
  <c r="H30" i="6228"/>
  <c r="H20" i="6228"/>
  <c r="H36" i="6228"/>
  <c r="H40" i="6228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<sst xmlns="http://schemas.openxmlformats.org/spreadsheetml/2006/main" count="4185" uniqueCount="209">
  <si>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</si>
  <si>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</si>
  <si>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</si>
  <si>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</si>
  <si>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</si>
  <si>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</si>
  <si>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</si>
  <si>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</si>
  <si>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</si>
  <si>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</si>
  <si>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</si>
  <si>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</si>
  <si>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</si>
  <si>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</si>
  <si>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</si>
  <si>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</si>
  <si>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</si>
  <si>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</si>
  <si>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</si>
  <si>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</si>
  <si>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</si>
  <si>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</si>
  <si>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</si>
  <si>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</si>
  <si>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</si>
  <si>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</si>
  <si>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</si>
  <si>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</si>
  <si>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</si>
  <si>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</si>
  <si>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</si>
  <si>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</si>
  <si>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</si>
  <si>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</si>
  <si>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</si>
  <si>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</si>
  <si>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</si>
  <si>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</si>
  <si>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</si>
  <si>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</si>
  <si>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</si>
  <si>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</si>
  <si>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</si>
  <si>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</si>
  <si>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</si>
  <si>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</si>
  <si>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</si>
  <si>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</si>
  <si>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</si>
  <si>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</si>
  <si>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</si>
  <si>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</si>
  <si>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</si>
  <si>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</si>
  <si>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</si>
  <si>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</si>
  <si>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</si>
  <si>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</si>
  <si>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</si>
  <si>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</si>
  <si>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</si>
  <si>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</si>
  <si>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</si>
  <si>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</si>
  <si>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</si>
  <si>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</si>
  <si>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</si>
  <si>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</si>
  <si>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</si>
  <si>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</si>
  <si>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</si>
  <si>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</si>
  <si>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</si>
  <si>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</si>
  <si>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</si>
  <si>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</si>
  <si>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</si>
  <si>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</si>
  <si>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</si>
  <si>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</si>
  <si>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</si>
  <si>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</si>
  <si>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</si>
  <si>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</si>
  <si>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</si>
  <si>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</si>
  <si>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</si>
  <si>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</si>
  <si>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</si>
  <si>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</si>
  <si>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</si>
  <si>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</si>
  <si>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</si>
  <si>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</si>
  <si>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</si>
  <si>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</si>
  <si>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</si>
  <si>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</si>
  <si>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</si>
  <si>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</si>
  <si>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</si>
  <si>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</si>
  <si>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</si>
  <si>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</si>
  <si>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</si>
  <si>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</si>
  <si>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</si>
  <si>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</si>
  <si>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</si>
  <si>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</si>
  <si>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</si>
  <si>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</si>
  <si>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</si>
  <si>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</si>
  <si>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</si>
  <si>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</si>
  <si>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</si>
  <si>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</si>
  <si>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</si>
  <si>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</si>
  <si>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</si>
  <si>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</si>
  <si>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</si>
  <si>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</si>
  <si>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</si>
  <si>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</si>
  <si>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</si>
  <si>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</si>
  <si>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</si>
  <si>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</si>
  <si>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</si>
  <si>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</si>
  <si>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</si>
  <si>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</si>
  <si>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</si>
  <si>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</si>
  <si>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</si>
  <si>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</si>
  <si>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</si>
  <si>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</si>
  <si>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</si>
  <si>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</si>
  <si>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</si>
  <si>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</si>
  <si>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</si>
  <si>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</si>
  <si>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</si>
  <si>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</si>
  <si>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</si>
  <si>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</si>
  <si>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</si>
  <si>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</si>
  <si>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</si>
  <si>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</si>
  <si>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</si>
  <si>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</si>
  <si>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</si>
  <si>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</si>
  <si>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</si>
  <si>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</si>
  <si>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</si>
  <si>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</si>
  <si>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</si>
  <si>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</si>
  <si>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</si>
  <si>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</si>
  <si>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</si>
  <si>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</si>
  <si>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</si>
  <si>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</si>
  <si>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</si>
  <si>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</si>
  <si>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</si>
  <si>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</si>
  <si>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</si>
  <si>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</si>
  <si>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</si>
  <si>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</si>
  <si>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</si>
  <si>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</si>
  <si>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</si>
  <si>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</si>
  <si>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</si>
  <si>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</si>
  <si>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</si>
  <si>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</si>
  <si>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</si>
  <si>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</si>
  <si>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</si>
  <si>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</si>
  <si>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</si>
  <si>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</si>
  <si>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</si>
  <si>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</si>
  <si>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</si>
  <si>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</si>
  <si>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2020-01-31@A.xlsm</t>
  </si>
  <si>
    <t>小原陸哉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</si>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</sst>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全体!$L$2:$L$122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1.5</c:v>
                </c:pt>
                <c:pt idx="74">
                  <c:v>74</c:v>
                </c:pt>
                <c:pt idx="75">
                  <c:v>8.9000000000000057</c:v>
                </c:pt>
                <c:pt idx="76">
                  <c:v>-19.999999999999993</c:v>
                </c:pt>
                <c:pt idx="77">
                  <c:v>-19.299999999999994</c:v>
                </c:pt>
                <c:pt idx="78">
                  <c:v>-74.5</c:v>
                </c:pt>
                <c:pt idx="79">
                  <c:v>-94.6</c:v>
                </c:pt>
                <c:pt idx="80">
                  <c:v>-20</c:v>
                </c:pt>
                <c:pt idx="81">
                  <c:v>36</c:v>
                </c:pt>
                <c:pt idx="82">
                  <c:v>46.3</c:v>
                </c:pt>
                <c:pt idx="83">
                  <c:v>-9.9000000000000057</c:v>
                </c:pt>
                <c:pt idx="84">
                  <c:v>-20.000000000000007</c:v>
                </c:pt>
                <c:pt idx="85">
                  <c:v>2.5999999999999943</c:v>
                </c:pt>
                <c:pt idx="86">
                  <c:v>68.5</c:v>
                </c:pt>
                <c:pt idx="87">
                  <c:v>7.1000000000000014</c:v>
                </c:pt>
                <c:pt idx="88">
                  <c:v>-20</c:v>
                </c:pt>
                <c:pt idx="89">
                  <c:v>-39.6</c:v>
                </c:pt>
                <c:pt idx="90">
                  <c:v>-29.1</c:v>
                </c:pt>
                <c:pt idx="91">
                  <c:v>24.5</c:v>
                </c:pt>
                <c:pt idx="92">
                  <c:v>-20</c:v>
                </c:pt>
                <c:pt idx="93">
                  <c:v>-27.6</c:v>
                </c:pt>
                <c:pt idx="94">
                  <c:v>57.999999999999993</c:v>
                </c:pt>
                <c:pt idx="95">
                  <c:v>7.9999999999999929</c:v>
                </c:pt>
                <c:pt idx="96">
                  <c:v>-20.000000000000007</c:v>
                </c:pt>
                <c:pt idx="97">
                  <c:v>-35.000000000000007</c:v>
                </c:pt>
                <c:pt idx="98">
                  <c:v>18.899999999999991</c:v>
                </c:pt>
                <c:pt idx="99">
                  <c:v>-27.600000000000009</c:v>
                </c:pt>
                <c:pt idx="100">
                  <c:v>-20.000000000000007</c:v>
                </c:pt>
                <c:pt idx="101">
                  <c:v>-79.400000000000006</c:v>
                </c:pt>
                <c:pt idx="102">
                  <c:v>-62.100000000000009</c:v>
                </c:pt>
                <c:pt idx="103">
                  <c:v>-91</c:v>
                </c:pt>
                <c:pt idx="104">
                  <c:v>-20</c:v>
                </c:pt>
                <c:pt idx="105">
                  <c:v>-38</c:v>
                </c:pt>
                <c:pt idx="106">
                  <c:v>28.599999999999994</c:v>
                </c:pt>
                <c:pt idx="107">
                  <c:v>34.199999999999996</c:v>
                </c:pt>
                <c:pt idx="108">
                  <c:v>-30.000000000000007</c:v>
                </c:pt>
                <c:pt idx="109">
                  <c:v>-55.500000000000007</c:v>
                </c:pt>
                <c:pt idx="110">
                  <c:v>-43.000000000000007</c:v>
                </c:pt>
                <c:pt idx="111">
                  <c:v>28.999999999999993</c:v>
                </c:pt>
                <c:pt idx="112">
                  <c:v>-30.000000000000007</c:v>
                </c:pt>
                <c:pt idx="113">
                  <c:v>22.499999999999993</c:v>
                </c:pt>
                <c:pt idx="114">
                  <c:v>-18.800000000000004</c:v>
                </c:pt>
                <c:pt idx="115">
                  <c:v>-38.400000000000006</c:v>
                </c:pt>
                <c:pt idx="116">
                  <c:v>-30.000000000000007</c:v>
                </c:pt>
                <c:pt idx="117">
                  <c:v>-89</c:v>
                </c:pt>
                <c:pt idx="118">
                  <c:v>-64</c:v>
                </c:pt>
                <c:pt idx="119">
                  <c:v>-102.5</c:v>
                </c:pt>
                <c:pt idx="120">
                  <c:v>-30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F0-405B-9A51-4B0B9921C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-25</c:v>
                </c:pt>
                <c:pt idx="1">
                  <c:v>8.3333333333333339</c:v>
                </c:pt>
                <c:pt idx="2">
                  <c:v>-83.333333333333329</c:v>
                </c:pt>
                <c:pt idx="3">
                  <c:v>-26.785714285714285</c:v>
                </c:pt>
                <c:pt idx="4">
                  <c:v>20</c:v>
                </c:pt>
                <c:pt idx="5">
                  <c:v>-105.26315789473684</c:v>
                </c:pt>
                <c:pt idx="6">
                  <c:v>0</c:v>
                </c:pt>
                <c:pt idx="7">
                  <c:v>41.666666666666664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11-4767-A435-64A36BB72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29</c:v>
                </c:pt>
                <c:pt idx="1">
                  <c:v>43</c:v>
                </c:pt>
                <c:pt idx="2">
                  <c:v>42</c:v>
                </c:pt>
                <c:pt idx="3">
                  <c:v>32</c:v>
                </c:pt>
                <c:pt idx="4">
                  <c:v>23</c:v>
                </c:pt>
                <c:pt idx="5">
                  <c:v>25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92-4551-A35F-C886F6C0F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松澤亮太!$L$2:$L$15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53-45E5-A1D9-FEAE0EF8B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1161.5384615384614</c:v>
                </c:pt>
                <c:pt idx="1">
                  <c:v>223.07692307692307</c:v>
                </c:pt>
                <c:pt idx="2">
                  <c:v>2261.5384615384614</c:v>
                </c:pt>
                <c:pt idx="3">
                  <c:v>-372.72727272727275</c:v>
                </c:pt>
                <c:pt idx="4">
                  <c:v>518.18181818181813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BC-47A5-B755-7F800E81A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5</c:v>
                </c:pt>
                <c:pt idx="3">
                  <c:v>2</c:v>
                </c:pt>
                <c:pt idx="4">
                  <c:v>1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0B-486E-8CF9-4882CD22F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滝沢悠人!$L$2:$L$9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B5-4705-AAC6-24AEEB180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-300</c:v>
                </c:pt>
                <c:pt idx="1">
                  <c:v>1857.1428571428571</c:v>
                </c:pt>
                <c:pt idx="2">
                  <c:v>928.57142857142856</c:v>
                </c:pt>
                <c:pt idx="3">
                  <c:v>-1885.7142857142858</c:v>
                </c:pt>
                <c:pt idx="4">
                  <c:v>-1728.5714285714287</c:v>
                </c:pt>
                <c:pt idx="5">
                  <c:v>-1033.3333333333333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09-4083-A01F-51C991564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08-4A5F-8FB2-4C624BAA9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大池陸斗!$L$2:$L$8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EE-4DCB-8762-56C6B97B6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-483.33333333333331</c:v>
                </c:pt>
                <c:pt idx="1">
                  <c:v>3483.3333333333335</c:v>
                </c:pt>
                <c:pt idx="2">
                  <c:v>2900</c:v>
                </c:pt>
                <c:pt idx="3">
                  <c:v>4383.333333333333</c:v>
                </c:pt>
                <c:pt idx="4">
                  <c:v>516.66666666666663</c:v>
                </c:pt>
                <c:pt idx="5">
                  <c:v>-480</c:v>
                </c:pt>
                <c:pt idx="6">
                  <c:v>-2025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CE-48F8-96A3-6839A6A6A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AC-41D5-A5EA-F742E3889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-5.2999999999999901</c:v>
                </c:pt>
                <c:pt idx="9">
                  <c:v>69.300000000000011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7B-44B5-887A-E6AB067A7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-1788.8888888888889</c:v>
                </c:pt>
                <c:pt idx="1">
                  <c:v>-1477.7777777777778</c:v>
                </c:pt>
                <c:pt idx="2">
                  <c:v>755.55555555555554</c:v>
                </c:pt>
                <c:pt idx="3">
                  <c:v>-2233.3333333333335</c:v>
                </c:pt>
                <c:pt idx="4">
                  <c:v>888.88888888888891</c:v>
                </c:pt>
                <c:pt idx="5">
                  <c:v>3928.5714285714284</c:v>
                </c:pt>
                <c:pt idx="6">
                  <c:v>1160</c:v>
                </c:pt>
                <c:pt idx="7">
                  <c:v>2850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36-4448-95C4-9319BFCA0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89-4CC5-8A31-761E69B98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佐藤成浩!$L$2:$L$18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138.39999999999998</c:v>
                </c:pt>
                <c:pt idx="11">
                  <c:v>160.99999999999997</c:v>
                </c:pt>
                <c:pt idx="12">
                  <c:v>116.49999999999997</c:v>
                </c:pt>
                <c:pt idx="13">
                  <c:v>170.39999999999998</c:v>
                </c:pt>
                <c:pt idx="14">
                  <c:v>241.39999999999998</c:v>
                </c:pt>
                <c:pt idx="15">
                  <c:v>253.89999999999998</c:v>
                </c:pt>
                <c:pt idx="16">
                  <c:v>306.39999999999998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4-4D36-A3F4-19C1EA9FE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1812.5</c:v>
                </c:pt>
                <c:pt idx="1">
                  <c:v>1568.75</c:v>
                </c:pt>
                <c:pt idx="2">
                  <c:v>1650</c:v>
                </c:pt>
                <c:pt idx="3">
                  <c:v>1073.3333333333333</c:v>
                </c:pt>
                <c:pt idx="4">
                  <c:v>1000</c:v>
                </c:pt>
                <c:pt idx="5">
                  <c:v>2133.3333333333335</c:v>
                </c:pt>
                <c:pt idx="6">
                  <c:v>400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89-4A40-8E5B-5020EFC40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3</c:v>
                </c:pt>
                <c:pt idx="3">
                  <c:v>6</c:v>
                </c:pt>
                <c:pt idx="4">
                  <c:v>3</c:v>
                </c:pt>
                <c:pt idx="5">
                  <c:v>6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EB-4688-AD02-B93CC678A2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E5-424D-92D4-509B1F7F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EF-4848-AB82-E10F05FEF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A3-4205-85FA-C33BBC3EA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38-499A-9E5A-0F1A16D37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A0-4586-BC13-B10AC7CFE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97-45FF-AFE1-77C5E32E0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高野源太!$L$2:$L$17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66.899999999999991</c:v>
                </c:pt>
                <c:pt idx="11">
                  <c:v>56.79999999999999</c:v>
                </c:pt>
                <c:pt idx="12">
                  <c:v>110.39999999999999</c:v>
                </c:pt>
                <c:pt idx="13">
                  <c:v>196</c:v>
                </c:pt>
                <c:pt idx="14">
                  <c:v>137</c:v>
                </c:pt>
                <c:pt idx="15">
                  <c:v>145.4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6F-4DA8-9D75-832104AD2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1153.3333333333333</c:v>
                </c:pt>
                <c:pt idx="1">
                  <c:v>-1533.3333333333333</c:v>
                </c:pt>
                <c:pt idx="2">
                  <c:v>-173.33333333333334</c:v>
                </c:pt>
                <c:pt idx="3">
                  <c:v>1514.2857142857142</c:v>
                </c:pt>
                <c:pt idx="4">
                  <c:v>300</c:v>
                </c:pt>
                <c:pt idx="5">
                  <c:v>1858.3333333333333</c:v>
                </c:pt>
                <c:pt idx="6">
                  <c:v>-1185.7142857142858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A3-42AE-887C-E3660A23C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10</c:v>
                </c:pt>
                <c:pt idx="3">
                  <c:v>6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9-41D2-AF4B-FE3D8FEEDA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C8-4578-BC20-F7E38A390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48-4BC9-88A6-049833DEC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EB-4BDF-BDC7-240663482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43-468A-8AF4-DF63487A57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67-4555-94E7-3C786072E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17-478F-AC31-9F10E7110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C-428A-A6D2-59BE2D29E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FA-499D-B76E-3858E2915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E1-4A52-8F90-A6E79004C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福澤大地!$L$2:$L$14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CC-4752-8E21-659C5F88F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-550</c:v>
                </c:pt>
                <c:pt idx="1">
                  <c:v>308.33333333333331</c:v>
                </c:pt>
                <c:pt idx="2">
                  <c:v>-4383.333333333333</c:v>
                </c:pt>
                <c:pt idx="3">
                  <c:v>820</c:v>
                </c:pt>
                <c:pt idx="4">
                  <c:v>1390</c:v>
                </c:pt>
                <c:pt idx="5">
                  <c:v>600</c:v>
                </c:pt>
                <c:pt idx="6">
                  <c:v>1020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2-4F53-BAFE-A18EC3EA7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4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99-47C0-9B46-A18F74DC1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26-46B3-B6DE-A5BF89F42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AF-42D1-A61D-F77083EA5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C8-4DC5-B0B0-B68BABB4F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多田洋輔!$L$2:$L$13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CF-4CA8-A00B-84C9CD39B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-209.09090909090909</c:v>
                </c:pt>
                <c:pt idx="1">
                  <c:v>1418.1818181818182</c:v>
                </c:pt>
                <c:pt idx="2">
                  <c:v>1263.6363636363637</c:v>
                </c:pt>
                <c:pt idx="3">
                  <c:v>3327.2727272727275</c:v>
                </c:pt>
                <c:pt idx="4">
                  <c:v>-177.77777777777777</c:v>
                </c:pt>
                <c:pt idx="5">
                  <c:v>-983.33333333333337</c:v>
                </c:pt>
                <c:pt idx="6">
                  <c:v>-220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C4-4B8F-89BE-CC8FCF972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6B-4DB2-B990-D35E6FEA1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柳澤颯吾!$L$2:$L$9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-67.400000000000006</c:v>
                </c:pt>
                <c:pt idx="4">
                  <c:v>-123.60000000000001</c:v>
                </c:pt>
                <c:pt idx="5">
                  <c:v>-151.60000000000002</c:v>
                </c:pt>
                <c:pt idx="6">
                  <c:v>-215.8</c:v>
                </c:pt>
                <c:pt idx="7">
                  <c:v>-254.3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AC-4E44-95D5-B719BE210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-1971.4285714285713</c:v>
                </c:pt>
                <c:pt idx="1">
                  <c:v>-1542.8571428571429</c:v>
                </c:pt>
                <c:pt idx="2">
                  <c:v>-3028.5714285714284</c:v>
                </c:pt>
                <c:pt idx="3">
                  <c:v>-3850</c:v>
                </c:pt>
                <c:pt idx="4">
                  <c:v>-2140</c:v>
                </c:pt>
                <c:pt idx="5">
                  <c:v>-4040</c:v>
                </c:pt>
                <c:pt idx="6">
                  <c:v>-4250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1F-49BA-A4E9-3F76096C3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A9-40E1-A9D7-C27BAD63E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石澤巧望!$L$2:$L$4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21.5</c:v>
                </c:pt>
                <c:pt idx="2">
                  <c:v>-5.6000000000000014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C5-4470-B602-F34FC8612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3000</c:v>
                </c:pt>
                <c:pt idx="1">
                  <c:v>-300</c:v>
                </c:pt>
                <c:pt idx="2">
                  <c:v>1500</c:v>
                </c:pt>
                <c:pt idx="3">
                  <c:v>-500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2D-4540-992A-63956F278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EC-452B-9BD7-F0C3BC5DB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小原陸哉!$L$1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小原陸哉!$K$2:$K$4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小原陸哉!$L$2:$L$4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-28.9</c:v>
                </c:pt>
                <c:pt idx="2">
                  <c:v>-49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7E-4218-861F-ABBB8BAB9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小原陸哉!$O$1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小原陸哉!$N$2:$N$9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小原陸哉!$O$2:$O$9</c:f>
              <c:numCache>
                <c:formatCode>\+0;\-0;\±0</c:formatCode>
                <c:ptCount val="8"/>
                <c:pt idx="0">
                  <c:v>-500</c:v>
                </c:pt>
                <c:pt idx="1">
                  <c:v>-6200</c:v>
                </c:pt>
                <c:pt idx="2">
                  <c:v>-1000</c:v>
                </c:pt>
                <c:pt idx="3">
                  <c:v>-500</c:v>
                </c:pt>
                <c:pt idx="4">
                  <c:v>-1300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E5-4345-9173-4051AD678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小原陸哉!$A$35:$A$47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小原陸哉!$B$35:$B$47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D1-457B-877E-DC09DB0FD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川上翔大!$L$2:$L$6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8B-4C30-BF82-3003ABE47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-1175</c:v>
                </c:pt>
                <c:pt idx="1">
                  <c:v>-2650</c:v>
                </c:pt>
                <c:pt idx="2">
                  <c:v>-4650</c:v>
                </c:pt>
                <c:pt idx="3">
                  <c:v>-1925</c:v>
                </c:pt>
                <c:pt idx="4">
                  <c:v>-1300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37-4A18-9A8E-A29A1396B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0-48DF-B393-929AD09DA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B0-408B-9504-E217089F3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8A-40CA-BEEA-EEEE416D2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CA-4E0A-8778-E2720695A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市川大智!$L$2:$L$4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-18</c:v>
                </c:pt>
                <c:pt idx="2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8E-4C20-80C4-6DD942B0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4850</c:v>
                </c:pt>
                <c:pt idx="1">
                  <c:v>-1600</c:v>
                </c:pt>
                <c:pt idx="2">
                  <c:v>7300</c:v>
                </c:pt>
                <c:pt idx="3">
                  <c:v>-4100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C6-4766-871B-642E37998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42-484F-8D14-96A942D68E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7B8887B-61EA-4297-BC31-CEB104BF1C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EC36D68-EEC4-4A36-9B91-63631606F6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E49DF64-7933-4BF7-9E1C-4AC5EC94EF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D17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44134.684131944443</v>
      </c>
      <c r="C2" s="24" t="s">
        <v>102</v>
      </c>
    </row>
    <row r="3" spans="1:4">
      <c r="A3" s="24" t="s">
        <v>165</v>
      </c>
      <c r="B3" s="25">
        <v>44134.684131944443</v>
      </c>
      <c r="C3" s="24" t="s">
        <v>102</v>
      </c>
    </row>
    <row r="4" spans="1:4">
      <c r="A4" s="24" t="s">
        <v>174</v>
      </c>
      <c r="B4" s="25">
        <v>44134.684131944443</v>
      </c>
      <c r="C4" s="24" t="s">
        <v>102</v>
      </c>
      <c r="D4" s="24" t="s">
        <v>176</v>
      </c>
    </row>
    <row r="5" spans="1:4">
      <c r="A5" s="24" t="s">
        <v>178</v>
      </c>
      <c r="B5" s="25">
        <v>44134.684131944443</v>
      </c>
      <c r="C5" s="24" t="s">
        <v>102</v>
      </c>
      <c r="D5" s="24" t="s">
        <v>176</v>
      </c>
    </row>
    <row r="6" spans="1:4">
      <c r="A6" s="24" t="s">
        <v>188</v>
      </c>
      <c r="B6" s="25">
        <v>44134.684131944443</v>
      </c>
      <c r="C6" s="24" t="s">
        <v>102</v>
      </c>
      <c r="D6" s="24" t="s">
        <v>176</v>
      </c>
    </row>
    <row r="7" spans="1:4">
      <c r="A7" s="24" t="s">
        <v>189</v>
      </c>
      <c r="B7" s="25">
        <v>44134.684131944443</v>
      </c>
      <c r="C7" s="24" t="s">
        <v>102</v>
      </c>
      <c r="D7" s="24" t="s">
        <v>176</v>
      </c>
    </row>
    <row r="8" spans="1:4">
      <c r="A8" s="24" t="s">
        <v>190</v>
      </c>
      <c r="B8" s="25">
        <v>44134.684131944443</v>
      </c>
      <c r="C8" s="24" t="s">
        <v>102</v>
      </c>
      <c r="D8" s="24" t="s">
        <v>176</v>
      </c>
    </row>
    <row r="9" spans="1:4">
      <c r="A9" s="24" t="s">
        <v>192</v>
      </c>
      <c r="B9" s="25">
        <v>44134.684131944443</v>
      </c>
      <c r="C9" s="24" t="s">
        <v>102</v>
      </c>
      <c r="D9" s="24" t="s">
        <v>176</v>
      </c>
    </row>
    <row r="10" spans="1:4">
      <c r="A10" s="24" t="s">
        <v>193</v>
      </c>
      <c r="B10" s="25">
        <v>44134.684131944443</v>
      </c>
      <c r="C10" s="24" t="s">
        <v>102</v>
      </c>
      <c r="D10" s="24" t="s">
        <v>176</v>
      </c>
    </row>
    <row r="11" spans="1:4">
      <c r="A11" s="24" t="s">
        <v>194</v>
      </c>
      <c r="B11" s="25">
        <v>44134.684131944443</v>
      </c>
      <c r="C11" s="24" t="s">
        <v>102</v>
      </c>
      <c r="D11" s="24" t="s">
        <v>176</v>
      </c>
    </row>
    <row r="12" spans="1:4">
      <c r="A12" s="24" t="s">
        <v>196</v>
      </c>
      <c r="B12" s="25">
        <v>43861.773912037039</v>
      </c>
      <c r="C12" s="24" t="s">
        <v>102</v>
      </c>
      <c r="D12" s="24" t="s">
        <v>176</v>
      </c>
    </row>
    <row r="13" spans="1:4">
      <c r="A13" s="24" t="s">
        <v>199</v>
      </c>
      <c r="B13" s="25">
        <v>44134.684131944443</v>
      </c>
      <c r="C13" s="24" t="s">
        <v>102</v>
      </c>
      <c r="D13" s="24" t="s">
        <v>176</v>
      </c>
    </row>
    <row r="14" spans="1:4">
      <c r="A14" s="24" t="s">
        <v>200</v>
      </c>
      <c r="B14" s="25">
        <v>44134.684131944443</v>
      </c>
      <c r="C14" s="24" t="s">
        <v>102</v>
      </c>
      <c r="D14" s="24" t="s">
        <v>176</v>
      </c>
    </row>
    <row r="15" spans="1:4">
      <c r="A15" s="24" t="s">
        <v>203</v>
      </c>
      <c r="B15" s="25">
        <v>44134.684131944443</v>
      </c>
      <c r="C15" s="24" t="s">
        <v>102</v>
      </c>
      <c r="D15" s="24" t="s">
        <v>176</v>
      </c>
    </row>
    <row r="16" spans="1:4">
      <c r="A16" s="24" t="s">
        <v>206</v>
      </c>
      <c r="B16" s="25">
        <v>44134.765763888892</v>
      </c>
      <c r="C16" s="24" t="s">
        <v>102</v>
      </c>
      <c r="D16" s="24" t="s">
        <v>176</v>
      </c>
    </row>
    <row r="17" spans="1:4">
      <c r="A17" s="24" t="s">
        <v>208</v>
      </c>
      <c r="B17" s="25">
        <v>44134.766655092593</v>
      </c>
      <c r="C17" s="24" t="s">
        <v>102</v>
      </c>
      <c r="D17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21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120</v>
      </c>
    </row>
    <row r="2" spans="1:2">
      <c r="A2" t="s">
        <v>164</v>
      </c>
      <c r="B2">
        <v>13</v>
      </c>
    </row>
    <row r="3" spans="1:2">
      <c r="A3" t="s">
        <v>161</v>
      </c>
      <c r="B3">
        <v>7</v>
      </c>
    </row>
    <row r="4" spans="1:2">
      <c r="A4" t="s">
        <v>162</v>
      </c>
      <c r="B4">
        <v>6</v>
      </c>
    </row>
    <row r="5" spans="1:2">
      <c r="A5" t="s">
        <v>163</v>
      </c>
      <c r="B5">
        <v>9</v>
      </c>
    </row>
    <row r="6" spans="1:2">
      <c r="A6" t="s">
        <v>169</v>
      </c>
      <c r="B6">
        <v>16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15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12</v>
      </c>
    </row>
    <row r="14" spans="1:2">
      <c r="A14" t="s">
        <v>201</v>
      </c>
      <c r="B14">
        <v>2</v>
      </c>
    </row>
    <row r="15" spans="1:2">
      <c r="A15" t="s">
        <v>191</v>
      </c>
      <c r="B15">
        <v>11</v>
      </c>
    </row>
    <row r="16" spans="1:2">
      <c r="A16" t="s">
        <v>195</v>
      </c>
      <c r="B16">
        <v>7</v>
      </c>
    </row>
    <row r="17" spans="1:2">
      <c r="A17" t="s">
        <v>198</v>
      </c>
      <c r="B17">
        <v>2</v>
      </c>
    </row>
    <row r="18" spans="1:2">
      <c r="A18" t="s">
        <v>197</v>
      </c>
      <c r="B18">
        <v>2</v>
      </c>
    </row>
    <row r="19" spans="1:2">
      <c r="A19" t="s">
        <v>205</v>
      </c>
      <c r="B19">
        <v>4</v>
      </c>
    </row>
    <row r="20" spans="1:2">
      <c r="A20" t="s">
        <v>204</v>
      </c>
      <c r="B20">
        <v>2</v>
      </c>
    </row>
    <row r="21" spans="1:2">
      <c r="A21" t="s">
        <v>207</v>
      </c>
      <c r="B21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3"/>
  <sheetViews>
    <sheetView showGridLines="0" tabSelected="1" zoomScale="130" zoomScaleNormal="130" workbookViewId="0"/>
  </sheetViews>
  <sheetFormatPr defaultColWidth="9" defaultRowHeight="18"/>
  <cols>
    <col min="1" max="1" width="6" style="68" customWidth="1"/>
    <col min="2" max="2" width="10.6640625" style="69" customWidth="1"/>
    <col min="3" max="3" width="10.6640625" style="133" customWidth="1"/>
    <col min="4" max="4" width="10.6640625" style="69" customWidth="1"/>
    <col min="5" max="5" width="10.6640625" style="70" customWidth="1"/>
    <col min="6" max="6" width="10.6640625" style="71" customWidth="1"/>
    <col min="7" max="7" width="10.6640625" style="83" customWidth="1"/>
    <col min="8" max="8" width="10.6640625" style="71" customWidth="1"/>
    <col min="9" max="9" width="10.6640625" style="72" customWidth="1"/>
    <col min="10" max="10" width="10.6640625" style="71" customWidth="1"/>
    <col min="11" max="11" width="10.6640625" style="73" customWidth="1"/>
    <col min="12" max="12" width="10.6640625" style="71" customWidth="1"/>
    <col min="13" max="13" width="10.6640625" style="73" customWidth="1"/>
    <col min="14" max="14" width="10.6640625" style="71" customWidth="1"/>
    <col min="15" max="15" width="10.6640625" style="73" customWidth="1"/>
    <col min="16" max="16" width="10.6640625" style="71" customWidth="1"/>
    <col min="17" max="17" width="10.6640625" style="74" customWidth="1"/>
    <col min="18" max="18" width="10.6640625" style="71" customWidth="1"/>
    <col min="19" max="19" width="10.6640625" style="74" customWidth="1"/>
    <col min="20" max="20" width="10.6640625" style="71" customWidth="1"/>
    <col min="21" max="21" width="10.6640625" style="75" customWidth="1"/>
    <col min="22" max="22" width="10.6640625" style="71" customWidth="1"/>
    <col min="23" max="23" width="10.6640625" style="75" customWidth="1"/>
    <col min="24" max="24" width="10.6640625" style="71" customWidth="1"/>
    <col min="25" max="25" width="10.6640625" style="74" customWidth="1"/>
    <col min="26" max="26" width="10.6640625" style="71" customWidth="1"/>
    <col min="27" max="27" width="10.6640625" style="74" customWidth="1"/>
    <col min="28" max="28" width="10.6640625" style="71" customWidth="1"/>
    <col min="29" max="29" width="10.6640625" style="74" customWidth="1"/>
    <col min="30" max="30" width="10.6640625" style="71" customWidth="1"/>
    <col min="31" max="31" width="10.6640625" style="74" customWidth="1"/>
    <col min="32" max="32" width="10.6640625" style="71" customWidth="1"/>
    <col min="33" max="33" width="10.6640625" style="74" customWidth="1"/>
    <col min="34" max="34" width="10.6640625" style="71" customWidth="1"/>
    <col min="35" max="35" width="10.6640625" style="78" customWidth="1"/>
    <col min="36" max="16384" width="9" style="59"/>
  </cols>
  <sheetData>
    <row r="1" spans="1:35">
      <c r="A1" s="58"/>
      <c r="B1" s="146" t="s">
        <v>9</v>
      </c>
      <c r="C1" s="147"/>
      <c r="D1" s="146" t="s">
        <v>6</v>
      </c>
      <c r="E1" s="147"/>
      <c r="F1" s="146" t="s">
        <v>7</v>
      </c>
      <c r="G1" s="147"/>
      <c r="H1" s="146" t="s">
        <v>15</v>
      </c>
      <c r="I1" s="147"/>
      <c r="J1" s="146" t="s">
        <v>14</v>
      </c>
      <c r="K1" s="147"/>
      <c r="L1" s="146" t="s">
        <v>125</v>
      </c>
      <c r="M1" s="147"/>
      <c r="N1" s="146" t="s">
        <v>154</v>
      </c>
      <c r="O1" s="147"/>
      <c r="P1" s="146" t="s">
        <v>115</v>
      </c>
      <c r="Q1" s="147"/>
      <c r="R1" s="146" t="s">
        <v>116</v>
      </c>
      <c r="S1" s="147"/>
      <c r="T1" s="146" t="s">
        <v>5</v>
      </c>
      <c r="U1" s="147"/>
      <c r="V1" s="146" t="s">
        <v>16</v>
      </c>
      <c r="W1" s="147"/>
      <c r="X1" s="146" t="s">
        <v>98</v>
      </c>
      <c r="Y1" s="147"/>
      <c r="Z1" s="146" t="s">
        <v>95</v>
      </c>
      <c r="AA1" s="147"/>
      <c r="AB1" s="146" t="s">
        <v>101</v>
      </c>
      <c r="AC1" s="147"/>
      <c r="AD1" s="146" t="s">
        <v>117</v>
      </c>
      <c r="AE1" s="147"/>
      <c r="AF1" s="146" t="s">
        <v>113</v>
      </c>
      <c r="AG1" s="147"/>
      <c r="AH1" s="146" t="s">
        <v>148</v>
      </c>
      <c r="AI1" s="147"/>
    </row>
    <row r="2" spans="1:35">
      <c r="A2" s="58" t="s">
        <v>124</v>
      </c>
      <c r="B2" s="148">
        <v>0.65174971830718087</v>
      </c>
      <c r="C2" s="149"/>
      <c r="D2" s="150"/>
      <c r="E2" s="151"/>
      <c r="F2" s="150"/>
      <c r="G2" s="151"/>
      <c r="H2" s="148">
        <v>0.71558380188646054</v>
      </c>
      <c r="I2" s="149"/>
      <c r="J2" s="148">
        <v>0.77850652758128625</v>
      </c>
      <c r="K2" s="149"/>
      <c r="L2" s="148">
        <v>0.42976550605836994</v>
      </c>
      <c r="M2" s="149"/>
      <c r="N2" s="148">
        <v>0.47071971212738611</v>
      </c>
      <c r="O2" s="149"/>
      <c r="P2" s="148">
        <v>0.17961468982286605</v>
      </c>
      <c r="Q2" s="149"/>
      <c r="R2" s="148">
        <v>-0.35540434861679354</v>
      </c>
      <c r="S2" s="149"/>
      <c r="T2" s="148">
        <v>0.68196832082286618</v>
      </c>
      <c r="U2" s="149"/>
      <c r="V2" s="148">
        <v>0.54933944889203523</v>
      </c>
      <c r="W2" s="149"/>
      <c r="X2" s="148">
        <v>-0.57106539376660814</v>
      </c>
      <c r="Y2" s="149"/>
      <c r="Z2" s="148">
        <v>-0.40664484195973261</v>
      </c>
      <c r="AA2" s="149"/>
      <c r="AB2" s="148">
        <v>0.75568296509553767</v>
      </c>
      <c r="AC2" s="149"/>
      <c r="AD2" s="148">
        <v>0.21831099118121763</v>
      </c>
      <c r="AE2" s="149"/>
      <c r="AF2" s="148">
        <v>6.4880313333136763E-2</v>
      </c>
      <c r="AG2" s="149"/>
      <c r="AH2" s="148">
        <v>0.69512969416900128</v>
      </c>
      <c r="AI2" s="149"/>
    </row>
    <row r="3" spans="1:35">
      <c r="A3" s="60">
        <v>1</v>
      </c>
      <c r="B3" s="61" t="s">
        <v>114</v>
      </c>
      <c r="C3" s="132">
        <v>30</v>
      </c>
      <c r="D3" s="61" t="s">
        <v>169</v>
      </c>
      <c r="E3" s="62">
        <v>306.39999999999998</v>
      </c>
      <c r="F3" s="63" t="s">
        <v>162</v>
      </c>
      <c r="G3" s="82">
        <v>30.3</v>
      </c>
      <c r="H3" s="63" t="s">
        <v>162</v>
      </c>
      <c r="I3" s="64">
        <v>1.8333333333333333</v>
      </c>
      <c r="J3" s="63" t="s">
        <v>162</v>
      </c>
      <c r="K3" s="65">
        <v>0.66666666666666663</v>
      </c>
      <c r="L3" s="63" t="s">
        <v>191</v>
      </c>
      <c r="M3" s="65">
        <v>0</v>
      </c>
      <c r="N3" s="63" t="s">
        <v>167</v>
      </c>
      <c r="O3" s="65">
        <v>1</v>
      </c>
      <c r="P3" s="63" t="s">
        <v>207</v>
      </c>
      <c r="Q3" s="66">
        <v>0.5</v>
      </c>
      <c r="R3" s="63" t="s">
        <v>167</v>
      </c>
      <c r="S3" s="66">
        <v>0</v>
      </c>
      <c r="T3" s="63" t="s">
        <v>169</v>
      </c>
      <c r="U3" s="67">
        <v>8744.4444444444453</v>
      </c>
      <c r="V3" s="63" t="s">
        <v>167</v>
      </c>
      <c r="W3" s="67">
        <v>0</v>
      </c>
      <c r="X3" s="63" t="s">
        <v>167</v>
      </c>
      <c r="Y3" s="66">
        <v>0.2857142857142857</v>
      </c>
      <c r="Z3" s="63" t="s">
        <v>168</v>
      </c>
      <c r="AA3" s="66">
        <v>0.35652173913043478</v>
      </c>
      <c r="AB3" s="63" t="s">
        <v>207</v>
      </c>
      <c r="AC3" s="66">
        <v>1</v>
      </c>
      <c r="AD3" s="63" t="s">
        <v>166</v>
      </c>
      <c r="AE3" s="66">
        <v>0.66666666666666663</v>
      </c>
      <c r="AF3" s="63" t="s">
        <v>166</v>
      </c>
      <c r="AG3" s="66">
        <v>0.5714285714285714</v>
      </c>
      <c r="AH3" s="63" t="s">
        <v>114</v>
      </c>
      <c r="AI3" s="77">
        <v>67800</v>
      </c>
    </row>
    <row r="4" spans="1:35">
      <c r="A4" s="68">
        <v>2</v>
      </c>
      <c r="B4" s="69" t="s">
        <v>169</v>
      </c>
      <c r="C4" s="133">
        <v>16</v>
      </c>
      <c r="D4" s="69" t="s">
        <v>162</v>
      </c>
      <c r="E4" s="70">
        <v>181.8</v>
      </c>
      <c r="F4" s="71" t="s">
        <v>169</v>
      </c>
      <c r="G4" s="83">
        <v>19.149999999999999</v>
      </c>
      <c r="H4" s="71" t="s">
        <v>191</v>
      </c>
      <c r="I4" s="72">
        <v>2</v>
      </c>
      <c r="J4" s="71" t="s">
        <v>177</v>
      </c>
      <c r="K4" s="73">
        <v>0.5</v>
      </c>
      <c r="L4" s="71" t="s">
        <v>167</v>
      </c>
      <c r="M4" s="73">
        <v>0</v>
      </c>
      <c r="N4" s="71" t="s">
        <v>191</v>
      </c>
      <c r="O4" s="73">
        <v>0.72727272727272729</v>
      </c>
      <c r="P4" s="71" t="s">
        <v>168</v>
      </c>
      <c r="Q4" s="74">
        <v>0.31304347826086959</v>
      </c>
      <c r="R4" s="71" t="s">
        <v>198</v>
      </c>
      <c r="S4" s="74">
        <v>0</v>
      </c>
      <c r="T4" s="71" t="s">
        <v>167</v>
      </c>
      <c r="U4" s="75">
        <v>8600</v>
      </c>
      <c r="V4" s="71" t="s">
        <v>198</v>
      </c>
      <c r="W4" s="75">
        <v>0</v>
      </c>
      <c r="X4" s="71" t="s">
        <v>207</v>
      </c>
      <c r="Y4" s="74">
        <v>0.2857142857142857</v>
      </c>
      <c r="Z4" s="71" t="s">
        <v>163</v>
      </c>
      <c r="AA4" s="74">
        <v>0.33783783783783783</v>
      </c>
      <c r="AB4" s="71" t="s">
        <v>166</v>
      </c>
      <c r="AC4" s="74">
        <v>0.75</v>
      </c>
      <c r="AD4" s="71" t="s">
        <v>162</v>
      </c>
      <c r="AE4" s="74">
        <v>0.5</v>
      </c>
      <c r="AF4" s="71" t="s">
        <v>163</v>
      </c>
      <c r="AG4" s="74">
        <v>0.52941176470588236</v>
      </c>
      <c r="AH4" s="71" t="s">
        <v>162</v>
      </c>
      <c r="AI4" s="78">
        <v>67800</v>
      </c>
    </row>
    <row r="5" spans="1:35">
      <c r="A5" s="68">
        <v>3</v>
      </c>
      <c r="B5" s="69" t="s">
        <v>168</v>
      </c>
      <c r="C5" s="133">
        <v>15</v>
      </c>
      <c r="D5" s="69" t="s">
        <v>168</v>
      </c>
      <c r="E5" s="70">
        <v>145.4</v>
      </c>
      <c r="F5" s="71" t="s">
        <v>167</v>
      </c>
      <c r="G5" s="83">
        <v>14</v>
      </c>
      <c r="H5" s="71" t="s">
        <v>167</v>
      </c>
      <c r="I5" s="72">
        <v>2</v>
      </c>
      <c r="J5" s="71" t="s">
        <v>163</v>
      </c>
      <c r="K5" s="73">
        <v>0.44444444444444442</v>
      </c>
      <c r="L5" s="71" t="s">
        <v>175</v>
      </c>
      <c r="M5" s="73">
        <v>0</v>
      </c>
      <c r="N5" s="71" t="s">
        <v>162</v>
      </c>
      <c r="O5" s="73">
        <v>0.66666666666666663</v>
      </c>
      <c r="P5" s="71" t="s">
        <v>167</v>
      </c>
      <c r="Q5" s="74">
        <v>0.2857142857142857</v>
      </c>
      <c r="R5" s="71" t="s">
        <v>164</v>
      </c>
      <c r="S5" s="74">
        <v>7.6190476190476197E-2</v>
      </c>
      <c r="T5" s="71" t="s">
        <v>175</v>
      </c>
      <c r="U5" s="75">
        <v>8400</v>
      </c>
      <c r="V5" s="71" t="s">
        <v>197</v>
      </c>
      <c r="W5" s="75">
        <v>-2450</v>
      </c>
      <c r="X5" s="71" t="s">
        <v>175</v>
      </c>
      <c r="Y5" s="74">
        <v>0.26666666666666666</v>
      </c>
      <c r="Z5" s="71" t="s">
        <v>201</v>
      </c>
      <c r="AA5" s="74">
        <v>0.33333333333333331</v>
      </c>
      <c r="AB5" s="71" t="s">
        <v>175</v>
      </c>
      <c r="AC5" s="74">
        <v>0.75</v>
      </c>
      <c r="AD5" s="71" t="s">
        <v>198</v>
      </c>
      <c r="AE5" s="74">
        <v>0.5</v>
      </c>
      <c r="AF5" s="71" t="s">
        <v>162</v>
      </c>
      <c r="AG5" s="74">
        <v>0.5</v>
      </c>
      <c r="AH5" s="71" t="s">
        <v>168</v>
      </c>
      <c r="AI5" s="78">
        <v>65600</v>
      </c>
    </row>
    <row r="6" spans="1:35">
      <c r="A6" s="68">
        <v>4</v>
      </c>
      <c r="B6" s="69" t="s">
        <v>164</v>
      </c>
      <c r="C6" s="133">
        <v>13</v>
      </c>
      <c r="D6" s="69" t="s">
        <v>191</v>
      </c>
      <c r="E6" s="70">
        <v>140.19999999999999</v>
      </c>
      <c r="F6" s="71" t="s">
        <v>191</v>
      </c>
      <c r="G6" s="83">
        <v>12.745454545454544</v>
      </c>
      <c r="H6" s="71" t="s">
        <v>169</v>
      </c>
      <c r="I6" s="72">
        <v>2.0625</v>
      </c>
      <c r="J6" s="71" t="s">
        <v>168</v>
      </c>
      <c r="K6" s="73">
        <v>0.4</v>
      </c>
      <c r="L6" s="71" t="s">
        <v>198</v>
      </c>
      <c r="M6" s="73">
        <v>0</v>
      </c>
      <c r="N6" s="71" t="s">
        <v>169</v>
      </c>
      <c r="O6" s="73">
        <v>0.625</v>
      </c>
      <c r="P6" s="71" t="s">
        <v>162</v>
      </c>
      <c r="Q6" s="74">
        <v>0.25</v>
      </c>
      <c r="R6" s="71" t="s">
        <v>179</v>
      </c>
      <c r="S6" s="74">
        <v>0.10101010101010101</v>
      </c>
      <c r="T6" s="71" t="s">
        <v>162</v>
      </c>
      <c r="U6" s="75">
        <v>7835.7142857142853</v>
      </c>
      <c r="V6" s="71" t="s">
        <v>191</v>
      </c>
      <c r="W6" s="75">
        <v>-2760</v>
      </c>
      <c r="X6" s="71" t="s">
        <v>164</v>
      </c>
      <c r="Y6" s="74">
        <v>0.24761904761904763</v>
      </c>
      <c r="Z6" s="71" t="s">
        <v>180</v>
      </c>
      <c r="AA6" s="74">
        <v>0.2857142857142857</v>
      </c>
      <c r="AB6" s="71" t="s">
        <v>177</v>
      </c>
      <c r="AC6" s="74">
        <v>0.75</v>
      </c>
      <c r="AD6" s="71" t="s">
        <v>207</v>
      </c>
      <c r="AE6" s="74">
        <v>0.5</v>
      </c>
      <c r="AF6" s="71" t="s">
        <v>167</v>
      </c>
      <c r="AG6" s="74">
        <v>0.5</v>
      </c>
      <c r="AH6" s="71" t="s">
        <v>169</v>
      </c>
      <c r="AI6" s="78">
        <v>62800</v>
      </c>
    </row>
    <row r="7" spans="1:35">
      <c r="A7" s="68">
        <v>5</v>
      </c>
      <c r="B7" s="69" t="s">
        <v>179</v>
      </c>
      <c r="C7" s="133">
        <v>12</v>
      </c>
      <c r="D7" s="69" t="s">
        <v>163</v>
      </c>
      <c r="E7" s="70">
        <v>69.300000000000011</v>
      </c>
      <c r="F7" s="71" t="s">
        <v>168</v>
      </c>
      <c r="G7" s="83">
        <v>9.6933333333333334</v>
      </c>
      <c r="H7" s="71" t="s">
        <v>179</v>
      </c>
      <c r="I7" s="72">
        <v>2.25</v>
      </c>
      <c r="J7" s="71" t="s">
        <v>169</v>
      </c>
      <c r="K7" s="73">
        <v>0.375</v>
      </c>
      <c r="L7" s="71" t="s">
        <v>197</v>
      </c>
      <c r="M7" s="73">
        <v>0</v>
      </c>
      <c r="N7" s="71" t="s">
        <v>168</v>
      </c>
      <c r="O7" s="73">
        <v>0.6</v>
      </c>
      <c r="P7" s="71" t="s">
        <v>198</v>
      </c>
      <c r="Q7" s="74">
        <v>0.25</v>
      </c>
      <c r="R7" s="71" t="s">
        <v>177</v>
      </c>
      <c r="S7" s="74">
        <v>0.10526315789473684</v>
      </c>
      <c r="T7" s="71" t="s">
        <v>164</v>
      </c>
      <c r="U7" s="75">
        <v>7137.5</v>
      </c>
      <c r="V7" s="71" t="s">
        <v>175</v>
      </c>
      <c r="W7" s="75">
        <v>-2950</v>
      </c>
      <c r="X7" s="71" t="s">
        <v>205</v>
      </c>
      <c r="Y7" s="74">
        <v>0.24242424242424243</v>
      </c>
      <c r="Z7" s="71" t="s">
        <v>207</v>
      </c>
      <c r="AA7" s="74">
        <v>0.2857142857142857</v>
      </c>
      <c r="AB7" s="71" t="s">
        <v>162</v>
      </c>
      <c r="AC7" s="74">
        <v>0.69230769230769229</v>
      </c>
      <c r="AD7" s="71" t="s">
        <v>179</v>
      </c>
      <c r="AE7" s="74">
        <v>0.45833333333333331</v>
      </c>
      <c r="AF7" s="71" t="s">
        <v>205</v>
      </c>
      <c r="AG7" s="74">
        <v>0.5</v>
      </c>
      <c r="AH7" s="71" t="s">
        <v>161</v>
      </c>
      <c r="AI7" s="78">
        <v>54900</v>
      </c>
    </row>
    <row r="8" spans="1:35">
      <c r="A8" s="68">
        <v>6</v>
      </c>
      <c r="B8" s="69" t="s">
        <v>191</v>
      </c>
      <c r="C8" s="133">
        <v>11</v>
      </c>
      <c r="D8" s="69" t="s">
        <v>179</v>
      </c>
      <c r="E8" s="70">
        <v>16.299999999999997</v>
      </c>
      <c r="F8" s="71" t="s">
        <v>163</v>
      </c>
      <c r="G8" s="83">
        <v>7.7000000000000011</v>
      </c>
      <c r="H8" s="71" t="s">
        <v>168</v>
      </c>
      <c r="I8" s="72">
        <v>2.2666666666666666</v>
      </c>
      <c r="J8" s="71" t="s">
        <v>191</v>
      </c>
      <c r="K8" s="73">
        <v>0.27272727272727271</v>
      </c>
      <c r="L8" s="71" t="s">
        <v>207</v>
      </c>
      <c r="M8" s="73">
        <v>0</v>
      </c>
      <c r="N8" s="71" t="s">
        <v>179</v>
      </c>
      <c r="O8" s="73">
        <v>0.58333333333333337</v>
      </c>
      <c r="P8" s="71" t="s">
        <v>179</v>
      </c>
      <c r="Q8" s="74">
        <v>0.23232323232323232</v>
      </c>
      <c r="R8" s="71" t="s">
        <v>163</v>
      </c>
      <c r="S8" s="74">
        <v>0.10810810810810811</v>
      </c>
      <c r="T8" s="71" t="s">
        <v>191</v>
      </c>
      <c r="U8" s="75">
        <v>6673.6842105263158</v>
      </c>
      <c r="V8" s="71" t="s">
        <v>162</v>
      </c>
      <c r="W8" s="75">
        <v>-3914.2857142857142</v>
      </c>
      <c r="X8" s="71" t="s">
        <v>162</v>
      </c>
      <c r="Y8" s="74">
        <v>0.23214285714285715</v>
      </c>
      <c r="Z8" s="71" t="s">
        <v>164</v>
      </c>
      <c r="AA8" s="74">
        <v>0.27619047619047621</v>
      </c>
      <c r="AB8" s="71" t="s">
        <v>168</v>
      </c>
      <c r="AC8" s="74">
        <v>0.66666666666666663</v>
      </c>
      <c r="AD8" s="71" t="s">
        <v>168</v>
      </c>
      <c r="AE8" s="74">
        <v>0.41463414634146339</v>
      </c>
      <c r="AF8" s="71" t="s">
        <v>161</v>
      </c>
      <c r="AG8" s="74">
        <v>0.41666666666666669</v>
      </c>
      <c r="AH8" s="71" t="s">
        <v>163</v>
      </c>
      <c r="AI8" s="78">
        <v>54600</v>
      </c>
    </row>
    <row r="9" spans="1:35">
      <c r="A9" s="68">
        <v>7</v>
      </c>
      <c r="B9" s="69" t="s">
        <v>163</v>
      </c>
      <c r="C9" s="133">
        <v>9</v>
      </c>
      <c r="D9" s="69" t="s">
        <v>167</v>
      </c>
      <c r="E9" s="70">
        <v>14</v>
      </c>
      <c r="F9" s="71" t="s">
        <v>207</v>
      </c>
      <c r="G9" s="83">
        <v>3.5</v>
      </c>
      <c r="H9" s="71" t="s">
        <v>163</v>
      </c>
      <c r="I9" s="72">
        <v>2.3333333333333335</v>
      </c>
      <c r="J9" s="71" t="s">
        <v>114</v>
      </c>
      <c r="K9" s="73">
        <v>0.25833333333333336</v>
      </c>
      <c r="L9" s="71" t="s">
        <v>169</v>
      </c>
      <c r="M9" s="73">
        <v>6.25E-2</v>
      </c>
      <c r="N9" s="71" t="s">
        <v>163</v>
      </c>
      <c r="O9" s="73">
        <v>0.55555555555555558</v>
      </c>
      <c r="P9" s="71" t="s">
        <v>163</v>
      </c>
      <c r="Q9" s="74">
        <v>0.22972972972972974</v>
      </c>
      <c r="R9" s="71" t="s">
        <v>169</v>
      </c>
      <c r="S9" s="74">
        <v>0.11029411764705882</v>
      </c>
      <c r="T9" s="71" t="s">
        <v>205</v>
      </c>
      <c r="U9" s="75">
        <v>6600</v>
      </c>
      <c r="V9" s="71" t="s">
        <v>169</v>
      </c>
      <c r="W9" s="75">
        <v>-4126.666666666667</v>
      </c>
      <c r="X9" s="71" t="s">
        <v>177</v>
      </c>
      <c r="Y9" s="74">
        <v>0.21052631578947367</v>
      </c>
      <c r="Z9" s="71" t="s">
        <v>191</v>
      </c>
      <c r="AA9" s="74">
        <v>0.2696629213483146</v>
      </c>
      <c r="AB9" s="71" t="s">
        <v>169</v>
      </c>
      <c r="AC9" s="74">
        <v>0.60869565217391308</v>
      </c>
      <c r="AD9" s="71" t="s">
        <v>169</v>
      </c>
      <c r="AE9" s="74">
        <v>0.375</v>
      </c>
      <c r="AF9" s="71" t="s">
        <v>179</v>
      </c>
      <c r="AG9" s="74">
        <v>0.39130434782608697</v>
      </c>
      <c r="AH9" s="71" t="s">
        <v>191</v>
      </c>
      <c r="AI9" s="78">
        <v>52500</v>
      </c>
    </row>
    <row r="10" spans="1:35">
      <c r="A10" s="68">
        <v>8</v>
      </c>
      <c r="B10" s="69" t="s">
        <v>161</v>
      </c>
      <c r="C10" s="133">
        <v>7</v>
      </c>
      <c r="D10" s="69" t="s">
        <v>207</v>
      </c>
      <c r="E10" s="70">
        <v>7</v>
      </c>
      <c r="F10" s="71" t="s">
        <v>177</v>
      </c>
      <c r="G10" s="83">
        <v>1.9499999999999993</v>
      </c>
      <c r="H10" s="71" t="s">
        <v>114</v>
      </c>
      <c r="I10" s="72">
        <v>2.4833333333333334</v>
      </c>
      <c r="J10" s="71" t="s">
        <v>179</v>
      </c>
      <c r="K10" s="73">
        <v>0.25</v>
      </c>
      <c r="L10" s="71" t="s">
        <v>179</v>
      </c>
      <c r="M10" s="73">
        <v>8.3333333333333329E-2</v>
      </c>
      <c r="N10" s="71" t="s">
        <v>164</v>
      </c>
      <c r="O10" s="73">
        <v>0.53846153846153844</v>
      </c>
      <c r="P10" s="71" t="s">
        <v>191</v>
      </c>
      <c r="Q10" s="74">
        <v>0.21348314606741572</v>
      </c>
      <c r="R10" s="71" t="s">
        <v>191</v>
      </c>
      <c r="S10" s="74">
        <v>0.11235955056179775</v>
      </c>
      <c r="T10" s="71" t="s">
        <v>207</v>
      </c>
      <c r="U10" s="75">
        <v>6600</v>
      </c>
      <c r="V10" s="71" t="s">
        <v>204</v>
      </c>
      <c r="W10" s="75">
        <v>-4800</v>
      </c>
      <c r="X10" s="71" t="s">
        <v>197</v>
      </c>
      <c r="Y10" s="74">
        <v>0.2</v>
      </c>
      <c r="Z10" s="71" t="s">
        <v>198</v>
      </c>
      <c r="AA10" s="74">
        <v>0.25</v>
      </c>
      <c r="AB10" s="71" t="s">
        <v>163</v>
      </c>
      <c r="AC10" s="74">
        <v>0.5714285714285714</v>
      </c>
      <c r="AD10" s="71" t="s">
        <v>191</v>
      </c>
      <c r="AE10" s="74">
        <v>0.375</v>
      </c>
      <c r="AF10" s="71" t="s">
        <v>168</v>
      </c>
      <c r="AG10" s="74">
        <v>0.3888888888888889</v>
      </c>
      <c r="AH10" s="71" t="s">
        <v>164</v>
      </c>
      <c r="AI10" s="78">
        <v>52000</v>
      </c>
    </row>
    <row r="11" spans="1:35">
      <c r="A11" s="68">
        <v>9</v>
      </c>
      <c r="B11" s="69" t="s">
        <v>195</v>
      </c>
      <c r="C11" s="133">
        <v>7</v>
      </c>
      <c r="D11" s="69" t="s">
        <v>177</v>
      </c>
      <c r="E11" s="70">
        <v>3.8999999999999986</v>
      </c>
      <c r="F11" s="71" t="s">
        <v>179</v>
      </c>
      <c r="G11" s="83">
        <v>1.3583333333333332</v>
      </c>
      <c r="H11" s="71" t="s">
        <v>175</v>
      </c>
      <c r="I11" s="72">
        <v>2.5</v>
      </c>
      <c r="J11" s="71" t="s">
        <v>164</v>
      </c>
      <c r="K11" s="73">
        <v>0.23076923076923078</v>
      </c>
      <c r="L11" s="71" t="s">
        <v>162</v>
      </c>
      <c r="M11" s="73">
        <v>0.16666666666666666</v>
      </c>
      <c r="N11" s="71" t="s">
        <v>114</v>
      </c>
      <c r="O11" s="73">
        <v>0.5</v>
      </c>
      <c r="P11" s="71" t="s">
        <v>177</v>
      </c>
      <c r="Q11" s="74">
        <v>0.21052631578947367</v>
      </c>
      <c r="R11" s="71" t="s">
        <v>166</v>
      </c>
      <c r="S11" s="74">
        <v>0.11428571428571428</v>
      </c>
      <c r="T11" s="71" t="s">
        <v>161</v>
      </c>
      <c r="U11" s="75">
        <v>6458.333333333333</v>
      </c>
      <c r="V11" s="71" t="s">
        <v>205</v>
      </c>
      <c r="W11" s="75">
        <v>-5066.666666666667</v>
      </c>
      <c r="X11" s="71" t="s">
        <v>179</v>
      </c>
      <c r="Y11" s="74">
        <v>0.19191919191919191</v>
      </c>
      <c r="Z11" s="71" t="s">
        <v>179</v>
      </c>
      <c r="AA11" s="74">
        <v>0.24242424242424243</v>
      </c>
      <c r="AB11" s="71" t="s">
        <v>167</v>
      </c>
      <c r="AC11" s="74">
        <v>0.5</v>
      </c>
      <c r="AD11" s="71" t="s">
        <v>161</v>
      </c>
      <c r="AE11" s="74">
        <v>0.35714285714285715</v>
      </c>
      <c r="AF11" s="71" t="s">
        <v>114</v>
      </c>
      <c r="AG11" s="74">
        <v>0.34</v>
      </c>
      <c r="AH11" s="71" t="s">
        <v>207</v>
      </c>
      <c r="AI11" s="78">
        <v>45000</v>
      </c>
    </row>
    <row r="12" spans="1:35">
      <c r="A12" s="68">
        <v>10</v>
      </c>
      <c r="B12" s="69" t="s">
        <v>162</v>
      </c>
      <c r="C12" s="133">
        <v>6</v>
      </c>
      <c r="D12" s="69" t="s">
        <v>175</v>
      </c>
      <c r="E12" s="70">
        <v>-2.2000000000000011</v>
      </c>
      <c r="F12" s="71" t="s">
        <v>164</v>
      </c>
      <c r="G12" s="83">
        <v>-0.22307692307692351</v>
      </c>
      <c r="H12" s="71" t="s">
        <v>177</v>
      </c>
      <c r="I12" s="72">
        <v>2.5</v>
      </c>
      <c r="J12" s="71" t="s">
        <v>161</v>
      </c>
      <c r="K12" s="73">
        <v>0.14285714285714285</v>
      </c>
      <c r="L12" s="71" t="s">
        <v>114</v>
      </c>
      <c r="M12" s="73">
        <v>0.24166666666666667</v>
      </c>
      <c r="N12" s="71" t="s">
        <v>175</v>
      </c>
      <c r="O12" s="73">
        <v>0.5</v>
      </c>
      <c r="P12" s="71" t="s">
        <v>114</v>
      </c>
      <c r="Q12" s="74">
        <v>0.20408163265306123</v>
      </c>
      <c r="R12" s="71" t="s">
        <v>162</v>
      </c>
      <c r="S12" s="74">
        <v>0.125</v>
      </c>
      <c r="T12" s="71" t="s">
        <v>114</v>
      </c>
      <c r="U12" s="75">
        <v>6380</v>
      </c>
      <c r="V12" s="71" t="s">
        <v>164</v>
      </c>
      <c r="W12" s="75">
        <v>-5575</v>
      </c>
      <c r="X12" s="71" t="s">
        <v>163</v>
      </c>
      <c r="Y12" s="74">
        <v>0.1891891891891892</v>
      </c>
      <c r="Z12" s="71" t="s">
        <v>114</v>
      </c>
      <c r="AA12" s="74">
        <v>0.23673469387755103</v>
      </c>
      <c r="AB12" s="71" t="s">
        <v>195</v>
      </c>
      <c r="AC12" s="74">
        <v>0.5</v>
      </c>
      <c r="AD12" s="71" t="s">
        <v>114</v>
      </c>
      <c r="AE12" s="74">
        <v>0.35344827586206895</v>
      </c>
      <c r="AF12" s="71" t="s">
        <v>175</v>
      </c>
      <c r="AG12" s="74">
        <v>0.33333333333333331</v>
      </c>
      <c r="AH12" s="71" t="s">
        <v>177</v>
      </c>
      <c r="AI12" s="78">
        <v>42500</v>
      </c>
    </row>
    <row r="13" spans="1:35">
      <c r="A13" s="68">
        <v>11</v>
      </c>
      <c r="B13" s="69" t="s">
        <v>166</v>
      </c>
      <c r="C13" s="133">
        <v>4</v>
      </c>
      <c r="D13" s="69" t="s">
        <v>164</v>
      </c>
      <c r="E13" s="70">
        <v>-2.9000000000000057</v>
      </c>
      <c r="F13" s="71" t="s">
        <v>114</v>
      </c>
      <c r="G13" s="83">
        <v>-0.25</v>
      </c>
      <c r="H13" s="71" t="s">
        <v>198</v>
      </c>
      <c r="I13" s="72">
        <v>2.5</v>
      </c>
      <c r="J13" s="71" t="s">
        <v>166</v>
      </c>
      <c r="K13" s="73">
        <v>0</v>
      </c>
      <c r="L13" s="71" t="s">
        <v>168</v>
      </c>
      <c r="M13" s="73">
        <v>0.26666666666666666</v>
      </c>
      <c r="N13" s="71" t="s">
        <v>177</v>
      </c>
      <c r="O13" s="73">
        <v>0.5</v>
      </c>
      <c r="P13" s="71" t="s">
        <v>161</v>
      </c>
      <c r="Q13" s="74">
        <v>0.2</v>
      </c>
      <c r="R13" s="71" t="s">
        <v>175</v>
      </c>
      <c r="S13" s="74">
        <v>0.13333333333333333</v>
      </c>
      <c r="T13" s="71" t="s">
        <v>163</v>
      </c>
      <c r="U13" s="75">
        <v>6000</v>
      </c>
      <c r="V13" s="71" t="s">
        <v>195</v>
      </c>
      <c r="W13" s="75">
        <v>-5700</v>
      </c>
      <c r="X13" s="71" t="s">
        <v>198</v>
      </c>
      <c r="Y13" s="74">
        <v>0.1875</v>
      </c>
      <c r="Z13" s="71" t="s">
        <v>161</v>
      </c>
      <c r="AA13" s="74">
        <v>0.23333333333333334</v>
      </c>
      <c r="AB13" s="71" t="s">
        <v>114</v>
      </c>
      <c r="AC13" s="74">
        <v>0.48333333333333334</v>
      </c>
      <c r="AD13" s="71" t="s">
        <v>177</v>
      </c>
      <c r="AE13" s="74">
        <v>0.33333333333333331</v>
      </c>
      <c r="AF13" s="71" t="s">
        <v>207</v>
      </c>
      <c r="AG13" s="74">
        <v>0.2857142857142857</v>
      </c>
      <c r="AH13" s="71" t="s">
        <v>198</v>
      </c>
      <c r="AI13" s="78">
        <v>41500</v>
      </c>
    </row>
    <row r="14" spans="1:35">
      <c r="A14" s="68">
        <v>12</v>
      </c>
      <c r="B14" s="69" t="s">
        <v>205</v>
      </c>
      <c r="C14" s="133">
        <v>4</v>
      </c>
      <c r="D14" s="69" t="s">
        <v>198</v>
      </c>
      <c r="E14" s="70">
        <v>-5.6000000000000014</v>
      </c>
      <c r="F14" s="71" t="s">
        <v>175</v>
      </c>
      <c r="G14" s="83">
        <v>-1.1000000000000005</v>
      </c>
      <c r="H14" s="71" t="s">
        <v>207</v>
      </c>
      <c r="I14" s="72">
        <v>2.5</v>
      </c>
      <c r="J14" s="71" t="s">
        <v>167</v>
      </c>
      <c r="K14" s="73">
        <v>0</v>
      </c>
      <c r="L14" s="71" t="s">
        <v>161</v>
      </c>
      <c r="M14" s="73">
        <v>0.2857142857142857</v>
      </c>
      <c r="N14" s="71" t="s">
        <v>198</v>
      </c>
      <c r="O14" s="73">
        <v>0.5</v>
      </c>
      <c r="P14" s="71" t="s">
        <v>166</v>
      </c>
      <c r="Q14" s="74">
        <v>0.2</v>
      </c>
      <c r="R14" s="71" t="s">
        <v>201</v>
      </c>
      <c r="S14" s="74">
        <v>0.13333333333333333</v>
      </c>
      <c r="T14" s="71" t="s">
        <v>177</v>
      </c>
      <c r="U14" s="75">
        <v>5900</v>
      </c>
      <c r="V14" s="71" t="s">
        <v>177</v>
      </c>
      <c r="W14" s="75">
        <v>-5950</v>
      </c>
      <c r="X14" s="71" t="s">
        <v>114</v>
      </c>
      <c r="Y14" s="74">
        <v>0.18367346938775511</v>
      </c>
      <c r="Z14" s="71" t="s">
        <v>195</v>
      </c>
      <c r="AA14" s="74">
        <v>0.20754716981132076</v>
      </c>
      <c r="AB14" s="71" t="s">
        <v>161</v>
      </c>
      <c r="AC14" s="74">
        <v>0.45454545454545453</v>
      </c>
      <c r="AD14" s="71" t="s">
        <v>163</v>
      </c>
      <c r="AE14" s="74">
        <v>0.32</v>
      </c>
      <c r="AF14" s="71" t="s">
        <v>169</v>
      </c>
      <c r="AG14" s="74">
        <v>0.25925925925925924</v>
      </c>
      <c r="AH14" s="71" t="s">
        <v>179</v>
      </c>
      <c r="AI14" s="78">
        <v>36000</v>
      </c>
    </row>
    <row r="15" spans="1:35">
      <c r="A15" s="68">
        <v>13</v>
      </c>
      <c r="B15" s="69" t="s">
        <v>175</v>
      </c>
      <c r="C15" s="133">
        <v>2</v>
      </c>
      <c r="D15" s="69" t="s">
        <v>114</v>
      </c>
      <c r="E15" s="70">
        <v>-30</v>
      </c>
      <c r="F15" s="71" t="s">
        <v>198</v>
      </c>
      <c r="G15" s="83">
        <v>-2.8000000000000007</v>
      </c>
      <c r="H15" s="71" t="s">
        <v>164</v>
      </c>
      <c r="I15" s="72">
        <v>2.5384615384615383</v>
      </c>
      <c r="J15" s="71" t="s">
        <v>175</v>
      </c>
      <c r="K15" s="73">
        <v>0</v>
      </c>
      <c r="L15" s="71" t="s">
        <v>164</v>
      </c>
      <c r="M15" s="73">
        <v>0.30769230769230771</v>
      </c>
      <c r="N15" s="71" t="s">
        <v>207</v>
      </c>
      <c r="O15" s="73">
        <v>0.5</v>
      </c>
      <c r="P15" s="71" t="s">
        <v>175</v>
      </c>
      <c r="Q15" s="74">
        <v>0.2</v>
      </c>
      <c r="R15" s="71" t="s">
        <v>197</v>
      </c>
      <c r="S15" s="74">
        <v>0.13333333333333333</v>
      </c>
      <c r="T15" s="71" t="s">
        <v>168</v>
      </c>
      <c r="U15" s="75">
        <v>5805.5555555555557</v>
      </c>
      <c r="V15" s="71" t="s">
        <v>114</v>
      </c>
      <c r="W15" s="75">
        <v>-5976.515151515152</v>
      </c>
      <c r="X15" s="71" t="s">
        <v>161</v>
      </c>
      <c r="Y15" s="74">
        <v>0.18333333333333332</v>
      </c>
      <c r="Z15" s="71" t="s">
        <v>169</v>
      </c>
      <c r="AA15" s="74">
        <v>0.17647058823529413</v>
      </c>
      <c r="AB15" s="71" t="s">
        <v>179</v>
      </c>
      <c r="AC15" s="74">
        <v>0.36842105263157893</v>
      </c>
      <c r="AD15" s="71" t="s">
        <v>195</v>
      </c>
      <c r="AE15" s="74">
        <v>0.27272727272727271</v>
      </c>
      <c r="AF15" s="71" t="s">
        <v>177</v>
      </c>
      <c r="AG15" s="74">
        <v>0.25</v>
      </c>
      <c r="AH15" s="71" t="s">
        <v>167</v>
      </c>
      <c r="AI15" s="78">
        <v>34000</v>
      </c>
    </row>
    <row r="16" spans="1:35">
      <c r="A16" s="68">
        <v>14</v>
      </c>
      <c r="B16" s="69" t="s">
        <v>177</v>
      </c>
      <c r="C16" s="133">
        <v>2</v>
      </c>
      <c r="D16" s="69" t="s">
        <v>197</v>
      </c>
      <c r="E16" s="70">
        <v>-49</v>
      </c>
      <c r="F16" s="71" t="s">
        <v>161</v>
      </c>
      <c r="G16" s="83">
        <v>-10.314285714285713</v>
      </c>
      <c r="H16" s="71" t="s">
        <v>161</v>
      </c>
      <c r="I16" s="72">
        <v>2.7142857142857144</v>
      </c>
      <c r="J16" s="71" t="s">
        <v>180</v>
      </c>
      <c r="K16" s="73">
        <v>0</v>
      </c>
      <c r="L16" s="71" t="s">
        <v>163</v>
      </c>
      <c r="M16" s="73">
        <v>0.33333333333333331</v>
      </c>
      <c r="N16" s="71" t="s">
        <v>161</v>
      </c>
      <c r="O16" s="73">
        <v>0.42857142857142855</v>
      </c>
      <c r="P16" s="71" t="s">
        <v>169</v>
      </c>
      <c r="Q16" s="74">
        <v>0.19852941176470587</v>
      </c>
      <c r="R16" s="71" t="s">
        <v>114</v>
      </c>
      <c r="S16" s="74">
        <v>0.13469387755102041</v>
      </c>
      <c r="T16" s="71" t="s">
        <v>198</v>
      </c>
      <c r="U16" s="75">
        <v>5750</v>
      </c>
      <c r="V16" s="71" t="s">
        <v>168</v>
      </c>
      <c r="W16" s="75">
        <v>-6571.4285714285716</v>
      </c>
      <c r="X16" s="71" t="s">
        <v>168</v>
      </c>
      <c r="Y16" s="74">
        <v>0.18260869565217391</v>
      </c>
      <c r="Z16" s="71" t="s">
        <v>204</v>
      </c>
      <c r="AA16" s="74">
        <v>0.17647058823529413</v>
      </c>
      <c r="AB16" s="71" t="s">
        <v>191</v>
      </c>
      <c r="AC16" s="74">
        <v>0.36363636363636365</v>
      </c>
      <c r="AD16" s="71" t="s">
        <v>164</v>
      </c>
      <c r="AE16" s="74">
        <v>0.2413793103448276</v>
      </c>
      <c r="AF16" s="71" t="s">
        <v>198</v>
      </c>
      <c r="AG16" s="74">
        <v>0.25</v>
      </c>
      <c r="AH16" s="71" t="s">
        <v>175</v>
      </c>
      <c r="AI16" s="78">
        <v>33600</v>
      </c>
    </row>
    <row r="17" spans="1:35">
      <c r="A17" s="68">
        <v>15</v>
      </c>
      <c r="B17" s="69" t="s">
        <v>201</v>
      </c>
      <c r="C17" s="133">
        <v>2</v>
      </c>
      <c r="D17" s="69" t="s">
        <v>180</v>
      </c>
      <c r="E17" s="70">
        <v>-52.6</v>
      </c>
      <c r="F17" s="71" t="s">
        <v>197</v>
      </c>
      <c r="G17" s="83">
        <v>-24.5</v>
      </c>
      <c r="H17" s="71" t="s">
        <v>197</v>
      </c>
      <c r="I17" s="72">
        <v>3</v>
      </c>
      <c r="J17" s="71" t="s">
        <v>201</v>
      </c>
      <c r="K17" s="73">
        <v>0</v>
      </c>
      <c r="L17" s="71" t="s">
        <v>195</v>
      </c>
      <c r="M17" s="73">
        <v>0.42857142857142855</v>
      </c>
      <c r="N17" s="71" t="s">
        <v>166</v>
      </c>
      <c r="O17" s="73">
        <v>0.25</v>
      </c>
      <c r="P17" s="71" t="s">
        <v>164</v>
      </c>
      <c r="Q17" s="74">
        <v>0.15238095238095239</v>
      </c>
      <c r="R17" s="71" t="s">
        <v>207</v>
      </c>
      <c r="S17" s="74">
        <v>0.14285714285714285</v>
      </c>
      <c r="T17" s="71" t="s">
        <v>179</v>
      </c>
      <c r="U17" s="75">
        <v>4634.782608695652</v>
      </c>
      <c r="V17" s="71" t="s">
        <v>180</v>
      </c>
      <c r="W17" s="75">
        <v>-6600</v>
      </c>
      <c r="X17" s="71" t="s">
        <v>169</v>
      </c>
      <c r="Y17" s="74">
        <v>0.16911764705882354</v>
      </c>
      <c r="Z17" s="71" t="s">
        <v>166</v>
      </c>
      <c r="AA17" s="74">
        <v>0.17142857142857143</v>
      </c>
      <c r="AB17" s="71" t="s">
        <v>198</v>
      </c>
      <c r="AC17" s="74">
        <v>0.33333333333333331</v>
      </c>
      <c r="AD17" s="71" t="s">
        <v>167</v>
      </c>
      <c r="AE17" s="74">
        <v>0</v>
      </c>
      <c r="AF17" s="71" t="s">
        <v>195</v>
      </c>
      <c r="AG17" s="74">
        <v>0.16666666666666666</v>
      </c>
      <c r="AH17" s="71" t="s">
        <v>195</v>
      </c>
      <c r="AI17" s="78">
        <v>29100</v>
      </c>
    </row>
    <row r="18" spans="1:35">
      <c r="A18" s="68">
        <v>16</v>
      </c>
      <c r="B18" s="69" t="s">
        <v>198</v>
      </c>
      <c r="C18" s="133">
        <v>2</v>
      </c>
      <c r="D18" s="69" t="s">
        <v>161</v>
      </c>
      <c r="E18" s="70">
        <v>-72.199999999999989</v>
      </c>
      <c r="F18" s="71" t="s">
        <v>166</v>
      </c>
      <c r="G18" s="83">
        <v>-31.999999999999996</v>
      </c>
      <c r="H18" s="71" t="s">
        <v>166</v>
      </c>
      <c r="I18" s="72">
        <v>3.25</v>
      </c>
      <c r="J18" s="71" t="s">
        <v>195</v>
      </c>
      <c r="K18" s="73">
        <v>0</v>
      </c>
      <c r="L18" s="71" t="s">
        <v>166</v>
      </c>
      <c r="M18" s="73">
        <v>0.5</v>
      </c>
      <c r="N18" s="71" t="s">
        <v>195</v>
      </c>
      <c r="O18" s="73">
        <v>0.14285714285714285</v>
      </c>
      <c r="P18" s="71" t="s">
        <v>195</v>
      </c>
      <c r="Q18" s="74">
        <v>0.11320754716981132</v>
      </c>
      <c r="R18" s="71" t="s">
        <v>161</v>
      </c>
      <c r="S18" s="74">
        <v>0.16666666666666666</v>
      </c>
      <c r="T18" s="71" t="s">
        <v>195</v>
      </c>
      <c r="U18" s="75">
        <v>3983.3333333333335</v>
      </c>
      <c r="V18" s="71" t="s">
        <v>161</v>
      </c>
      <c r="W18" s="75">
        <v>-7220</v>
      </c>
      <c r="X18" s="71" t="s">
        <v>180</v>
      </c>
      <c r="Y18" s="74">
        <v>0.14285714285714285</v>
      </c>
      <c r="Z18" s="71" t="s">
        <v>177</v>
      </c>
      <c r="AA18" s="74">
        <v>0.15789473684210525</v>
      </c>
      <c r="AB18" s="71" t="s">
        <v>205</v>
      </c>
      <c r="AC18" s="74">
        <v>0.25</v>
      </c>
      <c r="AD18" s="71" t="s">
        <v>175</v>
      </c>
      <c r="AE18" s="74">
        <v>0</v>
      </c>
      <c r="AF18" s="71" t="s">
        <v>191</v>
      </c>
      <c r="AG18" s="74">
        <v>0.15789473684210525</v>
      </c>
      <c r="AH18" s="71" t="s">
        <v>205</v>
      </c>
      <c r="AI18" s="78">
        <v>25000</v>
      </c>
    </row>
    <row r="19" spans="1:35">
      <c r="A19" s="68">
        <v>17</v>
      </c>
      <c r="B19" s="69" t="s">
        <v>197</v>
      </c>
      <c r="C19" s="133">
        <v>2</v>
      </c>
      <c r="D19" s="69" t="s">
        <v>201</v>
      </c>
      <c r="E19" s="70">
        <v>-97.4</v>
      </c>
      <c r="F19" s="71" t="s">
        <v>205</v>
      </c>
      <c r="G19" s="83">
        <v>-36.049999999999997</v>
      </c>
      <c r="H19" s="71" t="s">
        <v>195</v>
      </c>
      <c r="I19" s="72">
        <v>3.2857142857142856</v>
      </c>
      <c r="J19" s="71" t="s">
        <v>198</v>
      </c>
      <c r="K19" s="73">
        <v>0</v>
      </c>
      <c r="L19" s="71" t="s">
        <v>177</v>
      </c>
      <c r="M19" s="73">
        <v>0.5</v>
      </c>
      <c r="N19" s="71" t="s">
        <v>180</v>
      </c>
      <c r="O19" s="73">
        <v>0</v>
      </c>
      <c r="P19" s="71" t="s">
        <v>205</v>
      </c>
      <c r="Q19" s="74">
        <v>6.0606060606060608E-2</v>
      </c>
      <c r="R19" s="71" t="s">
        <v>204</v>
      </c>
      <c r="S19" s="74">
        <v>0.17647058823529413</v>
      </c>
      <c r="T19" s="71" t="s">
        <v>166</v>
      </c>
      <c r="U19" s="75">
        <v>2928.5714285714284</v>
      </c>
      <c r="V19" s="71" t="s">
        <v>163</v>
      </c>
      <c r="W19" s="75">
        <v>-7887.5</v>
      </c>
      <c r="X19" s="71" t="s">
        <v>191</v>
      </c>
      <c r="Y19" s="74">
        <v>0.12359550561797752</v>
      </c>
      <c r="Z19" s="71" t="s">
        <v>162</v>
      </c>
      <c r="AA19" s="74">
        <v>0.14285714285714285</v>
      </c>
      <c r="AB19" s="71" t="s">
        <v>164</v>
      </c>
      <c r="AC19" s="74">
        <v>0.23076923076923078</v>
      </c>
      <c r="AD19" s="71" t="s">
        <v>180</v>
      </c>
      <c r="AE19" s="74">
        <v>0</v>
      </c>
      <c r="AF19" s="71" t="s">
        <v>164</v>
      </c>
      <c r="AG19" s="74">
        <v>0.125</v>
      </c>
      <c r="AH19" s="71" t="s">
        <v>166</v>
      </c>
      <c r="AI19" s="78">
        <v>23700</v>
      </c>
    </row>
    <row r="20" spans="1:35">
      <c r="A20" s="68">
        <v>18</v>
      </c>
      <c r="B20" s="69" t="s">
        <v>204</v>
      </c>
      <c r="C20" s="133">
        <v>2</v>
      </c>
      <c r="D20" s="69" t="s">
        <v>204</v>
      </c>
      <c r="E20" s="70">
        <v>-105.9</v>
      </c>
      <c r="F20" s="71" t="s">
        <v>195</v>
      </c>
      <c r="G20" s="83">
        <v>-36.328571428571429</v>
      </c>
      <c r="H20" s="71" t="s">
        <v>205</v>
      </c>
      <c r="I20" s="72">
        <v>3.5</v>
      </c>
      <c r="J20" s="71" t="s">
        <v>197</v>
      </c>
      <c r="K20" s="73">
        <v>0</v>
      </c>
      <c r="L20" s="71" t="s">
        <v>205</v>
      </c>
      <c r="M20" s="73">
        <v>0.5</v>
      </c>
      <c r="N20" s="71" t="s">
        <v>201</v>
      </c>
      <c r="O20" s="73">
        <v>0</v>
      </c>
      <c r="P20" s="71" t="s">
        <v>204</v>
      </c>
      <c r="Q20" s="74">
        <v>5.8823529411764705E-2</v>
      </c>
      <c r="R20" s="71" t="s">
        <v>168</v>
      </c>
      <c r="S20" s="74">
        <v>0.18260869565217391</v>
      </c>
      <c r="T20" s="71" t="s">
        <v>204</v>
      </c>
      <c r="U20" s="75">
        <v>1300</v>
      </c>
      <c r="V20" s="71" t="s">
        <v>179</v>
      </c>
      <c r="W20" s="75">
        <v>-8390</v>
      </c>
      <c r="X20" s="71" t="s">
        <v>204</v>
      </c>
      <c r="Y20" s="74">
        <v>0.11764705882352941</v>
      </c>
      <c r="Z20" s="71" t="s">
        <v>167</v>
      </c>
      <c r="AA20" s="74">
        <v>0.14285714285714285</v>
      </c>
      <c r="AB20" s="71" t="s">
        <v>180</v>
      </c>
      <c r="AC20" s="74">
        <v>0</v>
      </c>
      <c r="AD20" s="71" t="s">
        <v>201</v>
      </c>
      <c r="AE20" s="74">
        <v>0</v>
      </c>
      <c r="AF20" s="71" t="s">
        <v>180</v>
      </c>
      <c r="AG20" s="74">
        <v>0</v>
      </c>
      <c r="AH20" s="71" t="s">
        <v>197</v>
      </c>
      <c r="AI20" s="78">
        <v>19900</v>
      </c>
    </row>
    <row r="21" spans="1:35">
      <c r="A21" s="68">
        <v>19</v>
      </c>
      <c r="B21" s="69" t="s">
        <v>207</v>
      </c>
      <c r="C21" s="133">
        <v>2</v>
      </c>
      <c r="D21" s="69" t="s">
        <v>166</v>
      </c>
      <c r="E21" s="70">
        <v>-127.99999999999999</v>
      </c>
      <c r="F21" s="71" t="s">
        <v>201</v>
      </c>
      <c r="G21" s="83">
        <v>-48.7</v>
      </c>
      <c r="H21" s="71" t="s">
        <v>180</v>
      </c>
      <c r="I21" s="72">
        <v>4</v>
      </c>
      <c r="J21" s="71" t="s">
        <v>205</v>
      </c>
      <c r="K21" s="73">
        <v>0</v>
      </c>
      <c r="L21" s="71" t="s">
        <v>180</v>
      </c>
      <c r="M21" s="73">
        <v>1</v>
      </c>
      <c r="N21" s="71" t="s">
        <v>197</v>
      </c>
      <c r="O21" s="73">
        <v>0</v>
      </c>
      <c r="P21" s="71" t="s">
        <v>180</v>
      </c>
      <c r="Q21" s="74">
        <v>0</v>
      </c>
      <c r="R21" s="71" t="s">
        <v>205</v>
      </c>
      <c r="S21" s="74">
        <v>0.27272727272727271</v>
      </c>
      <c r="T21" s="71" t="s">
        <v>180</v>
      </c>
      <c r="U21" s="75">
        <v>0</v>
      </c>
      <c r="V21" s="71" t="s">
        <v>201</v>
      </c>
      <c r="W21" s="75">
        <v>-10000</v>
      </c>
      <c r="X21" s="71" t="s">
        <v>166</v>
      </c>
      <c r="Y21" s="74">
        <v>0.11428571428571428</v>
      </c>
      <c r="Z21" s="71" t="s">
        <v>205</v>
      </c>
      <c r="AA21" s="74">
        <v>0.12121212121212122</v>
      </c>
      <c r="AB21" s="71" t="s">
        <v>201</v>
      </c>
      <c r="AC21" s="74">
        <v>0</v>
      </c>
      <c r="AD21" s="71" t="s">
        <v>197</v>
      </c>
      <c r="AE21" s="74">
        <v>0</v>
      </c>
      <c r="AF21" s="71" t="s">
        <v>201</v>
      </c>
      <c r="AG21" s="74">
        <v>0</v>
      </c>
      <c r="AH21" s="71" t="s">
        <v>201</v>
      </c>
      <c r="AI21" s="78">
        <v>14100</v>
      </c>
    </row>
    <row r="22" spans="1:35">
      <c r="A22" s="68">
        <v>20</v>
      </c>
      <c r="B22" s="69" t="s">
        <v>167</v>
      </c>
      <c r="C22" s="133">
        <v>1</v>
      </c>
      <c r="D22" s="69" t="s">
        <v>205</v>
      </c>
      <c r="E22" s="70">
        <v>-144.19999999999999</v>
      </c>
      <c r="F22" s="71" t="s">
        <v>180</v>
      </c>
      <c r="G22" s="83">
        <v>-52.6</v>
      </c>
      <c r="H22" s="71" t="s">
        <v>201</v>
      </c>
      <c r="I22" s="72">
        <v>4</v>
      </c>
      <c r="J22" s="71" t="s">
        <v>204</v>
      </c>
      <c r="K22" s="73">
        <v>0</v>
      </c>
      <c r="L22" s="71" t="s">
        <v>201</v>
      </c>
      <c r="M22" s="73">
        <v>1</v>
      </c>
      <c r="N22" s="71" t="s">
        <v>205</v>
      </c>
      <c r="O22" s="73">
        <v>0</v>
      </c>
      <c r="P22" s="71" t="s">
        <v>201</v>
      </c>
      <c r="Q22" s="74">
        <v>0</v>
      </c>
      <c r="R22" s="71" t="s">
        <v>195</v>
      </c>
      <c r="S22" s="74">
        <v>0.28301886792452829</v>
      </c>
      <c r="T22" s="71" t="s">
        <v>201</v>
      </c>
      <c r="U22" s="75">
        <v>0</v>
      </c>
      <c r="V22" s="71" t="s">
        <v>166</v>
      </c>
      <c r="W22" s="75">
        <v>-11400</v>
      </c>
      <c r="X22" s="71" t="s">
        <v>195</v>
      </c>
      <c r="Y22" s="74">
        <v>0.11320754716981132</v>
      </c>
      <c r="Z22" s="71" t="s">
        <v>175</v>
      </c>
      <c r="AA22" s="74">
        <v>0</v>
      </c>
      <c r="AB22" s="71" t="s">
        <v>197</v>
      </c>
      <c r="AC22" s="74">
        <v>0</v>
      </c>
      <c r="AD22" s="71" t="s">
        <v>205</v>
      </c>
      <c r="AE22" s="74">
        <v>0</v>
      </c>
      <c r="AF22" s="71" t="s">
        <v>197</v>
      </c>
      <c r="AG22" s="74">
        <v>0</v>
      </c>
      <c r="AH22" s="71" t="s">
        <v>204</v>
      </c>
      <c r="AI22" s="78">
        <v>13500</v>
      </c>
    </row>
    <row r="23" spans="1:35">
      <c r="A23" s="68">
        <v>21</v>
      </c>
      <c r="B23" s="69" t="s">
        <v>180</v>
      </c>
      <c r="C23" s="133">
        <v>1</v>
      </c>
      <c r="D23" s="69" t="s">
        <v>195</v>
      </c>
      <c r="E23" s="70">
        <v>-254.3</v>
      </c>
      <c r="F23" s="71" t="s">
        <v>204</v>
      </c>
      <c r="G23" s="83">
        <v>-52.95</v>
      </c>
      <c r="H23" s="71" t="s">
        <v>204</v>
      </c>
      <c r="I23" s="72">
        <v>4</v>
      </c>
      <c r="J23" s="71" t="s">
        <v>207</v>
      </c>
      <c r="K23" s="73">
        <v>0</v>
      </c>
      <c r="L23" s="71" t="s">
        <v>204</v>
      </c>
      <c r="M23" s="73">
        <v>1</v>
      </c>
      <c r="N23" s="71" t="s">
        <v>204</v>
      </c>
      <c r="O23" s="73">
        <v>0</v>
      </c>
      <c r="P23" s="71" t="s">
        <v>197</v>
      </c>
      <c r="Q23" s="74">
        <v>0</v>
      </c>
      <c r="R23" s="71" t="s">
        <v>180</v>
      </c>
      <c r="S23" s="74">
        <v>0.2857142857142857</v>
      </c>
      <c r="T23" s="71" t="s">
        <v>197</v>
      </c>
      <c r="U23" s="75">
        <v>0</v>
      </c>
      <c r="V23" s="71" t="s">
        <v>207</v>
      </c>
      <c r="W23" s="75">
        <v>-11600</v>
      </c>
      <c r="X23" s="71" t="s">
        <v>201</v>
      </c>
      <c r="Y23" s="74">
        <v>6.6666666666666666E-2</v>
      </c>
      <c r="Z23" s="71" t="s">
        <v>197</v>
      </c>
      <c r="AA23" s="74">
        <v>0</v>
      </c>
      <c r="AB23" s="71" t="s">
        <v>204</v>
      </c>
      <c r="AC23" s="74">
        <v>0</v>
      </c>
      <c r="AD23" s="71" t="s">
        <v>204</v>
      </c>
      <c r="AE23" s="74">
        <v>0</v>
      </c>
      <c r="AF23" s="71" t="s">
        <v>204</v>
      </c>
      <c r="AG23" s="74">
        <v>0</v>
      </c>
      <c r="AH23" s="71" t="s">
        <v>180</v>
      </c>
      <c r="AI23" s="78">
        <v>7400</v>
      </c>
    </row>
  </sheetData>
  <sortState xmlns:xlrd2="http://schemas.microsoft.com/office/spreadsheetml/2017/richdata2" ref="AH3:AI61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63998-DEB8-4403-9BFD-FA4F60A1A49E}">
  <sheetPr codeName="Sheet4"/>
  <dimension ref="A1:Q122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114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120</v>
      </c>
      <c r="C2" s="159"/>
      <c r="E2" s="54" t="s">
        <v>54</v>
      </c>
      <c r="F2" s="51" t="s">
        <v>20</v>
      </c>
      <c r="G2" s="39">
        <v>123</v>
      </c>
      <c r="H2" s="117">
        <f>IF(B$17=0,0,G2/B$17)</f>
        <v>0.61499999999999999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-25</v>
      </c>
      <c r="P2" s="103">
        <v>120</v>
      </c>
      <c r="Q2" s="87">
        <v>-3000</v>
      </c>
    </row>
    <row r="3" spans="1:17">
      <c r="A3" s="47" t="s">
        <v>8</v>
      </c>
      <c r="B3" s="160">
        <v>980</v>
      </c>
      <c r="C3" s="161"/>
      <c r="E3" s="55" t="s">
        <v>184</v>
      </c>
      <c r="F3" s="52" t="s">
        <v>187</v>
      </c>
      <c r="G3" s="40">
        <v>96</v>
      </c>
      <c r="H3" s="118">
        <f>IF(B$17=0,0,G3/B$17)</f>
        <v>0.48</v>
      </c>
      <c r="I3" s="80">
        <v>8</v>
      </c>
      <c r="K3" s="32">
        <v>1</v>
      </c>
      <c r="L3" s="85">
        <v>11.9</v>
      </c>
      <c r="N3" s="100" t="s">
        <v>104</v>
      </c>
      <c r="O3" s="107">
        <f t="shared" si="0"/>
        <v>8.3333333333333339</v>
      </c>
      <c r="P3" s="104">
        <v>120</v>
      </c>
      <c r="Q3" s="88">
        <v>1000</v>
      </c>
    </row>
    <row r="4" spans="1:17">
      <c r="A4" s="47" t="s">
        <v>6</v>
      </c>
      <c r="B4" s="162">
        <v>-30</v>
      </c>
      <c r="C4" s="163"/>
      <c r="E4" s="55" t="s">
        <v>60</v>
      </c>
      <c r="F4" s="52" t="s">
        <v>24</v>
      </c>
      <c r="G4" s="40">
        <v>87</v>
      </c>
      <c r="H4" s="118">
        <f>IF(B$17=0,0,G4/B$17)</f>
        <v>0.435</v>
      </c>
      <c r="I4" s="80">
        <v>8</v>
      </c>
      <c r="K4" s="32">
        <v>2</v>
      </c>
      <c r="L4" s="85">
        <v>86.800000000000011</v>
      </c>
      <c r="N4" s="100" t="s">
        <v>105</v>
      </c>
      <c r="O4" s="107">
        <f t="shared" si="0"/>
        <v>-83.333333333333329</v>
      </c>
      <c r="P4" s="104">
        <v>120</v>
      </c>
      <c r="Q4" s="88">
        <v>-10000</v>
      </c>
    </row>
    <row r="5" spans="1:17">
      <c r="A5" s="47" t="s">
        <v>7</v>
      </c>
      <c r="B5" s="164">
        <f>IF(B$2=0,0,B$4/B$2)</f>
        <v>-0.25</v>
      </c>
      <c r="C5" s="165"/>
      <c r="E5" s="55" t="s">
        <v>181</v>
      </c>
      <c r="F5" s="52" t="s">
        <v>156</v>
      </c>
      <c r="G5" s="40">
        <v>86</v>
      </c>
      <c r="H5" s="118">
        <f>IF(B$17=0,0,G5/B$17)</f>
        <v>0.43</v>
      </c>
      <c r="I5" s="80">
        <v>10</v>
      </c>
      <c r="K5" s="32">
        <v>3</v>
      </c>
      <c r="L5" s="85">
        <v>25.100000000000009</v>
      </c>
      <c r="N5" s="100" t="s">
        <v>157</v>
      </c>
      <c r="O5" s="107">
        <f>IF(P5=0,0,Q5/P5)</f>
        <v>-26.785714285714285</v>
      </c>
      <c r="P5" s="104">
        <v>112</v>
      </c>
      <c r="Q5" s="88">
        <v>-3000</v>
      </c>
    </row>
    <row r="6" spans="1:17">
      <c r="A6" s="47" t="s">
        <v>1</v>
      </c>
      <c r="B6" s="166">
        <f>IF(B$2=0,0,(B$7*1+B$8*2+B$9*3+B$10*4)/B$2)</f>
        <v>2.4833333333333334</v>
      </c>
      <c r="C6" s="167"/>
      <c r="E6" s="55" t="s">
        <v>56</v>
      </c>
      <c r="F6" s="52" t="s">
        <v>185</v>
      </c>
      <c r="G6" s="40">
        <v>44</v>
      </c>
      <c r="H6" s="118">
        <f>IF(B$17=0,0,G6/B$17)</f>
        <v>0.22</v>
      </c>
      <c r="I6" s="80">
        <v>12</v>
      </c>
      <c r="K6" s="32">
        <v>4</v>
      </c>
      <c r="L6" s="85">
        <v>7.1054273576010019E-15</v>
      </c>
      <c r="N6" s="100" t="s">
        <v>106</v>
      </c>
      <c r="O6" s="107">
        <f t="shared" ref="O6" si="1">IF(P6=0,0,Q6/P6)</f>
        <v>20</v>
      </c>
      <c r="P6" s="104">
        <v>100</v>
      </c>
      <c r="Q6" s="88">
        <v>2000</v>
      </c>
    </row>
    <row r="7" spans="1:17">
      <c r="A7" s="47" t="s">
        <v>2</v>
      </c>
      <c r="B7" s="40">
        <v>31</v>
      </c>
      <c r="C7" s="33">
        <f t="shared" ref="C7:C12" si="2">IF(B$2=0,0,B7/B$2)</f>
        <v>0.25833333333333336</v>
      </c>
      <c r="E7" s="55" t="s">
        <v>55</v>
      </c>
      <c r="F7" s="52" t="s">
        <v>155</v>
      </c>
      <c r="G7" s="40">
        <v>43</v>
      </c>
      <c r="H7" s="118">
        <f>IF(B$17=0,0,G7/B$17)</f>
        <v>0.215</v>
      </c>
      <c r="I7" s="80">
        <v>10</v>
      </c>
      <c r="K7" s="32">
        <v>5</v>
      </c>
      <c r="L7" s="85">
        <v>-14.199999999999992</v>
      </c>
      <c r="N7" s="100" t="s">
        <v>107</v>
      </c>
      <c r="O7" s="107">
        <f t="shared" si="0"/>
        <v>-105.26315789473684</v>
      </c>
      <c r="P7" s="104">
        <v>76</v>
      </c>
      <c r="Q7" s="88">
        <v>-8000</v>
      </c>
    </row>
    <row r="8" spans="1:17">
      <c r="A8" s="47" t="s">
        <v>3</v>
      </c>
      <c r="B8" s="40">
        <v>29</v>
      </c>
      <c r="C8" s="33">
        <f>IF(B$2=0,0,B8/B$2)</f>
        <v>0.24166666666666667</v>
      </c>
      <c r="E8" s="55" t="s">
        <v>57</v>
      </c>
      <c r="F8" s="52" t="s">
        <v>21</v>
      </c>
      <c r="G8" s="40">
        <v>43</v>
      </c>
      <c r="H8" s="118">
        <f>IF(B$17=0,0,G8/B$17)</f>
        <v>0.215</v>
      </c>
      <c r="I8" s="80">
        <v>11</v>
      </c>
      <c r="K8" s="32">
        <v>6</v>
      </c>
      <c r="L8" s="85">
        <v>-75.099999999999994</v>
      </c>
      <c r="N8" s="100" t="s">
        <v>108</v>
      </c>
      <c r="O8" s="107">
        <f t="shared" si="0"/>
        <v>0</v>
      </c>
      <c r="P8" s="104">
        <v>52</v>
      </c>
      <c r="Q8" s="88">
        <v>0</v>
      </c>
    </row>
    <row r="9" spans="1:17">
      <c r="A9" s="48" t="s">
        <v>4</v>
      </c>
      <c r="B9" s="41">
        <v>31</v>
      </c>
      <c r="C9" s="34">
        <f>IF(B$2=0,0,B9/B$2)</f>
        <v>0.25833333333333336</v>
      </c>
      <c r="E9" s="55" t="s">
        <v>59</v>
      </c>
      <c r="F9" s="52" t="s">
        <v>23</v>
      </c>
      <c r="G9" s="40">
        <v>37</v>
      </c>
      <c r="H9" s="118">
        <f>IF(B$17=0,0,G9/B$17)</f>
        <v>0.185</v>
      </c>
      <c r="I9" s="80">
        <v>8</v>
      </c>
      <c r="K9" s="32">
        <v>7</v>
      </c>
      <c r="L9" s="85">
        <v>-61.099999999999994</v>
      </c>
      <c r="N9" s="101" t="s">
        <v>158</v>
      </c>
      <c r="O9" s="108">
        <f t="shared" si="0"/>
        <v>41.666666666666664</v>
      </c>
      <c r="P9" s="105">
        <v>24</v>
      </c>
      <c r="Q9" s="89">
        <v>1000</v>
      </c>
    </row>
    <row r="10" spans="1:17">
      <c r="A10" s="48" t="s">
        <v>152</v>
      </c>
      <c r="B10" s="41">
        <v>29</v>
      </c>
      <c r="C10" s="34">
        <f>IF(B$2=0,0,B10/B$2)</f>
        <v>0.24166666666666667</v>
      </c>
      <c r="E10" s="55" t="s">
        <v>182</v>
      </c>
      <c r="F10" s="52" t="s">
        <v>19</v>
      </c>
      <c r="G10" s="40">
        <v>26</v>
      </c>
      <c r="H10" s="118">
        <f>IF(B$17=0,0,G10/B$17)</f>
        <v>0.13</v>
      </c>
      <c r="I10" s="80">
        <v>8</v>
      </c>
      <c r="K10" s="32">
        <v>8</v>
      </c>
      <c r="L10" s="85">
        <v>7.1054273576010019E-15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60</v>
      </c>
      <c r="C11" s="34">
        <f>IF(B$2=0,0,B11/B$2)</f>
        <v>0.5</v>
      </c>
      <c r="E11" s="55" t="s">
        <v>58</v>
      </c>
      <c r="F11" s="52" t="s">
        <v>22</v>
      </c>
      <c r="G11" s="40">
        <v>15</v>
      </c>
      <c r="H11" s="118">
        <f>IF(B$17=0,0,G11/B$17)</f>
        <v>7.4999999999999997E-2</v>
      </c>
      <c r="I11" s="80">
        <v>7</v>
      </c>
      <c r="K11" s="32">
        <v>9</v>
      </c>
      <c r="L11" s="85">
        <v>-52.099999999999994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8</v>
      </c>
      <c r="C12" s="36">
        <f t="shared" si="2"/>
        <v>6.6666666666666666E-2</v>
      </c>
      <c r="E12" s="55" t="s">
        <v>183</v>
      </c>
      <c r="F12" s="52" t="s">
        <v>186</v>
      </c>
      <c r="G12" s="40">
        <v>8</v>
      </c>
      <c r="H12" s="118">
        <f>IF(B$17=0,0,G12/B$17)</f>
        <v>0.04</v>
      </c>
      <c r="I12" s="80">
        <v>4</v>
      </c>
      <c r="K12" s="32">
        <v>10</v>
      </c>
      <c r="L12" s="85">
        <v>-38.499999999999993</v>
      </c>
      <c r="N12" s="99" t="s">
        <v>126</v>
      </c>
      <c r="O12" s="109">
        <f>IF(P12=0,0,Q12/P12)</f>
        <v>-16.160000000000004</v>
      </c>
      <c r="P12" s="103">
        <v>30</v>
      </c>
      <c r="Q12" s="91">
        <v>-484.80000000000007</v>
      </c>
    </row>
    <row r="13" spans="1:17">
      <c r="A13" s="50" t="s">
        <v>97</v>
      </c>
      <c r="B13" s="43">
        <v>180</v>
      </c>
      <c r="C13" s="38">
        <f>IF(B$3=0,0,B13/B$3)</f>
        <v>0.18367346938775511</v>
      </c>
      <c r="E13" s="55" t="s">
        <v>71</v>
      </c>
      <c r="F13" s="52" t="s">
        <v>35</v>
      </c>
      <c r="G13" s="40">
        <v>8</v>
      </c>
      <c r="H13" s="118">
        <f>IF(B$17=0,0,G13/B$17)</f>
        <v>0.04</v>
      </c>
      <c r="I13" s="80">
        <v>5</v>
      </c>
      <c r="K13" s="32">
        <v>11</v>
      </c>
      <c r="L13" s="85">
        <v>18.100000000000009</v>
      </c>
      <c r="N13" s="100" t="s">
        <v>127</v>
      </c>
      <c r="O13" s="110">
        <f>IF(P13=0,0,Q13/P13)</f>
        <v>17.790000000000003</v>
      </c>
      <c r="P13" s="104">
        <v>30</v>
      </c>
      <c r="Q13" s="92">
        <v>533.70000000000005</v>
      </c>
    </row>
    <row r="14" spans="1:17">
      <c r="A14" s="47" t="s">
        <v>94</v>
      </c>
      <c r="B14" s="40">
        <v>232</v>
      </c>
      <c r="C14" s="33">
        <f>IF(B$3=0,0,B14/B$3)</f>
        <v>0.23673469387755103</v>
      </c>
      <c r="E14" s="55" t="s">
        <v>67</v>
      </c>
      <c r="F14" s="52" t="s">
        <v>31</v>
      </c>
      <c r="G14" s="40">
        <v>6</v>
      </c>
      <c r="H14" s="118">
        <f>IF(B$17=0,0,G14/B$17)</f>
        <v>0.03</v>
      </c>
      <c r="I14" s="80">
        <v>5</v>
      </c>
      <c r="K14" s="32">
        <v>12</v>
      </c>
      <c r="L14" s="85">
        <v>7.1054273576010019E-15</v>
      </c>
      <c r="N14" s="100" t="s">
        <v>128</v>
      </c>
      <c r="O14" s="110">
        <f>IF(P14=0,0,Q14/P14)</f>
        <v>1.0233333333333376</v>
      </c>
      <c r="P14" s="104">
        <v>30</v>
      </c>
      <c r="Q14" s="92">
        <v>30.700000000000131</v>
      </c>
    </row>
    <row r="15" spans="1:17">
      <c r="A15" s="46" t="s">
        <v>99</v>
      </c>
      <c r="B15" s="39">
        <f>B21</f>
        <v>87</v>
      </c>
      <c r="C15" s="31">
        <f>IF(B$13=0,0,B15/B$13)</f>
        <v>0.48333333333333334</v>
      </c>
      <c r="E15" s="55" t="s">
        <v>74</v>
      </c>
      <c r="F15" s="52" t="s">
        <v>38</v>
      </c>
      <c r="G15" s="40">
        <v>3</v>
      </c>
      <c r="H15" s="118">
        <f>IF(B$17=0,0,G15/B$17)</f>
        <v>1.4999999999999999E-2</v>
      </c>
      <c r="I15" s="80">
        <v>4</v>
      </c>
      <c r="K15" s="32">
        <v>13</v>
      </c>
      <c r="L15" s="85">
        <v>62.500000000000007</v>
      </c>
      <c r="N15" s="101" t="s">
        <v>159</v>
      </c>
      <c r="O15" s="111">
        <f>IF(P15=0,0,Q15/P15)</f>
        <v>-3.6533333333333351</v>
      </c>
      <c r="P15" s="105">
        <v>30</v>
      </c>
      <c r="Q15" s="93">
        <v>-109.60000000000005</v>
      </c>
    </row>
    <row r="16" spans="1:17">
      <c r="A16" s="46" t="s">
        <v>100</v>
      </c>
      <c r="B16" s="39">
        <f>B22</f>
        <v>82</v>
      </c>
      <c r="C16" s="31">
        <f>IF(B$14=0,0,B16/B$14)</f>
        <v>0.35344827586206895</v>
      </c>
      <c r="E16" s="55" t="s">
        <v>77</v>
      </c>
      <c r="F16" s="52" t="s">
        <v>41</v>
      </c>
      <c r="G16" s="40">
        <v>3</v>
      </c>
      <c r="H16" s="118">
        <f>IF(B$17=0,0,G16/B$17)</f>
        <v>1.4999999999999999E-2</v>
      </c>
      <c r="I16" s="80">
        <v>4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200</v>
      </c>
      <c r="C17" s="31">
        <f>IF(B$3=0,0,B17/B$3)</f>
        <v>0.20408163265306123</v>
      </c>
      <c r="E17" s="55" t="s">
        <v>62</v>
      </c>
      <c r="F17" s="52" t="s">
        <v>26</v>
      </c>
      <c r="G17" s="40">
        <v>2</v>
      </c>
      <c r="H17" s="118">
        <f>IF(B$17=0,0,G17/B$17)</f>
        <v>0.01</v>
      </c>
      <c r="I17" s="80">
        <v>3</v>
      </c>
      <c r="K17" s="32">
        <v>15</v>
      </c>
      <c r="L17" s="85">
        <v>13.000000000000014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132</v>
      </c>
      <c r="C18" s="33">
        <f>IF(B$3=0,0,B18/B$3)</f>
        <v>0.13469387755102041</v>
      </c>
      <c r="E18" s="55" t="s">
        <v>69</v>
      </c>
      <c r="F18" s="52" t="s">
        <v>33</v>
      </c>
      <c r="G18" s="40">
        <v>2</v>
      </c>
      <c r="H18" s="118">
        <f>IF(B$17=0,0,G18/B$17)</f>
        <v>0.01</v>
      </c>
      <c r="I18" s="80">
        <v>3</v>
      </c>
      <c r="K18" s="32">
        <v>16</v>
      </c>
      <c r="L18" s="85">
        <v>1.4210854715202004E-14</v>
      </c>
      <c r="N18" s="99" t="s">
        <v>204</v>
      </c>
      <c r="O18" s="109">
        <f>IF(P18=0,0,Q18/P18)</f>
        <v>70.599999999999994</v>
      </c>
      <c r="P18" s="103">
        <v>6</v>
      </c>
      <c r="Q18" s="91">
        <v>423.59999999999997</v>
      </c>
    </row>
    <row r="19" spans="1:17">
      <c r="A19" s="47" t="s">
        <v>12</v>
      </c>
      <c r="B19" s="40">
        <v>68</v>
      </c>
      <c r="C19" s="33">
        <f>IF(B$17=0,0,B19/B$17)</f>
        <v>0.34</v>
      </c>
      <c r="E19" s="55" t="s">
        <v>75</v>
      </c>
      <c r="F19" s="52" t="s">
        <v>39</v>
      </c>
      <c r="G19" s="40">
        <v>2</v>
      </c>
      <c r="H19" s="118">
        <f>IF(B$17=0,0,G19/B$17)</f>
        <v>0.01</v>
      </c>
      <c r="I19" s="80">
        <v>3</v>
      </c>
      <c r="K19" s="32">
        <v>17</v>
      </c>
      <c r="L19" s="85">
        <v>-32.899999999999984</v>
      </c>
      <c r="N19" s="100" t="s">
        <v>180</v>
      </c>
      <c r="O19" s="110">
        <f>IF(P19=0,0,Q19/P19)</f>
        <v>70.133333333333326</v>
      </c>
      <c r="P19" s="104">
        <v>3</v>
      </c>
      <c r="Q19" s="92">
        <v>210.39999999999998</v>
      </c>
    </row>
    <row r="20" spans="1:17">
      <c r="A20" s="47" t="s">
        <v>11</v>
      </c>
      <c r="B20" s="40">
        <v>132</v>
      </c>
      <c r="C20" s="33">
        <f>IF(B$17=0,0,B20/B$17)</f>
        <v>0.66</v>
      </c>
      <c r="E20" s="55" t="s">
        <v>78</v>
      </c>
      <c r="F20" s="52" t="s">
        <v>42</v>
      </c>
      <c r="G20" s="40">
        <v>2</v>
      </c>
      <c r="H20" s="118">
        <f>IF(B$17=0,0,G20/B$17)</f>
        <v>0.01</v>
      </c>
      <c r="I20" s="80">
        <v>3</v>
      </c>
      <c r="K20" s="32">
        <v>18</v>
      </c>
      <c r="L20" s="85">
        <v>-91.499999999999986</v>
      </c>
      <c r="N20" s="100" t="s">
        <v>201</v>
      </c>
      <c r="O20" s="110">
        <f>IF(P20=0,0,Q20/P20)</f>
        <v>63.266666666666659</v>
      </c>
      <c r="P20" s="104">
        <v>6</v>
      </c>
      <c r="Q20" s="92">
        <v>379.59999999999997</v>
      </c>
    </row>
    <row r="21" spans="1:17">
      <c r="A21" s="47" t="s">
        <v>151</v>
      </c>
      <c r="B21" s="40">
        <v>87</v>
      </c>
      <c r="C21" s="33">
        <f>IF(B$17=0,0,B21/B$17)</f>
        <v>0.435</v>
      </c>
      <c r="E21" s="55" t="s">
        <v>66</v>
      </c>
      <c r="F21" s="52" t="s">
        <v>30</v>
      </c>
      <c r="G21" s="40">
        <v>1</v>
      </c>
      <c r="H21" s="118">
        <f>IF(B$17=0,0,G21/B$17)</f>
        <v>5.0000000000000001E-3</v>
      </c>
      <c r="I21" s="80">
        <v>2</v>
      </c>
      <c r="K21" s="32">
        <v>19</v>
      </c>
      <c r="L21" s="85">
        <v>-3.6999999999999886</v>
      </c>
      <c r="N21" s="100" t="s">
        <v>205</v>
      </c>
      <c r="O21" s="110">
        <f>IF(P21=0,0,Q21/P21)</f>
        <v>48.066666666666663</v>
      </c>
      <c r="P21" s="104">
        <v>12</v>
      </c>
      <c r="Q21" s="92">
        <v>576.79999999999995</v>
      </c>
    </row>
    <row r="22" spans="1:17">
      <c r="A22" s="47" t="s">
        <v>149</v>
      </c>
      <c r="B22" s="40">
        <v>82</v>
      </c>
      <c r="C22" s="33">
        <f>IF(B$17=0,0,B22/B$17)</f>
        <v>0.41</v>
      </c>
      <c r="E22" s="55" t="s">
        <v>72</v>
      </c>
      <c r="F22" s="52" t="s">
        <v>36</v>
      </c>
      <c r="G22" s="40">
        <v>1</v>
      </c>
      <c r="H22" s="118">
        <f>IF(B$17=0,0,G22/B$17)</f>
        <v>5.0000000000000001E-3</v>
      </c>
      <c r="I22" s="80">
        <v>2</v>
      </c>
      <c r="K22" s="32">
        <v>20</v>
      </c>
      <c r="L22" s="85">
        <v>1.1546319456101628E-14</v>
      </c>
      <c r="N22" s="100" t="s">
        <v>195</v>
      </c>
      <c r="O22" s="110">
        <f>IF(P22=0,0,Q22/P22)</f>
        <v>47.961904761904769</v>
      </c>
      <c r="P22" s="104">
        <v>21</v>
      </c>
      <c r="Q22" s="92">
        <v>1007.2000000000002</v>
      </c>
    </row>
    <row r="23" spans="1:17">
      <c r="A23" s="47" t="s">
        <v>150</v>
      </c>
      <c r="B23" s="40">
        <v>31</v>
      </c>
      <c r="C23" s="33">
        <f>IF(B$17=0,0,B23/B$17)</f>
        <v>0.155</v>
      </c>
      <c r="E23" s="55" t="s">
        <v>76</v>
      </c>
      <c r="F23" s="52" t="s">
        <v>40</v>
      </c>
      <c r="G23" s="40">
        <v>1</v>
      </c>
      <c r="H23" s="118">
        <f>IF(B$17=0,0,G23/B$17)</f>
        <v>5.0000000000000001E-3</v>
      </c>
      <c r="I23" s="80">
        <v>2</v>
      </c>
      <c r="K23" s="32">
        <v>21</v>
      </c>
      <c r="L23" s="85">
        <v>-52.599999999999987</v>
      </c>
      <c r="N23" s="100" t="s">
        <v>166</v>
      </c>
      <c r="O23" s="110">
        <f>IF(P23=0,0,Q23/P23)</f>
        <v>42.666666666666664</v>
      </c>
      <c r="P23" s="104">
        <v>12</v>
      </c>
      <c r="Q23" s="92">
        <v>512</v>
      </c>
    </row>
    <row r="24" spans="1:17">
      <c r="A24" s="47" t="s">
        <v>5</v>
      </c>
      <c r="B24" s="44">
        <f>IF(B$17=0,0,C24/B$17)</f>
        <v>6380</v>
      </c>
      <c r="C24" s="35">
        <v>1276000</v>
      </c>
      <c r="E24" s="55" t="s">
        <v>61</v>
      </c>
      <c r="F24" s="52" t="s">
        <v>25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-68.399999999999991</v>
      </c>
      <c r="N24" s="100" t="s">
        <v>197</v>
      </c>
      <c r="O24" s="110">
        <f>IF(P24=0,0,Q24/P24)</f>
        <v>32.666666666666671</v>
      </c>
      <c r="P24" s="104">
        <v>6</v>
      </c>
      <c r="Q24" s="92">
        <v>196.00000000000003</v>
      </c>
    </row>
    <row r="25" spans="1:17">
      <c r="A25" s="48" t="s">
        <v>133</v>
      </c>
      <c r="B25" s="121">
        <f>IF($B$17-B$16=0,0,C25/($B$17-B$16))</f>
        <v>7520.3389830508477</v>
      </c>
      <c r="C25" s="122">
        <v>887400</v>
      </c>
      <c r="E25" s="55" t="s">
        <v>63</v>
      </c>
      <c r="F25" s="52" t="s">
        <v>27</v>
      </c>
      <c r="G25" s="40">
        <v>0</v>
      </c>
      <c r="H25" s="118">
        <f>IF(B$17=0,0,G25/B$17)</f>
        <v>0</v>
      </c>
      <c r="I25" s="80">
        <v>1</v>
      </c>
      <c r="K25" s="32">
        <v>23</v>
      </c>
      <c r="L25" s="85">
        <v>-13.199999999999989</v>
      </c>
      <c r="N25" s="100" t="s">
        <v>161</v>
      </c>
      <c r="O25" s="110">
        <f>IF(P25=0,0,Q25/P25)</f>
        <v>12.800000000000006</v>
      </c>
      <c r="P25" s="104">
        <v>21</v>
      </c>
      <c r="Q25" s="92">
        <v>268.80000000000013</v>
      </c>
    </row>
    <row r="26" spans="1:17">
      <c r="A26" s="48" t="s">
        <v>134</v>
      </c>
      <c r="B26" s="121">
        <f>IF(B$16=0,0,C26/B$16)</f>
        <v>4739.0243902439024</v>
      </c>
      <c r="C26" s="122">
        <v>388600</v>
      </c>
      <c r="E26" s="55" t="s">
        <v>64</v>
      </c>
      <c r="F26" s="52" t="s">
        <v>28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198</v>
      </c>
      <c r="O26" s="110">
        <f>IF(P26=0,0,Q26/P26)</f>
        <v>3.7333333333333356</v>
      </c>
      <c r="P26" s="104">
        <v>6</v>
      </c>
      <c r="Q26" s="92">
        <v>22.400000000000013</v>
      </c>
    </row>
    <row r="27" spans="1:17">
      <c r="A27" s="48" t="s">
        <v>132</v>
      </c>
      <c r="B27" s="121">
        <f>IF(B$18=0,0,C27/B$18)</f>
        <v>-5976.515151515152</v>
      </c>
      <c r="C27" s="122">
        <v>-788900</v>
      </c>
      <c r="E27" s="55" t="s">
        <v>65</v>
      </c>
      <c r="F27" s="52" t="s">
        <v>29</v>
      </c>
      <c r="G27" s="40">
        <v>0</v>
      </c>
      <c r="H27" s="118">
        <f>IF(B$17=0,0,G27/B$17)</f>
        <v>0</v>
      </c>
      <c r="I27" s="80">
        <v>1</v>
      </c>
      <c r="K27" s="32">
        <v>25</v>
      </c>
      <c r="L27" s="85">
        <v>-45.899999999999991</v>
      </c>
      <c r="N27" s="100" t="s">
        <v>175</v>
      </c>
      <c r="O27" s="110">
        <f>IF(P27=0,0,Q27/P27)</f>
        <v>1.4666666666666668</v>
      </c>
      <c r="P27" s="104">
        <v>6</v>
      </c>
      <c r="Q27" s="92">
        <v>8.8000000000000007</v>
      </c>
    </row>
    <row r="28" spans="1:17">
      <c r="A28" s="47" t="s">
        <v>130</v>
      </c>
      <c r="B28" s="40">
        <v>4</v>
      </c>
      <c r="C28" s="120">
        <v>2</v>
      </c>
      <c r="E28" s="55" t="s">
        <v>68</v>
      </c>
      <c r="F28" s="52" t="s">
        <v>32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-33.899999999999991</v>
      </c>
      <c r="N28" s="100" t="s">
        <v>164</v>
      </c>
      <c r="O28" s="110">
        <f>IF(P28=0,0,Q28/P28)</f>
        <v>4.1025641025644523E-2</v>
      </c>
      <c r="P28" s="104">
        <v>39</v>
      </c>
      <c r="Q28" s="92">
        <v>1.6000000000001364</v>
      </c>
    </row>
    <row r="29" spans="1:17">
      <c r="A29" s="47" t="s">
        <v>131</v>
      </c>
      <c r="B29" s="40">
        <v>31</v>
      </c>
      <c r="C29" s="120">
        <v>6</v>
      </c>
      <c r="E29" s="55" t="s">
        <v>70</v>
      </c>
      <c r="F29" s="52" t="s">
        <v>34</v>
      </c>
      <c r="G29" s="40">
        <v>0</v>
      </c>
      <c r="H29" s="118">
        <f>IF(B$17=0,0,G29/B$17)</f>
        <v>0</v>
      </c>
      <c r="I29" s="80">
        <v>1</v>
      </c>
      <c r="K29" s="32">
        <v>27</v>
      </c>
      <c r="L29" s="85">
        <v>21.500000000000007</v>
      </c>
      <c r="N29" s="100" t="s">
        <v>179</v>
      </c>
      <c r="O29" s="110">
        <f>IF(P29=0,0,Q29/P29)</f>
        <v>-2.3666666666666671</v>
      </c>
      <c r="P29" s="104">
        <v>36</v>
      </c>
      <c r="Q29" s="92">
        <v>-85.200000000000017</v>
      </c>
    </row>
    <row r="30" spans="1:17">
      <c r="A30" s="76" t="s">
        <v>111</v>
      </c>
      <c r="B30" s="152">
        <v>5</v>
      </c>
      <c r="C30" s="153"/>
      <c r="E30" s="55" t="s">
        <v>73</v>
      </c>
      <c r="F30" s="52" t="s">
        <v>37</v>
      </c>
      <c r="G30" s="40">
        <v>0</v>
      </c>
      <c r="H30" s="118">
        <f>IF(B$17=0,0,G30/B$17)</f>
        <v>0</v>
      </c>
      <c r="I30" s="80">
        <v>1</v>
      </c>
      <c r="K30" s="32">
        <v>28</v>
      </c>
      <c r="L30" s="85">
        <v>7.1054273576010019E-15</v>
      </c>
      <c r="N30" s="100" t="s">
        <v>177</v>
      </c>
      <c r="O30" s="110">
        <f>IF(P30=0,0,Q30/P30)</f>
        <v>-2.6</v>
      </c>
      <c r="P30" s="104">
        <v>6</v>
      </c>
      <c r="Q30" s="92">
        <v>-15.600000000000001</v>
      </c>
    </row>
    <row r="31" spans="1:17">
      <c r="A31" s="50" t="s">
        <v>148</v>
      </c>
      <c r="B31" s="154">
        <v>67800</v>
      </c>
      <c r="C31" s="15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-50.599999999999994</v>
      </c>
      <c r="N31" s="100" t="s">
        <v>207</v>
      </c>
      <c r="O31" s="110">
        <f>IF(P31=0,0,Q31/P31)</f>
        <v>-6.3333333333333357</v>
      </c>
      <c r="P31" s="104">
        <v>6</v>
      </c>
      <c r="Q31" s="92">
        <v>-38.000000000000014</v>
      </c>
    </row>
    <row r="32" spans="1:17">
      <c r="A32" s="49" t="s">
        <v>112</v>
      </c>
      <c r="B32" s="57">
        <v>3</v>
      </c>
      <c r="C32" s="36">
        <f>IF(B$3=0,0,B32/B$3)</f>
        <v>3.0612244897959182E-3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  <c r="K32" s="32">
        <v>30</v>
      </c>
      <c r="L32" s="85">
        <v>7.7000000000000028</v>
      </c>
      <c r="N32" s="100" t="s">
        <v>163</v>
      </c>
      <c r="O32" s="110">
        <f>IF(P32=0,0,Q32/P32)</f>
        <v>-10.637037037037032</v>
      </c>
      <c r="P32" s="104">
        <v>27</v>
      </c>
      <c r="Q32" s="92">
        <v>-287.19999999999987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-8.2999999999999972</v>
      </c>
      <c r="N33" s="100" t="s">
        <v>168</v>
      </c>
      <c r="O33" s="110">
        <f>IF(P33=0,0,Q33/P33)</f>
        <v>-13.368888888888895</v>
      </c>
      <c r="P33" s="104">
        <v>45</v>
      </c>
      <c r="Q33" s="92">
        <v>-601.60000000000025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3.5527136788005009E-15</v>
      </c>
      <c r="N34" s="100" t="s">
        <v>191</v>
      </c>
      <c r="O34" s="110">
        <f>IF(P34=0,0,Q34/P34)</f>
        <v>-16.993939393939392</v>
      </c>
      <c r="P34" s="104">
        <v>33</v>
      </c>
      <c r="Q34" s="92">
        <v>-560.79999999999995</v>
      </c>
    </row>
    <row r="35" spans="1:17">
      <c r="A35" s="76" t="s">
        <v>139</v>
      </c>
      <c r="B35" s="136">
        <v>29</v>
      </c>
      <c r="C35" s="126">
        <f t="shared" ref="C35:C47" si="3">IF(B$17=0,0,B35/B$17)</f>
        <v>0.14499999999999999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6.6000000000000032</v>
      </c>
      <c r="N35" s="100" t="s">
        <v>167</v>
      </c>
      <c r="O35" s="110">
        <f>IF(P35=0,0,Q35/P35)</f>
        <v>-18.666666666666664</v>
      </c>
      <c r="P35" s="104">
        <v>3</v>
      </c>
      <c r="Q35" s="92">
        <v>-55.999999999999993</v>
      </c>
    </row>
    <row r="36" spans="1:17">
      <c r="A36" s="47" t="s">
        <v>135</v>
      </c>
      <c r="B36" s="40">
        <v>43</v>
      </c>
      <c r="C36" s="33">
        <f t="shared" si="3"/>
        <v>0.215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68.300000000000011</v>
      </c>
      <c r="N36" s="100" t="s">
        <v>169</v>
      </c>
      <c r="O36" s="110">
        <f>IF(P36=0,0,Q36/P36)</f>
        <v>-25.74166666666666</v>
      </c>
      <c r="P36" s="104">
        <v>48</v>
      </c>
      <c r="Q36" s="92">
        <v>-1235.5999999999997</v>
      </c>
    </row>
    <row r="37" spans="1:17">
      <c r="A37" s="47" t="s">
        <v>136</v>
      </c>
      <c r="B37" s="137">
        <v>42</v>
      </c>
      <c r="C37" s="33">
        <f t="shared" si="3"/>
        <v>0.21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K37" s="32">
        <v>35</v>
      </c>
      <c r="L37" s="85">
        <v>53.300000000000011</v>
      </c>
      <c r="N37" s="100" t="s">
        <v>162</v>
      </c>
      <c r="O37" s="110">
        <f>IF(P37=0,0,Q37/P37)</f>
        <v>-40.399999999999991</v>
      </c>
      <c r="P37" s="104">
        <v>18</v>
      </c>
      <c r="Q37" s="92">
        <v>-727.19999999999982</v>
      </c>
    </row>
    <row r="38" spans="1:17">
      <c r="A38" s="47" t="s">
        <v>137</v>
      </c>
      <c r="B38" s="137">
        <v>32</v>
      </c>
      <c r="C38" s="33">
        <f t="shared" si="3"/>
        <v>0.16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K38" s="32">
        <v>36</v>
      </c>
      <c r="L38" s="85">
        <v>-9.9999999999999858</v>
      </c>
    </row>
    <row r="39" spans="1:17">
      <c r="A39" s="47" t="s">
        <v>138</v>
      </c>
      <c r="B39" s="137">
        <v>23</v>
      </c>
      <c r="C39" s="33">
        <f t="shared" si="3"/>
        <v>0.115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  <c r="K39" s="32">
        <v>37</v>
      </c>
      <c r="L39" s="85">
        <v>-61.499999999999986</v>
      </c>
    </row>
    <row r="40" spans="1:17">
      <c r="A40" s="47" t="s">
        <v>140</v>
      </c>
      <c r="B40" s="137">
        <v>25</v>
      </c>
      <c r="C40" s="33">
        <f t="shared" si="3"/>
        <v>0.125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  <c r="K40" s="32">
        <v>38</v>
      </c>
      <c r="L40" s="85">
        <v>-52.699999999999989</v>
      </c>
    </row>
    <row r="41" spans="1:17">
      <c r="A41" s="47" t="s">
        <v>141</v>
      </c>
      <c r="B41" s="137">
        <v>6</v>
      </c>
      <c r="C41" s="33">
        <f t="shared" si="3"/>
        <v>0.03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  <c r="K41" s="32">
        <v>39</v>
      </c>
      <c r="L41" s="85">
        <v>7.6000000000000085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  <c r="K42" s="32">
        <v>40</v>
      </c>
      <c r="L42" s="85">
        <v>-19.999999999999993</v>
      </c>
    </row>
    <row r="43" spans="1:17">
      <c r="A43" s="47" t="s">
        <v>143</v>
      </c>
      <c r="B43" s="137">
        <v>0</v>
      </c>
      <c r="C43" s="33">
        <f t="shared" si="3"/>
        <v>0</v>
      </c>
      <c r="K43" s="32">
        <v>41</v>
      </c>
      <c r="L43" s="85">
        <v>-66.399999999999991</v>
      </c>
    </row>
    <row r="44" spans="1:17">
      <c r="A44" s="47" t="s">
        <v>144</v>
      </c>
      <c r="B44" s="137">
        <v>0</v>
      </c>
      <c r="C44" s="33">
        <f t="shared" si="3"/>
        <v>0</v>
      </c>
      <c r="K44" s="32">
        <v>42</v>
      </c>
      <c r="L44" s="85">
        <v>-59.29999999999999</v>
      </c>
    </row>
    <row r="45" spans="1:17">
      <c r="A45" s="47" t="s">
        <v>145</v>
      </c>
      <c r="B45" s="137">
        <v>0</v>
      </c>
      <c r="C45" s="33">
        <f t="shared" si="3"/>
        <v>0</v>
      </c>
      <c r="K45" s="32">
        <v>43</v>
      </c>
      <c r="L45" s="85">
        <v>-74.699999999999989</v>
      </c>
    </row>
    <row r="46" spans="1:17">
      <c r="A46" s="47" t="s">
        <v>146</v>
      </c>
      <c r="B46" s="137">
        <v>0</v>
      </c>
      <c r="C46" s="33">
        <f t="shared" si="3"/>
        <v>0</v>
      </c>
      <c r="K46" s="32">
        <v>44</v>
      </c>
      <c r="L46" s="85">
        <v>-19.999999999999986</v>
      </c>
    </row>
    <row r="47" spans="1:17">
      <c r="A47" s="49" t="s">
        <v>147</v>
      </c>
      <c r="B47" s="125">
        <v>0</v>
      </c>
      <c r="C47" s="36">
        <f t="shared" si="3"/>
        <v>0</v>
      </c>
      <c r="K47" s="32">
        <v>45</v>
      </c>
      <c r="L47" s="85">
        <v>-52.099999999999987</v>
      </c>
    </row>
    <row r="48" spans="1:17">
      <c r="K48" s="32">
        <v>46</v>
      </c>
      <c r="L48" s="85">
        <v>-44.199999999999989</v>
      </c>
    </row>
    <row r="49" spans="11:12">
      <c r="K49" s="32">
        <v>47</v>
      </c>
      <c r="L49" s="85">
        <v>-76.299999999999983</v>
      </c>
    </row>
    <row r="50" spans="11:12">
      <c r="K50" s="32">
        <v>48</v>
      </c>
      <c r="L50" s="85">
        <v>-19.999999999999986</v>
      </c>
    </row>
    <row r="51" spans="11:12">
      <c r="K51" s="32">
        <v>49</v>
      </c>
      <c r="L51" s="85">
        <v>-73.599999999999994</v>
      </c>
    </row>
    <row r="52" spans="11:12">
      <c r="K52" s="32">
        <v>50</v>
      </c>
      <c r="L52" s="85">
        <v>-72.8</v>
      </c>
    </row>
    <row r="53" spans="11:12">
      <c r="K53" s="32">
        <v>51</v>
      </c>
      <c r="L53" s="85">
        <v>10</v>
      </c>
    </row>
    <row r="54" spans="11:12">
      <c r="K54" s="32">
        <v>52</v>
      </c>
      <c r="L54" s="85">
        <v>-20</v>
      </c>
    </row>
    <row r="55" spans="11:12">
      <c r="K55" s="32">
        <v>53</v>
      </c>
      <c r="L55" s="85">
        <v>-10.1</v>
      </c>
    </row>
    <row r="56" spans="11:12">
      <c r="K56" s="32">
        <v>54</v>
      </c>
      <c r="L56" s="85">
        <v>-30.5</v>
      </c>
    </row>
    <row r="57" spans="11:12">
      <c r="K57" s="32">
        <v>55</v>
      </c>
      <c r="L57" s="85">
        <v>20.799999999999997</v>
      </c>
    </row>
    <row r="58" spans="11:12">
      <c r="K58" s="32">
        <v>56</v>
      </c>
      <c r="L58" s="85">
        <v>-20</v>
      </c>
    </row>
    <row r="59" spans="11:12">
      <c r="K59" s="32">
        <v>57</v>
      </c>
      <c r="L59" s="85">
        <v>-63.5</v>
      </c>
    </row>
    <row r="60" spans="11:12">
      <c r="K60" s="32">
        <v>58</v>
      </c>
      <c r="L60" s="85">
        <v>-32.9</v>
      </c>
    </row>
    <row r="61" spans="11:12">
      <c r="K61" s="32">
        <v>59</v>
      </c>
      <c r="L61" s="85">
        <v>-2.2999999999999972</v>
      </c>
    </row>
    <row r="62" spans="11:12">
      <c r="K62" s="32">
        <v>60</v>
      </c>
      <c r="L62" s="85">
        <v>-19.999999999999996</v>
      </c>
    </row>
    <row r="63" spans="11:12">
      <c r="K63" s="32">
        <v>61</v>
      </c>
      <c r="L63" s="85">
        <v>-66.8</v>
      </c>
    </row>
    <row r="64" spans="11:12">
      <c r="K64" s="32">
        <v>62</v>
      </c>
      <c r="L64" s="85">
        <v>-8.2999999999999972</v>
      </c>
    </row>
    <row r="65" spans="11:12">
      <c r="K65" s="32">
        <v>63</v>
      </c>
      <c r="L65" s="85">
        <v>-30.699999999999996</v>
      </c>
    </row>
    <row r="66" spans="11:12">
      <c r="K66" s="32">
        <v>64</v>
      </c>
      <c r="L66" s="85">
        <v>-19.999999999999996</v>
      </c>
    </row>
    <row r="67" spans="11:12">
      <c r="K67" s="32">
        <v>65</v>
      </c>
      <c r="L67" s="85">
        <v>37.799999999999997</v>
      </c>
    </row>
    <row r="68" spans="11:12">
      <c r="K68" s="32">
        <v>66</v>
      </c>
      <c r="L68" s="85">
        <v>-8.3000000000000043</v>
      </c>
    </row>
    <row r="69" spans="11:12">
      <c r="K69" s="32">
        <v>67</v>
      </c>
      <c r="L69" s="85">
        <v>1.2999999999999954</v>
      </c>
    </row>
    <row r="70" spans="11:12">
      <c r="K70" s="32">
        <v>68</v>
      </c>
      <c r="L70" s="85">
        <v>-20.000000000000007</v>
      </c>
    </row>
    <row r="71" spans="11:12">
      <c r="K71" s="32">
        <v>69</v>
      </c>
      <c r="L71" s="85">
        <v>-80.5</v>
      </c>
    </row>
    <row r="72" spans="11:12">
      <c r="K72" s="32">
        <v>70</v>
      </c>
      <c r="L72" s="85">
        <v>-17.600000000000001</v>
      </c>
    </row>
    <row r="73" spans="11:12">
      <c r="K73" s="32">
        <v>71</v>
      </c>
      <c r="L73" s="85">
        <v>-8.5000000000000018</v>
      </c>
    </row>
    <row r="74" spans="11:12">
      <c r="K74" s="32">
        <v>72</v>
      </c>
      <c r="L74" s="85">
        <v>-20</v>
      </c>
    </row>
    <row r="75" spans="11:12">
      <c r="K75" s="32">
        <v>73</v>
      </c>
      <c r="L75" s="85">
        <v>1.5</v>
      </c>
    </row>
    <row r="76" spans="11:12">
      <c r="K76" s="32">
        <v>74</v>
      </c>
      <c r="L76" s="85">
        <v>74</v>
      </c>
    </row>
    <row r="77" spans="11:12">
      <c r="K77" s="32">
        <v>75</v>
      </c>
      <c r="L77" s="85">
        <v>8.9000000000000057</v>
      </c>
    </row>
    <row r="78" spans="11:12">
      <c r="K78" s="32">
        <v>76</v>
      </c>
      <c r="L78" s="85">
        <v>-19.999999999999993</v>
      </c>
    </row>
    <row r="79" spans="11:12">
      <c r="K79" s="32">
        <v>77</v>
      </c>
      <c r="L79" s="85">
        <v>-19.299999999999994</v>
      </c>
    </row>
    <row r="80" spans="11:12">
      <c r="K80" s="32">
        <v>78</v>
      </c>
      <c r="L80" s="85">
        <v>-74.5</v>
      </c>
    </row>
    <row r="81" spans="11:12">
      <c r="K81" s="32">
        <v>79</v>
      </c>
      <c r="L81" s="85">
        <v>-94.6</v>
      </c>
    </row>
    <row r="82" spans="11:12">
      <c r="K82" s="32">
        <v>80</v>
      </c>
      <c r="L82" s="85">
        <v>-20</v>
      </c>
    </row>
    <row r="83" spans="11:12">
      <c r="K83" s="32">
        <v>81</v>
      </c>
      <c r="L83" s="85">
        <v>36</v>
      </c>
    </row>
    <row r="84" spans="11:12">
      <c r="K84" s="32">
        <v>82</v>
      </c>
      <c r="L84" s="85">
        <v>46.3</v>
      </c>
    </row>
    <row r="85" spans="11:12">
      <c r="K85" s="32">
        <v>83</v>
      </c>
      <c r="L85" s="85">
        <v>-9.9000000000000057</v>
      </c>
    </row>
    <row r="86" spans="11:12">
      <c r="K86" s="32">
        <v>84</v>
      </c>
      <c r="L86" s="85">
        <v>-20.000000000000007</v>
      </c>
    </row>
    <row r="87" spans="11:12">
      <c r="K87" s="32">
        <v>85</v>
      </c>
      <c r="L87" s="85">
        <v>2.5999999999999943</v>
      </c>
    </row>
    <row r="88" spans="11:12">
      <c r="K88" s="32">
        <v>86</v>
      </c>
      <c r="L88" s="85">
        <v>68.5</v>
      </c>
    </row>
    <row r="89" spans="11:12">
      <c r="K89" s="32">
        <v>87</v>
      </c>
      <c r="L89" s="85">
        <v>7.1000000000000014</v>
      </c>
    </row>
    <row r="90" spans="11:12">
      <c r="K90" s="32">
        <v>88</v>
      </c>
      <c r="L90" s="85">
        <v>-20</v>
      </c>
    </row>
    <row r="91" spans="11:12">
      <c r="K91" s="32">
        <v>89</v>
      </c>
      <c r="L91" s="85">
        <v>-39.6</v>
      </c>
    </row>
    <row r="92" spans="11:12">
      <c r="K92" s="32">
        <v>90</v>
      </c>
      <c r="L92" s="85">
        <v>-29.1</v>
      </c>
    </row>
    <row r="93" spans="11:12">
      <c r="K93" s="32">
        <v>91</v>
      </c>
      <c r="L93" s="85">
        <v>24.5</v>
      </c>
    </row>
    <row r="94" spans="11:12">
      <c r="K94" s="32">
        <v>92</v>
      </c>
      <c r="L94" s="85">
        <v>-20</v>
      </c>
    </row>
    <row r="95" spans="11:12">
      <c r="K95" s="32">
        <v>93</v>
      </c>
      <c r="L95" s="85">
        <v>-27.6</v>
      </c>
    </row>
    <row r="96" spans="11:12">
      <c r="K96" s="32">
        <v>94</v>
      </c>
      <c r="L96" s="85">
        <v>57.999999999999993</v>
      </c>
    </row>
    <row r="97" spans="11:12">
      <c r="K97" s="32">
        <v>95</v>
      </c>
      <c r="L97" s="85">
        <v>7.9999999999999929</v>
      </c>
    </row>
    <row r="98" spans="11:12">
      <c r="K98" s="32">
        <v>96</v>
      </c>
      <c r="L98" s="85">
        <v>-20.000000000000007</v>
      </c>
    </row>
    <row r="99" spans="11:12">
      <c r="K99" s="32">
        <v>97</v>
      </c>
      <c r="L99" s="85">
        <v>-35.000000000000007</v>
      </c>
    </row>
    <row r="100" spans="11:12">
      <c r="K100" s="32">
        <v>98</v>
      </c>
      <c r="L100" s="85">
        <v>18.899999999999991</v>
      </c>
    </row>
    <row r="101" spans="11:12">
      <c r="K101" s="32">
        <v>99</v>
      </c>
      <c r="L101" s="85">
        <v>-27.600000000000009</v>
      </c>
    </row>
    <row r="102" spans="11:12">
      <c r="K102" s="32">
        <v>100</v>
      </c>
      <c r="L102" s="85">
        <v>-20.000000000000007</v>
      </c>
    </row>
    <row r="103" spans="11:12">
      <c r="K103" s="32">
        <v>101</v>
      </c>
      <c r="L103" s="85">
        <v>-79.400000000000006</v>
      </c>
    </row>
    <row r="104" spans="11:12">
      <c r="K104" s="32">
        <v>102</v>
      </c>
      <c r="L104" s="85">
        <v>-62.100000000000009</v>
      </c>
    </row>
    <row r="105" spans="11:12">
      <c r="K105" s="32">
        <v>103</v>
      </c>
      <c r="L105" s="85">
        <v>-91</v>
      </c>
    </row>
    <row r="106" spans="11:12">
      <c r="K106" s="32">
        <v>104</v>
      </c>
      <c r="L106" s="85">
        <v>-20</v>
      </c>
    </row>
    <row r="107" spans="11:12">
      <c r="K107" s="32">
        <v>105</v>
      </c>
      <c r="L107" s="85">
        <v>-38</v>
      </c>
    </row>
    <row r="108" spans="11:12">
      <c r="K108" s="32">
        <v>106</v>
      </c>
      <c r="L108" s="85">
        <v>28.599999999999994</v>
      </c>
    </row>
    <row r="109" spans="11:12">
      <c r="K109" s="32">
        <v>107</v>
      </c>
      <c r="L109" s="85">
        <v>34.199999999999996</v>
      </c>
    </row>
    <row r="110" spans="11:12">
      <c r="K110" s="32">
        <v>108</v>
      </c>
      <c r="L110" s="85">
        <v>-30.000000000000007</v>
      </c>
    </row>
    <row r="111" spans="11:12">
      <c r="K111" s="32">
        <v>109</v>
      </c>
      <c r="L111" s="85">
        <v>-55.500000000000007</v>
      </c>
    </row>
    <row r="112" spans="11:12">
      <c r="K112" s="32">
        <v>110</v>
      </c>
      <c r="L112" s="85">
        <v>-43.000000000000007</v>
      </c>
    </row>
    <row r="113" spans="11:12">
      <c r="K113" s="32">
        <v>111</v>
      </c>
      <c r="L113" s="85">
        <v>28.999999999999993</v>
      </c>
    </row>
    <row r="114" spans="11:12">
      <c r="K114" s="32">
        <v>112</v>
      </c>
      <c r="L114" s="85">
        <v>-30.000000000000007</v>
      </c>
    </row>
    <row r="115" spans="11:12">
      <c r="K115" s="32">
        <v>113</v>
      </c>
      <c r="L115" s="85">
        <v>22.499999999999993</v>
      </c>
    </row>
    <row r="116" spans="11:12">
      <c r="K116" s="32">
        <v>114</v>
      </c>
      <c r="L116" s="85">
        <v>-18.800000000000004</v>
      </c>
    </row>
    <row r="117" spans="11:12">
      <c r="K117" s="32">
        <v>115</v>
      </c>
      <c r="L117" s="85">
        <v>-38.400000000000006</v>
      </c>
    </row>
    <row r="118" spans="11:12">
      <c r="K118" s="32">
        <v>116</v>
      </c>
      <c r="L118" s="85">
        <v>-30.000000000000007</v>
      </c>
    </row>
    <row r="119" spans="11:12">
      <c r="K119" s="32">
        <v>117</v>
      </c>
      <c r="L119" s="85">
        <v>-89</v>
      </c>
    </row>
    <row r="120" spans="11:12">
      <c r="K120" s="32">
        <v>118</v>
      </c>
      <c r="L120" s="85">
        <v>-64</v>
      </c>
    </row>
    <row r="121" spans="11:12">
      <c r="K121" s="32">
        <v>119</v>
      </c>
      <c r="L121" s="85">
        <v>-102.5</v>
      </c>
    </row>
    <row r="122" spans="11:12">
      <c r="K122" s="32">
        <v>120</v>
      </c>
      <c r="L122" s="85">
        <v>-30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63612-D64A-4917-96B1-7BBFA028213B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164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13</v>
      </c>
      <c r="C2" s="159"/>
      <c r="E2" s="54" t="s">
        <v>54</v>
      </c>
      <c r="F2" s="51" t="s">
        <v>20</v>
      </c>
      <c r="G2" s="39">
        <v>9</v>
      </c>
      <c r="H2" s="117">
        <f>IF(B$17=0,0,G2/B$17)</f>
        <v>0.5625</v>
      </c>
      <c r="I2" s="79">
        <v>8</v>
      </c>
      <c r="K2" s="30">
        <v>0</v>
      </c>
      <c r="L2" s="84">
        <v>0</v>
      </c>
      <c r="N2" s="99" t="s">
        <v>103</v>
      </c>
      <c r="O2" s="106">
        <f t="shared" ref="O2:O9" si="0">IF(P2=0,0,Q2/P2)</f>
        <v>1161.5384615384614</v>
      </c>
      <c r="P2" s="103">
        <v>13</v>
      </c>
      <c r="Q2" s="87">
        <v>15100</v>
      </c>
    </row>
    <row r="3" spans="1:17">
      <c r="A3" s="47" t="s">
        <v>8</v>
      </c>
      <c r="B3" s="160">
        <v>105</v>
      </c>
      <c r="C3" s="161"/>
      <c r="E3" s="55" t="s">
        <v>60</v>
      </c>
      <c r="F3" s="52" t="s">
        <v>24</v>
      </c>
      <c r="G3" s="40">
        <v>7</v>
      </c>
      <c r="H3" s="118">
        <f>IF(B$17=0,0,G3/B$17)</f>
        <v>0.4375</v>
      </c>
      <c r="I3" s="80">
        <v>7</v>
      </c>
      <c r="K3" s="32">
        <v>1</v>
      </c>
      <c r="L3" s="85">
        <v>11.9</v>
      </c>
      <c r="N3" s="100" t="s">
        <v>104</v>
      </c>
      <c r="O3" s="107">
        <f t="shared" si="0"/>
        <v>223.07692307692307</v>
      </c>
      <c r="P3" s="104">
        <v>13</v>
      </c>
      <c r="Q3" s="88">
        <v>2900</v>
      </c>
    </row>
    <row r="4" spans="1:17">
      <c r="A4" s="47" t="s">
        <v>6</v>
      </c>
      <c r="B4" s="162">
        <v>-2.9000000000000057</v>
      </c>
      <c r="C4" s="163"/>
      <c r="E4" s="55" t="s">
        <v>184</v>
      </c>
      <c r="F4" s="52" t="s">
        <v>187</v>
      </c>
      <c r="G4" s="40">
        <v>7</v>
      </c>
      <c r="H4" s="118">
        <f>IF(B$17=0,0,G4/B$17)</f>
        <v>0.4375</v>
      </c>
      <c r="I4" s="80">
        <v>10</v>
      </c>
      <c r="K4" s="32">
        <v>2</v>
      </c>
      <c r="L4" s="85">
        <v>-40.200000000000003</v>
      </c>
      <c r="N4" s="100" t="s">
        <v>105</v>
      </c>
      <c r="O4" s="107">
        <f t="shared" si="0"/>
        <v>2261.5384615384614</v>
      </c>
      <c r="P4" s="104">
        <v>13</v>
      </c>
      <c r="Q4" s="88">
        <v>29400</v>
      </c>
    </row>
    <row r="5" spans="1:17">
      <c r="A5" s="47" t="s">
        <v>7</v>
      </c>
      <c r="B5" s="164">
        <f>IF(B$2=0,0,B$4/B$2)</f>
        <v>-0.22307692307692351</v>
      </c>
      <c r="C5" s="165"/>
      <c r="E5" s="55" t="s">
        <v>181</v>
      </c>
      <c r="F5" s="52" t="s">
        <v>156</v>
      </c>
      <c r="G5" s="40">
        <v>6</v>
      </c>
      <c r="H5" s="118">
        <f>IF(B$17=0,0,G5/B$17)</f>
        <v>0.375</v>
      </c>
      <c r="I5" s="80">
        <v>14</v>
      </c>
      <c r="K5" s="32">
        <v>3</v>
      </c>
      <c r="L5" s="85">
        <v>-53.2</v>
      </c>
      <c r="N5" s="100" t="s">
        <v>157</v>
      </c>
      <c r="O5" s="107">
        <f>IF(P5=0,0,Q5/P5)</f>
        <v>-372.72727272727275</v>
      </c>
      <c r="P5" s="104">
        <v>11</v>
      </c>
      <c r="Q5" s="88">
        <v>-4100</v>
      </c>
    </row>
    <row r="6" spans="1:17">
      <c r="A6" s="47" t="s">
        <v>1</v>
      </c>
      <c r="B6" s="166">
        <f>IF(B$2=0,0,(B$7*1+B$8*2+B$9*3+B$10*4)/B$2)</f>
        <v>2.5384615384615383</v>
      </c>
      <c r="C6" s="167"/>
      <c r="E6" s="55" t="s">
        <v>55</v>
      </c>
      <c r="F6" s="52" t="s">
        <v>155</v>
      </c>
      <c r="G6" s="40">
        <v>4</v>
      </c>
      <c r="H6" s="118">
        <f>IF(B$17=0,0,G6/B$17)</f>
        <v>0.25</v>
      </c>
      <c r="I6" s="80">
        <v>6</v>
      </c>
      <c r="K6" s="32">
        <v>4</v>
      </c>
      <c r="L6" s="85">
        <v>-41.2</v>
      </c>
      <c r="N6" s="100" t="s">
        <v>106</v>
      </c>
      <c r="O6" s="107">
        <f t="shared" ref="O6" si="1">IF(P6=0,0,Q6/P6)</f>
        <v>518.18181818181813</v>
      </c>
      <c r="P6" s="104">
        <v>11</v>
      </c>
      <c r="Q6" s="88">
        <v>5700</v>
      </c>
    </row>
    <row r="7" spans="1:17">
      <c r="A7" s="47" t="s">
        <v>2</v>
      </c>
      <c r="B7" s="40">
        <v>3</v>
      </c>
      <c r="C7" s="33">
        <f t="shared" ref="C7:C12" si="2">IF(B$2=0,0,B7/B$2)</f>
        <v>0.23076923076923078</v>
      </c>
      <c r="E7" s="55" t="s">
        <v>57</v>
      </c>
      <c r="F7" s="52" t="s">
        <v>21</v>
      </c>
      <c r="G7" s="40">
        <v>4</v>
      </c>
      <c r="H7" s="118">
        <f>IF(B$17=0,0,G7/B$17)</f>
        <v>0.25</v>
      </c>
      <c r="I7" s="80">
        <v>6</v>
      </c>
      <c r="K7" s="32">
        <v>5</v>
      </c>
      <c r="L7" s="85">
        <v>17.099999999999994</v>
      </c>
      <c r="N7" s="100" t="s">
        <v>107</v>
      </c>
      <c r="O7" s="107">
        <f t="shared" si="0"/>
        <v>-3244.4444444444443</v>
      </c>
      <c r="P7" s="104">
        <v>9</v>
      </c>
      <c r="Q7" s="88">
        <v>-29200</v>
      </c>
    </row>
    <row r="8" spans="1:17">
      <c r="A8" s="47" t="s">
        <v>3</v>
      </c>
      <c r="B8" s="40">
        <v>4</v>
      </c>
      <c r="C8" s="33">
        <f>IF(B$2=0,0,B8/B$2)</f>
        <v>0.30769230769230771</v>
      </c>
      <c r="E8" s="55" t="s">
        <v>59</v>
      </c>
      <c r="F8" s="52" t="s">
        <v>23</v>
      </c>
      <c r="G8" s="40">
        <v>4</v>
      </c>
      <c r="H8" s="118">
        <f>IF(B$17=0,0,G8/B$17)</f>
        <v>0.25</v>
      </c>
      <c r="I8" s="80">
        <v>4</v>
      </c>
      <c r="K8" s="32">
        <v>6</v>
      </c>
      <c r="L8" s="85">
        <v>24.199999999999996</v>
      </c>
      <c r="N8" s="100" t="s">
        <v>108</v>
      </c>
      <c r="O8" s="107">
        <f t="shared" si="0"/>
        <v>-2183.3333333333335</v>
      </c>
      <c r="P8" s="104">
        <v>6</v>
      </c>
      <c r="Q8" s="88">
        <v>-13100</v>
      </c>
    </row>
    <row r="9" spans="1:17">
      <c r="A9" s="48" t="s">
        <v>4</v>
      </c>
      <c r="B9" s="41">
        <v>2</v>
      </c>
      <c r="C9" s="34">
        <f>IF(B$2=0,0,B9/B$2)</f>
        <v>0.15384615384615385</v>
      </c>
      <c r="E9" s="55" t="s">
        <v>56</v>
      </c>
      <c r="F9" s="52" t="s">
        <v>185</v>
      </c>
      <c r="G9" s="40">
        <v>2</v>
      </c>
      <c r="H9" s="118">
        <f>IF(B$17=0,0,G9/B$17)</f>
        <v>0.125</v>
      </c>
      <c r="I9" s="80">
        <v>16</v>
      </c>
      <c r="K9" s="32">
        <v>7</v>
      </c>
      <c r="L9" s="85">
        <v>32.099999999999994</v>
      </c>
      <c r="N9" s="101" t="s">
        <v>158</v>
      </c>
      <c r="O9" s="108">
        <f t="shared" si="0"/>
        <v>1350</v>
      </c>
      <c r="P9" s="105">
        <v>4</v>
      </c>
      <c r="Q9" s="89">
        <v>5400</v>
      </c>
    </row>
    <row r="10" spans="1:17">
      <c r="A10" s="48" t="s">
        <v>152</v>
      </c>
      <c r="B10" s="41">
        <v>4</v>
      </c>
      <c r="C10" s="34">
        <f>IF(B$2=0,0,B10/B$2)</f>
        <v>0.30769230769230771</v>
      </c>
      <c r="E10" s="55" t="s">
        <v>58</v>
      </c>
      <c r="F10" s="52" t="s">
        <v>22</v>
      </c>
      <c r="G10" s="40">
        <v>2</v>
      </c>
      <c r="H10" s="118">
        <f>IF(B$17=0,0,G10/B$17)</f>
        <v>0.125</v>
      </c>
      <c r="I10" s="80">
        <v>4</v>
      </c>
      <c r="K10" s="32">
        <v>8</v>
      </c>
      <c r="L10" s="85">
        <v>-11.400000000000006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7</v>
      </c>
      <c r="C11" s="34">
        <f>IF(B$2=0,0,B11/B$2)</f>
        <v>0.53846153846153844</v>
      </c>
      <c r="E11" s="55" t="s">
        <v>71</v>
      </c>
      <c r="F11" s="52" t="s">
        <v>35</v>
      </c>
      <c r="G11" s="40">
        <v>2</v>
      </c>
      <c r="H11" s="118">
        <f>IF(B$17=0,0,G11/B$17)</f>
        <v>0.125</v>
      </c>
      <c r="I11" s="80">
        <v>2</v>
      </c>
      <c r="K11" s="32">
        <v>9</v>
      </c>
      <c r="L11" s="85">
        <v>-71.900000000000006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7.6923076923076927E-2</v>
      </c>
      <c r="E12" s="55" t="s">
        <v>182</v>
      </c>
      <c r="F12" s="52" t="s">
        <v>19</v>
      </c>
      <c r="G12" s="40">
        <v>1</v>
      </c>
      <c r="H12" s="118">
        <f>IF(B$17=0,0,G12/B$17)</f>
        <v>6.25E-2</v>
      </c>
      <c r="I12" s="80">
        <v>12</v>
      </c>
      <c r="K12" s="32">
        <v>10</v>
      </c>
      <c r="L12" s="85">
        <v>-91.5</v>
      </c>
      <c r="N12" s="99" t="s">
        <v>126</v>
      </c>
      <c r="O12" s="109">
        <f>IF(P12=0,0,Q12/P12)</f>
        <v>-32.76</v>
      </c>
      <c r="P12" s="103">
        <v>5</v>
      </c>
      <c r="Q12" s="91">
        <v>-163.79999999999998</v>
      </c>
    </row>
    <row r="13" spans="1:17">
      <c r="A13" s="50" t="s">
        <v>97</v>
      </c>
      <c r="B13" s="43">
        <v>26</v>
      </c>
      <c r="C13" s="38">
        <f>IF(B$3=0,0,B13/B$3)</f>
        <v>0.24761904761904763</v>
      </c>
      <c r="E13" s="55" t="s">
        <v>67</v>
      </c>
      <c r="F13" s="52" t="s">
        <v>31</v>
      </c>
      <c r="G13" s="40">
        <v>1</v>
      </c>
      <c r="H13" s="118">
        <f>IF(B$17=0,0,G13/B$17)</f>
        <v>6.25E-2</v>
      </c>
      <c r="I13" s="80">
        <v>3</v>
      </c>
      <c r="K13" s="32">
        <v>11</v>
      </c>
      <c r="L13" s="85">
        <v>-141.5</v>
      </c>
      <c r="N13" s="100" t="s">
        <v>127</v>
      </c>
      <c r="O13" s="110">
        <f>IF(P13=0,0,Q13/P13)</f>
        <v>30.379999999999995</v>
      </c>
      <c r="P13" s="104">
        <v>5</v>
      </c>
      <c r="Q13" s="92">
        <v>151.89999999999998</v>
      </c>
    </row>
    <row r="14" spans="1:17">
      <c r="A14" s="47" t="s">
        <v>94</v>
      </c>
      <c r="B14" s="40">
        <v>29</v>
      </c>
      <c r="C14" s="33">
        <f>IF(B$3=0,0,B14/B$3)</f>
        <v>0.27619047619047621</v>
      </c>
      <c r="E14" s="55" t="s">
        <v>78</v>
      </c>
      <c r="F14" s="52" t="s">
        <v>42</v>
      </c>
      <c r="G14" s="40">
        <v>1</v>
      </c>
      <c r="H14" s="118">
        <f>IF(B$17=0,0,G14/B$17)</f>
        <v>6.25E-2</v>
      </c>
      <c r="I14" s="80">
        <v>1</v>
      </c>
      <c r="K14" s="32">
        <v>12</v>
      </c>
      <c r="L14" s="85">
        <v>-74.900000000000006</v>
      </c>
      <c r="N14" s="100" t="s">
        <v>128</v>
      </c>
      <c r="O14" s="110">
        <f>IF(P14=0,0,Q14/P14)</f>
        <v>11</v>
      </c>
      <c r="P14" s="104">
        <v>2</v>
      </c>
      <c r="Q14" s="92">
        <v>22</v>
      </c>
    </row>
    <row r="15" spans="1:17">
      <c r="A15" s="46" t="s">
        <v>99</v>
      </c>
      <c r="B15" s="39">
        <f>B21</f>
        <v>6</v>
      </c>
      <c r="C15" s="31">
        <f>IF(B$13=0,0,B15/B$13)</f>
        <v>0.23076923076923078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K15" s="32">
        <v>13</v>
      </c>
      <c r="L15" s="85">
        <v>-2.9000000000000057</v>
      </c>
      <c r="N15" s="101" t="s">
        <v>159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100</v>
      </c>
      <c r="B16" s="39">
        <f>B22</f>
        <v>7</v>
      </c>
      <c r="C16" s="31">
        <f>IF(B$14=0,0,B16/B$14)</f>
        <v>0.2413793103448276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16</v>
      </c>
      <c r="C17" s="31">
        <f>IF(B$3=0,0,B17/B$3)</f>
        <v>0.15238095238095239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8</v>
      </c>
      <c r="C18" s="33">
        <f>IF(B$3=0,0,B18/B$3)</f>
        <v>7.6190476190476197E-2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207</v>
      </c>
      <c r="O18" s="109">
        <f>IF(P18=0,0,Q18/P18)</f>
        <v>84.6</v>
      </c>
      <c r="P18" s="103">
        <v>1</v>
      </c>
      <c r="Q18" s="91">
        <v>84.6</v>
      </c>
    </row>
    <row r="19" spans="1:17">
      <c r="A19" s="47" t="s">
        <v>12</v>
      </c>
      <c r="B19" s="40">
        <v>2</v>
      </c>
      <c r="C19" s="33">
        <f>IF(B$17=0,0,B19/B$17)</f>
        <v>0.125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201</v>
      </c>
      <c r="O19" s="110">
        <f>IF(P19=0,0,Q19/P19)</f>
        <v>57.9</v>
      </c>
      <c r="P19" s="104">
        <v>1</v>
      </c>
      <c r="Q19" s="92">
        <v>57.9</v>
      </c>
    </row>
    <row r="20" spans="1:17">
      <c r="A20" s="47" t="s">
        <v>11</v>
      </c>
      <c r="B20" s="40">
        <v>14</v>
      </c>
      <c r="C20" s="33">
        <f>IF(B$17=0,0,B20/B$17)</f>
        <v>0.875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3</v>
      </c>
      <c r="N20" s="100" t="s">
        <v>162</v>
      </c>
      <c r="O20" s="110">
        <f>IF(P20=0,0,Q20/P20)</f>
        <v>34.833333333333336</v>
      </c>
      <c r="P20" s="104">
        <v>3</v>
      </c>
      <c r="Q20" s="92">
        <v>104.5</v>
      </c>
    </row>
    <row r="21" spans="1:17">
      <c r="A21" s="47" t="s">
        <v>151</v>
      </c>
      <c r="B21" s="40">
        <v>6</v>
      </c>
      <c r="C21" s="33">
        <f>IF(B$17=0,0,B21/B$17)</f>
        <v>0.375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5</v>
      </c>
      <c r="N21" s="100" t="s">
        <v>179</v>
      </c>
      <c r="O21" s="110">
        <f>IF(P21=0,0,Q21/P21)</f>
        <v>17.559999999999995</v>
      </c>
      <c r="P21" s="104">
        <v>5</v>
      </c>
      <c r="Q21" s="92">
        <v>87.799999999999983</v>
      </c>
    </row>
    <row r="22" spans="1:17">
      <c r="A22" s="47" t="s">
        <v>149</v>
      </c>
      <c r="B22" s="40">
        <v>7</v>
      </c>
      <c r="C22" s="33">
        <f>IF(B$17=0,0,B22/B$17)</f>
        <v>0.4375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195</v>
      </c>
      <c r="O22" s="110">
        <f>IF(P22=0,0,Q22/P22)</f>
        <v>13.066666666666668</v>
      </c>
      <c r="P22" s="104">
        <v>3</v>
      </c>
      <c r="Q22" s="92">
        <v>39.200000000000003</v>
      </c>
    </row>
    <row r="23" spans="1:17">
      <c r="A23" s="47" t="s">
        <v>150</v>
      </c>
      <c r="B23" s="40">
        <v>3</v>
      </c>
      <c r="C23" s="33">
        <f>IF(B$17=0,0,B23/B$17)</f>
        <v>0.1875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163</v>
      </c>
      <c r="O23" s="110">
        <f>IF(P23=0,0,Q23/P23)</f>
        <v>12.475000000000001</v>
      </c>
      <c r="P23" s="104">
        <v>4</v>
      </c>
      <c r="Q23" s="92">
        <v>49.900000000000006</v>
      </c>
    </row>
    <row r="24" spans="1:17">
      <c r="A24" s="47" t="s">
        <v>5</v>
      </c>
      <c r="B24" s="44">
        <f>IF(B$17=0,0,C24/B$17)</f>
        <v>7137.5</v>
      </c>
      <c r="C24" s="35">
        <v>114200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169</v>
      </c>
      <c r="O24" s="110">
        <f>IF(P24=0,0,Q24/P24)</f>
        <v>5.2999999999999972</v>
      </c>
      <c r="P24" s="104">
        <v>6</v>
      </c>
      <c r="Q24" s="92">
        <v>31.799999999999983</v>
      </c>
    </row>
    <row r="25" spans="1:17">
      <c r="A25" s="48" t="s">
        <v>133</v>
      </c>
      <c r="B25" s="121">
        <f>IF($B$17-B$16=0,0,C25/($B$17-B$16))</f>
        <v>8922.2222222222226</v>
      </c>
      <c r="C25" s="122">
        <v>80300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3</v>
      </c>
      <c r="N25" s="100" t="s">
        <v>191</v>
      </c>
      <c r="O25" s="110">
        <f>IF(P25=0,0,Q25/P25)</f>
        <v>-13.5</v>
      </c>
      <c r="P25" s="104">
        <v>4</v>
      </c>
      <c r="Q25" s="92">
        <v>-54</v>
      </c>
    </row>
    <row r="26" spans="1:17">
      <c r="A26" s="48" t="s">
        <v>134</v>
      </c>
      <c r="B26" s="121">
        <f>IF(B$16=0,0,C26/B$16)</f>
        <v>4842.8571428571431</v>
      </c>
      <c r="C26" s="122">
        <v>33900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161</v>
      </c>
      <c r="O26" s="110">
        <f>IF(P26=0,0,Q26/P26)</f>
        <v>-15.233333333333334</v>
      </c>
      <c r="P26" s="104">
        <v>3</v>
      </c>
      <c r="Q26" s="92">
        <v>-45.7</v>
      </c>
    </row>
    <row r="27" spans="1:17">
      <c r="A27" s="48" t="s">
        <v>132</v>
      </c>
      <c r="B27" s="121">
        <f>IF(B$18=0,0,C27/B$18)</f>
        <v>-5575</v>
      </c>
      <c r="C27" s="122">
        <v>-44600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5</v>
      </c>
      <c r="N27" s="100" t="s">
        <v>168</v>
      </c>
      <c r="O27" s="110">
        <f>IF(P27=0,0,Q27/P27)</f>
        <v>-30.914285714285711</v>
      </c>
      <c r="P27" s="104">
        <v>7</v>
      </c>
      <c r="Q27" s="92">
        <v>-216.39999999999998</v>
      </c>
    </row>
    <row r="28" spans="1:17">
      <c r="A28" s="47" t="s">
        <v>130</v>
      </c>
      <c r="B28" s="40">
        <v>2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175</v>
      </c>
      <c r="O28" s="110">
        <f>IF(P28=0,0,Q28/P28)</f>
        <v>-65.7</v>
      </c>
      <c r="P28" s="104">
        <v>1</v>
      </c>
      <c r="Q28" s="92">
        <v>-65.7</v>
      </c>
    </row>
    <row r="29" spans="1:17">
      <c r="A29" s="47" t="s">
        <v>131</v>
      </c>
      <c r="B29" s="40">
        <v>25</v>
      </c>
      <c r="C29" s="120">
        <v>0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177</v>
      </c>
      <c r="O29" s="110">
        <f>IF(P29=0,0,Q29/P29)</f>
        <v>-75.5</v>
      </c>
      <c r="P29" s="104">
        <v>1</v>
      </c>
      <c r="Q29" s="92">
        <v>-75.5</v>
      </c>
    </row>
    <row r="30" spans="1:17">
      <c r="A30" s="76" t="s">
        <v>111</v>
      </c>
      <c r="B30" s="152">
        <v>4</v>
      </c>
      <c r="C30" s="153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54">
        <v>52000</v>
      </c>
      <c r="C31" s="15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3">IF(B$17=0,0,B35/B$17)</f>
        <v>0.125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3"/>
        <v>0.125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5</v>
      </c>
      <c r="C37" s="33">
        <f t="shared" si="3"/>
        <v>0.3125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3"/>
        <v>0.125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6.25E-2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4</v>
      </c>
      <c r="C40" s="33">
        <f t="shared" si="3"/>
        <v>0.25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F820F-DE9E-4CC5-A27F-FB80E844EC67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161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7</v>
      </c>
      <c r="C2" s="159"/>
      <c r="E2" s="54" t="s">
        <v>54</v>
      </c>
      <c r="F2" s="51" t="s">
        <v>20</v>
      </c>
      <c r="G2" s="39">
        <v>7</v>
      </c>
      <c r="H2" s="117">
        <f>IF(B$17=0,0,G2/B$17)</f>
        <v>0.58333333333333337</v>
      </c>
      <c r="I2" s="79">
        <v>7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-300</v>
      </c>
      <c r="P2" s="103">
        <v>7</v>
      </c>
      <c r="Q2" s="87">
        <v>-2100</v>
      </c>
    </row>
    <row r="3" spans="1:17">
      <c r="A3" s="47" t="s">
        <v>8</v>
      </c>
      <c r="B3" s="160">
        <v>60</v>
      </c>
      <c r="C3" s="161"/>
      <c r="E3" s="55" t="s">
        <v>184</v>
      </c>
      <c r="F3" s="52" t="s">
        <v>187</v>
      </c>
      <c r="G3" s="40">
        <v>7</v>
      </c>
      <c r="H3" s="118">
        <f>IF(B$17=0,0,G3/B$17)</f>
        <v>0.58333333333333337</v>
      </c>
      <c r="I3" s="80">
        <v>4</v>
      </c>
      <c r="K3" s="32">
        <v>1</v>
      </c>
      <c r="L3" s="85">
        <v>74.900000000000006</v>
      </c>
      <c r="N3" s="100" t="s">
        <v>104</v>
      </c>
      <c r="O3" s="107">
        <f t="shared" si="0"/>
        <v>1857.1428571428571</v>
      </c>
      <c r="P3" s="104">
        <v>7</v>
      </c>
      <c r="Q3" s="88">
        <v>13000</v>
      </c>
    </row>
    <row r="4" spans="1:17">
      <c r="A4" s="47" t="s">
        <v>6</v>
      </c>
      <c r="B4" s="162">
        <v>-72.199999999999989</v>
      </c>
      <c r="C4" s="163"/>
      <c r="E4" s="55" t="s">
        <v>60</v>
      </c>
      <c r="F4" s="52" t="s">
        <v>24</v>
      </c>
      <c r="G4" s="40">
        <v>6</v>
      </c>
      <c r="H4" s="118">
        <f>IF(B$17=0,0,G4/B$17)</f>
        <v>0.5</v>
      </c>
      <c r="I4" s="80">
        <v>4</v>
      </c>
      <c r="K4" s="32">
        <v>2</v>
      </c>
      <c r="L4" s="85">
        <v>56.800000000000004</v>
      </c>
      <c r="N4" s="100" t="s">
        <v>105</v>
      </c>
      <c r="O4" s="107">
        <f t="shared" si="0"/>
        <v>928.57142857142856</v>
      </c>
      <c r="P4" s="104">
        <v>7</v>
      </c>
      <c r="Q4" s="88">
        <v>6500</v>
      </c>
    </row>
    <row r="5" spans="1:17">
      <c r="A5" s="47" t="s">
        <v>7</v>
      </c>
      <c r="B5" s="164">
        <f>IF(B$2=0,0,B$4/B$2)</f>
        <v>-10.314285714285713</v>
      </c>
      <c r="C5" s="165"/>
      <c r="E5" s="55" t="s">
        <v>181</v>
      </c>
      <c r="F5" s="52" t="s">
        <v>156</v>
      </c>
      <c r="G5" s="40">
        <v>5</v>
      </c>
      <c r="H5" s="118">
        <f>IF(B$17=0,0,G5/B$17)</f>
        <v>0.41666666666666669</v>
      </c>
      <c r="I5" s="80">
        <v>12</v>
      </c>
      <c r="K5" s="32">
        <v>3</v>
      </c>
      <c r="L5" s="85">
        <v>-7.4999999999999929</v>
      </c>
      <c r="N5" s="100" t="s">
        <v>157</v>
      </c>
      <c r="O5" s="107">
        <f>IF(P5=0,0,Q5/P5)</f>
        <v>-1885.7142857142858</v>
      </c>
      <c r="P5" s="104">
        <v>7</v>
      </c>
      <c r="Q5" s="88">
        <v>-13200</v>
      </c>
    </row>
    <row r="6" spans="1:17">
      <c r="A6" s="47" t="s">
        <v>1</v>
      </c>
      <c r="B6" s="166">
        <f>IF(B$2=0,0,(B$7*1+B$8*2+B$9*3+B$10*4)/B$2)</f>
        <v>2.7142857142857144</v>
      </c>
      <c r="C6" s="167"/>
      <c r="E6" s="55" t="s">
        <v>55</v>
      </c>
      <c r="F6" s="52" t="s">
        <v>155</v>
      </c>
      <c r="G6" s="40">
        <v>3</v>
      </c>
      <c r="H6" s="118">
        <f>IF(B$17=0,0,G6/B$17)</f>
        <v>0.25</v>
      </c>
      <c r="I6" s="80">
        <v>6</v>
      </c>
      <c r="K6" s="32">
        <v>4</v>
      </c>
      <c r="L6" s="85">
        <v>-0.89999999999999325</v>
      </c>
      <c r="N6" s="100" t="s">
        <v>106</v>
      </c>
      <c r="O6" s="107">
        <f t="shared" ref="O6" si="1">IF(P6=0,0,Q6/P6)</f>
        <v>-1728.5714285714287</v>
      </c>
      <c r="P6" s="104">
        <v>7</v>
      </c>
      <c r="Q6" s="88">
        <v>-12100</v>
      </c>
    </row>
    <row r="7" spans="1:17">
      <c r="A7" s="47" t="s">
        <v>2</v>
      </c>
      <c r="B7" s="40">
        <v>1</v>
      </c>
      <c r="C7" s="33">
        <f t="shared" ref="C7:C12" si="2">IF(B$2=0,0,B7/B$2)</f>
        <v>0.14285714285714285</v>
      </c>
      <c r="E7" s="55" t="s">
        <v>57</v>
      </c>
      <c r="F7" s="52" t="s">
        <v>21</v>
      </c>
      <c r="G7" s="40">
        <v>3</v>
      </c>
      <c r="H7" s="118">
        <f>IF(B$17=0,0,G7/B$17)</f>
        <v>0.25</v>
      </c>
      <c r="I7" s="80">
        <v>6</v>
      </c>
      <c r="K7" s="32">
        <v>5</v>
      </c>
      <c r="L7" s="85">
        <v>-28.499999999999993</v>
      </c>
      <c r="N7" s="100" t="s">
        <v>107</v>
      </c>
      <c r="O7" s="107">
        <f t="shared" si="0"/>
        <v>-1033.3333333333333</v>
      </c>
      <c r="P7" s="104">
        <v>6</v>
      </c>
      <c r="Q7" s="88">
        <v>-6200</v>
      </c>
    </row>
    <row r="8" spans="1:17">
      <c r="A8" s="47" t="s">
        <v>3</v>
      </c>
      <c r="B8" s="40">
        <v>2</v>
      </c>
      <c r="C8" s="33">
        <f>IF(B$2=0,0,B8/B$2)</f>
        <v>0.2857142857142857</v>
      </c>
      <c r="E8" s="55" t="s">
        <v>56</v>
      </c>
      <c r="F8" s="52" t="s">
        <v>185</v>
      </c>
      <c r="G8" s="40">
        <v>2</v>
      </c>
      <c r="H8" s="118">
        <f>IF(B$17=0,0,G8/B$17)</f>
        <v>0.16666666666666666</v>
      </c>
      <c r="I8" s="80">
        <v>14</v>
      </c>
      <c r="K8" s="32">
        <v>6</v>
      </c>
      <c r="L8" s="85">
        <v>-82.1</v>
      </c>
      <c r="N8" s="100" t="s">
        <v>108</v>
      </c>
      <c r="O8" s="107">
        <f t="shared" si="0"/>
        <v>-1750</v>
      </c>
      <c r="P8" s="104">
        <v>4</v>
      </c>
      <c r="Q8" s="88">
        <v>-7000</v>
      </c>
    </row>
    <row r="9" spans="1:17">
      <c r="A9" s="48" t="s">
        <v>4</v>
      </c>
      <c r="B9" s="41">
        <v>2</v>
      </c>
      <c r="C9" s="34">
        <f>IF(B$2=0,0,B9/B$2)</f>
        <v>0.2857142857142857</v>
      </c>
      <c r="E9" s="55" t="s">
        <v>58</v>
      </c>
      <c r="F9" s="52" t="s">
        <v>22</v>
      </c>
      <c r="G9" s="40">
        <v>1</v>
      </c>
      <c r="H9" s="118">
        <f>IF(B$17=0,0,G9/B$17)</f>
        <v>8.3333333333333329E-2</v>
      </c>
      <c r="I9" s="80">
        <v>6</v>
      </c>
      <c r="K9" s="32">
        <v>7</v>
      </c>
      <c r="L9" s="85">
        <v>-72.199999999999989</v>
      </c>
      <c r="N9" s="101" t="s">
        <v>158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152</v>
      </c>
      <c r="B10" s="41">
        <v>2</v>
      </c>
      <c r="C10" s="34">
        <f>IF(B$2=0,0,B10/B$2)</f>
        <v>0.2857142857142857</v>
      </c>
      <c r="E10" s="55" t="s">
        <v>59</v>
      </c>
      <c r="F10" s="52" t="s">
        <v>23</v>
      </c>
      <c r="G10" s="40">
        <v>1</v>
      </c>
      <c r="H10" s="118">
        <f>IF(B$17=0,0,G10/B$17)</f>
        <v>8.3333333333333329E-2</v>
      </c>
      <c r="I10" s="80">
        <v>11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0.42857142857142855</v>
      </c>
      <c r="E11" s="55" t="s">
        <v>183</v>
      </c>
      <c r="F11" s="52" t="s">
        <v>186</v>
      </c>
      <c r="G11" s="40">
        <v>1</v>
      </c>
      <c r="H11" s="118">
        <f>IF(B$17=0,0,G11/B$17)</f>
        <v>8.3333333333333329E-2</v>
      </c>
      <c r="I11" s="80">
        <v>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0.14285714285714285</v>
      </c>
      <c r="E12" s="55" t="s">
        <v>74</v>
      </c>
      <c r="F12" s="52" t="s">
        <v>38</v>
      </c>
      <c r="G12" s="40">
        <v>1</v>
      </c>
      <c r="H12" s="118">
        <f>IF(B$17=0,0,G12/B$17)</f>
        <v>8.3333333333333329E-2</v>
      </c>
      <c r="I12" s="80">
        <v>2</v>
      </c>
      <c r="N12" s="99" t="s">
        <v>126</v>
      </c>
      <c r="O12" s="109">
        <f>IF(P12=0,0,Q12/P12)</f>
        <v>-12.366666666666667</v>
      </c>
      <c r="P12" s="103">
        <v>3</v>
      </c>
      <c r="Q12" s="91">
        <v>-37.1</v>
      </c>
    </row>
    <row r="13" spans="1:17">
      <c r="A13" s="50" t="s">
        <v>97</v>
      </c>
      <c r="B13" s="43">
        <v>11</v>
      </c>
      <c r="C13" s="38">
        <f>IF(B$3=0,0,B13/B$3)</f>
        <v>0.18333333333333332</v>
      </c>
      <c r="E13" s="55" t="s">
        <v>75</v>
      </c>
      <c r="F13" s="52" t="s">
        <v>39</v>
      </c>
      <c r="G13" s="40">
        <v>1</v>
      </c>
      <c r="H13" s="118">
        <f>IF(B$17=0,0,G13/B$17)</f>
        <v>8.3333333333333329E-2</v>
      </c>
      <c r="I13" s="80">
        <v>1</v>
      </c>
      <c r="N13" s="100" t="s">
        <v>127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94</v>
      </c>
      <c r="B14" s="40">
        <v>14</v>
      </c>
      <c r="C14" s="33">
        <f>IF(B$3=0,0,B14/B$3)</f>
        <v>0.23333333333333334</v>
      </c>
      <c r="E14" s="55" t="s">
        <v>182</v>
      </c>
      <c r="F14" s="52" t="s">
        <v>19</v>
      </c>
      <c r="G14" s="40">
        <v>0</v>
      </c>
      <c r="H14" s="118">
        <f>IF(B$17=0,0,G14/B$17)</f>
        <v>0</v>
      </c>
      <c r="I14" s="80">
        <v>13</v>
      </c>
      <c r="N14" s="100" t="s">
        <v>128</v>
      </c>
      <c r="O14" s="110">
        <f>IF(P14=0,0,Q14/P14)</f>
        <v>-64.3</v>
      </c>
      <c r="P14" s="104">
        <v>1</v>
      </c>
      <c r="Q14" s="92">
        <v>-64.3</v>
      </c>
    </row>
    <row r="15" spans="1:17">
      <c r="A15" s="46" t="s">
        <v>99</v>
      </c>
      <c r="B15" s="39">
        <f>B21</f>
        <v>5</v>
      </c>
      <c r="C15" s="31">
        <f>IF(B$13=0,0,B15/B$13)</f>
        <v>0.45454545454545453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100</v>
      </c>
      <c r="B16" s="39">
        <f>B22</f>
        <v>5</v>
      </c>
      <c r="C16" s="31">
        <f>IF(B$14=0,0,B16/B$14)</f>
        <v>0.35714285714285715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0.2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0.16666666666666666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162</v>
      </c>
      <c r="O18" s="109">
        <f t="shared" ref="O18:O27" si="3"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201</v>
      </c>
      <c r="O19" s="110">
        <f t="shared" si="3"/>
        <v>23.9</v>
      </c>
      <c r="P19" s="104">
        <v>1</v>
      </c>
      <c r="Q19" s="92">
        <v>23.9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3</v>
      </c>
      <c r="N20" s="100" t="s">
        <v>163</v>
      </c>
      <c r="O20" s="110">
        <f t="shared" si="3"/>
        <v>22.449999999999996</v>
      </c>
      <c r="P20" s="104">
        <v>2</v>
      </c>
      <c r="Q20" s="92">
        <v>44.899999999999991</v>
      </c>
    </row>
    <row r="21" spans="1:17">
      <c r="A21" s="47" t="s">
        <v>151</v>
      </c>
      <c r="B21" s="40">
        <v>5</v>
      </c>
      <c r="C21" s="33">
        <f>IF(B$17=0,0,B21/B$17)</f>
        <v>0.41666666666666669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164</v>
      </c>
      <c r="O21" s="110">
        <f t="shared" si="3"/>
        <v>15.233333333333334</v>
      </c>
      <c r="P21" s="104">
        <v>3</v>
      </c>
      <c r="Q21" s="92">
        <v>45.7</v>
      </c>
    </row>
    <row r="22" spans="1:17">
      <c r="A22" s="47" t="s">
        <v>149</v>
      </c>
      <c r="B22" s="40">
        <v>5</v>
      </c>
      <c r="C22" s="33">
        <f>IF(B$17=0,0,B22/B$17)</f>
        <v>0.41666666666666669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 t="shared" si="3"/>
        <v>13.549999999999997</v>
      </c>
      <c r="P22" s="104">
        <v>2</v>
      </c>
      <c r="Q22" s="92">
        <v>27.099999999999994</v>
      </c>
    </row>
    <row r="23" spans="1:17">
      <c r="A23" s="47" t="s">
        <v>150</v>
      </c>
      <c r="B23" s="40">
        <v>2</v>
      </c>
      <c r="C23" s="33">
        <f>IF(B$17=0,0,B23/B$17)</f>
        <v>0.16666666666666666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179</v>
      </c>
      <c r="O23" s="110">
        <f t="shared" si="3"/>
        <v>-20.166666666666664</v>
      </c>
      <c r="P23" s="104">
        <v>3</v>
      </c>
      <c r="Q23" s="92">
        <v>-60.499999999999993</v>
      </c>
    </row>
    <row r="24" spans="1:17">
      <c r="A24" s="47" t="s">
        <v>5</v>
      </c>
      <c r="B24" s="44">
        <f>IF(B$17=0,0,C24/B$17)</f>
        <v>6458.333333333333</v>
      </c>
      <c r="C24" s="35">
        <v>77500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168</v>
      </c>
      <c r="O24" s="110">
        <f t="shared" si="3"/>
        <v>-30.900000000000006</v>
      </c>
      <c r="P24" s="104">
        <v>3</v>
      </c>
      <c r="Q24" s="92">
        <v>-92.700000000000017</v>
      </c>
    </row>
    <row r="25" spans="1:17">
      <c r="A25" s="48" t="s">
        <v>133</v>
      </c>
      <c r="B25" s="121">
        <f>IF($B$17-B$16=0,0,C25/($B$17-B$16))</f>
        <v>8857.1428571428569</v>
      </c>
      <c r="C25" s="122">
        <v>62000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  <c r="N25" s="100" t="s">
        <v>175</v>
      </c>
      <c r="O25" s="110">
        <f t="shared" si="3"/>
        <v>-31.700000000000003</v>
      </c>
      <c r="P25" s="104">
        <v>1</v>
      </c>
      <c r="Q25" s="92">
        <v>-31.700000000000003</v>
      </c>
    </row>
    <row r="26" spans="1:17">
      <c r="A26" s="48" t="s">
        <v>134</v>
      </c>
      <c r="B26" s="121">
        <f>IF(B$16=0,0,C26/B$16)</f>
        <v>3100</v>
      </c>
      <c r="C26" s="122">
        <v>15500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3</v>
      </c>
      <c r="N26" s="100" t="s">
        <v>169</v>
      </c>
      <c r="O26" s="110">
        <f t="shared" si="3"/>
        <v>-58.824999999999989</v>
      </c>
      <c r="P26" s="104">
        <v>4</v>
      </c>
      <c r="Q26" s="92">
        <v>-235.29999999999995</v>
      </c>
    </row>
    <row r="27" spans="1:17">
      <c r="A27" s="48" t="s">
        <v>132</v>
      </c>
      <c r="B27" s="121">
        <f>IF(B$18=0,0,C27/B$18)</f>
        <v>-7220</v>
      </c>
      <c r="C27" s="122">
        <v>-72200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177</v>
      </c>
      <c r="O27" s="110">
        <f t="shared" si="3"/>
        <v>-126.8</v>
      </c>
      <c r="P27" s="104">
        <v>1</v>
      </c>
      <c r="Q27" s="92">
        <v>-126.8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17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52">
        <v>3</v>
      </c>
      <c r="C30" s="15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4">
        <v>54900</v>
      </c>
      <c r="C31" s="15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1</v>
      </c>
      <c r="C32" s="36">
        <f>IF(B$3=0,0,B32/B$3)</f>
        <v>1.6666666666666666E-2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8.3333333333333329E-2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4</v>
      </c>
      <c r="C36" s="33">
        <f t="shared" si="4"/>
        <v>0.33333333333333331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2</v>
      </c>
      <c r="C37" s="33">
        <f t="shared" si="4"/>
        <v>0.16666666666666666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8.3333333333333329E-2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2</v>
      </c>
      <c r="C40" s="33">
        <f t="shared" si="4"/>
        <v>0.16666666666666666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FA398-269A-4667-8AD1-FA1B6FF1646D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162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6</v>
      </c>
      <c r="C2" s="159"/>
      <c r="E2" s="54" t="s">
        <v>54</v>
      </c>
      <c r="F2" s="51" t="s">
        <v>20</v>
      </c>
      <c r="G2" s="39">
        <v>11</v>
      </c>
      <c r="H2" s="117">
        <f>IF(B$17=0,0,G2/B$17)</f>
        <v>0.7857142857142857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-483.33333333333331</v>
      </c>
      <c r="P2" s="103">
        <v>6</v>
      </c>
      <c r="Q2" s="87">
        <v>-2900</v>
      </c>
    </row>
    <row r="3" spans="1:17">
      <c r="A3" s="47" t="s">
        <v>8</v>
      </c>
      <c r="B3" s="160">
        <v>56</v>
      </c>
      <c r="C3" s="161"/>
      <c r="E3" s="55" t="s">
        <v>181</v>
      </c>
      <c r="F3" s="52" t="s">
        <v>156</v>
      </c>
      <c r="G3" s="40">
        <v>8</v>
      </c>
      <c r="H3" s="118">
        <f>IF(B$17=0,0,G3/B$17)</f>
        <v>0.5714285714285714</v>
      </c>
      <c r="I3" s="80">
        <v>4</v>
      </c>
      <c r="K3" s="32">
        <v>1</v>
      </c>
      <c r="L3" s="85">
        <v>-61.7</v>
      </c>
      <c r="N3" s="100" t="s">
        <v>104</v>
      </c>
      <c r="O3" s="107">
        <f t="shared" si="0"/>
        <v>3483.3333333333335</v>
      </c>
      <c r="P3" s="104">
        <v>6</v>
      </c>
      <c r="Q3" s="88">
        <v>20900</v>
      </c>
    </row>
    <row r="4" spans="1:17">
      <c r="A4" s="47" t="s">
        <v>6</v>
      </c>
      <c r="B4" s="162">
        <v>181.8</v>
      </c>
      <c r="C4" s="163"/>
      <c r="E4" s="55" t="s">
        <v>60</v>
      </c>
      <c r="F4" s="52" t="s">
        <v>24</v>
      </c>
      <c r="G4" s="40">
        <v>8</v>
      </c>
      <c r="H4" s="118">
        <f>IF(B$17=0,0,G4/B$17)</f>
        <v>0.5714285714285714</v>
      </c>
      <c r="I4" s="80">
        <v>2</v>
      </c>
      <c r="K4" s="32">
        <v>2</v>
      </c>
      <c r="L4" s="85">
        <v>26.099999999999994</v>
      </c>
      <c r="N4" s="100" t="s">
        <v>105</v>
      </c>
      <c r="O4" s="107">
        <f t="shared" si="0"/>
        <v>2900</v>
      </c>
      <c r="P4" s="104">
        <v>6</v>
      </c>
      <c r="Q4" s="88">
        <v>17400</v>
      </c>
    </row>
    <row r="5" spans="1:17">
      <c r="A5" s="47" t="s">
        <v>7</v>
      </c>
      <c r="B5" s="164">
        <f>IF(B$2=0,0,B$4/B$2)</f>
        <v>30.3</v>
      </c>
      <c r="C5" s="165"/>
      <c r="E5" s="55" t="s">
        <v>184</v>
      </c>
      <c r="F5" s="52" t="s">
        <v>187</v>
      </c>
      <c r="G5" s="40">
        <v>7</v>
      </c>
      <c r="H5" s="118">
        <f>IF(B$17=0,0,G5/B$17)</f>
        <v>0.5</v>
      </c>
      <c r="I5" s="80">
        <v>5</v>
      </c>
      <c r="K5" s="32">
        <v>3</v>
      </c>
      <c r="L5" s="85">
        <v>81.5</v>
      </c>
      <c r="N5" s="100" t="s">
        <v>157</v>
      </c>
      <c r="O5" s="107">
        <f>IF(P5=0,0,Q5/P5)</f>
        <v>4383.333333333333</v>
      </c>
      <c r="P5" s="104">
        <v>6</v>
      </c>
      <c r="Q5" s="88">
        <v>26300</v>
      </c>
    </row>
    <row r="6" spans="1:17">
      <c r="A6" s="47" t="s">
        <v>1</v>
      </c>
      <c r="B6" s="166">
        <f>IF(B$2=0,0,(B$7*1+B$8*2+B$9*3+B$10*4)/B$2)</f>
        <v>1.8333333333333333</v>
      </c>
      <c r="C6" s="167"/>
      <c r="E6" s="55" t="s">
        <v>56</v>
      </c>
      <c r="F6" s="52" t="s">
        <v>185</v>
      </c>
      <c r="G6" s="40">
        <v>6</v>
      </c>
      <c r="H6" s="118">
        <f>IF(B$17=0,0,G6/B$17)</f>
        <v>0.42857142857142855</v>
      </c>
      <c r="I6" s="80">
        <v>3</v>
      </c>
      <c r="K6" s="32">
        <v>4</v>
      </c>
      <c r="L6" s="85">
        <v>65.5</v>
      </c>
      <c r="N6" s="100" t="s">
        <v>106</v>
      </c>
      <c r="O6" s="107">
        <f t="shared" ref="O6" si="1">IF(P6=0,0,Q6/P6)</f>
        <v>516.66666666666663</v>
      </c>
      <c r="P6" s="104">
        <v>6</v>
      </c>
      <c r="Q6" s="88">
        <v>3100</v>
      </c>
    </row>
    <row r="7" spans="1:17">
      <c r="A7" s="47" t="s">
        <v>2</v>
      </c>
      <c r="B7" s="40">
        <v>4</v>
      </c>
      <c r="C7" s="33">
        <f t="shared" ref="C7:C12" si="2">IF(B$2=0,0,B7/B$2)</f>
        <v>0.66666666666666663</v>
      </c>
      <c r="E7" s="55" t="s">
        <v>182</v>
      </c>
      <c r="F7" s="52" t="s">
        <v>19</v>
      </c>
      <c r="G7" s="40">
        <v>5</v>
      </c>
      <c r="H7" s="118">
        <f>IF(B$17=0,0,G7/B$17)</f>
        <v>0.35714285714285715</v>
      </c>
      <c r="I7" s="80">
        <v>2</v>
      </c>
      <c r="K7" s="32">
        <v>5</v>
      </c>
      <c r="L7" s="85">
        <v>124</v>
      </c>
      <c r="N7" s="100" t="s">
        <v>107</v>
      </c>
      <c r="O7" s="107">
        <f t="shared" si="0"/>
        <v>-480</v>
      </c>
      <c r="P7" s="104">
        <v>5</v>
      </c>
      <c r="Q7" s="88">
        <v>-2400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4</v>
      </c>
      <c r="H8" s="118">
        <f>IF(B$17=0,0,G8/B$17)</f>
        <v>0.2857142857142857</v>
      </c>
      <c r="I8" s="80">
        <v>4</v>
      </c>
      <c r="K8" s="32">
        <v>6</v>
      </c>
      <c r="L8" s="85">
        <v>181.8</v>
      </c>
      <c r="N8" s="100" t="s">
        <v>108</v>
      </c>
      <c r="O8" s="107">
        <f t="shared" si="0"/>
        <v>-2025</v>
      </c>
      <c r="P8" s="104">
        <v>4</v>
      </c>
      <c r="Q8" s="88">
        <v>-8100</v>
      </c>
    </row>
    <row r="9" spans="1:17">
      <c r="A9" s="48" t="s">
        <v>4</v>
      </c>
      <c r="B9" s="41">
        <v>1</v>
      </c>
      <c r="C9" s="34">
        <f>IF(B$2=0,0,B9/B$2)</f>
        <v>0.16666666666666666</v>
      </c>
      <c r="E9" s="55" t="s">
        <v>55</v>
      </c>
      <c r="F9" s="52" t="s">
        <v>155</v>
      </c>
      <c r="G9" s="40">
        <v>1</v>
      </c>
      <c r="H9" s="118">
        <f>IF(B$17=0,0,G9/B$17)</f>
        <v>7.1428571428571425E-2</v>
      </c>
      <c r="I9" s="80">
        <v>15</v>
      </c>
      <c r="N9" s="101" t="s">
        <v>158</v>
      </c>
      <c r="O9" s="108">
        <f t="shared" si="0"/>
        <v>-1250</v>
      </c>
      <c r="P9" s="105">
        <v>2</v>
      </c>
      <c r="Q9" s="89">
        <v>-2500</v>
      </c>
    </row>
    <row r="10" spans="1:17">
      <c r="A10" s="48" t="s">
        <v>152</v>
      </c>
      <c r="B10" s="41">
        <v>1</v>
      </c>
      <c r="C10" s="34">
        <f>IF(B$2=0,0,B10/B$2)</f>
        <v>0.16666666666666666</v>
      </c>
      <c r="E10" s="55" t="s">
        <v>58</v>
      </c>
      <c r="F10" s="52" t="s">
        <v>22</v>
      </c>
      <c r="G10" s="40">
        <v>1</v>
      </c>
      <c r="H10" s="118">
        <f>IF(B$17=0,0,G10/B$17)</f>
        <v>7.1428571428571425E-2</v>
      </c>
      <c r="I10" s="80">
        <v>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0.66666666666666663</v>
      </c>
      <c r="E11" s="55" t="s">
        <v>59</v>
      </c>
      <c r="F11" s="52" t="s">
        <v>23</v>
      </c>
      <c r="G11" s="40">
        <v>1</v>
      </c>
      <c r="H11" s="118">
        <f>IF(B$17=0,0,G11/B$17)</f>
        <v>7.1428571428571425E-2</v>
      </c>
      <c r="I11" s="80">
        <v>12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0.16666666666666666</v>
      </c>
      <c r="E12" s="55" t="s">
        <v>183</v>
      </c>
      <c r="F12" s="52" t="s">
        <v>186</v>
      </c>
      <c r="G12" s="40">
        <v>1</v>
      </c>
      <c r="H12" s="118">
        <f>IF(B$17=0,0,G12/B$17)</f>
        <v>7.1428571428571425E-2</v>
      </c>
      <c r="I12" s="80">
        <v>3</v>
      </c>
      <c r="N12" s="99" t="s">
        <v>126</v>
      </c>
      <c r="O12" s="109">
        <f>IF(P12=0,0,Q12/P12)</f>
        <v>57.8</v>
      </c>
      <c r="P12" s="103">
        <v>1</v>
      </c>
      <c r="Q12" s="91">
        <v>57.8</v>
      </c>
    </row>
    <row r="13" spans="1:17">
      <c r="A13" s="50" t="s">
        <v>97</v>
      </c>
      <c r="B13" s="43">
        <v>13</v>
      </c>
      <c r="C13" s="38">
        <f>IF(B$3=0,0,B13/B$3)</f>
        <v>0.23214285714285715</v>
      </c>
      <c r="E13" s="55" t="s">
        <v>71</v>
      </c>
      <c r="F13" s="52" t="s">
        <v>35</v>
      </c>
      <c r="G13" s="40">
        <v>1</v>
      </c>
      <c r="H13" s="118">
        <f>IF(B$17=0,0,G13/B$17)</f>
        <v>7.1428571428571425E-2</v>
      </c>
      <c r="I13" s="80">
        <v>4</v>
      </c>
      <c r="N13" s="100" t="s">
        <v>127</v>
      </c>
      <c r="O13" s="110">
        <f>IF(P13=0,0,Q13/P13)</f>
        <v>58.5</v>
      </c>
      <c r="P13" s="104">
        <v>1</v>
      </c>
      <c r="Q13" s="92">
        <v>58.5</v>
      </c>
    </row>
    <row r="14" spans="1:17">
      <c r="A14" s="47" t="s">
        <v>94</v>
      </c>
      <c r="B14" s="40">
        <v>8</v>
      </c>
      <c r="C14" s="33">
        <f>IF(B$3=0,0,B14/B$3)</f>
        <v>0.14285714285714285</v>
      </c>
      <c r="E14" s="55" t="s">
        <v>61</v>
      </c>
      <c r="F14" s="52" t="s">
        <v>25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99</v>
      </c>
      <c r="B15" s="39">
        <f>B21</f>
        <v>9</v>
      </c>
      <c r="C15" s="31">
        <f>IF(B$13=0,0,B15/B$13)</f>
        <v>0.69230769230769229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4</v>
      </c>
      <c r="C16" s="31">
        <f>IF(B$14=0,0,B16/B$14)</f>
        <v>0.5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14</v>
      </c>
      <c r="C17" s="31">
        <f>IF(B$3=0,0,B17/B$3)</f>
        <v>0.25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7</v>
      </c>
      <c r="C18" s="33">
        <f>IF(B$3=0,0,B18/B$3)</f>
        <v>0.125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177</v>
      </c>
      <c r="O18" s="109">
        <f t="shared" ref="O18:O28" si="3"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7</v>
      </c>
      <c r="C19" s="33">
        <f>IF(B$17=0,0,B19/B$17)</f>
        <v>0.5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 t="shared" si="3"/>
        <v>103.9</v>
      </c>
      <c r="P19" s="104">
        <v>1</v>
      </c>
      <c r="Q19" s="92">
        <v>103.9</v>
      </c>
    </row>
    <row r="20" spans="1:17">
      <c r="A20" s="47" t="s">
        <v>11</v>
      </c>
      <c r="B20" s="40">
        <v>7</v>
      </c>
      <c r="C20" s="33">
        <f>IF(B$17=0,0,B20/B$17)</f>
        <v>0.5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201</v>
      </c>
      <c r="O20" s="110">
        <f t="shared" si="3"/>
        <v>101.3</v>
      </c>
      <c r="P20" s="104">
        <v>1</v>
      </c>
      <c r="Q20" s="92">
        <v>101.3</v>
      </c>
    </row>
    <row r="21" spans="1:17">
      <c r="A21" s="47" t="s">
        <v>151</v>
      </c>
      <c r="B21" s="40">
        <v>9</v>
      </c>
      <c r="C21" s="33">
        <f>IF(B$17=0,0,B21/B$17)</f>
        <v>0.6428571428571429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 t="shared" si="3"/>
        <v>84.1</v>
      </c>
      <c r="P21" s="104">
        <v>1</v>
      </c>
      <c r="Q21" s="92">
        <v>84.1</v>
      </c>
    </row>
    <row r="22" spans="1:17">
      <c r="A22" s="47" t="s">
        <v>149</v>
      </c>
      <c r="B22" s="40">
        <v>4</v>
      </c>
      <c r="C22" s="33">
        <f>IF(B$17=0,0,B22/B$17)</f>
        <v>0.2857142857142857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195</v>
      </c>
      <c r="O22" s="110">
        <f t="shared" si="3"/>
        <v>79.099999999999994</v>
      </c>
      <c r="P22" s="104">
        <v>1</v>
      </c>
      <c r="Q22" s="92">
        <v>79.099999999999994</v>
      </c>
    </row>
    <row r="23" spans="1:17">
      <c r="A23" s="47" t="s">
        <v>150</v>
      </c>
      <c r="B23" s="40">
        <v>1</v>
      </c>
      <c r="C23" s="33">
        <f>IF(B$17=0,0,B23/B$17)</f>
        <v>7.1428571428571425E-2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179</v>
      </c>
      <c r="O23" s="110">
        <f t="shared" si="3"/>
        <v>78.900000000000006</v>
      </c>
      <c r="P23" s="104">
        <v>2</v>
      </c>
      <c r="Q23" s="92">
        <v>157.80000000000001</v>
      </c>
    </row>
    <row r="24" spans="1:17">
      <c r="A24" s="47" t="s">
        <v>5</v>
      </c>
      <c r="B24" s="44">
        <f>IF(B$17=0,0,C24/B$17)</f>
        <v>7835.7142857142853</v>
      </c>
      <c r="C24" s="35">
        <v>109700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169</v>
      </c>
      <c r="O24" s="110">
        <f t="shared" si="3"/>
        <v>48.199999999999996</v>
      </c>
      <c r="P24" s="104">
        <v>2</v>
      </c>
      <c r="Q24" s="92">
        <v>96.399999999999991</v>
      </c>
    </row>
    <row r="25" spans="1:17">
      <c r="A25" s="48" t="s">
        <v>133</v>
      </c>
      <c r="B25" s="121">
        <f>IF($B$17-B$16=0,0,C25/($B$17-B$16))</f>
        <v>7480</v>
      </c>
      <c r="C25" s="122">
        <v>74800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191</v>
      </c>
      <c r="O25" s="110">
        <f t="shared" si="3"/>
        <v>47.8</v>
      </c>
      <c r="P25" s="104">
        <v>1</v>
      </c>
      <c r="Q25" s="92">
        <v>47.8</v>
      </c>
    </row>
    <row r="26" spans="1:17">
      <c r="A26" s="48" t="s">
        <v>134</v>
      </c>
      <c r="B26" s="121">
        <f>IF(B$16=0,0,C26/B$16)</f>
        <v>8725</v>
      </c>
      <c r="C26" s="122">
        <v>34900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5</v>
      </c>
      <c r="N26" s="100" t="s">
        <v>163</v>
      </c>
      <c r="O26" s="110">
        <f t="shared" si="3"/>
        <v>37.875</v>
      </c>
      <c r="P26" s="104">
        <v>4</v>
      </c>
      <c r="Q26" s="92">
        <v>151.5</v>
      </c>
    </row>
    <row r="27" spans="1:17">
      <c r="A27" s="48" t="s">
        <v>132</v>
      </c>
      <c r="B27" s="121">
        <f>IF(B$18=0,0,C27/B$18)</f>
        <v>-3914.2857142857142</v>
      </c>
      <c r="C27" s="122">
        <v>-27400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164</v>
      </c>
      <c r="O27" s="110">
        <f t="shared" si="3"/>
        <v>-34.833333333333336</v>
      </c>
      <c r="P27" s="104">
        <v>3</v>
      </c>
      <c r="Q27" s="92">
        <v>-104.5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161</v>
      </c>
      <c r="O28" s="110">
        <f t="shared" si="3"/>
        <v>-136.60000000000002</v>
      </c>
      <c r="P28" s="104">
        <v>1</v>
      </c>
      <c r="Q28" s="92">
        <v>-136.60000000000002</v>
      </c>
    </row>
    <row r="29" spans="1:17">
      <c r="A29" s="47" t="s">
        <v>131</v>
      </c>
      <c r="B29" s="40">
        <v>19</v>
      </c>
      <c r="C29" s="120">
        <v>9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52">
        <v>4</v>
      </c>
      <c r="C30" s="15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4">
        <v>67800</v>
      </c>
      <c r="C31" s="15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3</v>
      </c>
      <c r="C37" s="33">
        <f t="shared" si="4"/>
        <v>0.21428571428571427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4</v>
      </c>
      <c r="C38" s="33">
        <f t="shared" si="4"/>
        <v>0.2857142857142857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0.14285714285714285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3</v>
      </c>
      <c r="C40" s="33">
        <f t="shared" si="4"/>
        <v>0.21428571428571427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E4ECB-DEF1-4900-AA46-79EBC239162D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163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9</v>
      </c>
      <c r="C2" s="159"/>
      <c r="E2" s="54" t="s">
        <v>54</v>
      </c>
      <c r="F2" s="51" t="s">
        <v>20</v>
      </c>
      <c r="G2" s="39">
        <v>9</v>
      </c>
      <c r="H2" s="117">
        <f>IF(B$17=0,0,G2/B$17)</f>
        <v>0.52941176470588236</v>
      </c>
      <c r="I2" s="79">
        <v>9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-1788.8888888888889</v>
      </c>
      <c r="P2" s="103">
        <v>9</v>
      </c>
      <c r="Q2" s="87">
        <v>-16100</v>
      </c>
    </row>
    <row r="3" spans="1:17">
      <c r="A3" s="47" t="s">
        <v>8</v>
      </c>
      <c r="B3" s="160">
        <v>74</v>
      </c>
      <c r="C3" s="161"/>
      <c r="E3" s="55" t="s">
        <v>181</v>
      </c>
      <c r="F3" s="52" t="s">
        <v>156</v>
      </c>
      <c r="G3" s="40">
        <v>8</v>
      </c>
      <c r="H3" s="118">
        <f>IF(B$17=0,0,G3/B$17)</f>
        <v>0.47058823529411764</v>
      </c>
      <c r="I3" s="80">
        <v>9</v>
      </c>
      <c r="K3" s="32">
        <v>1</v>
      </c>
      <c r="L3" s="85">
        <v>-25.1</v>
      </c>
      <c r="N3" s="100" t="s">
        <v>104</v>
      </c>
      <c r="O3" s="107">
        <f t="shared" si="0"/>
        <v>-1477.7777777777778</v>
      </c>
      <c r="P3" s="104">
        <v>9</v>
      </c>
      <c r="Q3" s="88">
        <v>-13300</v>
      </c>
    </row>
    <row r="4" spans="1:17">
      <c r="A4" s="47" t="s">
        <v>6</v>
      </c>
      <c r="B4" s="162">
        <v>69.300000000000011</v>
      </c>
      <c r="C4" s="163"/>
      <c r="E4" s="55" t="s">
        <v>60</v>
      </c>
      <c r="F4" s="52" t="s">
        <v>24</v>
      </c>
      <c r="G4" s="40">
        <v>8</v>
      </c>
      <c r="H4" s="118">
        <f>IF(B$17=0,0,G4/B$17)</f>
        <v>0.47058823529411764</v>
      </c>
      <c r="I4" s="80">
        <v>5</v>
      </c>
      <c r="K4" s="32">
        <v>2</v>
      </c>
      <c r="L4" s="85">
        <v>-75.7</v>
      </c>
      <c r="N4" s="100" t="s">
        <v>105</v>
      </c>
      <c r="O4" s="107">
        <f t="shared" si="0"/>
        <v>755.55555555555554</v>
      </c>
      <c r="P4" s="104">
        <v>9</v>
      </c>
      <c r="Q4" s="88">
        <v>6800</v>
      </c>
    </row>
    <row r="5" spans="1:17">
      <c r="A5" s="47" t="s">
        <v>7</v>
      </c>
      <c r="B5" s="164">
        <f>IF(B$2=0,0,B$4/B$2)</f>
        <v>7.7000000000000011</v>
      </c>
      <c r="C5" s="165"/>
      <c r="E5" s="55" t="s">
        <v>184</v>
      </c>
      <c r="F5" s="52" t="s">
        <v>187</v>
      </c>
      <c r="G5" s="40">
        <v>6</v>
      </c>
      <c r="H5" s="118">
        <f>IF(B$17=0,0,G5/B$17)</f>
        <v>0.35294117647058826</v>
      </c>
      <c r="I5" s="80">
        <v>13</v>
      </c>
      <c r="K5" s="32">
        <v>3</v>
      </c>
      <c r="L5" s="85">
        <v>-14</v>
      </c>
      <c r="N5" s="100" t="s">
        <v>157</v>
      </c>
      <c r="O5" s="107">
        <f>IF(P5=0,0,Q5/P5)</f>
        <v>-2233.3333333333335</v>
      </c>
      <c r="P5" s="104">
        <v>9</v>
      </c>
      <c r="Q5" s="88">
        <v>-20100</v>
      </c>
    </row>
    <row r="6" spans="1:17">
      <c r="A6" s="47" t="s">
        <v>1</v>
      </c>
      <c r="B6" s="166">
        <f>IF(B$2=0,0,(B$7*1+B$8*2+B$9*3+B$10*4)/B$2)</f>
        <v>2.3333333333333335</v>
      </c>
      <c r="C6" s="167"/>
      <c r="E6" s="55" t="s">
        <v>56</v>
      </c>
      <c r="F6" s="52" t="s">
        <v>185</v>
      </c>
      <c r="G6" s="40">
        <v>4</v>
      </c>
      <c r="H6" s="118">
        <f>IF(B$17=0,0,G6/B$17)</f>
        <v>0.23529411764705882</v>
      </c>
      <c r="I6" s="80">
        <v>9</v>
      </c>
      <c r="K6" s="32">
        <v>4</v>
      </c>
      <c r="L6" s="85">
        <v>40.700000000000003</v>
      </c>
      <c r="N6" s="100" t="s">
        <v>106</v>
      </c>
      <c r="O6" s="107">
        <f t="shared" ref="O6" si="1">IF(P6=0,0,Q6/P6)</f>
        <v>888.88888888888891</v>
      </c>
      <c r="P6" s="104">
        <v>9</v>
      </c>
      <c r="Q6" s="88">
        <v>8000</v>
      </c>
    </row>
    <row r="7" spans="1:17">
      <c r="A7" s="47" t="s">
        <v>2</v>
      </c>
      <c r="B7" s="40">
        <v>4</v>
      </c>
      <c r="C7" s="33">
        <f t="shared" ref="C7:C12" si="2">IF(B$2=0,0,B7/B$2)</f>
        <v>0.44444444444444442</v>
      </c>
      <c r="E7" s="55" t="s">
        <v>59</v>
      </c>
      <c r="F7" s="52" t="s">
        <v>23</v>
      </c>
      <c r="G7" s="40">
        <v>4</v>
      </c>
      <c r="H7" s="118">
        <f>IF(B$17=0,0,G7/B$17)</f>
        <v>0.23529411764705882</v>
      </c>
      <c r="I7" s="80">
        <v>6</v>
      </c>
      <c r="K7" s="32">
        <v>5</v>
      </c>
      <c r="L7" s="85">
        <v>97</v>
      </c>
      <c r="N7" s="100" t="s">
        <v>107</v>
      </c>
      <c r="O7" s="107">
        <f t="shared" si="0"/>
        <v>3928.5714285714284</v>
      </c>
      <c r="P7" s="104">
        <v>7</v>
      </c>
      <c r="Q7" s="88">
        <v>27500</v>
      </c>
    </row>
    <row r="8" spans="1:17">
      <c r="A8" s="47" t="s">
        <v>3</v>
      </c>
      <c r="B8" s="40">
        <v>1</v>
      </c>
      <c r="C8" s="33">
        <f>IF(B$2=0,0,B8/B$2)</f>
        <v>0.1111111111111111</v>
      </c>
      <c r="E8" s="55" t="s">
        <v>55</v>
      </c>
      <c r="F8" s="52" t="s">
        <v>155</v>
      </c>
      <c r="G8" s="40">
        <v>3</v>
      </c>
      <c r="H8" s="118">
        <f>IF(B$17=0,0,G8/B$17)</f>
        <v>0.17647058823529413</v>
      </c>
      <c r="I8" s="80">
        <v>11</v>
      </c>
      <c r="K8" s="32">
        <v>6</v>
      </c>
      <c r="L8" s="85">
        <v>50.2</v>
      </c>
      <c r="N8" s="100" t="s">
        <v>108</v>
      </c>
      <c r="O8" s="107">
        <f t="shared" si="0"/>
        <v>1160</v>
      </c>
      <c r="P8" s="104">
        <v>5</v>
      </c>
      <c r="Q8" s="88">
        <v>5800</v>
      </c>
    </row>
    <row r="9" spans="1:17">
      <c r="A9" s="48" t="s">
        <v>4</v>
      </c>
      <c r="B9" s="41">
        <v>1</v>
      </c>
      <c r="C9" s="34">
        <f>IF(B$2=0,0,B9/B$2)</f>
        <v>0.1111111111111111</v>
      </c>
      <c r="E9" s="55" t="s">
        <v>57</v>
      </c>
      <c r="F9" s="52" t="s">
        <v>21</v>
      </c>
      <c r="G9" s="40">
        <v>3</v>
      </c>
      <c r="H9" s="118">
        <f>IF(B$17=0,0,G9/B$17)</f>
        <v>0.17647058823529413</v>
      </c>
      <c r="I9" s="80">
        <v>13</v>
      </c>
      <c r="K9" s="32">
        <v>7</v>
      </c>
      <c r="L9" s="85">
        <v>59.800000000000004</v>
      </c>
      <c r="N9" s="101" t="s">
        <v>158</v>
      </c>
      <c r="O9" s="108">
        <f t="shared" si="0"/>
        <v>2850</v>
      </c>
      <c r="P9" s="105">
        <v>2</v>
      </c>
      <c r="Q9" s="89">
        <v>5700</v>
      </c>
    </row>
    <row r="10" spans="1:17">
      <c r="A10" s="48" t="s">
        <v>152</v>
      </c>
      <c r="B10" s="41">
        <v>3</v>
      </c>
      <c r="C10" s="34">
        <f>IF(B$2=0,0,B10/B$2)</f>
        <v>0.33333333333333331</v>
      </c>
      <c r="E10" s="55" t="s">
        <v>182</v>
      </c>
      <c r="F10" s="52" t="s">
        <v>19</v>
      </c>
      <c r="G10" s="40">
        <v>2</v>
      </c>
      <c r="H10" s="118">
        <f>IF(B$17=0,0,G10/B$17)</f>
        <v>0.11764705882352941</v>
      </c>
      <c r="I10" s="80">
        <v>9</v>
      </c>
      <c r="K10" s="32">
        <v>8</v>
      </c>
      <c r="L10" s="85">
        <v>-5.2999999999999901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</v>
      </c>
      <c r="C11" s="34">
        <f>IF(B$2=0,0,B11/B$2)</f>
        <v>0.55555555555555558</v>
      </c>
      <c r="E11" s="55" t="s">
        <v>71</v>
      </c>
      <c r="F11" s="52" t="s">
        <v>35</v>
      </c>
      <c r="G11" s="40">
        <v>2</v>
      </c>
      <c r="H11" s="118">
        <f>IF(B$17=0,0,G11/B$17)</f>
        <v>0.11764705882352941</v>
      </c>
      <c r="I11" s="80">
        <v>3</v>
      </c>
      <c r="K11" s="32">
        <v>9</v>
      </c>
      <c r="L11" s="85">
        <v>69.300000000000011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67</v>
      </c>
      <c r="F12" s="52" t="s">
        <v>31</v>
      </c>
      <c r="G12" s="40">
        <v>1</v>
      </c>
      <c r="H12" s="118">
        <f>IF(B$17=0,0,G12/B$17)</f>
        <v>5.8823529411764705E-2</v>
      </c>
      <c r="I12" s="80">
        <v>4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14</v>
      </c>
      <c r="C13" s="38">
        <f>IF(B$3=0,0,B13/B$3)</f>
        <v>0.1891891891891892</v>
      </c>
      <c r="E13" s="55" t="s">
        <v>69</v>
      </c>
      <c r="F13" s="52" t="s">
        <v>33</v>
      </c>
      <c r="G13" s="40">
        <v>1</v>
      </c>
      <c r="H13" s="118">
        <f>IF(B$17=0,0,G13/B$17)</f>
        <v>5.8823529411764705E-2</v>
      </c>
      <c r="I13" s="80">
        <v>2</v>
      </c>
      <c r="N13" s="100" t="s">
        <v>127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94</v>
      </c>
      <c r="B14" s="40">
        <v>25</v>
      </c>
      <c r="C14" s="33">
        <f>IF(B$3=0,0,B14/B$3)</f>
        <v>0.33783783783783783</v>
      </c>
      <c r="E14" s="55" t="s">
        <v>72</v>
      </c>
      <c r="F14" s="52" t="s">
        <v>36</v>
      </c>
      <c r="G14" s="40">
        <v>1</v>
      </c>
      <c r="H14" s="118">
        <f>IF(B$17=0,0,G14/B$17)</f>
        <v>5.8823529411764705E-2</v>
      </c>
      <c r="I14" s="80">
        <v>1</v>
      </c>
      <c r="N14" s="100" t="s">
        <v>128</v>
      </c>
      <c r="O14" s="110">
        <f>IF(P14=0,0,Q14/P14)</f>
        <v>-27.749999999999996</v>
      </c>
      <c r="P14" s="104">
        <v>2</v>
      </c>
      <c r="Q14" s="92">
        <v>-55.499999999999993</v>
      </c>
    </row>
    <row r="15" spans="1:17">
      <c r="A15" s="46" t="s">
        <v>99</v>
      </c>
      <c r="B15" s="39">
        <f>B21</f>
        <v>8</v>
      </c>
      <c r="C15" s="31">
        <f>IF(B$13=0,0,B15/B$13)</f>
        <v>0.5714285714285714</v>
      </c>
      <c r="E15" s="55" t="s">
        <v>74</v>
      </c>
      <c r="F15" s="52" t="s">
        <v>38</v>
      </c>
      <c r="G15" s="40">
        <v>1</v>
      </c>
      <c r="H15" s="118">
        <f>IF(B$17=0,0,G15/B$17)</f>
        <v>5.8823529411764705E-2</v>
      </c>
      <c r="I15" s="80">
        <v>3</v>
      </c>
      <c r="N15" s="101" t="s">
        <v>159</v>
      </c>
      <c r="O15" s="111">
        <f>IF(P15=0,0,Q15/P15)</f>
        <v>40.125</v>
      </c>
      <c r="P15" s="105">
        <v>4</v>
      </c>
      <c r="Q15" s="93">
        <v>160.5</v>
      </c>
    </row>
    <row r="16" spans="1:17">
      <c r="A16" s="46" t="s">
        <v>100</v>
      </c>
      <c r="B16" s="39">
        <f>B22</f>
        <v>8</v>
      </c>
      <c r="C16" s="31">
        <f>IF(B$14=0,0,B16/B$14)</f>
        <v>0.32</v>
      </c>
      <c r="E16" s="55" t="s">
        <v>58</v>
      </c>
      <c r="F16" s="52" t="s">
        <v>22</v>
      </c>
      <c r="G16" s="40">
        <v>0</v>
      </c>
      <c r="H16" s="118">
        <f>IF(B$17=0,0,G16/B$17)</f>
        <v>0</v>
      </c>
      <c r="I16" s="80">
        <v>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17</v>
      </c>
      <c r="C17" s="31">
        <f>IF(B$3=0,0,B17/B$3)</f>
        <v>0.22972972972972974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8</v>
      </c>
      <c r="C18" s="33">
        <f>IF(B$3=0,0,B18/B$3)</f>
        <v>0.10810810810810811</v>
      </c>
      <c r="E18" s="55" t="s">
        <v>62</v>
      </c>
      <c r="F18" s="52" t="s">
        <v>26</v>
      </c>
      <c r="G18" s="40">
        <v>0</v>
      </c>
      <c r="H18" s="118">
        <f>IF(B$17=0,0,G18/B$17)</f>
        <v>0</v>
      </c>
      <c r="I18" s="80">
        <v>4</v>
      </c>
      <c r="N18" s="99" t="s">
        <v>168</v>
      </c>
      <c r="O18" s="109">
        <f t="shared" ref="O18:O27" si="3">IF(P18=0,0,Q18/P18)</f>
        <v>88.820000000000022</v>
      </c>
      <c r="P18" s="103">
        <v>5</v>
      </c>
      <c r="Q18" s="91">
        <v>444.10000000000008</v>
      </c>
    </row>
    <row r="19" spans="1:17">
      <c r="A19" s="47" t="s">
        <v>12</v>
      </c>
      <c r="B19" s="40">
        <v>9</v>
      </c>
      <c r="C19" s="33">
        <f>IF(B$17=0,0,B19/B$17)</f>
        <v>0.52941176470588236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80.349999999999994</v>
      </c>
      <c r="P19" s="104">
        <v>2</v>
      </c>
      <c r="Q19" s="92">
        <v>160.69999999999999</v>
      </c>
    </row>
    <row r="20" spans="1:17">
      <c r="A20" s="47" t="s">
        <v>11</v>
      </c>
      <c r="B20" s="40">
        <v>8</v>
      </c>
      <c r="C20" s="33">
        <f>IF(B$17=0,0,B20/B$17)</f>
        <v>0.47058823529411764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N20" s="100" t="s">
        <v>191</v>
      </c>
      <c r="O20" s="110">
        <f t="shared" si="3"/>
        <v>33.666666666666664</v>
      </c>
      <c r="P20" s="104">
        <v>3</v>
      </c>
      <c r="Q20" s="92">
        <v>101</v>
      </c>
    </row>
    <row r="21" spans="1:17">
      <c r="A21" s="47" t="s">
        <v>151</v>
      </c>
      <c r="B21" s="40">
        <v>8</v>
      </c>
      <c r="C21" s="33">
        <f>IF(B$17=0,0,B21/B$17)</f>
        <v>0.47058823529411764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197</v>
      </c>
      <c r="O21" s="110">
        <f t="shared" si="3"/>
        <v>29.25</v>
      </c>
      <c r="P21" s="104">
        <v>2</v>
      </c>
      <c r="Q21" s="92">
        <v>58.5</v>
      </c>
    </row>
    <row r="22" spans="1:17">
      <c r="A22" s="47" t="s">
        <v>149</v>
      </c>
      <c r="B22" s="40">
        <v>8</v>
      </c>
      <c r="C22" s="33">
        <f>IF(B$17=0,0,B22/B$17)</f>
        <v>0.47058823529411764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3</v>
      </c>
      <c r="N22" s="100" t="s">
        <v>164</v>
      </c>
      <c r="O22" s="110">
        <f t="shared" si="3"/>
        <v>-12.474999999999993</v>
      </c>
      <c r="P22" s="104">
        <v>4</v>
      </c>
      <c r="Q22" s="92">
        <v>-49.89999999999997</v>
      </c>
    </row>
    <row r="23" spans="1:17">
      <c r="A23" s="47" t="s">
        <v>150</v>
      </c>
      <c r="B23" s="40">
        <v>1</v>
      </c>
      <c r="C23" s="33">
        <f>IF(B$17=0,0,B23/B$17)</f>
        <v>5.8823529411764705E-2</v>
      </c>
      <c r="E23" s="55" t="s">
        <v>183</v>
      </c>
      <c r="F23" s="52" t="s">
        <v>186</v>
      </c>
      <c r="G23" s="40">
        <v>0</v>
      </c>
      <c r="H23" s="118">
        <f>IF(B$17=0,0,G23/B$17)</f>
        <v>0</v>
      </c>
      <c r="I23" s="80">
        <v>5</v>
      </c>
      <c r="N23" s="100" t="s">
        <v>161</v>
      </c>
      <c r="O23" s="110">
        <f t="shared" si="3"/>
        <v>-22.45</v>
      </c>
      <c r="P23" s="104">
        <v>2</v>
      </c>
      <c r="Q23" s="92">
        <v>-44.9</v>
      </c>
    </row>
    <row r="24" spans="1:17">
      <c r="A24" s="47" t="s">
        <v>5</v>
      </c>
      <c r="B24" s="44">
        <f>IF(B$17=0,0,C24/B$17)</f>
        <v>6000</v>
      </c>
      <c r="C24" s="35">
        <v>102000</v>
      </c>
      <c r="E24" s="55" t="s">
        <v>68</v>
      </c>
      <c r="F24" s="52" t="s">
        <v>32</v>
      </c>
      <c r="G24" s="40">
        <v>0</v>
      </c>
      <c r="H24" s="118">
        <f>IF(B$17=0,0,G24/B$17)</f>
        <v>0</v>
      </c>
      <c r="I24" s="80">
        <v>1</v>
      </c>
      <c r="N24" s="100" t="s">
        <v>179</v>
      </c>
      <c r="O24" s="110">
        <f t="shared" si="3"/>
        <v>-24.4</v>
      </c>
      <c r="P24" s="104">
        <v>1</v>
      </c>
      <c r="Q24" s="92">
        <v>-24.4</v>
      </c>
    </row>
    <row r="25" spans="1:17">
      <c r="A25" s="48" t="s">
        <v>133</v>
      </c>
      <c r="B25" s="121">
        <f>IF($B$17-B$16=0,0,C25/($B$17-B$16))</f>
        <v>7033.333333333333</v>
      </c>
      <c r="C25" s="122">
        <v>63300</v>
      </c>
      <c r="E25" s="55" t="s">
        <v>70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162</v>
      </c>
      <c r="O25" s="110">
        <f t="shared" si="3"/>
        <v>-37.875</v>
      </c>
      <c r="P25" s="104">
        <v>4</v>
      </c>
      <c r="Q25" s="92">
        <v>-151.5</v>
      </c>
    </row>
    <row r="26" spans="1:17">
      <c r="A26" s="48" t="s">
        <v>134</v>
      </c>
      <c r="B26" s="121">
        <f>IF(B$16=0,0,C26/B$16)</f>
        <v>4837.5</v>
      </c>
      <c r="C26" s="122">
        <v>38700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169</v>
      </c>
      <c r="O26" s="110">
        <f t="shared" si="3"/>
        <v>-39.93333333333333</v>
      </c>
      <c r="P26" s="104">
        <v>3</v>
      </c>
      <c r="Q26" s="92">
        <v>-119.8</v>
      </c>
    </row>
    <row r="27" spans="1:17">
      <c r="A27" s="48" t="s">
        <v>132</v>
      </c>
      <c r="B27" s="121">
        <f>IF(B$18=0,0,C27/B$18)</f>
        <v>-7887.5</v>
      </c>
      <c r="C27" s="122">
        <v>-63100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198</v>
      </c>
      <c r="O27" s="110">
        <f t="shared" si="3"/>
        <v>-86.6</v>
      </c>
      <c r="P27" s="104">
        <v>1</v>
      </c>
      <c r="Q27" s="92">
        <v>-86.6</v>
      </c>
    </row>
    <row r="28" spans="1:17">
      <c r="A28" s="47" t="s">
        <v>130</v>
      </c>
      <c r="B28" s="40">
        <v>2</v>
      </c>
      <c r="C28" s="120">
        <v>2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16</v>
      </c>
      <c r="C29" s="120">
        <v>8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52">
        <v>5</v>
      </c>
      <c r="C30" s="15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4">
        <v>54600</v>
      </c>
      <c r="C31" s="15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5.8823529411764705E-2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6</v>
      </c>
      <c r="C36" s="33">
        <f t="shared" si="4"/>
        <v>0.35294117647058826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0.23529411764705882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4"/>
        <v>0.17647058823529413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3</v>
      </c>
      <c r="C40" s="33">
        <f t="shared" si="4"/>
        <v>0.17647058823529413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D809-AF7D-4EB7-9D09-D240B6299B2E}">
  <sheetPr codeName="Sheet9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169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16</v>
      </c>
      <c r="C2" s="159"/>
      <c r="E2" s="54" t="s">
        <v>54</v>
      </c>
      <c r="F2" s="51" t="s">
        <v>20</v>
      </c>
      <c r="G2" s="39">
        <v>21</v>
      </c>
      <c r="H2" s="117">
        <f>IF(B$17=0,0,G2/B$17)</f>
        <v>0.77777777777777779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1812.5</v>
      </c>
      <c r="P2" s="103">
        <v>16</v>
      </c>
      <c r="Q2" s="87">
        <v>29000</v>
      </c>
    </row>
    <row r="3" spans="1:17">
      <c r="A3" s="47" t="s">
        <v>8</v>
      </c>
      <c r="B3" s="160">
        <v>136</v>
      </c>
      <c r="C3" s="161"/>
      <c r="E3" s="55" t="s">
        <v>184</v>
      </c>
      <c r="F3" s="52" t="s">
        <v>187</v>
      </c>
      <c r="G3" s="40">
        <v>19</v>
      </c>
      <c r="H3" s="118">
        <f>IF(B$17=0,0,G3/B$17)</f>
        <v>0.70370370370370372</v>
      </c>
      <c r="I3" s="80">
        <v>3</v>
      </c>
      <c r="K3" s="32">
        <v>1</v>
      </c>
      <c r="L3" s="85">
        <v>-14.2</v>
      </c>
      <c r="N3" s="100" t="s">
        <v>104</v>
      </c>
      <c r="O3" s="107">
        <f t="shared" si="0"/>
        <v>1568.75</v>
      </c>
      <c r="P3" s="104">
        <v>16</v>
      </c>
      <c r="Q3" s="88">
        <v>25100</v>
      </c>
    </row>
    <row r="4" spans="1:17">
      <c r="A4" s="47" t="s">
        <v>6</v>
      </c>
      <c r="B4" s="162">
        <v>306.39999999999998</v>
      </c>
      <c r="C4" s="163"/>
      <c r="E4" s="55" t="s">
        <v>181</v>
      </c>
      <c r="F4" s="52" t="s">
        <v>156</v>
      </c>
      <c r="G4" s="40">
        <v>14</v>
      </c>
      <c r="H4" s="118">
        <f>IF(B$17=0,0,G4/B$17)</f>
        <v>0.51851851851851849</v>
      </c>
      <c r="I4" s="80">
        <v>6</v>
      </c>
      <c r="K4" s="32">
        <v>2</v>
      </c>
      <c r="L4" s="85">
        <v>0.60000000000000142</v>
      </c>
      <c r="N4" s="100" t="s">
        <v>105</v>
      </c>
      <c r="O4" s="107">
        <f t="shared" si="0"/>
        <v>1650</v>
      </c>
      <c r="P4" s="104">
        <v>16</v>
      </c>
      <c r="Q4" s="88">
        <v>26400</v>
      </c>
    </row>
    <row r="5" spans="1:17">
      <c r="A5" s="47" t="s">
        <v>7</v>
      </c>
      <c r="B5" s="164">
        <f>IF(B$2=0,0,B$4/B$2)</f>
        <v>19.149999999999999</v>
      </c>
      <c r="C5" s="165"/>
      <c r="E5" s="55" t="s">
        <v>60</v>
      </c>
      <c r="F5" s="52" t="s">
        <v>24</v>
      </c>
      <c r="G5" s="40">
        <v>12</v>
      </c>
      <c r="H5" s="118">
        <f>IF(B$17=0,0,G5/B$17)</f>
        <v>0.44444444444444442</v>
      </c>
      <c r="I5" s="80">
        <v>6</v>
      </c>
      <c r="K5" s="32">
        <v>3</v>
      </c>
      <c r="L5" s="85">
        <v>-32.299999999999997</v>
      </c>
      <c r="N5" s="100" t="s">
        <v>157</v>
      </c>
      <c r="O5" s="107">
        <f>IF(P5=0,0,Q5/P5)</f>
        <v>1073.3333333333333</v>
      </c>
      <c r="P5" s="104">
        <v>15</v>
      </c>
      <c r="Q5" s="88">
        <v>16100</v>
      </c>
    </row>
    <row r="6" spans="1:17">
      <c r="A6" s="47" t="s">
        <v>1</v>
      </c>
      <c r="B6" s="166">
        <f>IF(B$2=0,0,(B$7*1+B$8*2+B$9*3+B$10*4)/B$2)</f>
        <v>2.0625</v>
      </c>
      <c r="C6" s="167"/>
      <c r="E6" s="55" t="s">
        <v>57</v>
      </c>
      <c r="F6" s="52" t="s">
        <v>21</v>
      </c>
      <c r="G6" s="40">
        <v>9</v>
      </c>
      <c r="H6" s="118">
        <f>IF(B$17=0,0,G6/B$17)</f>
        <v>0.33333333333333331</v>
      </c>
      <c r="I6" s="80">
        <v>2</v>
      </c>
      <c r="K6" s="32">
        <v>4</v>
      </c>
      <c r="L6" s="85">
        <v>-23.999999999999996</v>
      </c>
      <c r="N6" s="100" t="s">
        <v>106</v>
      </c>
      <c r="O6" s="107">
        <f t="shared" ref="O6" si="1">IF(P6=0,0,Q6/P6)</f>
        <v>1000</v>
      </c>
      <c r="P6" s="104">
        <v>13</v>
      </c>
      <c r="Q6" s="88">
        <v>13000</v>
      </c>
    </row>
    <row r="7" spans="1:17">
      <c r="A7" s="47" t="s">
        <v>2</v>
      </c>
      <c r="B7" s="40">
        <v>6</v>
      </c>
      <c r="C7" s="33">
        <f t="shared" ref="C7:C12" si="2">IF(B$2=0,0,B7/B$2)</f>
        <v>0.375</v>
      </c>
      <c r="E7" s="55" t="s">
        <v>55</v>
      </c>
      <c r="F7" s="52" t="s">
        <v>155</v>
      </c>
      <c r="G7" s="40">
        <v>8</v>
      </c>
      <c r="H7" s="118">
        <f>IF(B$17=0,0,G7/B$17)</f>
        <v>0.29629629629629628</v>
      </c>
      <c r="I7" s="80">
        <v>5</v>
      </c>
      <c r="K7" s="32">
        <v>5</v>
      </c>
      <c r="L7" s="85">
        <v>-39</v>
      </c>
      <c r="N7" s="100" t="s">
        <v>107</v>
      </c>
      <c r="O7" s="107">
        <f t="shared" si="0"/>
        <v>2133.3333333333335</v>
      </c>
      <c r="P7" s="104">
        <v>9</v>
      </c>
      <c r="Q7" s="88">
        <v>19200</v>
      </c>
    </row>
    <row r="8" spans="1:17">
      <c r="A8" s="47" t="s">
        <v>3</v>
      </c>
      <c r="B8" s="40">
        <v>4</v>
      </c>
      <c r="C8" s="33">
        <f>IF(B$2=0,0,B8/B$2)</f>
        <v>0.25</v>
      </c>
      <c r="E8" s="55" t="s">
        <v>56</v>
      </c>
      <c r="F8" s="52" t="s">
        <v>185</v>
      </c>
      <c r="G8" s="40">
        <v>6</v>
      </c>
      <c r="H8" s="118">
        <f>IF(B$17=0,0,G8/B$17)</f>
        <v>0.22222222222222221</v>
      </c>
      <c r="I8" s="80">
        <v>10</v>
      </c>
      <c r="K8" s="32">
        <v>6</v>
      </c>
      <c r="L8" s="85">
        <v>43.8</v>
      </c>
      <c r="N8" s="100" t="s">
        <v>108</v>
      </c>
      <c r="O8" s="107">
        <f t="shared" si="0"/>
        <v>400</v>
      </c>
      <c r="P8" s="104">
        <v>8</v>
      </c>
      <c r="Q8" s="88">
        <v>3200</v>
      </c>
    </row>
    <row r="9" spans="1:17">
      <c r="A9" s="48" t="s">
        <v>4</v>
      </c>
      <c r="B9" s="41">
        <v>5</v>
      </c>
      <c r="C9" s="34">
        <f>IF(B$2=0,0,B9/B$2)</f>
        <v>0.3125</v>
      </c>
      <c r="E9" s="55" t="s">
        <v>59</v>
      </c>
      <c r="F9" s="52" t="s">
        <v>23</v>
      </c>
      <c r="G9" s="40">
        <v>6</v>
      </c>
      <c r="H9" s="118">
        <f>IF(B$17=0,0,G9/B$17)</f>
        <v>0.22222222222222221</v>
      </c>
      <c r="I9" s="80">
        <v>7</v>
      </c>
      <c r="K9" s="32">
        <v>7</v>
      </c>
      <c r="L9" s="85">
        <v>95.1</v>
      </c>
      <c r="N9" s="101" t="s">
        <v>158</v>
      </c>
      <c r="O9" s="108">
        <f t="shared" si="0"/>
        <v>-1866.6666666666667</v>
      </c>
      <c r="P9" s="105">
        <v>3</v>
      </c>
      <c r="Q9" s="89">
        <v>-5600</v>
      </c>
    </row>
    <row r="10" spans="1:17">
      <c r="A10" s="48" t="s">
        <v>152</v>
      </c>
      <c r="B10" s="41">
        <v>1</v>
      </c>
      <c r="C10" s="34">
        <f>IF(B$2=0,0,B10/B$2)</f>
        <v>6.25E-2</v>
      </c>
      <c r="E10" s="55" t="s">
        <v>182</v>
      </c>
      <c r="F10" s="52" t="s">
        <v>19</v>
      </c>
      <c r="G10" s="40">
        <v>5</v>
      </c>
      <c r="H10" s="118">
        <f>IF(B$17=0,0,G10/B$17)</f>
        <v>0.18518518518518517</v>
      </c>
      <c r="I10" s="80">
        <v>7</v>
      </c>
      <c r="K10" s="32">
        <v>8</v>
      </c>
      <c r="L10" s="85">
        <v>77.399999999999991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0.625</v>
      </c>
      <c r="E11" s="55" t="s">
        <v>58</v>
      </c>
      <c r="F11" s="52" t="s">
        <v>22</v>
      </c>
      <c r="G11" s="40">
        <v>5</v>
      </c>
      <c r="H11" s="118">
        <f>IF(B$17=0,0,G11/B$17)</f>
        <v>0.18518518518518517</v>
      </c>
      <c r="I11" s="80">
        <v>2</v>
      </c>
      <c r="K11" s="32">
        <v>9</v>
      </c>
      <c r="L11" s="85">
        <v>65.899999999999991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1</v>
      </c>
      <c r="H12" s="118">
        <f>IF(B$17=0,0,G12/B$17)</f>
        <v>3.7037037037037035E-2</v>
      </c>
      <c r="I12" s="80">
        <v>2</v>
      </c>
      <c r="K12" s="32">
        <v>10</v>
      </c>
      <c r="L12" s="85">
        <v>138.39999999999998</v>
      </c>
      <c r="N12" s="99" t="s">
        <v>126</v>
      </c>
      <c r="O12" s="109">
        <f>IF(P12=0,0,Q12/P12)</f>
        <v>7.0000000000000018</v>
      </c>
      <c r="P12" s="103">
        <v>4</v>
      </c>
      <c r="Q12" s="91">
        <v>28.000000000000007</v>
      </c>
    </row>
    <row r="13" spans="1:17">
      <c r="A13" s="50" t="s">
        <v>97</v>
      </c>
      <c r="B13" s="43">
        <v>23</v>
      </c>
      <c r="C13" s="38">
        <f>IF(B$3=0,0,B13/B$3)</f>
        <v>0.16911764705882354</v>
      </c>
      <c r="E13" s="55" t="s">
        <v>71</v>
      </c>
      <c r="F13" s="52" t="s">
        <v>35</v>
      </c>
      <c r="G13" s="40">
        <v>1</v>
      </c>
      <c r="H13" s="118">
        <f>IF(B$17=0,0,G13/B$17)</f>
        <v>3.7037037037037035E-2</v>
      </c>
      <c r="I13" s="80">
        <v>6</v>
      </c>
      <c r="K13" s="32">
        <v>11</v>
      </c>
      <c r="L13" s="85">
        <v>160.99999999999997</v>
      </c>
      <c r="N13" s="100" t="s">
        <v>127</v>
      </c>
      <c r="O13" s="110">
        <f>IF(P13=0,0,Q13/P13)</f>
        <v>38.424999999999997</v>
      </c>
      <c r="P13" s="104">
        <v>4</v>
      </c>
      <c r="Q13" s="92">
        <v>153.69999999999999</v>
      </c>
    </row>
    <row r="14" spans="1:17">
      <c r="A14" s="47" t="s">
        <v>94</v>
      </c>
      <c r="B14" s="40">
        <v>24</v>
      </c>
      <c r="C14" s="33">
        <f>IF(B$3=0,0,B14/B$3)</f>
        <v>0.17647058823529413</v>
      </c>
      <c r="E14" s="55" t="s">
        <v>77</v>
      </c>
      <c r="F14" s="52" t="s">
        <v>41</v>
      </c>
      <c r="G14" s="40">
        <v>1</v>
      </c>
      <c r="H14" s="118">
        <f>IF(B$17=0,0,G14/B$17)</f>
        <v>3.7037037037037035E-2</v>
      </c>
      <c r="I14" s="80">
        <v>2</v>
      </c>
      <c r="K14" s="32">
        <v>12</v>
      </c>
      <c r="L14" s="85">
        <v>116.49999999999997</v>
      </c>
      <c r="N14" s="100" t="s">
        <v>128</v>
      </c>
      <c r="O14" s="110">
        <f>IF(P14=0,0,Q14/P14)</f>
        <v>39.699999999999996</v>
      </c>
      <c r="P14" s="104">
        <v>3</v>
      </c>
      <c r="Q14" s="92">
        <v>119.1</v>
      </c>
    </row>
    <row r="15" spans="1:17">
      <c r="A15" s="46" t="s">
        <v>99</v>
      </c>
      <c r="B15" s="39">
        <f>B21</f>
        <v>14</v>
      </c>
      <c r="C15" s="31">
        <f>IF(B$13=0,0,B15/B$13)</f>
        <v>0.60869565217391308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K15" s="32">
        <v>13</v>
      </c>
      <c r="L15" s="85">
        <v>170.39999999999998</v>
      </c>
      <c r="N15" s="101" t="s">
        <v>159</v>
      </c>
      <c r="O15" s="111">
        <f>IF(P15=0,0,Q15/P15)</f>
        <v>1.1199999999999988</v>
      </c>
      <c r="P15" s="105">
        <v>5</v>
      </c>
      <c r="Q15" s="93">
        <v>5.5999999999999943</v>
      </c>
    </row>
    <row r="16" spans="1:17">
      <c r="A16" s="46" t="s">
        <v>100</v>
      </c>
      <c r="B16" s="39">
        <f>B22</f>
        <v>9</v>
      </c>
      <c r="C16" s="31">
        <f>IF(B$14=0,0,B16/B$14)</f>
        <v>0.375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K16" s="32">
        <v>14</v>
      </c>
      <c r="L16" s="85">
        <v>241.39999999999998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27</v>
      </c>
      <c r="C17" s="31">
        <f>IF(B$3=0,0,B17/B$3)</f>
        <v>0.19852941176470587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K17" s="32">
        <v>15</v>
      </c>
      <c r="L17" s="85">
        <v>253.89999999999998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15</v>
      </c>
      <c r="C18" s="33">
        <f>IF(B$3=0,0,B18/B$3)</f>
        <v>0.11029411764705882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306.39999999999998</v>
      </c>
      <c r="N18" s="99" t="s">
        <v>204</v>
      </c>
      <c r="O18" s="109">
        <f>IF(P18=0,0,Q18/P18)</f>
        <v>115.4</v>
      </c>
      <c r="P18" s="103">
        <v>2</v>
      </c>
      <c r="Q18" s="91">
        <v>230.8</v>
      </c>
    </row>
    <row r="19" spans="1:17">
      <c r="A19" s="47" t="s">
        <v>12</v>
      </c>
      <c r="B19" s="40">
        <v>7</v>
      </c>
      <c r="C19" s="33">
        <f>IF(B$17=0,0,B19/B$17)</f>
        <v>0.25925925925925924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197</v>
      </c>
      <c r="O19" s="110">
        <f>IF(P19=0,0,Q19/P19)</f>
        <v>101.4</v>
      </c>
      <c r="P19" s="104">
        <v>1</v>
      </c>
      <c r="Q19" s="92">
        <v>101.4</v>
      </c>
    </row>
    <row r="20" spans="1:17">
      <c r="A20" s="47" t="s">
        <v>11</v>
      </c>
      <c r="B20" s="40">
        <v>20</v>
      </c>
      <c r="C20" s="33">
        <f>IF(B$17=0,0,B20/B$17)</f>
        <v>0.7407407407407407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205</v>
      </c>
      <c r="O20" s="110">
        <f>IF(P20=0,0,Q20/P20)</f>
        <v>87.533333333333346</v>
      </c>
      <c r="P20" s="104">
        <v>3</v>
      </c>
      <c r="Q20" s="92">
        <v>262.60000000000002</v>
      </c>
    </row>
    <row r="21" spans="1:17">
      <c r="A21" s="47" t="s">
        <v>151</v>
      </c>
      <c r="B21" s="40">
        <v>14</v>
      </c>
      <c r="C21" s="33">
        <f>IF(B$17=0,0,B21/B$17)</f>
        <v>0.51851851851851849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5</v>
      </c>
      <c r="N21" s="100" t="s">
        <v>161</v>
      </c>
      <c r="O21" s="110">
        <f>IF(P21=0,0,Q21/P21)</f>
        <v>58.824999999999996</v>
      </c>
      <c r="P21" s="104">
        <v>4</v>
      </c>
      <c r="Q21" s="92">
        <v>235.29999999999998</v>
      </c>
    </row>
    <row r="22" spans="1:17">
      <c r="A22" s="47" t="s">
        <v>149</v>
      </c>
      <c r="B22" s="40">
        <v>9</v>
      </c>
      <c r="C22" s="33">
        <f>IF(B$17=0,0,B22/B$17)</f>
        <v>0.33333333333333331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>IF(P22=0,0,Q22/P22)</f>
        <v>53.75</v>
      </c>
      <c r="P22" s="104">
        <v>4</v>
      </c>
      <c r="Q22" s="92">
        <v>215</v>
      </c>
    </row>
    <row r="23" spans="1:17">
      <c r="A23" s="47" t="s">
        <v>150</v>
      </c>
      <c r="B23" s="40">
        <v>4</v>
      </c>
      <c r="C23" s="33">
        <f>IF(B$17=0,0,B23/B$17)</f>
        <v>0.14814814814814814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198</v>
      </c>
      <c r="O23" s="110">
        <f>IF(P23=0,0,Q23/P23)</f>
        <v>50.349999999999994</v>
      </c>
      <c r="P23" s="104">
        <v>2</v>
      </c>
      <c r="Q23" s="92">
        <v>100.69999999999999</v>
      </c>
    </row>
    <row r="24" spans="1:17">
      <c r="A24" s="47" t="s">
        <v>5</v>
      </c>
      <c r="B24" s="44">
        <f>IF(B$17=0,0,C24/B$17)</f>
        <v>8744.4444444444453</v>
      </c>
      <c r="C24" s="35">
        <v>236100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163</v>
      </c>
      <c r="O24" s="110">
        <f>IF(P24=0,0,Q24/P24)</f>
        <v>39.93333333333333</v>
      </c>
      <c r="P24" s="104">
        <v>3</v>
      </c>
      <c r="Q24" s="92">
        <v>119.8</v>
      </c>
    </row>
    <row r="25" spans="1:17">
      <c r="A25" s="48" t="s">
        <v>133</v>
      </c>
      <c r="B25" s="121">
        <f>IF($B$17-B$16=0,0,C25/($B$17-B$16))</f>
        <v>10438.888888888889</v>
      </c>
      <c r="C25" s="122">
        <v>187900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3</v>
      </c>
      <c r="N25" s="100" t="s">
        <v>179</v>
      </c>
      <c r="O25" s="110">
        <f>IF(P25=0,0,Q25/P25)</f>
        <v>28.733333333333338</v>
      </c>
      <c r="P25" s="104">
        <v>6</v>
      </c>
      <c r="Q25" s="92">
        <v>172.40000000000003</v>
      </c>
    </row>
    <row r="26" spans="1:17">
      <c r="A26" s="48" t="s">
        <v>134</v>
      </c>
      <c r="B26" s="121">
        <f>IF(B$16=0,0,C26/B$16)</f>
        <v>5355.5555555555557</v>
      </c>
      <c r="C26" s="122">
        <v>48200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191</v>
      </c>
      <c r="O26" s="110">
        <f>IF(P26=0,0,Q26/P26)</f>
        <v>16.100000000000001</v>
      </c>
      <c r="P26" s="104">
        <v>5</v>
      </c>
      <c r="Q26" s="92">
        <v>80.5</v>
      </c>
    </row>
    <row r="27" spans="1:17">
      <c r="A27" s="48" t="s">
        <v>132</v>
      </c>
      <c r="B27" s="121">
        <f>IF(B$18=0,0,C27/B$18)</f>
        <v>-4126.666666666667</v>
      </c>
      <c r="C27" s="122">
        <v>-61900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5</v>
      </c>
      <c r="N27" s="100" t="s">
        <v>164</v>
      </c>
      <c r="O27" s="110">
        <f>IF(P27=0,0,Q27/P27)</f>
        <v>-5.299999999999998</v>
      </c>
      <c r="P27" s="104">
        <v>6</v>
      </c>
      <c r="Q27" s="92">
        <v>-31.79999999999999</v>
      </c>
    </row>
    <row r="28" spans="1:17">
      <c r="A28" s="47" t="s">
        <v>130</v>
      </c>
      <c r="B28" s="40">
        <v>3</v>
      </c>
      <c r="C28" s="120">
        <v>1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177</v>
      </c>
      <c r="O28" s="110">
        <f>IF(P28=0,0,Q28/P28)</f>
        <v>-10.999999999999996</v>
      </c>
      <c r="P28" s="104">
        <v>2</v>
      </c>
      <c r="Q28" s="92">
        <v>-21.999999999999993</v>
      </c>
    </row>
    <row r="29" spans="1:17">
      <c r="A29" s="47" t="s">
        <v>131</v>
      </c>
      <c r="B29" s="40">
        <v>27</v>
      </c>
      <c r="C29" s="120">
        <v>4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168</v>
      </c>
      <c r="O29" s="110">
        <f>IF(P29=0,0,Q29/P29)</f>
        <v>-13.983333333333334</v>
      </c>
      <c r="P29" s="104">
        <v>6</v>
      </c>
      <c r="Q29" s="92">
        <v>-83.9</v>
      </c>
    </row>
    <row r="30" spans="1:17">
      <c r="A30" s="76" t="s">
        <v>111</v>
      </c>
      <c r="B30" s="152">
        <v>4</v>
      </c>
      <c r="C30" s="15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195</v>
      </c>
      <c r="O30" s="110">
        <f>IF(P30=0,0,Q30/P30)</f>
        <v>-20.6</v>
      </c>
      <c r="P30" s="104">
        <v>1</v>
      </c>
      <c r="Q30" s="92">
        <v>-20.6</v>
      </c>
    </row>
    <row r="31" spans="1:17">
      <c r="A31" s="50" t="s">
        <v>148</v>
      </c>
      <c r="B31" s="154">
        <v>62800</v>
      </c>
      <c r="C31" s="15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167</v>
      </c>
      <c r="O31" s="110">
        <f>IF(P31=0,0,Q31/P31)</f>
        <v>-28.2</v>
      </c>
      <c r="P31" s="104">
        <v>1</v>
      </c>
      <c r="Q31" s="92">
        <v>-28.2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  <c r="N32" s="100" t="s">
        <v>162</v>
      </c>
      <c r="O32" s="110">
        <f>IF(P32=0,0,Q32/P32)</f>
        <v>-48.199999999999996</v>
      </c>
      <c r="P32" s="104">
        <v>2</v>
      </c>
      <c r="Q32" s="92">
        <v>-96.399999999999991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3.7037037037037035E-2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6</v>
      </c>
      <c r="C36" s="33">
        <f t="shared" si="3"/>
        <v>0.22222222222222221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3</v>
      </c>
      <c r="C37" s="33">
        <f t="shared" si="3"/>
        <v>0.1111111111111111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6</v>
      </c>
      <c r="C38" s="33">
        <f t="shared" si="3"/>
        <v>0.22222222222222221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3"/>
        <v>0.1111111111111111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6</v>
      </c>
      <c r="C40" s="33">
        <f t="shared" si="3"/>
        <v>0.22222222222222221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2</v>
      </c>
      <c r="C41" s="33">
        <f t="shared" si="3"/>
        <v>7.407407407407407E-2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6E271-2A16-4A72-B590-CE006A35E827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166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4</v>
      </c>
      <c r="C2" s="159"/>
      <c r="E2" s="54" t="s">
        <v>181</v>
      </c>
      <c r="F2" s="51" t="s">
        <v>156</v>
      </c>
      <c r="G2" s="39">
        <v>3</v>
      </c>
      <c r="H2" s="117">
        <f>IF(B$17=0,0,G2/B$17)</f>
        <v>0.42857142857142855</v>
      </c>
      <c r="I2" s="79">
        <v>11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-5325</v>
      </c>
      <c r="P2" s="103">
        <v>4</v>
      </c>
      <c r="Q2" s="87">
        <v>-21300</v>
      </c>
    </row>
    <row r="3" spans="1:17">
      <c r="A3" s="47" t="s">
        <v>8</v>
      </c>
      <c r="B3" s="160">
        <v>35</v>
      </c>
      <c r="C3" s="161"/>
      <c r="E3" s="55" t="s">
        <v>56</v>
      </c>
      <c r="F3" s="52" t="s">
        <v>185</v>
      </c>
      <c r="G3" s="40">
        <v>3</v>
      </c>
      <c r="H3" s="118">
        <f>IF(B$17=0,0,G3/B$17)</f>
        <v>0.42857142857142855</v>
      </c>
      <c r="I3" s="80">
        <v>3</v>
      </c>
      <c r="K3" s="32">
        <v>1</v>
      </c>
      <c r="L3" s="85">
        <v>-60.9</v>
      </c>
      <c r="N3" s="100" t="s">
        <v>104</v>
      </c>
      <c r="O3" s="107">
        <f t="shared" si="0"/>
        <v>0</v>
      </c>
      <c r="P3" s="104">
        <v>4</v>
      </c>
      <c r="Q3" s="88">
        <v>0</v>
      </c>
    </row>
    <row r="4" spans="1:17">
      <c r="A4" s="47" t="s">
        <v>6</v>
      </c>
      <c r="B4" s="162">
        <v>-127.99999999999999</v>
      </c>
      <c r="C4" s="163"/>
      <c r="E4" s="55" t="s">
        <v>60</v>
      </c>
      <c r="F4" s="52" t="s">
        <v>24</v>
      </c>
      <c r="G4" s="40">
        <v>3</v>
      </c>
      <c r="H4" s="118">
        <f>IF(B$17=0,0,G4/B$17)</f>
        <v>0.42857142857142855</v>
      </c>
      <c r="I4" s="80">
        <v>9</v>
      </c>
      <c r="K4" s="32">
        <v>2</v>
      </c>
      <c r="L4" s="85">
        <v>-57.199999999999996</v>
      </c>
      <c r="N4" s="100" t="s">
        <v>105</v>
      </c>
      <c r="O4" s="107">
        <f t="shared" si="0"/>
        <v>-5825</v>
      </c>
      <c r="P4" s="104">
        <v>4</v>
      </c>
      <c r="Q4" s="88">
        <v>-23300</v>
      </c>
    </row>
    <row r="5" spans="1:17">
      <c r="A5" s="47" t="s">
        <v>7</v>
      </c>
      <c r="B5" s="164">
        <f>IF(B$2=0,0,B$4/B$2)</f>
        <v>-31.999999999999996</v>
      </c>
      <c r="C5" s="165"/>
      <c r="E5" s="55" t="s">
        <v>54</v>
      </c>
      <c r="F5" s="52" t="s">
        <v>20</v>
      </c>
      <c r="G5" s="40">
        <v>2</v>
      </c>
      <c r="H5" s="118">
        <f>IF(B$17=0,0,G5/B$17)</f>
        <v>0.2857142857142857</v>
      </c>
      <c r="I5" s="80">
        <v>12</v>
      </c>
      <c r="K5" s="32">
        <v>3</v>
      </c>
      <c r="L5" s="85">
        <v>-87.199999999999989</v>
      </c>
      <c r="N5" s="100" t="s">
        <v>157</v>
      </c>
      <c r="O5" s="107">
        <f>IF(P5=0,0,Q5/P5)</f>
        <v>-600</v>
      </c>
      <c r="P5" s="104">
        <v>4</v>
      </c>
      <c r="Q5" s="88">
        <v>-2400</v>
      </c>
    </row>
    <row r="6" spans="1:17">
      <c r="A6" s="47" t="s">
        <v>1</v>
      </c>
      <c r="B6" s="166">
        <f>IF(B$2=0,0,(B$7*1+B$8*2+B$9*3+B$10*4)/B$2)</f>
        <v>3.25</v>
      </c>
      <c r="C6" s="167"/>
      <c r="E6" s="55" t="s">
        <v>184</v>
      </c>
      <c r="F6" s="52" t="s">
        <v>187</v>
      </c>
      <c r="G6" s="40">
        <v>2</v>
      </c>
      <c r="H6" s="118">
        <f>IF(B$17=0,0,G6/B$17)</f>
        <v>0.2857142857142857</v>
      </c>
      <c r="I6" s="80">
        <v>16</v>
      </c>
      <c r="K6" s="32">
        <v>4</v>
      </c>
      <c r="L6" s="85">
        <v>-127.99999999999999</v>
      </c>
      <c r="N6" s="100" t="s">
        <v>106</v>
      </c>
      <c r="O6" s="107">
        <f t="shared" ref="O6" si="1">IF(P6=0,0,Q6/P6)</f>
        <v>-3333.3333333333335</v>
      </c>
      <c r="P6" s="104">
        <v>3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22</v>
      </c>
      <c r="G7" s="40">
        <v>1</v>
      </c>
      <c r="H7" s="118">
        <f>IF(B$17=0,0,G7/B$17)</f>
        <v>0.14285714285714285</v>
      </c>
      <c r="I7" s="80">
        <v>3</v>
      </c>
      <c r="N7" s="100" t="s">
        <v>107</v>
      </c>
      <c r="O7" s="107">
        <f t="shared" si="0"/>
        <v>-2250</v>
      </c>
      <c r="P7" s="104">
        <v>2</v>
      </c>
      <c r="Q7" s="88">
        <v>-4500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67</v>
      </c>
      <c r="F8" s="52" t="s">
        <v>31</v>
      </c>
      <c r="G8" s="40">
        <v>1</v>
      </c>
      <c r="H8" s="118">
        <f>IF(B$17=0,0,G8/B$17)</f>
        <v>0.14285714285714285</v>
      </c>
      <c r="I8" s="80">
        <v>1</v>
      </c>
      <c r="N8" s="100" t="s">
        <v>108</v>
      </c>
      <c r="O8" s="107">
        <f t="shared" si="0"/>
        <v>6000</v>
      </c>
      <c r="P8" s="104">
        <v>2</v>
      </c>
      <c r="Q8" s="88">
        <v>12000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182</v>
      </c>
      <c r="F9" s="52" t="s">
        <v>19</v>
      </c>
      <c r="G9" s="40">
        <v>0</v>
      </c>
      <c r="H9" s="118">
        <f>IF(B$17=0,0,G9/B$17)</f>
        <v>0</v>
      </c>
      <c r="I9" s="80">
        <v>13</v>
      </c>
      <c r="N9" s="101" t="s">
        <v>158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152</v>
      </c>
      <c r="B10" s="41">
        <v>2</v>
      </c>
      <c r="C10" s="34">
        <f>IF(B$2=0,0,B10/B$2)</f>
        <v>0.5</v>
      </c>
      <c r="E10" s="55" t="s">
        <v>55</v>
      </c>
      <c r="F10" s="52" t="s">
        <v>155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0.25</v>
      </c>
      <c r="E11" s="55" t="s">
        <v>57</v>
      </c>
      <c r="F11" s="52" t="s">
        <v>21</v>
      </c>
      <c r="G11" s="40">
        <v>0</v>
      </c>
      <c r="H11" s="118">
        <f>IF(B$17=0,0,G11/B$17)</f>
        <v>0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59</v>
      </c>
      <c r="F12" s="52" t="s">
        <v>23</v>
      </c>
      <c r="G12" s="40">
        <v>0</v>
      </c>
      <c r="H12" s="118">
        <f>IF(B$17=0,0,G12/B$17)</f>
        <v>0</v>
      </c>
      <c r="I12" s="80">
        <v>14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0.11428571428571428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94</v>
      </c>
      <c r="B14" s="40">
        <v>6</v>
      </c>
      <c r="C14" s="33">
        <f>IF(B$3=0,0,B14/B$3)</f>
        <v>0.17142857142857143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-22.366666666666664</v>
      </c>
      <c r="P15" s="105">
        <v>3</v>
      </c>
      <c r="Q15" s="93">
        <v>-67.099999999999994</v>
      </c>
    </row>
    <row r="16" spans="1:17">
      <c r="A16" s="46" t="s">
        <v>100</v>
      </c>
      <c r="B16" s="39">
        <f>B22</f>
        <v>4</v>
      </c>
      <c r="C16" s="31">
        <f>IF(B$14=0,0,B16/B$14)</f>
        <v>0.66666666666666663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0.2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0.11428571428571428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177</v>
      </c>
      <c r="O18" s="109">
        <f t="shared" ref="O18:O24" si="3"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5</v>
      </c>
      <c r="N19" s="100" t="s">
        <v>161</v>
      </c>
      <c r="O19" s="110">
        <f t="shared" si="3"/>
        <v>-13.549999999999997</v>
      </c>
      <c r="P19" s="104">
        <v>2</v>
      </c>
      <c r="Q19" s="92">
        <v>-27.099999999999994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179</v>
      </c>
      <c r="O20" s="110">
        <f t="shared" si="3"/>
        <v>-25.599999999999998</v>
      </c>
      <c r="P20" s="104">
        <v>2</v>
      </c>
      <c r="Q20" s="92">
        <v>-51.199999999999996</v>
      </c>
    </row>
    <row r="21" spans="1:17">
      <c r="A21" s="47" t="s">
        <v>151</v>
      </c>
      <c r="B21" s="40">
        <v>3</v>
      </c>
      <c r="C21" s="33">
        <f>IF(B$17=0,0,B21/B$17)</f>
        <v>0.42857142857142855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169</v>
      </c>
      <c r="O21" s="110">
        <f t="shared" si="3"/>
        <v>-53.75</v>
      </c>
      <c r="P21" s="104">
        <v>4</v>
      </c>
      <c r="Q21" s="92">
        <v>-215</v>
      </c>
    </row>
    <row r="22" spans="1:17">
      <c r="A22" s="47" t="s">
        <v>149</v>
      </c>
      <c r="B22" s="40">
        <v>4</v>
      </c>
      <c r="C22" s="33">
        <f>IF(B$17=0,0,B22/B$17)</f>
        <v>0.5714285714285714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167</v>
      </c>
      <c r="O22" s="110">
        <f t="shared" si="3"/>
        <v>-74.900000000000006</v>
      </c>
      <c r="P22" s="104">
        <v>1</v>
      </c>
      <c r="Q22" s="92">
        <v>-74.900000000000006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162</v>
      </c>
      <c r="O23" s="110">
        <f t="shared" si="3"/>
        <v>-84.1</v>
      </c>
      <c r="P23" s="104">
        <v>1</v>
      </c>
      <c r="Q23" s="92">
        <v>-84.1</v>
      </c>
    </row>
    <row r="24" spans="1:17">
      <c r="A24" s="47" t="s">
        <v>5</v>
      </c>
      <c r="B24" s="44">
        <f>IF(B$17=0,0,C24/B$17)</f>
        <v>2928.5714285714284</v>
      </c>
      <c r="C24" s="35">
        <v>20500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168</v>
      </c>
      <c r="O24" s="110">
        <f t="shared" si="3"/>
        <v>-122</v>
      </c>
      <c r="P24" s="104">
        <v>1</v>
      </c>
      <c r="Q24" s="92">
        <v>-122</v>
      </c>
    </row>
    <row r="25" spans="1:17">
      <c r="A25" s="48" t="s">
        <v>133</v>
      </c>
      <c r="B25" s="121">
        <f>IF($B$17-B$16=0,0,C25/($B$17-B$16))</f>
        <v>4666.666666666667</v>
      </c>
      <c r="C25" s="122">
        <v>14000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1625</v>
      </c>
      <c r="C26" s="122">
        <v>6500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5</v>
      </c>
    </row>
    <row r="27" spans="1:17">
      <c r="A27" s="48" t="s">
        <v>132</v>
      </c>
      <c r="B27" s="121">
        <f>IF(B$18=0,0,C27/B$18)</f>
        <v>-11400</v>
      </c>
      <c r="C27" s="122">
        <v>-45600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4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18</v>
      </c>
      <c r="C29" s="120">
        <v>3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52">
        <v>1</v>
      </c>
      <c r="C30" s="15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4">
        <v>23700</v>
      </c>
      <c r="C31" s="15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0.2857142857142857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3</v>
      </c>
      <c r="C36" s="33">
        <f t="shared" si="4"/>
        <v>0.42857142857142855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0.14285714285714285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0.14285714285714285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3A17E-8BDE-409E-91DA-A01F274D50CB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167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1</v>
      </c>
      <c r="C2" s="159"/>
      <c r="E2" s="54" t="s">
        <v>184</v>
      </c>
      <c r="F2" s="51" t="s">
        <v>187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60">
        <v>7</v>
      </c>
      <c r="C3" s="161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104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62">
        <v>14</v>
      </c>
      <c r="C4" s="163"/>
      <c r="E4" s="55" t="s">
        <v>181</v>
      </c>
      <c r="F4" s="52" t="s">
        <v>156</v>
      </c>
      <c r="G4" s="40">
        <v>1</v>
      </c>
      <c r="H4" s="118">
        <f>IF(B$17=0,0,G4/B$17)</f>
        <v>0.5</v>
      </c>
      <c r="I4" s="80">
        <v>7</v>
      </c>
      <c r="N4" s="100" t="s">
        <v>105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64">
        <f>IF(B$2=0,0,B$4/B$2)</f>
        <v>14</v>
      </c>
      <c r="C5" s="165"/>
      <c r="E5" s="55" t="s">
        <v>54</v>
      </c>
      <c r="F5" s="52" t="s">
        <v>20</v>
      </c>
      <c r="G5" s="40">
        <v>1</v>
      </c>
      <c r="H5" s="118">
        <f>IF(B$17=0,0,G5/B$17)</f>
        <v>0.5</v>
      </c>
      <c r="I5" s="80">
        <v>10</v>
      </c>
      <c r="N5" s="100" t="s">
        <v>157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66">
        <f>IF(B$2=0,0,(B$7*1+B$8*2+B$9*3+B$10*4)/B$2)</f>
        <v>2</v>
      </c>
      <c r="C6" s="167"/>
      <c r="E6" s="55" t="s">
        <v>56</v>
      </c>
      <c r="F6" s="52" t="s">
        <v>185</v>
      </c>
      <c r="G6" s="40">
        <v>1</v>
      </c>
      <c r="H6" s="118">
        <f>IF(B$17=0,0,G6/B$17)</f>
        <v>0.5</v>
      </c>
      <c r="I6" s="80">
        <v>1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0.5</v>
      </c>
      <c r="I7" s="80">
        <v>1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182</v>
      </c>
      <c r="F8" s="52" t="s">
        <v>19</v>
      </c>
      <c r="G8" s="40">
        <v>0</v>
      </c>
      <c r="H8" s="118">
        <f>IF(B$17=0,0,G8/B$17)</f>
        <v>0</v>
      </c>
      <c r="I8" s="80">
        <v>13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11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1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16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0.2857142857142857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0.14285714285714285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99</v>
      </c>
      <c r="B15" s="39">
        <f>B21</f>
        <v>1</v>
      </c>
      <c r="C15" s="31">
        <f>IF(B$13=0,0,B15/B$13)</f>
        <v>0.5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166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5</v>
      </c>
      <c r="N19" s="100" t="s">
        <v>169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168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151</v>
      </c>
      <c r="B21" s="40">
        <v>1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150</v>
      </c>
      <c r="B23" s="40">
        <v>1</v>
      </c>
      <c r="C23" s="33">
        <f>IF(B$17=0,0,B23/B$17)</f>
        <v>0.5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133</v>
      </c>
      <c r="B25" s="121">
        <f>IF($B$17-B$16=0,0,C25/($B$17-B$16))</f>
        <v>8600</v>
      </c>
      <c r="C25" s="122">
        <v>17200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5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52">
        <v>4</v>
      </c>
      <c r="C30" s="15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4">
        <v>34000</v>
      </c>
      <c r="C31" s="15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552BA-C43B-4BBF-A978-78C6AA153BC8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168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15</v>
      </c>
      <c r="C2" s="159"/>
      <c r="E2" s="54" t="s">
        <v>54</v>
      </c>
      <c r="F2" s="51" t="s">
        <v>20</v>
      </c>
      <c r="G2" s="39">
        <v>23</v>
      </c>
      <c r="H2" s="117">
        <f>IF(B$17=0,0,G2/B$17)</f>
        <v>0.63888888888888884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1153.3333333333333</v>
      </c>
      <c r="P2" s="103">
        <v>15</v>
      </c>
      <c r="Q2" s="87">
        <v>17300</v>
      </c>
    </row>
    <row r="3" spans="1:17">
      <c r="A3" s="47" t="s">
        <v>8</v>
      </c>
      <c r="B3" s="160">
        <v>115</v>
      </c>
      <c r="C3" s="161"/>
      <c r="E3" s="55" t="s">
        <v>181</v>
      </c>
      <c r="F3" s="52" t="s">
        <v>156</v>
      </c>
      <c r="G3" s="40">
        <v>14</v>
      </c>
      <c r="H3" s="118">
        <f>IF(B$17=0,0,G3/B$17)</f>
        <v>0.3888888888888889</v>
      </c>
      <c r="I3" s="80">
        <v>13</v>
      </c>
      <c r="K3" s="32">
        <v>1</v>
      </c>
      <c r="L3" s="85">
        <v>61.1</v>
      </c>
      <c r="N3" s="100" t="s">
        <v>104</v>
      </c>
      <c r="O3" s="107">
        <f t="shared" si="0"/>
        <v>-1533.3333333333333</v>
      </c>
      <c r="P3" s="104">
        <v>15</v>
      </c>
      <c r="Q3" s="88">
        <v>-23000</v>
      </c>
    </row>
    <row r="4" spans="1:17">
      <c r="A4" s="47" t="s">
        <v>6</v>
      </c>
      <c r="B4" s="162">
        <v>145.4</v>
      </c>
      <c r="C4" s="163"/>
      <c r="E4" s="55" t="s">
        <v>184</v>
      </c>
      <c r="F4" s="52" t="s">
        <v>187</v>
      </c>
      <c r="G4" s="40">
        <v>14</v>
      </c>
      <c r="H4" s="118">
        <f>IF(B$17=0,0,G4/B$17)</f>
        <v>0.3888888888888889</v>
      </c>
      <c r="I4" s="80">
        <v>12</v>
      </c>
      <c r="K4" s="32">
        <v>2</v>
      </c>
      <c r="L4" s="85">
        <v>117.7</v>
      </c>
      <c r="N4" s="100" t="s">
        <v>105</v>
      </c>
      <c r="O4" s="107">
        <f t="shared" si="0"/>
        <v>-173.33333333333334</v>
      </c>
      <c r="P4" s="104">
        <v>15</v>
      </c>
      <c r="Q4" s="88">
        <v>-2600</v>
      </c>
    </row>
    <row r="5" spans="1:17">
      <c r="A5" s="47" t="s">
        <v>7</v>
      </c>
      <c r="B5" s="164">
        <f>IF(B$2=0,0,B$4/B$2)</f>
        <v>9.6933333333333334</v>
      </c>
      <c r="C5" s="165"/>
      <c r="E5" s="55" t="s">
        <v>60</v>
      </c>
      <c r="F5" s="52" t="s">
        <v>24</v>
      </c>
      <c r="G5" s="40">
        <v>12</v>
      </c>
      <c r="H5" s="118">
        <f>IF(B$17=0,0,G5/B$17)</f>
        <v>0.33333333333333331</v>
      </c>
      <c r="I5" s="80">
        <v>11</v>
      </c>
      <c r="K5" s="32">
        <v>3</v>
      </c>
      <c r="L5" s="85">
        <v>130.9</v>
      </c>
      <c r="N5" s="100" t="s">
        <v>157</v>
      </c>
      <c r="O5" s="107">
        <f>IF(P5=0,0,Q5/P5)</f>
        <v>1514.2857142857142</v>
      </c>
      <c r="P5" s="104">
        <v>14</v>
      </c>
      <c r="Q5" s="88">
        <v>21200</v>
      </c>
    </row>
    <row r="6" spans="1:17">
      <c r="A6" s="47" t="s">
        <v>1</v>
      </c>
      <c r="B6" s="166">
        <f>IF(B$2=0,0,(B$7*1+B$8*2+B$9*3+B$10*4)/B$2)</f>
        <v>2.2666666666666666</v>
      </c>
      <c r="C6" s="167"/>
      <c r="E6" s="55" t="s">
        <v>59</v>
      </c>
      <c r="F6" s="52" t="s">
        <v>23</v>
      </c>
      <c r="G6" s="40">
        <v>10</v>
      </c>
      <c r="H6" s="118">
        <f>IF(B$17=0,0,G6/B$17)</f>
        <v>0.27777777777777779</v>
      </c>
      <c r="I6" s="80">
        <v>3</v>
      </c>
      <c r="K6" s="32">
        <v>4</v>
      </c>
      <c r="L6" s="85">
        <v>67.600000000000009</v>
      </c>
      <c r="N6" s="100" t="s">
        <v>106</v>
      </c>
      <c r="O6" s="107">
        <f t="shared" ref="O6" si="1">IF(P6=0,0,Q6/P6)</f>
        <v>300</v>
      </c>
      <c r="P6" s="104">
        <v>13</v>
      </c>
      <c r="Q6" s="88">
        <v>3900</v>
      </c>
    </row>
    <row r="7" spans="1:17">
      <c r="A7" s="47" t="s">
        <v>2</v>
      </c>
      <c r="B7" s="40">
        <v>6</v>
      </c>
      <c r="C7" s="33">
        <f t="shared" ref="C7:C12" si="2">IF(B$2=0,0,B7/B$2)</f>
        <v>0.4</v>
      </c>
      <c r="E7" s="55" t="s">
        <v>55</v>
      </c>
      <c r="F7" s="52" t="s">
        <v>155</v>
      </c>
      <c r="G7" s="40">
        <v>8</v>
      </c>
      <c r="H7" s="118">
        <f>IF(B$17=0,0,G7/B$17)</f>
        <v>0.22222222222222221</v>
      </c>
      <c r="I7" s="80">
        <v>9</v>
      </c>
      <c r="K7" s="32">
        <v>5</v>
      </c>
      <c r="L7" s="85">
        <v>127.9</v>
      </c>
      <c r="N7" s="100" t="s">
        <v>107</v>
      </c>
      <c r="O7" s="107">
        <f t="shared" si="0"/>
        <v>1858.3333333333333</v>
      </c>
      <c r="P7" s="104">
        <v>12</v>
      </c>
      <c r="Q7" s="88">
        <v>22300</v>
      </c>
    </row>
    <row r="8" spans="1:17">
      <c r="A8" s="47" t="s">
        <v>3</v>
      </c>
      <c r="B8" s="40">
        <v>3</v>
      </c>
      <c r="C8" s="33">
        <f>IF(B$2=0,0,B8/B$2)</f>
        <v>0.2</v>
      </c>
      <c r="E8" s="55" t="s">
        <v>56</v>
      </c>
      <c r="F8" s="52" t="s">
        <v>185</v>
      </c>
      <c r="G8" s="40">
        <v>8</v>
      </c>
      <c r="H8" s="118">
        <f>IF(B$17=0,0,G8/B$17)</f>
        <v>0.22222222222222221</v>
      </c>
      <c r="I8" s="80">
        <v>10</v>
      </c>
      <c r="K8" s="32">
        <v>6</v>
      </c>
      <c r="L8" s="85">
        <v>81.5</v>
      </c>
      <c r="N8" s="100" t="s">
        <v>108</v>
      </c>
      <c r="O8" s="107">
        <f t="shared" si="0"/>
        <v>-1185.7142857142858</v>
      </c>
      <c r="P8" s="104">
        <v>7</v>
      </c>
      <c r="Q8" s="88">
        <v>-8300</v>
      </c>
    </row>
    <row r="9" spans="1:17">
      <c r="A9" s="48" t="s">
        <v>4</v>
      </c>
      <c r="B9" s="41">
        <v>2</v>
      </c>
      <c r="C9" s="34">
        <f>IF(B$2=0,0,B9/B$2)</f>
        <v>0.13333333333333333</v>
      </c>
      <c r="E9" s="55" t="s">
        <v>183</v>
      </c>
      <c r="F9" s="52" t="s">
        <v>186</v>
      </c>
      <c r="G9" s="40">
        <v>6</v>
      </c>
      <c r="H9" s="118">
        <f>IF(B$17=0,0,G9/B$17)</f>
        <v>0.16666666666666666</v>
      </c>
      <c r="I9" s="80">
        <v>1</v>
      </c>
      <c r="K9" s="32">
        <v>7</v>
      </c>
      <c r="L9" s="85">
        <v>49.4</v>
      </c>
      <c r="N9" s="101" t="s">
        <v>158</v>
      </c>
      <c r="O9" s="108">
        <f t="shared" si="0"/>
        <v>-850</v>
      </c>
      <c r="P9" s="105">
        <v>4</v>
      </c>
      <c r="Q9" s="89">
        <v>-3400</v>
      </c>
    </row>
    <row r="10" spans="1:17">
      <c r="A10" s="48" t="s">
        <v>152</v>
      </c>
      <c r="B10" s="41">
        <v>4</v>
      </c>
      <c r="C10" s="34">
        <f>IF(B$2=0,0,B10/B$2)</f>
        <v>0.26666666666666666</v>
      </c>
      <c r="E10" s="55" t="s">
        <v>57</v>
      </c>
      <c r="F10" s="52" t="s">
        <v>21</v>
      </c>
      <c r="G10" s="40">
        <v>5</v>
      </c>
      <c r="H10" s="118">
        <f>IF(B$17=0,0,G10/B$17)</f>
        <v>0.1388888888888889</v>
      </c>
      <c r="I10" s="80">
        <v>14</v>
      </c>
      <c r="K10" s="32">
        <v>8</v>
      </c>
      <c r="L10" s="85">
        <v>3.2999999999999972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9</v>
      </c>
      <c r="C11" s="34">
        <f>IF(B$2=0,0,B11/B$2)</f>
        <v>0.6</v>
      </c>
      <c r="E11" s="55" t="s">
        <v>182</v>
      </c>
      <c r="F11" s="52" t="s">
        <v>19</v>
      </c>
      <c r="G11" s="40">
        <v>4</v>
      </c>
      <c r="H11" s="118">
        <f>IF(B$17=0,0,G11/B$17)</f>
        <v>0.1111111111111111</v>
      </c>
      <c r="I11" s="80">
        <v>10</v>
      </c>
      <c r="K11" s="32">
        <v>9</v>
      </c>
      <c r="L11" s="85">
        <v>66.199999999999989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6.6666666666666666E-2</v>
      </c>
      <c r="E12" s="55" t="s">
        <v>58</v>
      </c>
      <c r="F12" s="52" t="s">
        <v>22</v>
      </c>
      <c r="G12" s="40">
        <v>1</v>
      </c>
      <c r="H12" s="118">
        <f>IF(B$17=0,0,G12/B$17)</f>
        <v>2.7777777777777776E-2</v>
      </c>
      <c r="I12" s="80">
        <v>10</v>
      </c>
      <c r="K12" s="32">
        <v>10</v>
      </c>
      <c r="L12" s="85">
        <v>66.899999999999991</v>
      </c>
      <c r="N12" s="99" t="s">
        <v>126</v>
      </c>
      <c r="O12" s="109">
        <f>IF(P12=0,0,Q12/P12)</f>
        <v>-22.85</v>
      </c>
      <c r="P12" s="103">
        <v>2</v>
      </c>
      <c r="Q12" s="91">
        <v>-45.7</v>
      </c>
    </row>
    <row r="13" spans="1:17">
      <c r="A13" s="50" t="s">
        <v>97</v>
      </c>
      <c r="B13" s="43">
        <v>21</v>
      </c>
      <c r="C13" s="38">
        <f>IF(B$3=0,0,B13/B$3)</f>
        <v>0.18260869565217391</v>
      </c>
      <c r="E13" s="55" t="s">
        <v>67</v>
      </c>
      <c r="F13" s="52" t="s">
        <v>31</v>
      </c>
      <c r="G13" s="40">
        <v>1</v>
      </c>
      <c r="H13" s="118">
        <f>IF(B$17=0,0,G13/B$17)</f>
        <v>2.7777777777777776E-2</v>
      </c>
      <c r="I13" s="80">
        <v>6</v>
      </c>
      <c r="K13" s="32">
        <v>11</v>
      </c>
      <c r="L13" s="85">
        <v>56.79999999999999</v>
      </c>
      <c r="N13" s="100" t="s">
        <v>127</v>
      </c>
      <c r="O13" s="110">
        <f>IF(P13=0,0,Q13/P13)</f>
        <v>34.133333333333333</v>
      </c>
      <c r="P13" s="104">
        <v>3</v>
      </c>
      <c r="Q13" s="92">
        <v>102.39999999999999</v>
      </c>
    </row>
    <row r="14" spans="1:17">
      <c r="A14" s="47" t="s">
        <v>94</v>
      </c>
      <c r="B14" s="40">
        <v>41</v>
      </c>
      <c r="C14" s="33">
        <f>IF(B$3=0,0,B14/B$3)</f>
        <v>0.35652173913043478</v>
      </c>
      <c r="E14" s="55" t="s">
        <v>71</v>
      </c>
      <c r="F14" s="52" t="s">
        <v>35</v>
      </c>
      <c r="G14" s="40">
        <v>1</v>
      </c>
      <c r="H14" s="118">
        <f>IF(B$17=0,0,G14/B$17)</f>
        <v>2.7777777777777776E-2</v>
      </c>
      <c r="I14" s="80">
        <v>7</v>
      </c>
      <c r="K14" s="32">
        <v>12</v>
      </c>
      <c r="L14" s="85">
        <v>110.39999999999999</v>
      </c>
      <c r="N14" s="100" t="s">
        <v>128</v>
      </c>
      <c r="O14" s="110">
        <f>IF(P14=0,0,Q14/P14)</f>
        <v>34.6</v>
      </c>
      <c r="P14" s="104">
        <v>4</v>
      </c>
      <c r="Q14" s="92">
        <v>138.4</v>
      </c>
    </row>
    <row r="15" spans="1:17">
      <c r="A15" s="46" t="s">
        <v>99</v>
      </c>
      <c r="B15" s="39">
        <f>B21</f>
        <v>14</v>
      </c>
      <c r="C15" s="31">
        <f>IF(B$13=0,0,B15/B$13)</f>
        <v>0.66666666666666663</v>
      </c>
      <c r="E15" s="55" t="s">
        <v>77</v>
      </c>
      <c r="F15" s="52" t="s">
        <v>41</v>
      </c>
      <c r="G15" s="40">
        <v>1</v>
      </c>
      <c r="H15" s="118">
        <f>IF(B$17=0,0,G15/B$17)</f>
        <v>2.7777777777777776E-2</v>
      </c>
      <c r="I15" s="80">
        <v>3</v>
      </c>
      <c r="K15" s="32">
        <v>13</v>
      </c>
      <c r="L15" s="85">
        <v>196</v>
      </c>
      <c r="N15" s="101" t="s">
        <v>159</v>
      </c>
      <c r="O15" s="111">
        <f>IF(P15=0,0,Q15/P15)</f>
        <v>-8.2833333333333332</v>
      </c>
      <c r="P15" s="105">
        <v>6</v>
      </c>
      <c r="Q15" s="93">
        <v>-49.7</v>
      </c>
    </row>
    <row r="16" spans="1:17">
      <c r="A16" s="46" t="s">
        <v>100</v>
      </c>
      <c r="B16" s="39">
        <f>B22</f>
        <v>17</v>
      </c>
      <c r="C16" s="31">
        <f>IF(B$14=0,0,B16/B$14)</f>
        <v>0.41463414634146339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1</v>
      </c>
      <c r="K16" s="32">
        <v>14</v>
      </c>
      <c r="L16" s="85">
        <v>137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36</v>
      </c>
      <c r="C17" s="31">
        <f>IF(B$3=0,0,B17/B$3)</f>
        <v>0.31304347826086959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K17" s="32">
        <v>15</v>
      </c>
      <c r="L17" s="85">
        <v>145.4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21</v>
      </c>
      <c r="C18" s="33">
        <f>IF(B$3=0,0,B18/B$3)</f>
        <v>0.18260869565217391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166</v>
      </c>
      <c r="O18" s="109">
        <f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14</v>
      </c>
      <c r="C19" s="33">
        <f>IF(B$17=0,0,B19/B$17)</f>
        <v>0.3888888888888889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201</v>
      </c>
      <c r="O19" s="110">
        <f>IF(P19=0,0,Q19/P19)</f>
        <v>111.8</v>
      </c>
      <c r="P19" s="104">
        <v>1</v>
      </c>
      <c r="Q19" s="92">
        <v>111.8</v>
      </c>
    </row>
    <row r="20" spans="1:17">
      <c r="A20" s="47" t="s">
        <v>11</v>
      </c>
      <c r="B20" s="40">
        <v>22</v>
      </c>
      <c r="C20" s="33">
        <f>IF(B$17=0,0,B20/B$17)</f>
        <v>0.61111111111111116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180</v>
      </c>
      <c r="O20" s="110">
        <f>IF(P20=0,0,Q20/P20)</f>
        <v>65.8</v>
      </c>
      <c r="P20" s="104">
        <v>1</v>
      </c>
      <c r="Q20" s="92">
        <v>65.8</v>
      </c>
    </row>
    <row r="21" spans="1:17">
      <c r="A21" s="47" t="s">
        <v>151</v>
      </c>
      <c r="B21" s="40">
        <v>14</v>
      </c>
      <c r="C21" s="33">
        <f>IF(B$17=0,0,B21/B$17)</f>
        <v>0.3888888888888889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3</v>
      </c>
      <c r="N21" s="100" t="s">
        <v>205</v>
      </c>
      <c r="O21" s="110">
        <f>IF(P21=0,0,Q21/P21)</f>
        <v>49.699999999999996</v>
      </c>
      <c r="P21" s="104">
        <v>1</v>
      </c>
      <c r="Q21" s="92">
        <v>49.699999999999996</v>
      </c>
    </row>
    <row r="22" spans="1:17">
      <c r="A22" s="47" t="s">
        <v>149</v>
      </c>
      <c r="B22" s="40">
        <v>17</v>
      </c>
      <c r="C22" s="33">
        <f>IF(B$17=0,0,B22/B$17)</f>
        <v>0.47222222222222221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195</v>
      </c>
      <c r="O22" s="110">
        <f>IF(P22=0,0,Q22/P22)</f>
        <v>48.92</v>
      </c>
      <c r="P22" s="104">
        <v>5</v>
      </c>
      <c r="Q22" s="92">
        <v>244.6</v>
      </c>
    </row>
    <row r="23" spans="1:17">
      <c r="A23" s="47" t="s">
        <v>150</v>
      </c>
      <c r="B23" s="40">
        <v>5</v>
      </c>
      <c r="C23" s="33">
        <f>IF(B$17=0,0,B23/B$17)</f>
        <v>0.1388888888888889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167</v>
      </c>
      <c r="O23" s="110">
        <f>IF(P23=0,0,Q23/P23)</f>
        <v>47.1</v>
      </c>
      <c r="P23" s="104">
        <v>1</v>
      </c>
      <c r="Q23" s="92">
        <v>47.1</v>
      </c>
    </row>
    <row r="24" spans="1:17">
      <c r="A24" s="47" t="s">
        <v>5</v>
      </c>
      <c r="B24" s="44">
        <f>IF(B$17=0,0,C24/B$17)</f>
        <v>5805.5555555555557</v>
      </c>
      <c r="C24" s="35">
        <v>209000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175</v>
      </c>
      <c r="O24" s="110">
        <f>IF(P24=0,0,Q24/P24)</f>
        <v>36</v>
      </c>
      <c r="P24" s="104">
        <v>2</v>
      </c>
      <c r="Q24" s="92">
        <v>72</v>
      </c>
    </row>
    <row r="25" spans="1:17">
      <c r="A25" s="48" t="s">
        <v>133</v>
      </c>
      <c r="B25" s="121">
        <f>IF($B$17-B$16=0,0,C25/($B$17-B$16))</f>
        <v>7494.7368421052633</v>
      </c>
      <c r="C25" s="122">
        <v>142400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3</v>
      </c>
      <c r="N25" s="100" t="s">
        <v>164</v>
      </c>
      <c r="O25" s="110">
        <f>IF(P25=0,0,Q25/P25)</f>
        <v>30.914285714285711</v>
      </c>
      <c r="P25" s="104">
        <v>7</v>
      </c>
      <c r="Q25" s="92">
        <v>216.39999999999998</v>
      </c>
    </row>
    <row r="26" spans="1:17">
      <c r="A26" s="48" t="s">
        <v>134</v>
      </c>
      <c r="B26" s="121">
        <f>IF(B$16=0,0,C26/B$16)</f>
        <v>3917.6470588235293</v>
      </c>
      <c r="C26" s="122">
        <v>66600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161</v>
      </c>
      <c r="O26" s="110">
        <f>IF(P26=0,0,Q26/P26)</f>
        <v>30.900000000000006</v>
      </c>
      <c r="P26" s="104">
        <v>3</v>
      </c>
      <c r="Q26" s="92">
        <v>92.700000000000017</v>
      </c>
    </row>
    <row r="27" spans="1:17">
      <c r="A27" s="48" t="s">
        <v>132</v>
      </c>
      <c r="B27" s="121">
        <f>IF(B$18=0,0,C27/B$18)</f>
        <v>-6571.4285714285716</v>
      </c>
      <c r="C27" s="122">
        <v>-138000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5</v>
      </c>
      <c r="N27" s="100" t="s">
        <v>197</v>
      </c>
      <c r="O27" s="110">
        <f>IF(P27=0,0,Q27/P27)</f>
        <v>20.8</v>
      </c>
      <c r="P27" s="104">
        <v>1</v>
      </c>
      <c r="Q27" s="92">
        <v>20.8</v>
      </c>
    </row>
    <row r="28" spans="1:17">
      <c r="A28" s="47" t="s">
        <v>130</v>
      </c>
      <c r="B28" s="40">
        <v>4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169</v>
      </c>
      <c r="O28" s="110">
        <f>IF(P28=0,0,Q28/P28)</f>
        <v>13.983333333333334</v>
      </c>
      <c r="P28" s="104">
        <v>6</v>
      </c>
      <c r="Q28" s="92">
        <v>83.9</v>
      </c>
    </row>
    <row r="29" spans="1:17">
      <c r="A29" s="47" t="s">
        <v>131</v>
      </c>
      <c r="B29" s="40">
        <v>22</v>
      </c>
      <c r="C29" s="120">
        <v>1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191</v>
      </c>
      <c r="O29" s="110">
        <f>IF(P29=0,0,Q29/P29)</f>
        <v>13.959999999999997</v>
      </c>
      <c r="P29" s="104">
        <v>5</v>
      </c>
      <c r="Q29" s="92">
        <v>69.799999999999983</v>
      </c>
    </row>
    <row r="30" spans="1:17">
      <c r="A30" s="76" t="s">
        <v>111</v>
      </c>
      <c r="B30" s="152">
        <v>5</v>
      </c>
      <c r="C30" s="15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179</v>
      </c>
      <c r="O30" s="110">
        <f>IF(P30=0,0,Q30/P30)</f>
        <v>-9.4</v>
      </c>
      <c r="P30" s="104">
        <v>5</v>
      </c>
      <c r="Q30" s="92">
        <v>-47</v>
      </c>
    </row>
    <row r="31" spans="1:17">
      <c r="A31" s="50" t="s">
        <v>148</v>
      </c>
      <c r="B31" s="154">
        <v>65600</v>
      </c>
      <c r="C31" s="15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163</v>
      </c>
      <c r="O31" s="110">
        <f>IF(P31=0,0,Q31/P31)</f>
        <v>-88.820000000000022</v>
      </c>
      <c r="P31" s="104">
        <v>5</v>
      </c>
      <c r="Q31" s="92">
        <v>-444.10000000000014</v>
      </c>
    </row>
    <row r="32" spans="1:17">
      <c r="A32" s="49" t="s">
        <v>112</v>
      </c>
      <c r="B32" s="57">
        <v>1</v>
      </c>
      <c r="C32" s="36">
        <f>IF(B$3=0,0,B32/B$3)</f>
        <v>8.6956521739130436E-3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  <c r="N32" s="100" t="s">
        <v>162</v>
      </c>
      <c r="O32" s="110">
        <f>IF(P32=0,0,Q32/P32)</f>
        <v>-103.9</v>
      </c>
      <c r="P32" s="104">
        <v>1</v>
      </c>
      <c r="Q32" s="92">
        <v>-103.9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6</v>
      </c>
      <c r="C35" s="126">
        <f t="shared" ref="C35:C47" si="3">IF(B$17=0,0,B35/B$17)</f>
        <v>0.16666666666666666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7</v>
      </c>
      <c r="C36" s="33">
        <f t="shared" si="3"/>
        <v>0.19444444444444445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10</v>
      </c>
      <c r="C37" s="33">
        <f t="shared" si="3"/>
        <v>0.27777777777777779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6</v>
      </c>
      <c r="C38" s="33">
        <f t="shared" si="3"/>
        <v>0.16666666666666666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3"/>
        <v>8.3333333333333329E-2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3</v>
      </c>
      <c r="C40" s="33">
        <f t="shared" si="3"/>
        <v>8.3333333333333329E-2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3"/>
        <v>2.7777777777777776E-2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B635B-DB76-45B7-8966-E971073B5E32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175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2</v>
      </c>
      <c r="C2" s="159"/>
      <c r="E2" s="54" t="s">
        <v>54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60">
        <v>15</v>
      </c>
      <c r="C3" s="161"/>
      <c r="E3" s="55" t="s">
        <v>181</v>
      </c>
      <c r="F3" s="52" t="s">
        <v>156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104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62">
        <v>-2.2000000000000011</v>
      </c>
      <c r="C4" s="163"/>
      <c r="E4" s="55" t="s">
        <v>182</v>
      </c>
      <c r="F4" s="52" t="s">
        <v>19</v>
      </c>
      <c r="G4" s="40">
        <v>1</v>
      </c>
      <c r="H4" s="118">
        <f>IF(B$17=0,0,G4/B$17)</f>
        <v>0.33333333333333331</v>
      </c>
      <c r="I4" s="80">
        <v>3</v>
      </c>
      <c r="K4" s="32">
        <v>2</v>
      </c>
      <c r="L4" s="85">
        <v>-2.2000000000000011</v>
      </c>
      <c r="N4" s="100" t="s">
        <v>105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64">
        <f>IF(B$2=0,0,B$4/B$2)</f>
        <v>-1.1000000000000005</v>
      </c>
      <c r="C5" s="165"/>
      <c r="E5" s="55" t="s">
        <v>55</v>
      </c>
      <c r="F5" s="52" t="s">
        <v>155</v>
      </c>
      <c r="G5" s="40">
        <v>1</v>
      </c>
      <c r="H5" s="118">
        <f>IF(B$17=0,0,G5/B$17)</f>
        <v>0.33333333333333331</v>
      </c>
      <c r="I5" s="80">
        <v>4</v>
      </c>
      <c r="N5" s="100" t="s">
        <v>157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66">
        <f>IF(B$2=0,0,(B$7*1+B$8*2+B$9*3+B$10*4)/B$2)</f>
        <v>2.5</v>
      </c>
      <c r="C6" s="167"/>
      <c r="E6" s="55" t="s">
        <v>56</v>
      </c>
      <c r="F6" s="52" t="s">
        <v>185</v>
      </c>
      <c r="G6" s="40">
        <v>1</v>
      </c>
      <c r="H6" s="118">
        <f>IF(B$17=0,0,G6/B$17)</f>
        <v>0.33333333333333331</v>
      </c>
      <c r="I6" s="80">
        <v>5</v>
      </c>
      <c r="N6" s="100" t="s">
        <v>106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0.33333333333333331</v>
      </c>
      <c r="I7" s="80">
        <v>2</v>
      </c>
      <c r="N7" s="100" t="s">
        <v>107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60</v>
      </c>
      <c r="F8" s="52" t="s">
        <v>24</v>
      </c>
      <c r="G8" s="40">
        <v>1</v>
      </c>
      <c r="H8" s="118">
        <f>IF(B$17=0,0,G8/B$17)</f>
        <v>0.33333333333333331</v>
      </c>
      <c r="I8" s="80">
        <v>11</v>
      </c>
      <c r="N8" s="100" t="s">
        <v>108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184</v>
      </c>
      <c r="F9" s="52" t="s">
        <v>187</v>
      </c>
      <c r="G9" s="40">
        <v>1</v>
      </c>
      <c r="H9" s="118">
        <f>IF(B$17=0,0,G9/B$17)</f>
        <v>0.33333333333333331</v>
      </c>
      <c r="I9" s="80">
        <v>14</v>
      </c>
      <c r="N9" s="101" t="s">
        <v>158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0.26666666666666666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164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5</v>
      </c>
      <c r="N19" s="100" t="s">
        <v>180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161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151</v>
      </c>
      <c r="B21" s="40">
        <v>3</v>
      </c>
      <c r="C21" s="33">
        <f>IF(B$17=0,0,B21/B$17)</f>
        <v>1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168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133</v>
      </c>
      <c r="B25" s="121">
        <f>IF($B$17-B$16=0,0,C25/($B$17-B$16))</f>
        <v>8400</v>
      </c>
      <c r="C25" s="122">
        <v>25200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5</v>
      </c>
    </row>
    <row r="27" spans="1:17">
      <c r="A27" s="48" t="s">
        <v>132</v>
      </c>
      <c r="B27" s="121">
        <f>IF(B$18=0,0,C27/B$18)</f>
        <v>-2950</v>
      </c>
      <c r="C27" s="122">
        <v>-5900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52">
        <v>3</v>
      </c>
      <c r="C30" s="15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4">
        <v>33600</v>
      </c>
      <c r="C31" s="15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0.33333333333333331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0.33333333333333331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BD16E-504B-42D8-91E7-E978EC66AE9F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177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2</v>
      </c>
      <c r="C2" s="159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60">
        <v>19</v>
      </c>
      <c r="C3" s="161"/>
      <c r="E3" s="55" t="s">
        <v>54</v>
      </c>
      <c r="F3" s="52" t="s">
        <v>20</v>
      </c>
      <c r="G3" s="40">
        <v>1</v>
      </c>
      <c r="H3" s="118">
        <f>IF(B$17=0,0,G3/B$17)</f>
        <v>0.25</v>
      </c>
      <c r="I3" s="80">
        <v>14</v>
      </c>
      <c r="K3" s="32">
        <v>1</v>
      </c>
      <c r="L3" s="85">
        <v>62.5</v>
      </c>
      <c r="N3" s="100" t="s">
        <v>104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62">
        <v>3.8999999999999986</v>
      </c>
      <c r="C4" s="163"/>
      <c r="E4" s="55" t="s">
        <v>55</v>
      </c>
      <c r="F4" s="52" t="s">
        <v>155</v>
      </c>
      <c r="G4" s="40">
        <v>1</v>
      </c>
      <c r="H4" s="118">
        <f>IF(B$17=0,0,G4/B$17)</f>
        <v>0.25</v>
      </c>
      <c r="I4" s="80">
        <v>6</v>
      </c>
      <c r="K4" s="32">
        <v>2</v>
      </c>
      <c r="L4" s="85">
        <v>3.8999999999999986</v>
      </c>
      <c r="N4" s="100" t="s">
        <v>105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64">
        <f>IF(B$2=0,0,B$4/B$2)</f>
        <v>1.9499999999999993</v>
      </c>
      <c r="C5" s="165"/>
      <c r="E5" s="55" t="s">
        <v>56</v>
      </c>
      <c r="F5" s="52" t="s">
        <v>185</v>
      </c>
      <c r="G5" s="40">
        <v>1</v>
      </c>
      <c r="H5" s="118">
        <f>IF(B$17=0,0,G5/B$17)</f>
        <v>0.25</v>
      </c>
      <c r="I5" s="80">
        <v>7</v>
      </c>
      <c r="N5" s="100" t="s">
        <v>157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66">
        <f>IF(B$2=0,0,(B$7*1+B$8*2+B$9*3+B$10*4)/B$2)</f>
        <v>2.5</v>
      </c>
      <c r="C6" s="167"/>
      <c r="E6" s="55" t="s">
        <v>57</v>
      </c>
      <c r="F6" s="52" t="s">
        <v>21</v>
      </c>
      <c r="G6" s="40">
        <v>1</v>
      </c>
      <c r="H6" s="118">
        <f>IF(B$17=0,0,G6/B$17)</f>
        <v>0.25</v>
      </c>
      <c r="I6" s="80">
        <v>6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59</v>
      </c>
      <c r="F7" s="52" t="s">
        <v>23</v>
      </c>
      <c r="G7" s="40">
        <v>1</v>
      </c>
      <c r="H7" s="118">
        <f>IF(B$17=0,0,G7/B$17)</f>
        <v>0.25</v>
      </c>
      <c r="I7" s="80">
        <v>4</v>
      </c>
      <c r="N7" s="100" t="s">
        <v>107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60</v>
      </c>
      <c r="F8" s="52" t="s">
        <v>24</v>
      </c>
      <c r="G8" s="40">
        <v>1</v>
      </c>
      <c r="H8" s="118">
        <f>IF(B$17=0,0,G8/B$17)</f>
        <v>0.25</v>
      </c>
      <c r="I8" s="80">
        <v>15</v>
      </c>
      <c r="N8" s="100" t="s">
        <v>108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69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152</v>
      </c>
      <c r="B10" s="41">
        <v>1</v>
      </c>
      <c r="C10" s="34">
        <f>IF(B$2=0,0,B10/B$2)</f>
        <v>0.5</v>
      </c>
      <c r="E10" s="55" t="s">
        <v>184</v>
      </c>
      <c r="F10" s="52" t="s">
        <v>187</v>
      </c>
      <c r="G10" s="40">
        <v>1</v>
      </c>
      <c r="H10" s="118">
        <f>IF(B$17=0,0,G10/B$17)</f>
        <v>0.25</v>
      </c>
      <c r="I10" s="80">
        <v>17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11</v>
      </c>
      <c r="N12" s="99" t="s">
        <v>126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97</v>
      </c>
      <c r="B13" s="43">
        <v>4</v>
      </c>
      <c r="C13" s="38">
        <f>IF(B$3=0,0,B13/B$3)</f>
        <v>0.21052631578947367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94</v>
      </c>
      <c r="B14" s="40">
        <v>3</v>
      </c>
      <c r="C14" s="33">
        <f>IF(B$3=0,0,B14/B$3)</f>
        <v>0.15789473684210525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0.33333333333333331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161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164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5</v>
      </c>
      <c r="N20" s="100" t="s">
        <v>169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162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133</v>
      </c>
      <c r="B25" s="121">
        <f>IF($B$17-B$16=0,0,C25/($B$17-B$16))</f>
        <v>7533.333333333333</v>
      </c>
      <c r="C25" s="122">
        <v>22600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5</v>
      </c>
    </row>
    <row r="27" spans="1:17">
      <c r="A27" s="48" t="s">
        <v>132</v>
      </c>
      <c r="B27" s="121">
        <f>IF(B$18=0,0,C27/B$18)</f>
        <v>-5950</v>
      </c>
      <c r="C27" s="122">
        <v>-11900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52">
        <v>2</v>
      </c>
      <c r="C30" s="15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4">
        <v>42500</v>
      </c>
      <c r="C31" s="15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0.25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7E0EC-8F25-4A86-B0B3-7D8D3952D61D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180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1</v>
      </c>
      <c r="C2" s="159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18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60">
        <v>7</v>
      </c>
      <c r="C3" s="161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13</v>
      </c>
      <c r="K3" s="32">
        <v>1</v>
      </c>
      <c r="L3" s="85">
        <v>-52.6</v>
      </c>
      <c r="N3" s="100" t="s">
        <v>104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62">
        <v>-52.6</v>
      </c>
      <c r="C4" s="163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16</v>
      </c>
      <c r="N4" s="100" t="s">
        <v>105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64">
        <f>IF(B$2=0,0,B$4/B$2)</f>
        <v>-52.6</v>
      </c>
      <c r="C5" s="165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16</v>
      </c>
      <c r="N5" s="100" t="s">
        <v>157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66">
        <f>IF(B$2=0,0,(B$7*1+B$8*2+B$9*3+B$10*4)/B$2)</f>
        <v>4</v>
      </c>
      <c r="C6" s="167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18</v>
      </c>
      <c r="N6" s="100" t="s">
        <v>106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11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97</v>
      </c>
      <c r="B13" s="43">
        <v>1</v>
      </c>
      <c r="C13" s="38">
        <f>IF(B$3=0,0,B13/B$3)</f>
        <v>0.14285714285714285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0.2857142857142857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5</v>
      </c>
      <c r="N18" s="99" t="s">
        <v>175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179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5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-6600</v>
      </c>
      <c r="C27" s="122">
        <v>-13200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5</v>
      </c>
    </row>
    <row r="29" spans="1:17">
      <c r="A29" s="47" t="s">
        <v>131</v>
      </c>
      <c r="B29" s="40">
        <v>2</v>
      </c>
      <c r="C29" s="120">
        <v>2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2">
        <v>0</v>
      </c>
      <c r="C30" s="153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4">
        <v>7400</v>
      </c>
      <c r="C31" s="155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202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18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BC08-7769-4F70-9C67-AA8E039B1EB7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179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12</v>
      </c>
      <c r="C2" s="159"/>
      <c r="E2" s="54" t="s">
        <v>60</v>
      </c>
      <c r="F2" s="51" t="s">
        <v>24</v>
      </c>
      <c r="G2" s="39">
        <v>13</v>
      </c>
      <c r="H2" s="117">
        <f>IF(B$17=0,0,G2/B$17)</f>
        <v>0.56521739130434778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-550</v>
      </c>
      <c r="P2" s="103">
        <v>12</v>
      </c>
      <c r="Q2" s="87">
        <v>-6600</v>
      </c>
    </row>
    <row r="3" spans="1:17">
      <c r="A3" s="47" t="s">
        <v>8</v>
      </c>
      <c r="B3" s="160">
        <v>99</v>
      </c>
      <c r="C3" s="161"/>
      <c r="E3" s="55" t="s">
        <v>54</v>
      </c>
      <c r="F3" s="52" t="s">
        <v>20</v>
      </c>
      <c r="G3" s="40">
        <v>11</v>
      </c>
      <c r="H3" s="118">
        <f>IF(B$17=0,0,G3/B$17)</f>
        <v>0.47826086956521741</v>
      </c>
      <c r="I3" s="80">
        <v>11</v>
      </c>
      <c r="K3" s="32">
        <v>1</v>
      </c>
      <c r="L3" s="85">
        <v>55.2</v>
      </c>
      <c r="N3" s="100" t="s">
        <v>104</v>
      </c>
      <c r="O3" s="107">
        <f t="shared" si="0"/>
        <v>308.33333333333331</v>
      </c>
      <c r="P3" s="104">
        <v>12</v>
      </c>
      <c r="Q3" s="88">
        <v>3700</v>
      </c>
    </row>
    <row r="4" spans="1:17">
      <c r="A4" s="47" t="s">
        <v>6</v>
      </c>
      <c r="B4" s="162">
        <v>16.299999999999997</v>
      </c>
      <c r="C4" s="163"/>
      <c r="E4" s="55" t="s">
        <v>184</v>
      </c>
      <c r="F4" s="52" t="s">
        <v>187</v>
      </c>
      <c r="G4" s="40">
        <v>9</v>
      </c>
      <c r="H4" s="118">
        <f>IF(B$17=0,0,G4/B$17)</f>
        <v>0.39130434782608697</v>
      </c>
      <c r="I4" s="80">
        <v>11</v>
      </c>
      <c r="K4" s="32">
        <v>2</v>
      </c>
      <c r="L4" s="85">
        <v>33.700000000000003</v>
      </c>
      <c r="N4" s="100" t="s">
        <v>105</v>
      </c>
      <c r="O4" s="107">
        <f t="shared" si="0"/>
        <v>-4383.333333333333</v>
      </c>
      <c r="P4" s="104">
        <v>12</v>
      </c>
      <c r="Q4" s="88">
        <v>-52600</v>
      </c>
    </row>
    <row r="5" spans="1:17">
      <c r="A5" s="47" t="s">
        <v>7</v>
      </c>
      <c r="B5" s="164">
        <f>IF(B$2=0,0,B$4/B$2)</f>
        <v>1.3583333333333332</v>
      </c>
      <c r="C5" s="165"/>
      <c r="E5" s="55" t="s">
        <v>181</v>
      </c>
      <c r="F5" s="52" t="s">
        <v>156</v>
      </c>
      <c r="G5" s="40">
        <v>7</v>
      </c>
      <c r="H5" s="118">
        <f>IF(B$17=0,0,G5/B$17)</f>
        <v>0.30434782608695654</v>
      </c>
      <c r="I5" s="80">
        <v>15</v>
      </c>
      <c r="K5" s="32">
        <v>3</v>
      </c>
      <c r="L5" s="85">
        <v>42.5</v>
      </c>
      <c r="N5" s="100" t="s">
        <v>157</v>
      </c>
      <c r="O5" s="107">
        <f>IF(P5=0,0,Q5/P5)</f>
        <v>820</v>
      </c>
      <c r="P5" s="104">
        <v>10</v>
      </c>
      <c r="Q5" s="88">
        <v>8200</v>
      </c>
    </row>
    <row r="6" spans="1:17">
      <c r="A6" s="47" t="s">
        <v>1</v>
      </c>
      <c r="B6" s="166">
        <f>IF(B$2=0,0,(B$7*1+B$8*2+B$9*3+B$10*4)/B$2)</f>
        <v>2.25</v>
      </c>
      <c r="C6" s="167"/>
      <c r="E6" s="55" t="s">
        <v>57</v>
      </c>
      <c r="F6" s="52" t="s">
        <v>21</v>
      </c>
      <c r="G6" s="40">
        <v>5</v>
      </c>
      <c r="H6" s="118">
        <f>IF(B$17=0,0,G6/B$17)</f>
        <v>0.21739130434782608</v>
      </c>
      <c r="I6" s="80">
        <v>10</v>
      </c>
      <c r="K6" s="32">
        <v>4</v>
      </c>
      <c r="L6" s="85">
        <v>43.3</v>
      </c>
      <c r="N6" s="100" t="s">
        <v>106</v>
      </c>
      <c r="O6" s="107">
        <f t="shared" ref="O6" si="1">IF(P6=0,0,Q6/P6)</f>
        <v>1390</v>
      </c>
      <c r="P6" s="104">
        <v>10</v>
      </c>
      <c r="Q6" s="88">
        <v>13900</v>
      </c>
    </row>
    <row r="7" spans="1:17">
      <c r="A7" s="47" t="s">
        <v>2</v>
      </c>
      <c r="B7" s="40">
        <v>3</v>
      </c>
      <c r="C7" s="33">
        <f t="shared" ref="C7:C12" si="2">IF(B$2=0,0,B7/B$2)</f>
        <v>0.25</v>
      </c>
      <c r="E7" s="55" t="s">
        <v>55</v>
      </c>
      <c r="F7" s="52" t="s">
        <v>155</v>
      </c>
      <c r="G7" s="40">
        <v>4</v>
      </c>
      <c r="H7" s="118">
        <f>IF(B$17=0,0,G7/B$17)</f>
        <v>0.17391304347826086</v>
      </c>
      <c r="I7" s="80">
        <v>12</v>
      </c>
      <c r="K7" s="32">
        <v>5</v>
      </c>
      <c r="L7" s="85">
        <v>22.9</v>
      </c>
      <c r="N7" s="100" t="s">
        <v>107</v>
      </c>
      <c r="O7" s="107">
        <f t="shared" si="0"/>
        <v>600</v>
      </c>
      <c r="P7" s="104">
        <v>7</v>
      </c>
      <c r="Q7" s="88">
        <v>4200</v>
      </c>
    </row>
    <row r="8" spans="1:17">
      <c r="A8" s="47" t="s">
        <v>3</v>
      </c>
      <c r="B8" s="40">
        <v>4</v>
      </c>
      <c r="C8" s="33">
        <f>IF(B$2=0,0,B8/B$2)</f>
        <v>0.33333333333333331</v>
      </c>
      <c r="E8" s="55" t="s">
        <v>56</v>
      </c>
      <c r="F8" s="52" t="s">
        <v>185</v>
      </c>
      <c r="G8" s="40">
        <v>4</v>
      </c>
      <c r="H8" s="118">
        <f>IF(B$17=0,0,G8/B$17)</f>
        <v>0.17391304347826086</v>
      </c>
      <c r="I8" s="80">
        <v>13</v>
      </c>
      <c r="K8" s="32">
        <v>6</v>
      </c>
      <c r="L8" s="85">
        <v>53.5</v>
      </c>
      <c r="N8" s="100" t="s">
        <v>108</v>
      </c>
      <c r="O8" s="107">
        <f t="shared" si="0"/>
        <v>1020</v>
      </c>
      <c r="P8" s="104">
        <v>5</v>
      </c>
      <c r="Q8" s="88">
        <v>5100</v>
      </c>
    </row>
    <row r="9" spans="1:17">
      <c r="A9" s="48" t="s">
        <v>4</v>
      </c>
      <c r="B9" s="41">
        <v>4</v>
      </c>
      <c r="C9" s="34">
        <f>IF(B$2=0,0,B9/B$2)</f>
        <v>0.33333333333333331</v>
      </c>
      <c r="E9" s="55" t="s">
        <v>182</v>
      </c>
      <c r="F9" s="52" t="s">
        <v>19</v>
      </c>
      <c r="G9" s="40">
        <v>2</v>
      </c>
      <c r="H9" s="118">
        <f>IF(B$17=0,0,G9/B$17)</f>
        <v>8.6956521739130432E-2</v>
      </c>
      <c r="I9" s="80">
        <v>11</v>
      </c>
      <c r="K9" s="32">
        <v>7</v>
      </c>
      <c r="L9" s="85">
        <v>31.1</v>
      </c>
      <c r="N9" s="101" t="s">
        <v>158</v>
      </c>
      <c r="O9" s="108">
        <f t="shared" si="0"/>
        <v>200</v>
      </c>
      <c r="P9" s="105">
        <v>2</v>
      </c>
      <c r="Q9" s="89">
        <v>400</v>
      </c>
    </row>
    <row r="10" spans="1:17">
      <c r="A10" s="48" t="s">
        <v>152</v>
      </c>
      <c r="B10" s="41">
        <v>1</v>
      </c>
      <c r="C10" s="34">
        <f>IF(B$2=0,0,B10/B$2)</f>
        <v>8.3333333333333329E-2</v>
      </c>
      <c r="E10" s="55" t="s">
        <v>58</v>
      </c>
      <c r="F10" s="52" t="s">
        <v>22</v>
      </c>
      <c r="G10" s="40">
        <v>2</v>
      </c>
      <c r="H10" s="118">
        <f>IF(B$17=0,0,G10/B$17)</f>
        <v>8.6956521739130432E-2</v>
      </c>
      <c r="I10" s="80">
        <v>5</v>
      </c>
      <c r="K10" s="32">
        <v>8</v>
      </c>
      <c r="L10" s="85">
        <v>87.1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7</v>
      </c>
      <c r="C11" s="34">
        <f>IF(B$2=0,0,B11/B$2)</f>
        <v>0.58333333333333337</v>
      </c>
      <c r="E11" s="55" t="s">
        <v>59</v>
      </c>
      <c r="F11" s="52" t="s">
        <v>23</v>
      </c>
      <c r="G11" s="40">
        <v>1</v>
      </c>
      <c r="H11" s="118">
        <f>IF(B$17=0,0,G11/B$17)</f>
        <v>4.3478260869565216E-2</v>
      </c>
      <c r="I11" s="80">
        <v>13</v>
      </c>
      <c r="K11" s="32">
        <v>9</v>
      </c>
      <c r="L11" s="85">
        <v>25.699999999999996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8.3333333333333329E-2</v>
      </c>
      <c r="E12" s="55" t="s">
        <v>62</v>
      </c>
      <c r="F12" s="52" t="s">
        <v>26</v>
      </c>
      <c r="G12" s="40">
        <v>1</v>
      </c>
      <c r="H12" s="118">
        <f>IF(B$17=0,0,G12/B$17)</f>
        <v>4.3478260869565216E-2</v>
      </c>
      <c r="I12" s="80">
        <v>1</v>
      </c>
      <c r="K12" s="32">
        <v>10</v>
      </c>
      <c r="L12" s="85">
        <v>36.199999999999996</v>
      </c>
      <c r="N12" s="99" t="s">
        <v>126</v>
      </c>
      <c r="O12" s="109">
        <f>IF(P12=0,0,Q12/P12)</f>
        <v>15.25</v>
      </c>
      <c r="P12" s="103">
        <v>2</v>
      </c>
      <c r="Q12" s="91">
        <v>30.5</v>
      </c>
    </row>
    <row r="13" spans="1:17">
      <c r="A13" s="50" t="s">
        <v>97</v>
      </c>
      <c r="B13" s="43">
        <v>19</v>
      </c>
      <c r="C13" s="38">
        <f>IF(B$3=0,0,B13/B$3)</f>
        <v>0.19191919191919191</v>
      </c>
      <c r="E13" s="55" t="s">
        <v>75</v>
      </c>
      <c r="F13" s="52" t="s">
        <v>39</v>
      </c>
      <c r="G13" s="40">
        <v>1</v>
      </c>
      <c r="H13" s="118">
        <f>IF(B$17=0,0,G13/B$17)</f>
        <v>4.3478260869565216E-2</v>
      </c>
      <c r="I13" s="80">
        <v>2</v>
      </c>
      <c r="K13" s="32">
        <v>11</v>
      </c>
      <c r="L13" s="85">
        <v>41.8</v>
      </c>
      <c r="N13" s="100" t="s">
        <v>127</v>
      </c>
      <c r="O13" s="110">
        <f>IF(P13=0,0,Q13/P13)</f>
        <v>-7.4999999999999289E-2</v>
      </c>
      <c r="P13" s="104">
        <v>4</v>
      </c>
      <c r="Q13" s="92">
        <v>-0.29999999999999716</v>
      </c>
    </row>
    <row r="14" spans="1:17">
      <c r="A14" s="47" t="s">
        <v>94</v>
      </c>
      <c r="B14" s="40">
        <v>24</v>
      </c>
      <c r="C14" s="33">
        <f>IF(B$3=0,0,B14/B$3)</f>
        <v>0.24242424242424243</v>
      </c>
      <c r="E14" s="55" t="s">
        <v>76</v>
      </c>
      <c r="F14" s="52" t="s">
        <v>40</v>
      </c>
      <c r="G14" s="40">
        <v>1</v>
      </c>
      <c r="H14" s="118">
        <f>IF(B$17=0,0,G14/B$17)</f>
        <v>4.3478260869565216E-2</v>
      </c>
      <c r="I14" s="80">
        <v>1</v>
      </c>
      <c r="K14" s="32">
        <v>12</v>
      </c>
      <c r="L14" s="85">
        <v>16.299999999999997</v>
      </c>
      <c r="N14" s="100" t="s">
        <v>128</v>
      </c>
      <c r="O14" s="110">
        <f>IF(P14=0,0,Q14/P14)</f>
        <v>1.5200000000000027</v>
      </c>
      <c r="P14" s="104">
        <v>5</v>
      </c>
      <c r="Q14" s="92">
        <v>7.6000000000000139</v>
      </c>
    </row>
    <row r="15" spans="1:17">
      <c r="A15" s="46" t="s">
        <v>99</v>
      </c>
      <c r="B15" s="39">
        <f>B21</f>
        <v>7</v>
      </c>
      <c r="C15" s="31">
        <f>IF(B$13=0,0,B15/B$13)</f>
        <v>0.36842105263157893</v>
      </c>
      <c r="E15" s="55" t="s">
        <v>78</v>
      </c>
      <c r="F15" s="52" t="s">
        <v>42</v>
      </c>
      <c r="G15" s="40">
        <v>1</v>
      </c>
      <c r="H15" s="118">
        <f>IF(B$17=0,0,G15/B$17)</f>
        <v>4.3478260869565216E-2</v>
      </c>
      <c r="I15" s="80">
        <v>2</v>
      </c>
      <c r="N15" s="101" t="s">
        <v>159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100</v>
      </c>
      <c r="B16" s="39">
        <f>B22</f>
        <v>11</v>
      </c>
      <c r="C16" s="31">
        <f>IF(B$14=0,0,B16/B$14)</f>
        <v>0.45833333333333331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23</v>
      </c>
      <c r="C17" s="31">
        <f>IF(B$3=0,0,B17/B$3)</f>
        <v>0.23232323232323232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0.10101010101010101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180</v>
      </c>
      <c r="O18" s="109">
        <f>IF(P18=0,0,Q18/P18)</f>
        <v>107.80000000000001</v>
      </c>
      <c r="P18" s="103">
        <v>1</v>
      </c>
      <c r="Q18" s="91">
        <v>107.80000000000001</v>
      </c>
    </row>
    <row r="19" spans="1:17">
      <c r="A19" s="47" t="s">
        <v>12</v>
      </c>
      <c r="B19" s="40">
        <v>9</v>
      </c>
      <c r="C19" s="33">
        <f>IF(B$17=0,0,B19/B$17)</f>
        <v>0.39130434782608697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>IF(P19=0,0,Q19/P19)</f>
        <v>91</v>
      </c>
      <c r="P19" s="104">
        <v>2</v>
      </c>
      <c r="Q19" s="92">
        <v>182</v>
      </c>
    </row>
    <row r="20" spans="1:17">
      <c r="A20" s="47" t="s">
        <v>11</v>
      </c>
      <c r="B20" s="40">
        <v>14</v>
      </c>
      <c r="C20" s="33">
        <f>IF(B$17=0,0,B20/B$17)</f>
        <v>0.60869565217391308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3</v>
      </c>
      <c r="N20" s="100" t="s">
        <v>175</v>
      </c>
      <c r="O20" s="110">
        <f>IF(P20=0,0,Q20/P20)</f>
        <v>71</v>
      </c>
      <c r="P20" s="104">
        <v>1</v>
      </c>
      <c r="Q20" s="92">
        <v>71</v>
      </c>
    </row>
    <row r="21" spans="1:17">
      <c r="A21" s="47" t="s">
        <v>151</v>
      </c>
      <c r="B21" s="40">
        <v>7</v>
      </c>
      <c r="C21" s="33">
        <f>IF(B$17=0,0,B21/B$17)</f>
        <v>0.30434782608695654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201</v>
      </c>
      <c r="O21" s="110">
        <f>IF(P21=0,0,Q21/P21)</f>
        <v>42.35</v>
      </c>
      <c r="P21" s="104">
        <v>2</v>
      </c>
      <c r="Q21" s="92">
        <v>84.7</v>
      </c>
    </row>
    <row r="22" spans="1:17">
      <c r="A22" s="47" t="s">
        <v>149</v>
      </c>
      <c r="B22" s="40">
        <v>11</v>
      </c>
      <c r="C22" s="33">
        <f>IF(B$17=0,0,B22/B$17)</f>
        <v>0.47826086956521741</v>
      </c>
      <c r="E22" s="55" t="s">
        <v>183</v>
      </c>
      <c r="F22" s="52" t="s">
        <v>186</v>
      </c>
      <c r="G22" s="40">
        <v>0</v>
      </c>
      <c r="H22" s="118">
        <f>IF(B$17=0,0,G22/B$17)</f>
        <v>0</v>
      </c>
      <c r="I22" s="80">
        <v>5</v>
      </c>
      <c r="N22" s="100" t="s">
        <v>166</v>
      </c>
      <c r="O22" s="110">
        <f>IF(P22=0,0,Q22/P22)</f>
        <v>25.6</v>
      </c>
      <c r="P22" s="104">
        <v>2</v>
      </c>
      <c r="Q22" s="92">
        <v>51.2</v>
      </c>
    </row>
    <row r="23" spans="1:17">
      <c r="A23" s="47" t="s">
        <v>150</v>
      </c>
      <c r="B23" s="40">
        <v>5</v>
      </c>
      <c r="C23" s="33">
        <f>IF(B$17=0,0,B23/B$17)</f>
        <v>0.21739130434782608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163</v>
      </c>
      <c r="O23" s="110">
        <f>IF(P23=0,0,Q23/P23)</f>
        <v>24.4</v>
      </c>
      <c r="P23" s="104">
        <v>1</v>
      </c>
      <c r="Q23" s="92">
        <v>24.4</v>
      </c>
    </row>
    <row r="24" spans="1:17">
      <c r="A24" s="47" t="s">
        <v>5</v>
      </c>
      <c r="B24" s="44">
        <f>IF(B$17=0,0,C24/B$17)</f>
        <v>4634.782608695652</v>
      </c>
      <c r="C24" s="35">
        <v>106600</v>
      </c>
      <c r="E24" s="55" t="s">
        <v>69</v>
      </c>
      <c r="F24" s="52" t="s">
        <v>33</v>
      </c>
      <c r="G24" s="40">
        <v>0</v>
      </c>
      <c r="H24" s="118">
        <f>IF(B$17=0,0,G24/B$17)</f>
        <v>0</v>
      </c>
      <c r="I24" s="80">
        <v>4</v>
      </c>
      <c r="N24" s="100" t="s">
        <v>207</v>
      </c>
      <c r="O24" s="110">
        <f>IF(P24=0,0,Q24/P24)</f>
        <v>23.6</v>
      </c>
      <c r="P24" s="104">
        <v>1</v>
      </c>
      <c r="Q24" s="92">
        <v>23.6</v>
      </c>
    </row>
    <row r="25" spans="1:17">
      <c r="A25" s="48" t="s">
        <v>133</v>
      </c>
      <c r="B25" s="121">
        <f>IF($B$17-B$16=0,0,C25/($B$17-B$16))</f>
        <v>5525</v>
      </c>
      <c r="C25" s="122">
        <v>66300</v>
      </c>
      <c r="E25" s="55" t="s">
        <v>70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161</v>
      </c>
      <c r="O25" s="110">
        <f>IF(P25=0,0,Q25/P25)</f>
        <v>20.166666666666668</v>
      </c>
      <c r="P25" s="104">
        <v>3</v>
      </c>
      <c r="Q25" s="92">
        <v>60.500000000000007</v>
      </c>
    </row>
    <row r="26" spans="1:17">
      <c r="A26" s="48" t="s">
        <v>134</v>
      </c>
      <c r="B26" s="121">
        <f>IF(B$16=0,0,C26/B$16)</f>
        <v>3663.6363636363635</v>
      </c>
      <c r="C26" s="122">
        <v>40300</v>
      </c>
      <c r="E26" s="55" t="s">
        <v>71</v>
      </c>
      <c r="F26" s="52" t="s">
        <v>35</v>
      </c>
      <c r="G26" s="40">
        <v>0</v>
      </c>
      <c r="H26" s="118">
        <f>IF(B$17=0,0,G26/B$17)</f>
        <v>0</v>
      </c>
      <c r="I26" s="80">
        <v>8</v>
      </c>
      <c r="N26" s="100" t="s">
        <v>168</v>
      </c>
      <c r="O26" s="110">
        <f>IF(P26=0,0,Q26/P26)</f>
        <v>9.3999999999999986</v>
      </c>
      <c r="P26" s="104">
        <v>5</v>
      </c>
      <c r="Q26" s="92">
        <v>46.999999999999993</v>
      </c>
    </row>
    <row r="27" spans="1:17">
      <c r="A27" s="48" t="s">
        <v>132</v>
      </c>
      <c r="B27" s="121">
        <f>IF(B$18=0,0,C27/B$18)</f>
        <v>-8390</v>
      </c>
      <c r="C27" s="122">
        <v>-83900</v>
      </c>
      <c r="E27" s="55" t="s">
        <v>72</v>
      </c>
      <c r="F27" s="52" t="s">
        <v>36</v>
      </c>
      <c r="G27" s="40">
        <v>0</v>
      </c>
      <c r="H27" s="118">
        <f>IF(B$17=0,0,G27/B$17)</f>
        <v>0</v>
      </c>
      <c r="I27" s="80">
        <v>3</v>
      </c>
      <c r="N27" s="100" t="s">
        <v>164</v>
      </c>
      <c r="O27" s="110">
        <f>IF(P27=0,0,Q27/P27)</f>
        <v>-17.559999999999999</v>
      </c>
      <c r="P27" s="104">
        <v>5</v>
      </c>
      <c r="Q27" s="92">
        <v>-87.8</v>
      </c>
    </row>
    <row r="28" spans="1:17">
      <c r="A28" s="47" t="s">
        <v>130</v>
      </c>
      <c r="B28" s="40">
        <v>3</v>
      </c>
      <c r="C28" s="120">
        <v>0</v>
      </c>
      <c r="E28" s="55" t="s">
        <v>73</v>
      </c>
      <c r="F28" s="52" t="s">
        <v>37</v>
      </c>
      <c r="G28" s="40">
        <v>0</v>
      </c>
      <c r="H28" s="118">
        <f>IF(B$17=0,0,G28/B$17)</f>
        <v>0</v>
      </c>
      <c r="I28" s="80">
        <v>1</v>
      </c>
      <c r="N28" s="100" t="s">
        <v>191</v>
      </c>
      <c r="O28" s="110">
        <f>IF(P28=0,0,Q28/P28)</f>
        <v>-28.675000000000001</v>
      </c>
      <c r="P28" s="104">
        <v>4</v>
      </c>
      <c r="Q28" s="92">
        <v>-114.7</v>
      </c>
    </row>
    <row r="29" spans="1:17">
      <c r="A29" s="47" t="s">
        <v>131</v>
      </c>
      <c r="B29" s="40">
        <v>30</v>
      </c>
      <c r="C29" s="120">
        <v>30</v>
      </c>
      <c r="E29" s="55" t="s">
        <v>74</v>
      </c>
      <c r="F29" s="52" t="s">
        <v>38</v>
      </c>
      <c r="G29" s="40">
        <v>0</v>
      </c>
      <c r="H29" s="118">
        <f>IF(B$17=0,0,G29/B$17)</f>
        <v>0</v>
      </c>
      <c r="I29" s="80">
        <v>5</v>
      </c>
      <c r="N29" s="100" t="s">
        <v>169</v>
      </c>
      <c r="O29" s="110">
        <f>IF(P29=0,0,Q29/P29)</f>
        <v>-28.733333333333331</v>
      </c>
      <c r="P29" s="104">
        <v>6</v>
      </c>
      <c r="Q29" s="92">
        <v>-172.39999999999998</v>
      </c>
    </row>
    <row r="30" spans="1:17">
      <c r="A30" s="76" t="s">
        <v>111</v>
      </c>
      <c r="B30" s="152">
        <v>4</v>
      </c>
      <c r="C30" s="153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5</v>
      </c>
      <c r="N30" s="100" t="s">
        <v>198</v>
      </c>
      <c r="O30" s="110">
        <f>IF(P30=0,0,Q30/P30)</f>
        <v>-34.299999999999997</v>
      </c>
      <c r="P30" s="104">
        <v>1</v>
      </c>
      <c r="Q30" s="92">
        <v>-34.299999999999997</v>
      </c>
    </row>
    <row r="31" spans="1:17">
      <c r="A31" s="50" t="s">
        <v>148</v>
      </c>
      <c r="B31" s="154">
        <v>36000</v>
      </c>
      <c r="C31" s="15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162</v>
      </c>
      <c r="O31" s="110">
        <f>IF(P31=0,0,Q31/P31)</f>
        <v>-78.900000000000006</v>
      </c>
      <c r="P31" s="104">
        <v>2</v>
      </c>
      <c r="Q31" s="92">
        <v>-157.80000000000001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5</v>
      </c>
      <c r="C35" s="126">
        <f t="shared" ref="C35:C47" si="3">IF(B$17=0,0,B35/B$17)</f>
        <v>0.21739130434782608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5</v>
      </c>
      <c r="C36" s="33">
        <f t="shared" si="3"/>
        <v>0.21739130434782608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5</v>
      </c>
      <c r="C37" s="33">
        <f t="shared" si="3"/>
        <v>0.21739130434782608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3</v>
      </c>
      <c r="C38" s="33">
        <f t="shared" si="3"/>
        <v>0.13043478260869565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3"/>
        <v>0.17391304347826086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3"/>
        <v>4.3478260869565216E-2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C1CF0-3933-4653-8337-F2E0783C4203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201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2</v>
      </c>
      <c r="C2" s="159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18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60">
        <v>15</v>
      </c>
      <c r="C3" s="161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13</v>
      </c>
      <c r="K3" s="32">
        <v>1</v>
      </c>
      <c r="L3" s="85">
        <v>-45.9</v>
      </c>
      <c r="N3" s="100" t="s">
        <v>104</v>
      </c>
      <c r="O3" s="107">
        <f t="shared" si="0"/>
        <v>-250</v>
      </c>
      <c r="P3" s="104">
        <v>2</v>
      </c>
      <c r="Q3" s="88">
        <v>-500</v>
      </c>
    </row>
    <row r="4" spans="1:17">
      <c r="A4" s="47" t="s">
        <v>6</v>
      </c>
      <c r="B4" s="162">
        <v>-97.4</v>
      </c>
      <c r="C4" s="163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16</v>
      </c>
      <c r="K4" s="32">
        <v>2</v>
      </c>
      <c r="L4" s="85">
        <v>-97.4</v>
      </c>
      <c r="N4" s="100" t="s">
        <v>105</v>
      </c>
      <c r="O4" s="107">
        <f t="shared" si="0"/>
        <v>-550</v>
      </c>
      <c r="P4" s="104">
        <v>2</v>
      </c>
      <c r="Q4" s="88">
        <v>-1100</v>
      </c>
    </row>
    <row r="5" spans="1:17">
      <c r="A5" s="47" t="s">
        <v>7</v>
      </c>
      <c r="B5" s="164">
        <f>IF(B$2=0,0,B$4/B$2)</f>
        <v>-48.7</v>
      </c>
      <c r="C5" s="165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16</v>
      </c>
      <c r="N5" s="100" t="s">
        <v>157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66">
        <f>IF(B$2=0,0,(B$7*1+B$8*2+B$9*3+B$10*4)/B$2)</f>
        <v>4</v>
      </c>
      <c r="C6" s="167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18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11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</v>
      </c>
      <c r="C13" s="38">
        <f>IF(B$3=0,0,B13/B$3)</f>
        <v>6.6666666666666666E-2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5</v>
      </c>
      <c r="C14" s="33">
        <f>IF(B$3=0,0,B14/B$3)</f>
        <v>0.33333333333333331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5</v>
      </c>
      <c r="N18" s="99" t="s">
        <v>161</v>
      </c>
      <c r="O18" s="109">
        <f>IF(P18=0,0,Q18/P18)</f>
        <v>-23.9</v>
      </c>
      <c r="P18" s="103">
        <v>1</v>
      </c>
      <c r="Q18" s="91">
        <v>-23.9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>IF(P19=0,0,Q19/P19)</f>
        <v>-42.35</v>
      </c>
      <c r="P19" s="104">
        <v>2</v>
      </c>
      <c r="Q19" s="92">
        <v>-84.7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164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162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168</v>
      </c>
      <c r="O22" s="110">
        <f>IF(P22=0,0,Q22/P22)</f>
        <v>-111.8</v>
      </c>
      <c r="P22" s="104">
        <v>1</v>
      </c>
      <c r="Q22" s="92">
        <v>-111.8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5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-10000</v>
      </c>
      <c r="C27" s="122">
        <v>-20000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5</v>
      </c>
    </row>
    <row r="29" spans="1:17">
      <c r="A29" s="47" t="s">
        <v>131</v>
      </c>
      <c r="B29" s="40">
        <v>12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2">
        <v>0</v>
      </c>
      <c r="C30" s="153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4">
        <v>14100</v>
      </c>
      <c r="C31" s="155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202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18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70906-9C3B-4DAB-AD0B-EE9FA2D469B2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191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11</v>
      </c>
      <c r="C2" s="159"/>
      <c r="E2" s="54" t="s">
        <v>54</v>
      </c>
      <c r="F2" s="51" t="s">
        <v>20</v>
      </c>
      <c r="G2" s="39">
        <v>21</v>
      </c>
      <c r="H2" s="117">
        <f>IF(B$17=0,0,G2/B$17)</f>
        <v>1.1052631578947369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-209.09090909090909</v>
      </c>
      <c r="P2" s="103">
        <v>11</v>
      </c>
      <c r="Q2" s="87">
        <v>-2300</v>
      </c>
    </row>
    <row r="3" spans="1:17">
      <c r="A3" s="47" t="s">
        <v>8</v>
      </c>
      <c r="B3" s="160">
        <v>89</v>
      </c>
      <c r="C3" s="161"/>
      <c r="E3" s="55" t="s">
        <v>184</v>
      </c>
      <c r="F3" s="52" t="s">
        <v>187</v>
      </c>
      <c r="G3" s="40">
        <v>9</v>
      </c>
      <c r="H3" s="118">
        <f>IF(B$17=0,0,G3/B$17)</f>
        <v>0.47368421052631576</v>
      </c>
      <c r="I3" s="80">
        <v>9</v>
      </c>
      <c r="K3" s="32">
        <v>1</v>
      </c>
      <c r="L3" s="85">
        <v>-15.4</v>
      </c>
      <c r="N3" s="100" t="s">
        <v>104</v>
      </c>
      <c r="O3" s="107">
        <f t="shared" si="0"/>
        <v>1418.1818181818182</v>
      </c>
      <c r="P3" s="104">
        <v>11</v>
      </c>
      <c r="Q3" s="88">
        <v>15600</v>
      </c>
    </row>
    <row r="4" spans="1:17">
      <c r="A4" s="47" t="s">
        <v>6</v>
      </c>
      <c r="B4" s="162">
        <v>140.19999999999999</v>
      </c>
      <c r="C4" s="163"/>
      <c r="E4" s="55" t="s">
        <v>60</v>
      </c>
      <c r="F4" s="52" t="s">
        <v>24</v>
      </c>
      <c r="G4" s="40">
        <v>8</v>
      </c>
      <c r="H4" s="118">
        <f>IF(B$17=0,0,G4/B$17)</f>
        <v>0.42105263157894735</v>
      </c>
      <c r="I4" s="80">
        <v>10</v>
      </c>
      <c r="K4" s="32">
        <v>2</v>
      </c>
      <c r="L4" s="85">
        <v>-47.5</v>
      </c>
      <c r="N4" s="100" t="s">
        <v>105</v>
      </c>
      <c r="O4" s="107">
        <f t="shared" si="0"/>
        <v>1263.6363636363637</v>
      </c>
      <c r="P4" s="104">
        <v>11</v>
      </c>
      <c r="Q4" s="88">
        <v>13900</v>
      </c>
    </row>
    <row r="5" spans="1:17">
      <c r="A5" s="47" t="s">
        <v>7</v>
      </c>
      <c r="B5" s="164">
        <f>IF(B$2=0,0,B$4/B$2)</f>
        <v>12.745454545454544</v>
      </c>
      <c r="C5" s="165"/>
      <c r="E5" s="55" t="s">
        <v>59</v>
      </c>
      <c r="F5" s="52" t="s">
        <v>23</v>
      </c>
      <c r="G5" s="40">
        <v>6</v>
      </c>
      <c r="H5" s="118">
        <f>IF(B$17=0,0,G5/B$17)</f>
        <v>0.31578947368421051</v>
      </c>
      <c r="I5" s="80">
        <v>2</v>
      </c>
      <c r="K5" s="32">
        <v>3</v>
      </c>
      <c r="L5" s="85">
        <v>-16.899999999999999</v>
      </c>
      <c r="N5" s="100" t="s">
        <v>157</v>
      </c>
      <c r="O5" s="107">
        <f>IF(P5=0,0,Q5/P5)</f>
        <v>3327.2727272727275</v>
      </c>
      <c r="P5" s="104">
        <v>11</v>
      </c>
      <c r="Q5" s="88">
        <v>36600</v>
      </c>
    </row>
    <row r="6" spans="1:17">
      <c r="A6" s="47" t="s">
        <v>1</v>
      </c>
      <c r="B6" s="166">
        <f>IF(B$2=0,0,(B$7*1+B$8*2+B$9*3+B$10*4)/B$2)</f>
        <v>2</v>
      </c>
      <c r="C6" s="167"/>
      <c r="E6" s="55" t="s">
        <v>181</v>
      </c>
      <c r="F6" s="52" t="s">
        <v>156</v>
      </c>
      <c r="G6" s="40">
        <v>4</v>
      </c>
      <c r="H6" s="118">
        <f>IF(B$17=0,0,G6/B$17)</f>
        <v>0.21052631578947367</v>
      </c>
      <c r="I6" s="80">
        <v>17</v>
      </c>
      <c r="K6" s="32">
        <v>4</v>
      </c>
      <c r="L6" s="85">
        <v>-6.1999999999999993</v>
      </c>
      <c r="N6" s="100" t="s">
        <v>106</v>
      </c>
      <c r="O6" s="107">
        <f t="shared" ref="O6" si="1">IF(P6=0,0,Q6/P6)</f>
        <v>-177.77777777777777</v>
      </c>
      <c r="P6" s="104">
        <v>9</v>
      </c>
      <c r="Q6" s="88">
        <v>-1600</v>
      </c>
    </row>
    <row r="7" spans="1:17">
      <c r="A7" s="47" t="s">
        <v>2</v>
      </c>
      <c r="B7" s="40">
        <v>3</v>
      </c>
      <c r="C7" s="33">
        <f t="shared" ref="C7:C12" si="2">IF(B$2=0,0,B7/B$2)</f>
        <v>0.27272727272727271</v>
      </c>
      <c r="E7" s="55" t="s">
        <v>57</v>
      </c>
      <c r="F7" s="52" t="s">
        <v>21</v>
      </c>
      <c r="G7" s="40">
        <v>4</v>
      </c>
      <c r="H7" s="118">
        <f>IF(B$17=0,0,G7/B$17)</f>
        <v>0.21052631578947367</v>
      </c>
      <c r="I7" s="80">
        <v>12</v>
      </c>
      <c r="K7" s="32">
        <v>5</v>
      </c>
      <c r="L7" s="85">
        <v>4.1000000000000014</v>
      </c>
      <c r="N7" s="100" t="s">
        <v>107</v>
      </c>
      <c r="O7" s="107">
        <f t="shared" si="0"/>
        <v>-983.33333333333337</v>
      </c>
      <c r="P7" s="104">
        <v>6</v>
      </c>
      <c r="Q7" s="88">
        <v>-5900</v>
      </c>
    </row>
    <row r="8" spans="1:17">
      <c r="A8" s="47" t="s">
        <v>3</v>
      </c>
      <c r="B8" s="40">
        <v>5</v>
      </c>
      <c r="C8" s="33">
        <f>IF(B$2=0,0,B8/B$2)</f>
        <v>0.45454545454545453</v>
      </c>
      <c r="E8" s="55" t="s">
        <v>55</v>
      </c>
      <c r="F8" s="52" t="s">
        <v>155</v>
      </c>
      <c r="G8" s="40">
        <v>2</v>
      </c>
      <c r="H8" s="118">
        <f>IF(B$17=0,0,G8/B$17)</f>
        <v>0.10526315789473684</v>
      </c>
      <c r="I8" s="80">
        <v>14</v>
      </c>
      <c r="K8" s="32">
        <v>6</v>
      </c>
      <c r="L8" s="85">
        <v>70</v>
      </c>
      <c r="N8" s="100" t="s">
        <v>108</v>
      </c>
      <c r="O8" s="107">
        <f t="shared" si="0"/>
        <v>-220</v>
      </c>
      <c r="P8" s="104">
        <v>5</v>
      </c>
      <c r="Q8" s="88">
        <v>-1100</v>
      </c>
    </row>
    <row r="9" spans="1:17">
      <c r="A9" s="48" t="s">
        <v>4</v>
      </c>
      <c r="B9" s="41">
        <v>3</v>
      </c>
      <c r="C9" s="34">
        <f>IF(B$2=0,0,B9/B$2)</f>
        <v>0.27272727272727271</v>
      </c>
      <c r="E9" s="55" t="s">
        <v>67</v>
      </c>
      <c r="F9" s="52" t="s">
        <v>31</v>
      </c>
      <c r="G9" s="40">
        <v>2</v>
      </c>
      <c r="H9" s="118">
        <f>IF(B$17=0,0,G9/B$17)</f>
        <v>0.10526315789473684</v>
      </c>
      <c r="I9" s="80">
        <v>2</v>
      </c>
      <c r="K9" s="32">
        <v>7</v>
      </c>
      <c r="L9" s="85">
        <v>62.4</v>
      </c>
      <c r="N9" s="101" t="s">
        <v>158</v>
      </c>
      <c r="O9" s="108">
        <f t="shared" si="0"/>
        <v>0</v>
      </c>
      <c r="P9" s="105">
        <v>2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56</v>
      </c>
      <c r="F10" s="52" t="s">
        <v>185</v>
      </c>
      <c r="G10" s="40">
        <v>1</v>
      </c>
      <c r="H10" s="118">
        <f>IF(B$17=0,0,G10/B$17)</f>
        <v>5.2631578947368418E-2</v>
      </c>
      <c r="I10" s="80">
        <v>17</v>
      </c>
      <c r="K10" s="32">
        <v>8</v>
      </c>
      <c r="L10" s="85">
        <v>70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8</v>
      </c>
      <c r="C11" s="34">
        <f>IF(B$2=0,0,B11/B$2)</f>
        <v>0.72727272727272729</v>
      </c>
      <c r="E11" s="55" t="s">
        <v>58</v>
      </c>
      <c r="F11" s="52" t="s">
        <v>22</v>
      </c>
      <c r="G11" s="40">
        <v>1</v>
      </c>
      <c r="H11" s="118">
        <f>IF(B$17=0,0,G11/B$17)</f>
        <v>5.2631578947368418E-2</v>
      </c>
      <c r="I11" s="80">
        <v>9</v>
      </c>
      <c r="K11" s="32">
        <v>9</v>
      </c>
      <c r="L11" s="85">
        <v>87.3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66</v>
      </c>
      <c r="F12" s="52" t="s">
        <v>30</v>
      </c>
      <c r="G12" s="40">
        <v>1</v>
      </c>
      <c r="H12" s="118">
        <f>IF(B$17=0,0,G12/B$17)</f>
        <v>5.2631578947368418E-2</v>
      </c>
      <c r="I12" s="80">
        <v>1</v>
      </c>
      <c r="K12" s="32">
        <v>10</v>
      </c>
      <c r="L12" s="85">
        <v>67.699999999999989</v>
      </c>
      <c r="N12" s="99" t="s">
        <v>126</v>
      </c>
      <c r="O12" s="109">
        <f>IF(P12=0,0,Q12/P12)</f>
        <v>-19.850000000000001</v>
      </c>
      <c r="P12" s="103">
        <v>2</v>
      </c>
      <c r="Q12" s="91">
        <v>-39.700000000000003</v>
      </c>
    </row>
    <row r="13" spans="1:17">
      <c r="A13" s="50" t="s">
        <v>97</v>
      </c>
      <c r="B13" s="43">
        <v>11</v>
      </c>
      <c r="C13" s="38">
        <f>IF(B$3=0,0,B13/B$3)</f>
        <v>0.12359550561797752</v>
      </c>
      <c r="E13" s="55" t="s">
        <v>77</v>
      </c>
      <c r="F13" s="52" t="s">
        <v>41</v>
      </c>
      <c r="G13" s="40">
        <v>1</v>
      </c>
      <c r="H13" s="118">
        <f>IF(B$17=0,0,G13/B$17)</f>
        <v>5.2631578947368418E-2</v>
      </c>
      <c r="I13" s="80">
        <v>1</v>
      </c>
      <c r="K13" s="32">
        <v>11</v>
      </c>
      <c r="L13" s="85">
        <v>140.19999999999999</v>
      </c>
      <c r="N13" s="100" t="s">
        <v>127</v>
      </c>
      <c r="O13" s="110">
        <f>IF(P13=0,0,Q13/P13)</f>
        <v>31.025000000000002</v>
      </c>
      <c r="P13" s="104">
        <v>4</v>
      </c>
      <c r="Q13" s="92">
        <v>124.10000000000001</v>
      </c>
    </row>
    <row r="14" spans="1:17">
      <c r="A14" s="47" t="s">
        <v>94</v>
      </c>
      <c r="B14" s="40">
        <v>24</v>
      </c>
      <c r="C14" s="33">
        <f>IF(B$3=0,0,B14/B$3)</f>
        <v>0.2696629213483146</v>
      </c>
      <c r="E14" s="55" t="s">
        <v>182</v>
      </c>
      <c r="F14" s="52" t="s">
        <v>19</v>
      </c>
      <c r="G14" s="40">
        <v>0</v>
      </c>
      <c r="H14" s="118">
        <f>IF(B$17=0,0,G14/B$17)</f>
        <v>0</v>
      </c>
      <c r="I14" s="80">
        <v>13</v>
      </c>
      <c r="N14" s="100" t="s">
        <v>128</v>
      </c>
      <c r="O14" s="110">
        <f>IF(P14=0,0,Q14/P14)</f>
        <v>-17.5</v>
      </c>
      <c r="P14" s="104">
        <v>2</v>
      </c>
      <c r="Q14" s="92">
        <v>-35</v>
      </c>
    </row>
    <row r="15" spans="1:17">
      <c r="A15" s="46" t="s">
        <v>99</v>
      </c>
      <c r="B15" s="39">
        <f>B21</f>
        <v>4</v>
      </c>
      <c r="C15" s="31">
        <f>IF(B$13=0,0,B15/B$13)</f>
        <v>0.36363636363636365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30.266666666666666</v>
      </c>
      <c r="P15" s="105">
        <v>3</v>
      </c>
      <c r="Q15" s="93">
        <v>90.8</v>
      </c>
    </row>
    <row r="16" spans="1:17">
      <c r="A16" s="46" t="s">
        <v>100</v>
      </c>
      <c r="B16" s="39">
        <f>B22</f>
        <v>9</v>
      </c>
      <c r="C16" s="31">
        <f>IF(B$14=0,0,B16/B$14)</f>
        <v>0.375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19</v>
      </c>
      <c r="C17" s="31">
        <f>IF(B$3=0,0,B17/B$3)</f>
        <v>0.21348314606741572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0.11235955056179775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198</v>
      </c>
      <c r="O18" s="109">
        <f>IF(P18=0,0,Q18/P18)</f>
        <v>93</v>
      </c>
      <c r="P18" s="103">
        <v>1</v>
      </c>
      <c r="Q18" s="91">
        <v>93</v>
      </c>
    </row>
    <row r="19" spans="1:17">
      <c r="A19" s="47" t="s">
        <v>12</v>
      </c>
      <c r="B19" s="40">
        <v>3</v>
      </c>
      <c r="C19" s="33">
        <f>IF(B$17=0,0,B19/B$17)</f>
        <v>0.15789473684210525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>IF(P19=0,0,Q19/P19)</f>
        <v>65.966666666666669</v>
      </c>
      <c r="P19" s="104">
        <v>3</v>
      </c>
      <c r="Q19" s="92">
        <v>197.9</v>
      </c>
    </row>
    <row r="20" spans="1:17">
      <c r="A20" s="47" t="s">
        <v>11</v>
      </c>
      <c r="B20" s="40">
        <v>16</v>
      </c>
      <c r="C20" s="33">
        <f>IF(B$17=0,0,B20/B$17)</f>
        <v>0.84210526315789469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5</v>
      </c>
      <c r="N20" s="100" t="s">
        <v>204</v>
      </c>
      <c r="O20" s="110">
        <f>IF(P20=0,0,Q20/P20)</f>
        <v>65.400000000000006</v>
      </c>
      <c r="P20" s="104">
        <v>2</v>
      </c>
      <c r="Q20" s="92">
        <v>130.80000000000001</v>
      </c>
    </row>
    <row r="21" spans="1:17">
      <c r="A21" s="47" t="s">
        <v>151</v>
      </c>
      <c r="B21" s="40">
        <v>4</v>
      </c>
      <c r="C21" s="33">
        <f>IF(B$17=0,0,B21/B$17)</f>
        <v>0.21052631578947367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205</v>
      </c>
      <c r="O21" s="110">
        <f>IF(P21=0,0,Q21/P21)</f>
        <v>55.5</v>
      </c>
      <c r="P21" s="104">
        <v>4</v>
      </c>
      <c r="Q21" s="92">
        <v>222</v>
      </c>
    </row>
    <row r="22" spans="1:17">
      <c r="A22" s="47" t="s">
        <v>149</v>
      </c>
      <c r="B22" s="40">
        <v>9</v>
      </c>
      <c r="C22" s="33">
        <f>IF(B$17=0,0,B22/B$17)</f>
        <v>0.47368421052631576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207</v>
      </c>
      <c r="O22" s="110">
        <f>IF(P22=0,0,Q22/P22)</f>
        <v>47.5</v>
      </c>
      <c r="P22" s="104">
        <v>1</v>
      </c>
      <c r="Q22" s="92">
        <v>47.5</v>
      </c>
    </row>
    <row r="23" spans="1:17">
      <c r="A23" s="47" t="s">
        <v>150</v>
      </c>
      <c r="B23" s="40">
        <v>6</v>
      </c>
      <c r="C23" s="33">
        <f>IF(B$17=0,0,B23/B$17)</f>
        <v>0.31578947368421051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179</v>
      </c>
      <c r="O23" s="110">
        <f>IF(P23=0,0,Q23/P23)</f>
        <v>28.674999999999997</v>
      </c>
      <c r="P23" s="104">
        <v>4</v>
      </c>
      <c r="Q23" s="92">
        <v>114.69999999999999</v>
      </c>
    </row>
    <row r="24" spans="1:17">
      <c r="A24" s="47" t="s">
        <v>5</v>
      </c>
      <c r="B24" s="44">
        <f>IF(B$17=0,0,C24/B$17)</f>
        <v>6673.6842105263158</v>
      </c>
      <c r="C24" s="35">
        <v>126800</v>
      </c>
      <c r="E24" s="55" t="s">
        <v>71</v>
      </c>
      <c r="F24" s="52" t="s">
        <v>35</v>
      </c>
      <c r="G24" s="40">
        <v>0</v>
      </c>
      <c r="H24" s="118">
        <f>IF(B$17=0,0,G24/B$17)</f>
        <v>0</v>
      </c>
      <c r="I24" s="80">
        <v>8</v>
      </c>
      <c r="N24" s="100" t="s">
        <v>164</v>
      </c>
      <c r="O24" s="110">
        <f>IF(P24=0,0,Q24/P24)</f>
        <v>13.5</v>
      </c>
      <c r="P24" s="104">
        <v>4</v>
      </c>
      <c r="Q24" s="92">
        <v>54</v>
      </c>
    </row>
    <row r="25" spans="1:17">
      <c r="A25" s="48" t="s">
        <v>133</v>
      </c>
      <c r="B25" s="121">
        <f>IF($B$17-B$16=0,0,C25/($B$17-B$16))</f>
        <v>4520</v>
      </c>
      <c r="C25" s="122">
        <v>45200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3</v>
      </c>
      <c r="N25" s="100" t="s">
        <v>168</v>
      </c>
      <c r="O25" s="110">
        <f>IF(P25=0,0,Q25/P25)</f>
        <v>-13.959999999999999</v>
      </c>
      <c r="P25" s="104">
        <v>5</v>
      </c>
      <c r="Q25" s="92">
        <v>-69.8</v>
      </c>
    </row>
    <row r="26" spans="1:17">
      <c r="A26" s="48" t="s">
        <v>134</v>
      </c>
      <c r="B26" s="121">
        <f>IF(B$16=0,0,C26/B$16)</f>
        <v>9066.6666666666661</v>
      </c>
      <c r="C26" s="122">
        <v>81600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169</v>
      </c>
      <c r="O26" s="110">
        <f>IF(P26=0,0,Q26/P26)</f>
        <v>-16.100000000000001</v>
      </c>
      <c r="P26" s="104">
        <v>5</v>
      </c>
      <c r="Q26" s="92">
        <v>-80.5</v>
      </c>
    </row>
    <row r="27" spans="1:17">
      <c r="A27" s="48" t="s">
        <v>132</v>
      </c>
      <c r="B27" s="121">
        <f>IF(B$18=0,0,C27/B$18)</f>
        <v>-2760</v>
      </c>
      <c r="C27" s="122">
        <v>-27600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5</v>
      </c>
      <c r="N27" s="100" t="s">
        <v>163</v>
      </c>
      <c r="O27" s="110">
        <f>IF(P27=0,0,Q27/P27)</f>
        <v>-33.666666666666671</v>
      </c>
      <c r="P27" s="104">
        <v>3</v>
      </c>
      <c r="Q27" s="92">
        <v>-101.00000000000001</v>
      </c>
    </row>
    <row r="28" spans="1:17">
      <c r="A28" s="47" t="s">
        <v>130</v>
      </c>
      <c r="B28" s="40">
        <v>2</v>
      </c>
      <c r="C28" s="120">
        <v>2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162</v>
      </c>
      <c r="O28" s="110">
        <f>IF(P28=0,0,Q28/P28)</f>
        <v>-47.8</v>
      </c>
      <c r="P28" s="104">
        <v>1</v>
      </c>
      <c r="Q28" s="92">
        <v>-47.8</v>
      </c>
    </row>
    <row r="29" spans="1:17">
      <c r="A29" s="47" t="s">
        <v>131</v>
      </c>
      <c r="B29" s="40">
        <v>33</v>
      </c>
      <c r="C29" s="120">
        <v>6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52">
        <v>5</v>
      </c>
      <c r="C30" s="15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4">
        <v>52500</v>
      </c>
      <c r="C31" s="15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3</v>
      </c>
      <c r="C35" s="126">
        <f t="shared" ref="C35:C47" si="3">IF(B$17=0,0,B35/B$17)</f>
        <v>0.15789473684210525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4</v>
      </c>
      <c r="C36" s="33">
        <f t="shared" si="3"/>
        <v>0.21052631578947367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3"/>
        <v>0.21052631578947367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3"/>
        <v>0.26315789473684209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5.2631578947368418E-2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5.2631578947368418E-2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3"/>
        <v>5.2631578947368418E-2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E0D59-DF2D-4F9B-AD92-D202051DED39}">
  <sheetPr codeName="Sheet19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195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7</v>
      </c>
      <c r="C2" s="159"/>
      <c r="E2" s="54" t="s">
        <v>181</v>
      </c>
      <c r="F2" s="51" t="s">
        <v>156</v>
      </c>
      <c r="G2" s="39">
        <v>3</v>
      </c>
      <c r="H2" s="117">
        <f>IF(B$17=0,0,G2/B$17)</f>
        <v>0.5</v>
      </c>
      <c r="I2" s="79">
        <v>7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-1971.4285714285713</v>
      </c>
      <c r="P2" s="103">
        <v>7</v>
      </c>
      <c r="Q2" s="87">
        <v>-13800</v>
      </c>
    </row>
    <row r="3" spans="1:17">
      <c r="A3" s="47" t="s">
        <v>8</v>
      </c>
      <c r="B3" s="160">
        <v>53</v>
      </c>
      <c r="C3" s="161"/>
      <c r="E3" s="55" t="s">
        <v>55</v>
      </c>
      <c r="F3" s="52" t="s">
        <v>155</v>
      </c>
      <c r="G3" s="40">
        <v>3</v>
      </c>
      <c r="H3" s="118">
        <f>IF(B$17=0,0,G3/B$17)</f>
        <v>0.5</v>
      </c>
      <c r="I3" s="80">
        <v>3</v>
      </c>
      <c r="K3" s="32">
        <v>1</v>
      </c>
      <c r="L3" s="85">
        <v>-21.3</v>
      </c>
      <c r="N3" s="100" t="s">
        <v>104</v>
      </c>
      <c r="O3" s="107">
        <f t="shared" si="0"/>
        <v>-1542.8571428571429</v>
      </c>
      <c r="P3" s="104">
        <v>7</v>
      </c>
      <c r="Q3" s="88">
        <v>-10800</v>
      </c>
    </row>
    <row r="4" spans="1:17">
      <c r="A4" s="47" t="s">
        <v>6</v>
      </c>
      <c r="B4" s="162">
        <v>-254.3</v>
      </c>
      <c r="C4" s="163"/>
      <c r="E4" s="55" t="s">
        <v>182</v>
      </c>
      <c r="F4" s="52" t="s">
        <v>19</v>
      </c>
      <c r="G4" s="40">
        <v>2</v>
      </c>
      <c r="H4" s="118">
        <f>IF(B$17=0,0,G4/B$17)</f>
        <v>0.33333333333333331</v>
      </c>
      <c r="I4" s="80">
        <v>3</v>
      </c>
      <c r="K4" s="32">
        <v>2</v>
      </c>
      <c r="L4" s="85">
        <v>-12.200000000000001</v>
      </c>
      <c r="N4" s="100" t="s">
        <v>105</v>
      </c>
      <c r="O4" s="107">
        <f t="shared" si="0"/>
        <v>-3028.5714285714284</v>
      </c>
      <c r="P4" s="104">
        <v>7</v>
      </c>
      <c r="Q4" s="88">
        <v>-21200</v>
      </c>
    </row>
    <row r="5" spans="1:17">
      <c r="A5" s="47" t="s">
        <v>7</v>
      </c>
      <c r="B5" s="164">
        <f>IF(B$2=0,0,B$4/B$2)</f>
        <v>-36.328571428571429</v>
      </c>
      <c r="C5" s="165"/>
      <c r="E5" s="55" t="s">
        <v>60</v>
      </c>
      <c r="F5" s="52" t="s">
        <v>24</v>
      </c>
      <c r="G5" s="40">
        <v>2</v>
      </c>
      <c r="H5" s="118">
        <f>IF(B$17=0,0,G5/B$17)</f>
        <v>0.33333333333333331</v>
      </c>
      <c r="I5" s="80">
        <v>11</v>
      </c>
      <c r="K5" s="32">
        <v>3</v>
      </c>
      <c r="L5" s="85">
        <v>-67.400000000000006</v>
      </c>
      <c r="N5" s="100" t="s">
        <v>157</v>
      </c>
      <c r="O5" s="107">
        <f>IF(P5=0,0,Q5/P5)</f>
        <v>-3850</v>
      </c>
      <c r="P5" s="104">
        <v>6</v>
      </c>
      <c r="Q5" s="88">
        <v>-23100</v>
      </c>
    </row>
    <row r="6" spans="1:17">
      <c r="A6" s="47" t="s">
        <v>1</v>
      </c>
      <c r="B6" s="166">
        <f>IF(B$2=0,0,(B$7*1+B$8*2+B$9*3+B$10*4)/B$2)</f>
        <v>3.2857142857142856</v>
      </c>
      <c r="C6" s="167"/>
      <c r="E6" s="55" t="s">
        <v>184</v>
      </c>
      <c r="F6" s="52" t="s">
        <v>187</v>
      </c>
      <c r="G6" s="40">
        <v>2</v>
      </c>
      <c r="H6" s="118">
        <f>IF(B$17=0,0,G6/B$17)</f>
        <v>0.33333333333333331</v>
      </c>
      <c r="I6" s="80">
        <v>14</v>
      </c>
      <c r="K6" s="32">
        <v>4</v>
      </c>
      <c r="L6" s="85">
        <v>-123.60000000000001</v>
      </c>
      <c r="N6" s="100" t="s">
        <v>106</v>
      </c>
      <c r="O6" s="107">
        <f t="shared" ref="O6" si="1">IF(P6=0,0,Q6/P6)</f>
        <v>-2140</v>
      </c>
      <c r="P6" s="104">
        <v>5</v>
      </c>
      <c r="Q6" s="88">
        <v>-10700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1</v>
      </c>
      <c r="H7" s="118">
        <f>IF(B$17=0,0,G7/B$17)</f>
        <v>0.16666666666666666</v>
      </c>
      <c r="I7" s="80">
        <v>14</v>
      </c>
      <c r="K7" s="32">
        <v>5</v>
      </c>
      <c r="L7" s="85">
        <v>-151.60000000000002</v>
      </c>
      <c r="N7" s="100" t="s">
        <v>107</v>
      </c>
      <c r="O7" s="107">
        <f t="shared" si="0"/>
        <v>-4040</v>
      </c>
      <c r="P7" s="104">
        <v>5</v>
      </c>
      <c r="Q7" s="88">
        <v>-20200</v>
      </c>
    </row>
    <row r="8" spans="1:17">
      <c r="A8" s="47" t="s">
        <v>3</v>
      </c>
      <c r="B8" s="40">
        <v>1</v>
      </c>
      <c r="C8" s="33">
        <f>IF(B$2=0,0,B8/B$2)</f>
        <v>0.14285714285714285</v>
      </c>
      <c r="E8" s="55" t="s">
        <v>59</v>
      </c>
      <c r="F8" s="52" t="s">
        <v>23</v>
      </c>
      <c r="G8" s="40">
        <v>1</v>
      </c>
      <c r="H8" s="118">
        <f>IF(B$17=0,0,G8/B$17)</f>
        <v>0.16666666666666666</v>
      </c>
      <c r="I8" s="80">
        <v>9</v>
      </c>
      <c r="K8" s="32">
        <v>6</v>
      </c>
      <c r="L8" s="85">
        <v>-215.8</v>
      </c>
      <c r="N8" s="100" t="s">
        <v>108</v>
      </c>
      <c r="O8" s="107">
        <f t="shared" si="0"/>
        <v>-4250</v>
      </c>
      <c r="P8" s="104">
        <v>2</v>
      </c>
      <c r="Q8" s="88">
        <v>-8500</v>
      </c>
    </row>
    <row r="9" spans="1:17">
      <c r="A9" s="48" t="s">
        <v>4</v>
      </c>
      <c r="B9" s="41">
        <v>3</v>
      </c>
      <c r="C9" s="34">
        <f>IF(B$2=0,0,B9/B$2)</f>
        <v>0.42857142857142855</v>
      </c>
      <c r="E9" s="55" t="s">
        <v>71</v>
      </c>
      <c r="F9" s="52" t="s">
        <v>35</v>
      </c>
      <c r="G9" s="40">
        <v>1</v>
      </c>
      <c r="H9" s="118">
        <f>IF(B$17=0,0,G9/B$17)</f>
        <v>0.16666666666666666</v>
      </c>
      <c r="I9" s="80">
        <v>1</v>
      </c>
      <c r="K9" s="32">
        <v>7</v>
      </c>
      <c r="L9" s="85">
        <v>-254.3</v>
      </c>
      <c r="N9" s="101" t="s">
        <v>158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152</v>
      </c>
      <c r="B10" s="41">
        <v>3</v>
      </c>
      <c r="C10" s="34">
        <f>IF(B$2=0,0,B10/B$2)</f>
        <v>0.42857142857142855</v>
      </c>
      <c r="E10" s="55" t="s">
        <v>54</v>
      </c>
      <c r="F10" s="52" t="s">
        <v>20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0.14285714285714285</v>
      </c>
      <c r="E11" s="55" t="s">
        <v>57</v>
      </c>
      <c r="F11" s="52" t="s">
        <v>21</v>
      </c>
      <c r="G11" s="40">
        <v>0</v>
      </c>
      <c r="H11" s="118">
        <f>IF(B$17=0,0,G11/B$17)</f>
        <v>0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0.14285714285714285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11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6</v>
      </c>
      <c r="C13" s="38">
        <f>IF(B$3=0,0,B13/B$3)</f>
        <v>0.11320754716981132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-55.2</v>
      </c>
      <c r="P13" s="104">
        <v>1</v>
      </c>
      <c r="Q13" s="92">
        <v>-55.2</v>
      </c>
    </row>
    <row r="14" spans="1:17">
      <c r="A14" s="47" t="s">
        <v>94</v>
      </c>
      <c r="B14" s="40">
        <v>11</v>
      </c>
      <c r="C14" s="33">
        <f>IF(B$3=0,0,B14/B$3)</f>
        <v>0.20754716981132076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-28.533333333333331</v>
      </c>
      <c r="P14" s="104">
        <v>3</v>
      </c>
      <c r="Q14" s="92">
        <v>-85.6</v>
      </c>
    </row>
    <row r="15" spans="1:17">
      <c r="A15" s="46" t="s">
        <v>99</v>
      </c>
      <c r="B15" s="39">
        <f>B21</f>
        <v>3</v>
      </c>
      <c r="C15" s="31">
        <f>IF(B$13=0,0,B15/B$13)</f>
        <v>0.5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-37.833333333333336</v>
      </c>
      <c r="P15" s="105">
        <v>3</v>
      </c>
      <c r="Q15" s="93">
        <v>-113.5</v>
      </c>
    </row>
    <row r="16" spans="1:17">
      <c r="A16" s="46" t="s">
        <v>100</v>
      </c>
      <c r="B16" s="39">
        <f>B22</f>
        <v>3</v>
      </c>
      <c r="C16" s="31">
        <f>IF(B$14=0,0,B16/B$14)</f>
        <v>0.27272727272727271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6</v>
      </c>
      <c r="C17" s="31">
        <f>IF(B$3=0,0,B17/B$3)</f>
        <v>0.11320754716981132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15</v>
      </c>
      <c r="C18" s="33">
        <f>IF(B$3=0,0,B18/B$3)</f>
        <v>0.28301886792452829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169</v>
      </c>
      <c r="O18" s="109">
        <f>IF(P18=0,0,Q18/P18)</f>
        <v>20.6</v>
      </c>
      <c r="P18" s="103">
        <v>1</v>
      </c>
      <c r="Q18" s="91">
        <v>20.6</v>
      </c>
    </row>
    <row r="19" spans="1:17">
      <c r="A19" s="47" t="s">
        <v>12</v>
      </c>
      <c r="B19" s="40">
        <v>1</v>
      </c>
      <c r="C19" s="33">
        <f>IF(B$17=0,0,B19/B$17)</f>
        <v>0.16666666666666666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205</v>
      </c>
      <c r="O19" s="110">
        <f>IF(P19=0,0,Q19/P19)</f>
        <v>20.5</v>
      </c>
      <c r="P19" s="104">
        <v>1</v>
      </c>
      <c r="Q19" s="92">
        <v>20.5</v>
      </c>
    </row>
    <row r="20" spans="1:17">
      <c r="A20" s="47" t="s">
        <v>11</v>
      </c>
      <c r="B20" s="40">
        <v>5</v>
      </c>
      <c r="C20" s="33">
        <f>IF(B$17=0,0,B20/B$17)</f>
        <v>0.83333333333333337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5</v>
      </c>
      <c r="N20" s="100" t="s">
        <v>164</v>
      </c>
      <c r="O20" s="110">
        <f>IF(P20=0,0,Q20/P20)</f>
        <v>-13.066666666666668</v>
      </c>
      <c r="P20" s="104">
        <v>3</v>
      </c>
      <c r="Q20" s="92">
        <v>-39.200000000000003</v>
      </c>
    </row>
    <row r="21" spans="1:17">
      <c r="A21" s="47" t="s">
        <v>151</v>
      </c>
      <c r="B21" s="40">
        <v>3</v>
      </c>
      <c r="C21" s="33">
        <f>IF(B$17=0,0,B21/B$17)</f>
        <v>0.5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197</v>
      </c>
      <c r="O21" s="110">
        <f>IF(P21=0,0,Q21/P21)</f>
        <v>-35.1</v>
      </c>
      <c r="P21" s="104">
        <v>1</v>
      </c>
      <c r="Q21" s="92">
        <v>-35.1</v>
      </c>
    </row>
    <row r="22" spans="1:17">
      <c r="A22" s="47" t="s">
        <v>149</v>
      </c>
      <c r="B22" s="40">
        <v>3</v>
      </c>
      <c r="C22" s="33">
        <f>IF(B$17=0,0,B22/B$17)</f>
        <v>0.5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168</v>
      </c>
      <c r="O22" s="110">
        <f>IF(P22=0,0,Q22/P22)</f>
        <v>-48.92</v>
      </c>
      <c r="P22" s="104">
        <v>5</v>
      </c>
      <c r="Q22" s="92">
        <v>-244.60000000000002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207</v>
      </c>
      <c r="O23" s="110">
        <f>IF(P23=0,0,Q23/P23)</f>
        <v>-54.85</v>
      </c>
      <c r="P23" s="104">
        <v>2</v>
      </c>
      <c r="Q23" s="92">
        <v>-109.7</v>
      </c>
    </row>
    <row r="24" spans="1:17">
      <c r="A24" s="47" t="s">
        <v>5</v>
      </c>
      <c r="B24" s="44">
        <f>IF(B$17=0,0,C24/B$17)</f>
        <v>3983.3333333333335</v>
      </c>
      <c r="C24" s="35">
        <v>23900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191</v>
      </c>
      <c r="O24" s="110">
        <f>IF(P24=0,0,Q24/P24)</f>
        <v>-65.966666666666669</v>
      </c>
      <c r="P24" s="104">
        <v>3</v>
      </c>
      <c r="Q24" s="92">
        <v>-197.9</v>
      </c>
    </row>
    <row r="25" spans="1:17">
      <c r="A25" s="48" t="s">
        <v>133</v>
      </c>
      <c r="B25" s="121">
        <f>IF($B$17-B$16=0,0,C25/($B$17-B$16))</f>
        <v>6633.333333333333</v>
      </c>
      <c r="C25" s="122">
        <v>19900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162</v>
      </c>
      <c r="O25" s="110">
        <f>IF(P25=0,0,Q25/P25)</f>
        <v>-79.099999999999994</v>
      </c>
      <c r="P25" s="104">
        <v>1</v>
      </c>
      <c r="Q25" s="92">
        <v>-79.099999999999994</v>
      </c>
    </row>
    <row r="26" spans="1:17">
      <c r="A26" s="48" t="s">
        <v>134</v>
      </c>
      <c r="B26" s="121">
        <f>IF(B$16=0,0,C26/B$16)</f>
        <v>1333.3333333333333</v>
      </c>
      <c r="C26" s="122">
        <v>4000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5</v>
      </c>
      <c r="N26" s="100" t="s">
        <v>163</v>
      </c>
      <c r="O26" s="110">
        <f>IF(P26=0,0,Q26/P26)</f>
        <v>-80.349999999999994</v>
      </c>
      <c r="P26" s="104">
        <v>2</v>
      </c>
      <c r="Q26" s="92">
        <v>-160.69999999999999</v>
      </c>
    </row>
    <row r="27" spans="1:17">
      <c r="A27" s="48" t="s">
        <v>132</v>
      </c>
      <c r="B27" s="121">
        <f>IF(B$18=0,0,C27/B$18)</f>
        <v>-5700</v>
      </c>
      <c r="C27" s="122">
        <v>-85500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179</v>
      </c>
      <c r="O27" s="110">
        <f>IF(P27=0,0,Q27/P27)</f>
        <v>-91</v>
      </c>
      <c r="P27" s="104">
        <v>2</v>
      </c>
      <c r="Q27" s="92">
        <v>-182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52">
        <v>4</v>
      </c>
      <c r="C30" s="15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4">
        <v>29100</v>
      </c>
      <c r="C31" s="15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1</v>
      </c>
      <c r="C32" s="36">
        <f>IF(B$3=0,0,B32/B$3)</f>
        <v>1.8867924528301886E-2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3">IF(B$17=0,0,B35/B$17)</f>
        <v>0.33333333333333331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3"/>
        <v>0.33333333333333331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0.16666666666666666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3"/>
        <v>0.16666666666666666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D8EB-FF65-43AF-B6BA-629626515D17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198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2</v>
      </c>
      <c r="C2" s="159"/>
      <c r="E2" s="54" t="s">
        <v>60</v>
      </c>
      <c r="F2" s="51" t="s">
        <v>24</v>
      </c>
      <c r="G2" s="39">
        <v>4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3000</v>
      </c>
      <c r="P2" s="103">
        <v>2</v>
      </c>
      <c r="Q2" s="87">
        <v>6000</v>
      </c>
    </row>
    <row r="3" spans="1:17">
      <c r="A3" s="47" t="s">
        <v>8</v>
      </c>
      <c r="B3" s="160">
        <v>16</v>
      </c>
      <c r="C3" s="161"/>
      <c r="E3" s="55" t="s">
        <v>184</v>
      </c>
      <c r="F3" s="52" t="s">
        <v>187</v>
      </c>
      <c r="G3" s="40">
        <v>2</v>
      </c>
      <c r="H3" s="118">
        <f>IF(B$17=0,0,G3/B$17)</f>
        <v>0.5</v>
      </c>
      <c r="I3" s="80">
        <v>5</v>
      </c>
      <c r="K3" s="32">
        <v>1</v>
      </c>
      <c r="L3" s="85">
        <v>21.5</v>
      </c>
      <c r="N3" s="100" t="s">
        <v>104</v>
      </c>
      <c r="O3" s="107">
        <f t="shared" si="0"/>
        <v>-300</v>
      </c>
      <c r="P3" s="104">
        <v>2</v>
      </c>
      <c r="Q3" s="88">
        <v>-600</v>
      </c>
    </row>
    <row r="4" spans="1:17">
      <c r="A4" s="47" t="s">
        <v>6</v>
      </c>
      <c r="B4" s="162">
        <v>-5.6000000000000014</v>
      </c>
      <c r="C4" s="163"/>
      <c r="E4" s="55" t="s">
        <v>181</v>
      </c>
      <c r="F4" s="52" t="s">
        <v>156</v>
      </c>
      <c r="G4" s="40">
        <v>1</v>
      </c>
      <c r="H4" s="118">
        <f>IF(B$17=0,0,G4/B$17)</f>
        <v>0.25</v>
      </c>
      <c r="I4" s="80">
        <v>16</v>
      </c>
      <c r="K4" s="32">
        <v>2</v>
      </c>
      <c r="L4" s="85">
        <v>-5.6000000000000014</v>
      </c>
      <c r="N4" s="100" t="s">
        <v>105</v>
      </c>
      <c r="O4" s="107">
        <f t="shared" si="0"/>
        <v>1500</v>
      </c>
      <c r="P4" s="104">
        <v>2</v>
      </c>
      <c r="Q4" s="88">
        <v>3000</v>
      </c>
    </row>
    <row r="5" spans="1:17">
      <c r="A5" s="47" t="s">
        <v>7</v>
      </c>
      <c r="B5" s="164">
        <f>IF(B$2=0,0,B$4/B$2)</f>
        <v>-2.8000000000000007</v>
      </c>
      <c r="C5" s="165"/>
      <c r="E5" s="55" t="s">
        <v>182</v>
      </c>
      <c r="F5" s="52" t="s">
        <v>19</v>
      </c>
      <c r="G5" s="40">
        <v>1</v>
      </c>
      <c r="H5" s="118">
        <f>IF(B$17=0,0,G5/B$17)</f>
        <v>0.25</v>
      </c>
      <c r="I5" s="80">
        <v>6</v>
      </c>
      <c r="N5" s="100" t="s">
        <v>157</v>
      </c>
      <c r="O5" s="107">
        <f>IF(P5=0,0,Q5/P5)</f>
        <v>-500</v>
      </c>
      <c r="P5" s="104">
        <v>2</v>
      </c>
      <c r="Q5" s="88">
        <v>-1000</v>
      </c>
    </row>
    <row r="6" spans="1:17">
      <c r="A6" s="47" t="s">
        <v>1</v>
      </c>
      <c r="B6" s="166">
        <f>IF(B$2=0,0,(B$7*1+B$8*2+B$9*3+B$10*4)/B$2)</f>
        <v>2.5</v>
      </c>
      <c r="C6" s="167"/>
      <c r="E6" s="55" t="s">
        <v>54</v>
      </c>
      <c r="F6" s="52" t="s">
        <v>20</v>
      </c>
      <c r="G6" s="40">
        <v>1</v>
      </c>
      <c r="H6" s="118">
        <f>IF(B$17=0,0,G6/B$17)</f>
        <v>0.25</v>
      </c>
      <c r="I6" s="80">
        <v>14</v>
      </c>
      <c r="N6" s="100" t="s">
        <v>106</v>
      </c>
      <c r="O6" s="107">
        <f t="shared" ref="O6" si="1">IF(P6=0,0,Q6/P6)</f>
        <v>-1500</v>
      </c>
      <c r="P6" s="104">
        <v>2</v>
      </c>
      <c r="Q6" s="88">
        <v>-3000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1</v>
      </c>
      <c r="H7" s="118">
        <f>IF(B$17=0,0,G7/B$17)</f>
        <v>0.25</v>
      </c>
      <c r="I7" s="80">
        <v>7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57</v>
      </c>
      <c r="F8" s="52" t="s">
        <v>21</v>
      </c>
      <c r="G8" s="40">
        <v>1</v>
      </c>
      <c r="H8" s="118">
        <f>IF(B$17=0,0,G8/B$17)</f>
        <v>0.25</v>
      </c>
      <c r="I8" s="80">
        <v>6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58</v>
      </c>
      <c r="F9" s="52" t="s">
        <v>22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55</v>
      </c>
      <c r="F10" s="52" t="s">
        <v>155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126</v>
      </c>
      <c r="O12" s="109">
        <f>IF(P12=0,0,Q12/P12)</f>
        <v>21.5</v>
      </c>
      <c r="P12" s="103">
        <v>1</v>
      </c>
      <c r="Q12" s="91">
        <v>21.5</v>
      </c>
    </row>
    <row r="13" spans="1:17">
      <c r="A13" s="50" t="s">
        <v>97</v>
      </c>
      <c r="B13" s="43">
        <v>3</v>
      </c>
      <c r="C13" s="38">
        <f>IF(B$3=0,0,B13/B$3)</f>
        <v>0.1875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4</v>
      </c>
      <c r="C14" s="33">
        <f>IF(B$3=0,0,B14/B$3)</f>
        <v>0.25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1</v>
      </c>
      <c r="C15" s="31">
        <f>IF(B$13=0,0,B15/B$13)</f>
        <v>0.33333333333333331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-27.1</v>
      </c>
      <c r="P15" s="105">
        <v>1</v>
      </c>
      <c r="Q15" s="93">
        <v>-27.1</v>
      </c>
    </row>
    <row r="16" spans="1:17">
      <c r="A16" s="46" t="s">
        <v>100</v>
      </c>
      <c r="B16" s="39">
        <f>B22</f>
        <v>2</v>
      </c>
      <c r="C16" s="31">
        <f>IF(B$14=0,0,B16/B$14)</f>
        <v>0.5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0.25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163</v>
      </c>
      <c r="O18" s="109">
        <f>IF(P18=0,0,Q18/P18)</f>
        <v>86.6</v>
      </c>
      <c r="P18" s="103">
        <v>1</v>
      </c>
      <c r="Q18" s="91">
        <v>86.6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5</v>
      </c>
      <c r="N19" s="100" t="s">
        <v>197</v>
      </c>
      <c r="O19" s="110">
        <f>IF(P19=0,0,Q19/P19)</f>
        <v>50.4</v>
      </c>
      <c r="P19" s="104">
        <v>1</v>
      </c>
      <c r="Q19" s="92">
        <v>50.4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179</v>
      </c>
      <c r="O20" s="110">
        <f>IF(P20=0,0,Q20/P20)</f>
        <v>34.299999999999997</v>
      </c>
      <c r="P20" s="104">
        <v>1</v>
      </c>
      <c r="Q20" s="92">
        <v>34.299999999999997</v>
      </c>
    </row>
    <row r="21" spans="1:17">
      <c r="A21" s="47" t="s">
        <v>151</v>
      </c>
      <c r="B21" s="40">
        <v>1</v>
      </c>
      <c r="C21" s="33">
        <f>IF(B$17=0,0,B21/B$17)</f>
        <v>0.25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169</v>
      </c>
      <c r="O21" s="110">
        <f>IF(P21=0,0,Q21/P21)</f>
        <v>-50.349999999999994</v>
      </c>
      <c r="P21" s="104">
        <v>2</v>
      </c>
      <c r="Q21" s="92">
        <v>-100.69999999999999</v>
      </c>
    </row>
    <row r="22" spans="1:17">
      <c r="A22" s="47" t="s">
        <v>149</v>
      </c>
      <c r="B22" s="40">
        <v>2</v>
      </c>
      <c r="C22" s="33">
        <f>IF(B$17=0,0,B22/B$17)</f>
        <v>0.5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191</v>
      </c>
      <c r="O22" s="110">
        <f>IF(P22=0,0,Q22/P22)</f>
        <v>-93</v>
      </c>
      <c r="P22" s="104">
        <v>1</v>
      </c>
      <c r="Q22" s="92">
        <v>-93</v>
      </c>
    </row>
    <row r="23" spans="1:17">
      <c r="A23" s="47" t="s">
        <v>150</v>
      </c>
      <c r="B23" s="40">
        <v>1</v>
      </c>
      <c r="C23" s="33">
        <f>IF(B$17=0,0,B23/B$17)</f>
        <v>0.25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5750</v>
      </c>
      <c r="C24" s="35">
        <v>23000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133</v>
      </c>
      <c r="B25" s="121">
        <f>IF($B$17-B$16=0,0,C25/($B$17-B$16))</f>
        <v>5000</v>
      </c>
      <c r="C25" s="122">
        <v>10000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6500</v>
      </c>
      <c r="C26" s="122">
        <v>13000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5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16</v>
      </c>
      <c r="C29" s="120">
        <v>16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52">
        <v>2</v>
      </c>
      <c r="C30" s="15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4">
        <v>41500</v>
      </c>
      <c r="C31" s="15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0.25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EADF4-F94D-45CF-8E44-45FA80873A32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197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2</v>
      </c>
      <c r="C2" s="159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18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-500</v>
      </c>
      <c r="P2" s="103">
        <v>2</v>
      </c>
      <c r="Q2" s="87">
        <v>-1000</v>
      </c>
    </row>
    <row r="3" spans="1:17">
      <c r="A3" s="47" t="s">
        <v>8</v>
      </c>
      <c r="B3" s="160">
        <v>15</v>
      </c>
      <c r="C3" s="161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13</v>
      </c>
      <c r="K3" s="32">
        <v>1</v>
      </c>
      <c r="L3" s="85">
        <v>-28.9</v>
      </c>
      <c r="N3" s="100" t="s">
        <v>104</v>
      </c>
      <c r="O3" s="107">
        <f t="shared" si="0"/>
        <v>-6200</v>
      </c>
      <c r="P3" s="104">
        <v>2</v>
      </c>
      <c r="Q3" s="88">
        <v>-12400</v>
      </c>
    </row>
    <row r="4" spans="1:17">
      <c r="A4" s="47" t="s">
        <v>6</v>
      </c>
      <c r="B4" s="162">
        <v>-49</v>
      </c>
      <c r="C4" s="163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16</v>
      </c>
      <c r="K4" s="32">
        <v>2</v>
      </c>
      <c r="L4" s="85">
        <v>-49</v>
      </c>
      <c r="N4" s="100" t="s">
        <v>105</v>
      </c>
      <c r="O4" s="107">
        <f t="shared" si="0"/>
        <v>-1000</v>
      </c>
      <c r="P4" s="104">
        <v>2</v>
      </c>
      <c r="Q4" s="88">
        <v>-2000</v>
      </c>
    </row>
    <row r="5" spans="1:17">
      <c r="A5" s="47" t="s">
        <v>7</v>
      </c>
      <c r="B5" s="164">
        <f>IF(B$2=0,0,B$4/B$2)</f>
        <v>-24.5</v>
      </c>
      <c r="C5" s="165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16</v>
      </c>
      <c r="N5" s="100" t="s">
        <v>157</v>
      </c>
      <c r="O5" s="107">
        <f>IF(P5=0,0,Q5/P5)</f>
        <v>-500</v>
      </c>
      <c r="P5" s="104">
        <v>2</v>
      </c>
      <c r="Q5" s="88">
        <v>-1000</v>
      </c>
    </row>
    <row r="6" spans="1:17">
      <c r="A6" s="47" t="s">
        <v>1</v>
      </c>
      <c r="B6" s="166">
        <f>IF(B$2=0,0,(B$7*1+B$8*2+B$9*3+B$10*4)/B$2)</f>
        <v>3</v>
      </c>
      <c r="C6" s="167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18</v>
      </c>
      <c r="N6" s="100" t="s">
        <v>106</v>
      </c>
      <c r="O6" s="107">
        <f t="shared" ref="O6" si="1">IF(P6=0,0,Q6/P6)</f>
        <v>-1300</v>
      </c>
      <c r="P6" s="104">
        <v>2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0</v>
      </c>
      <c r="P7" s="104">
        <v>1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11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2</v>
      </c>
      <c r="C9" s="34">
        <f>IF(B$2=0,0,B9/B$2)</f>
        <v>1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3</v>
      </c>
      <c r="C13" s="38">
        <f>IF(B$3=0,0,B13/B$3)</f>
        <v>0.2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-20.100000000000001</v>
      </c>
      <c r="P14" s="104">
        <v>1</v>
      </c>
      <c r="Q14" s="92">
        <v>-20.100000000000001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-28.9</v>
      </c>
      <c r="P15" s="105">
        <v>1</v>
      </c>
      <c r="Q15" s="93">
        <v>-28.9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5</v>
      </c>
      <c r="N18" s="99" t="s">
        <v>195</v>
      </c>
      <c r="O18" s="109">
        <f>IF(P18=0,0,Q18/P18)</f>
        <v>35.1</v>
      </c>
      <c r="P18" s="103">
        <v>1</v>
      </c>
      <c r="Q18" s="91">
        <v>35.1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>IF(P19=0,0,Q19/P19)</f>
        <v>-20.8</v>
      </c>
      <c r="P19" s="104">
        <v>1</v>
      </c>
      <c r="Q19" s="92">
        <v>-20.8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163</v>
      </c>
      <c r="O20" s="110">
        <f>IF(P20=0,0,Q20/P20)</f>
        <v>-29.25</v>
      </c>
      <c r="P20" s="104">
        <v>2</v>
      </c>
      <c r="Q20" s="92">
        <v>-58.5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198</v>
      </c>
      <c r="O21" s="110">
        <f>IF(P21=0,0,Q21/P21)</f>
        <v>-50.4</v>
      </c>
      <c r="P21" s="104">
        <v>1</v>
      </c>
      <c r="Q21" s="92">
        <v>-50.4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169</v>
      </c>
      <c r="O22" s="110">
        <f>IF(P22=0,0,Q22/P22)</f>
        <v>-101.4</v>
      </c>
      <c r="P22" s="104">
        <v>1</v>
      </c>
      <c r="Q22" s="92">
        <v>-101.4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5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-2450</v>
      </c>
      <c r="C27" s="122">
        <v>-4900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5</v>
      </c>
    </row>
    <row r="29" spans="1:17">
      <c r="A29" s="47" t="s">
        <v>131</v>
      </c>
      <c r="B29" s="40">
        <v>9</v>
      </c>
      <c r="C29" s="120">
        <v>9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2">
        <v>0</v>
      </c>
      <c r="C30" s="153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4">
        <v>19900</v>
      </c>
      <c r="C31" s="155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202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18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A8C07-AC5F-46FA-A6BA-1AB04446D418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205</v>
      </c>
      <c r="C1" s="157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4</v>
      </c>
      <c r="C2" s="159"/>
      <c r="E2" s="54" t="s">
        <v>181</v>
      </c>
      <c r="F2" s="51" t="s">
        <v>156</v>
      </c>
      <c r="G2" s="39">
        <v>2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-1175</v>
      </c>
      <c r="P2" s="103">
        <v>4</v>
      </c>
      <c r="Q2" s="87">
        <v>-4700</v>
      </c>
    </row>
    <row r="3" spans="1:17">
      <c r="A3" s="47" t="s">
        <v>8</v>
      </c>
      <c r="B3" s="160">
        <v>33</v>
      </c>
      <c r="C3" s="161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-15</v>
      </c>
      <c r="N3" s="100" t="s">
        <v>104</v>
      </c>
      <c r="O3" s="107">
        <f t="shared" si="0"/>
        <v>-2650</v>
      </c>
      <c r="P3" s="104">
        <v>4</v>
      </c>
      <c r="Q3" s="88">
        <v>-10600</v>
      </c>
    </row>
    <row r="4" spans="1:17">
      <c r="A4" s="47" t="s">
        <v>6</v>
      </c>
      <c r="B4" s="162">
        <v>-144.19999999999999</v>
      </c>
      <c r="C4" s="163"/>
      <c r="E4" s="55" t="s">
        <v>182</v>
      </c>
      <c r="F4" s="52" t="s">
        <v>19</v>
      </c>
      <c r="G4" s="40">
        <v>1</v>
      </c>
      <c r="H4" s="118">
        <f>IF(B$17=0,0,G4/B$17)</f>
        <v>0.5</v>
      </c>
      <c r="I4" s="80">
        <v>1</v>
      </c>
      <c r="K4" s="32">
        <v>2</v>
      </c>
      <c r="L4" s="85">
        <v>-43.9</v>
      </c>
      <c r="N4" s="100" t="s">
        <v>105</v>
      </c>
      <c r="O4" s="107">
        <f t="shared" si="0"/>
        <v>-4650</v>
      </c>
      <c r="P4" s="104">
        <v>4</v>
      </c>
      <c r="Q4" s="88">
        <v>-18600</v>
      </c>
    </row>
    <row r="5" spans="1:17">
      <c r="A5" s="47" t="s">
        <v>7</v>
      </c>
      <c r="B5" s="164">
        <f>IF(B$2=0,0,B$4/B$2)</f>
        <v>-36.049999999999997</v>
      </c>
      <c r="C5" s="165"/>
      <c r="E5" s="55" t="s">
        <v>56</v>
      </c>
      <c r="F5" s="52" t="s">
        <v>185</v>
      </c>
      <c r="G5" s="40">
        <v>1</v>
      </c>
      <c r="H5" s="118">
        <f>IF(B$17=0,0,G5/B$17)</f>
        <v>0.5</v>
      </c>
      <c r="I5" s="80">
        <v>1</v>
      </c>
      <c r="K5" s="32">
        <v>3</v>
      </c>
      <c r="L5" s="85">
        <v>-85.199999999999989</v>
      </c>
      <c r="N5" s="100" t="s">
        <v>157</v>
      </c>
      <c r="O5" s="107">
        <f>IF(P5=0,0,Q5/P5)</f>
        <v>-1925</v>
      </c>
      <c r="P5" s="104">
        <v>4</v>
      </c>
      <c r="Q5" s="88">
        <v>-7700</v>
      </c>
    </row>
    <row r="6" spans="1:17">
      <c r="A6" s="47" t="s">
        <v>1</v>
      </c>
      <c r="B6" s="166">
        <f>IF(B$2=0,0,(B$7*1+B$8*2+B$9*3+B$10*4)/B$2)</f>
        <v>3.5</v>
      </c>
      <c r="C6" s="167"/>
      <c r="E6" s="55" t="s">
        <v>184</v>
      </c>
      <c r="F6" s="52" t="s">
        <v>187</v>
      </c>
      <c r="G6" s="40">
        <v>1</v>
      </c>
      <c r="H6" s="118">
        <f>IF(B$17=0,0,G6/B$17)</f>
        <v>0.5</v>
      </c>
      <c r="I6" s="80">
        <v>5</v>
      </c>
      <c r="K6" s="32">
        <v>4</v>
      </c>
      <c r="L6" s="85">
        <v>-144.19999999999999</v>
      </c>
      <c r="N6" s="100" t="s">
        <v>106</v>
      </c>
      <c r="O6" s="107">
        <f t="shared" ref="O6" si="1">IF(P6=0,0,Q6/P6)</f>
        <v>-1300</v>
      </c>
      <c r="P6" s="104">
        <v>2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54</v>
      </c>
      <c r="F7" s="52" t="s">
        <v>20</v>
      </c>
      <c r="G7" s="40">
        <v>0</v>
      </c>
      <c r="H7" s="118">
        <f>IF(B$17=0,0,G7/B$17)</f>
        <v>0</v>
      </c>
      <c r="I7" s="80">
        <v>16</v>
      </c>
      <c r="N7" s="100" t="s">
        <v>107</v>
      </c>
      <c r="O7" s="107">
        <f t="shared" si="0"/>
        <v>0</v>
      </c>
      <c r="P7" s="104">
        <v>1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1</v>
      </c>
      <c r="Q8" s="88">
        <v>0</v>
      </c>
    </row>
    <row r="9" spans="1:17">
      <c r="A9" s="48" t="s">
        <v>4</v>
      </c>
      <c r="B9" s="41">
        <v>2</v>
      </c>
      <c r="C9" s="34">
        <f>IF(B$2=0,0,B9/B$2)</f>
        <v>0.5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11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0.5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16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126</v>
      </c>
      <c r="O12" s="109">
        <f>IF(P12=0,0,Q12/P12)</f>
        <v>-37</v>
      </c>
      <c r="P12" s="103">
        <v>2</v>
      </c>
      <c r="Q12" s="91">
        <v>-74</v>
      </c>
    </row>
    <row r="13" spans="1:17">
      <c r="A13" s="50" t="s">
        <v>97</v>
      </c>
      <c r="B13" s="43">
        <v>8</v>
      </c>
      <c r="C13" s="38">
        <f>IF(B$3=0,0,B13/B$3)</f>
        <v>0.24242424242424243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-41.3</v>
      </c>
      <c r="P13" s="104">
        <v>1</v>
      </c>
      <c r="Q13" s="92">
        <v>-41.3</v>
      </c>
    </row>
    <row r="14" spans="1:17">
      <c r="A14" s="47" t="s">
        <v>94</v>
      </c>
      <c r="B14" s="40">
        <v>4</v>
      </c>
      <c r="C14" s="33">
        <f>IF(B$3=0,0,B14/B$3)</f>
        <v>0.12121212121212122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-28.9</v>
      </c>
      <c r="P14" s="104">
        <v>1</v>
      </c>
      <c r="Q14" s="92">
        <v>-28.9</v>
      </c>
    </row>
    <row r="15" spans="1:17">
      <c r="A15" s="46" t="s">
        <v>99</v>
      </c>
      <c r="B15" s="39">
        <f>B21</f>
        <v>2</v>
      </c>
      <c r="C15" s="31">
        <f>IF(B$13=0,0,B15/B$13)</f>
        <v>0.25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6.0606060606060608E-2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9</v>
      </c>
      <c r="C18" s="33">
        <f>IF(B$3=0,0,B18/B$3)</f>
        <v>0.27272727272727271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204</v>
      </c>
      <c r="O18" s="109">
        <f>IF(P18=0,0,Q18/P18)</f>
        <v>31</v>
      </c>
      <c r="P18" s="103">
        <v>2</v>
      </c>
      <c r="Q18" s="91">
        <v>62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5</v>
      </c>
      <c r="N19" s="100" t="s">
        <v>195</v>
      </c>
      <c r="O19" s="110">
        <f>IF(P19=0,0,Q19/P19)</f>
        <v>-20.5</v>
      </c>
      <c r="P19" s="104">
        <v>1</v>
      </c>
      <c r="Q19" s="92">
        <v>-20.5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168</v>
      </c>
      <c r="O20" s="110">
        <f>IF(P20=0,0,Q20/P20)</f>
        <v>-49.699999999999996</v>
      </c>
      <c r="P20" s="104">
        <v>1</v>
      </c>
      <c r="Q20" s="92">
        <v>-49.699999999999996</v>
      </c>
    </row>
    <row r="21" spans="1:17">
      <c r="A21" s="47" t="s">
        <v>151</v>
      </c>
      <c r="B21" s="40">
        <v>2</v>
      </c>
      <c r="C21" s="33">
        <f>IF(B$17=0,0,B21/B$17)</f>
        <v>1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191</v>
      </c>
      <c r="O21" s="110">
        <f>IF(P21=0,0,Q21/P21)</f>
        <v>-55.5</v>
      </c>
      <c r="P21" s="104">
        <v>4</v>
      </c>
      <c r="Q21" s="92">
        <v>-222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207</v>
      </c>
      <c r="O22" s="110">
        <f>IF(P22=0,0,Q22/P22)</f>
        <v>-84</v>
      </c>
      <c r="P22" s="104">
        <v>1</v>
      </c>
      <c r="Q22" s="92">
        <v>-84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169</v>
      </c>
      <c r="O23" s="110">
        <f>IF(P23=0,0,Q23/P23)</f>
        <v>-87.533333333333346</v>
      </c>
      <c r="P23" s="104">
        <v>3</v>
      </c>
      <c r="Q23" s="92">
        <v>-262.60000000000002</v>
      </c>
    </row>
    <row r="24" spans="1:17">
      <c r="A24" s="47" t="s">
        <v>5</v>
      </c>
      <c r="B24" s="44">
        <f>IF(B$17=0,0,C24/B$17)</f>
        <v>6600</v>
      </c>
      <c r="C24" s="35">
        <v>13200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133</v>
      </c>
      <c r="B25" s="121">
        <f>IF($B$17-B$16=0,0,C25/($B$17-B$16))</f>
        <v>6600</v>
      </c>
      <c r="C25" s="122">
        <v>13200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5</v>
      </c>
    </row>
    <row r="27" spans="1:17">
      <c r="A27" s="48" t="s">
        <v>132</v>
      </c>
      <c r="B27" s="121">
        <f>IF(B$18=0,0,C27/B$18)</f>
        <v>-5066.666666666667</v>
      </c>
      <c r="C27" s="122">
        <v>-45600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2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52">
        <v>2</v>
      </c>
      <c r="C30" s="15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4">
        <v>25000</v>
      </c>
      <c r="C31" s="15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1</v>
      </c>
      <c r="C37" s="33">
        <f t="shared" si="3"/>
        <v>0.5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1</v>
      </c>
      <c r="C38" s="33">
        <f t="shared" si="3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41">
        <v>0</v>
      </c>
      <c r="C43" s="33">
        <f t="shared" si="3"/>
        <v>0</v>
      </c>
    </row>
    <row r="44" spans="1:9">
      <c r="A44" s="47" t="s">
        <v>144</v>
      </c>
      <c r="B44" s="141">
        <v>0</v>
      </c>
      <c r="C44" s="33">
        <f t="shared" si="3"/>
        <v>0</v>
      </c>
    </row>
    <row r="45" spans="1:9">
      <c r="A45" s="47" t="s">
        <v>145</v>
      </c>
      <c r="B45" s="141">
        <v>0</v>
      </c>
      <c r="C45" s="33">
        <f t="shared" si="3"/>
        <v>0</v>
      </c>
    </row>
    <row r="46" spans="1:9">
      <c r="A46" s="47" t="s">
        <v>146</v>
      </c>
      <c r="B46" s="14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E19E2-B4D4-4036-852A-7574F4395C42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204</v>
      </c>
      <c r="C1" s="157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2</v>
      </c>
      <c r="C2" s="159"/>
      <c r="E2" s="54" t="s">
        <v>59</v>
      </c>
      <c r="F2" s="51" t="s">
        <v>23</v>
      </c>
      <c r="G2" s="39">
        <v>1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1050</v>
      </c>
      <c r="P2" s="103">
        <v>2</v>
      </c>
      <c r="Q2" s="87">
        <v>2100</v>
      </c>
    </row>
    <row r="3" spans="1:17">
      <c r="A3" s="47" t="s">
        <v>8</v>
      </c>
      <c r="B3" s="160">
        <v>17</v>
      </c>
      <c r="C3" s="161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18</v>
      </c>
      <c r="K3" s="32">
        <v>1</v>
      </c>
      <c r="L3" s="85">
        <v>-46.5</v>
      </c>
      <c r="N3" s="100" t="s">
        <v>104</v>
      </c>
      <c r="O3" s="107">
        <f t="shared" si="0"/>
        <v>-3050</v>
      </c>
      <c r="P3" s="104">
        <v>2</v>
      </c>
      <c r="Q3" s="88">
        <v>-6100</v>
      </c>
    </row>
    <row r="4" spans="1:17">
      <c r="A4" s="47" t="s">
        <v>6</v>
      </c>
      <c r="B4" s="162">
        <v>-105.9</v>
      </c>
      <c r="C4" s="163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13</v>
      </c>
      <c r="K4" s="32">
        <v>2</v>
      </c>
      <c r="L4" s="85">
        <v>-105.9</v>
      </c>
      <c r="N4" s="100" t="s">
        <v>105</v>
      </c>
      <c r="O4" s="107">
        <f t="shared" si="0"/>
        <v>-3000</v>
      </c>
      <c r="P4" s="104">
        <v>2</v>
      </c>
      <c r="Q4" s="88">
        <v>-6000</v>
      </c>
    </row>
    <row r="5" spans="1:17">
      <c r="A5" s="47" t="s">
        <v>7</v>
      </c>
      <c r="B5" s="164">
        <f>IF(B$2=0,0,B$4/B$2)</f>
        <v>-52.95</v>
      </c>
      <c r="C5" s="165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16</v>
      </c>
      <c r="N5" s="100" t="s">
        <v>157</v>
      </c>
      <c r="O5" s="107">
        <f>IF(P5=0,0,Q5/P5)</f>
        <v>-12950</v>
      </c>
      <c r="P5" s="104">
        <v>2</v>
      </c>
      <c r="Q5" s="88">
        <v>-25900</v>
      </c>
    </row>
    <row r="6" spans="1:17">
      <c r="A6" s="47" t="s">
        <v>1</v>
      </c>
      <c r="B6" s="166">
        <f>IF(B$2=0,0,(B$7*1+B$8*2+B$9*3+B$10*4)/B$2)</f>
        <v>4</v>
      </c>
      <c r="C6" s="167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16</v>
      </c>
      <c r="N6" s="100" t="s">
        <v>106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18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11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-59.4</v>
      </c>
      <c r="P12" s="103">
        <v>1</v>
      </c>
      <c r="Q12" s="91">
        <v>-59.4</v>
      </c>
    </row>
    <row r="13" spans="1:17">
      <c r="A13" s="50" t="s">
        <v>97</v>
      </c>
      <c r="B13" s="43">
        <v>2</v>
      </c>
      <c r="C13" s="38">
        <f>IF(B$3=0,0,B13/B$3)</f>
        <v>0.11764705882352941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3</v>
      </c>
      <c r="C14" s="33">
        <f>IF(B$3=0,0,B14/B$3)</f>
        <v>0.17647058823529413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-46.5</v>
      </c>
      <c r="P14" s="104">
        <v>1</v>
      </c>
      <c r="Q14" s="92">
        <v>-46.5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5.8823529411764705E-2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0.17647058823529413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5</v>
      </c>
      <c r="N18" s="99" t="s">
        <v>205</v>
      </c>
      <c r="O18" s="109">
        <f>IF(P18=0,0,Q18/P18)</f>
        <v>-31.000000000000004</v>
      </c>
      <c r="P18" s="103">
        <v>2</v>
      </c>
      <c r="Q18" s="91">
        <v>-62.000000000000007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191</v>
      </c>
      <c r="O19" s="110">
        <f>IF(P19=0,0,Q19/P19)</f>
        <v>-65.400000000000006</v>
      </c>
      <c r="P19" s="104">
        <v>2</v>
      </c>
      <c r="Q19" s="92">
        <v>-130.80000000000001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-115.4</v>
      </c>
      <c r="P20" s="104">
        <v>2</v>
      </c>
      <c r="Q20" s="92">
        <v>-230.8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1</v>
      </c>
      <c r="C23" s="33">
        <f>IF(B$17=0,0,B23/B$17)</f>
        <v>1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1300</v>
      </c>
      <c r="C24" s="35">
        <v>1300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1300</v>
      </c>
      <c r="C25" s="122">
        <v>1300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5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-4800</v>
      </c>
      <c r="C27" s="122">
        <v>-14400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5</v>
      </c>
    </row>
    <row r="29" spans="1:17">
      <c r="A29" s="47" t="s">
        <v>131</v>
      </c>
      <c r="B29" s="40">
        <v>13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2">
        <v>0</v>
      </c>
      <c r="C30" s="153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4">
        <v>13500</v>
      </c>
      <c r="C31" s="155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3"/>
        <v>0</v>
      </c>
      <c r="E41" s="55" t="s">
        <v>90</v>
      </c>
      <c r="F41" s="52" t="s">
        <v>202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18</v>
      </c>
    </row>
    <row r="43" spans="1:9">
      <c r="A43" s="47" t="s">
        <v>143</v>
      </c>
      <c r="B43" s="141">
        <v>0</v>
      </c>
      <c r="C43" s="33">
        <f t="shared" si="3"/>
        <v>0</v>
      </c>
    </row>
    <row r="44" spans="1:9">
      <c r="A44" s="47" t="s">
        <v>144</v>
      </c>
      <c r="B44" s="141">
        <v>0</v>
      </c>
      <c r="C44" s="33">
        <f t="shared" si="3"/>
        <v>0</v>
      </c>
    </row>
    <row r="45" spans="1:9">
      <c r="A45" s="47" t="s">
        <v>145</v>
      </c>
      <c r="B45" s="141">
        <v>0</v>
      </c>
      <c r="C45" s="33">
        <f t="shared" si="3"/>
        <v>0</v>
      </c>
    </row>
    <row r="46" spans="1:9">
      <c r="A46" s="47" t="s">
        <v>146</v>
      </c>
      <c r="B46" s="14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1D011-1460-4FA3-8594-D3AD2F469FC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207</v>
      </c>
      <c r="C1" s="157"/>
      <c r="E1" s="114" t="s">
        <v>129</v>
      </c>
      <c r="F1" s="143" t="s">
        <v>91</v>
      </c>
      <c r="G1" s="142" t="s">
        <v>92</v>
      </c>
      <c r="H1" s="115" t="s">
        <v>93</v>
      </c>
      <c r="I1" s="143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2</v>
      </c>
      <c r="C2" s="159"/>
      <c r="E2" s="54" t="s">
        <v>184</v>
      </c>
      <c r="F2" s="51" t="s">
        <v>187</v>
      </c>
      <c r="G2" s="39">
        <v>6</v>
      </c>
      <c r="H2" s="117">
        <f>IF(B$17=0,0,G2/B$17)</f>
        <v>0.8571428571428571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4850</v>
      </c>
      <c r="P2" s="103">
        <v>2</v>
      </c>
      <c r="Q2" s="87">
        <v>9700</v>
      </c>
    </row>
    <row r="3" spans="1:17">
      <c r="A3" s="47" t="s">
        <v>8</v>
      </c>
      <c r="B3" s="160">
        <v>14</v>
      </c>
      <c r="C3" s="161"/>
      <c r="E3" s="55" t="s">
        <v>181</v>
      </c>
      <c r="F3" s="52" t="s">
        <v>156</v>
      </c>
      <c r="G3" s="40">
        <v>4</v>
      </c>
      <c r="H3" s="118">
        <f>IF(B$17=0,0,G3/B$17)</f>
        <v>0.5714285714285714</v>
      </c>
      <c r="I3" s="80">
        <v>4</v>
      </c>
      <c r="K3" s="32">
        <v>1</v>
      </c>
      <c r="L3" s="85">
        <v>-18</v>
      </c>
      <c r="N3" s="100" t="s">
        <v>104</v>
      </c>
      <c r="O3" s="107">
        <f t="shared" si="0"/>
        <v>-1600</v>
      </c>
      <c r="P3" s="104">
        <v>2</v>
      </c>
      <c r="Q3" s="88">
        <v>-3200</v>
      </c>
    </row>
    <row r="4" spans="1:17">
      <c r="A4" s="47" t="s">
        <v>6</v>
      </c>
      <c r="B4" s="162">
        <v>7</v>
      </c>
      <c r="C4" s="163"/>
      <c r="E4" s="55" t="s">
        <v>182</v>
      </c>
      <c r="F4" s="52" t="s">
        <v>19</v>
      </c>
      <c r="G4" s="40">
        <v>2</v>
      </c>
      <c r="H4" s="118">
        <f>IF(B$17=0,0,G4/B$17)</f>
        <v>0.2857142857142857</v>
      </c>
      <c r="I4" s="80">
        <v>5</v>
      </c>
      <c r="K4" s="32">
        <v>2</v>
      </c>
      <c r="L4" s="85">
        <v>7</v>
      </c>
      <c r="N4" s="100" t="s">
        <v>105</v>
      </c>
      <c r="O4" s="107">
        <f t="shared" si="0"/>
        <v>7300</v>
      </c>
      <c r="P4" s="104">
        <v>2</v>
      </c>
      <c r="Q4" s="88">
        <v>14600</v>
      </c>
    </row>
    <row r="5" spans="1:17">
      <c r="A5" s="47" t="s">
        <v>7</v>
      </c>
      <c r="B5" s="164">
        <f>IF(B$2=0,0,B$4/B$2)</f>
        <v>3.5</v>
      </c>
      <c r="C5" s="165"/>
      <c r="E5" s="55" t="s">
        <v>54</v>
      </c>
      <c r="F5" s="52" t="s">
        <v>20</v>
      </c>
      <c r="G5" s="40">
        <v>2</v>
      </c>
      <c r="H5" s="118">
        <f>IF(B$17=0,0,G5/B$17)</f>
        <v>0.2857142857142857</v>
      </c>
      <c r="I5" s="80">
        <v>12</v>
      </c>
      <c r="N5" s="100" t="s">
        <v>157</v>
      </c>
      <c r="O5" s="107">
        <f>IF(P5=0,0,Q5/P5)</f>
        <v>-4100</v>
      </c>
      <c r="P5" s="104">
        <v>1</v>
      </c>
      <c r="Q5" s="88">
        <v>-4100</v>
      </c>
    </row>
    <row r="6" spans="1:17">
      <c r="A6" s="47" t="s">
        <v>1</v>
      </c>
      <c r="B6" s="166">
        <f>IF(B$2=0,0,(B$7*1+B$8*2+B$9*3+B$10*4)/B$2)</f>
        <v>2.5</v>
      </c>
      <c r="C6" s="167"/>
      <c r="E6" s="55" t="s">
        <v>56</v>
      </c>
      <c r="F6" s="52" t="s">
        <v>185</v>
      </c>
      <c r="G6" s="40">
        <v>2</v>
      </c>
      <c r="H6" s="118">
        <f>IF(B$17=0,0,G6/B$17)</f>
        <v>0.2857142857142857</v>
      </c>
      <c r="I6" s="80">
        <v>6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2</v>
      </c>
      <c r="H7" s="118">
        <f>IF(B$17=0,0,G7/B$17)</f>
        <v>0.2857142857142857</v>
      </c>
      <c r="I7" s="80">
        <v>4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60</v>
      </c>
      <c r="F8" s="52" t="s">
        <v>24</v>
      </c>
      <c r="G8" s="40">
        <v>2</v>
      </c>
      <c r="H8" s="118">
        <f>IF(B$17=0,0,G8/B$17)</f>
        <v>0.2857142857142857</v>
      </c>
      <c r="I8" s="80">
        <v>14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55</v>
      </c>
      <c r="F9" s="52" t="s">
        <v>155</v>
      </c>
      <c r="G9" s="40">
        <v>1</v>
      </c>
      <c r="H9" s="118">
        <f>IF(B$17=0,0,G9/B$17)</f>
        <v>0.14285714285714285</v>
      </c>
      <c r="I9" s="80">
        <v>13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1</v>
      </c>
      <c r="H10" s="118">
        <f>IF(B$17=0,0,G10/B$17)</f>
        <v>0.14285714285714285</v>
      </c>
      <c r="I10" s="80">
        <v>10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74</v>
      </c>
      <c r="F11" s="52" t="s">
        <v>38</v>
      </c>
      <c r="G11" s="40">
        <v>1</v>
      </c>
      <c r="H11" s="118">
        <f>IF(B$17=0,0,G11/B$17)</f>
        <v>0.14285714285714285</v>
      </c>
      <c r="I11" s="80">
        <v>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11</v>
      </c>
      <c r="N12" s="99" t="s">
        <v>126</v>
      </c>
      <c r="O12" s="109">
        <f>IF(P12=0,0,Q12/P12)</f>
        <v>-18</v>
      </c>
      <c r="P12" s="103">
        <v>1</v>
      </c>
      <c r="Q12" s="91">
        <v>-18</v>
      </c>
    </row>
    <row r="13" spans="1:17">
      <c r="A13" s="50" t="s">
        <v>97</v>
      </c>
      <c r="B13" s="43">
        <v>4</v>
      </c>
      <c r="C13" s="38">
        <f>IF(B$3=0,0,B13/B$3)</f>
        <v>0.2857142857142857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25</v>
      </c>
      <c r="P13" s="104">
        <v>1</v>
      </c>
      <c r="Q13" s="92">
        <v>25</v>
      </c>
    </row>
    <row r="14" spans="1:17">
      <c r="A14" s="47" t="s">
        <v>94</v>
      </c>
      <c r="B14" s="40">
        <v>4</v>
      </c>
      <c r="C14" s="33">
        <f>IF(B$3=0,0,B14/B$3)</f>
        <v>0.2857142857142857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4</v>
      </c>
      <c r="C15" s="31">
        <f>IF(B$13=0,0,B15/B$13)</f>
        <v>1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2</v>
      </c>
      <c r="C16" s="31">
        <f>IF(B$14=0,0,B16/B$14)</f>
        <v>0.5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0.5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0.14285714285714285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205</v>
      </c>
      <c r="O18" s="109">
        <f>IF(P18=0,0,Q18/P18)</f>
        <v>84</v>
      </c>
      <c r="P18" s="103">
        <v>1</v>
      </c>
      <c r="Q18" s="91">
        <v>84</v>
      </c>
    </row>
    <row r="19" spans="1:17">
      <c r="A19" s="47" t="s">
        <v>12</v>
      </c>
      <c r="B19" s="40">
        <v>2</v>
      </c>
      <c r="C19" s="33">
        <f>IF(B$17=0,0,B19/B$17)</f>
        <v>0.2857142857142857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195</v>
      </c>
      <c r="O19" s="110">
        <f>IF(P19=0,0,Q19/P19)</f>
        <v>54.85</v>
      </c>
      <c r="P19" s="104">
        <v>2</v>
      </c>
      <c r="Q19" s="92">
        <v>109.7</v>
      </c>
    </row>
    <row r="20" spans="1:17">
      <c r="A20" s="47" t="s">
        <v>11</v>
      </c>
      <c r="B20" s="40">
        <v>5</v>
      </c>
      <c r="C20" s="33">
        <f>IF(B$17=0,0,B20/B$17)</f>
        <v>0.7142857142857143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5</v>
      </c>
      <c r="N20" s="100" t="s">
        <v>179</v>
      </c>
      <c r="O20" s="110">
        <f>IF(P20=0,0,Q20/P20)</f>
        <v>-23.6</v>
      </c>
      <c r="P20" s="104">
        <v>1</v>
      </c>
      <c r="Q20" s="92">
        <v>-23.6</v>
      </c>
    </row>
    <row r="21" spans="1:17">
      <c r="A21" s="47" t="s">
        <v>151</v>
      </c>
      <c r="B21" s="40">
        <v>4</v>
      </c>
      <c r="C21" s="33">
        <f>IF(B$17=0,0,B21/B$17)</f>
        <v>0.5714285714285714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191</v>
      </c>
      <c r="O21" s="110">
        <f>IF(P21=0,0,Q21/P21)</f>
        <v>-47.5</v>
      </c>
      <c r="P21" s="104">
        <v>1</v>
      </c>
      <c r="Q21" s="92">
        <v>-47.5</v>
      </c>
    </row>
    <row r="22" spans="1:17">
      <c r="A22" s="47" t="s">
        <v>149</v>
      </c>
      <c r="B22" s="40">
        <v>2</v>
      </c>
      <c r="C22" s="33">
        <f>IF(B$17=0,0,B22/B$17)</f>
        <v>0.2857142857142857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164</v>
      </c>
      <c r="O22" s="110">
        <f>IF(P22=0,0,Q22/P22)</f>
        <v>-84.6</v>
      </c>
      <c r="P22" s="104">
        <v>1</v>
      </c>
      <c r="Q22" s="92">
        <v>-84.6</v>
      </c>
    </row>
    <row r="23" spans="1:17">
      <c r="A23" s="47" t="s">
        <v>150</v>
      </c>
      <c r="B23" s="40">
        <v>1</v>
      </c>
      <c r="C23" s="33">
        <f>IF(B$17=0,0,B23/B$17)</f>
        <v>0.14285714285714285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6600</v>
      </c>
      <c r="C24" s="35">
        <v>46200</v>
      </c>
      <c r="E24" s="55" t="s">
        <v>71</v>
      </c>
      <c r="F24" s="52" t="s">
        <v>35</v>
      </c>
      <c r="G24" s="40">
        <v>0</v>
      </c>
      <c r="H24" s="118">
        <f>IF(B$17=0,0,G24/B$17)</f>
        <v>0</v>
      </c>
      <c r="I24" s="80">
        <v>8</v>
      </c>
    </row>
    <row r="25" spans="1:17">
      <c r="A25" s="48" t="s">
        <v>133</v>
      </c>
      <c r="B25" s="121">
        <f>IF($B$17-B$16=0,0,C25/($B$17-B$16))</f>
        <v>8360</v>
      </c>
      <c r="C25" s="122">
        <v>41800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3</v>
      </c>
    </row>
    <row r="26" spans="1:17">
      <c r="A26" s="48" t="s">
        <v>134</v>
      </c>
      <c r="B26" s="121">
        <f>IF(B$16=0,0,C26/B$16)</f>
        <v>2200</v>
      </c>
      <c r="C26" s="122">
        <v>4400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132</v>
      </c>
      <c r="B27" s="121">
        <f>IF(B$18=0,0,C27/B$18)</f>
        <v>-11600</v>
      </c>
      <c r="C27" s="122">
        <v>-23200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5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10</v>
      </c>
      <c r="C29" s="120">
        <v>10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52">
        <v>3</v>
      </c>
      <c r="C30" s="15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4">
        <v>45000</v>
      </c>
      <c r="C31" s="15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4">
        <v>1</v>
      </c>
      <c r="C35" s="126">
        <f t="shared" ref="C35:C47" si="3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3"/>
        <v>0.2857142857142857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5">
        <v>1</v>
      </c>
      <c r="C37" s="33">
        <f t="shared" si="3"/>
        <v>0.14285714285714285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5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5">
        <v>2</v>
      </c>
      <c r="C39" s="33">
        <f t="shared" si="3"/>
        <v>0.2857142857142857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5">
        <v>1</v>
      </c>
      <c r="C40" s="33">
        <f t="shared" si="3"/>
        <v>0.14285714285714285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5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5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45">
        <v>0</v>
      </c>
      <c r="C43" s="33">
        <f t="shared" si="3"/>
        <v>0</v>
      </c>
    </row>
    <row r="44" spans="1:9">
      <c r="A44" s="47" t="s">
        <v>144</v>
      </c>
      <c r="B44" s="145">
        <v>0</v>
      </c>
      <c r="C44" s="33">
        <f t="shared" si="3"/>
        <v>0</v>
      </c>
    </row>
    <row r="45" spans="1:9">
      <c r="A45" s="47" t="s">
        <v>145</v>
      </c>
      <c r="B45" s="145">
        <v>0</v>
      </c>
      <c r="C45" s="33">
        <f t="shared" si="3"/>
        <v>0</v>
      </c>
    </row>
    <row r="46" spans="1:9">
      <c r="A46" s="47" t="s">
        <v>146</v>
      </c>
      <c r="B46" s="145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58203125" style="1" customWidth="1"/>
    <col min="11" max="11" width="3.5" style="5" customWidth="1"/>
    <col min="12" max="12" width="9" style="85" customWidth="1"/>
    <col min="13" max="13" width="3.58203125" style="1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1"/>
  </cols>
  <sheetData>
    <row r="1" spans="1:17">
      <c r="A1" s="17" t="s">
        <v>0</v>
      </c>
      <c r="B1" s="156"/>
      <c r="C1" s="157"/>
      <c r="E1" s="114" t="s">
        <v>129</v>
      </c>
      <c r="F1" s="128" t="s">
        <v>91</v>
      </c>
      <c r="G1" s="127" t="s">
        <v>92</v>
      </c>
      <c r="H1" s="115" t="s">
        <v>93</v>
      </c>
      <c r="I1" s="128" t="s">
        <v>118</v>
      </c>
      <c r="K1" s="2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123</v>
      </c>
    </row>
    <row r="2" spans="1:17">
      <c r="A2" s="18" t="s">
        <v>9</v>
      </c>
      <c r="B2" s="158">
        <v>0</v>
      </c>
      <c r="C2" s="159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60">
        <v>0</v>
      </c>
      <c r="C3" s="161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62">
        <v>0</v>
      </c>
      <c r="C4" s="163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64">
        <f>IF(B$2=0,0,B$4/B$2)</f>
        <v>0</v>
      </c>
      <c r="C5" s="165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66">
        <f>IF(B$2=0,0,(B$7*1+B$8*2+B$9*3+B$10*4)/B$2)</f>
        <v>0</v>
      </c>
      <c r="C6" s="167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120</v>
      </c>
      <c r="P17" s="102" t="s">
        <v>121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52">
        <v>0</v>
      </c>
      <c r="C30" s="153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54">
        <v>-1000000</v>
      </c>
      <c r="C31" s="155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112</v>
      </c>
      <c r="B32" s="26">
        <v>0</v>
      </c>
      <c r="C32" s="9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172</v>
      </c>
      <c r="C34" s="131" t="s">
        <v>173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23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24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24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24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24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24">
        <v>0</v>
      </c>
      <c r="C41" s="33">
        <f t="shared" si="4"/>
        <v>0</v>
      </c>
      <c r="E41" s="55" t="s">
        <v>90</v>
      </c>
      <c r="F41" s="52" t="s">
        <v>202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24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24">
        <v>0</v>
      </c>
      <c r="C43" s="33">
        <f t="shared" si="4"/>
        <v>0</v>
      </c>
    </row>
    <row r="44" spans="1:9">
      <c r="A44" s="47" t="s">
        <v>144</v>
      </c>
      <c r="B44" s="124">
        <v>0</v>
      </c>
      <c r="C44" s="33">
        <f t="shared" si="4"/>
        <v>0</v>
      </c>
    </row>
    <row r="45" spans="1:9">
      <c r="A45" s="47" t="s">
        <v>145</v>
      </c>
      <c r="B45" s="124">
        <v>0</v>
      </c>
      <c r="C45" s="33">
        <f t="shared" si="4"/>
        <v>0</v>
      </c>
    </row>
    <row r="46" spans="1:9">
      <c r="A46" s="47" t="s">
        <v>146</v>
      </c>
      <c r="B46" s="124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名前付き一覧</vt:lpstr>
      </vt:variant>
      <vt:variant>
        <vt:i4>1254</vt:i4>
      </vt:variant>
    </vt:vector>
  </HeadingPairs>
  <TitlesOfParts>
    <vt:vector size="127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小原陸哉</vt:lpstr>
      <vt:lpstr>川上翔大</vt:lpstr>
      <vt:lpstr>北沢蓮太郎</vt:lpstr>
      <vt:lpstr>市川大智</vt:lpstr>
      <vt:lpstr>Template</vt:lpstr>
      <vt:lpstr>依田幸憲!アガリ数</vt:lpstr>
      <vt:lpstr>高野源太!アガリ数</vt:lpstr>
      <vt:lpstr>佐藤成浩!アガリ数</vt:lpstr>
      <vt:lpstr>市川大智!アガリ数</vt:lpstr>
      <vt:lpstr>小原陸哉!アガリ数</vt:lpstr>
      <vt:lpstr>小林郁斗!アガリ数</vt:lpstr>
      <vt:lpstr>松澤亮太!アガリ数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髙橋桜!アガリ数</vt:lpstr>
      <vt:lpstr>アガリ数</vt:lpstr>
      <vt:lpstr>依田幸憲!アガリ率</vt:lpstr>
      <vt:lpstr>高野源太!アガリ率</vt:lpstr>
      <vt:lpstr>佐藤成浩!アガリ率</vt:lpstr>
      <vt:lpstr>市川大智!アガリ率</vt:lpstr>
      <vt:lpstr>小原陸哉!アガリ率</vt:lpstr>
      <vt:lpstr>小林郁斗!アガリ率</vt:lpstr>
      <vt:lpstr>松澤亮太!アガリ率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髙橋桜!アガリ率</vt:lpstr>
      <vt:lpstr>アガリ率</vt:lpstr>
      <vt:lpstr>依田幸憲!ダマアガリ数</vt:lpstr>
      <vt:lpstr>高野源太!ダマアガリ数</vt:lpstr>
      <vt:lpstr>佐藤成浩!ダマアガリ数</vt:lpstr>
      <vt:lpstr>市川大智!ダマアガリ数</vt:lpstr>
      <vt:lpstr>小原陸哉!ダマアガリ数</vt:lpstr>
      <vt:lpstr>小林郁斗!ダマアガリ数</vt:lpstr>
      <vt:lpstr>松澤亮太!ダマアガリ数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髙橋桜!ダマアガリ数</vt:lpstr>
      <vt:lpstr>ダマアガリ数</vt:lpstr>
      <vt:lpstr>依田幸憲!ダマアガリ率</vt:lpstr>
      <vt:lpstr>高野源太!ダマアガリ率</vt:lpstr>
      <vt:lpstr>佐藤成浩!ダマアガリ率</vt:lpstr>
      <vt:lpstr>市川大智!ダマアガリ率</vt:lpstr>
      <vt:lpstr>小原陸哉!ダマアガリ率</vt:lpstr>
      <vt:lpstr>小林郁斗!ダマアガリ率</vt:lpstr>
      <vt:lpstr>松澤亮太!ダマアガリ率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髙橋桜!ダマアガリ率</vt:lpstr>
      <vt:lpstr>ダマアガリ率</vt:lpstr>
      <vt:lpstr>依田幸憲!チョンボ数</vt:lpstr>
      <vt:lpstr>高野源太!チョンボ数</vt:lpstr>
      <vt:lpstr>佐藤成浩!チョンボ数</vt:lpstr>
      <vt:lpstr>市川大智!チョンボ数</vt:lpstr>
      <vt:lpstr>小原陸哉!チョンボ数</vt:lpstr>
      <vt:lpstr>小林郁斗!チョンボ数</vt:lpstr>
      <vt:lpstr>松澤亮太!チョンボ数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髙橋桜!チョンボ数</vt:lpstr>
      <vt:lpstr>チョンボ数</vt:lpstr>
      <vt:lpstr>依田幸憲!チョンボ率</vt:lpstr>
      <vt:lpstr>高野源太!チョンボ率</vt:lpstr>
      <vt:lpstr>佐藤成浩!チョンボ率</vt:lpstr>
      <vt:lpstr>市川大智!チョンボ率</vt:lpstr>
      <vt:lpstr>小原陸哉!チョンボ率</vt:lpstr>
      <vt:lpstr>小林郁斗!チョンボ率</vt:lpstr>
      <vt:lpstr>松澤亮太!チョンボ率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髙橋桜!チョンボ率</vt:lpstr>
      <vt:lpstr>チョンボ率</vt:lpstr>
      <vt:lpstr>依田幸憲!ツモ数</vt:lpstr>
      <vt:lpstr>高野源太!ツモ数</vt:lpstr>
      <vt:lpstr>佐藤成浩!ツモ数</vt:lpstr>
      <vt:lpstr>市川大智!ツモ数</vt:lpstr>
      <vt:lpstr>小原陸哉!ツモ数</vt:lpstr>
      <vt:lpstr>小林郁斗!ツモ数</vt:lpstr>
      <vt:lpstr>松澤亮太!ツモ数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髙橋桜!ツモ数</vt:lpstr>
      <vt:lpstr>ツモ数</vt:lpstr>
      <vt:lpstr>依田幸憲!ツモ率</vt:lpstr>
      <vt:lpstr>高野源太!ツモ率</vt:lpstr>
      <vt:lpstr>佐藤成浩!ツモ率</vt:lpstr>
      <vt:lpstr>市川大智!ツモ率</vt:lpstr>
      <vt:lpstr>小原陸哉!ツモ率</vt:lpstr>
      <vt:lpstr>小林郁斗!ツモ率</vt:lpstr>
      <vt:lpstr>松澤亮太!ツモ率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髙橋桜!ツモ率</vt:lpstr>
      <vt:lpstr>ツモ率</vt:lpstr>
      <vt:lpstr>依田幸憲!トップ数</vt:lpstr>
      <vt:lpstr>高野源太!トップ数</vt:lpstr>
      <vt:lpstr>佐藤成浩!トップ数</vt:lpstr>
      <vt:lpstr>市川大智!トップ数</vt:lpstr>
      <vt:lpstr>小原陸哉!トップ数</vt:lpstr>
      <vt:lpstr>小林郁斗!トップ数</vt:lpstr>
      <vt:lpstr>松澤亮太!トップ数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髙橋桜!トップ数</vt:lpstr>
      <vt:lpstr>トップ数</vt:lpstr>
      <vt:lpstr>依田幸憲!トップ率</vt:lpstr>
      <vt:lpstr>高野源太!トップ率</vt:lpstr>
      <vt:lpstr>佐藤成浩!トップ率</vt:lpstr>
      <vt:lpstr>市川大智!トップ率</vt:lpstr>
      <vt:lpstr>小原陸哉!トップ率</vt:lpstr>
      <vt:lpstr>小林郁斗!トップ率</vt:lpstr>
      <vt:lpstr>松澤亮太!トップ率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髙橋桜!トップ率</vt:lpstr>
      <vt:lpstr>トップ率</vt:lpstr>
      <vt:lpstr>依田幸憲!ふっとび数</vt:lpstr>
      <vt:lpstr>高野源太!ふっとび数</vt:lpstr>
      <vt:lpstr>佐藤成浩!ふっとび数</vt:lpstr>
      <vt:lpstr>市川大智!ふっとび数</vt:lpstr>
      <vt:lpstr>小原陸哉!ふっとび数</vt:lpstr>
      <vt:lpstr>小林郁斗!ふっとび数</vt:lpstr>
      <vt:lpstr>松澤亮太!ふっとび数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髙橋桜!ふっとび数</vt:lpstr>
      <vt:lpstr>ふっとび数</vt:lpstr>
      <vt:lpstr>依田幸憲!ふっとび率</vt:lpstr>
      <vt:lpstr>高野源太!ふっとび率</vt:lpstr>
      <vt:lpstr>佐藤成浩!ふっとび率</vt:lpstr>
      <vt:lpstr>市川大智!ふっとび率</vt:lpstr>
      <vt:lpstr>小原陸哉!ふっとび率</vt:lpstr>
      <vt:lpstr>小林郁斗!ふっとび率</vt:lpstr>
      <vt:lpstr>松澤亮太!ふっとび率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髙橋桜!ふっとび率</vt:lpstr>
      <vt:lpstr>ふっとび率</vt:lpstr>
      <vt:lpstr>依田幸憲!ラス数</vt:lpstr>
      <vt:lpstr>高野源太!ラス数</vt:lpstr>
      <vt:lpstr>佐藤成浩!ラス数</vt:lpstr>
      <vt:lpstr>市川大智!ラス数</vt:lpstr>
      <vt:lpstr>小原陸哉!ラス数</vt:lpstr>
      <vt:lpstr>小林郁斗!ラス数</vt:lpstr>
      <vt:lpstr>松澤亮太!ラス数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髙橋桜!ラス数</vt:lpstr>
      <vt:lpstr>ラス数</vt:lpstr>
      <vt:lpstr>依田幸憲!ラス率</vt:lpstr>
      <vt:lpstr>高野源太!ラス率</vt:lpstr>
      <vt:lpstr>佐藤成浩!ラス率</vt:lpstr>
      <vt:lpstr>市川大智!ラス率</vt:lpstr>
      <vt:lpstr>小原陸哉!ラス率</vt:lpstr>
      <vt:lpstr>小林郁斗!ラス率</vt:lpstr>
      <vt:lpstr>松澤亮太!ラス率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髙橋桜!ラス率</vt:lpstr>
      <vt:lpstr>ラス率</vt:lpstr>
      <vt:lpstr>依田幸憲!リーチアガリ数</vt:lpstr>
      <vt:lpstr>高野源太!リーチアガリ数</vt:lpstr>
      <vt:lpstr>佐藤成浩!リーチアガリ数</vt:lpstr>
      <vt:lpstr>市川大智!リーチアガリ数</vt:lpstr>
      <vt:lpstr>小原陸哉!リーチアガリ数</vt:lpstr>
      <vt:lpstr>小林郁斗!リーチアガリ数</vt:lpstr>
      <vt:lpstr>松澤亮太!リーチアガリ数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髙橋桜!リーチアガリ数</vt:lpstr>
      <vt:lpstr>リーチアガリ数</vt:lpstr>
      <vt:lpstr>依田幸憲!リーチアガリ率</vt:lpstr>
      <vt:lpstr>高野源太!リーチアガリ率</vt:lpstr>
      <vt:lpstr>佐藤成浩!リーチアガリ率</vt:lpstr>
      <vt:lpstr>市川大智!リーチアガリ率</vt:lpstr>
      <vt:lpstr>小原陸哉!リーチアガリ率</vt:lpstr>
      <vt:lpstr>小林郁斗!リーチアガリ率</vt:lpstr>
      <vt:lpstr>松澤亮太!リーチアガリ率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髙橋桜!リーチアガリ率</vt:lpstr>
      <vt:lpstr>リーチアガリ率</vt:lpstr>
      <vt:lpstr>依田幸憲!リーチ数</vt:lpstr>
      <vt:lpstr>高野源太!リーチ数</vt:lpstr>
      <vt:lpstr>佐藤成浩!リーチ数</vt:lpstr>
      <vt:lpstr>市川大智!リーチ数</vt:lpstr>
      <vt:lpstr>小原陸哉!リーチ数</vt:lpstr>
      <vt:lpstr>小林郁斗!リーチ数</vt:lpstr>
      <vt:lpstr>松澤亮太!リーチ数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髙橋桜!リーチ数</vt:lpstr>
      <vt:lpstr>リーチ数</vt:lpstr>
      <vt:lpstr>依田幸憲!リーチ成功数</vt:lpstr>
      <vt:lpstr>高野源太!リーチ成功数</vt:lpstr>
      <vt:lpstr>佐藤成浩!リーチ成功数</vt:lpstr>
      <vt:lpstr>市川大智!リーチ成功数</vt:lpstr>
      <vt:lpstr>小原陸哉!リーチ成功数</vt:lpstr>
      <vt:lpstr>小林郁斗!リーチ成功数</vt:lpstr>
      <vt:lpstr>松澤亮太!リーチ成功数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髙橋桜!リーチ成功数</vt:lpstr>
      <vt:lpstr>リーチ成功数</vt:lpstr>
      <vt:lpstr>依田幸憲!リーチ成功率</vt:lpstr>
      <vt:lpstr>高野源太!リーチ成功率</vt:lpstr>
      <vt:lpstr>佐藤成浩!リーチ成功率</vt:lpstr>
      <vt:lpstr>市川大智!リーチ成功率</vt:lpstr>
      <vt:lpstr>小原陸哉!リーチ成功率</vt:lpstr>
      <vt:lpstr>小林郁斗!リーチ成功率</vt:lpstr>
      <vt:lpstr>松澤亮太!リーチ成功率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髙橋桜!リーチ成功率</vt:lpstr>
      <vt:lpstr>リーチ成功率</vt:lpstr>
      <vt:lpstr>依田幸憲!リーチ率</vt:lpstr>
      <vt:lpstr>高野源太!リーチ率</vt:lpstr>
      <vt:lpstr>佐藤成浩!リーチ率</vt:lpstr>
      <vt:lpstr>市川大智!リーチ率</vt:lpstr>
      <vt:lpstr>小原陸哉!リーチ率</vt:lpstr>
      <vt:lpstr>小林郁斗!リーチ率</vt:lpstr>
      <vt:lpstr>松澤亮太!リーチ率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髙橋桜!リーチ率</vt:lpstr>
      <vt:lpstr>リーチ率</vt:lpstr>
      <vt:lpstr>依田幸憲!ロン数</vt:lpstr>
      <vt:lpstr>高野源太!ロン数</vt:lpstr>
      <vt:lpstr>佐藤成浩!ロン数</vt:lpstr>
      <vt:lpstr>市川大智!ロン数</vt:lpstr>
      <vt:lpstr>小原陸哉!ロン数</vt:lpstr>
      <vt:lpstr>小林郁斗!ロン数</vt:lpstr>
      <vt:lpstr>松澤亮太!ロン数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髙橋桜!ロン数</vt:lpstr>
      <vt:lpstr>ロン数</vt:lpstr>
      <vt:lpstr>依田幸憲!ロン率</vt:lpstr>
      <vt:lpstr>高野源太!ロン率</vt:lpstr>
      <vt:lpstr>佐藤成浩!ロン率</vt:lpstr>
      <vt:lpstr>市川大智!ロン率</vt:lpstr>
      <vt:lpstr>小原陸哉!ロン率</vt:lpstr>
      <vt:lpstr>小林郁斗!ロン率</vt:lpstr>
      <vt:lpstr>松澤亮太!ロン率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髙橋桜!ロン率</vt:lpstr>
      <vt:lpstr>ロン率</vt:lpstr>
      <vt:lpstr>依田幸憲!現行連続アガリ</vt:lpstr>
      <vt:lpstr>高野源太!現行連続アガリ</vt:lpstr>
      <vt:lpstr>佐藤成浩!現行連続アガリ</vt:lpstr>
      <vt:lpstr>市川大智!現行連続アガリ</vt:lpstr>
      <vt:lpstr>小原陸哉!現行連続アガリ</vt:lpstr>
      <vt:lpstr>小林郁斗!現行連続アガリ</vt:lpstr>
      <vt:lpstr>松澤亮太!現行連続アガリ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髙橋桜!現行連続アガリ</vt:lpstr>
      <vt:lpstr>現行連続アガリ</vt:lpstr>
      <vt:lpstr>依田幸憲!現行連続無放銃</vt:lpstr>
      <vt:lpstr>高野源太!現行連続無放銃</vt:lpstr>
      <vt:lpstr>佐藤成浩!現行連続無放銃</vt:lpstr>
      <vt:lpstr>市川大智!現行連続無放銃</vt:lpstr>
      <vt:lpstr>小原陸哉!現行連続無放銃</vt:lpstr>
      <vt:lpstr>小林郁斗!現行連続無放銃</vt:lpstr>
      <vt:lpstr>松澤亮太!現行連続無放銃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髙橋桜!現行連続無放銃</vt:lpstr>
      <vt:lpstr>現行連続無放銃</vt:lpstr>
      <vt:lpstr>依田幸憲!最高点</vt:lpstr>
      <vt:lpstr>高野源太!最高点</vt:lpstr>
      <vt:lpstr>佐藤成浩!最高点</vt:lpstr>
      <vt:lpstr>市川大智!最高点</vt:lpstr>
      <vt:lpstr>小原陸哉!最高点</vt:lpstr>
      <vt:lpstr>小林郁斗!最高点</vt:lpstr>
      <vt:lpstr>松澤亮太!最高点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髙橋桜!最高点</vt:lpstr>
      <vt:lpstr>最高点</vt:lpstr>
      <vt:lpstr>依田幸憲!最大ドラ数</vt:lpstr>
      <vt:lpstr>高野源太!最大ドラ数</vt:lpstr>
      <vt:lpstr>佐藤成浩!最大ドラ数</vt:lpstr>
      <vt:lpstr>市川大智!最大ドラ数</vt:lpstr>
      <vt:lpstr>小原陸哉!最大ドラ数</vt:lpstr>
      <vt:lpstr>小林郁斗!最大ドラ数</vt:lpstr>
      <vt:lpstr>松澤亮太!最大ドラ数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髙橋桜!最大ドラ数</vt:lpstr>
      <vt:lpstr>最大ドラ数</vt:lpstr>
      <vt:lpstr>依田幸憲!最大点数</vt:lpstr>
      <vt:lpstr>高野源太!最大点数</vt:lpstr>
      <vt:lpstr>佐藤成浩!最大点数</vt:lpstr>
      <vt:lpstr>市川大智!最大点数</vt:lpstr>
      <vt:lpstr>小原陸哉!最大点数</vt:lpstr>
      <vt:lpstr>小林郁斗!最大点数</vt:lpstr>
      <vt:lpstr>松澤亮太!最大点数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髙橋桜!最大点数</vt:lpstr>
      <vt:lpstr>最大点数</vt:lpstr>
      <vt:lpstr>依田幸憲!三位数</vt:lpstr>
      <vt:lpstr>高野源太!三位数</vt:lpstr>
      <vt:lpstr>佐藤成浩!三位数</vt:lpstr>
      <vt:lpstr>市川大智!三位数</vt:lpstr>
      <vt:lpstr>小原陸哉!三位数</vt:lpstr>
      <vt:lpstr>小林郁斗!三位数</vt:lpstr>
      <vt:lpstr>松澤亮太!三位数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髙橋桜!三位数</vt:lpstr>
      <vt:lpstr>三位数</vt:lpstr>
      <vt:lpstr>依田幸憲!三位率</vt:lpstr>
      <vt:lpstr>高野源太!三位率</vt:lpstr>
      <vt:lpstr>佐藤成浩!三位率</vt:lpstr>
      <vt:lpstr>市川大智!三位率</vt:lpstr>
      <vt:lpstr>小原陸哉!三位率</vt:lpstr>
      <vt:lpstr>小林郁斗!三位率</vt:lpstr>
      <vt:lpstr>松澤亮太!三位率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髙橋桜!三位率</vt:lpstr>
      <vt:lpstr>三位率</vt:lpstr>
      <vt:lpstr>依田幸憲!総局数</vt:lpstr>
      <vt:lpstr>高野源太!総局数</vt:lpstr>
      <vt:lpstr>佐藤成浩!総局数</vt:lpstr>
      <vt:lpstr>市川大智!総局数</vt:lpstr>
      <vt:lpstr>小原陸哉!総局数</vt:lpstr>
      <vt:lpstr>小林郁斗!総局数</vt:lpstr>
      <vt:lpstr>松澤亮太!総局数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髙橋桜!総局数</vt:lpstr>
      <vt:lpstr>総局数</vt:lpstr>
      <vt:lpstr>依田幸憲!対戦数</vt:lpstr>
      <vt:lpstr>高野源太!対戦数</vt:lpstr>
      <vt:lpstr>佐藤成浩!対戦数</vt:lpstr>
      <vt:lpstr>市川大智!対戦数</vt:lpstr>
      <vt:lpstr>小原陸哉!対戦数</vt:lpstr>
      <vt:lpstr>小林郁斗!対戦数</vt:lpstr>
      <vt:lpstr>松澤亮太!対戦数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髙橋桜!対戦数</vt:lpstr>
      <vt:lpstr>対戦数</vt:lpstr>
      <vt:lpstr>依田幸憲!通算アガリ点</vt:lpstr>
      <vt:lpstr>高野源太!通算アガリ点</vt:lpstr>
      <vt:lpstr>佐藤成浩!通算アガリ点</vt:lpstr>
      <vt:lpstr>市川大智!通算アガリ点</vt:lpstr>
      <vt:lpstr>小原陸哉!通算アガリ点</vt:lpstr>
      <vt:lpstr>小林郁斗!通算アガリ点</vt:lpstr>
      <vt:lpstr>松澤亮太!通算アガリ点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髙橋桜!通算アガリ点</vt:lpstr>
      <vt:lpstr>通算アガリ点</vt:lpstr>
      <vt:lpstr>依田幸憲!通算スコア</vt:lpstr>
      <vt:lpstr>高野源太!通算スコア</vt:lpstr>
      <vt:lpstr>佐藤成浩!通算スコア</vt:lpstr>
      <vt:lpstr>市川大智!通算スコア</vt:lpstr>
      <vt:lpstr>小原陸哉!通算スコア</vt:lpstr>
      <vt:lpstr>小林郁斗!通算スコア</vt:lpstr>
      <vt:lpstr>松澤亮太!通算スコア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髙橋桜!通算スコア</vt:lpstr>
      <vt:lpstr>通算スコア</vt:lpstr>
      <vt:lpstr>依田幸憲!通算副露アガリ点</vt:lpstr>
      <vt:lpstr>高野源太!通算副露アガリ点</vt:lpstr>
      <vt:lpstr>佐藤成浩!通算副露アガリ点</vt:lpstr>
      <vt:lpstr>市川大智!通算副露アガリ点</vt:lpstr>
      <vt:lpstr>小原陸哉!通算副露アガリ点</vt:lpstr>
      <vt:lpstr>小林郁斗!通算副露アガリ点</vt:lpstr>
      <vt:lpstr>松澤亮太!通算副露アガリ点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髙橋桜!通算副露アガリ点</vt:lpstr>
      <vt:lpstr>通算副露アガリ点</vt:lpstr>
      <vt:lpstr>依田幸憲!通算放銃点</vt:lpstr>
      <vt:lpstr>高野源太!通算放銃点</vt:lpstr>
      <vt:lpstr>佐藤成浩!通算放銃点</vt:lpstr>
      <vt:lpstr>市川大智!通算放銃点</vt:lpstr>
      <vt:lpstr>小原陸哉!通算放銃点</vt:lpstr>
      <vt:lpstr>小林郁斗!通算放銃点</vt:lpstr>
      <vt:lpstr>松澤亮太!通算放銃点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髙橋桜!通算放銃点</vt:lpstr>
      <vt:lpstr>通算放銃点</vt:lpstr>
      <vt:lpstr>依田幸憲!通算門前アガリ点</vt:lpstr>
      <vt:lpstr>高野源太!通算門前アガリ点</vt:lpstr>
      <vt:lpstr>佐藤成浩!通算門前アガリ点</vt:lpstr>
      <vt:lpstr>市川大智!通算門前アガリ点</vt:lpstr>
      <vt:lpstr>小原陸哉!通算門前アガリ点</vt:lpstr>
      <vt:lpstr>小林郁斗!通算門前アガリ点</vt:lpstr>
      <vt:lpstr>松澤亮太!通算門前アガリ点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髙橋桜!通算門前アガリ点</vt:lpstr>
      <vt:lpstr>通算門前アガリ点</vt:lpstr>
      <vt:lpstr>依田幸憲!二位数</vt:lpstr>
      <vt:lpstr>高野源太!二位数</vt:lpstr>
      <vt:lpstr>佐藤成浩!二位数</vt:lpstr>
      <vt:lpstr>市川大智!二位数</vt:lpstr>
      <vt:lpstr>小原陸哉!二位数</vt:lpstr>
      <vt:lpstr>小林郁斗!二位数</vt:lpstr>
      <vt:lpstr>松澤亮太!二位数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髙橋桜!二位数</vt:lpstr>
      <vt:lpstr>二位数</vt:lpstr>
      <vt:lpstr>依田幸憲!二位率</vt:lpstr>
      <vt:lpstr>高野源太!二位率</vt:lpstr>
      <vt:lpstr>佐藤成浩!二位率</vt:lpstr>
      <vt:lpstr>市川大智!二位率</vt:lpstr>
      <vt:lpstr>小原陸哉!二位率</vt:lpstr>
      <vt:lpstr>小林郁斗!二位率</vt:lpstr>
      <vt:lpstr>松澤亮太!二位率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髙橋桜!二位率</vt:lpstr>
      <vt:lpstr>二位率</vt:lpstr>
      <vt:lpstr>依田幸憲!副露アガリ数</vt:lpstr>
      <vt:lpstr>高野源太!副露アガリ数</vt:lpstr>
      <vt:lpstr>佐藤成浩!副露アガリ数</vt:lpstr>
      <vt:lpstr>市川大智!副露アガリ数</vt:lpstr>
      <vt:lpstr>小原陸哉!副露アガリ数</vt:lpstr>
      <vt:lpstr>小林郁斗!副露アガリ数</vt:lpstr>
      <vt:lpstr>松澤亮太!副露アガリ数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髙橋桜!副露アガリ数</vt:lpstr>
      <vt:lpstr>副露アガリ数</vt:lpstr>
      <vt:lpstr>依田幸憲!副露アガリ点</vt:lpstr>
      <vt:lpstr>高野源太!副露アガリ点</vt:lpstr>
      <vt:lpstr>佐藤成浩!副露アガリ点</vt:lpstr>
      <vt:lpstr>市川大智!副露アガリ点</vt:lpstr>
      <vt:lpstr>小原陸哉!副露アガリ点</vt:lpstr>
      <vt:lpstr>小林郁斗!副露アガリ点</vt:lpstr>
      <vt:lpstr>松澤亮太!副露アガリ点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髙橋桜!副露アガリ点</vt:lpstr>
      <vt:lpstr>副露アガリ点</vt:lpstr>
      <vt:lpstr>依田幸憲!副露アガリ率</vt:lpstr>
      <vt:lpstr>高野源太!副露アガリ率</vt:lpstr>
      <vt:lpstr>佐藤成浩!副露アガリ率</vt:lpstr>
      <vt:lpstr>市川大智!副露アガリ率</vt:lpstr>
      <vt:lpstr>小原陸哉!副露アガリ率</vt:lpstr>
      <vt:lpstr>小林郁斗!副露アガリ率</vt:lpstr>
      <vt:lpstr>松澤亮太!副露アガリ率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髙橋桜!副露アガリ率</vt:lpstr>
      <vt:lpstr>副露アガリ率</vt:lpstr>
      <vt:lpstr>依田幸憲!副露数</vt:lpstr>
      <vt:lpstr>高野源太!副露数</vt:lpstr>
      <vt:lpstr>佐藤成浩!副露数</vt:lpstr>
      <vt:lpstr>市川大智!副露数</vt:lpstr>
      <vt:lpstr>小原陸哉!副露数</vt:lpstr>
      <vt:lpstr>小林郁斗!副露数</vt:lpstr>
      <vt:lpstr>松澤亮太!副露数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髙橋桜!副露数</vt:lpstr>
      <vt:lpstr>副露数</vt:lpstr>
      <vt:lpstr>依田幸憲!副露成功数</vt:lpstr>
      <vt:lpstr>高野源太!副露成功数</vt:lpstr>
      <vt:lpstr>佐藤成浩!副露成功数</vt:lpstr>
      <vt:lpstr>市川大智!副露成功数</vt:lpstr>
      <vt:lpstr>小原陸哉!副露成功数</vt:lpstr>
      <vt:lpstr>小林郁斗!副露成功数</vt:lpstr>
      <vt:lpstr>松澤亮太!副露成功数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髙橋桜!副露成功数</vt:lpstr>
      <vt:lpstr>副露成功数</vt:lpstr>
      <vt:lpstr>依田幸憲!副露成功率</vt:lpstr>
      <vt:lpstr>高野源太!副露成功率</vt:lpstr>
      <vt:lpstr>佐藤成浩!副露成功率</vt:lpstr>
      <vt:lpstr>市川大智!副露成功率</vt:lpstr>
      <vt:lpstr>小原陸哉!副露成功率</vt:lpstr>
      <vt:lpstr>小林郁斗!副露成功率</vt:lpstr>
      <vt:lpstr>松澤亮太!副露成功率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髙橋桜!副露成功率</vt:lpstr>
      <vt:lpstr>副露成功率</vt:lpstr>
      <vt:lpstr>依田幸憲!副露率</vt:lpstr>
      <vt:lpstr>高野源太!副露率</vt:lpstr>
      <vt:lpstr>佐藤成浩!副露率</vt:lpstr>
      <vt:lpstr>市川大智!副露率</vt:lpstr>
      <vt:lpstr>小原陸哉!副露率</vt:lpstr>
      <vt:lpstr>小林郁斗!副露率</vt:lpstr>
      <vt:lpstr>松澤亮太!副露率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髙橋桜!副露率</vt:lpstr>
      <vt:lpstr>副露率</vt:lpstr>
      <vt:lpstr>依田幸憲!平均アガリ点</vt:lpstr>
      <vt:lpstr>高野源太!平均アガリ点</vt:lpstr>
      <vt:lpstr>佐藤成浩!平均アガリ点</vt:lpstr>
      <vt:lpstr>市川大智!平均アガリ点</vt:lpstr>
      <vt:lpstr>小原陸哉!平均アガリ点</vt:lpstr>
      <vt:lpstr>小林郁斗!平均アガリ点</vt:lpstr>
      <vt:lpstr>松澤亮太!平均アガリ点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髙橋桜!平均アガリ点</vt:lpstr>
      <vt:lpstr>平均アガリ点</vt:lpstr>
      <vt:lpstr>依田幸憲!平均スコア</vt:lpstr>
      <vt:lpstr>高野源太!平均スコア</vt:lpstr>
      <vt:lpstr>佐藤成浩!平均スコア</vt:lpstr>
      <vt:lpstr>市川大智!平均スコア</vt:lpstr>
      <vt:lpstr>小原陸哉!平均スコア</vt:lpstr>
      <vt:lpstr>小林郁斗!平均スコア</vt:lpstr>
      <vt:lpstr>松澤亮太!平均スコア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髙橋桜!平均スコア</vt:lpstr>
      <vt:lpstr>平均スコア</vt:lpstr>
      <vt:lpstr>依田幸憲!平均順位</vt:lpstr>
      <vt:lpstr>高野源太!平均順位</vt:lpstr>
      <vt:lpstr>佐藤成浩!平均順位</vt:lpstr>
      <vt:lpstr>市川大智!平均順位</vt:lpstr>
      <vt:lpstr>小原陸哉!平均順位</vt:lpstr>
      <vt:lpstr>小林郁斗!平均順位</vt:lpstr>
      <vt:lpstr>松澤亮太!平均順位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髙橋桜!平均順位</vt:lpstr>
      <vt:lpstr>平均順位</vt:lpstr>
      <vt:lpstr>依田幸憲!平均放銃点</vt:lpstr>
      <vt:lpstr>高野源太!平均放銃点</vt:lpstr>
      <vt:lpstr>佐藤成浩!平均放銃点</vt:lpstr>
      <vt:lpstr>市川大智!平均放銃点</vt:lpstr>
      <vt:lpstr>小原陸哉!平均放銃点</vt:lpstr>
      <vt:lpstr>小林郁斗!平均放銃点</vt:lpstr>
      <vt:lpstr>松澤亮太!平均放銃点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髙橋桜!平均放銃点</vt:lpstr>
      <vt:lpstr>平均放銃点</vt:lpstr>
      <vt:lpstr>依田幸憲!放銃数</vt:lpstr>
      <vt:lpstr>高野源太!放銃数</vt:lpstr>
      <vt:lpstr>佐藤成浩!放銃数</vt:lpstr>
      <vt:lpstr>市川大智!放銃数</vt:lpstr>
      <vt:lpstr>小原陸哉!放銃数</vt:lpstr>
      <vt:lpstr>小林郁斗!放銃数</vt:lpstr>
      <vt:lpstr>松澤亮太!放銃数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髙橋桜!放銃数</vt:lpstr>
      <vt:lpstr>放銃数</vt:lpstr>
      <vt:lpstr>依田幸憲!放銃率</vt:lpstr>
      <vt:lpstr>高野源太!放銃率</vt:lpstr>
      <vt:lpstr>佐藤成浩!放銃率</vt:lpstr>
      <vt:lpstr>市川大智!放銃率</vt:lpstr>
      <vt:lpstr>小原陸哉!放銃率</vt:lpstr>
      <vt:lpstr>小林郁斗!放銃率</vt:lpstr>
      <vt:lpstr>松澤亮太!放銃率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髙橋桜!放銃率</vt:lpstr>
      <vt:lpstr>放銃率</vt:lpstr>
      <vt:lpstr>依田幸憲!名前</vt:lpstr>
      <vt:lpstr>高野源太!名前</vt:lpstr>
      <vt:lpstr>佐藤成浩!名前</vt:lpstr>
      <vt:lpstr>市川大智!名前</vt:lpstr>
      <vt:lpstr>小原陸哉!名前</vt:lpstr>
      <vt:lpstr>小林郁斗!名前</vt:lpstr>
      <vt:lpstr>松澤亮太!名前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髙橋桜!名前</vt:lpstr>
      <vt:lpstr>名前</vt:lpstr>
      <vt:lpstr>依田幸憲!門前アガリ点</vt:lpstr>
      <vt:lpstr>高野源太!門前アガリ点</vt:lpstr>
      <vt:lpstr>佐藤成浩!門前アガリ点</vt:lpstr>
      <vt:lpstr>市川大智!門前アガリ点</vt:lpstr>
      <vt:lpstr>小原陸哉!門前アガリ点</vt:lpstr>
      <vt:lpstr>小林郁斗!門前アガリ点</vt:lpstr>
      <vt:lpstr>松澤亮太!門前アガリ点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髙橋桜!門前アガリ点</vt:lpstr>
      <vt:lpstr>門前アガリ点</vt:lpstr>
      <vt:lpstr>依田幸憲!連続アガリ</vt:lpstr>
      <vt:lpstr>高野源太!連続アガリ</vt:lpstr>
      <vt:lpstr>佐藤成浩!連続アガリ</vt:lpstr>
      <vt:lpstr>市川大智!連続アガリ</vt:lpstr>
      <vt:lpstr>小原陸哉!連続アガリ</vt:lpstr>
      <vt:lpstr>小林郁斗!連続アガリ</vt:lpstr>
      <vt:lpstr>松澤亮太!連続アガリ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髙橋桜!連続アガリ</vt:lpstr>
      <vt:lpstr>連続アガリ</vt:lpstr>
      <vt:lpstr>依田幸憲!連続無放銃</vt:lpstr>
      <vt:lpstr>高野源太!連続無放銃</vt:lpstr>
      <vt:lpstr>佐藤成浩!連続無放銃</vt:lpstr>
      <vt:lpstr>市川大智!連続無放銃</vt:lpstr>
      <vt:lpstr>小原陸哉!連続無放銃</vt:lpstr>
      <vt:lpstr>小林郁斗!連続無放銃</vt:lpstr>
      <vt:lpstr>松澤亮太!連続無放銃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髙橋桜!連続無放銃</vt:lpstr>
      <vt:lpstr>連続無放銃</vt:lpstr>
      <vt:lpstr>依田幸憲!連対数</vt:lpstr>
      <vt:lpstr>高野源太!連対数</vt:lpstr>
      <vt:lpstr>佐藤成浩!連対数</vt:lpstr>
      <vt:lpstr>市川大智!連対数</vt:lpstr>
      <vt:lpstr>小原陸哉!連対数</vt:lpstr>
      <vt:lpstr>小林郁斗!連対数</vt:lpstr>
      <vt:lpstr>松澤亮太!連対数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髙橋桜!連対数</vt:lpstr>
      <vt:lpstr>連対数</vt:lpstr>
      <vt:lpstr>依田幸憲!連対率</vt:lpstr>
      <vt:lpstr>高野源太!連対率</vt:lpstr>
      <vt:lpstr>佐藤成浩!連対率</vt:lpstr>
      <vt:lpstr>市川大智!連対率</vt:lpstr>
      <vt:lpstr>小原陸哉!連対率</vt:lpstr>
      <vt:lpstr>小林郁斗!連対率</vt:lpstr>
      <vt:lpstr>松澤亮太!連対率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Rentaro</cp:lastModifiedBy>
  <dcterms:created xsi:type="dcterms:W3CDTF">2018-11-18T09:24:12Z</dcterms:created>
  <dcterms:modified xsi:type="dcterms:W3CDTF">2020-10-30T09:24:56Z</dcterms:modified>
</cp:coreProperties>
</file>