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7B56196E-3174-4757-A511-4978C67A997E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Template" sheetId="2228" state="hidden" r:id="rId1"/>
    <sheet name="Cache" sheetId="2227" state="hidden" r:id="rId2"/>
    <sheet name="Players" sheetId="3285" state="hidden" r:id="rId3"/>
    <sheet name="ランキング" sheetId="3332" r:id="rId4"/>
    <sheet name="全体" sheetId="6034" r:id="rId5"/>
    <sheet name="松澤亮太" sheetId="6035" r:id="rId6"/>
    <sheet name="滝沢悠人" sheetId="6036" r:id="rId7"/>
    <sheet name="大池陸斗" sheetId="6037" r:id="rId8"/>
    <sheet name="百瀬成空" sheetId="6038" r:id="rId9"/>
    <sheet name="佐藤成浩" sheetId="6039" r:id="rId10"/>
    <sheet name="依田幸憲" sheetId="6040" r:id="rId11"/>
    <sheet name="保谷一貴" sheetId="6041" r:id="rId12"/>
    <sheet name="高野源太" sheetId="6042" r:id="rId13"/>
  </sheets>
  <definedNames>
    <definedName name="アガリ数" localSheetId="10">依田幸憲!$B$17</definedName>
    <definedName name="アガリ数" localSheetId="12">高野源太!$B$17</definedName>
    <definedName name="アガリ数" localSheetId="9">佐藤成浩!$B$17</definedName>
    <definedName name="アガリ数" localSheetId="5">松澤亮太!$B$17</definedName>
    <definedName name="アガリ数" localSheetId="4">全体!$B$17</definedName>
    <definedName name="アガリ数" localSheetId="7">大池陸斗!$B$17</definedName>
    <definedName name="アガリ数" localSheetId="6">滝沢悠人!$B$17</definedName>
    <definedName name="アガリ数" localSheetId="8">百瀬成空!$B$17</definedName>
    <definedName name="アガリ数" localSheetId="11">保谷一貴!$B$17</definedName>
    <definedName name="アガリ数">Template!$B$17</definedName>
    <definedName name="アガリ率" localSheetId="10">依田幸憲!$C$17</definedName>
    <definedName name="アガリ率" localSheetId="12">高野源太!$C$17</definedName>
    <definedName name="アガリ率" localSheetId="9">佐藤成浩!$C$17</definedName>
    <definedName name="アガリ率" localSheetId="5">松澤亮太!$C$17</definedName>
    <definedName name="アガリ率" localSheetId="4">全体!$C$17</definedName>
    <definedName name="アガリ率" localSheetId="7">大池陸斗!$C$17</definedName>
    <definedName name="アガリ率" localSheetId="6">滝沢悠人!$C$17</definedName>
    <definedName name="アガリ率" localSheetId="8">百瀬成空!$C$17</definedName>
    <definedName name="アガリ率" localSheetId="11">保谷一貴!$C$17</definedName>
    <definedName name="アガリ率">Template!$C$17</definedName>
    <definedName name="ダマアガリ数" localSheetId="10">依田幸憲!$B$23</definedName>
    <definedName name="ダマアガリ数" localSheetId="12">高野源太!$B$23</definedName>
    <definedName name="ダマアガリ数" localSheetId="9">佐藤成浩!$B$23</definedName>
    <definedName name="ダマアガリ数" localSheetId="5">松澤亮太!$B$23</definedName>
    <definedName name="ダマアガリ数" localSheetId="4">全体!$B$23</definedName>
    <definedName name="ダマアガリ数" localSheetId="7">大池陸斗!$B$23</definedName>
    <definedName name="ダマアガリ数" localSheetId="6">滝沢悠人!$B$23</definedName>
    <definedName name="ダマアガリ数" localSheetId="8">百瀬成空!$B$23</definedName>
    <definedName name="ダマアガリ数" localSheetId="11">保谷一貴!$B$23</definedName>
    <definedName name="ダマアガリ数">Template!$B$23</definedName>
    <definedName name="ダマアガリ点" localSheetId="10">依田幸憲!#REF!</definedName>
    <definedName name="ダマアガリ点" localSheetId="12">高野源太!#REF!</definedName>
    <definedName name="ダマアガリ点" localSheetId="9">佐藤成浩!#REF!</definedName>
    <definedName name="ダマアガリ点" localSheetId="5">松澤亮太!#REF!</definedName>
    <definedName name="ダマアガリ点" localSheetId="4">全体!#REF!</definedName>
    <definedName name="ダマアガリ点" localSheetId="7">大池陸斗!#REF!</definedName>
    <definedName name="ダマアガリ点" localSheetId="6">滝沢悠人!#REF!</definedName>
    <definedName name="ダマアガリ点" localSheetId="8">百瀬成空!#REF!</definedName>
    <definedName name="ダマアガリ点" localSheetId="11">保谷一貴!#REF!</definedName>
    <definedName name="ダマアガリ点">Template!#REF!</definedName>
    <definedName name="ダマアガリ率" localSheetId="10">依田幸憲!$C$23</definedName>
    <definedName name="ダマアガリ率" localSheetId="12">高野源太!$C$23</definedName>
    <definedName name="ダマアガリ率" localSheetId="9">佐藤成浩!$C$23</definedName>
    <definedName name="ダマアガリ率" localSheetId="5">松澤亮太!$C$23</definedName>
    <definedName name="ダマアガリ率" localSheetId="4">全体!$C$23</definedName>
    <definedName name="ダマアガリ率" localSheetId="7">大池陸斗!$C$23</definedName>
    <definedName name="ダマアガリ率" localSheetId="6">滝沢悠人!$C$23</definedName>
    <definedName name="ダマアガリ率" localSheetId="8">百瀬成空!$C$23</definedName>
    <definedName name="ダマアガリ率" localSheetId="11">保谷一貴!$C$23</definedName>
    <definedName name="ダマアガリ率">Template!$C$23</definedName>
    <definedName name="チョンボ数" localSheetId="10">依田幸憲!$B$32</definedName>
    <definedName name="チョンボ数" localSheetId="12">高野源太!$B$32</definedName>
    <definedName name="チョンボ数" localSheetId="9">佐藤成浩!$B$32</definedName>
    <definedName name="チョンボ数" localSheetId="5">松澤亮太!$B$32</definedName>
    <definedName name="チョンボ数" localSheetId="4">全体!$B$32</definedName>
    <definedName name="チョンボ数" localSheetId="7">大池陸斗!$B$32</definedName>
    <definedName name="チョンボ数" localSheetId="6">滝沢悠人!$B$32</definedName>
    <definedName name="チョンボ数" localSheetId="8">百瀬成空!$B$32</definedName>
    <definedName name="チョンボ数" localSheetId="11">保谷一貴!$B$32</definedName>
    <definedName name="チョンボ数">Template!$B$32</definedName>
    <definedName name="チョンボ率" localSheetId="10">依田幸憲!$C$32</definedName>
    <definedName name="チョンボ率" localSheetId="12">高野源太!$C$32</definedName>
    <definedName name="チョンボ率" localSheetId="9">佐藤成浩!$C$32</definedName>
    <definedName name="チョンボ率" localSheetId="5">松澤亮太!$C$32</definedName>
    <definedName name="チョンボ率" localSheetId="4">全体!$C$32</definedName>
    <definedName name="チョンボ率" localSheetId="7">大池陸斗!$C$32</definedName>
    <definedName name="チョンボ率" localSheetId="6">滝沢悠人!$C$32</definedName>
    <definedName name="チョンボ率" localSheetId="8">百瀬成空!$C$32</definedName>
    <definedName name="チョンボ率" localSheetId="11">保谷一貴!$C$32</definedName>
    <definedName name="チョンボ率">Template!$C$32</definedName>
    <definedName name="ツモ数" localSheetId="10">依田幸憲!$B$19</definedName>
    <definedName name="ツモ数" localSheetId="12">高野源太!$B$19</definedName>
    <definedName name="ツモ数" localSheetId="9">佐藤成浩!$B$19</definedName>
    <definedName name="ツモ数" localSheetId="5">松澤亮太!$B$19</definedName>
    <definedName name="ツモ数" localSheetId="4">全体!$B$19</definedName>
    <definedName name="ツモ数" localSheetId="7">大池陸斗!$B$19</definedName>
    <definedName name="ツモ数" localSheetId="6">滝沢悠人!$B$19</definedName>
    <definedName name="ツモ数" localSheetId="8">百瀬成空!$B$19</definedName>
    <definedName name="ツモ数" localSheetId="11">保谷一貴!$B$19</definedName>
    <definedName name="ツモ数">Template!$B$19</definedName>
    <definedName name="ツモ率" localSheetId="10">依田幸憲!$C$19</definedName>
    <definedName name="ツモ率" localSheetId="12">高野源太!$C$19</definedName>
    <definedName name="ツモ率" localSheetId="9">佐藤成浩!$C$19</definedName>
    <definedName name="ツモ率" localSheetId="5">松澤亮太!$C$19</definedName>
    <definedName name="ツモ率" localSheetId="4">全体!$C$19</definedName>
    <definedName name="ツモ率" localSheetId="7">大池陸斗!$C$19</definedName>
    <definedName name="ツモ率" localSheetId="6">滝沢悠人!$C$19</definedName>
    <definedName name="ツモ率" localSheetId="8">百瀬成空!$C$19</definedName>
    <definedName name="ツモ率" localSheetId="11">保谷一貴!$C$19</definedName>
    <definedName name="ツモ率">Template!$C$19</definedName>
    <definedName name="トップ数" localSheetId="10">依田幸憲!$B$7</definedName>
    <definedName name="トップ数" localSheetId="12">高野源太!$B$7</definedName>
    <definedName name="トップ数" localSheetId="9">佐藤成浩!$B$7</definedName>
    <definedName name="トップ数" localSheetId="5">松澤亮太!$B$7</definedName>
    <definedName name="トップ数" localSheetId="4">全体!$B$7</definedName>
    <definedName name="トップ数" localSheetId="7">大池陸斗!$B$7</definedName>
    <definedName name="トップ数" localSheetId="6">滝沢悠人!$B$7</definedName>
    <definedName name="トップ数" localSheetId="8">百瀬成空!$B$7</definedName>
    <definedName name="トップ数" localSheetId="11">保谷一貴!$B$7</definedName>
    <definedName name="トップ数">Template!$B$7</definedName>
    <definedName name="トップ率" localSheetId="10">依田幸憲!$C$7</definedName>
    <definedName name="トップ率" localSheetId="12">高野源太!$C$7</definedName>
    <definedName name="トップ率" localSheetId="9">佐藤成浩!$C$7</definedName>
    <definedName name="トップ率" localSheetId="5">松澤亮太!$C$7</definedName>
    <definedName name="トップ率" localSheetId="4">全体!$C$7</definedName>
    <definedName name="トップ率" localSheetId="7">大池陸斗!$C$7</definedName>
    <definedName name="トップ率" localSheetId="6">滝沢悠人!$C$7</definedName>
    <definedName name="トップ率" localSheetId="8">百瀬成空!$C$7</definedName>
    <definedName name="トップ率" localSheetId="11">保谷一貴!$C$7</definedName>
    <definedName name="トップ率">Template!$C$7</definedName>
    <definedName name="ふっとばし数" localSheetId="10">依田幸憲!#REF!</definedName>
    <definedName name="ふっとばし数" localSheetId="12">高野源太!#REF!</definedName>
    <definedName name="ふっとばし数" localSheetId="9">佐藤成浩!#REF!</definedName>
    <definedName name="ふっとばし数" localSheetId="5">松澤亮太!#REF!</definedName>
    <definedName name="ふっとばし数" localSheetId="4">全体!#REF!</definedName>
    <definedName name="ふっとばし数" localSheetId="7">大池陸斗!#REF!</definedName>
    <definedName name="ふっとばし数" localSheetId="6">滝沢悠人!#REF!</definedName>
    <definedName name="ふっとばし数" localSheetId="8">百瀬成空!#REF!</definedName>
    <definedName name="ふっとばし数" localSheetId="11">保谷一貴!#REF!</definedName>
    <definedName name="ふっとばし数">Template!#REF!</definedName>
    <definedName name="ふっとばし率" localSheetId="10">依田幸憲!#REF!</definedName>
    <definedName name="ふっとばし率" localSheetId="12">高野源太!#REF!</definedName>
    <definedName name="ふっとばし率" localSheetId="9">佐藤成浩!#REF!</definedName>
    <definedName name="ふっとばし率" localSheetId="5">松澤亮太!#REF!</definedName>
    <definedName name="ふっとばし率" localSheetId="4">全体!#REF!</definedName>
    <definedName name="ふっとばし率" localSheetId="7">大池陸斗!#REF!</definedName>
    <definedName name="ふっとばし率" localSheetId="6">滝沢悠人!#REF!</definedName>
    <definedName name="ふっとばし率" localSheetId="8">百瀬成空!#REF!</definedName>
    <definedName name="ふっとばし率" localSheetId="11">保谷一貴!#REF!</definedName>
    <definedName name="ふっとばし率">Template!#REF!</definedName>
    <definedName name="ふっとび数" localSheetId="10">依田幸憲!$B$12</definedName>
    <definedName name="ふっとび数" localSheetId="12">高野源太!$B$12</definedName>
    <definedName name="ふっとび数" localSheetId="9">佐藤成浩!$B$12</definedName>
    <definedName name="ふっとび数" localSheetId="5">松澤亮太!$B$12</definedName>
    <definedName name="ふっとび数" localSheetId="4">全体!$B$12</definedName>
    <definedName name="ふっとび数" localSheetId="7">大池陸斗!$B$12</definedName>
    <definedName name="ふっとび数" localSheetId="6">滝沢悠人!$B$12</definedName>
    <definedName name="ふっとび数" localSheetId="8">百瀬成空!$B$12</definedName>
    <definedName name="ふっとび数" localSheetId="11">保谷一貴!$B$12</definedName>
    <definedName name="ふっとび数">Template!$B$12</definedName>
    <definedName name="ふっとび率" localSheetId="10">依田幸憲!$C$12</definedName>
    <definedName name="ふっとび率" localSheetId="12">高野源太!$C$12</definedName>
    <definedName name="ふっとび率" localSheetId="9">佐藤成浩!$C$12</definedName>
    <definedName name="ふっとび率" localSheetId="5">松澤亮太!$C$12</definedName>
    <definedName name="ふっとび率" localSheetId="4">全体!$C$12</definedName>
    <definedName name="ふっとび率" localSheetId="7">大池陸斗!$C$12</definedName>
    <definedName name="ふっとび率" localSheetId="6">滝沢悠人!$C$12</definedName>
    <definedName name="ふっとび率" localSheetId="8">百瀬成空!$C$12</definedName>
    <definedName name="ふっとび率" localSheetId="11">保谷一貴!$C$12</definedName>
    <definedName name="ふっとび率">Template!$C$12</definedName>
    <definedName name="ラス数" localSheetId="10">依田幸憲!$B$10</definedName>
    <definedName name="ラス数" localSheetId="12">高野源太!$B$10</definedName>
    <definedName name="ラス数" localSheetId="9">佐藤成浩!$B$10</definedName>
    <definedName name="ラス数" localSheetId="5">松澤亮太!$B$10</definedName>
    <definedName name="ラス数" localSheetId="4">全体!$B$10</definedName>
    <definedName name="ラス数" localSheetId="7">大池陸斗!$B$10</definedName>
    <definedName name="ラス数" localSheetId="6">滝沢悠人!$B$10</definedName>
    <definedName name="ラス数" localSheetId="8">百瀬成空!$B$10</definedName>
    <definedName name="ラス数" localSheetId="11">保谷一貴!$B$10</definedName>
    <definedName name="ラス数">Template!$B$10</definedName>
    <definedName name="ラス率" localSheetId="10">依田幸憲!$C$10</definedName>
    <definedName name="ラス率" localSheetId="12">高野源太!$C$10</definedName>
    <definedName name="ラス率" localSheetId="9">佐藤成浩!$C$10</definedName>
    <definedName name="ラス率" localSheetId="5">松澤亮太!$C$10</definedName>
    <definedName name="ラス率" localSheetId="4">全体!$C$10</definedName>
    <definedName name="ラス率" localSheetId="7">大池陸斗!$C$10</definedName>
    <definedName name="ラス率" localSheetId="6">滝沢悠人!$C$10</definedName>
    <definedName name="ラス率" localSheetId="8">百瀬成空!$C$10</definedName>
    <definedName name="ラス率" localSheetId="11">保谷一貴!$C$10</definedName>
    <definedName name="ラス率">Template!$C$10</definedName>
    <definedName name="リーチアガリ数" localSheetId="10">依田幸憲!$B$21</definedName>
    <definedName name="リーチアガリ数" localSheetId="12">高野源太!$B$21</definedName>
    <definedName name="リーチアガリ数" localSheetId="9">佐藤成浩!$B$21</definedName>
    <definedName name="リーチアガリ数" localSheetId="5">松澤亮太!$B$21</definedName>
    <definedName name="リーチアガリ数" localSheetId="4">全体!$B$21</definedName>
    <definedName name="リーチアガリ数" localSheetId="7">大池陸斗!$B$21</definedName>
    <definedName name="リーチアガリ数" localSheetId="6">滝沢悠人!$B$21</definedName>
    <definedName name="リーチアガリ数" localSheetId="8">百瀬成空!$B$21</definedName>
    <definedName name="リーチアガリ数" localSheetId="11">保谷一貴!$B$21</definedName>
    <definedName name="リーチアガリ数">Template!$B$21</definedName>
    <definedName name="リーチアガリ率" localSheetId="10">依田幸憲!$C$21</definedName>
    <definedName name="リーチアガリ率" localSheetId="12">高野源太!$C$21</definedName>
    <definedName name="リーチアガリ率" localSheetId="9">佐藤成浩!$C$21</definedName>
    <definedName name="リーチアガリ率" localSheetId="5">松澤亮太!$C$21</definedName>
    <definedName name="リーチアガリ率" localSheetId="4">全体!$C$21</definedName>
    <definedName name="リーチアガリ率" localSheetId="7">大池陸斗!$C$21</definedName>
    <definedName name="リーチアガリ率" localSheetId="6">滝沢悠人!$C$21</definedName>
    <definedName name="リーチアガリ率" localSheetId="8">百瀬成空!$C$21</definedName>
    <definedName name="リーチアガリ率" localSheetId="11">保谷一貴!$C$21</definedName>
    <definedName name="リーチアガリ率">Template!$C$21</definedName>
    <definedName name="リーチ数" localSheetId="10">依田幸憲!$B$13</definedName>
    <definedName name="リーチ数" localSheetId="12">高野源太!$B$13</definedName>
    <definedName name="リーチ数" localSheetId="9">佐藤成浩!$B$13</definedName>
    <definedName name="リーチ数" localSheetId="5">松澤亮太!$B$13</definedName>
    <definedName name="リーチ数" localSheetId="4">全体!$B$13</definedName>
    <definedName name="リーチ数" localSheetId="7">大池陸斗!$B$13</definedName>
    <definedName name="リーチ数" localSheetId="6">滝沢悠人!$B$13</definedName>
    <definedName name="リーチ数" localSheetId="8">百瀬成空!$B$13</definedName>
    <definedName name="リーチ数" localSheetId="11">保谷一貴!$B$13</definedName>
    <definedName name="リーチ数">Template!$B$13</definedName>
    <definedName name="リーチ成功数" localSheetId="10">依田幸憲!$B$15</definedName>
    <definedName name="リーチ成功数" localSheetId="12">高野源太!$B$15</definedName>
    <definedName name="リーチ成功数" localSheetId="9">佐藤成浩!$B$15</definedName>
    <definedName name="リーチ成功数" localSheetId="5">松澤亮太!$B$15</definedName>
    <definedName name="リーチ成功数" localSheetId="4">全体!$B$15</definedName>
    <definedName name="リーチ成功数" localSheetId="7">大池陸斗!$B$15</definedName>
    <definedName name="リーチ成功数" localSheetId="6">滝沢悠人!$B$15</definedName>
    <definedName name="リーチ成功数" localSheetId="8">百瀬成空!$B$15</definedName>
    <definedName name="リーチ成功数" localSheetId="11">保谷一貴!$B$15</definedName>
    <definedName name="リーチ成功数">Template!$B$15</definedName>
    <definedName name="リーチ成功率" localSheetId="10">依田幸憲!$C$15</definedName>
    <definedName name="リーチ成功率" localSheetId="12">高野源太!$C$15</definedName>
    <definedName name="リーチ成功率" localSheetId="9">佐藤成浩!$C$15</definedName>
    <definedName name="リーチ成功率" localSheetId="5">松澤亮太!$C$15</definedName>
    <definedName name="リーチ成功率" localSheetId="4">全体!$C$15</definedName>
    <definedName name="リーチ成功率" localSheetId="7">大池陸斗!$C$15</definedName>
    <definedName name="リーチ成功率" localSheetId="6">滝沢悠人!$C$15</definedName>
    <definedName name="リーチ成功率" localSheetId="8">百瀬成空!$C$15</definedName>
    <definedName name="リーチ成功率" localSheetId="11">保谷一貴!$C$15</definedName>
    <definedName name="リーチ成功率">Template!$C$15</definedName>
    <definedName name="リーチ率" localSheetId="10">依田幸憲!$C$13</definedName>
    <definedName name="リーチ率" localSheetId="12">高野源太!$C$13</definedName>
    <definedName name="リーチ率" localSheetId="9">佐藤成浩!$C$13</definedName>
    <definedName name="リーチ率" localSheetId="5">松澤亮太!$C$13</definedName>
    <definedName name="リーチ率" localSheetId="4">全体!$C$13</definedName>
    <definedName name="リーチ率" localSheetId="7">大池陸斗!$C$13</definedName>
    <definedName name="リーチ率" localSheetId="6">滝沢悠人!$C$13</definedName>
    <definedName name="リーチ率" localSheetId="8">百瀬成空!$C$13</definedName>
    <definedName name="リーチ率" localSheetId="11">保谷一貴!$C$13</definedName>
    <definedName name="リーチ率">Template!$C$13</definedName>
    <definedName name="ロン数" localSheetId="10">依田幸憲!$B$20</definedName>
    <definedName name="ロン数" localSheetId="12">高野源太!$B$20</definedName>
    <definedName name="ロン数" localSheetId="9">佐藤成浩!$B$20</definedName>
    <definedName name="ロン数" localSheetId="5">松澤亮太!$B$20</definedName>
    <definedName name="ロン数" localSheetId="4">全体!$B$20</definedName>
    <definedName name="ロン数" localSheetId="7">大池陸斗!$B$20</definedName>
    <definedName name="ロン数" localSheetId="6">滝沢悠人!$B$20</definedName>
    <definedName name="ロン数" localSheetId="8">百瀬成空!$B$20</definedName>
    <definedName name="ロン数" localSheetId="11">保谷一貴!$B$20</definedName>
    <definedName name="ロン数">Template!$B$20</definedName>
    <definedName name="ロン率" localSheetId="10">依田幸憲!$C$20</definedName>
    <definedName name="ロン率" localSheetId="12">高野源太!$C$20</definedName>
    <definedName name="ロン率" localSheetId="9">佐藤成浩!$C$20</definedName>
    <definedName name="ロン率" localSheetId="5">松澤亮太!$C$20</definedName>
    <definedName name="ロン率" localSheetId="4">全体!$C$20</definedName>
    <definedName name="ロン率" localSheetId="7">大池陸斗!$C$20</definedName>
    <definedName name="ロン率" localSheetId="6">滝沢悠人!$C$20</definedName>
    <definedName name="ロン率" localSheetId="8">百瀬成空!$C$20</definedName>
    <definedName name="ロン率" localSheetId="11">保谷一貴!$C$20</definedName>
    <definedName name="ロン率">Template!$C$20</definedName>
    <definedName name="逆転数" localSheetId="10">依田幸憲!#REF!</definedName>
    <definedName name="逆転数" localSheetId="12">高野源太!#REF!</definedName>
    <definedName name="逆転数" localSheetId="9">佐藤成浩!#REF!</definedName>
    <definedName name="逆転数" localSheetId="5">松澤亮太!#REF!</definedName>
    <definedName name="逆転数" localSheetId="4">全体!#REF!</definedName>
    <definedName name="逆転数" localSheetId="7">大池陸斗!#REF!</definedName>
    <definedName name="逆転数" localSheetId="6">滝沢悠人!#REF!</definedName>
    <definedName name="逆転数" localSheetId="8">百瀬成空!#REF!</definedName>
    <definedName name="逆転数" localSheetId="11">保谷一貴!#REF!</definedName>
    <definedName name="逆転数">Template!#REF!</definedName>
    <definedName name="逆転率" localSheetId="10">依田幸憲!#REF!</definedName>
    <definedName name="逆転率" localSheetId="12">高野源太!#REF!</definedName>
    <definedName name="逆転率" localSheetId="9">佐藤成浩!#REF!</definedName>
    <definedName name="逆転率" localSheetId="5">松澤亮太!#REF!</definedName>
    <definedName name="逆転率" localSheetId="4">全体!#REF!</definedName>
    <definedName name="逆転率" localSheetId="7">大池陸斗!#REF!</definedName>
    <definedName name="逆転率" localSheetId="6">滝沢悠人!#REF!</definedName>
    <definedName name="逆転率" localSheetId="8">百瀬成空!#REF!</definedName>
    <definedName name="逆転率" localSheetId="11">保谷一貴!#REF!</definedName>
    <definedName name="逆転率">Template!#REF!</definedName>
    <definedName name="現行連続アガリ" localSheetId="10">依田幸憲!$C$28</definedName>
    <definedName name="現行連続アガリ" localSheetId="12">高野源太!$C$28</definedName>
    <definedName name="現行連続アガリ" localSheetId="9">佐藤成浩!$C$28</definedName>
    <definedName name="現行連続アガリ" localSheetId="5">松澤亮太!$C$28</definedName>
    <definedName name="現行連続アガリ" localSheetId="4">全体!$C$28</definedName>
    <definedName name="現行連続アガリ" localSheetId="7">大池陸斗!$C$28</definedName>
    <definedName name="現行連続アガリ" localSheetId="6">滝沢悠人!$C$28</definedName>
    <definedName name="現行連続アガリ" localSheetId="8">百瀬成空!$C$28</definedName>
    <definedName name="現行連続アガリ" localSheetId="11">保谷一貴!$C$28</definedName>
    <definedName name="現行連続アガリ">Template!$C$28</definedName>
    <definedName name="現行連続無放銃" localSheetId="10">依田幸憲!$C$29</definedName>
    <definedName name="現行連続無放銃" localSheetId="12">高野源太!$C$29</definedName>
    <definedName name="現行連続無放銃" localSheetId="9">佐藤成浩!$C$29</definedName>
    <definedName name="現行連続無放銃" localSheetId="5">松澤亮太!$C$29</definedName>
    <definedName name="現行連続無放銃" localSheetId="4">全体!$C$29</definedName>
    <definedName name="現行連続無放銃" localSheetId="7">大池陸斗!$C$29</definedName>
    <definedName name="現行連続無放銃" localSheetId="6">滝沢悠人!$C$29</definedName>
    <definedName name="現行連続無放銃" localSheetId="8">百瀬成空!$C$29</definedName>
    <definedName name="現行連続無放銃" localSheetId="11">保谷一貴!$C$29</definedName>
    <definedName name="現行連続無放銃">Template!$C$29</definedName>
    <definedName name="最高点" localSheetId="10">依田幸憲!$B$31</definedName>
    <definedName name="最高点" localSheetId="12">高野源太!$B$31</definedName>
    <definedName name="最高点" localSheetId="9">佐藤成浩!$B$31</definedName>
    <definedName name="最高点" localSheetId="5">松澤亮太!$B$31</definedName>
    <definedName name="最高点" localSheetId="4">全体!$B$31</definedName>
    <definedName name="最高点" localSheetId="7">大池陸斗!$B$31</definedName>
    <definedName name="最高点" localSheetId="6">滝沢悠人!$B$31</definedName>
    <definedName name="最高点" localSheetId="8">百瀬成空!$B$31</definedName>
    <definedName name="最高点" localSheetId="11">保谷一貴!$B$31</definedName>
    <definedName name="最高点">Template!$B$31</definedName>
    <definedName name="最大ドラ数" localSheetId="10">依田幸憲!$B$30</definedName>
    <definedName name="最大ドラ数" localSheetId="12">高野源太!$B$30</definedName>
    <definedName name="最大ドラ数" localSheetId="9">佐藤成浩!$B$30</definedName>
    <definedName name="最大ドラ数" localSheetId="5">松澤亮太!$B$30</definedName>
    <definedName name="最大ドラ数" localSheetId="4">全体!$B$30</definedName>
    <definedName name="最大ドラ数" localSheetId="7">大池陸斗!$B$30</definedName>
    <definedName name="最大ドラ数" localSheetId="6">滝沢悠人!$B$30</definedName>
    <definedName name="最大ドラ数" localSheetId="8">百瀬成空!$B$30</definedName>
    <definedName name="最大ドラ数" localSheetId="11">保谷一貴!$B$30</definedName>
    <definedName name="最大ドラ数">Template!$B$30</definedName>
    <definedName name="最大点数" localSheetId="10">依田幸憲!$B$31</definedName>
    <definedName name="最大点数" localSheetId="12">高野源太!$B$31</definedName>
    <definedName name="最大点数" localSheetId="9">佐藤成浩!$B$31</definedName>
    <definedName name="最大点数" localSheetId="5">松澤亮太!$B$31</definedName>
    <definedName name="最大点数" localSheetId="4">全体!$B$31</definedName>
    <definedName name="最大点数" localSheetId="7">大池陸斗!$B$31</definedName>
    <definedName name="最大点数" localSheetId="6">滝沢悠人!$B$31</definedName>
    <definedName name="最大点数" localSheetId="8">百瀬成空!$B$31</definedName>
    <definedName name="最大点数" localSheetId="11">保谷一貴!$B$31</definedName>
    <definedName name="最大点数">Template!$B$31</definedName>
    <definedName name="三位数" localSheetId="10">依田幸憲!$B$9</definedName>
    <definedName name="三位数" localSheetId="12">高野源太!$B$9</definedName>
    <definedName name="三位数" localSheetId="9">佐藤成浩!$B$9</definedName>
    <definedName name="三位数" localSheetId="5">松澤亮太!$B$9</definedName>
    <definedName name="三位数" localSheetId="4">全体!$B$9</definedName>
    <definedName name="三位数" localSheetId="7">大池陸斗!$B$9</definedName>
    <definedName name="三位数" localSheetId="6">滝沢悠人!$B$9</definedName>
    <definedName name="三位数" localSheetId="8">百瀬成空!$B$9</definedName>
    <definedName name="三位数" localSheetId="11">保谷一貴!$B$9</definedName>
    <definedName name="三位数">Template!$B$9</definedName>
    <definedName name="三位率" localSheetId="10">依田幸憲!$C$9</definedName>
    <definedName name="三位率" localSheetId="12">高野源太!$C$9</definedName>
    <definedName name="三位率" localSheetId="9">佐藤成浩!$C$9</definedName>
    <definedName name="三位率" localSheetId="5">松澤亮太!$C$9</definedName>
    <definedName name="三位率" localSheetId="4">全体!$C$9</definedName>
    <definedName name="三位率" localSheetId="7">大池陸斗!$C$9</definedName>
    <definedName name="三位率" localSheetId="6">滝沢悠人!$C$9</definedName>
    <definedName name="三位率" localSheetId="8">百瀬成空!$C$9</definedName>
    <definedName name="三位率" localSheetId="11">保谷一貴!$C$9</definedName>
    <definedName name="三位率">Template!$C$9</definedName>
    <definedName name="総局数" localSheetId="10">依田幸憲!$B$3</definedName>
    <definedName name="総局数" localSheetId="12">高野源太!$B$3</definedName>
    <definedName name="総局数" localSheetId="9">佐藤成浩!$B$3</definedName>
    <definedName name="総局数" localSheetId="5">松澤亮太!$B$3</definedName>
    <definedName name="総局数" localSheetId="4">全体!$B$3</definedName>
    <definedName name="総局数" localSheetId="7">大池陸斗!$B$3</definedName>
    <definedName name="総局数" localSheetId="6">滝沢悠人!$B$3</definedName>
    <definedName name="総局数" localSheetId="8">百瀬成空!$B$3</definedName>
    <definedName name="総局数" localSheetId="11">保谷一貴!$B$3</definedName>
    <definedName name="総局数">Template!$B$3</definedName>
    <definedName name="対戦数" localSheetId="10">依田幸憲!$B$2</definedName>
    <definedName name="対戦数" localSheetId="12">高野源太!$B$2</definedName>
    <definedName name="対戦数" localSheetId="9">佐藤成浩!$B$2</definedName>
    <definedName name="対戦数" localSheetId="5">松澤亮太!$B$2</definedName>
    <definedName name="対戦数" localSheetId="4">全体!$B$2</definedName>
    <definedName name="対戦数" localSheetId="7">大池陸斗!$B$2</definedName>
    <definedName name="対戦数" localSheetId="6">滝沢悠人!$B$2</definedName>
    <definedName name="対戦数" localSheetId="8">百瀬成空!$B$2</definedName>
    <definedName name="対戦数" localSheetId="11">保谷一貴!$B$2</definedName>
    <definedName name="対戦数">Template!$B$2</definedName>
    <definedName name="通算アガリ点" localSheetId="10">依田幸憲!$C$24</definedName>
    <definedName name="通算アガリ点" localSheetId="12">高野源太!$C$24</definedName>
    <definedName name="通算アガリ点" localSheetId="9">佐藤成浩!$C$24</definedName>
    <definedName name="通算アガリ点" localSheetId="5">松澤亮太!$C$24</definedName>
    <definedName name="通算アガリ点" localSheetId="4">全体!$C$24</definedName>
    <definedName name="通算アガリ点" localSheetId="7">大池陸斗!$C$24</definedName>
    <definedName name="通算アガリ点" localSheetId="6">滝沢悠人!$C$24</definedName>
    <definedName name="通算アガリ点" localSheetId="8">百瀬成空!$C$24</definedName>
    <definedName name="通算アガリ点" localSheetId="11">保谷一貴!$C$24</definedName>
    <definedName name="通算アガリ点">Template!$C$24</definedName>
    <definedName name="通算スコア" localSheetId="10">依田幸憲!$B$4</definedName>
    <definedName name="通算スコア" localSheetId="12">高野源太!$B$4</definedName>
    <definedName name="通算スコア" localSheetId="9">佐藤成浩!$B$4</definedName>
    <definedName name="通算スコア" localSheetId="5">松澤亮太!$B$4</definedName>
    <definedName name="通算スコア" localSheetId="4">全体!$B$4</definedName>
    <definedName name="通算スコア" localSheetId="7">大池陸斗!$B$4</definedName>
    <definedName name="通算スコア" localSheetId="6">滝沢悠人!$B$4</definedName>
    <definedName name="通算スコア" localSheetId="8">百瀬成空!$B$4</definedName>
    <definedName name="通算スコア" localSheetId="11">保谷一貴!$B$4</definedName>
    <definedName name="通算スコア">Template!$B$4</definedName>
    <definedName name="通算副露アガリ点" localSheetId="10">依田幸憲!$C$26</definedName>
    <definedName name="通算副露アガリ点" localSheetId="12">高野源太!$C$26</definedName>
    <definedName name="通算副露アガリ点" localSheetId="9">佐藤成浩!$C$26</definedName>
    <definedName name="通算副露アガリ点" localSheetId="5">松澤亮太!$C$26</definedName>
    <definedName name="通算副露アガリ点" localSheetId="4">全体!$C$26</definedName>
    <definedName name="通算副露アガリ点" localSheetId="7">大池陸斗!$C$26</definedName>
    <definedName name="通算副露アガリ点" localSheetId="6">滝沢悠人!$C$26</definedName>
    <definedName name="通算副露アガリ点" localSheetId="8">百瀬成空!$C$26</definedName>
    <definedName name="通算副露アガリ点" localSheetId="11">保谷一貴!$C$26</definedName>
    <definedName name="通算副露アガリ点">Template!$C$26</definedName>
    <definedName name="通算放銃点" localSheetId="10">依田幸憲!$C$27</definedName>
    <definedName name="通算放銃点" localSheetId="12">高野源太!$C$27</definedName>
    <definedName name="通算放銃点" localSheetId="9">佐藤成浩!$C$27</definedName>
    <definedName name="通算放銃点" localSheetId="5">松澤亮太!$C$27</definedName>
    <definedName name="通算放銃点" localSheetId="4">全体!$C$27</definedName>
    <definedName name="通算放銃点" localSheetId="7">大池陸斗!$C$27</definedName>
    <definedName name="通算放銃点" localSheetId="6">滝沢悠人!$C$27</definedName>
    <definedName name="通算放銃点" localSheetId="8">百瀬成空!$C$27</definedName>
    <definedName name="通算放銃点" localSheetId="11">保谷一貴!$C$27</definedName>
    <definedName name="通算放銃点">Template!$C$27</definedName>
    <definedName name="通算門前アガリ点" localSheetId="10">依田幸憲!$C$25</definedName>
    <definedName name="通算門前アガリ点" localSheetId="12">高野源太!$C$25</definedName>
    <definedName name="通算門前アガリ点" localSheetId="9">佐藤成浩!$C$25</definedName>
    <definedName name="通算門前アガリ点" localSheetId="5">松澤亮太!$C$25</definedName>
    <definedName name="通算門前アガリ点" localSheetId="4">全体!$C$25</definedName>
    <definedName name="通算門前アガリ点" localSheetId="7">大池陸斗!$C$25</definedName>
    <definedName name="通算門前アガリ点" localSheetId="6">滝沢悠人!$C$25</definedName>
    <definedName name="通算門前アガリ点" localSheetId="8">百瀬成空!$C$25</definedName>
    <definedName name="通算門前アガリ点" localSheetId="11">保谷一貴!$C$25</definedName>
    <definedName name="通算門前アガリ点">Template!$C$25</definedName>
    <definedName name="二位数" localSheetId="10">依田幸憲!$B$8</definedName>
    <definedName name="二位数" localSheetId="12">高野源太!$B$8</definedName>
    <definedName name="二位数" localSheetId="9">佐藤成浩!$B$8</definedName>
    <definedName name="二位数" localSheetId="5">松澤亮太!$B$8</definedName>
    <definedName name="二位数" localSheetId="4">全体!$B$8</definedName>
    <definedName name="二位数" localSheetId="7">大池陸斗!$B$8</definedName>
    <definedName name="二位数" localSheetId="6">滝沢悠人!$B$8</definedName>
    <definedName name="二位数" localSheetId="8">百瀬成空!$B$8</definedName>
    <definedName name="二位数" localSheetId="11">保谷一貴!$B$8</definedName>
    <definedName name="二位数">Template!$B$8</definedName>
    <definedName name="二位率" localSheetId="10">依田幸憲!$C$8</definedName>
    <definedName name="二位率" localSheetId="12">高野源太!$C$8</definedName>
    <definedName name="二位率" localSheetId="9">佐藤成浩!$C$8</definedName>
    <definedName name="二位率" localSheetId="5">松澤亮太!$C$8</definedName>
    <definedName name="二位率" localSheetId="4">全体!$C$8</definedName>
    <definedName name="二位率" localSheetId="7">大池陸斗!$C$8</definedName>
    <definedName name="二位率" localSheetId="6">滝沢悠人!$C$8</definedName>
    <definedName name="二位率" localSheetId="8">百瀬成空!$C$8</definedName>
    <definedName name="二位率" localSheetId="11">保谷一貴!$C$8</definedName>
    <definedName name="二位率">Template!$C$8</definedName>
    <definedName name="副露アガリ数" localSheetId="10">依田幸憲!$B$22</definedName>
    <definedName name="副露アガリ数" localSheetId="12">高野源太!$B$22</definedName>
    <definedName name="副露アガリ数" localSheetId="9">佐藤成浩!$B$22</definedName>
    <definedName name="副露アガリ数" localSheetId="5">松澤亮太!$B$22</definedName>
    <definedName name="副露アガリ数" localSheetId="4">全体!$B$22</definedName>
    <definedName name="副露アガリ数" localSheetId="7">大池陸斗!$B$22</definedName>
    <definedName name="副露アガリ数" localSheetId="6">滝沢悠人!$B$22</definedName>
    <definedName name="副露アガリ数" localSheetId="8">百瀬成空!$B$22</definedName>
    <definedName name="副露アガリ数" localSheetId="11">保谷一貴!$B$22</definedName>
    <definedName name="副露アガリ数">Template!$B$22</definedName>
    <definedName name="副露アガリ点" localSheetId="10">依田幸憲!$B$26</definedName>
    <definedName name="副露アガリ点" localSheetId="12">高野源太!$B$26</definedName>
    <definedName name="副露アガリ点" localSheetId="9">佐藤成浩!$B$26</definedName>
    <definedName name="副露アガリ点" localSheetId="5">松澤亮太!$B$26</definedName>
    <definedName name="副露アガリ点" localSheetId="4">全体!$B$26</definedName>
    <definedName name="副露アガリ点" localSheetId="7">大池陸斗!$B$26</definedName>
    <definedName name="副露アガリ点" localSheetId="6">滝沢悠人!$B$26</definedName>
    <definedName name="副露アガリ点" localSheetId="8">百瀬成空!$B$26</definedName>
    <definedName name="副露アガリ点" localSheetId="11">保谷一貴!$B$26</definedName>
    <definedName name="副露アガリ点">Template!$B$26</definedName>
    <definedName name="副露アガリ率" localSheetId="10">依田幸憲!$C$22</definedName>
    <definedName name="副露アガリ率" localSheetId="12">高野源太!$C$22</definedName>
    <definedName name="副露アガリ率" localSheetId="9">佐藤成浩!$C$22</definedName>
    <definedName name="副露アガリ率" localSheetId="5">松澤亮太!$C$22</definedName>
    <definedName name="副露アガリ率" localSheetId="4">全体!$C$22</definedName>
    <definedName name="副露アガリ率" localSheetId="7">大池陸斗!$C$22</definedName>
    <definedName name="副露アガリ率" localSheetId="6">滝沢悠人!$C$22</definedName>
    <definedName name="副露アガリ率" localSheetId="8">百瀬成空!$C$22</definedName>
    <definedName name="副露アガリ率" localSheetId="11">保谷一貴!$C$22</definedName>
    <definedName name="副露アガリ率">Template!$C$22</definedName>
    <definedName name="副露数" localSheetId="10">依田幸憲!$B$14</definedName>
    <definedName name="副露数" localSheetId="12">高野源太!$B$14</definedName>
    <definedName name="副露数" localSheetId="9">佐藤成浩!$B$14</definedName>
    <definedName name="副露数" localSheetId="5">松澤亮太!$B$14</definedName>
    <definedName name="副露数" localSheetId="4">全体!$B$14</definedName>
    <definedName name="副露数" localSheetId="7">大池陸斗!$B$14</definedName>
    <definedName name="副露数" localSheetId="6">滝沢悠人!$B$14</definedName>
    <definedName name="副露数" localSheetId="8">百瀬成空!$B$14</definedName>
    <definedName name="副露数" localSheetId="11">保谷一貴!$B$14</definedName>
    <definedName name="副露数">Template!$B$14</definedName>
    <definedName name="副露成功数" localSheetId="10">依田幸憲!$B$16</definedName>
    <definedName name="副露成功数" localSheetId="12">高野源太!$B$16</definedName>
    <definedName name="副露成功数" localSheetId="9">佐藤成浩!$B$16</definedName>
    <definedName name="副露成功数" localSheetId="5">松澤亮太!$B$16</definedName>
    <definedName name="副露成功数" localSheetId="4">全体!$B$16</definedName>
    <definedName name="副露成功数" localSheetId="7">大池陸斗!$B$16</definedName>
    <definedName name="副露成功数" localSheetId="6">滝沢悠人!$B$16</definedName>
    <definedName name="副露成功数" localSheetId="8">百瀬成空!$B$16</definedName>
    <definedName name="副露成功数" localSheetId="11">保谷一貴!$B$16</definedName>
    <definedName name="副露成功数">Template!$B$16</definedName>
    <definedName name="副露成功率" localSheetId="10">依田幸憲!$C$16</definedName>
    <definedName name="副露成功率" localSheetId="12">高野源太!$C$16</definedName>
    <definedName name="副露成功率" localSheetId="9">佐藤成浩!$C$16</definedName>
    <definedName name="副露成功率" localSheetId="5">松澤亮太!$C$16</definedName>
    <definedName name="副露成功率" localSheetId="4">全体!$C$16</definedName>
    <definedName name="副露成功率" localSheetId="7">大池陸斗!$C$16</definedName>
    <definedName name="副露成功率" localSheetId="6">滝沢悠人!$C$16</definedName>
    <definedName name="副露成功率" localSheetId="8">百瀬成空!$C$16</definedName>
    <definedName name="副露成功率" localSheetId="11">保谷一貴!$C$16</definedName>
    <definedName name="副露成功率">Template!$C$16</definedName>
    <definedName name="副露率" localSheetId="10">依田幸憲!$C$14</definedName>
    <definedName name="副露率" localSheetId="12">高野源太!$C$14</definedName>
    <definedName name="副露率" localSheetId="9">佐藤成浩!$C$14</definedName>
    <definedName name="副露率" localSheetId="5">松澤亮太!$C$14</definedName>
    <definedName name="副露率" localSheetId="4">全体!$C$14</definedName>
    <definedName name="副露率" localSheetId="7">大池陸斗!$C$14</definedName>
    <definedName name="副露率" localSheetId="6">滝沢悠人!$C$14</definedName>
    <definedName name="副露率" localSheetId="8">百瀬成空!$C$14</definedName>
    <definedName name="副露率" localSheetId="11">保谷一貴!$C$14</definedName>
    <definedName name="副露率">Template!$C$14</definedName>
    <definedName name="平均アガリ点" localSheetId="10">依田幸憲!$B$24</definedName>
    <definedName name="平均アガリ点" localSheetId="12">高野源太!$B$24</definedName>
    <definedName name="平均アガリ点" localSheetId="9">佐藤成浩!$B$24</definedName>
    <definedName name="平均アガリ点" localSheetId="5">松澤亮太!$B$24</definedName>
    <definedName name="平均アガリ点" localSheetId="4">全体!$B$24</definedName>
    <definedName name="平均アガリ点" localSheetId="7">大池陸斗!$B$24</definedName>
    <definedName name="平均アガリ点" localSheetId="6">滝沢悠人!$B$24</definedName>
    <definedName name="平均アガリ点" localSheetId="8">百瀬成空!$B$24</definedName>
    <definedName name="平均アガリ点" localSheetId="11">保谷一貴!$B$24</definedName>
    <definedName name="平均アガリ点">Template!$B$24</definedName>
    <definedName name="平均スコア" localSheetId="10">依田幸憲!$B$5</definedName>
    <definedName name="平均スコア" localSheetId="12">高野源太!$B$5</definedName>
    <definedName name="平均スコア" localSheetId="9">佐藤成浩!$B$5</definedName>
    <definedName name="平均スコア" localSheetId="5">松澤亮太!$B$5</definedName>
    <definedName name="平均スコア" localSheetId="4">全体!$B$5</definedName>
    <definedName name="平均スコア" localSheetId="7">大池陸斗!$B$5</definedName>
    <definedName name="平均スコア" localSheetId="6">滝沢悠人!$B$5</definedName>
    <definedName name="平均スコア" localSheetId="8">百瀬成空!$B$5</definedName>
    <definedName name="平均スコア" localSheetId="11">保谷一貴!$B$5</definedName>
    <definedName name="平均スコア">Template!$B$5</definedName>
    <definedName name="平均順位" localSheetId="10">依田幸憲!$B$6</definedName>
    <definedName name="平均順位" localSheetId="12">高野源太!$B$6</definedName>
    <definedName name="平均順位" localSheetId="9">佐藤成浩!$B$6</definedName>
    <definedName name="平均順位" localSheetId="5">松澤亮太!$B$6</definedName>
    <definedName name="平均順位" localSheetId="4">全体!$B$6</definedName>
    <definedName name="平均順位" localSheetId="7">大池陸斗!$B$6</definedName>
    <definedName name="平均順位" localSheetId="6">滝沢悠人!$B$6</definedName>
    <definedName name="平均順位" localSheetId="8">百瀬成空!$B$6</definedName>
    <definedName name="平均順位" localSheetId="11">保谷一貴!$B$6</definedName>
    <definedName name="平均順位">Template!$B$6</definedName>
    <definedName name="平均放銃点" localSheetId="10">依田幸憲!$B$27</definedName>
    <definedName name="平均放銃点" localSheetId="12">高野源太!$B$27</definedName>
    <definedName name="平均放銃点" localSheetId="9">佐藤成浩!$B$27</definedName>
    <definedName name="平均放銃点" localSheetId="5">松澤亮太!$B$27</definedName>
    <definedName name="平均放銃点" localSheetId="4">全体!$B$27</definedName>
    <definedName name="平均放銃点" localSheetId="7">大池陸斗!$B$27</definedName>
    <definedName name="平均放銃点" localSheetId="6">滝沢悠人!$B$27</definedName>
    <definedName name="平均放銃点" localSheetId="8">百瀬成空!$B$27</definedName>
    <definedName name="平均放銃点" localSheetId="11">保谷一貴!$B$27</definedName>
    <definedName name="平均放銃点">Template!$B$27</definedName>
    <definedName name="放銃数" localSheetId="10">依田幸憲!$B$18</definedName>
    <definedName name="放銃数" localSheetId="12">高野源太!$B$18</definedName>
    <definedName name="放銃数" localSheetId="9">佐藤成浩!$B$18</definedName>
    <definedName name="放銃数" localSheetId="5">松澤亮太!$B$18</definedName>
    <definedName name="放銃数" localSheetId="4">全体!$B$18</definedName>
    <definedName name="放銃数" localSheetId="7">大池陸斗!$B$18</definedName>
    <definedName name="放銃数" localSheetId="6">滝沢悠人!$B$18</definedName>
    <definedName name="放銃数" localSheetId="8">百瀬成空!$B$18</definedName>
    <definedName name="放銃数" localSheetId="11">保谷一貴!$B$18</definedName>
    <definedName name="放銃数">Template!$B$18</definedName>
    <definedName name="放銃率" localSheetId="10">依田幸憲!$C$18</definedName>
    <definedName name="放銃率" localSheetId="12">高野源太!$C$18</definedName>
    <definedName name="放銃率" localSheetId="9">佐藤成浩!$C$18</definedName>
    <definedName name="放銃率" localSheetId="5">松澤亮太!$C$18</definedName>
    <definedName name="放銃率" localSheetId="4">全体!$C$18</definedName>
    <definedName name="放銃率" localSheetId="7">大池陸斗!$C$18</definedName>
    <definedName name="放銃率" localSheetId="6">滝沢悠人!$C$18</definedName>
    <definedName name="放銃率" localSheetId="8">百瀬成空!$C$18</definedName>
    <definedName name="放銃率" localSheetId="11">保谷一貴!$C$18</definedName>
    <definedName name="放銃率">Template!$C$18</definedName>
    <definedName name="名前" localSheetId="10">依田幸憲!$B$1</definedName>
    <definedName name="名前" localSheetId="12">高野源太!$B$1</definedName>
    <definedName name="名前" localSheetId="9">佐藤成浩!$B$1</definedName>
    <definedName name="名前" localSheetId="5">松澤亮太!$B$1</definedName>
    <definedName name="名前" localSheetId="4">全体!$B$1</definedName>
    <definedName name="名前" localSheetId="7">大池陸斗!$B$1</definedName>
    <definedName name="名前" localSheetId="6">滝沢悠人!$B$1</definedName>
    <definedName name="名前" localSheetId="8">百瀬成空!$B$1</definedName>
    <definedName name="名前" localSheetId="11">保谷一貴!$B$1</definedName>
    <definedName name="名前">Template!$B$1</definedName>
    <definedName name="門前アガリ点" localSheetId="10">依田幸憲!$B$25</definedName>
    <definedName name="門前アガリ点" localSheetId="12">高野源太!$B$25</definedName>
    <definedName name="門前アガリ点" localSheetId="9">佐藤成浩!$B$25</definedName>
    <definedName name="門前アガリ点" localSheetId="5">松澤亮太!$B$25</definedName>
    <definedName name="門前アガリ点" localSheetId="4">全体!$B$25</definedName>
    <definedName name="門前アガリ点" localSheetId="7">大池陸斗!$B$25</definedName>
    <definedName name="門前アガリ点" localSheetId="6">滝沢悠人!$B$25</definedName>
    <definedName name="門前アガリ点" localSheetId="8">百瀬成空!$B$25</definedName>
    <definedName name="門前アガリ点" localSheetId="11">保谷一貴!$B$25</definedName>
    <definedName name="門前アガリ点">Template!$B$25</definedName>
    <definedName name="連続アガリ" localSheetId="10">依田幸憲!$B$28</definedName>
    <definedName name="連続アガリ" localSheetId="12">高野源太!$B$28</definedName>
    <definedName name="連続アガリ" localSheetId="9">佐藤成浩!$B$28</definedName>
    <definedName name="連続アガリ" localSheetId="5">松澤亮太!$B$28</definedName>
    <definedName name="連続アガリ" localSheetId="4">全体!$B$28</definedName>
    <definedName name="連続アガリ" localSheetId="7">大池陸斗!$B$28</definedName>
    <definedName name="連続アガリ" localSheetId="6">滝沢悠人!$B$28</definedName>
    <definedName name="連続アガリ" localSheetId="8">百瀬成空!$B$28</definedName>
    <definedName name="連続アガリ" localSheetId="11">保谷一貴!$B$28</definedName>
    <definedName name="連続アガリ">Template!$B$28</definedName>
    <definedName name="連続無放銃" localSheetId="10">依田幸憲!$B$29</definedName>
    <definedName name="連続無放銃" localSheetId="12">高野源太!$B$29</definedName>
    <definedName name="連続無放銃" localSheetId="9">佐藤成浩!$B$29</definedName>
    <definedName name="連続無放銃" localSheetId="5">松澤亮太!$B$29</definedName>
    <definedName name="連続無放銃" localSheetId="4">全体!$B$29</definedName>
    <definedName name="連続無放銃" localSheetId="7">大池陸斗!$B$29</definedName>
    <definedName name="連続無放銃" localSheetId="6">滝沢悠人!$B$29</definedName>
    <definedName name="連続無放銃" localSheetId="8">百瀬成空!$B$29</definedName>
    <definedName name="連続無放銃" localSheetId="11">保谷一貴!$B$29</definedName>
    <definedName name="連続無放銃">Template!$B$29</definedName>
    <definedName name="連対数" localSheetId="10">依田幸憲!$B$11</definedName>
    <definedName name="連対数" localSheetId="12">高野源太!$B$11</definedName>
    <definedName name="連対数" localSheetId="9">佐藤成浩!$B$11</definedName>
    <definedName name="連対数" localSheetId="5">松澤亮太!$B$11</definedName>
    <definedName name="連対数" localSheetId="4">全体!$B$11</definedName>
    <definedName name="連対数" localSheetId="7">大池陸斗!$B$11</definedName>
    <definedName name="連対数" localSheetId="6">滝沢悠人!$B$11</definedName>
    <definedName name="連対数" localSheetId="8">百瀬成空!$B$11</definedName>
    <definedName name="連対数" localSheetId="11">保谷一貴!$B$11</definedName>
    <definedName name="連対数">Template!$B$11</definedName>
    <definedName name="連対率" localSheetId="10">依田幸憲!$C$11</definedName>
    <definedName name="連対率" localSheetId="12">高野源太!$C$11</definedName>
    <definedName name="連対率" localSheetId="9">佐藤成浩!$C$11</definedName>
    <definedName name="連対率" localSheetId="5">松澤亮太!$C$11</definedName>
    <definedName name="連対率" localSheetId="4">全体!$C$11</definedName>
    <definedName name="連対率" localSheetId="7">大池陸斗!$C$11</definedName>
    <definedName name="連対率" localSheetId="6">滝沢悠人!$C$11</definedName>
    <definedName name="連対率" localSheetId="8">百瀬成空!$C$11</definedName>
    <definedName name="連対率" localSheetId="11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42" l="1"/>
  <c r="O18" i="6042"/>
  <c r="O19" i="6042"/>
  <c r="C32" i="6042"/>
  <c r="B27" i="6042"/>
  <c r="C18" i="6042"/>
  <c r="B17" i="6042"/>
  <c r="C21" i="6042" s="1"/>
  <c r="C16" i="6042"/>
  <c r="B16" i="6042"/>
  <c r="B26" i="6042" s="1"/>
  <c r="O15" i="6042"/>
  <c r="B15" i="6042"/>
  <c r="C15" i="6042" s="1"/>
  <c r="O14" i="6042"/>
  <c r="C14" i="6042"/>
  <c r="O13" i="6042"/>
  <c r="C13" i="6042"/>
  <c r="O12" i="6042"/>
  <c r="C12" i="6042"/>
  <c r="B11" i="6042"/>
  <c r="C11" i="6042" s="1"/>
  <c r="C10" i="6042"/>
  <c r="O9" i="6042"/>
  <c r="C9" i="6042"/>
  <c r="O8" i="6042"/>
  <c r="C8" i="6042"/>
  <c r="O7" i="6042"/>
  <c r="C7" i="6042"/>
  <c r="O6" i="6042"/>
  <c r="B6" i="6042"/>
  <c r="O5" i="6042"/>
  <c r="B5" i="6042"/>
  <c r="O4" i="6042"/>
  <c r="O3" i="6042"/>
  <c r="O2" i="6042"/>
  <c r="O18" i="6041"/>
  <c r="O19" i="6041"/>
  <c r="O20" i="6041"/>
  <c r="C32" i="6041"/>
  <c r="B27" i="6041"/>
  <c r="B26" i="6041"/>
  <c r="C18" i="6041"/>
  <c r="C17" i="6041"/>
  <c r="B17" i="6041"/>
  <c r="C46" i="6041" s="1"/>
  <c r="H16" i="6041"/>
  <c r="C16" i="6041"/>
  <c r="B16" i="6041"/>
  <c r="B25" i="6041" s="1"/>
  <c r="O15" i="6041"/>
  <c r="H15" i="6041"/>
  <c r="C15" i="6041"/>
  <c r="B15" i="6041"/>
  <c r="O14" i="6041"/>
  <c r="H14" i="6041"/>
  <c r="C14" i="6041"/>
  <c r="O13" i="6041"/>
  <c r="H13" i="6041"/>
  <c r="C13" i="6041"/>
  <c r="O12" i="6041"/>
  <c r="H12" i="6041"/>
  <c r="C12" i="6041"/>
  <c r="H11" i="6041"/>
  <c r="C11" i="6041"/>
  <c r="B11" i="6041"/>
  <c r="H10" i="6041"/>
  <c r="C10" i="6041"/>
  <c r="O9" i="6041"/>
  <c r="H9" i="6041"/>
  <c r="C9" i="6041"/>
  <c r="O8" i="6041"/>
  <c r="C8" i="6041"/>
  <c r="O7" i="6041"/>
  <c r="H6" i="6041"/>
  <c r="C7" i="6041"/>
  <c r="O6" i="6041"/>
  <c r="H5" i="6041"/>
  <c r="B6" i="6041"/>
  <c r="O5" i="6041"/>
  <c r="B5" i="6041"/>
  <c r="O4" i="6041"/>
  <c r="O3" i="6041"/>
  <c r="O2" i="6041"/>
  <c r="O18" i="6040"/>
  <c r="O20" i="6040"/>
  <c r="O19" i="6040"/>
  <c r="C46" i="6040"/>
  <c r="H45" i="6040"/>
  <c r="C44" i="6040"/>
  <c r="H43" i="6040"/>
  <c r="C42" i="6040"/>
  <c r="H41" i="6040"/>
  <c r="C40" i="6040"/>
  <c r="H39" i="6040"/>
  <c r="C38" i="6040"/>
  <c r="H37" i="6040"/>
  <c r="C36" i="6040"/>
  <c r="H35" i="6040"/>
  <c r="C34" i="6040"/>
  <c r="H33" i="6040"/>
  <c r="C32" i="6040"/>
  <c r="H31" i="6040"/>
  <c r="H30" i="6040"/>
  <c r="H27" i="6040"/>
  <c r="B27" i="6040"/>
  <c r="H25" i="6040"/>
  <c r="H23" i="6040"/>
  <c r="C23" i="6040"/>
  <c r="H21" i="6040"/>
  <c r="C21" i="6040"/>
  <c r="H19" i="6040"/>
  <c r="C19" i="6040"/>
  <c r="C18" i="6040"/>
  <c r="H17" i="6040"/>
  <c r="C17" i="6040"/>
  <c r="B17" i="6040"/>
  <c r="C45" i="6040" s="1"/>
  <c r="H16" i="6040"/>
  <c r="C16" i="6040"/>
  <c r="B16" i="6040"/>
  <c r="B26" i="6040" s="1"/>
  <c r="O15" i="6040"/>
  <c r="H15" i="6040"/>
  <c r="C15" i="6040"/>
  <c r="B15" i="6040"/>
  <c r="O14" i="6040"/>
  <c r="H14" i="6040"/>
  <c r="C14" i="6040"/>
  <c r="O13" i="6040"/>
  <c r="H13" i="6040"/>
  <c r="C13" i="6040"/>
  <c r="O12" i="6040"/>
  <c r="H12" i="6040"/>
  <c r="C12" i="6040"/>
  <c r="H11" i="6040"/>
  <c r="C11" i="6040"/>
  <c r="B11" i="6040"/>
  <c r="H10" i="6040"/>
  <c r="C10" i="6040"/>
  <c r="O9" i="6040"/>
  <c r="H9" i="6040"/>
  <c r="C9" i="6040"/>
  <c r="O8" i="6040"/>
  <c r="H8" i="6040"/>
  <c r="C8" i="6040"/>
  <c r="O7" i="6040"/>
  <c r="H7" i="6040"/>
  <c r="C7" i="6040"/>
  <c r="O6" i="6040"/>
  <c r="H6" i="6040"/>
  <c r="B6" i="6040"/>
  <c r="O5" i="6040"/>
  <c r="H5" i="6040"/>
  <c r="B5" i="6040"/>
  <c r="O4" i="6040"/>
  <c r="H4" i="6040"/>
  <c r="O3" i="6040"/>
  <c r="H3" i="6040"/>
  <c r="O2" i="6040"/>
  <c r="H2" i="6040"/>
  <c r="O21" i="6034"/>
  <c r="O20" i="6039"/>
  <c r="O19" i="6039"/>
  <c r="O18" i="6039"/>
  <c r="H39" i="6039"/>
  <c r="H35" i="6039"/>
  <c r="C32" i="6039"/>
  <c r="H31" i="6039"/>
  <c r="B27" i="6039"/>
  <c r="C23" i="6039"/>
  <c r="C20" i="6039"/>
  <c r="C18" i="6039"/>
  <c r="H17" i="6039"/>
  <c r="B17" i="6039"/>
  <c r="C45" i="6039" s="1"/>
  <c r="C16" i="6039"/>
  <c r="B16" i="6039"/>
  <c r="B26" i="6039" s="1"/>
  <c r="O15" i="6039"/>
  <c r="C15" i="6039"/>
  <c r="B15" i="6039"/>
  <c r="O14" i="6039"/>
  <c r="C14" i="6039"/>
  <c r="O13" i="6039"/>
  <c r="C13" i="6039"/>
  <c r="O12" i="6039"/>
  <c r="C12" i="6039"/>
  <c r="H11" i="6039"/>
  <c r="C11" i="6039"/>
  <c r="B11" i="6039"/>
  <c r="H10" i="6039"/>
  <c r="C10" i="6039"/>
  <c r="O9" i="6039"/>
  <c r="C9" i="6039"/>
  <c r="O8" i="6039"/>
  <c r="H9" i="6039"/>
  <c r="C8" i="6039"/>
  <c r="O7" i="6039"/>
  <c r="H4" i="6039"/>
  <c r="C7" i="6039"/>
  <c r="O6" i="6039"/>
  <c r="H8" i="6039"/>
  <c r="B6" i="6039"/>
  <c r="O5" i="6039"/>
  <c r="B5" i="6039"/>
  <c r="O4" i="6039"/>
  <c r="H7" i="6039"/>
  <c r="O3" i="6039"/>
  <c r="H6" i="6039"/>
  <c r="O2" i="6039"/>
  <c r="H3" i="6039"/>
  <c r="O24" i="6034"/>
  <c r="O23" i="6034"/>
  <c r="O19" i="6034"/>
  <c r="H5" i="6042" l="1"/>
  <c r="C17" i="6042"/>
  <c r="H4" i="6042"/>
  <c r="H10" i="6042"/>
  <c r="H13" i="6042"/>
  <c r="H2" i="6042"/>
  <c r="H8" i="6042"/>
  <c r="H12" i="6042"/>
  <c r="C19" i="6042"/>
  <c r="C23" i="6042"/>
  <c r="B25" i="6042"/>
  <c r="H30" i="6042"/>
  <c r="H33" i="6042"/>
  <c r="H35" i="6042"/>
  <c r="H37" i="6042"/>
  <c r="H39" i="6042"/>
  <c r="H41" i="6042"/>
  <c r="H43" i="6042"/>
  <c r="H45" i="6042"/>
  <c r="H3" i="6042"/>
  <c r="H6" i="6042"/>
  <c r="H9" i="6042"/>
  <c r="H17" i="6042"/>
  <c r="H19" i="6042"/>
  <c r="H21" i="6042"/>
  <c r="H23" i="6042"/>
  <c r="H25" i="6042"/>
  <c r="H27" i="6042"/>
  <c r="H31" i="6042"/>
  <c r="C34" i="6042"/>
  <c r="C36" i="6042"/>
  <c r="C38" i="6042"/>
  <c r="C40" i="6042"/>
  <c r="C42" i="6042"/>
  <c r="C44" i="6042"/>
  <c r="C46" i="6042"/>
  <c r="H7" i="6042"/>
  <c r="H11" i="6042"/>
  <c r="H14" i="6042"/>
  <c r="H15" i="6042"/>
  <c r="H16" i="6042"/>
  <c r="C20" i="6042"/>
  <c r="C22" i="6042"/>
  <c r="B24" i="6042"/>
  <c r="H28" i="6042"/>
  <c r="H34" i="6042"/>
  <c r="H36" i="6042"/>
  <c r="H38" i="6042"/>
  <c r="H40" i="6042"/>
  <c r="H42" i="6042"/>
  <c r="H44" i="6042"/>
  <c r="H18" i="6042"/>
  <c r="H20" i="6042"/>
  <c r="H22" i="6042"/>
  <c r="H24" i="6042"/>
  <c r="H26" i="6042"/>
  <c r="H29" i="6042"/>
  <c r="H32" i="6042"/>
  <c r="C35" i="6042"/>
  <c r="C37" i="6042"/>
  <c r="C39" i="6042"/>
  <c r="C41" i="6042"/>
  <c r="C43" i="6042"/>
  <c r="C45" i="6042"/>
  <c r="C19" i="6041"/>
  <c r="C21" i="6041"/>
  <c r="C23" i="6041"/>
  <c r="H34" i="6041"/>
  <c r="H7" i="6041"/>
  <c r="H2" i="6041"/>
  <c r="H42" i="6041"/>
  <c r="H28" i="6041"/>
  <c r="H38" i="6041"/>
  <c r="C20" i="6041"/>
  <c r="B24" i="6041"/>
  <c r="H40" i="6041"/>
  <c r="H3" i="6041"/>
  <c r="H4" i="6041"/>
  <c r="H8" i="6041"/>
  <c r="C22" i="6041"/>
  <c r="H36" i="6041"/>
  <c r="H44" i="6041"/>
  <c r="H18" i="6041"/>
  <c r="H20" i="6041"/>
  <c r="H22" i="6041"/>
  <c r="H24" i="6041"/>
  <c r="H26" i="6041"/>
  <c r="H29" i="6041"/>
  <c r="H32" i="6041"/>
  <c r="C35" i="6041"/>
  <c r="C37" i="6041"/>
  <c r="C39" i="6041"/>
  <c r="C41" i="6041"/>
  <c r="C43" i="6041"/>
  <c r="C45" i="6041"/>
  <c r="H30" i="6041"/>
  <c r="H33" i="6041"/>
  <c r="H35" i="6041"/>
  <c r="H37" i="6041"/>
  <c r="H39" i="6041"/>
  <c r="H41" i="6041"/>
  <c r="H43" i="6041"/>
  <c r="H45" i="6041"/>
  <c r="H17" i="6041"/>
  <c r="H19" i="6041"/>
  <c r="H21" i="6041"/>
  <c r="H23" i="6041"/>
  <c r="H25" i="6041"/>
  <c r="H27" i="6041"/>
  <c r="H31" i="6041"/>
  <c r="C34" i="6041"/>
  <c r="C36" i="6041"/>
  <c r="C38" i="6041"/>
  <c r="C40" i="6041"/>
  <c r="C42" i="6041"/>
  <c r="C44" i="6041"/>
  <c r="B25" i="6040"/>
  <c r="C20" i="6040"/>
  <c r="C22" i="6040"/>
  <c r="B24" i="6040"/>
  <c r="H28" i="6040"/>
  <c r="H34" i="6040"/>
  <c r="H36" i="6040"/>
  <c r="H38" i="6040"/>
  <c r="H40" i="6040"/>
  <c r="H42" i="6040"/>
  <c r="H44" i="6040"/>
  <c r="H18" i="6040"/>
  <c r="H20" i="6040"/>
  <c r="H22" i="6040"/>
  <c r="H24" i="6040"/>
  <c r="H26" i="6040"/>
  <c r="H29" i="6040"/>
  <c r="H32" i="6040"/>
  <c r="C35" i="6040"/>
  <c r="C37" i="6040"/>
  <c r="C39" i="6040"/>
  <c r="C41" i="6040"/>
  <c r="C43" i="6040"/>
  <c r="H43" i="6039"/>
  <c r="H14" i="6039"/>
  <c r="H15" i="6039"/>
  <c r="H16" i="6039"/>
  <c r="C21" i="6039"/>
  <c r="H23" i="6039"/>
  <c r="H27" i="6039"/>
  <c r="C36" i="6039"/>
  <c r="C40" i="6039"/>
  <c r="C44" i="6039"/>
  <c r="H21" i="6039"/>
  <c r="B24" i="6039"/>
  <c r="H28" i="6039"/>
  <c r="H33" i="6039"/>
  <c r="H37" i="6039"/>
  <c r="H41" i="6039"/>
  <c r="H45" i="6039"/>
  <c r="H13" i="6039"/>
  <c r="C19" i="6039"/>
  <c r="H2" i="6039"/>
  <c r="H5" i="6039"/>
  <c r="H12" i="6039"/>
  <c r="C17" i="6039"/>
  <c r="H19" i="6039"/>
  <c r="C22" i="6039"/>
  <c r="H25" i="6039"/>
  <c r="H30" i="6039"/>
  <c r="C34" i="6039"/>
  <c r="C38" i="6039"/>
  <c r="C42" i="6039"/>
  <c r="C46" i="6039"/>
  <c r="B25" i="6039"/>
  <c r="H34" i="6039"/>
  <c r="H36" i="6039"/>
  <c r="H38" i="6039"/>
  <c r="H40" i="6039"/>
  <c r="H42" i="6039"/>
  <c r="H44" i="6039"/>
  <c r="H18" i="6039"/>
  <c r="H20" i="6039"/>
  <c r="H22" i="6039"/>
  <c r="H24" i="6039"/>
  <c r="H26" i="6039"/>
  <c r="H29" i="6039"/>
  <c r="H32" i="6039"/>
  <c r="C35" i="6039"/>
  <c r="C37" i="6039"/>
  <c r="C39" i="6039"/>
  <c r="C41" i="6039"/>
  <c r="C43" i="6039"/>
  <c r="O18" i="6038" l="1"/>
  <c r="O20" i="6038"/>
  <c r="O19" i="6038"/>
  <c r="C32" i="6038"/>
  <c r="B27" i="6038"/>
  <c r="C18" i="6038"/>
  <c r="C17" i="6038"/>
  <c r="B17" i="6038"/>
  <c r="H45" i="6038" s="1"/>
  <c r="C16" i="6038"/>
  <c r="B16" i="6038"/>
  <c r="B26" i="6038" s="1"/>
  <c r="O15" i="6038"/>
  <c r="B15" i="6038"/>
  <c r="C15" i="6038" s="1"/>
  <c r="O14" i="6038"/>
  <c r="C14" i="6038"/>
  <c r="O13" i="6038"/>
  <c r="H14" i="6038"/>
  <c r="C13" i="6038"/>
  <c r="O12" i="6038"/>
  <c r="C12" i="6038"/>
  <c r="C11" i="6038"/>
  <c r="B11" i="6038"/>
  <c r="H11" i="6038"/>
  <c r="C10" i="6038"/>
  <c r="O9" i="6038"/>
  <c r="C9" i="6038"/>
  <c r="O8" i="6038"/>
  <c r="H9" i="6038"/>
  <c r="C8" i="6038"/>
  <c r="O7" i="6038"/>
  <c r="C7" i="6038"/>
  <c r="O6" i="6038"/>
  <c r="H7" i="6038"/>
  <c r="B6" i="6038"/>
  <c r="O5" i="6038"/>
  <c r="B5" i="6038"/>
  <c r="O4" i="6038"/>
  <c r="H3" i="6038"/>
  <c r="O3" i="6038"/>
  <c r="H4" i="6038"/>
  <c r="O2" i="6038"/>
  <c r="H2" i="6038"/>
  <c r="O20" i="6037"/>
  <c r="O19" i="6037"/>
  <c r="O18" i="6037"/>
  <c r="C32" i="6037"/>
  <c r="B27" i="6037"/>
  <c r="H23" i="6037"/>
  <c r="H21" i="6037"/>
  <c r="C18" i="6037"/>
  <c r="H17" i="6037"/>
  <c r="C17" i="6037"/>
  <c r="B17" i="6037"/>
  <c r="H45" i="6037" s="1"/>
  <c r="C16" i="6037"/>
  <c r="B16" i="6037"/>
  <c r="B26" i="6037" s="1"/>
  <c r="O15" i="6037"/>
  <c r="C15" i="6037"/>
  <c r="B15" i="6037"/>
  <c r="O14" i="6037"/>
  <c r="C14" i="6037"/>
  <c r="O13" i="6037"/>
  <c r="H13" i="6037"/>
  <c r="C13" i="6037"/>
  <c r="O12" i="6037"/>
  <c r="C12" i="6037"/>
  <c r="C11" i="6037"/>
  <c r="B11" i="6037"/>
  <c r="H10" i="6037"/>
  <c r="C10" i="6037"/>
  <c r="O9" i="6037"/>
  <c r="C9" i="6037"/>
  <c r="O8" i="6037"/>
  <c r="H4" i="6037"/>
  <c r="C8" i="6037"/>
  <c r="O7" i="6037"/>
  <c r="C7" i="6037"/>
  <c r="O6" i="6037"/>
  <c r="H3" i="6037"/>
  <c r="B6" i="6037"/>
  <c r="O5" i="6037"/>
  <c r="B5" i="6037"/>
  <c r="O4" i="6037"/>
  <c r="H6" i="6037"/>
  <c r="O3" i="6037"/>
  <c r="H5" i="6037"/>
  <c r="O2" i="6037"/>
  <c r="H2" i="6037"/>
  <c r="O20" i="6036"/>
  <c r="O19" i="6036"/>
  <c r="O18" i="6036"/>
  <c r="C32" i="6036"/>
  <c r="B27" i="6036"/>
  <c r="C18" i="6036"/>
  <c r="B17" i="6036"/>
  <c r="C45" i="6036" s="1"/>
  <c r="C16" i="6036"/>
  <c r="B16" i="6036"/>
  <c r="B26" i="6036" s="1"/>
  <c r="O15" i="6036"/>
  <c r="C15" i="6036"/>
  <c r="B15" i="6036"/>
  <c r="O14" i="6036"/>
  <c r="C14" i="6036"/>
  <c r="O13" i="6036"/>
  <c r="C13" i="6036"/>
  <c r="O12" i="6036"/>
  <c r="C12" i="6036"/>
  <c r="C11" i="6036"/>
  <c r="B11" i="6036"/>
  <c r="C10" i="6036"/>
  <c r="O9" i="6036"/>
  <c r="C9" i="6036"/>
  <c r="O8" i="6036"/>
  <c r="C8" i="6036"/>
  <c r="O7" i="6036"/>
  <c r="C7" i="6036"/>
  <c r="O6" i="6036"/>
  <c r="B6" i="6036"/>
  <c r="O5" i="6036"/>
  <c r="B5" i="6036"/>
  <c r="O4" i="6036"/>
  <c r="O3" i="6036"/>
  <c r="O2" i="6036"/>
  <c r="O22" i="6034"/>
  <c r="O19" i="6035"/>
  <c r="O18" i="6035"/>
  <c r="O20" i="6035"/>
  <c r="C32" i="6035"/>
  <c r="B27" i="6035"/>
  <c r="C18" i="6035"/>
  <c r="B17" i="6035"/>
  <c r="H45" i="6035" s="1"/>
  <c r="C16" i="6035"/>
  <c r="B16" i="6035"/>
  <c r="B26" i="6035" s="1"/>
  <c r="O15" i="6035"/>
  <c r="C15" i="6035"/>
  <c r="B15" i="6035"/>
  <c r="O14" i="6035"/>
  <c r="C14" i="6035"/>
  <c r="O13" i="6035"/>
  <c r="C13" i="6035"/>
  <c r="O12" i="6035"/>
  <c r="C12" i="6035"/>
  <c r="C11" i="6035"/>
  <c r="B11" i="6035"/>
  <c r="C10" i="6035"/>
  <c r="O9" i="6035"/>
  <c r="C9" i="6035"/>
  <c r="O8" i="6035"/>
  <c r="H10" i="6035"/>
  <c r="C8" i="6035"/>
  <c r="O7" i="6035"/>
  <c r="C7" i="6035"/>
  <c r="O6" i="6035"/>
  <c r="B6" i="6035"/>
  <c r="O5" i="6035"/>
  <c r="B5" i="6035"/>
  <c r="O4" i="6035"/>
  <c r="O3" i="6035"/>
  <c r="H6" i="6035"/>
  <c r="O2" i="6035"/>
  <c r="O20" i="6034"/>
  <c r="O18" i="6034"/>
  <c r="O25" i="6034"/>
  <c r="C32" i="6034"/>
  <c r="B27" i="6034"/>
  <c r="C18" i="6034"/>
  <c r="B17" i="6034"/>
  <c r="H44" i="6034" s="1"/>
  <c r="C16" i="6034"/>
  <c r="B16" i="6034"/>
  <c r="B26" i="6034" s="1"/>
  <c r="O15" i="6034"/>
  <c r="B15" i="6034"/>
  <c r="C15" i="6034" s="1"/>
  <c r="O14" i="6034"/>
  <c r="C14" i="6034"/>
  <c r="O13" i="6034"/>
  <c r="C13" i="6034"/>
  <c r="O12" i="6034"/>
  <c r="C12" i="6034"/>
  <c r="B11" i="6034"/>
  <c r="C11" i="6034" s="1"/>
  <c r="C10" i="6034"/>
  <c r="O9" i="6034"/>
  <c r="C9" i="6034"/>
  <c r="O8" i="6034"/>
  <c r="C8" i="6034"/>
  <c r="O7" i="6034"/>
  <c r="C7" i="6034"/>
  <c r="O6" i="6034"/>
  <c r="B6" i="6034"/>
  <c r="O5" i="6034"/>
  <c r="B5" i="6034"/>
  <c r="O4" i="6034"/>
  <c r="O3" i="6034"/>
  <c r="O2" i="6034"/>
  <c r="H18" i="6038" l="1"/>
  <c r="H20" i="6038"/>
  <c r="H22" i="6038"/>
  <c r="H24" i="6038"/>
  <c r="H25" i="6038"/>
  <c r="H27" i="6038"/>
  <c r="H31" i="6038"/>
  <c r="C34" i="6038"/>
  <c r="C36" i="6038"/>
  <c r="C38" i="6038"/>
  <c r="C40" i="6038"/>
  <c r="C42" i="6038"/>
  <c r="C44" i="6038"/>
  <c r="C46" i="6038"/>
  <c r="H8" i="6038"/>
  <c r="H12" i="6038"/>
  <c r="H15" i="6038"/>
  <c r="H16" i="6038"/>
  <c r="H17" i="6038"/>
  <c r="C20" i="6038"/>
  <c r="C22" i="6038"/>
  <c r="B24" i="6038"/>
  <c r="H28" i="6038"/>
  <c r="H34" i="6038"/>
  <c r="H36" i="6038"/>
  <c r="H38" i="6038"/>
  <c r="H40" i="6038"/>
  <c r="H42" i="6038"/>
  <c r="H44" i="6038"/>
  <c r="H19" i="6038"/>
  <c r="H21" i="6038"/>
  <c r="H23" i="6038"/>
  <c r="H5" i="6038"/>
  <c r="H26" i="6038"/>
  <c r="H29" i="6038"/>
  <c r="H32" i="6038"/>
  <c r="C35" i="6038"/>
  <c r="C37" i="6038"/>
  <c r="C39" i="6038"/>
  <c r="C41" i="6038"/>
  <c r="C43" i="6038"/>
  <c r="C45" i="6038"/>
  <c r="H6" i="6038"/>
  <c r="H10" i="6038"/>
  <c r="H13" i="6038"/>
  <c r="C19" i="6038"/>
  <c r="C21" i="6038"/>
  <c r="C23" i="6038"/>
  <c r="B25" i="6038"/>
  <c r="H30" i="6038"/>
  <c r="H33" i="6038"/>
  <c r="H35" i="6038"/>
  <c r="H37" i="6038"/>
  <c r="H39" i="6038"/>
  <c r="H41" i="6038"/>
  <c r="H43" i="6038"/>
  <c r="H19" i="6037"/>
  <c r="H25" i="6037"/>
  <c r="H27" i="6037"/>
  <c r="H31" i="6037"/>
  <c r="C34" i="6037"/>
  <c r="C36" i="6037"/>
  <c r="C38" i="6037"/>
  <c r="C40" i="6037"/>
  <c r="C42" i="6037"/>
  <c r="C44" i="6037"/>
  <c r="C46" i="6037"/>
  <c r="H8" i="6037"/>
  <c r="H11" i="6037"/>
  <c r="H14" i="6037"/>
  <c r="H15" i="6037"/>
  <c r="H16" i="6037"/>
  <c r="C20" i="6037"/>
  <c r="C22" i="6037"/>
  <c r="B24" i="6037"/>
  <c r="H28" i="6037"/>
  <c r="H34" i="6037"/>
  <c r="H36" i="6037"/>
  <c r="H38" i="6037"/>
  <c r="H40" i="6037"/>
  <c r="H42" i="6037"/>
  <c r="H44" i="6037"/>
  <c r="H18" i="6037"/>
  <c r="H20" i="6037"/>
  <c r="H22" i="6037"/>
  <c r="H24" i="6037"/>
  <c r="H26" i="6037"/>
  <c r="H29" i="6037"/>
  <c r="H32" i="6037"/>
  <c r="C35" i="6037"/>
  <c r="C37" i="6037"/>
  <c r="C39" i="6037"/>
  <c r="C41" i="6037"/>
  <c r="C43" i="6037"/>
  <c r="C45" i="6037"/>
  <c r="H7" i="6037"/>
  <c r="H9" i="6037"/>
  <c r="H12" i="6037"/>
  <c r="C19" i="6037"/>
  <c r="C21" i="6037"/>
  <c r="C23" i="6037"/>
  <c r="B25" i="6037"/>
  <c r="H30" i="6037"/>
  <c r="H33" i="6037"/>
  <c r="H35" i="6037"/>
  <c r="H37" i="6037"/>
  <c r="H39" i="6037"/>
  <c r="H41" i="6037"/>
  <c r="H43" i="6037"/>
  <c r="H3" i="6036"/>
  <c r="H4" i="6036"/>
  <c r="H13" i="6036"/>
  <c r="C23" i="6036"/>
  <c r="H31" i="6036"/>
  <c r="H36" i="6036"/>
  <c r="H10" i="6036"/>
  <c r="H12" i="6036"/>
  <c r="H19" i="6036"/>
  <c r="H8" i="6036"/>
  <c r="C20" i="6036"/>
  <c r="C34" i="6036"/>
  <c r="C42" i="6036"/>
  <c r="H25" i="6036"/>
  <c r="H39" i="6036"/>
  <c r="H9" i="6036"/>
  <c r="H6" i="6036"/>
  <c r="C17" i="6036"/>
  <c r="H2" i="6036"/>
  <c r="H7" i="6036"/>
  <c r="H17" i="6036"/>
  <c r="C22" i="6036"/>
  <c r="H30" i="6036"/>
  <c r="H34" i="6036"/>
  <c r="H44" i="6036"/>
  <c r="C19" i="6036"/>
  <c r="H21" i="6036"/>
  <c r="B24" i="6036"/>
  <c r="H28" i="6036"/>
  <c r="H33" i="6036"/>
  <c r="C36" i="6036"/>
  <c r="H38" i="6036"/>
  <c r="H41" i="6036"/>
  <c r="C44" i="6036"/>
  <c r="H37" i="6036"/>
  <c r="C40" i="6036"/>
  <c r="H42" i="6036"/>
  <c r="H45" i="6036"/>
  <c r="H5" i="6036"/>
  <c r="H11" i="6036"/>
  <c r="H14" i="6036"/>
  <c r="H15" i="6036"/>
  <c r="H16" i="6036"/>
  <c r="C21" i="6036"/>
  <c r="H23" i="6036"/>
  <c r="H27" i="6036"/>
  <c r="H35" i="6036"/>
  <c r="C38" i="6036"/>
  <c r="H40" i="6036"/>
  <c r="H43" i="6036"/>
  <c r="C46" i="6036"/>
  <c r="B25" i="6036"/>
  <c r="H18" i="6036"/>
  <c r="H20" i="6036"/>
  <c r="H22" i="6036"/>
  <c r="H24" i="6036"/>
  <c r="H26" i="6036"/>
  <c r="H29" i="6036"/>
  <c r="H32" i="6036"/>
  <c r="C35" i="6036"/>
  <c r="C37" i="6036"/>
  <c r="C39" i="6036"/>
  <c r="C41" i="6036"/>
  <c r="C43" i="6036"/>
  <c r="H5" i="6034"/>
  <c r="H10" i="6034"/>
  <c r="C17" i="6034"/>
  <c r="H8" i="6034"/>
  <c r="H15" i="6034"/>
  <c r="H20" i="6035"/>
  <c r="H3" i="6035"/>
  <c r="H2" i="6035"/>
  <c r="H18" i="6035"/>
  <c r="C17" i="6035"/>
  <c r="H4" i="6035"/>
  <c r="H5" i="6035"/>
  <c r="H8" i="6035"/>
  <c r="H14" i="6035"/>
  <c r="H23" i="6035"/>
  <c r="H25" i="6035"/>
  <c r="H27" i="6035"/>
  <c r="H31" i="6035"/>
  <c r="C34" i="6035"/>
  <c r="C36" i="6035"/>
  <c r="C38" i="6035"/>
  <c r="C40" i="6035"/>
  <c r="C42" i="6035"/>
  <c r="C44" i="6035"/>
  <c r="C46" i="6035"/>
  <c r="H9" i="6035"/>
  <c r="H12" i="6035"/>
  <c r="H15" i="6035"/>
  <c r="H16" i="6035"/>
  <c r="H17" i="6035"/>
  <c r="C20" i="6035"/>
  <c r="C22" i="6035"/>
  <c r="B24" i="6035"/>
  <c r="H28" i="6035"/>
  <c r="H34" i="6035"/>
  <c r="H36" i="6035"/>
  <c r="H38" i="6035"/>
  <c r="H40" i="6035"/>
  <c r="H42" i="6035"/>
  <c r="H44" i="6035"/>
  <c r="H19" i="6035"/>
  <c r="H21" i="6035"/>
  <c r="H22" i="6035"/>
  <c r="H24" i="6035"/>
  <c r="H26" i="6035"/>
  <c r="H29" i="6035"/>
  <c r="H32" i="6035"/>
  <c r="C35" i="6035"/>
  <c r="C37" i="6035"/>
  <c r="C39" i="6035"/>
  <c r="C41" i="6035"/>
  <c r="C43" i="6035"/>
  <c r="C45" i="6035"/>
  <c r="H7" i="6035"/>
  <c r="H11" i="6035"/>
  <c r="H13" i="6035"/>
  <c r="C19" i="6035"/>
  <c r="C21" i="6035"/>
  <c r="C23" i="6035"/>
  <c r="B25" i="6035"/>
  <c r="H30" i="6035"/>
  <c r="H33" i="6035"/>
  <c r="H35" i="6035"/>
  <c r="H37" i="6035"/>
  <c r="H39" i="6035"/>
  <c r="H41" i="6035"/>
  <c r="H43" i="6035"/>
  <c r="H20" i="6034"/>
  <c r="H22" i="6034"/>
  <c r="H23" i="6034"/>
  <c r="H12" i="6034"/>
  <c r="H26" i="6034"/>
  <c r="H29" i="6034"/>
  <c r="H32" i="6034"/>
  <c r="C35" i="6034"/>
  <c r="C37" i="6034"/>
  <c r="C39" i="6034"/>
  <c r="C41" i="6034"/>
  <c r="C43" i="6034"/>
  <c r="C45" i="6034"/>
  <c r="H2" i="6034"/>
  <c r="H7" i="6034"/>
  <c r="H14" i="6034"/>
  <c r="C19" i="6034"/>
  <c r="C21" i="6034"/>
  <c r="C23" i="6034"/>
  <c r="B25" i="6034"/>
  <c r="H30" i="6034"/>
  <c r="H33" i="6034"/>
  <c r="H35" i="6034"/>
  <c r="H37" i="6034"/>
  <c r="H39" i="6034"/>
  <c r="H41" i="6034"/>
  <c r="H43" i="6034"/>
  <c r="H45" i="6034"/>
  <c r="H3" i="6034"/>
  <c r="H4" i="6034"/>
  <c r="H9" i="6034"/>
  <c r="H19" i="6034"/>
  <c r="H21" i="6034"/>
  <c r="H11" i="6034"/>
  <c r="H24" i="6034"/>
  <c r="H25" i="6034"/>
  <c r="H27" i="6034"/>
  <c r="H31" i="6034"/>
  <c r="C34" i="6034"/>
  <c r="C36" i="6034"/>
  <c r="C38" i="6034"/>
  <c r="C40" i="6034"/>
  <c r="C42" i="6034"/>
  <c r="C44" i="6034"/>
  <c r="C46" i="6034"/>
  <c r="H6" i="6034"/>
  <c r="H13" i="6034"/>
  <c r="H16" i="6034"/>
  <c r="H17" i="6034"/>
  <c r="H18" i="6034"/>
  <c r="C20" i="6034"/>
  <c r="C22" i="6034"/>
  <c r="B24" i="6034"/>
  <c r="H28" i="6034"/>
  <c r="H34" i="6034"/>
  <c r="H36" i="6034"/>
  <c r="H38" i="6034"/>
  <c r="H40" i="6034"/>
  <c r="H42" i="6034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23" i="2228" s="1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H9" i="2228" l="1"/>
  <c r="C21" i="2228"/>
  <c r="C20" i="2228"/>
  <c r="C19" i="2228"/>
  <c r="C22" i="2228"/>
  <c r="H6" i="2228"/>
  <c r="B25" i="2228"/>
  <c r="B24" i="2228"/>
  <c r="C36" i="2228"/>
  <c r="C46" i="2228"/>
  <c r="C38" i="2228"/>
  <c r="C45" i="2228"/>
  <c r="C37" i="2228"/>
  <c r="C44" i="2228"/>
  <c r="C35" i="2228"/>
  <c r="C43" i="2228"/>
  <c r="C34" i="2228"/>
  <c r="C42" i="2228"/>
  <c r="C41" i="2228"/>
  <c r="C40" i="2228"/>
  <c r="C39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<sst xmlns="http://schemas.openxmlformats.org/spreadsheetml/2006/main" count="1880" uniqueCount="187">
  <si>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</si>
  <si>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</si>
  <si>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</si>
  <si>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</si>
  <si>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</si>
  <si>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</si>
  <si>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</si>
  <si>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</si>
  <si>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</si>
  <si>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</si>
  <si>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</si>
  <si>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</si>
  <si>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</si>
  <si>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</si>
  <si>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</si>
  <si>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</si>
  <si>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</si>
  <si>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ふっとび率</t>
    <rPh sb="4" eb="5">
      <t>リツ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</si>
  <si>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</si>
  <si>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</si>
  <si>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</si>
  <si>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</si>
  <si>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</si>
  <si>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</si>
  <si>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</si>
  <si>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</si>
  <si>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</si>
  <si>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</si>
  <si>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</si>
  <si>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</si>
  <si>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</si>
  <si>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</si>
  <si>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</si>
  <si>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</si>
  <si>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</si>
  <si>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</si>
  <si>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</si>
  <si>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</si>
  <si>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</si>
  <si>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</si>
  <si>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</si>
  <si>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</si>
  <si>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</si>
  <si>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</si>
  <si>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</si>
  <si>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</si>
  <si>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</si>
  <si>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</si>
  <si>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</si>
  <si>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</si>
  <si>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</si>
  <si>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</si>
  <si>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</si>
  <si>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</si>
  <si>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</si>
  <si>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</si>
  <si>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2"/>
  </si>
  <si>
    <t>02</t>
    <phoneticPr fontId="2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</si>
  <si>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</si>
  <si>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</si>
  <si>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</si>
  <si>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</si>
  <si>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</si>
  <si>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</si>
  <si>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</si>
  <si>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</si>
  <si>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</si>
  <si>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</si>
  <si>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</si>
  <si>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</si>
  <si>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</si>
  <si>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</si>
  <si>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</si>
  <si>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</si>
  <si>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</si>
  <si>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</si>
  <si>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</si>
  <si>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</si>
  <si>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</si>
  <si>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</si>
  <si>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</si>
  <si>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</si>
  <si>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</si>
  <si>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</si>
  <si>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</si>
  <si>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</si>
  <si>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</si>
  <si>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</si>
  <si>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</si>
  <si>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</si>
  <si>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</si>
  <si>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</si>
  <si>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</si>
  <si>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</si>
  <si>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</si>
  <si>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</si>
  <si>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</si>
  <si>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</si>
  <si>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</si>
  <si>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</si>
  <si>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</si>
  <si>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</si>
  <si>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</si>
  <si>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</si>
  <si>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</si>
  <si>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</si>
  <si>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</si>
  <si>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</si>
  <si>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</si>
  <si>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</si>
  <si>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</si>
  <si>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</si>
  <si>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</si>
  <si>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</si>
  <si>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</si>
  <si>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</si>
  <si>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</si>
  <si>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</si>
  <si>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</si>
  <si>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</si>
  <si>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</si>
  <si>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</si>
  <si>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</si>
  <si>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</si>
  <si>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</si>
  <si>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</si>
  <si>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</si>
  <si>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</si>
  <si>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</si>
  <si>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</si>
  <si>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</si>
  <si>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</si>
  <si>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</si>
  <si>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</si>
  <si>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</si>
  <si>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起家</t>
    <rPh sb="0" eb="2">
      <t>チーチャ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</si>
  <si>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</si>
  <si>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</si>
  <si>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</si>
  <si>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</si>
  <si>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</si>
  <si>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</si>
  <si>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赤ドラ</t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</si>
  <si>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</si>
  <si>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</si>
  <si>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</si>
  <si>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</si>
  <si>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</si>
  <si>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</si>
  <si>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</si>
  <si>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</si>
  <si>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</si>
  <si>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</si>
  <si>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</si>
  <si>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</si>
  <si>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</si>
  <si>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</si>
  <si>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</si>
  <si>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</si>
  <si>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</si>
  <si>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</si>
  <si>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</si>
  <si>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</si>
  <si>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</si>
  <si>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</si>
  <si>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</si>
  <si>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</si>
  <si>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</si>
  <si>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ツモ</t>
  </si>
  <si>
    <t>三色同順</t>
    <rPh sb="2" eb="4">
      <t>ドウジュン</t>
    </rPh>
    <phoneticPr fontId="1"/>
  </si>
  <si>
    <t>国士13面</t>
  </si>
  <si>
    <t>四暗刻単騎</t>
  </si>
  <si>
    <t>純正九蓮</t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</si>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</sst>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9-4859-8AC0-32891CE0B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213-884C-CBEE3B034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全体!$B$34:$B$46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F-4DC2-B700-0615AC534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F-493D-A689-F1CB8D129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76-44DB-9FCF-27D80F4E5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B-4ED6-95A8-E83E2E742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C7-4631-821A-DDFC46863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3-48E2-B5B3-59EEA1487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3-4D6A-BA6E-DF5746FBB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9A-483C-AA32-CDC1BEB12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6-4CEA-B5A7-A02E60654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16-4F16-90EA-6EA2BBB80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64-4A56-8BFD-48FD54980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A-4A21-8852-CE650965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百瀬成空!$B$34:$B$46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2-4329-AC4B-E57D76165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8-4542-9B25-8D1E6343F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A-4BCE-AFEA-D24A64143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6-41FC-B258-A0BB041E8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99-4BC8-A22A-1092957E5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5-4CFA-A336-B6AB5A05F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B-4B16-BE0A-C69492BA0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8-42F4-8C3F-65DDEEB6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7-4DF9-8388-804D7267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8-4328-8ECD-55745C71A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645-A652-A388328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F2-483B-8423-78A81B23F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高野源太!$A$34:$A$46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高野源太!$B$34:$B$46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E-456A-93FA-8E9EEA160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876048-D035-4872-8034-D8941637BE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4FDDB3-7971-4607-916E-FD5CCFA8D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BF7D9F-6876-42A3-A867-27FD5A8BE3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4F8E76-E5B1-4370-B50D-43C02BCF3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34DD59-B8B7-4583-AFF4-BA2813B50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4EC46D-DC70-4183-83B7-ED0712E22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30A42C-1D4A-40E4-B50A-6A089370D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068D35-41ED-4AB9-88C0-66969C0F1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F9DC57-32E6-4256-821D-B8870BD2B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CE258E-14CA-475E-A163-5A32C7BDF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BD403D-FCD5-4A97-B434-65F5FE4A8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6E3C6D-908E-4716-92B1-0AA222C48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910162-7E4A-4E52-82CC-9F2726704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F55798-278C-4126-B816-BEA5B2A9E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F62964-1A28-4360-B234-8E9DBAFB7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3008C9-B228-4197-B0CE-CAC8DC187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D7D889-7F46-4F59-9D83-DE0758AB27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344188-B368-4307-B008-3EEE16971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863323-81D8-4563-99F5-24BEDCDDC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1829FD-5230-4835-B487-C226C33E1F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362599-8178-4A64-995B-7D4D62870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60F0CE-8C4D-4DE7-84DF-9A72517B1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0DC8D0-0336-48DD-97A0-F5C5ED1AD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2C9943-C39B-4A39-AF1F-588DDA0C7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480DF4-93A6-4F83-93C0-0F5CCE940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FC4B20-AFF3-4A0D-BBD8-C68C41899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6507F2-41AB-42BC-B601-669248116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6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39"/>
      <c r="C1" s="140"/>
      <c r="E1" s="114" t="s">
        <v>139</v>
      </c>
      <c r="F1" s="128" t="s">
        <v>100</v>
      </c>
      <c r="G1" s="127" t="s">
        <v>101</v>
      </c>
      <c r="H1" s="115" t="s">
        <v>102</v>
      </c>
      <c r="I1" s="128" t="s">
        <v>127</v>
      </c>
      <c r="K1" s="2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132</v>
      </c>
    </row>
    <row r="2" spans="1:17">
      <c r="A2" s="18" t="s">
        <v>9</v>
      </c>
      <c r="B2" s="141">
        <v>0</v>
      </c>
      <c r="C2" s="142"/>
      <c r="E2" s="54" t="s">
        <v>56</v>
      </c>
      <c r="F2" s="51" t="s">
        <v>166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112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43">
        <v>0</v>
      </c>
      <c r="C3" s="144"/>
      <c r="E3" s="55" t="s">
        <v>57</v>
      </c>
      <c r="F3" s="52" t="s">
        <v>167</v>
      </c>
      <c r="G3" s="40">
        <v>0</v>
      </c>
      <c r="H3" s="118">
        <f t="shared" si="0"/>
        <v>0</v>
      </c>
      <c r="I3" s="80"/>
      <c r="N3" s="100" t="s">
        <v>113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45">
        <v>0</v>
      </c>
      <c r="C4" s="146"/>
      <c r="E4" s="55" t="s">
        <v>58</v>
      </c>
      <c r="F4" s="52" t="s">
        <v>21</v>
      </c>
      <c r="G4" s="40">
        <v>0</v>
      </c>
      <c r="H4" s="118">
        <f t="shared" si="0"/>
        <v>0</v>
      </c>
      <c r="I4" s="80"/>
      <c r="N4" s="100" t="s">
        <v>114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47">
        <f>IF(B$2=0,0,B$4/B$2)</f>
        <v>0</v>
      </c>
      <c r="C5" s="148"/>
      <c r="E5" s="55" t="s">
        <v>59</v>
      </c>
      <c r="F5" s="52" t="s">
        <v>142</v>
      </c>
      <c r="G5" s="40">
        <v>0</v>
      </c>
      <c r="H5" s="118">
        <f t="shared" si="0"/>
        <v>0</v>
      </c>
      <c r="I5" s="80"/>
      <c r="N5" s="100" t="s">
        <v>173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37">
        <f>IF(B$2=0,0,(B$7*1+B$8*2+B$9*3+B$10*4)/B$2)</f>
        <v>0</v>
      </c>
      <c r="C6" s="138"/>
      <c r="E6" s="55" t="s">
        <v>60</v>
      </c>
      <c r="F6" s="52" t="s">
        <v>168</v>
      </c>
      <c r="G6" s="40">
        <v>0</v>
      </c>
      <c r="H6" s="118">
        <f t="shared" si="0"/>
        <v>0</v>
      </c>
      <c r="I6" s="80"/>
      <c r="N6" s="100" t="s">
        <v>115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61</v>
      </c>
      <c r="F7" s="52" t="s">
        <v>22</v>
      </c>
      <c r="G7" s="40">
        <v>0</v>
      </c>
      <c r="H7" s="118">
        <f t="shared" si="0"/>
        <v>0</v>
      </c>
      <c r="I7" s="80"/>
      <c r="N7" s="100" t="s">
        <v>116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62</v>
      </c>
      <c r="F8" s="52" t="s">
        <v>24</v>
      </c>
      <c r="G8" s="40">
        <v>0</v>
      </c>
      <c r="H8" s="118">
        <f t="shared" si="0"/>
        <v>0</v>
      </c>
      <c r="I8" s="80"/>
      <c r="N8" s="100" t="s">
        <v>117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63</v>
      </c>
      <c r="F9" s="52" t="s">
        <v>20</v>
      </c>
      <c r="G9" s="40">
        <v>0</v>
      </c>
      <c r="H9" s="118">
        <f t="shared" si="0"/>
        <v>0</v>
      </c>
      <c r="I9" s="80"/>
      <c r="N9" s="101" t="s">
        <v>174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64</v>
      </c>
      <c r="F10" s="52" t="s">
        <v>23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164</v>
      </c>
      <c r="B11" s="41">
        <f>B7+B8</f>
        <v>0</v>
      </c>
      <c r="C11" s="34">
        <f>IF(B$2=0,0,B11/B$2)</f>
        <v>0</v>
      </c>
      <c r="E11" s="55" t="s">
        <v>65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3"/>
        <v>0</v>
      </c>
      <c r="E12" s="55" t="s">
        <v>66</v>
      </c>
      <c r="F12" s="52" t="s">
        <v>169</v>
      </c>
      <c r="G12" s="40">
        <v>0</v>
      </c>
      <c r="H12" s="118">
        <f t="shared" si="0"/>
        <v>0</v>
      </c>
      <c r="I12" s="80"/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106</v>
      </c>
      <c r="B13" s="15">
        <v>0</v>
      </c>
      <c r="C13" s="11">
        <f>IF(B$3=0,0,B13/B$3)</f>
        <v>0</v>
      </c>
      <c r="E13" s="55" t="s">
        <v>67</v>
      </c>
      <c r="F13" s="52" t="s">
        <v>36</v>
      </c>
      <c r="G13" s="40">
        <v>0</v>
      </c>
      <c r="H13" s="118">
        <f t="shared" si="0"/>
        <v>0</v>
      </c>
      <c r="I13" s="80"/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103</v>
      </c>
      <c r="B14" s="13">
        <v>0</v>
      </c>
      <c r="C14" s="6">
        <f>IF(B$3=0,0,B14/B$3)</f>
        <v>0</v>
      </c>
      <c r="E14" s="55" t="s">
        <v>68</v>
      </c>
      <c r="F14" s="52" t="s">
        <v>39</v>
      </c>
      <c r="G14" s="40">
        <v>0</v>
      </c>
      <c r="H14" s="118">
        <f t="shared" si="0"/>
        <v>0</v>
      </c>
      <c r="I14" s="80"/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108</v>
      </c>
      <c r="B15" s="12">
        <f>B21</f>
        <v>0</v>
      </c>
      <c r="C15" s="4">
        <f>IF(B$13=0,0,B15/B$13)</f>
        <v>0</v>
      </c>
      <c r="E15" s="55" t="s">
        <v>69</v>
      </c>
      <c r="F15" s="52" t="s">
        <v>26</v>
      </c>
      <c r="G15" s="40">
        <v>0</v>
      </c>
      <c r="H15" s="118">
        <f t="shared" si="0"/>
        <v>0</v>
      </c>
      <c r="I15" s="80"/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109</v>
      </c>
      <c r="B16" s="12">
        <f>B22</f>
        <v>0</v>
      </c>
      <c r="C16" s="4">
        <f>IF(B$14=0,0,B16/B$14)</f>
        <v>0</v>
      </c>
      <c r="E16" s="55" t="s">
        <v>70</v>
      </c>
      <c r="F16" s="52" t="s">
        <v>27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71</v>
      </c>
      <c r="F17" s="52" t="s">
        <v>28</v>
      </c>
      <c r="G17" s="40">
        <v>0</v>
      </c>
      <c r="H17" s="118">
        <f t="shared" si="0"/>
        <v>0</v>
      </c>
      <c r="I17" s="80"/>
      <c r="N17" s="98" t="s">
        <v>128</v>
      </c>
      <c r="O17" s="28" t="s">
        <v>129</v>
      </c>
      <c r="P17" s="102" t="s">
        <v>130</v>
      </c>
      <c r="Q17" s="90" t="s">
        <v>131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72</v>
      </c>
      <c r="F18" s="52" t="s">
        <v>29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73</v>
      </c>
      <c r="F19" s="52" t="s">
        <v>30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74</v>
      </c>
      <c r="F20" s="52" t="s">
        <v>31</v>
      </c>
      <c r="G20" s="40">
        <v>0</v>
      </c>
      <c r="H20" s="118">
        <f t="shared" si="0"/>
        <v>0</v>
      </c>
      <c r="I20" s="80"/>
    </row>
    <row r="21" spans="1:17">
      <c r="A21" s="47" t="s">
        <v>162</v>
      </c>
      <c r="B21" s="40">
        <v>0</v>
      </c>
      <c r="C21" s="33">
        <f>IF(B$17=0,0,B21/B$17)</f>
        <v>0</v>
      </c>
      <c r="E21" s="55" t="s">
        <v>75</v>
      </c>
      <c r="F21" s="52" t="s">
        <v>32</v>
      </c>
      <c r="G21" s="40">
        <v>0</v>
      </c>
      <c r="H21" s="118">
        <f t="shared" si="0"/>
        <v>0</v>
      </c>
      <c r="I21" s="80"/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 t="shared" si="0"/>
        <v>0</v>
      </c>
      <c r="I22" s="80"/>
    </row>
    <row r="23" spans="1:17">
      <c r="A23" s="19" t="s">
        <v>161</v>
      </c>
      <c r="B23" s="40">
        <v>0</v>
      </c>
      <c r="C23" s="33">
        <f>IF(B$17=0,0,B23/B$17)</f>
        <v>0</v>
      </c>
      <c r="E23" s="55" t="s">
        <v>77</v>
      </c>
      <c r="F23" s="52" t="s">
        <v>34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78</v>
      </c>
      <c r="F24" s="52" t="s">
        <v>35</v>
      </c>
      <c r="G24" s="40">
        <v>0</v>
      </c>
      <c r="H24" s="118">
        <f t="shared" si="0"/>
        <v>0</v>
      </c>
      <c r="I24" s="80"/>
    </row>
    <row r="25" spans="1:17">
      <c r="A25" s="48" t="s">
        <v>144</v>
      </c>
      <c r="B25" s="121">
        <f>IF($B$17-B$16=0,0,C25/($B$17-B$16))</f>
        <v>0</v>
      </c>
      <c r="C25" s="122">
        <v>0</v>
      </c>
      <c r="E25" s="55" t="s">
        <v>79</v>
      </c>
      <c r="F25" s="52" t="s">
        <v>37</v>
      </c>
      <c r="G25" s="40">
        <v>0</v>
      </c>
      <c r="H25" s="118">
        <f t="shared" si="0"/>
        <v>0</v>
      </c>
      <c r="I25" s="80"/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 t="shared" si="0"/>
        <v>0</v>
      </c>
      <c r="I26" s="80"/>
    </row>
    <row r="27" spans="1:17">
      <c r="A27" s="48" t="s">
        <v>143</v>
      </c>
      <c r="B27" s="121">
        <f>IF(B$18=0,0,C27/B$18)</f>
        <v>0</v>
      </c>
      <c r="C27" s="122">
        <v>0</v>
      </c>
      <c r="E27" s="55" t="s">
        <v>81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140</v>
      </c>
      <c r="B28" s="40">
        <v>0</v>
      </c>
      <c r="C28" s="120">
        <v>0</v>
      </c>
      <c r="E28" s="55" t="s">
        <v>82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141</v>
      </c>
      <c r="B29" s="40">
        <v>0</v>
      </c>
      <c r="C29" s="120">
        <v>0</v>
      </c>
      <c r="E29" s="55" t="s">
        <v>83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120</v>
      </c>
      <c r="B30" s="135">
        <v>0</v>
      </c>
      <c r="C30" s="136"/>
      <c r="E30" s="55" t="s">
        <v>84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159</v>
      </c>
      <c r="B31" s="133">
        <v>-1000000</v>
      </c>
      <c r="C31" s="134"/>
      <c r="E31" s="55" t="s">
        <v>85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121</v>
      </c>
      <c r="B32" s="26">
        <v>0</v>
      </c>
      <c r="C32" s="9">
        <f>IF(B$3=0,0,B32/B$3)</f>
        <v>0</v>
      </c>
      <c r="E32" s="55" t="s">
        <v>86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87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76" t="s">
        <v>150</v>
      </c>
      <c r="B34" s="123">
        <v>0</v>
      </c>
      <c r="C34" s="126">
        <f t="shared" ref="C34:C46" si="4">IF(B$17=0,0,B34/B$17)</f>
        <v>0</v>
      </c>
      <c r="E34" s="55" t="s">
        <v>88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47" t="s">
        <v>146</v>
      </c>
      <c r="B35" s="40">
        <v>0</v>
      </c>
      <c r="C35" s="33">
        <f t="shared" si="4"/>
        <v>0</v>
      </c>
      <c r="E35" s="55" t="s">
        <v>89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147</v>
      </c>
      <c r="B36" s="124">
        <v>0</v>
      </c>
      <c r="C36" s="33">
        <f t="shared" si="4"/>
        <v>0</v>
      </c>
      <c r="E36" s="55" t="s">
        <v>90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148</v>
      </c>
      <c r="B37" s="124">
        <v>0</v>
      </c>
      <c r="C37" s="33">
        <f t="shared" si="4"/>
        <v>0</v>
      </c>
      <c r="E37" s="55" t="s">
        <v>91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149</v>
      </c>
      <c r="B38" s="124">
        <v>0</v>
      </c>
      <c r="C38" s="33">
        <f t="shared" si="4"/>
        <v>0</v>
      </c>
      <c r="E38" s="55" t="s">
        <v>92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151</v>
      </c>
      <c r="B39" s="124">
        <v>0</v>
      </c>
      <c r="C39" s="33">
        <f t="shared" si="4"/>
        <v>0</v>
      </c>
      <c r="E39" s="55" t="s">
        <v>93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152</v>
      </c>
      <c r="B40" s="124">
        <v>0</v>
      </c>
      <c r="C40" s="33">
        <f t="shared" si="4"/>
        <v>0</v>
      </c>
      <c r="E40" s="55" t="s">
        <v>94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153</v>
      </c>
      <c r="B41" s="124">
        <v>0</v>
      </c>
      <c r="C41" s="33">
        <f t="shared" si="4"/>
        <v>0</v>
      </c>
      <c r="E41" s="55" t="s">
        <v>95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154</v>
      </c>
      <c r="B42" s="124">
        <v>0</v>
      </c>
      <c r="C42" s="33">
        <f t="shared" si="4"/>
        <v>0</v>
      </c>
      <c r="E42" s="55" t="s">
        <v>96</v>
      </c>
      <c r="F42" s="52" t="s">
        <v>55</v>
      </c>
      <c r="G42" s="40">
        <v>0</v>
      </c>
      <c r="H42" s="118">
        <f t="shared" si="0"/>
        <v>0</v>
      </c>
      <c r="I42" s="80"/>
    </row>
    <row r="43" spans="1:9">
      <c r="A43" s="47" t="s">
        <v>155</v>
      </c>
      <c r="B43" s="124">
        <v>0</v>
      </c>
      <c r="C43" s="33">
        <f t="shared" si="4"/>
        <v>0</v>
      </c>
      <c r="E43" s="55" t="s">
        <v>97</v>
      </c>
      <c r="F43" s="52" t="s">
        <v>170</v>
      </c>
      <c r="G43" s="40">
        <v>0</v>
      </c>
      <c r="H43" s="118">
        <f t="shared" si="0"/>
        <v>0</v>
      </c>
      <c r="I43" s="80"/>
    </row>
    <row r="44" spans="1:9">
      <c r="A44" s="47" t="s">
        <v>156</v>
      </c>
      <c r="B44" s="124">
        <v>0</v>
      </c>
      <c r="C44" s="33">
        <f t="shared" si="4"/>
        <v>0</v>
      </c>
      <c r="E44" s="55" t="s">
        <v>98</v>
      </c>
      <c r="F44" s="52" t="s">
        <v>171</v>
      </c>
      <c r="G44" s="40">
        <v>0</v>
      </c>
      <c r="H44" s="118">
        <f t="shared" si="0"/>
        <v>0</v>
      </c>
      <c r="I44" s="80"/>
    </row>
    <row r="45" spans="1:9">
      <c r="A45" s="47" t="s">
        <v>157</v>
      </c>
      <c r="B45" s="124">
        <v>0</v>
      </c>
      <c r="C45" s="33">
        <f t="shared" si="4"/>
        <v>0</v>
      </c>
      <c r="E45" s="56" t="s">
        <v>99</v>
      </c>
      <c r="F45" s="53" t="s">
        <v>172</v>
      </c>
      <c r="G45" s="42">
        <v>0</v>
      </c>
      <c r="H45" s="119">
        <f t="shared" si="0"/>
        <v>0</v>
      </c>
      <c r="I45" s="81"/>
    </row>
    <row r="46" spans="1:9">
      <c r="A46" s="49" t="s">
        <v>158</v>
      </c>
      <c r="B46" s="125">
        <v>0</v>
      </c>
      <c r="C46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3">
      <c r="A1" s="23">
        <v>32874</v>
      </c>
      <c r="B1" s="23">
        <v>2958465</v>
      </c>
    </row>
    <row r="2" spans="1:3">
      <c r="A2" s="24" t="s">
        <v>176</v>
      </c>
      <c r="B2" s="25">
        <v>43787.441250000003</v>
      </c>
      <c r="C2" s="24" t="s">
        <v>111</v>
      </c>
    </row>
    <row r="3" spans="1:3">
      <c r="A3" s="24" t="s">
        <v>181</v>
      </c>
      <c r="B3" s="25">
        <v>43786.923078703701</v>
      </c>
      <c r="C3" s="24" t="s">
        <v>111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123</v>
      </c>
      <c r="B1">
        <v>8</v>
      </c>
    </row>
    <row r="2" spans="1:2">
      <c r="A2" t="s">
        <v>180</v>
      </c>
      <c r="B2">
        <v>1</v>
      </c>
    </row>
    <row r="3" spans="1:2">
      <c r="A3" t="s">
        <v>177</v>
      </c>
      <c r="B3">
        <v>1</v>
      </c>
    </row>
    <row r="4" spans="1:2">
      <c r="A4" t="s">
        <v>178</v>
      </c>
      <c r="B4">
        <v>1</v>
      </c>
    </row>
    <row r="5" spans="1:2">
      <c r="A5" t="s">
        <v>179</v>
      </c>
      <c r="B5">
        <v>1</v>
      </c>
    </row>
    <row r="6" spans="1:2">
      <c r="A6" t="s">
        <v>185</v>
      </c>
      <c r="B6">
        <v>1</v>
      </c>
    </row>
    <row r="7" spans="1:2">
      <c r="A7" t="s">
        <v>182</v>
      </c>
      <c r="B7">
        <v>1</v>
      </c>
    </row>
    <row r="8" spans="1:2">
      <c r="A8" t="s">
        <v>183</v>
      </c>
      <c r="B8">
        <v>1</v>
      </c>
    </row>
    <row r="9" spans="1:2">
      <c r="A9" t="s">
        <v>184</v>
      </c>
      <c r="B9">
        <v>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3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1" t="s">
        <v>6</v>
      </c>
      <c r="C1" s="152"/>
      <c r="D1" s="151" t="s">
        <v>7</v>
      </c>
      <c r="E1" s="152"/>
      <c r="F1" s="151" t="s">
        <v>15</v>
      </c>
      <c r="G1" s="152"/>
      <c r="H1" s="151" t="s">
        <v>14</v>
      </c>
      <c r="I1" s="152"/>
      <c r="J1" s="151" t="s">
        <v>134</v>
      </c>
      <c r="K1" s="152"/>
      <c r="L1" s="151" t="s">
        <v>165</v>
      </c>
      <c r="M1" s="152"/>
      <c r="N1" s="151" t="s">
        <v>124</v>
      </c>
      <c r="O1" s="152"/>
      <c r="P1" s="151" t="s">
        <v>125</v>
      </c>
      <c r="Q1" s="152"/>
      <c r="R1" s="151" t="s">
        <v>5</v>
      </c>
      <c r="S1" s="152"/>
      <c r="T1" s="151" t="s">
        <v>16</v>
      </c>
      <c r="U1" s="152"/>
      <c r="V1" s="151" t="s">
        <v>17</v>
      </c>
      <c r="W1" s="152"/>
      <c r="X1" s="151" t="s">
        <v>107</v>
      </c>
      <c r="Y1" s="152"/>
      <c r="Z1" s="151" t="s">
        <v>104</v>
      </c>
      <c r="AA1" s="152"/>
      <c r="AB1" s="151" t="s">
        <v>110</v>
      </c>
      <c r="AC1" s="152"/>
      <c r="AD1" s="151" t="s">
        <v>126</v>
      </c>
      <c r="AE1" s="152"/>
      <c r="AF1" s="151" t="s">
        <v>122</v>
      </c>
      <c r="AG1" s="152"/>
      <c r="AH1" s="151" t="s">
        <v>159</v>
      </c>
      <c r="AI1" s="152"/>
    </row>
    <row r="2" spans="1:35">
      <c r="A2" s="58" t="s">
        <v>133</v>
      </c>
      <c r="B2" s="153"/>
      <c r="C2" s="154"/>
      <c r="D2" s="153"/>
      <c r="E2" s="154"/>
      <c r="F2" s="149" t="s">
        <v>186</v>
      </c>
      <c r="G2" s="150"/>
      <c r="H2" s="149" t="s">
        <v>186</v>
      </c>
      <c r="I2" s="150"/>
      <c r="J2" s="149" t="s">
        <v>186</v>
      </c>
      <c r="K2" s="150"/>
      <c r="L2" s="149" t="s">
        <v>186</v>
      </c>
      <c r="M2" s="150"/>
      <c r="N2" s="149" t="s">
        <v>186</v>
      </c>
      <c r="O2" s="150"/>
      <c r="P2" s="149" t="s">
        <v>186</v>
      </c>
      <c r="Q2" s="150"/>
      <c r="R2" s="149" t="s">
        <v>186</v>
      </c>
      <c r="S2" s="150"/>
      <c r="T2" s="149" t="s">
        <v>186</v>
      </c>
      <c r="U2" s="150"/>
      <c r="V2" s="149" t="s">
        <v>186</v>
      </c>
      <c r="W2" s="150"/>
      <c r="X2" s="149" t="s">
        <v>186</v>
      </c>
      <c r="Y2" s="150"/>
      <c r="Z2" s="149" t="s">
        <v>186</v>
      </c>
      <c r="AA2" s="150"/>
      <c r="AB2" s="149" t="s">
        <v>186</v>
      </c>
      <c r="AC2" s="150"/>
      <c r="AD2" s="149" t="s">
        <v>186</v>
      </c>
      <c r="AE2" s="150"/>
      <c r="AF2" s="149" t="s">
        <v>186</v>
      </c>
      <c r="AG2" s="150"/>
      <c r="AH2" s="149" t="s">
        <v>186</v>
      </c>
      <c r="AI2" s="150"/>
    </row>
    <row r="3" spans="1:35">
      <c r="A3" s="60">
        <v>1</v>
      </c>
      <c r="B3" s="61" t="s">
        <v>177</v>
      </c>
      <c r="C3" s="62">
        <v>74.900000000000006</v>
      </c>
      <c r="D3" s="63" t="s">
        <v>177</v>
      </c>
      <c r="E3" s="82">
        <v>74.900000000000006</v>
      </c>
      <c r="F3" s="63" t="s">
        <v>177</v>
      </c>
      <c r="G3" s="64">
        <v>1</v>
      </c>
      <c r="H3" s="63" t="s">
        <v>177</v>
      </c>
      <c r="I3" s="65">
        <v>1</v>
      </c>
      <c r="J3" s="63" t="s">
        <v>180</v>
      </c>
      <c r="K3" s="65">
        <v>0</v>
      </c>
      <c r="L3" s="63" t="s">
        <v>180</v>
      </c>
      <c r="M3" s="65">
        <v>1</v>
      </c>
      <c r="N3" s="63" t="s">
        <v>184</v>
      </c>
      <c r="O3" s="66">
        <v>0.42857142857142855</v>
      </c>
      <c r="P3" s="63" t="s">
        <v>180</v>
      </c>
      <c r="Q3" s="66">
        <v>0</v>
      </c>
      <c r="R3" s="63" t="s">
        <v>185</v>
      </c>
      <c r="S3" s="67">
        <v>18000</v>
      </c>
      <c r="T3" s="63" t="s">
        <v>180</v>
      </c>
      <c r="U3" s="67">
        <v>0</v>
      </c>
      <c r="V3" s="63" t="s">
        <v>180</v>
      </c>
      <c r="W3" s="65">
        <v>0</v>
      </c>
      <c r="X3" s="63" t="s">
        <v>184</v>
      </c>
      <c r="Y3" s="66">
        <v>0.42857142857142855</v>
      </c>
      <c r="Z3" s="63" t="s">
        <v>179</v>
      </c>
      <c r="AA3" s="66">
        <v>0.3</v>
      </c>
      <c r="AB3" s="63" t="s">
        <v>177</v>
      </c>
      <c r="AC3" s="66">
        <v>0.66666666666666663</v>
      </c>
      <c r="AD3" s="63" t="s">
        <v>180</v>
      </c>
      <c r="AE3" s="66">
        <v>1</v>
      </c>
      <c r="AF3" s="63" t="s">
        <v>178</v>
      </c>
      <c r="AG3" s="66">
        <v>1</v>
      </c>
      <c r="AH3" s="63" t="s">
        <v>123</v>
      </c>
      <c r="AI3" s="77">
        <v>54900</v>
      </c>
    </row>
    <row r="4" spans="1:35">
      <c r="A4" s="68">
        <v>2</v>
      </c>
      <c r="B4" s="69" t="s">
        <v>184</v>
      </c>
      <c r="C4" s="70">
        <v>61.1</v>
      </c>
      <c r="D4" s="71" t="s">
        <v>184</v>
      </c>
      <c r="E4" s="83">
        <v>61.1</v>
      </c>
      <c r="F4" s="71" t="s">
        <v>184</v>
      </c>
      <c r="G4" s="72">
        <v>1</v>
      </c>
      <c r="H4" s="71" t="s">
        <v>184</v>
      </c>
      <c r="I4" s="73">
        <v>1</v>
      </c>
      <c r="J4" s="71" t="s">
        <v>177</v>
      </c>
      <c r="K4" s="73">
        <v>0</v>
      </c>
      <c r="L4" s="71" t="s">
        <v>177</v>
      </c>
      <c r="M4" s="73">
        <v>1</v>
      </c>
      <c r="N4" s="71" t="s">
        <v>177</v>
      </c>
      <c r="O4" s="74">
        <v>0.3</v>
      </c>
      <c r="P4" s="71" t="s">
        <v>183</v>
      </c>
      <c r="Q4" s="74">
        <v>0</v>
      </c>
      <c r="R4" s="71" t="s">
        <v>180</v>
      </c>
      <c r="S4" s="75">
        <v>12000</v>
      </c>
      <c r="T4" s="71" t="s">
        <v>183</v>
      </c>
      <c r="U4" s="75">
        <v>0</v>
      </c>
      <c r="V4" s="71" t="s">
        <v>177</v>
      </c>
      <c r="W4" s="73">
        <v>0</v>
      </c>
      <c r="X4" s="71" t="s">
        <v>180</v>
      </c>
      <c r="Y4" s="74">
        <v>0.4</v>
      </c>
      <c r="Z4" s="71" t="s">
        <v>185</v>
      </c>
      <c r="AA4" s="74">
        <v>0.2857142857142857</v>
      </c>
      <c r="AB4" s="71" t="s">
        <v>184</v>
      </c>
      <c r="AC4" s="74">
        <v>0.66666666666666663</v>
      </c>
      <c r="AD4" s="71" t="s">
        <v>123</v>
      </c>
      <c r="AE4" s="74">
        <v>0.1</v>
      </c>
      <c r="AF4" s="71" t="s">
        <v>184</v>
      </c>
      <c r="AG4" s="74">
        <v>0.66666666666666663</v>
      </c>
      <c r="AH4" s="71" t="s">
        <v>177</v>
      </c>
      <c r="AI4" s="78">
        <v>54900</v>
      </c>
    </row>
    <row r="5" spans="1:35">
      <c r="A5" s="68">
        <v>3</v>
      </c>
      <c r="B5" s="69" t="s">
        <v>183</v>
      </c>
      <c r="C5" s="70">
        <v>14</v>
      </c>
      <c r="D5" s="71" t="s">
        <v>183</v>
      </c>
      <c r="E5" s="83">
        <v>14</v>
      </c>
      <c r="F5" s="71" t="s">
        <v>180</v>
      </c>
      <c r="G5" s="72">
        <v>2</v>
      </c>
      <c r="H5" s="71" t="s">
        <v>123</v>
      </c>
      <c r="I5" s="73">
        <v>0.25</v>
      </c>
      <c r="J5" s="71" t="s">
        <v>179</v>
      </c>
      <c r="K5" s="73">
        <v>0</v>
      </c>
      <c r="L5" s="71" t="s">
        <v>183</v>
      </c>
      <c r="M5" s="73">
        <v>1</v>
      </c>
      <c r="N5" s="71" t="s">
        <v>183</v>
      </c>
      <c r="O5" s="74">
        <v>0.2857142857142857</v>
      </c>
      <c r="P5" s="71" t="s">
        <v>177</v>
      </c>
      <c r="Q5" s="74">
        <v>0.1</v>
      </c>
      <c r="R5" s="71" t="s">
        <v>177</v>
      </c>
      <c r="S5" s="75">
        <v>11933.333333333334</v>
      </c>
      <c r="T5" s="71" t="s">
        <v>178</v>
      </c>
      <c r="U5" s="75">
        <v>-6800</v>
      </c>
      <c r="V5" s="71" t="s">
        <v>179</v>
      </c>
      <c r="W5" s="73">
        <v>0</v>
      </c>
      <c r="X5" s="71" t="s">
        <v>179</v>
      </c>
      <c r="Y5" s="74">
        <v>0.4</v>
      </c>
      <c r="Z5" s="71" t="s">
        <v>177</v>
      </c>
      <c r="AA5" s="74">
        <v>0.2</v>
      </c>
      <c r="AB5" s="71" t="s">
        <v>179</v>
      </c>
      <c r="AC5" s="74">
        <v>0.5</v>
      </c>
      <c r="AD5" s="71" t="s">
        <v>177</v>
      </c>
      <c r="AE5" s="74">
        <v>0</v>
      </c>
      <c r="AF5" s="71" t="s">
        <v>183</v>
      </c>
      <c r="AG5" s="74">
        <v>0.5</v>
      </c>
      <c r="AH5" s="71" t="s">
        <v>184</v>
      </c>
      <c r="AI5" s="78">
        <v>41100</v>
      </c>
    </row>
    <row r="6" spans="1:35">
      <c r="A6" s="68">
        <v>4</v>
      </c>
      <c r="B6" s="69" t="s">
        <v>180</v>
      </c>
      <c r="C6" s="70">
        <v>11.9</v>
      </c>
      <c r="D6" s="71" t="s">
        <v>180</v>
      </c>
      <c r="E6" s="83">
        <v>11.9</v>
      </c>
      <c r="F6" s="71" t="s">
        <v>183</v>
      </c>
      <c r="G6" s="72">
        <v>2</v>
      </c>
      <c r="H6" s="71" t="s">
        <v>180</v>
      </c>
      <c r="I6" s="73">
        <v>0</v>
      </c>
      <c r="J6" s="71" t="s">
        <v>185</v>
      </c>
      <c r="K6" s="73">
        <v>0</v>
      </c>
      <c r="L6" s="71" t="s">
        <v>184</v>
      </c>
      <c r="M6" s="73">
        <v>1</v>
      </c>
      <c r="N6" s="71" t="s">
        <v>179</v>
      </c>
      <c r="O6" s="74">
        <v>0.2</v>
      </c>
      <c r="P6" s="71" t="s">
        <v>179</v>
      </c>
      <c r="Q6" s="74">
        <v>0.1</v>
      </c>
      <c r="R6" s="71" t="s">
        <v>123</v>
      </c>
      <c r="S6" s="75">
        <v>9753.8461538461543</v>
      </c>
      <c r="T6" s="71" t="s">
        <v>177</v>
      </c>
      <c r="U6" s="75">
        <v>-8000</v>
      </c>
      <c r="V6" s="71" t="s">
        <v>185</v>
      </c>
      <c r="W6" s="73">
        <v>0</v>
      </c>
      <c r="X6" s="71" t="s">
        <v>123</v>
      </c>
      <c r="Y6" s="74">
        <v>0.3235294117647059</v>
      </c>
      <c r="Z6" s="71" t="s">
        <v>123</v>
      </c>
      <c r="AA6" s="74">
        <v>0.14705882352941177</v>
      </c>
      <c r="AB6" s="71" t="s">
        <v>185</v>
      </c>
      <c r="AC6" s="74">
        <v>0.5</v>
      </c>
      <c r="AD6" s="71" t="s">
        <v>178</v>
      </c>
      <c r="AE6" s="74">
        <v>0</v>
      </c>
      <c r="AF6" s="71" t="s">
        <v>123</v>
      </c>
      <c r="AG6" s="74">
        <v>0.38461538461538464</v>
      </c>
      <c r="AH6" s="71" t="s">
        <v>183</v>
      </c>
      <c r="AI6" s="78">
        <v>34000</v>
      </c>
    </row>
    <row r="7" spans="1:35">
      <c r="A7" s="68">
        <v>5</v>
      </c>
      <c r="B7" s="69" t="s">
        <v>123</v>
      </c>
      <c r="C7" s="70">
        <v>7.1054273576010019E-15</v>
      </c>
      <c r="D7" s="71" t="s">
        <v>123</v>
      </c>
      <c r="E7" s="83">
        <v>8.8817841970012523E-16</v>
      </c>
      <c r="F7" s="71" t="s">
        <v>123</v>
      </c>
      <c r="G7" s="72">
        <v>2.5</v>
      </c>
      <c r="H7" s="71" t="s">
        <v>178</v>
      </c>
      <c r="I7" s="73">
        <v>0</v>
      </c>
      <c r="J7" s="71" t="s">
        <v>183</v>
      </c>
      <c r="K7" s="73">
        <v>0</v>
      </c>
      <c r="L7" s="71" t="s">
        <v>123</v>
      </c>
      <c r="M7" s="73">
        <v>0.5</v>
      </c>
      <c r="N7" s="71" t="s">
        <v>123</v>
      </c>
      <c r="O7" s="74">
        <v>0.19117647058823528</v>
      </c>
      <c r="P7" s="71" t="s">
        <v>123</v>
      </c>
      <c r="Q7" s="74">
        <v>0.11764705882352941</v>
      </c>
      <c r="R7" s="71" t="s">
        <v>184</v>
      </c>
      <c r="S7" s="75">
        <v>9733.3333333333339</v>
      </c>
      <c r="T7" s="71" t="s">
        <v>123</v>
      </c>
      <c r="U7" s="75">
        <v>-10300</v>
      </c>
      <c r="V7" s="71" t="s">
        <v>183</v>
      </c>
      <c r="W7" s="73">
        <v>0</v>
      </c>
      <c r="X7" s="71" t="s">
        <v>177</v>
      </c>
      <c r="Y7" s="74">
        <v>0.3</v>
      </c>
      <c r="Z7" s="71" t="s">
        <v>183</v>
      </c>
      <c r="AA7" s="74">
        <v>0.14285714285714285</v>
      </c>
      <c r="AB7" s="71" t="s">
        <v>183</v>
      </c>
      <c r="AC7" s="74">
        <v>0.5</v>
      </c>
      <c r="AD7" s="71" t="s">
        <v>179</v>
      </c>
      <c r="AE7" s="74">
        <v>0</v>
      </c>
      <c r="AF7" s="71" t="s">
        <v>177</v>
      </c>
      <c r="AG7" s="74">
        <v>0.33333333333333331</v>
      </c>
      <c r="AH7" s="71" t="s">
        <v>180</v>
      </c>
      <c r="AI7" s="78">
        <v>31900</v>
      </c>
    </row>
    <row r="8" spans="1:35">
      <c r="A8" s="68">
        <v>6</v>
      </c>
      <c r="B8" s="69" t="s">
        <v>185</v>
      </c>
      <c r="C8" s="70">
        <v>-14.2</v>
      </c>
      <c r="D8" s="71" t="s">
        <v>185</v>
      </c>
      <c r="E8" s="83">
        <v>-14.2</v>
      </c>
      <c r="F8" s="71" t="s">
        <v>179</v>
      </c>
      <c r="G8" s="72">
        <v>3</v>
      </c>
      <c r="H8" s="71" t="s">
        <v>179</v>
      </c>
      <c r="I8" s="73">
        <v>0</v>
      </c>
      <c r="J8" s="71" t="s">
        <v>184</v>
      </c>
      <c r="K8" s="73">
        <v>0</v>
      </c>
      <c r="L8" s="71" t="s">
        <v>178</v>
      </c>
      <c r="M8" s="73">
        <v>0</v>
      </c>
      <c r="N8" s="71" t="s">
        <v>185</v>
      </c>
      <c r="O8" s="74">
        <v>0.14285714285714285</v>
      </c>
      <c r="P8" s="71" t="s">
        <v>185</v>
      </c>
      <c r="Q8" s="74">
        <v>0.14285714285714285</v>
      </c>
      <c r="R8" s="71" t="s">
        <v>183</v>
      </c>
      <c r="S8" s="75">
        <v>8600</v>
      </c>
      <c r="T8" s="71" t="s">
        <v>179</v>
      </c>
      <c r="U8" s="75">
        <v>-12000</v>
      </c>
      <c r="V8" s="71" t="s">
        <v>184</v>
      </c>
      <c r="W8" s="73">
        <v>0</v>
      </c>
      <c r="X8" s="71" t="s">
        <v>178</v>
      </c>
      <c r="Y8" s="74">
        <v>0.3</v>
      </c>
      <c r="Z8" s="71" t="s">
        <v>180</v>
      </c>
      <c r="AA8" s="74">
        <v>0.1</v>
      </c>
      <c r="AB8" s="71" t="s">
        <v>123</v>
      </c>
      <c r="AC8" s="74">
        <v>0.40909090909090912</v>
      </c>
      <c r="AD8" s="71" t="s">
        <v>185</v>
      </c>
      <c r="AE8" s="74">
        <v>0</v>
      </c>
      <c r="AF8" s="71" t="s">
        <v>180</v>
      </c>
      <c r="AG8" s="74">
        <v>0</v>
      </c>
      <c r="AH8" s="71" t="s">
        <v>185</v>
      </c>
      <c r="AI8" s="78">
        <v>25800</v>
      </c>
    </row>
    <row r="9" spans="1:35">
      <c r="A9" s="68">
        <v>7</v>
      </c>
      <c r="B9" s="69" t="s">
        <v>179</v>
      </c>
      <c r="C9" s="70">
        <v>-25.1</v>
      </c>
      <c r="D9" s="71" t="s">
        <v>179</v>
      </c>
      <c r="E9" s="83">
        <v>-25.1</v>
      </c>
      <c r="F9" s="71" t="s">
        <v>185</v>
      </c>
      <c r="G9" s="72">
        <v>3</v>
      </c>
      <c r="H9" s="71" t="s">
        <v>185</v>
      </c>
      <c r="I9" s="73">
        <v>0</v>
      </c>
      <c r="J9" s="71" t="s">
        <v>123</v>
      </c>
      <c r="K9" s="73">
        <v>0.25</v>
      </c>
      <c r="L9" s="71" t="s">
        <v>179</v>
      </c>
      <c r="M9" s="73">
        <v>0</v>
      </c>
      <c r="N9" s="71" t="s">
        <v>180</v>
      </c>
      <c r="O9" s="74">
        <v>0.1</v>
      </c>
      <c r="P9" s="71" t="s">
        <v>182</v>
      </c>
      <c r="Q9" s="74">
        <v>0.14285714285714285</v>
      </c>
      <c r="R9" s="71" t="s">
        <v>179</v>
      </c>
      <c r="S9" s="75">
        <v>5300</v>
      </c>
      <c r="T9" s="71" t="s">
        <v>185</v>
      </c>
      <c r="U9" s="75">
        <v>-12000</v>
      </c>
      <c r="V9" s="71" t="s">
        <v>123</v>
      </c>
      <c r="W9" s="73">
        <v>0.25</v>
      </c>
      <c r="X9" s="71" t="s">
        <v>185</v>
      </c>
      <c r="Y9" s="74">
        <v>0.2857142857142857</v>
      </c>
      <c r="Z9" s="71" t="s">
        <v>178</v>
      </c>
      <c r="AA9" s="74">
        <v>0.1</v>
      </c>
      <c r="AB9" s="71" t="s">
        <v>178</v>
      </c>
      <c r="AC9" s="74">
        <v>0.33333333333333331</v>
      </c>
      <c r="AD9" s="71" t="s">
        <v>182</v>
      </c>
      <c r="AE9" s="74">
        <v>0</v>
      </c>
      <c r="AF9" s="71" t="s">
        <v>179</v>
      </c>
      <c r="AG9" s="74">
        <v>0</v>
      </c>
      <c r="AH9" s="71" t="s">
        <v>179</v>
      </c>
      <c r="AI9" s="78">
        <v>14900</v>
      </c>
    </row>
    <row r="10" spans="1:35">
      <c r="A10" s="68">
        <v>8</v>
      </c>
      <c r="B10" s="69" t="s">
        <v>182</v>
      </c>
      <c r="C10" s="70">
        <v>-60.9</v>
      </c>
      <c r="D10" s="71" t="s">
        <v>182</v>
      </c>
      <c r="E10" s="83">
        <v>-60.9</v>
      </c>
      <c r="F10" s="71" t="s">
        <v>178</v>
      </c>
      <c r="G10" s="72">
        <v>4</v>
      </c>
      <c r="H10" s="71" t="s">
        <v>182</v>
      </c>
      <c r="I10" s="73">
        <v>0</v>
      </c>
      <c r="J10" s="71" t="s">
        <v>178</v>
      </c>
      <c r="K10" s="73">
        <v>1</v>
      </c>
      <c r="L10" s="71" t="s">
        <v>185</v>
      </c>
      <c r="M10" s="73">
        <v>0</v>
      </c>
      <c r="N10" s="71" t="s">
        <v>178</v>
      </c>
      <c r="O10" s="74">
        <v>0.1</v>
      </c>
      <c r="P10" s="71" t="s">
        <v>184</v>
      </c>
      <c r="Q10" s="74">
        <v>0.14285714285714285</v>
      </c>
      <c r="R10" s="71" t="s">
        <v>178</v>
      </c>
      <c r="S10" s="75">
        <v>4000</v>
      </c>
      <c r="T10" s="71" t="s">
        <v>184</v>
      </c>
      <c r="U10" s="75">
        <v>-12000</v>
      </c>
      <c r="V10" s="71" t="s">
        <v>178</v>
      </c>
      <c r="W10" s="73">
        <v>1</v>
      </c>
      <c r="X10" s="71" t="s">
        <v>183</v>
      </c>
      <c r="Y10" s="74">
        <v>0.2857142857142857</v>
      </c>
      <c r="Z10" s="71" t="s">
        <v>182</v>
      </c>
      <c r="AA10" s="74">
        <v>0</v>
      </c>
      <c r="AB10" s="71" t="s">
        <v>180</v>
      </c>
      <c r="AC10" s="74">
        <v>0</v>
      </c>
      <c r="AD10" s="71" t="s">
        <v>183</v>
      </c>
      <c r="AE10" s="74">
        <v>0</v>
      </c>
      <c r="AF10" s="71" t="s">
        <v>185</v>
      </c>
      <c r="AG10" s="74">
        <v>0</v>
      </c>
      <c r="AH10" s="71" t="s">
        <v>182</v>
      </c>
      <c r="AI10" s="78">
        <v>-900</v>
      </c>
    </row>
    <row r="11" spans="1:35">
      <c r="A11" s="68">
        <v>9</v>
      </c>
      <c r="B11" s="69" t="s">
        <v>178</v>
      </c>
      <c r="C11" s="70">
        <v>-61.7</v>
      </c>
      <c r="D11" s="71" t="s">
        <v>178</v>
      </c>
      <c r="E11" s="83">
        <v>-61.7</v>
      </c>
      <c r="F11" s="71" t="s">
        <v>182</v>
      </c>
      <c r="G11" s="72">
        <v>4</v>
      </c>
      <c r="H11" s="71" t="s">
        <v>183</v>
      </c>
      <c r="I11" s="73">
        <v>0</v>
      </c>
      <c r="J11" s="71" t="s">
        <v>182</v>
      </c>
      <c r="K11" s="73">
        <v>1</v>
      </c>
      <c r="L11" s="71" t="s">
        <v>182</v>
      </c>
      <c r="M11" s="73">
        <v>0</v>
      </c>
      <c r="N11" s="71" t="s">
        <v>182</v>
      </c>
      <c r="O11" s="74">
        <v>0</v>
      </c>
      <c r="P11" s="71" t="s">
        <v>178</v>
      </c>
      <c r="Q11" s="74">
        <v>0.3</v>
      </c>
      <c r="R11" s="71" t="s">
        <v>182</v>
      </c>
      <c r="S11" s="75">
        <v>0</v>
      </c>
      <c r="T11" s="71" t="s">
        <v>182</v>
      </c>
      <c r="U11" s="75">
        <v>-18000</v>
      </c>
      <c r="V11" s="71" t="s">
        <v>182</v>
      </c>
      <c r="W11" s="73">
        <v>1</v>
      </c>
      <c r="X11" s="71" t="s">
        <v>182</v>
      </c>
      <c r="Y11" s="74">
        <v>0.14285714285714285</v>
      </c>
      <c r="Z11" s="71" t="s">
        <v>184</v>
      </c>
      <c r="AA11" s="74">
        <v>0</v>
      </c>
      <c r="AB11" s="71" t="s">
        <v>182</v>
      </c>
      <c r="AC11" s="74">
        <v>0</v>
      </c>
      <c r="AD11" s="71" t="s">
        <v>184</v>
      </c>
      <c r="AE11" s="74">
        <v>0</v>
      </c>
      <c r="AF11" s="71" t="s">
        <v>182</v>
      </c>
      <c r="AG11" s="74">
        <v>0</v>
      </c>
      <c r="AH11" s="71" t="s">
        <v>178</v>
      </c>
      <c r="AI11" s="78">
        <v>-1700</v>
      </c>
    </row>
  </sheetData>
  <sortState xmlns:xlrd2="http://schemas.microsoft.com/office/spreadsheetml/2017/richdata2" ref="AH3:AI3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8A25B-B9A9-497C-A7B5-36C3A637169F}">
  <sheetPr codeName="Sheet4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123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8</v>
      </c>
      <c r="C2" s="142"/>
      <c r="E2" s="54" t="s">
        <v>59</v>
      </c>
      <c r="F2" s="51" t="s">
        <v>142</v>
      </c>
      <c r="G2" s="39">
        <v>11</v>
      </c>
      <c r="H2" s="117">
        <f>IF(B$17=0,0,G2/B$17)</f>
        <v>0.84615384615384615</v>
      </c>
      <c r="I2" s="79">
        <v>5</v>
      </c>
      <c r="K2" s="30">
        <v>0</v>
      </c>
      <c r="L2" s="84">
        <v>0</v>
      </c>
      <c r="N2" s="99" t="s">
        <v>112</v>
      </c>
      <c r="O2" s="106">
        <f t="shared" ref="O2:O9" si="0">IF(P2=0,0,Q2/P2)</f>
        <v>0</v>
      </c>
      <c r="P2" s="103">
        <v>8</v>
      </c>
      <c r="Q2" s="87">
        <v>0</v>
      </c>
    </row>
    <row r="3" spans="1:17">
      <c r="A3" s="47" t="s">
        <v>8</v>
      </c>
      <c r="B3" s="143">
        <v>68</v>
      </c>
      <c r="C3" s="144"/>
      <c r="E3" s="55" t="s">
        <v>56</v>
      </c>
      <c r="F3" s="52" t="s">
        <v>166</v>
      </c>
      <c r="G3" s="40">
        <v>9</v>
      </c>
      <c r="H3" s="118">
        <f>IF(B$17=0,0,G3/B$17)</f>
        <v>0.69230769230769229</v>
      </c>
      <c r="I3" s="80">
        <v>4</v>
      </c>
      <c r="K3" s="32">
        <v>1</v>
      </c>
      <c r="L3" s="85">
        <v>11.9</v>
      </c>
      <c r="N3" s="100" t="s">
        <v>113</v>
      </c>
      <c r="O3" s="107">
        <f t="shared" si="0"/>
        <v>0</v>
      </c>
      <c r="P3" s="104">
        <v>8</v>
      </c>
      <c r="Q3" s="88">
        <v>0</v>
      </c>
    </row>
    <row r="4" spans="1:17">
      <c r="A4" s="47" t="s">
        <v>6</v>
      </c>
      <c r="B4" s="145">
        <v>7.1054273576010019E-15</v>
      </c>
      <c r="C4" s="146"/>
      <c r="E4" s="55" t="s">
        <v>58</v>
      </c>
      <c r="F4" s="52" t="s">
        <v>21</v>
      </c>
      <c r="G4" s="40">
        <v>9</v>
      </c>
      <c r="H4" s="118">
        <f>IF(B$17=0,0,G4/B$17)</f>
        <v>0.69230769230769229</v>
      </c>
      <c r="I4" s="80">
        <v>3</v>
      </c>
      <c r="K4" s="32">
        <v>2</v>
      </c>
      <c r="L4" s="85">
        <v>86.800000000000011</v>
      </c>
      <c r="N4" s="100" t="s">
        <v>114</v>
      </c>
      <c r="O4" s="107">
        <f t="shared" si="0"/>
        <v>-250</v>
      </c>
      <c r="P4" s="104">
        <v>8</v>
      </c>
      <c r="Q4" s="88">
        <v>-2000</v>
      </c>
    </row>
    <row r="5" spans="1:17">
      <c r="A5" s="47" t="s">
        <v>7</v>
      </c>
      <c r="B5" s="147">
        <f>IF(B$2=0,0,B$4/B$2)</f>
        <v>8.8817841970012523E-16</v>
      </c>
      <c r="C5" s="148"/>
      <c r="E5" s="55" t="s">
        <v>60</v>
      </c>
      <c r="F5" s="52" t="s">
        <v>168</v>
      </c>
      <c r="G5" s="40">
        <v>5</v>
      </c>
      <c r="H5" s="118">
        <f>IF(B$17=0,0,G5/B$17)</f>
        <v>0.38461538461538464</v>
      </c>
      <c r="I5" s="80">
        <v>4</v>
      </c>
      <c r="K5" s="32">
        <v>3</v>
      </c>
      <c r="L5" s="85">
        <v>25.100000000000009</v>
      </c>
      <c r="N5" s="100" t="s">
        <v>173</v>
      </c>
      <c r="O5" s="107">
        <f>IF(P5=0,0,Q5/P5)</f>
        <v>250</v>
      </c>
      <c r="P5" s="104">
        <v>8</v>
      </c>
      <c r="Q5" s="88">
        <v>2000</v>
      </c>
    </row>
    <row r="6" spans="1:17">
      <c r="A6" s="47" t="s">
        <v>1</v>
      </c>
      <c r="B6" s="137">
        <f>IF(B$2=0,0,(B$7*1+B$8*2+B$9*3+B$10*4)/B$2)</f>
        <v>2.5</v>
      </c>
      <c r="C6" s="138"/>
      <c r="E6" s="55" t="s">
        <v>61</v>
      </c>
      <c r="F6" s="52" t="s">
        <v>22</v>
      </c>
      <c r="G6" s="40">
        <v>5</v>
      </c>
      <c r="H6" s="118">
        <f>IF(B$17=0,0,G6/B$17)</f>
        <v>0.38461538461538464</v>
      </c>
      <c r="I6" s="80">
        <v>4</v>
      </c>
      <c r="K6" s="32">
        <v>4</v>
      </c>
      <c r="L6" s="85">
        <v>7.1054273576010019E-15</v>
      </c>
      <c r="N6" s="100" t="s">
        <v>115</v>
      </c>
      <c r="O6" s="107">
        <f t="shared" ref="O6" si="1">IF(P6=0,0,Q6/P6)</f>
        <v>0</v>
      </c>
      <c r="P6" s="104">
        <v>4</v>
      </c>
      <c r="Q6" s="88">
        <v>0</v>
      </c>
    </row>
    <row r="7" spans="1:17">
      <c r="A7" s="47" t="s">
        <v>2</v>
      </c>
      <c r="B7" s="40">
        <v>2</v>
      </c>
      <c r="C7" s="33">
        <f t="shared" ref="C7:C12" si="2">IF(B$2=0,0,B7/B$2)</f>
        <v>0.25</v>
      </c>
      <c r="E7" s="55" t="s">
        <v>63</v>
      </c>
      <c r="F7" s="52" t="s">
        <v>20</v>
      </c>
      <c r="G7" s="40">
        <v>3</v>
      </c>
      <c r="H7" s="118">
        <f>IF(B$17=0,0,G7/B$17)</f>
        <v>0.23076923076923078</v>
      </c>
      <c r="I7" s="80">
        <v>4</v>
      </c>
      <c r="K7" s="32">
        <v>5</v>
      </c>
      <c r="L7" s="85">
        <v>-14.199999999999992</v>
      </c>
      <c r="N7" s="100" t="s">
        <v>116</v>
      </c>
      <c r="O7" s="107">
        <f t="shared" si="0"/>
        <v>0</v>
      </c>
      <c r="P7" s="104">
        <v>4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0.25</v>
      </c>
      <c r="E8" s="55" t="s">
        <v>57</v>
      </c>
      <c r="F8" s="52" t="s">
        <v>167</v>
      </c>
      <c r="G8" s="40">
        <v>2</v>
      </c>
      <c r="H8" s="118">
        <f>IF(B$17=0,0,G8/B$17)</f>
        <v>0.15384615384615385</v>
      </c>
      <c r="I8" s="80">
        <v>3</v>
      </c>
      <c r="K8" s="32">
        <v>6</v>
      </c>
      <c r="L8" s="85">
        <v>-75.099999999999994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0.25</v>
      </c>
      <c r="E9" s="55" t="s">
        <v>62</v>
      </c>
      <c r="F9" s="52" t="s">
        <v>24</v>
      </c>
      <c r="G9" s="40">
        <v>2</v>
      </c>
      <c r="H9" s="118">
        <f>IF(B$17=0,0,G9/B$17)</f>
        <v>0.15384615384615385</v>
      </c>
      <c r="I9" s="80">
        <v>3</v>
      </c>
      <c r="K9" s="32">
        <v>7</v>
      </c>
      <c r="L9" s="85">
        <v>-61.099999999999994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2</v>
      </c>
      <c r="C10" s="34">
        <f>IF(B$2=0,0,B10/B$2)</f>
        <v>0.25</v>
      </c>
      <c r="E10" s="55" t="s">
        <v>64</v>
      </c>
      <c r="F10" s="52" t="s">
        <v>23</v>
      </c>
      <c r="G10" s="40">
        <v>1</v>
      </c>
      <c r="H10" s="118">
        <f>IF(B$17=0,0,G10/B$17)</f>
        <v>7.6923076923076927E-2</v>
      </c>
      <c r="I10" s="80">
        <v>2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4</v>
      </c>
      <c r="C11" s="34">
        <f>IF(B$2=0,0,B11/B$2)</f>
        <v>0.5</v>
      </c>
      <c r="E11" s="55" t="s">
        <v>75</v>
      </c>
      <c r="F11" s="52" t="s">
        <v>32</v>
      </c>
      <c r="G11" s="40">
        <v>1</v>
      </c>
      <c r="H11" s="118">
        <f>IF(B$17=0,0,G11/B$17)</f>
        <v>7.6923076923076927E-2</v>
      </c>
      <c r="I11" s="80">
        <v>2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2</v>
      </c>
      <c r="C12" s="36">
        <f t="shared" si="2"/>
        <v>0.25</v>
      </c>
      <c r="E12" s="55" t="s">
        <v>78</v>
      </c>
      <c r="F12" s="52" t="s">
        <v>35</v>
      </c>
      <c r="G12" s="40">
        <v>1</v>
      </c>
      <c r="H12" s="118">
        <f>IF(B$17=0,0,G12/B$17)</f>
        <v>7.6923076923076927E-2</v>
      </c>
      <c r="I12" s="80">
        <v>2</v>
      </c>
      <c r="N12" s="99" t="s">
        <v>136</v>
      </c>
      <c r="O12" s="109">
        <f>IF(P12=0,0,Q12/P12)</f>
        <v>-1.1499999999999995</v>
      </c>
      <c r="P12" s="103">
        <v>2</v>
      </c>
      <c r="Q12" s="91">
        <v>-2.2999999999999989</v>
      </c>
    </row>
    <row r="13" spans="1:17">
      <c r="A13" s="50" t="s">
        <v>106</v>
      </c>
      <c r="B13" s="43">
        <v>22</v>
      </c>
      <c r="C13" s="38">
        <f>IF(B$3=0,0,B13/B$3)</f>
        <v>0.3235294117647059</v>
      </c>
      <c r="E13" s="55" t="s">
        <v>65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7.0000000000000036</v>
      </c>
      <c r="P13" s="104">
        <v>2</v>
      </c>
      <c r="Q13" s="92">
        <v>14.000000000000007</v>
      </c>
    </row>
    <row r="14" spans="1:17">
      <c r="A14" s="47" t="s">
        <v>103</v>
      </c>
      <c r="B14" s="40">
        <v>10</v>
      </c>
      <c r="C14" s="33">
        <f>IF(B$3=0,0,B14/B$3)</f>
        <v>0.14705882352941177</v>
      </c>
      <c r="E14" s="55" t="s">
        <v>66</v>
      </c>
      <c r="F14" s="52" t="s">
        <v>169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-23.85</v>
      </c>
      <c r="P14" s="104">
        <v>2</v>
      </c>
      <c r="Q14" s="92">
        <v>-47.7</v>
      </c>
    </row>
    <row r="15" spans="1:17">
      <c r="A15" s="46" t="s">
        <v>108</v>
      </c>
      <c r="B15" s="39">
        <f>B21</f>
        <v>9</v>
      </c>
      <c r="C15" s="31">
        <f>IF(B$13=0,0,B15/B$13)</f>
        <v>0.40909090909090912</v>
      </c>
      <c r="E15" s="55" t="s">
        <v>67</v>
      </c>
      <c r="F15" s="52" t="s">
        <v>36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18</v>
      </c>
      <c r="P15" s="105">
        <v>2</v>
      </c>
      <c r="Q15" s="93">
        <v>36</v>
      </c>
    </row>
    <row r="16" spans="1:17">
      <c r="A16" s="46" t="s">
        <v>109</v>
      </c>
      <c r="B16" s="39">
        <f>B22</f>
        <v>1</v>
      </c>
      <c r="C16" s="31">
        <f>IF(B$14=0,0,B16/B$14)</f>
        <v>0.1</v>
      </c>
      <c r="E16" s="55" t="s">
        <v>68</v>
      </c>
      <c r="F16" s="52" t="s">
        <v>39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0.19117647058823528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8</v>
      </c>
      <c r="C18" s="33">
        <f>IF(B$3=0,0,B18/B$3)</f>
        <v>0.11764705882352941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178</v>
      </c>
      <c r="O18" s="109">
        <f>IF(P18=0,0,Q18/P18)</f>
        <v>82.266666666666666</v>
      </c>
      <c r="P18" s="103">
        <v>3</v>
      </c>
      <c r="Q18" s="91">
        <v>246.8</v>
      </c>
    </row>
    <row r="19" spans="1:17">
      <c r="A19" s="47" t="s">
        <v>12</v>
      </c>
      <c r="B19" s="40">
        <v>5</v>
      </c>
      <c r="C19" s="33">
        <f>IF(B$17=0,0,B19/B$17)</f>
        <v>0.38461538461538464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182</v>
      </c>
      <c r="O19" s="110">
        <f>IF(P19=0,0,Q19/P19)</f>
        <v>81.2</v>
      </c>
      <c r="P19" s="104">
        <v>3</v>
      </c>
      <c r="Q19" s="92">
        <v>243.6</v>
      </c>
    </row>
    <row r="20" spans="1:17">
      <c r="A20" s="47" t="s">
        <v>11</v>
      </c>
      <c r="B20" s="40">
        <v>8</v>
      </c>
      <c r="C20" s="33">
        <f>IF(B$17=0,0,B20/B$17)</f>
        <v>0.61538461538461542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162</v>
      </c>
      <c r="B21" s="40">
        <v>9</v>
      </c>
      <c r="C21" s="33">
        <f>IF(B$17=0,0,B21/B$17)</f>
        <v>0.69230769230769229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  <c r="N21" s="100" t="s">
        <v>185</v>
      </c>
      <c r="O21" s="110">
        <f>IF(P21=0,0,Q21/P21)</f>
        <v>18.933333333333334</v>
      </c>
      <c r="P21" s="104">
        <v>3</v>
      </c>
      <c r="Q21" s="92">
        <v>56.8</v>
      </c>
    </row>
    <row r="22" spans="1:17">
      <c r="A22" s="47" t="s">
        <v>160</v>
      </c>
      <c r="B22" s="40">
        <v>1</v>
      </c>
      <c r="C22" s="33">
        <f>IF(B$17=0,0,B22/B$17)</f>
        <v>7.6923076923076927E-2</v>
      </c>
      <c r="E22" s="55" t="s">
        <v>74</v>
      </c>
      <c r="F22" s="52" t="s">
        <v>31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>IF(P22=0,0,Q22/P22)</f>
        <v>-15.866666666666665</v>
      </c>
      <c r="P22" s="104">
        <v>3</v>
      </c>
      <c r="Q22" s="92">
        <v>-47.599999999999994</v>
      </c>
    </row>
    <row r="23" spans="1:17">
      <c r="A23" s="47" t="s">
        <v>161</v>
      </c>
      <c r="B23" s="40">
        <v>3</v>
      </c>
      <c r="C23" s="33">
        <f>IF(B$17=0,0,B23/B$17)</f>
        <v>0.23076923076923078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  <c r="N23" s="100" t="s">
        <v>183</v>
      </c>
      <c r="O23" s="110">
        <f>IF(P23=0,0,Q23/P23)</f>
        <v>-18.666666666666664</v>
      </c>
      <c r="P23" s="104">
        <v>3</v>
      </c>
      <c r="Q23" s="92">
        <v>-55.999999999999993</v>
      </c>
    </row>
    <row r="24" spans="1:17">
      <c r="A24" s="47" t="s">
        <v>5</v>
      </c>
      <c r="B24" s="44">
        <f>IF(B$17=0,0,C24/B$17)</f>
        <v>9753.8461538461543</v>
      </c>
      <c r="C24" s="35">
        <v>126800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184</v>
      </c>
      <c r="O24" s="110">
        <f>IF(P24=0,0,Q24/P24)</f>
        <v>-81.466666666666654</v>
      </c>
      <c r="P24" s="104">
        <v>3</v>
      </c>
      <c r="Q24" s="92">
        <v>-244.39999999999998</v>
      </c>
    </row>
    <row r="25" spans="1:17">
      <c r="A25" s="48" t="s">
        <v>144</v>
      </c>
      <c r="B25" s="121">
        <f>IF($B$17-B$16=0,0,C25/($B$17-B$16))</f>
        <v>9566.6666666666661</v>
      </c>
      <c r="C25" s="122">
        <v>114800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177</v>
      </c>
      <c r="O25" s="110">
        <f>IF(P25=0,0,Q25/P25)</f>
        <v>-99.866666666666674</v>
      </c>
      <c r="P25" s="104">
        <v>3</v>
      </c>
      <c r="Q25" s="92">
        <v>-299.60000000000002</v>
      </c>
    </row>
    <row r="26" spans="1:17">
      <c r="A26" s="48" t="s">
        <v>145</v>
      </c>
      <c r="B26" s="121">
        <f>IF(B$16=0,0,C26/B$16)</f>
        <v>12000</v>
      </c>
      <c r="C26" s="122">
        <v>12000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-10300</v>
      </c>
      <c r="C27" s="122">
        <v>-82400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2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19</v>
      </c>
      <c r="C29" s="120">
        <v>3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4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54900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1</v>
      </c>
      <c r="C35" s="33">
        <f t="shared" si="3"/>
        <v>7.6923076923076927E-2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3</v>
      </c>
      <c r="C36" s="33">
        <f t="shared" si="3"/>
        <v>0.23076923076923078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2</v>
      </c>
      <c r="C37" s="33">
        <f t="shared" si="3"/>
        <v>0.15384615384615385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1</v>
      </c>
      <c r="C38" s="33">
        <f t="shared" si="3"/>
        <v>7.6923076923076927E-2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6</v>
      </c>
      <c r="C39" s="33">
        <f t="shared" si="3"/>
        <v>0.46153846153846156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4613-4957-4A8A-A2AA-D2B4042E522C}">
  <sheetPr codeName="Sheet5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180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58</v>
      </c>
      <c r="F2" s="51" t="s">
        <v>21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112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43">
        <v>10</v>
      </c>
      <c r="C3" s="144"/>
      <c r="E3" s="55" t="s">
        <v>64</v>
      </c>
      <c r="F3" s="52" t="s">
        <v>23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11.9</v>
      </c>
      <c r="N3" s="100" t="s">
        <v>113</v>
      </c>
      <c r="O3" s="107">
        <f t="shared" si="0"/>
        <v>8000</v>
      </c>
      <c r="P3" s="104">
        <v>1</v>
      </c>
      <c r="Q3" s="88">
        <v>8000</v>
      </c>
    </row>
    <row r="4" spans="1:17">
      <c r="A4" s="47" t="s">
        <v>6</v>
      </c>
      <c r="B4" s="145">
        <v>11.9</v>
      </c>
      <c r="C4" s="146"/>
      <c r="E4" s="55" t="s">
        <v>75</v>
      </c>
      <c r="F4" s="52" t="s">
        <v>32</v>
      </c>
      <c r="G4" s="40">
        <v>1</v>
      </c>
      <c r="H4" s="118">
        <f>IF(B$17=0,0,G4/B$17)</f>
        <v>1</v>
      </c>
      <c r="I4" s="80">
        <v>1</v>
      </c>
      <c r="N4" s="100" t="s">
        <v>114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47">
        <f>IF(B$2=0,0,B$4/B$2)</f>
        <v>11.9</v>
      </c>
      <c r="C5" s="148"/>
      <c r="E5" s="55" t="s">
        <v>56</v>
      </c>
      <c r="F5" s="52" t="s">
        <v>166</v>
      </c>
      <c r="G5" s="40">
        <v>0</v>
      </c>
      <c r="H5" s="118">
        <f>IF(B$17=0,0,G5/B$17)</f>
        <v>0</v>
      </c>
      <c r="I5" s="80">
        <v>8</v>
      </c>
      <c r="N5" s="100" t="s">
        <v>173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37">
        <f>IF(B$2=0,0,(B$7*1+B$8*2+B$9*3+B$10*4)/B$2)</f>
        <v>2</v>
      </c>
      <c r="C6" s="138"/>
      <c r="E6" s="55" t="s">
        <v>57</v>
      </c>
      <c r="F6" s="52" t="s">
        <v>167</v>
      </c>
      <c r="G6" s="40">
        <v>0</v>
      </c>
      <c r="H6" s="118">
        <f>IF(B$17=0,0,G6/B$17)</f>
        <v>0</v>
      </c>
      <c r="I6" s="80">
        <v>4</v>
      </c>
      <c r="N6" s="100" t="s">
        <v>115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142</v>
      </c>
      <c r="G7" s="40">
        <v>0</v>
      </c>
      <c r="H7" s="118">
        <f>IF(B$17=0,0,G7/B$17)</f>
        <v>0</v>
      </c>
      <c r="I7" s="80">
        <v>6</v>
      </c>
      <c r="N7" s="100" t="s">
        <v>116</v>
      </c>
      <c r="O7" s="107">
        <f t="shared" si="0"/>
        <v>-500</v>
      </c>
      <c r="P7" s="104">
        <v>1</v>
      </c>
      <c r="Q7" s="88">
        <v>-500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60</v>
      </c>
      <c r="F8" s="52" t="s">
        <v>168</v>
      </c>
      <c r="G8" s="40">
        <v>0</v>
      </c>
      <c r="H8" s="118">
        <f>IF(B$17=0,0,G8/B$17)</f>
        <v>0</v>
      </c>
      <c r="I8" s="80">
        <v>6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62</v>
      </c>
      <c r="F10" s="52" t="s">
        <v>24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1</v>
      </c>
      <c r="C11" s="34">
        <f>IF(B$2=0,0,B11/B$2)</f>
        <v>1</v>
      </c>
      <c r="E11" s="55" t="s">
        <v>63</v>
      </c>
      <c r="F11" s="52" t="s">
        <v>20</v>
      </c>
      <c r="G11" s="40">
        <v>0</v>
      </c>
      <c r="H11" s="118">
        <f>IF(B$17=0,0,G11/B$17)</f>
        <v>0</v>
      </c>
      <c r="I11" s="80">
        <v>5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65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11.9</v>
      </c>
      <c r="P12" s="103">
        <v>1</v>
      </c>
      <c r="Q12" s="91">
        <v>11.9</v>
      </c>
    </row>
    <row r="13" spans="1:17">
      <c r="A13" s="50" t="s">
        <v>106</v>
      </c>
      <c r="B13" s="43">
        <v>4</v>
      </c>
      <c r="C13" s="38">
        <f>IF(B$3=0,0,B13/B$3)</f>
        <v>0.4</v>
      </c>
      <c r="E13" s="55" t="s">
        <v>66</v>
      </c>
      <c r="F13" s="52" t="s">
        <v>169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1</v>
      </c>
      <c r="C14" s="33">
        <f>IF(B$3=0,0,B14/B$3)</f>
        <v>0.1</v>
      </c>
      <c r="E14" s="55" t="s">
        <v>67</v>
      </c>
      <c r="F14" s="52" t="s">
        <v>36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0</v>
      </c>
      <c r="C15" s="31">
        <f>IF(B$13=0,0,B15/B$13)</f>
        <v>0</v>
      </c>
      <c r="E15" s="55" t="s">
        <v>68</v>
      </c>
      <c r="F15" s="52" t="s">
        <v>39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1</v>
      </c>
      <c r="C16" s="31">
        <f>IF(B$14=0,0,B16/B$14)</f>
        <v>1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178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177</v>
      </c>
      <c r="O20" s="110">
        <f>IF(P20=0,0,Q20/P20)</f>
        <v>-63.000000000000007</v>
      </c>
      <c r="P20" s="104">
        <v>1</v>
      </c>
      <c r="Q20" s="92">
        <v>-63.000000000000007</v>
      </c>
    </row>
    <row r="21" spans="1:17">
      <c r="A21" s="47" t="s">
        <v>162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160</v>
      </c>
      <c r="B22" s="40">
        <v>1</v>
      </c>
      <c r="C22" s="33">
        <f>IF(B$17=0,0,B22/B$17)</f>
        <v>1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0</v>
      </c>
      <c r="C23" s="33">
        <f>IF(B$17=0,0,B23/B$17)</f>
        <v>0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0</v>
      </c>
      <c r="C25" s="122">
        <v>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12000</v>
      </c>
      <c r="C26" s="122">
        <v>12000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0</v>
      </c>
      <c r="C27" s="122">
        <v>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10</v>
      </c>
      <c r="C29" s="120">
        <v>10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3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31900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0</v>
      </c>
      <c r="C36" s="33">
        <f t="shared" si="3"/>
        <v>0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1</v>
      </c>
      <c r="C39" s="33">
        <f t="shared" si="3"/>
        <v>1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A6CD9-9271-4E33-8BEF-BC016313CC36}">
  <sheetPr codeName="Sheet6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177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59</v>
      </c>
      <c r="F2" s="51" t="s">
        <v>142</v>
      </c>
      <c r="G2" s="39">
        <v>3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112</v>
      </c>
      <c r="O2" s="106">
        <f t="shared" ref="O2:O9" si="0">IF(P2=0,0,Q2/P2)</f>
        <v>12000</v>
      </c>
      <c r="P2" s="103">
        <v>1</v>
      </c>
      <c r="Q2" s="87">
        <v>12000</v>
      </c>
    </row>
    <row r="3" spans="1:17">
      <c r="A3" s="47" t="s">
        <v>8</v>
      </c>
      <c r="B3" s="143">
        <v>10</v>
      </c>
      <c r="C3" s="144"/>
      <c r="E3" s="55" t="s">
        <v>56</v>
      </c>
      <c r="F3" s="52" t="s">
        <v>166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74.900000000000006</v>
      </c>
      <c r="N3" s="100" t="s">
        <v>113</v>
      </c>
      <c r="O3" s="107">
        <f t="shared" si="0"/>
        <v>21800</v>
      </c>
      <c r="P3" s="104">
        <v>1</v>
      </c>
      <c r="Q3" s="88">
        <v>21800</v>
      </c>
    </row>
    <row r="4" spans="1:17">
      <c r="A4" s="47" t="s">
        <v>6</v>
      </c>
      <c r="B4" s="145">
        <v>74.900000000000006</v>
      </c>
      <c r="C4" s="146"/>
      <c r="E4" s="55" t="s">
        <v>58</v>
      </c>
      <c r="F4" s="52" t="s">
        <v>21</v>
      </c>
      <c r="G4" s="40">
        <v>2</v>
      </c>
      <c r="H4" s="118">
        <f>IF(B$17=0,0,G4/B$17)</f>
        <v>0.66666666666666663</v>
      </c>
      <c r="I4" s="80">
        <v>4</v>
      </c>
      <c r="N4" s="100" t="s">
        <v>114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47">
        <f>IF(B$2=0,0,B$4/B$2)</f>
        <v>74.900000000000006</v>
      </c>
      <c r="C5" s="148"/>
      <c r="E5" s="55" t="s">
        <v>61</v>
      </c>
      <c r="F5" s="52" t="s">
        <v>22</v>
      </c>
      <c r="G5" s="40">
        <v>2</v>
      </c>
      <c r="H5" s="118">
        <f>IF(B$17=0,0,G5/B$17)</f>
        <v>0.66666666666666663</v>
      </c>
      <c r="I5" s="80">
        <v>2</v>
      </c>
      <c r="N5" s="100" t="s">
        <v>173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37">
        <f>IF(B$2=0,0,(B$7*1+B$8*2+B$9*3+B$10*4)/B$2)</f>
        <v>1</v>
      </c>
      <c r="C6" s="138"/>
      <c r="E6" s="55" t="s">
        <v>60</v>
      </c>
      <c r="F6" s="52" t="s">
        <v>168</v>
      </c>
      <c r="G6" s="40">
        <v>1</v>
      </c>
      <c r="H6" s="118">
        <f>IF(B$17=0,0,G6/B$17)</f>
        <v>0.33333333333333331</v>
      </c>
      <c r="I6" s="80">
        <v>5</v>
      </c>
      <c r="N6" s="100" t="s">
        <v>115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62</v>
      </c>
      <c r="F7" s="52" t="s">
        <v>24</v>
      </c>
      <c r="G7" s="40">
        <v>1</v>
      </c>
      <c r="H7" s="118">
        <f>IF(B$17=0,0,G7/B$17)</f>
        <v>0.33333333333333331</v>
      </c>
      <c r="I7" s="80">
        <v>2</v>
      </c>
      <c r="N7" s="100" t="s">
        <v>116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63</v>
      </c>
      <c r="F8" s="52" t="s">
        <v>20</v>
      </c>
      <c r="G8" s="40">
        <v>1</v>
      </c>
      <c r="H8" s="118">
        <f>IF(B$17=0,0,G8/B$17)</f>
        <v>0.33333333333333331</v>
      </c>
      <c r="I8" s="80">
        <v>2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57</v>
      </c>
      <c r="F9" s="52" t="s">
        <v>167</v>
      </c>
      <c r="G9" s="40">
        <v>0</v>
      </c>
      <c r="H9" s="118">
        <f>IF(B$17=0,0,G9/B$17)</f>
        <v>0</v>
      </c>
      <c r="I9" s="80">
        <v>4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1</v>
      </c>
      <c r="C11" s="34">
        <f>IF(B$2=0,0,B11/B$2)</f>
        <v>1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3</v>
      </c>
      <c r="C13" s="38">
        <f>IF(B$3=0,0,B13/B$3)</f>
        <v>0.3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103</v>
      </c>
      <c r="B14" s="40">
        <v>2</v>
      </c>
      <c r="C14" s="33">
        <f>IF(B$3=0,0,B14/B$3)</f>
        <v>0.2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2</v>
      </c>
      <c r="C15" s="31">
        <f>IF(B$13=0,0,B15/B$13)</f>
        <v>0.66666666666666663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0.3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178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63.000000000000007</v>
      </c>
      <c r="P20" s="104">
        <v>1</v>
      </c>
      <c r="Q20" s="92">
        <v>63.000000000000007</v>
      </c>
    </row>
    <row r="21" spans="1:17">
      <c r="A21" s="47" t="s">
        <v>162</v>
      </c>
      <c r="B21" s="40">
        <v>2</v>
      </c>
      <c r="C21" s="33">
        <f>IF(B$17=0,0,B21/B$17)</f>
        <v>0.66666666666666663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1</v>
      </c>
      <c r="C23" s="33">
        <f>IF(B$17=0,0,B23/B$17)</f>
        <v>0.33333333333333331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11933.333333333334</v>
      </c>
      <c r="C24" s="35">
        <v>35800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11933.333333333334</v>
      </c>
      <c r="C25" s="122">
        <v>35800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-8000</v>
      </c>
      <c r="C27" s="122">
        <v>-8000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9</v>
      </c>
      <c r="C29" s="120">
        <v>0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3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54900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1</v>
      </c>
      <c r="C36" s="33">
        <f t="shared" si="3"/>
        <v>0.33333333333333331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2</v>
      </c>
      <c r="C39" s="33">
        <f t="shared" si="3"/>
        <v>0.66666666666666663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A15B-B286-4C89-AEF8-8581968399B6}">
  <sheetPr codeName="Sheet7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178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56</v>
      </c>
      <c r="F2" s="51" t="s">
        <v>166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112</v>
      </c>
      <c r="O2" s="106">
        <f t="shared" ref="O2:O9" si="0">IF(P2=0,0,Q2/P2)</f>
        <v>-12000</v>
      </c>
      <c r="P2" s="103">
        <v>1</v>
      </c>
      <c r="Q2" s="87">
        <v>-12000</v>
      </c>
    </row>
    <row r="3" spans="1:17">
      <c r="A3" s="47" t="s">
        <v>8</v>
      </c>
      <c r="B3" s="143">
        <v>10</v>
      </c>
      <c r="C3" s="144"/>
      <c r="E3" s="55" t="s">
        <v>60</v>
      </c>
      <c r="F3" s="52" t="s">
        <v>168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-61.7</v>
      </c>
      <c r="N3" s="100" t="s">
        <v>113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45">
        <v>-61.7</v>
      </c>
      <c r="C4" s="146"/>
      <c r="E4" s="55" t="s">
        <v>62</v>
      </c>
      <c r="F4" s="52" t="s">
        <v>24</v>
      </c>
      <c r="G4" s="40">
        <v>1</v>
      </c>
      <c r="H4" s="118">
        <f>IF(B$17=0,0,G4/B$17)</f>
        <v>1</v>
      </c>
      <c r="I4" s="80">
        <v>1</v>
      </c>
      <c r="N4" s="100" t="s">
        <v>114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47">
        <f>IF(B$2=0,0,B$4/B$2)</f>
        <v>-61.7</v>
      </c>
      <c r="C5" s="148"/>
      <c r="E5" s="55" t="s">
        <v>57</v>
      </c>
      <c r="F5" s="52" t="s">
        <v>167</v>
      </c>
      <c r="G5" s="40">
        <v>0</v>
      </c>
      <c r="H5" s="118">
        <f>IF(B$17=0,0,G5/B$17)</f>
        <v>0</v>
      </c>
      <c r="I5" s="80">
        <v>4</v>
      </c>
      <c r="N5" s="100" t="s">
        <v>173</v>
      </c>
      <c r="O5" s="107">
        <f>IF(P5=0,0,Q5/P5)</f>
        <v>6300</v>
      </c>
      <c r="P5" s="104">
        <v>1</v>
      </c>
      <c r="Q5" s="88">
        <v>6300</v>
      </c>
    </row>
    <row r="6" spans="1:17">
      <c r="A6" s="47" t="s">
        <v>1</v>
      </c>
      <c r="B6" s="137">
        <f>IF(B$2=0,0,(B$7*1+B$8*2+B$9*3+B$10*4)/B$2)</f>
        <v>4</v>
      </c>
      <c r="C6" s="138"/>
      <c r="E6" s="55" t="s">
        <v>58</v>
      </c>
      <c r="F6" s="52" t="s">
        <v>21</v>
      </c>
      <c r="G6" s="40">
        <v>0</v>
      </c>
      <c r="H6" s="118">
        <f>IF(B$17=0,0,G6/B$17)</f>
        <v>0</v>
      </c>
      <c r="I6" s="80">
        <v>7</v>
      </c>
      <c r="N6" s="100" t="s">
        <v>115</v>
      </c>
      <c r="O6" s="107">
        <f t="shared" ref="O6" si="1">IF(P6=0,0,Q6/P6)</f>
        <v>-2600</v>
      </c>
      <c r="P6" s="104">
        <v>1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142</v>
      </c>
      <c r="G7" s="40">
        <v>0</v>
      </c>
      <c r="H7" s="118">
        <f>IF(B$17=0,0,G7/B$17)</f>
        <v>0</v>
      </c>
      <c r="I7" s="80">
        <v>6</v>
      </c>
      <c r="N7" s="100" t="s">
        <v>116</v>
      </c>
      <c r="O7" s="107">
        <f t="shared" si="0"/>
        <v>-8300</v>
      </c>
      <c r="P7" s="104">
        <v>1</v>
      </c>
      <c r="Q7" s="88">
        <v>-8300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63</v>
      </c>
      <c r="F9" s="52" t="s">
        <v>20</v>
      </c>
      <c r="G9" s="40">
        <v>0</v>
      </c>
      <c r="H9" s="118">
        <f>IF(B$17=0,0,G9/B$17)</f>
        <v>0</v>
      </c>
      <c r="I9" s="80">
        <v>5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1</v>
      </c>
      <c r="C10" s="34">
        <f>IF(B$2=0,0,B10/B$2)</f>
        <v>1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0</v>
      </c>
      <c r="C11" s="34">
        <f>IF(B$2=0,0,B11/B$2)</f>
        <v>0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1</v>
      </c>
      <c r="C12" s="36">
        <f t="shared" si="2"/>
        <v>1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3</v>
      </c>
      <c r="C13" s="38">
        <f>IF(B$3=0,0,B13/B$3)</f>
        <v>0.3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1</v>
      </c>
      <c r="C14" s="33">
        <f>IF(B$3=0,0,B14/B$3)</f>
        <v>0.1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-61.7</v>
      </c>
      <c r="P14" s="104">
        <v>1</v>
      </c>
      <c r="Q14" s="92">
        <v>-61.7</v>
      </c>
    </row>
    <row r="15" spans="1:17">
      <c r="A15" s="46" t="s">
        <v>108</v>
      </c>
      <c r="B15" s="39">
        <f>B21</f>
        <v>1</v>
      </c>
      <c r="C15" s="31">
        <f>IF(B$13=0,0,B15/B$13)</f>
        <v>0.33333333333333331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3</v>
      </c>
      <c r="C18" s="33">
        <f>IF(B$3=0,0,B18/B$3)</f>
        <v>0.3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179</v>
      </c>
      <c r="O18" s="109">
        <f>IF(P18=0,0,Q18/P18)</f>
        <v>-36.6</v>
      </c>
      <c r="P18" s="103">
        <v>1</v>
      </c>
      <c r="Q18" s="91">
        <v>-36.6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180</v>
      </c>
      <c r="O19" s="110">
        <f>IF(P19=0,0,Q19/P19)</f>
        <v>-73.600000000000009</v>
      </c>
      <c r="P19" s="104">
        <v>1</v>
      </c>
      <c r="Q19" s="92">
        <v>-73.600000000000009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177</v>
      </c>
      <c r="O20" s="110">
        <f>IF(P20=0,0,Q20/P20)</f>
        <v>-136.60000000000002</v>
      </c>
      <c r="P20" s="104">
        <v>1</v>
      </c>
      <c r="Q20" s="92">
        <v>-136.60000000000002</v>
      </c>
    </row>
    <row r="21" spans="1:17">
      <c r="A21" s="47" t="s">
        <v>162</v>
      </c>
      <c r="B21" s="40">
        <v>1</v>
      </c>
      <c r="C21" s="33">
        <f>IF(B$17=0,0,B21/B$17)</f>
        <v>1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0</v>
      </c>
      <c r="C23" s="33">
        <f>IF(B$17=0,0,B23/B$17)</f>
        <v>0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4000</v>
      </c>
      <c r="C24" s="35">
        <v>4000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4000</v>
      </c>
      <c r="C25" s="122">
        <v>4000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-6800</v>
      </c>
      <c r="C27" s="122">
        <v>-20400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5</v>
      </c>
      <c r="C29" s="120">
        <v>2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0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-1700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1</v>
      </c>
      <c r="C36" s="33">
        <f t="shared" si="3"/>
        <v>1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0</v>
      </c>
      <c r="C39" s="33">
        <f t="shared" si="3"/>
        <v>0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CFED8-A9CD-4B5D-A149-1CA82499AFAE}">
  <sheetPr codeName="Sheet8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179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56</v>
      </c>
      <c r="F2" s="51" t="s">
        <v>166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112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43">
        <v>10</v>
      </c>
      <c r="C3" s="144"/>
      <c r="E3" s="55" t="s">
        <v>58</v>
      </c>
      <c r="F3" s="52" t="s">
        <v>21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113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45">
        <v>-25.1</v>
      </c>
      <c r="C4" s="146"/>
      <c r="E4" s="55" t="s">
        <v>57</v>
      </c>
      <c r="F4" s="52" t="s">
        <v>167</v>
      </c>
      <c r="G4" s="40">
        <v>1</v>
      </c>
      <c r="H4" s="118">
        <f>IF(B$17=0,0,G4/B$17)</f>
        <v>0.5</v>
      </c>
      <c r="I4" s="80">
        <v>1</v>
      </c>
      <c r="N4" s="100" t="s">
        <v>114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47">
        <f>IF(B$2=0,0,B$4/B$2)</f>
        <v>-25.1</v>
      </c>
      <c r="C5" s="148"/>
      <c r="E5" s="55" t="s">
        <v>78</v>
      </c>
      <c r="F5" s="52" t="s">
        <v>35</v>
      </c>
      <c r="G5" s="40">
        <v>1</v>
      </c>
      <c r="H5" s="118">
        <f>IF(B$17=0,0,G5/B$17)</f>
        <v>0.5</v>
      </c>
      <c r="I5" s="80">
        <v>1</v>
      </c>
      <c r="N5" s="100" t="s">
        <v>173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37">
        <f>IF(B$2=0,0,(B$7*1+B$8*2+B$9*3+B$10*4)/B$2)</f>
        <v>3</v>
      </c>
      <c r="C6" s="138"/>
      <c r="E6" s="55" t="s">
        <v>59</v>
      </c>
      <c r="F6" s="52" t="s">
        <v>142</v>
      </c>
      <c r="G6" s="40">
        <v>0</v>
      </c>
      <c r="H6" s="118">
        <f>IF(B$17=0,0,G6/B$17)</f>
        <v>0</v>
      </c>
      <c r="I6" s="80">
        <v>6</v>
      </c>
      <c r="N6" s="100" t="s">
        <v>115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168</v>
      </c>
      <c r="G7" s="40">
        <v>0</v>
      </c>
      <c r="H7" s="118">
        <f>IF(B$17=0,0,G7/B$17)</f>
        <v>0</v>
      </c>
      <c r="I7" s="80">
        <v>6</v>
      </c>
      <c r="N7" s="100" t="s">
        <v>116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62</v>
      </c>
      <c r="F9" s="52" t="s">
        <v>24</v>
      </c>
      <c r="G9" s="40">
        <v>0</v>
      </c>
      <c r="H9" s="118">
        <f>IF(B$17=0,0,G9/B$17)</f>
        <v>0</v>
      </c>
      <c r="I9" s="80">
        <v>4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63</v>
      </c>
      <c r="F10" s="52" t="s">
        <v>20</v>
      </c>
      <c r="G10" s="40">
        <v>0</v>
      </c>
      <c r="H10" s="118">
        <f>IF(B$17=0,0,G10/B$17)</f>
        <v>0</v>
      </c>
      <c r="I10" s="80">
        <v>5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23</v>
      </c>
      <c r="G11" s="40">
        <v>0</v>
      </c>
      <c r="H11" s="118">
        <f>IF(B$17=0,0,G11/B$17)</f>
        <v>0</v>
      </c>
      <c r="I11" s="80">
        <v>3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65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4</v>
      </c>
      <c r="C13" s="38">
        <f>IF(B$3=0,0,B13/B$3)</f>
        <v>0.4</v>
      </c>
      <c r="E13" s="55" t="s">
        <v>66</v>
      </c>
      <c r="F13" s="52" t="s">
        <v>169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3</v>
      </c>
      <c r="C14" s="33">
        <f>IF(B$3=0,0,B14/B$3)</f>
        <v>0.3</v>
      </c>
      <c r="E14" s="55" t="s">
        <v>67</v>
      </c>
      <c r="F14" s="52" t="s">
        <v>36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2</v>
      </c>
      <c r="C15" s="31">
        <f>IF(B$13=0,0,B15/B$13)</f>
        <v>0.5</v>
      </c>
      <c r="E15" s="55" t="s">
        <v>68</v>
      </c>
      <c r="F15" s="52" t="s">
        <v>39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178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180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177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162</v>
      </c>
      <c r="B21" s="40">
        <v>2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161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144</v>
      </c>
      <c r="B25" s="121">
        <f>IF($B$17-B$16=0,0,C25/($B$17-B$16))</f>
        <v>5300</v>
      </c>
      <c r="C25" s="122">
        <v>10600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-12000</v>
      </c>
      <c r="C27" s="122">
        <v>-12000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1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6</v>
      </c>
      <c r="C29" s="120">
        <v>6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2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14900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1</v>
      </c>
      <c r="C35" s="33">
        <f t="shared" si="3"/>
        <v>0.5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0</v>
      </c>
      <c r="C36" s="33">
        <f t="shared" si="3"/>
        <v>0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1</v>
      </c>
      <c r="C38" s="33">
        <f t="shared" si="3"/>
        <v>0.5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0</v>
      </c>
      <c r="C39" s="33">
        <f t="shared" si="3"/>
        <v>0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C9D5-48CA-4C9F-9D98-6B559F4BBD83}">
  <sheetPr codeName="Sheet9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185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59</v>
      </c>
      <c r="F2" s="51" t="s">
        <v>142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112</v>
      </c>
      <c r="O2" s="106">
        <f t="shared" ref="O2:O9" si="0">IF(P2=0,0,Q2/P2)</f>
        <v>17200</v>
      </c>
      <c r="P2" s="103">
        <v>1</v>
      </c>
      <c r="Q2" s="87">
        <v>17200</v>
      </c>
    </row>
    <row r="3" spans="1:17">
      <c r="A3" s="47" t="s">
        <v>8</v>
      </c>
      <c r="B3" s="143">
        <v>7</v>
      </c>
      <c r="C3" s="144"/>
      <c r="E3" s="55" t="s">
        <v>56</v>
      </c>
      <c r="F3" s="52" t="s">
        <v>166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113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45">
        <v>-14.2</v>
      </c>
      <c r="C4" s="146"/>
      <c r="E4" s="55" t="s">
        <v>61</v>
      </c>
      <c r="F4" s="52" t="s">
        <v>22</v>
      </c>
      <c r="G4" s="40">
        <v>1</v>
      </c>
      <c r="H4" s="118">
        <f>IF(B$17=0,0,G4/B$17)</f>
        <v>1</v>
      </c>
      <c r="I4" s="80">
        <v>1</v>
      </c>
      <c r="N4" s="100" t="s">
        <v>114</v>
      </c>
      <c r="O4" s="107">
        <f t="shared" si="0"/>
        <v>-3000</v>
      </c>
      <c r="P4" s="104">
        <v>1</v>
      </c>
      <c r="Q4" s="88">
        <v>-3000</v>
      </c>
    </row>
    <row r="5" spans="1:17">
      <c r="A5" s="47" t="s">
        <v>7</v>
      </c>
      <c r="B5" s="147">
        <f>IF(B$2=0,0,B$4/B$2)</f>
        <v>-14.2</v>
      </c>
      <c r="C5" s="148"/>
      <c r="E5" s="55" t="s">
        <v>63</v>
      </c>
      <c r="F5" s="52" t="s">
        <v>20</v>
      </c>
      <c r="G5" s="40">
        <v>1</v>
      </c>
      <c r="H5" s="118">
        <f>IF(B$17=0,0,G5/B$17)</f>
        <v>1</v>
      </c>
      <c r="I5" s="80">
        <v>1</v>
      </c>
      <c r="N5" s="100" t="s">
        <v>173</v>
      </c>
      <c r="O5" s="107">
        <f>IF(P5=0,0,Q5/P5)</f>
        <v>-13400</v>
      </c>
      <c r="P5" s="104">
        <v>1</v>
      </c>
      <c r="Q5" s="88">
        <v>-13400</v>
      </c>
    </row>
    <row r="6" spans="1:17">
      <c r="A6" s="47" t="s">
        <v>1</v>
      </c>
      <c r="B6" s="137">
        <f>IF(B$2=0,0,(B$7*1+B$8*2+B$9*3+B$10*4)/B$2)</f>
        <v>3</v>
      </c>
      <c r="C6" s="138"/>
      <c r="E6" s="55" t="s">
        <v>57</v>
      </c>
      <c r="F6" s="52" t="s">
        <v>167</v>
      </c>
      <c r="G6" s="40">
        <v>0</v>
      </c>
      <c r="H6" s="118">
        <f>IF(B$17=0,0,G6/B$17)</f>
        <v>0</v>
      </c>
      <c r="I6" s="80">
        <v>4</v>
      </c>
      <c r="N6" s="100" t="s">
        <v>115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7</v>
      </c>
      <c r="N7" s="100" t="s">
        <v>116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168</v>
      </c>
      <c r="G8" s="40">
        <v>0</v>
      </c>
      <c r="H8" s="118">
        <f>IF(B$17=0,0,G8/B$17)</f>
        <v>0</v>
      </c>
      <c r="I8" s="80">
        <v>6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62</v>
      </c>
      <c r="F9" s="52" t="s">
        <v>24</v>
      </c>
      <c r="G9" s="40">
        <v>0</v>
      </c>
      <c r="H9" s="118">
        <f>IF(B$17=0,0,G9/B$17)</f>
        <v>0</v>
      </c>
      <c r="I9" s="80">
        <v>4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0</v>
      </c>
      <c r="C11" s="34">
        <f>IF(B$2=0,0,B11/B$2)</f>
        <v>0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-14.2</v>
      </c>
      <c r="P12" s="103">
        <v>1</v>
      </c>
      <c r="Q12" s="91">
        <v>-14.2</v>
      </c>
    </row>
    <row r="13" spans="1:17">
      <c r="A13" s="50" t="s">
        <v>106</v>
      </c>
      <c r="B13" s="43">
        <v>2</v>
      </c>
      <c r="C13" s="38">
        <f>IF(B$3=0,0,B13/B$3)</f>
        <v>0.2857142857142857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2</v>
      </c>
      <c r="C14" s="33">
        <f>IF(B$3=0,0,B14/B$3)</f>
        <v>0.2857142857142857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1</v>
      </c>
      <c r="C15" s="31">
        <f>IF(B$13=0,0,B15/B$13)</f>
        <v>0.5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0.14285714285714285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182</v>
      </c>
      <c r="O18" s="109">
        <f>IF(P18=0,0,Q18/P18)</f>
        <v>46.7</v>
      </c>
      <c r="P18" s="103">
        <v>1</v>
      </c>
      <c r="Q18" s="91">
        <v>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-28.2</v>
      </c>
      <c r="P19" s="104">
        <v>1</v>
      </c>
      <c r="Q19" s="92">
        <v>-28.2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-75.3</v>
      </c>
      <c r="P20" s="104">
        <v>1</v>
      </c>
      <c r="Q20" s="92">
        <v>-75.3</v>
      </c>
    </row>
    <row r="21" spans="1:17">
      <c r="A21" s="47" t="s">
        <v>162</v>
      </c>
      <c r="B21" s="40">
        <v>1</v>
      </c>
      <c r="C21" s="33">
        <f>IF(B$17=0,0,B21/B$17)</f>
        <v>1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0</v>
      </c>
      <c r="C23" s="33">
        <f>IF(B$17=0,0,B23/B$17)</f>
        <v>0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18000</v>
      </c>
      <c r="C24" s="35">
        <v>18000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18000</v>
      </c>
      <c r="C25" s="122">
        <v>18000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-12000</v>
      </c>
      <c r="C27" s="122">
        <v>-12000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5</v>
      </c>
      <c r="C29" s="120">
        <v>1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3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25800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0</v>
      </c>
      <c r="C36" s="33">
        <f t="shared" si="3"/>
        <v>0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1</v>
      </c>
      <c r="C39" s="33">
        <f t="shared" si="3"/>
        <v>1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625D-651C-4A9E-9F7F-644F5E64B23B}">
  <sheetPr codeName="Sheet10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182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56</v>
      </c>
      <c r="F2" s="51" t="s">
        <v>166</v>
      </c>
      <c r="G2" s="39">
        <v>0</v>
      </c>
      <c r="H2" s="117">
        <f>IF(B$17=0,0,G2/B$17)</f>
        <v>0</v>
      </c>
      <c r="I2" s="79">
        <v>8</v>
      </c>
      <c r="K2" s="30">
        <v>0</v>
      </c>
      <c r="L2" s="84">
        <v>0</v>
      </c>
      <c r="N2" s="99" t="s">
        <v>112</v>
      </c>
      <c r="O2" s="106">
        <f t="shared" ref="O2:O9" si="0">IF(P2=0,0,Q2/P2)</f>
        <v>-20500</v>
      </c>
      <c r="P2" s="103">
        <v>1</v>
      </c>
      <c r="Q2" s="87">
        <v>-20500</v>
      </c>
    </row>
    <row r="3" spans="1:17">
      <c r="A3" s="47" t="s">
        <v>8</v>
      </c>
      <c r="B3" s="143">
        <v>7</v>
      </c>
      <c r="C3" s="144"/>
      <c r="E3" s="55" t="s">
        <v>57</v>
      </c>
      <c r="F3" s="52" t="s">
        <v>167</v>
      </c>
      <c r="G3" s="40">
        <v>0</v>
      </c>
      <c r="H3" s="118">
        <f>IF(B$17=0,0,G3/B$17)</f>
        <v>0</v>
      </c>
      <c r="I3" s="80">
        <v>4</v>
      </c>
      <c r="K3" s="32">
        <v>1</v>
      </c>
      <c r="L3" s="85">
        <v>-60.9</v>
      </c>
      <c r="N3" s="100" t="s">
        <v>113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45">
        <v>-60.9</v>
      </c>
      <c r="C4" s="146"/>
      <c r="E4" s="55" t="s">
        <v>58</v>
      </c>
      <c r="F4" s="52" t="s">
        <v>21</v>
      </c>
      <c r="G4" s="40">
        <v>0</v>
      </c>
      <c r="H4" s="118">
        <f>IF(B$17=0,0,G4/B$17)</f>
        <v>0</v>
      </c>
      <c r="I4" s="80">
        <v>7</v>
      </c>
      <c r="N4" s="100" t="s">
        <v>114</v>
      </c>
      <c r="O4" s="107">
        <f t="shared" si="0"/>
        <v>-4000</v>
      </c>
      <c r="P4" s="104">
        <v>1</v>
      </c>
      <c r="Q4" s="88">
        <v>-4000</v>
      </c>
    </row>
    <row r="5" spans="1:17">
      <c r="A5" s="47" t="s">
        <v>7</v>
      </c>
      <c r="B5" s="147">
        <f>IF(B$2=0,0,B$4/B$2)</f>
        <v>-60.9</v>
      </c>
      <c r="C5" s="148"/>
      <c r="E5" s="55" t="s">
        <v>59</v>
      </c>
      <c r="F5" s="52" t="s">
        <v>142</v>
      </c>
      <c r="G5" s="40">
        <v>0</v>
      </c>
      <c r="H5" s="118">
        <f>IF(B$17=0,0,G5/B$17)</f>
        <v>0</v>
      </c>
      <c r="I5" s="80">
        <v>6</v>
      </c>
      <c r="N5" s="100" t="s">
        <v>173</v>
      </c>
      <c r="O5" s="107">
        <f>IF(P5=0,0,Q5/P5)</f>
        <v>-1400</v>
      </c>
      <c r="P5" s="104">
        <v>1</v>
      </c>
      <c r="Q5" s="88">
        <v>-1400</v>
      </c>
    </row>
    <row r="6" spans="1:17">
      <c r="A6" s="47" t="s">
        <v>1</v>
      </c>
      <c r="B6" s="137">
        <f>IF(B$2=0,0,(B$7*1+B$8*2+B$9*3+B$10*4)/B$2)</f>
        <v>4</v>
      </c>
      <c r="C6" s="138"/>
      <c r="E6" s="55" t="s">
        <v>60</v>
      </c>
      <c r="F6" s="52" t="s">
        <v>168</v>
      </c>
      <c r="G6" s="40">
        <v>0</v>
      </c>
      <c r="H6" s="118">
        <f>IF(B$17=0,0,G6/B$17)</f>
        <v>0</v>
      </c>
      <c r="I6" s="80">
        <v>6</v>
      </c>
      <c r="N6" s="100" t="s">
        <v>115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61</v>
      </c>
      <c r="F7" s="52" t="s">
        <v>22</v>
      </c>
      <c r="G7" s="40">
        <v>0</v>
      </c>
      <c r="H7" s="118">
        <f>IF(B$17=0,0,G7/B$17)</f>
        <v>0</v>
      </c>
      <c r="I7" s="80">
        <v>6</v>
      </c>
      <c r="N7" s="100" t="s">
        <v>116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24</v>
      </c>
      <c r="G8" s="40">
        <v>0</v>
      </c>
      <c r="H8" s="118">
        <f>IF(B$17=0,0,G8/B$17)</f>
        <v>0</v>
      </c>
      <c r="I8" s="80">
        <v>4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63</v>
      </c>
      <c r="F9" s="52" t="s">
        <v>20</v>
      </c>
      <c r="G9" s="40">
        <v>0</v>
      </c>
      <c r="H9" s="118">
        <f>IF(B$17=0,0,G9/B$17)</f>
        <v>0</v>
      </c>
      <c r="I9" s="80">
        <v>5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1</v>
      </c>
      <c r="C10" s="34">
        <f>IF(B$2=0,0,B10/B$2)</f>
        <v>1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0</v>
      </c>
      <c r="C11" s="34">
        <f>IF(B$2=0,0,B11/B$2)</f>
        <v>0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1</v>
      </c>
      <c r="C12" s="36">
        <f t="shared" si="2"/>
        <v>1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1</v>
      </c>
      <c r="C13" s="38">
        <f>IF(B$3=0,0,B13/B$3)</f>
        <v>0.14285714285714285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103</v>
      </c>
      <c r="B14" s="40">
        <v>0</v>
      </c>
      <c r="C14" s="33">
        <f>IF(B$3=0,0,B14/B$3)</f>
        <v>0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0</v>
      </c>
      <c r="C15" s="31">
        <f>IF(B$13=0,0,B15/B$13)</f>
        <v>0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185</v>
      </c>
      <c r="O18" s="109">
        <f>IF(P18=0,0,Q18/P18)</f>
        <v>-46.7</v>
      </c>
      <c r="P18" s="103">
        <v>1</v>
      </c>
      <c r="Q18" s="91">
        <v>-46.7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-74.900000000000006</v>
      </c>
      <c r="P19" s="104">
        <v>1</v>
      </c>
      <c r="Q19" s="92">
        <v>-74.900000000000006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-122</v>
      </c>
      <c r="P20" s="104">
        <v>1</v>
      </c>
      <c r="Q20" s="92">
        <v>-122</v>
      </c>
    </row>
    <row r="21" spans="1:17">
      <c r="A21" s="47" t="s">
        <v>162</v>
      </c>
      <c r="B21" s="40">
        <v>0</v>
      </c>
      <c r="C21" s="33">
        <f>IF(B$17=0,0,B21/B$17)</f>
        <v>0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0</v>
      </c>
      <c r="C23" s="33">
        <f>IF(B$17=0,0,B23/B$17)</f>
        <v>0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0</v>
      </c>
      <c r="C25" s="122">
        <v>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-18000</v>
      </c>
      <c r="C27" s="122">
        <v>-18000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0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6</v>
      </c>
      <c r="C29" s="120">
        <v>6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0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-900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0</v>
      </c>
      <c r="C36" s="33">
        <f t="shared" si="3"/>
        <v>0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0</v>
      </c>
      <c r="C39" s="33">
        <f t="shared" si="3"/>
        <v>0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2C6F-6B06-4435-8E9E-15CEA326F9F7}">
  <sheetPr codeName="Sheet11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183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59</v>
      </c>
      <c r="F2" s="51" t="s">
        <v>142</v>
      </c>
      <c r="G2" s="39">
        <v>2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112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43">
        <v>7</v>
      </c>
      <c r="C3" s="144"/>
      <c r="E3" s="55" t="s">
        <v>56</v>
      </c>
      <c r="F3" s="52" t="s">
        <v>166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14</v>
      </c>
      <c r="N3" s="100" t="s">
        <v>113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45">
        <v>14</v>
      </c>
      <c r="C4" s="146"/>
      <c r="E4" s="55" t="s">
        <v>58</v>
      </c>
      <c r="F4" s="52" t="s">
        <v>21</v>
      </c>
      <c r="G4" s="40">
        <v>1</v>
      </c>
      <c r="H4" s="118">
        <f>IF(B$17=0,0,G4/B$17)</f>
        <v>0.5</v>
      </c>
      <c r="I4" s="80">
        <v>5</v>
      </c>
      <c r="N4" s="100" t="s">
        <v>114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47">
        <f>IF(B$2=0,0,B$4/B$2)</f>
        <v>14</v>
      </c>
      <c r="C5" s="148"/>
      <c r="E5" s="55" t="s">
        <v>60</v>
      </c>
      <c r="F5" s="52" t="s">
        <v>168</v>
      </c>
      <c r="G5" s="40">
        <v>1</v>
      </c>
      <c r="H5" s="118">
        <f>IF(B$17=0,0,G5/B$17)</f>
        <v>0.5</v>
      </c>
      <c r="I5" s="80">
        <v>3</v>
      </c>
      <c r="N5" s="100" t="s">
        <v>173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37">
        <f>IF(B$2=0,0,(B$7*1+B$8*2+B$9*3+B$10*4)/B$2)</f>
        <v>2</v>
      </c>
      <c r="C6" s="138"/>
      <c r="E6" s="55" t="s">
        <v>61</v>
      </c>
      <c r="F6" s="52" t="s">
        <v>22</v>
      </c>
      <c r="G6" s="40">
        <v>1</v>
      </c>
      <c r="H6" s="118">
        <f>IF(B$17=0,0,G6/B$17)</f>
        <v>0.5</v>
      </c>
      <c r="I6" s="80">
        <v>3</v>
      </c>
      <c r="N6" s="100" t="s">
        <v>115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167</v>
      </c>
      <c r="G7" s="40">
        <v>0</v>
      </c>
      <c r="H7" s="118">
        <f>IF(B$17=0,0,G7/B$17)</f>
        <v>0</v>
      </c>
      <c r="I7" s="80">
        <v>4</v>
      </c>
      <c r="N7" s="100" t="s">
        <v>116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62</v>
      </c>
      <c r="F8" s="52" t="s">
        <v>24</v>
      </c>
      <c r="G8" s="40">
        <v>0</v>
      </c>
      <c r="H8" s="118">
        <f>IF(B$17=0,0,G8/B$17)</f>
        <v>0</v>
      </c>
      <c r="I8" s="80">
        <v>4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63</v>
      </c>
      <c r="F9" s="52" t="s">
        <v>20</v>
      </c>
      <c r="G9" s="40">
        <v>0</v>
      </c>
      <c r="H9" s="118">
        <f>IF(B$17=0,0,G9/B$17)</f>
        <v>0</v>
      </c>
      <c r="I9" s="80">
        <v>5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1</v>
      </c>
      <c r="C11" s="34">
        <f>IF(B$2=0,0,B11/B$2)</f>
        <v>1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2</v>
      </c>
      <c r="C13" s="38">
        <f>IF(B$3=0,0,B13/B$3)</f>
        <v>0.2857142857142857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1</v>
      </c>
      <c r="C14" s="33">
        <f>IF(B$3=0,0,B14/B$3)</f>
        <v>0.14285714285714285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108</v>
      </c>
      <c r="B15" s="39">
        <f>B21</f>
        <v>1</v>
      </c>
      <c r="C15" s="31">
        <f>IF(B$13=0,0,B15/B$13)</f>
        <v>0.5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182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185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162</v>
      </c>
      <c r="B21" s="40">
        <v>1</v>
      </c>
      <c r="C21" s="33">
        <f>IF(B$17=0,0,B21/B$17)</f>
        <v>0.5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1</v>
      </c>
      <c r="C23" s="33">
        <f>IF(B$17=0,0,B23/B$17)</f>
        <v>0.5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8600</v>
      </c>
      <c r="C25" s="122">
        <v>17200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0</v>
      </c>
      <c r="C27" s="122">
        <v>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1</v>
      </c>
      <c r="C28" s="120">
        <v>1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7</v>
      </c>
      <c r="C29" s="120">
        <v>7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4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34000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1</v>
      </c>
      <c r="C36" s="33">
        <f t="shared" si="3"/>
        <v>0.5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0</v>
      </c>
      <c r="C37" s="33">
        <f t="shared" si="3"/>
        <v>0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1</v>
      </c>
      <c r="C39" s="33">
        <f t="shared" si="3"/>
        <v>0.5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2D45C-FED1-47C5-9BBE-8DF8B7C6FCE6}">
  <sheetPr codeName="Sheet12"/>
  <dimension ref="A1:Q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39" t="s">
        <v>184</v>
      </c>
      <c r="C1" s="140"/>
      <c r="E1" s="114" t="s">
        <v>139</v>
      </c>
      <c r="F1" s="130" t="s">
        <v>100</v>
      </c>
      <c r="G1" s="129" t="s">
        <v>101</v>
      </c>
      <c r="H1" s="115" t="s">
        <v>102</v>
      </c>
      <c r="I1" s="130" t="s">
        <v>127</v>
      </c>
      <c r="K1" s="28" t="s">
        <v>19</v>
      </c>
      <c r="L1" s="29" t="s">
        <v>105</v>
      </c>
      <c r="M1" s="116"/>
      <c r="N1" s="98" t="s">
        <v>118</v>
      </c>
      <c r="O1" s="28" t="s">
        <v>119</v>
      </c>
      <c r="P1" s="102" t="s">
        <v>101</v>
      </c>
      <c r="Q1" s="86" t="s">
        <v>131</v>
      </c>
    </row>
    <row r="2" spans="1:17">
      <c r="A2" s="46" t="s">
        <v>9</v>
      </c>
      <c r="B2" s="141">
        <v>1</v>
      </c>
      <c r="C2" s="142"/>
      <c r="E2" s="54" t="s">
        <v>59</v>
      </c>
      <c r="F2" s="51" t="s">
        <v>142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112</v>
      </c>
      <c r="O2" s="106">
        <f t="shared" ref="O2:O9" si="0">IF(P2=0,0,Q2/P2)</f>
        <v>5800</v>
      </c>
      <c r="P2" s="103">
        <v>1</v>
      </c>
      <c r="Q2" s="87">
        <v>5800</v>
      </c>
    </row>
    <row r="3" spans="1:17">
      <c r="A3" s="47" t="s">
        <v>8</v>
      </c>
      <c r="B3" s="143">
        <v>7</v>
      </c>
      <c r="C3" s="144"/>
      <c r="E3" s="55" t="s">
        <v>56</v>
      </c>
      <c r="F3" s="52" t="s">
        <v>166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61.1</v>
      </c>
      <c r="N3" s="100" t="s">
        <v>113</v>
      </c>
      <c r="O3" s="107">
        <f t="shared" si="0"/>
        <v>-13000</v>
      </c>
      <c r="P3" s="104">
        <v>1</v>
      </c>
      <c r="Q3" s="88">
        <v>-13000</v>
      </c>
    </row>
    <row r="4" spans="1:17">
      <c r="A4" s="47" t="s">
        <v>6</v>
      </c>
      <c r="B4" s="145">
        <v>61.1</v>
      </c>
      <c r="C4" s="146"/>
      <c r="E4" s="55" t="s">
        <v>60</v>
      </c>
      <c r="F4" s="52" t="s">
        <v>168</v>
      </c>
      <c r="G4" s="40">
        <v>2</v>
      </c>
      <c r="H4" s="118">
        <f>IF(B$17=0,0,G4/B$17)</f>
        <v>0.66666666666666663</v>
      </c>
      <c r="I4" s="80">
        <v>2</v>
      </c>
      <c r="N4" s="100" t="s">
        <v>114</v>
      </c>
      <c r="O4" s="107">
        <f t="shared" si="0"/>
        <v>13000</v>
      </c>
      <c r="P4" s="104">
        <v>1</v>
      </c>
      <c r="Q4" s="88">
        <v>13000</v>
      </c>
    </row>
    <row r="5" spans="1:17">
      <c r="A5" s="47" t="s">
        <v>7</v>
      </c>
      <c r="B5" s="147">
        <f>IF(B$2=0,0,B$4/B$2)</f>
        <v>61.1</v>
      </c>
      <c r="C5" s="148"/>
      <c r="E5" s="55" t="s">
        <v>57</v>
      </c>
      <c r="F5" s="52" t="s">
        <v>167</v>
      </c>
      <c r="G5" s="40">
        <v>1</v>
      </c>
      <c r="H5" s="118">
        <f>IF(B$17=0,0,G5/B$17)</f>
        <v>0.33333333333333331</v>
      </c>
      <c r="I5" s="80">
        <v>2</v>
      </c>
      <c r="N5" s="100" t="s">
        <v>173</v>
      </c>
      <c r="O5" s="107">
        <f>IF(P5=0,0,Q5/P5)</f>
        <v>10300</v>
      </c>
      <c r="P5" s="104">
        <v>1</v>
      </c>
      <c r="Q5" s="88">
        <v>10300</v>
      </c>
    </row>
    <row r="6" spans="1:17">
      <c r="A6" s="47" t="s">
        <v>1</v>
      </c>
      <c r="B6" s="137">
        <f>IF(B$2=0,0,(B$7*1+B$8*2+B$9*3+B$10*4)/B$2)</f>
        <v>1</v>
      </c>
      <c r="C6" s="138"/>
      <c r="E6" s="55" t="s">
        <v>58</v>
      </c>
      <c r="F6" s="52" t="s">
        <v>21</v>
      </c>
      <c r="G6" s="40">
        <v>1</v>
      </c>
      <c r="H6" s="118">
        <f>IF(B$17=0,0,G6/B$17)</f>
        <v>0.33333333333333331</v>
      </c>
      <c r="I6" s="80">
        <v>6</v>
      </c>
      <c r="N6" s="100" t="s">
        <v>115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61</v>
      </c>
      <c r="F7" s="52" t="s">
        <v>22</v>
      </c>
      <c r="G7" s="40">
        <v>1</v>
      </c>
      <c r="H7" s="118">
        <f>IF(B$17=0,0,G7/B$17)</f>
        <v>0.33333333333333331</v>
      </c>
      <c r="I7" s="80">
        <v>5</v>
      </c>
      <c r="N7" s="100" t="s">
        <v>116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63</v>
      </c>
      <c r="F8" s="52" t="s">
        <v>20</v>
      </c>
      <c r="G8" s="40">
        <v>1</v>
      </c>
      <c r="H8" s="118">
        <f>IF(B$17=0,0,G8/B$17)</f>
        <v>0.33333333333333331</v>
      </c>
      <c r="I8" s="80">
        <v>2</v>
      </c>
      <c r="N8" s="100" t="s">
        <v>117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24</v>
      </c>
      <c r="G9" s="40">
        <v>0</v>
      </c>
      <c r="H9" s="118">
        <f>IF(B$17=0,0,G9/B$17)</f>
        <v>0</v>
      </c>
      <c r="I9" s="80">
        <v>4</v>
      </c>
      <c r="N9" s="101" t="s">
        <v>174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163</v>
      </c>
      <c r="B10" s="41">
        <v>0</v>
      </c>
      <c r="C10" s="34">
        <f>IF(B$2=0,0,B10/B$2)</f>
        <v>0</v>
      </c>
      <c r="E10" s="55" t="s">
        <v>64</v>
      </c>
      <c r="F10" s="52" t="s">
        <v>23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164</v>
      </c>
      <c r="B11" s="41">
        <f>B7+B8</f>
        <v>1</v>
      </c>
      <c r="C11" s="34">
        <f>IF(B$2=0,0,B11/B$2)</f>
        <v>1</v>
      </c>
      <c r="E11" s="55" t="s">
        <v>65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135</v>
      </c>
      <c r="O11" s="28" t="s">
        <v>105</v>
      </c>
      <c r="P11" s="102" t="s">
        <v>101</v>
      </c>
      <c r="Q11" s="90" t="s">
        <v>131</v>
      </c>
    </row>
    <row r="12" spans="1:17">
      <c r="A12" s="49" t="s">
        <v>18</v>
      </c>
      <c r="B12" s="42">
        <v>0</v>
      </c>
      <c r="C12" s="36">
        <f t="shared" si="2"/>
        <v>0</v>
      </c>
      <c r="E12" s="55" t="s">
        <v>66</v>
      </c>
      <c r="F12" s="52" t="s">
        <v>169</v>
      </c>
      <c r="G12" s="40">
        <v>0</v>
      </c>
      <c r="H12" s="118">
        <f>IF(B$17=0,0,G12/B$17)</f>
        <v>0</v>
      </c>
      <c r="I12" s="80">
        <v>1</v>
      </c>
      <c r="N12" s="99" t="s">
        <v>136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106</v>
      </c>
      <c r="B13" s="43">
        <v>3</v>
      </c>
      <c r="C13" s="38">
        <f>IF(B$3=0,0,B13/B$3)</f>
        <v>0.42857142857142855</v>
      </c>
      <c r="E13" s="55" t="s">
        <v>67</v>
      </c>
      <c r="F13" s="52" t="s">
        <v>36</v>
      </c>
      <c r="G13" s="40">
        <v>0</v>
      </c>
      <c r="H13" s="118">
        <f>IF(B$17=0,0,G13/B$17)</f>
        <v>0</v>
      </c>
      <c r="I13" s="80">
        <v>1</v>
      </c>
      <c r="N13" s="100" t="s">
        <v>137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103</v>
      </c>
      <c r="B14" s="40">
        <v>0</v>
      </c>
      <c r="C14" s="33">
        <f>IF(B$3=0,0,B14/B$3)</f>
        <v>0</v>
      </c>
      <c r="E14" s="55" t="s">
        <v>68</v>
      </c>
      <c r="F14" s="52" t="s">
        <v>39</v>
      </c>
      <c r="G14" s="40">
        <v>0</v>
      </c>
      <c r="H14" s="118">
        <f>IF(B$17=0,0,G14/B$17)</f>
        <v>0</v>
      </c>
      <c r="I14" s="80">
        <v>1</v>
      </c>
      <c r="N14" s="100" t="s">
        <v>138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108</v>
      </c>
      <c r="B15" s="39">
        <f>B21</f>
        <v>2</v>
      </c>
      <c r="C15" s="31">
        <f>IF(B$13=0,0,B15/B$13)</f>
        <v>0.66666666666666663</v>
      </c>
      <c r="E15" s="55" t="s">
        <v>69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175</v>
      </c>
      <c r="O15" s="111">
        <f>IF(P15=0,0,Q15/P15)</f>
        <v>61.1</v>
      </c>
      <c r="P15" s="105">
        <v>1</v>
      </c>
      <c r="Q15" s="93">
        <v>61.1</v>
      </c>
    </row>
    <row r="16" spans="1:17">
      <c r="A16" s="46" t="s">
        <v>109</v>
      </c>
      <c r="B16" s="39">
        <f>B22</f>
        <v>0</v>
      </c>
      <c r="C16" s="31">
        <f>IF(B$14=0,0,B16/B$14)</f>
        <v>0</v>
      </c>
      <c r="E16" s="55" t="s">
        <v>70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0.42857142857142855</v>
      </c>
      <c r="E17" s="55" t="s">
        <v>71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128</v>
      </c>
      <c r="O17" s="28" t="s">
        <v>105</v>
      </c>
      <c r="P17" s="102" t="s">
        <v>101</v>
      </c>
      <c r="Q17" s="90" t="s">
        <v>131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72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182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73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185</v>
      </c>
      <c r="O19" s="110">
        <f>IF(P19=0,0,Q19/P19)</f>
        <v>75.3</v>
      </c>
      <c r="P19" s="104">
        <v>1</v>
      </c>
      <c r="Q19" s="92">
        <v>75.3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74</v>
      </c>
      <c r="F20" s="52" t="s">
        <v>31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47.1</v>
      </c>
      <c r="P20" s="104">
        <v>1</v>
      </c>
      <c r="Q20" s="92">
        <v>47.1</v>
      </c>
    </row>
    <row r="21" spans="1:17">
      <c r="A21" s="47" t="s">
        <v>162</v>
      </c>
      <c r="B21" s="40">
        <v>2</v>
      </c>
      <c r="C21" s="33">
        <f>IF(B$17=0,0,B21/B$17)</f>
        <v>0.66666666666666663</v>
      </c>
      <c r="E21" s="55" t="s">
        <v>75</v>
      </c>
      <c r="F21" s="52" t="s">
        <v>32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160</v>
      </c>
      <c r="B22" s="40">
        <v>0</v>
      </c>
      <c r="C22" s="33">
        <f>IF(B$17=0,0,B22/B$17)</f>
        <v>0</v>
      </c>
      <c r="E22" s="55" t="s">
        <v>76</v>
      </c>
      <c r="F22" s="52" t="s">
        <v>33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161</v>
      </c>
      <c r="B23" s="40">
        <v>1</v>
      </c>
      <c r="C23" s="33">
        <f>IF(B$17=0,0,B23/B$17)</f>
        <v>0.33333333333333331</v>
      </c>
      <c r="E23" s="55" t="s">
        <v>77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9733.3333333333339</v>
      </c>
      <c r="C24" s="35">
        <v>29200</v>
      </c>
      <c r="E24" s="55" t="s">
        <v>78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144</v>
      </c>
      <c r="B25" s="121">
        <f>IF($B$17-B$16=0,0,C25/($B$17-B$16))</f>
        <v>9733.3333333333339</v>
      </c>
      <c r="C25" s="122">
        <v>29200</v>
      </c>
      <c r="E25" s="55" t="s">
        <v>79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145</v>
      </c>
      <c r="B26" s="121">
        <f>IF(B$16=0,0,C26/B$16)</f>
        <v>0</v>
      </c>
      <c r="C26" s="122">
        <v>0</v>
      </c>
      <c r="E26" s="55" t="s">
        <v>80</v>
      </c>
      <c r="F26" s="52" t="s">
        <v>38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143</v>
      </c>
      <c r="B27" s="121">
        <f>IF(B$18=0,0,C27/B$18)</f>
        <v>-12000</v>
      </c>
      <c r="C27" s="122">
        <v>-12000</v>
      </c>
      <c r="E27" s="55" t="s">
        <v>81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140</v>
      </c>
      <c r="B28" s="40">
        <v>2</v>
      </c>
      <c r="C28" s="120">
        <v>0</v>
      </c>
      <c r="E28" s="55" t="s">
        <v>82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141</v>
      </c>
      <c r="B29" s="40">
        <v>3</v>
      </c>
      <c r="C29" s="120">
        <v>3</v>
      </c>
      <c r="E29" s="55" t="s">
        <v>83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120</v>
      </c>
      <c r="B30" s="135">
        <v>3</v>
      </c>
      <c r="C30" s="136"/>
      <c r="E30" s="55" t="s">
        <v>84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159</v>
      </c>
      <c r="B31" s="133">
        <v>41100</v>
      </c>
      <c r="C31" s="134"/>
      <c r="E31" s="55" t="s">
        <v>85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121</v>
      </c>
      <c r="B32" s="57">
        <v>0</v>
      </c>
      <c r="C32" s="36">
        <f>IF(B$3=0,0,B32/B$3)</f>
        <v>0</v>
      </c>
      <c r="E32" s="55" t="s">
        <v>86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87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76" t="s">
        <v>150</v>
      </c>
      <c r="B34" s="131">
        <v>0</v>
      </c>
      <c r="C34" s="126">
        <f t="shared" ref="C34:C46" si="3">IF(B$17=0,0,B34/B$17)</f>
        <v>0</v>
      </c>
      <c r="E34" s="55" t="s">
        <v>88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47" t="s">
        <v>146</v>
      </c>
      <c r="B35" s="40">
        <v>0</v>
      </c>
      <c r="C35" s="33">
        <f t="shared" si="3"/>
        <v>0</v>
      </c>
      <c r="E35" s="55" t="s">
        <v>89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147</v>
      </c>
      <c r="B36" s="132">
        <v>0</v>
      </c>
      <c r="C36" s="33">
        <f t="shared" si="3"/>
        <v>0</v>
      </c>
      <c r="E36" s="55" t="s">
        <v>90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148</v>
      </c>
      <c r="B37" s="132">
        <v>2</v>
      </c>
      <c r="C37" s="33">
        <f t="shared" si="3"/>
        <v>0.66666666666666663</v>
      </c>
      <c r="E37" s="55" t="s">
        <v>91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149</v>
      </c>
      <c r="B38" s="132">
        <v>0</v>
      </c>
      <c r="C38" s="33">
        <f t="shared" si="3"/>
        <v>0</v>
      </c>
      <c r="E38" s="55" t="s">
        <v>92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151</v>
      </c>
      <c r="B39" s="132">
        <v>1</v>
      </c>
      <c r="C39" s="33">
        <f t="shared" si="3"/>
        <v>0.33333333333333331</v>
      </c>
      <c r="E39" s="55" t="s">
        <v>93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152</v>
      </c>
      <c r="B40" s="132">
        <v>0</v>
      </c>
      <c r="C40" s="33">
        <f t="shared" si="3"/>
        <v>0</v>
      </c>
      <c r="E40" s="55" t="s">
        <v>94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153</v>
      </c>
      <c r="B41" s="132">
        <v>0</v>
      </c>
      <c r="C41" s="33">
        <f t="shared" si="3"/>
        <v>0</v>
      </c>
      <c r="E41" s="55" t="s">
        <v>95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154</v>
      </c>
      <c r="B42" s="132">
        <v>0</v>
      </c>
      <c r="C42" s="33">
        <f t="shared" si="3"/>
        <v>0</v>
      </c>
      <c r="E42" s="55" t="s">
        <v>96</v>
      </c>
      <c r="F42" s="52" t="s">
        <v>55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155</v>
      </c>
      <c r="B43" s="132">
        <v>0</v>
      </c>
      <c r="C43" s="33">
        <f t="shared" si="3"/>
        <v>0</v>
      </c>
      <c r="E43" s="55" t="s">
        <v>97</v>
      </c>
      <c r="F43" s="52" t="s">
        <v>170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156</v>
      </c>
      <c r="B44" s="132">
        <v>0</v>
      </c>
      <c r="C44" s="33">
        <f t="shared" si="3"/>
        <v>0</v>
      </c>
      <c r="E44" s="55" t="s">
        <v>98</v>
      </c>
      <c r="F44" s="52" t="s">
        <v>171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157</v>
      </c>
      <c r="B45" s="132">
        <v>0</v>
      </c>
      <c r="C45" s="33">
        <f t="shared" si="3"/>
        <v>0</v>
      </c>
      <c r="E45" s="56" t="s">
        <v>99</v>
      </c>
      <c r="F45" s="53" t="s">
        <v>172</v>
      </c>
      <c r="G45" s="42">
        <v>0</v>
      </c>
      <c r="H45" s="119">
        <f>IF(B$17=0,0,G45/B$17)</f>
        <v>0</v>
      </c>
      <c r="I45" s="81">
        <v>1</v>
      </c>
    </row>
    <row r="46" spans="1:9">
      <c r="A46" s="49" t="s">
        <v>158</v>
      </c>
      <c r="B46" s="125">
        <v>0</v>
      </c>
      <c r="C46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570</vt:i4>
      </vt:variant>
    </vt:vector>
  </HeadingPairs>
  <TitlesOfParts>
    <vt:vector size="583" baseType="lpstr">
      <vt:lpstr>Template</vt:lpstr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依田幸憲!ダマアガリ数</vt:lpstr>
      <vt:lpstr>高野源太!ダマアガリ数</vt:lpstr>
      <vt:lpstr>佐藤成浩!ダマアガリ数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保谷一貴!ダマアガリ数</vt:lpstr>
      <vt:lpstr>ダマアガリ数</vt:lpstr>
      <vt:lpstr>依田幸憲!ダマアガリ率</vt:lpstr>
      <vt:lpstr>高野源太!ダマアガリ率</vt:lpstr>
      <vt:lpstr>佐藤成浩!ダマアガリ率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保谷一貴!ダマアガリ率</vt:lpstr>
      <vt:lpstr>ダマアガリ率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依田幸憲!ラス数</vt:lpstr>
      <vt:lpstr>高野源太!ラス数</vt:lpstr>
      <vt:lpstr>佐藤成浩!ラス数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保谷一貴!ラス数</vt:lpstr>
      <vt:lpstr>ラス数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依田幸憲!リーチアガリ数</vt:lpstr>
      <vt:lpstr>高野源太!リーチアガリ数</vt:lpstr>
      <vt:lpstr>佐藤成浩!リーチアガリ数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保谷一貴!リーチアガリ数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保谷一貴!リーチアガリ率</vt:lpstr>
      <vt:lpstr>リーチアガリ率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依田幸憲!現行連続アガリ</vt:lpstr>
      <vt:lpstr>高野源太!現行連続アガリ</vt:lpstr>
      <vt:lpstr>佐藤成浩!現行連続アガリ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保谷一貴!現行連続アガリ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保谷一貴!現行連続無放銃</vt:lpstr>
      <vt:lpstr>現行連続無放銃</vt:lpstr>
      <vt:lpstr>依田幸憲!最高点</vt:lpstr>
      <vt:lpstr>高野源太!最高点</vt:lpstr>
      <vt:lpstr>佐藤成浩!最高点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保谷一貴!最高点</vt:lpstr>
      <vt:lpstr>最高点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依田幸憲!三位数</vt:lpstr>
      <vt:lpstr>高野源太!三位数</vt:lpstr>
      <vt:lpstr>佐藤成浩!三位数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保谷一貴!三位数</vt:lpstr>
      <vt:lpstr>三位数</vt:lpstr>
      <vt:lpstr>依田幸憲!三位率</vt:lpstr>
      <vt:lpstr>高野源太!三位率</vt:lpstr>
      <vt:lpstr>佐藤成浩!三位率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保谷一貴!三位率</vt:lpstr>
      <vt:lpstr>三位率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依田幸憲!通算アガリ点</vt:lpstr>
      <vt:lpstr>高野源太!通算アガリ点</vt:lpstr>
      <vt:lpstr>佐藤成浩!通算アガリ点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保谷一貴!通算アガリ点</vt:lpstr>
      <vt:lpstr>通算アガリ点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保谷一貴!通算副露アガリ点</vt:lpstr>
      <vt:lpstr>通算副露アガリ点</vt:lpstr>
      <vt:lpstr>依田幸憲!通算放銃点</vt:lpstr>
      <vt:lpstr>高野源太!通算放銃点</vt:lpstr>
      <vt:lpstr>佐藤成浩!通算放銃点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保谷一貴!通算放銃点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保谷一貴!通算門前アガリ点</vt:lpstr>
      <vt:lpstr>通算門前アガリ点</vt:lpstr>
      <vt:lpstr>依田幸憲!二位数</vt:lpstr>
      <vt:lpstr>高野源太!二位数</vt:lpstr>
      <vt:lpstr>佐藤成浩!二位数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保谷一貴!二位数</vt:lpstr>
      <vt:lpstr>二位数</vt:lpstr>
      <vt:lpstr>依田幸憲!二位率</vt:lpstr>
      <vt:lpstr>高野源太!二位率</vt:lpstr>
      <vt:lpstr>佐藤成浩!二位率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保谷一貴!二位率</vt:lpstr>
      <vt:lpstr>二位率</vt:lpstr>
      <vt:lpstr>依田幸憲!副露アガリ数</vt:lpstr>
      <vt:lpstr>高野源太!副露アガリ数</vt:lpstr>
      <vt:lpstr>佐藤成浩!副露アガリ数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保谷一貴!副露アガリ数</vt:lpstr>
      <vt:lpstr>副露アガリ数</vt:lpstr>
      <vt:lpstr>依田幸憲!副露アガリ点</vt:lpstr>
      <vt:lpstr>高野源太!副露アガリ点</vt:lpstr>
      <vt:lpstr>佐藤成浩!副露アガリ点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保谷一貴!副露アガリ点</vt:lpstr>
      <vt:lpstr>副露アガリ点</vt:lpstr>
      <vt:lpstr>依田幸憲!副露アガリ率</vt:lpstr>
      <vt:lpstr>高野源太!副露アガリ率</vt:lpstr>
      <vt:lpstr>佐藤成浩!副露アガリ率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保谷一貴!副露アガリ率</vt:lpstr>
      <vt:lpstr>副露アガリ率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依田幸憲!名前</vt:lpstr>
      <vt:lpstr>高野源太!名前</vt:lpstr>
      <vt:lpstr>佐藤成浩!名前</vt:lpstr>
      <vt:lpstr>松澤亮太!名前</vt:lpstr>
      <vt:lpstr>全体!名前</vt:lpstr>
      <vt:lpstr>大池陸斗!名前</vt:lpstr>
      <vt:lpstr>滝沢悠人!名前</vt:lpstr>
      <vt:lpstr>百瀬成空!名前</vt:lpstr>
      <vt:lpstr>保谷一貴!名前</vt:lpstr>
      <vt:lpstr>名前</vt:lpstr>
      <vt:lpstr>依田幸憲!門前アガリ点</vt:lpstr>
      <vt:lpstr>高野源太!門前アガリ点</vt:lpstr>
      <vt:lpstr>佐藤成浩!門前アガリ点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保谷一貴!門前アガリ点</vt:lpstr>
      <vt:lpstr>門前アガリ点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2019-11-22T15:49:03Z</dcterms:modified>
</cp:coreProperties>
</file>