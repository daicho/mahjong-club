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634B8156-D054-4D6B-BF2A-980DCFBB18E4}" xr6:coauthVersionLast="47" xr6:coauthVersionMax="47" xr10:uidLastSave="{00000000-0000-0000-0000-000000000000}"/>
  <bookViews>
    <workbookView xWindow="-120" yWindow="-120" windowWidth="20730" windowHeight="11160" tabRatio="663" firstSheet="19" activeTab="26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Template (2)" sheetId="6296" r:id="rId28"/>
    <sheet name="Template" sheetId="2228" state="hidden" r:id="rId29"/>
  </sheets>
  <definedNames>
    <definedName name="アガリ数" localSheetId="27">'Template (2)'!$B$17</definedName>
    <definedName name="アガリ数" localSheetId="24">阿部圭太朗!$B$17</definedName>
    <definedName name="アガリ数" localSheetId="9">依田幸憲!$B$17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7">'Template (2)'!$C$17</definedName>
    <definedName name="アガリ率" localSheetId="24">阿部圭太朗!$C$17</definedName>
    <definedName name="アガリ率" localSheetId="9">依田幸憲!$C$17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7">'Template (2)'!$B$23</definedName>
    <definedName name="ダマアガリ数" localSheetId="24">阿部圭太朗!$B$23</definedName>
    <definedName name="ダマアガリ数" localSheetId="9">依田幸憲!$B$23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7">'Template (2)'!#REF!</definedName>
    <definedName name="ダマアガリ点" localSheetId="24">阿部圭太朗!#REF!</definedName>
    <definedName name="ダマアガリ点" localSheetId="9">依田幸憲!#REF!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7">'Template (2)'!$C$23</definedName>
    <definedName name="ダマアガリ率" localSheetId="24">阿部圭太朗!$C$23</definedName>
    <definedName name="ダマアガリ率" localSheetId="9">依田幸憲!$C$23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7">'Template (2)'!$B$32</definedName>
    <definedName name="チョンボ数" localSheetId="24">阿部圭太朗!$B$32</definedName>
    <definedName name="チョンボ数" localSheetId="9">依田幸憲!$B$32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7">'Template (2)'!$C$32</definedName>
    <definedName name="チョンボ率" localSheetId="24">阿部圭太朗!$C$32</definedName>
    <definedName name="チョンボ率" localSheetId="9">依田幸憲!$C$32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7">'Template (2)'!$B$19</definedName>
    <definedName name="ツモ数" localSheetId="24">阿部圭太朗!$B$19</definedName>
    <definedName name="ツモ数" localSheetId="9">依田幸憲!$B$19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7">'Template (2)'!$C$19</definedName>
    <definedName name="ツモ率" localSheetId="24">阿部圭太朗!$C$19</definedName>
    <definedName name="ツモ率" localSheetId="9">依田幸憲!$C$19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7">'Template (2)'!$B$7</definedName>
    <definedName name="トップ数" localSheetId="24">阿部圭太朗!$B$7</definedName>
    <definedName name="トップ数" localSheetId="9">依田幸憲!$B$7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7">'Template (2)'!$C$7</definedName>
    <definedName name="トップ率" localSheetId="24">阿部圭太朗!$C$7</definedName>
    <definedName name="トップ率" localSheetId="9">依田幸憲!$C$7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7">'Template (2)'!#REF!</definedName>
    <definedName name="ふっとばし数" localSheetId="24">阿部圭太朗!#REF!</definedName>
    <definedName name="ふっとばし数" localSheetId="9">依田幸憲!#REF!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7">'Template (2)'!#REF!</definedName>
    <definedName name="ふっとばし率" localSheetId="24">阿部圭太朗!#REF!</definedName>
    <definedName name="ふっとばし率" localSheetId="9">依田幸憲!#REF!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7">'Template (2)'!$B$12</definedName>
    <definedName name="ふっとび数" localSheetId="24">阿部圭太朗!$B$12</definedName>
    <definedName name="ふっとび数" localSheetId="9">依田幸憲!$B$12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7">'Template (2)'!$C$12</definedName>
    <definedName name="ふっとび率" localSheetId="24">阿部圭太朗!$C$12</definedName>
    <definedName name="ふっとび率" localSheetId="9">依田幸憲!$C$12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7">'Template (2)'!$B$10</definedName>
    <definedName name="ラス数" localSheetId="24">阿部圭太朗!$B$10</definedName>
    <definedName name="ラス数" localSheetId="9">依田幸憲!$B$10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7">'Template (2)'!$C$10</definedName>
    <definedName name="ラス率" localSheetId="24">阿部圭太朗!$C$10</definedName>
    <definedName name="ラス率" localSheetId="9">依田幸憲!$C$10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7">'Template (2)'!$B$21</definedName>
    <definedName name="リーチアガリ数" localSheetId="24">阿部圭太朗!$B$21</definedName>
    <definedName name="リーチアガリ数" localSheetId="9">依田幸憲!$B$21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7">'Template (2)'!$C$21</definedName>
    <definedName name="リーチアガリ率" localSheetId="24">阿部圭太朗!$C$21</definedName>
    <definedName name="リーチアガリ率" localSheetId="9">依田幸憲!$C$21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7">'Template (2)'!$B$13</definedName>
    <definedName name="リーチ数" localSheetId="24">阿部圭太朗!$B$13</definedName>
    <definedName name="リーチ数" localSheetId="9">依田幸憲!$B$13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7">'Template (2)'!$B$15</definedName>
    <definedName name="リーチ成功数" localSheetId="24">阿部圭太朗!$B$15</definedName>
    <definedName name="リーチ成功数" localSheetId="9">依田幸憲!$B$15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7">'Template (2)'!$C$15</definedName>
    <definedName name="リーチ成功率" localSheetId="24">阿部圭太朗!$C$15</definedName>
    <definedName name="リーチ成功率" localSheetId="9">依田幸憲!$C$15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7">'Template (2)'!$C$13</definedName>
    <definedName name="リーチ率" localSheetId="24">阿部圭太朗!$C$13</definedName>
    <definedName name="リーチ率" localSheetId="9">依田幸憲!$C$13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7">'Template (2)'!$B$20</definedName>
    <definedName name="ロン数" localSheetId="24">阿部圭太朗!$B$20</definedName>
    <definedName name="ロン数" localSheetId="9">依田幸憲!$B$20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7">'Template (2)'!$C$20</definedName>
    <definedName name="ロン率" localSheetId="24">阿部圭太朗!$C$20</definedName>
    <definedName name="ロン率" localSheetId="9">依田幸憲!$C$20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7">'Template (2)'!#REF!</definedName>
    <definedName name="逆転数" localSheetId="24">阿部圭太朗!#REF!</definedName>
    <definedName name="逆転数" localSheetId="9">依田幸憲!#REF!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7">'Template (2)'!#REF!</definedName>
    <definedName name="逆転率" localSheetId="24">阿部圭太朗!#REF!</definedName>
    <definedName name="逆転率" localSheetId="9">依田幸憲!#REF!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7">'Template (2)'!$C$28</definedName>
    <definedName name="現行連続アガリ" localSheetId="24">阿部圭太朗!$C$28</definedName>
    <definedName name="現行連続アガリ" localSheetId="9">依田幸憲!$C$28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7">'Template (2)'!$C$29</definedName>
    <definedName name="現行連続無放銃" localSheetId="24">阿部圭太朗!$C$29</definedName>
    <definedName name="現行連続無放銃" localSheetId="9">依田幸憲!$C$29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7">'Template (2)'!$B$31</definedName>
    <definedName name="最高点" localSheetId="24">阿部圭太朗!$B$31</definedName>
    <definedName name="最高点" localSheetId="9">依田幸憲!$B$31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7">'Template (2)'!$B$30</definedName>
    <definedName name="最大ドラ数" localSheetId="24">阿部圭太朗!$B$30</definedName>
    <definedName name="最大ドラ数" localSheetId="9">依田幸憲!$B$30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7">'Template (2)'!$B$31</definedName>
    <definedName name="最大点数" localSheetId="24">阿部圭太朗!$B$31</definedName>
    <definedName name="最大点数" localSheetId="9">依田幸憲!$B$31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7">'Template (2)'!$B$9</definedName>
    <definedName name="三位数" localSheetId="24">阿部圭太朗!$B$9</definedName>
    <definedName name="三位数" localSheetId="9">依田幸憲!$B$9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7">'Template (2)'!$C$9</definedName>
    <definedName name="三位率" localSheetId="24">阿部圭太朗!$C$9</definedName>
    <definedName name="三位率" localSheetId="9">依田幸憲!$C$9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7">'Template (2)'!$B$3</definedName>
    <definedName name="総局数" localSheetId="24">阿部圭太朗!$B$3</definedName>
    <definedName name="総局数" localSheetId="9">依田幸憲!$B$3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7">'Template (2)'!$B$2</definedName>
    <definedName name="対戦数" localSheetId="24">阿部圭太朗!$B$2</definedName>
    <definedName name="対戦数" localSheetId="9">依田幸憲!$B$2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7">'Template (2)'!$C$24</definedName>
    <definedName name="通算アガリ点" localSheetId="24">阿部圭太朗!$C$24</definedName>
    <definedName name="通算アガリ点" localSheetId="9">依田幸憲!$C$24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7">'Template (2)'!$B$4</definedName>
    <definedName name="通算スコア" localSheetId="24">阿部圭太朗!$B$4</definedName>
    <definedName name="通算スコア" localSheetId="9">依田幸憲!$B$4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7">'Template (2)'!$C$26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7">'Template (2)'!$C$27</definedName>
    <definedName name="通算放銃点" localSheetId="24">阿部圭太朗!$C$27</definedName>
    <definedName name="通算放銃点" localSheetId="9">依田幸憲!$C$27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7">'Template (2)'!$C$25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7">'Template (2)'!$B$8</definedName>
    <definedName name="二位数" localSheetId="24">阿部圭太朗!$B$8</definedName>
    <definedName name="二位数" localSheetId="9">依田幸憲!$B$8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7">'Template (2)'!$C$8</definedName>
    <definedName name="二位率" localSheetId="24">阿部圭太朗!$C$8</definedName>
    <definedName name="二位率" localSheetId="9">依田幸憲!$C$8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7">'Template (2)'!$B$22</definedName>
    <definedName name="副露アガリ数" localSheetId="24">阿部圭太朗!$B$22</definedName>
    <definedName name="副露アガリ数" localSheetId="9">依田幸憲!$B$22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7">'Template (2)'!$B$26</definedName>
    <definedName name="副露アガリ点" localSheetId="24">阿部圭太朗!$B$26</definedName>
    <definedName name="副露アガリ点" localSheetId="9">依田幸憲!$B$26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7">'Template (2)'!$C$22</definedName>
    <definedName name="副露アガリ率" localSheetId="24">阿部圭太朗!$C$22</definedName>
    <definedName name="副露アガリ率" localSheetId="9">依田幸憲!$C$22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7">'Template (2)'!$B$14</definedName>
    <definedName name="副露数" localSheetId="24">阿部圭太朗!$B$14</definedName>
    <definedName name="副露数" localSheetId="9">依田幸憲!$B$14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7">'Template (2)'!$B$16</definedName>
    <definedName name="副露成功数" localSheetId="24">阿部圭太朗!$B$16</definedName>
    <definedName name="副露成功数" localSheetId="9">依田幸憲!$B$16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7">'Template (2)'!$C$16</definedName>
    <definedName name="副露成功率" localSheetId="24">阿部圭太朗!$C$16</definedName>
    <definedName name="副露成功率" localSheetId="9">依田幸憲!$C$16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7">'Template (2)'!$C$14</definedName>
    <definedName name="副露率" localSheetId="24">阿部圭太朗!$C$14</definedName>
    <definedName name="副露率" localSheetId="9">依田幸憲!$C$14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7">'Template (2)'!$B$24</definedName>
    <definedName name="平均アガリ点" localSheetId="24">阿部圭太朗!$B$24</definedName>
    <definedName name="平均アガリ点" localSheetId="9">依田幸憲!$B$24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7">'Template (2)'!$B$5</definedName>
    <definedName name="平均スコア" localSheetId="24">阿部圭太朗!$B$5</definedName>
    <definedName name="平均スコア" localSheetId="9">依田幸憲!$B$5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7">'Template (2)'!$B$6</definedName>
    <definedName name="平均順位" localSheetId="24">阿部圭太朗!$B$6</definedName>
    <definedName name="平均順位" localSheetId="9">依田幸憲!$B$6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7">'Template (2)'!$B$27</definedName>
    <definedName name="平均放銃点" localSheetId="24">阿部圭太朗!$B$27</definedName>
    <definedName name="平均放銃点" localSheetId="9">依田幸憲!$B$27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7">'Template (2)'!$B$18</definedName>
    <definedName name="放銃数" localSheetId="24">阿部圭太朗!$B$18</definedName>
    <definedName name="放銃数" localSheetId="9">依田幸憲!$B$18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7">'Template (2)'!$C$18</definedName>
    <definedName name="放銃率" localSheetId="24">阿部圭太朗!$C$18</definedName>
    <definedName name="放銃率" localSheetId="9">依田幸憲!$C$18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7">'Template (2)'!$B$1</definedName>
    <definedName name="名前" localSheetId="24">阿部圭太朗!$B$1</definedName>
    <definedName name="名前" localSheetId="9">依田幸憲!$B$1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7">'Template (2)'!$B$25</definedName>
    <definedName name="門前アガリ点" localSheetId="24">阿部圭太朗!$B$25</definedName>
    <definedName name="門前アガリ点" localSheetId="9">依田幸憲!$B$25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7">'Template (2)'!$B$28</definedName>
    <definedName name="連続アガリ" localSheetId="24">阿部圭太朗!$B$28</definedName>
    <definedName name="連続アガリ" localSheetId="9">依田幸憲!$B$28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7">'Template (2)'!$B$29</definedName>
    <definedName name="連続無放銃" localSheetId="24">阿部圭太朗!$B$29</definedName>
    <definedName name="連続無放銃" localSheetId="9">依田幸憲!$B$29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7">'Template (2)'!$B$11</definedName>
    <definedName name="連対数" localSheetId="24">阿部圭太朗!$B$11</definedName>
    <definedName name="連対数" localSheetId="9">依田幸憲!$B$11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7">'Template (2)'!$C$11</definedName>
    <definedName name="連対率" localSheetId="24">阿部圭太朗!$C$11</definedName>
    <definedName name="連対率" localSheetId="9">依田幸憲!$C$11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6296" l="1"/>
  <c r="B27" i="6296"/>
  <c r="H22" i="6296"/>
  <c r="H20" i="6296"/>
  <c r="C18" i="6296"/>
  <c r="C17" i="6296"/>
  <c r="B17" i="6296"/>
  <c r="C47" i="6296" s="1"/>
  <c r="C16" i="6296"/>
  <c r="B16" i="6296"/>
  <c r="B26" i="6296" s="1"/>
  <c r="O15" i="6296"/>
  <c r="C15" i="6296"/>
  <c r="B15" i="6296"/>
  <c r="O14" i="6296"/>
  <c r="C14" i="6296"/>
  <c r="O13" i="6296"/>
  <c r="H13" i="6296"/>
  <c r="C13" i="6296"/>
  <c r="O12" i="6296"/>
  <c r="C12" i="6296"/>
  <c r="C11" i="6296"/>
  <c r="B11" i="6296"/>
  <c r="H10" i="6296"/>
  <c r="C10" i="6296"/>
  <c r="O9" i="6296"/>
  <c r="C9" i="6296"/>
  <c r="O8" i="6296"/>
  <c r="C8" i="6296"/>
  <c r="O7" i="6296"/>
  <c r="C7" i="6296"/>
  <c r="O6" i="6296"/>
  <c r="H6" i="6296"/>
  <c r="B6" i="6296"/>
  <c r="O5" i="6296"/>
  <c r="B5" i="6296"/>
  <c r="O4" i="6296"/>
  <c r="O3" i="6296"/>
  <c r="H3" i="6296"/>
  <c r="O2" i="6296"/>
  <c r="O22" i="6293"/>
  <c r="O22" i="6295"/>
  <c r="H18" i="6296" l="1"/>
  <c r="H24" i="6296"/>
  <c r="H26" i="6296"/>
  <c r="H29" i="6296"/>
  <c r="H32" i="6296"/>
  <c r="H35" i="6296"/>
  <c r="H37" i="6296"/>
  <c r="H39" i="6296"/>
  <c r="H41" i="6296"/>
  <c r="C44" i="6296"/>
  <c r="H5" i="6296"/>
  <c r="H9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4" i="6296"/>
  <c r="H8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7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19" i="6295" l="1"/>
  <c r="O28" i="6275"/>
  <c r="O24" i="6287" l="1"/>
  <c r="O24" i="6274"/>
  <c r="O21" i="6274"/>
  <c r="O19" i="6293"/>
  <c r="O18" i="6295" l="1"/>
  <c r="O21" i="6295"/>
  <c r="O2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H14" i="6295"/>
  <c r="C13" i="6295"/>
  <c r="O12" i="6295"/>
  <c r="C12" i="6295"/>
  <c r="B11" i="6295"/>
  <c r="C11" i="6295" s="1"/>
  <c r="C10" i="6295"/>
  <c r="O9" i="6295"/>
  <c r="C9" i="6295"/>
  <c r="O8" i="6295"/>
  <c r="H10" i="6295"/>
  <c r="C8" i="6295"/>
  <c r="O7" i="6295"/>
  <c r="H9" i="6295"/>
  <c r="C7" i="6295"/>
  <c r="O6" i="6295"/>
  <c r="B6" i="6295"/>
  <c r="O5" i="6295"/>
  <c r="B5" i="6295"/>
  <c r="O4" i="6295"/>
  <c r="O3" i="6295"/>
  <c r="O2" i="6295"/>
  <c r="O19" i="6294"/>
  <c r="O20" i="6294"/>
  <c r="O18" i="6294"/>
  <c r="C37" i="6294"/>
  <c r="C32" i="6294"/>
  <c r="H31" i="6294"/>
  <c r="B27" i="6294"/>
  <c r="B25" i="6294"/>
  <c r="C20" i="6294"/>
  <c r="C18" i="6294"/>
  <c r="B17" i="6294"/>
  <c r="C47" i="6294" s="1"/>
  <c r="H16" i="6294"/>
  <c r="C16" i="6294"/>
  <c r="B16" i="6294"/>
  <c r="B26" i="6294" s="1"/>
  <c r="O15" i="6294"/>
  <c r="C15" i="6294"/>
  <c r="B15" i="6294"/>
  <c r="O14" i="6294"/>
  <c r="H14" i="6294"/>
  <c r="C14" i="6294"/>
  <c r="O13" i="6294"/>
  <c r="C13" i="6294"/>
  <c r="O12" i="6294"/>
  <c r="C12" i="6294"/>
  <c r="H11" i="6294"/>
  <c r="C11" i="6294"/>
  <c r="B11" i="6294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18" i="6287"/>
  <c r="O20" i="6287"/>
  <c r="O25" i="6277"/>
  <c r="O21" i="6277"/>
  <c r="O22" i="6272"/>
  <c r="O27" i="6272"/>
  <c r="C21" i="6295" l="1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8" i="6295"/>
  <c r="H2" i="6295"/>
  <c r="H13" i="6295"/>
  <c r="H5" i="6295"/>
  <c r="H7" i="6295"/>
  <c r="H11" i="6295"/>
  <c r="H16" i="6295"/>
  <c r="C17" i="6295"/>
  <c r="C20" i="6295"/>
  <c r="H27" i="6295"/>
  <c r="H34" i="6295"/>
  <c r="H38" i="6295"/>
  <c r="C45" i="6295"/>
  <c r="C16" i="6295"/>
  <c r="C38" i="6295"/>
  <c r="H31" i="6295"/>
  <c r="H4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3" i="6295"/>
  <c r="H21" i="6295"/>
  <c r="H25" i="6295"/>
  <c r="H30" i="6295"/>
  <c r="H36" i="6295"/>
  <c r="H40" i="6295"/>
  <c r="C44" i="6295"/>
  <c r="B25" i="6295"/>
  <c r="H6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0" i="6293" l="1"/>
  <c r="O18" i="6293"/>
  <c r="O21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2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8" i="6293"/>
  <c r="H14" i="6293"/>
  <c r="C43" i="6293"/>
  <c r="C23" i="6293"/>
  <c r="H3" i="6293"/>
  <c r="H35" i="6293"/>
  <c r="C46" i="6293"/>
  <c r="H11" i="6293"/>
  <c r="H24" i="6293"/>
  <c r="C17" i="6293"/>
  <c r="B24" i="6293"/>
  <c r="C38" i="6293"/>
  <c r="H9" i="6293"/>
  <c r="H39" i="6293"/>
  <c r="H5" i="6293"/>
  <c r="H18" i="6293"/>
  <c r="H26" i="6293"/>
  <c r="C47" i="6293"/>
  <c r="H16" i="6293"/>
  <c r="H31" i="6293"/>
  <c r="C39" i="6293"/>
  <c r="C45" i="6293"/>
  <c r="H2" i="6293"/>
  <c r="C37" i="6293"/>
  <c r="H13" i="6293"/>
  <c r="C19" i="6293"/>
  <c r="H20" i="6293"/>
  <c r="H32" i="6293"/>
  <c r="C40" i="6293"/>
  <c r="H4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1" i="6287"/>
  <c r="O20" i="6291"/>
  <c r="O24" i="6291"/>
  <c r="O20" i="6289"/>
  <c r="O24" i="6289"/>
  <c r="O21" i="6280"/>
  <c r="O22" i="6289"/>
  <c r="O31" i="6287" l="1"/>
  <c r="O31" i="6284"/>
  <c r="O20" i="6273"/>
  <c r="O4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3" i="6277"/>
  <c r="O25" i="6272"/>
  <c r="O30" i="6287"/>
  <c r="O28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29" i="6277" l="1"/>
  <c r="O23" i="6287"/>
  <c r="O22" i="6287"/>
  <c r="O21" i="6273"/>
  <c r="O26" i="6287"/>
  <c r="O25" i="6287"/>
  <c r="O2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6" i="6272"/>
  <c r="C39" i="6287" l="1"/>
  <c r="H41" i="6287"/>
  <c r="H5" i="6287"/>
  <c r="H12" i="6287"/>
  <c r="H22" i="6287"/>
  <c r="H13" i="6287"/>
  <c r="C20" i="6287"/>
  <c r="H11" i="6287"/>
  <c r="H2" i="6287"/>
  <c r="B24" i="6287"/>
  <c r="H14" i="6287"/>
  <c r="H6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8" i="6287"/>
  <c r="H15" i="6287"/>
  <c r="C21" i="6287"/>
  <c r="B25" i="6287"/>
  <c r="H31" i="6287"/>
  <c r="C36" i="6287"/>
  <c r="C40" i="6287"/>
  <c r="O29" i="6286" l="1"/>
  <c r="O24" i="6284"/>
  <c r="O24" i="6275"/>
  <c r="O24" i="6276"/>
  <c r="O27" i="6277"/>
  <c r="O28" i="6284"/>
  <c r="O27" i="6286"/>
  <c r="O24" i="6286"/>
  <c r="O20" i="6278" l="1"/>
  <c r="O19" i="6278"/>
  <c r="O24" i="6277"/>
  <c r="O23" i="6284"/>
  <c r="O30" i="6284"/>
  <c r="O23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5" i="6274" l="1"/>
  <c r="O19" i="6274"/>
  <c r="O19" i="6280"/>
  <c r="O25" i="6284"/>
  <c r="O18" i="6285"/>
  <c r="O22" i="6285"/>
  <c r="O31" i="6280"/>
  <c r="O18" i="6276"/>
  <c r="O28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29" i="6272"/>
  <c r="O23" i="6278"/>
  <c r="O18" i="6278"/>
  <c r="O18" i="6275"/>
  <c r="O26" i="6275"/>
  <c r="O22" i="6275"/>
  <c r="O21" i="6282"/>
  <c r="O22" i="6282"/>
  <c r="O35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8" i="6274"/>
  <c r="O29" i="6274"/>
  <c r="O32" i="6277"/>
  <c r="O31" i="6277"/>
  <c r="O26" i="6277"/>
  <c r="O3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6" i="6274"/>
  <c r="O27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8" i="6272"/>
  <c r="O33" i="6277"/>
  <c r="O34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6" i="6272"/>
  <c r="O37" i="6272"/>
  <c r="O24" i="6272"/>
  <c r="H4" i="6277" l="1"/>
  <c r="C16" i="6277"/>
  <c r="H10" i="6278"/>
  <c r="H28" i="6278"/>
  <c r="H29" i="6278"/>
  <c r="H18" i="6278"/>
  <c r="H16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3" i="6277"/>
  <c r="H21" i="6277"/>
  <c r="H37" i="6277"/>
  <c r="C19" i="6277"/>
  <c r="H10" i="6277"/>
  <c r="H15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7" i="6277"/>
  <c r="H19" i="6277"/>
  <c r="C20" i="6277"/>
  <c r="H29" i="6277"/>
  <c r="H39" i="6277"/>
  <c r="H24" i="6277"/>
  <c r="H12" i="6277"/>
  <c r="H41" i="6277"/>
  <c r="H32" i="6277"/>
  <c r="H11" i="6277"/>
  <c r="H9" i="6277"/>
  <c r="H20" i="6277"/>
  <c r="C23" i="6277"/>
  <c r="H2" i="6277"/>
  <c r="C17" i="6277"/>
  <c r="C22" i="6277"/>
  <c r="C42" i="6277"/>
  <c r="H18" i="6277"/>
  <c r="H25" i="6277"/>
  <c r="H34" i="6277"/>
  <c r="C46" i="6277"/>
  <c r="H14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2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4" i="6272"/>
  <c r="O39" i="6272"/>
  <c r="O28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4" i="6274"/>
  <c r="H29" i="6274"/>
  <c r="H11" i="6274"/>
  <c r="H31" i="6274"/>
  <c r="H3" i="6274"/>
  <c r="C23" i="6274"/>
  <c r="C39" i="6274"/>
  <c r="H8" i="6274"/>
  <c r="H19" i="6274"/>
  <c r="H12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7" i="6274"/>
  <c r="C45" i="6274"/>
  <c r="H5" i="6274"/>
  <c r="C19" i="6274"/>
  <c r="B24" i="6274"/>
  <c r="H4" i="6274"/>
  <c r="H10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2" i="6274"/>
  <c r="H23" i="6274"/>
  <c r="H27" i="6274"/>
  <c r="H30" i="6274"/>
  <c r="H36" i="6274"/>
  <c r="H40" i="6274"/>
  <c r="C44" i="6274"/>
  <c r="B25" i="6274"/>
  <c r="H21" i="6274"/>
  <c r="H24" i="6274"/>
  <c r="H9" i="6274"/>
  <c r="H32" i="6274"/>
  <c r="H37" i="6274"/>
  <c r="H41" i="6274"/>
  <c r="H23" i="6272"/>
  <c r="C35" i="6272"/>
  <c r="H4" i="6272"/>
  <c r="C36" i="6272"/>
  <c r="H37" i="6272"/>
  <c r="C20" i="6272"/>
  <c r="H11" i="6272"/>
  <c r="H22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7" i="6272"/>
  <c r="C22" i="6272"/>
  <c r="H32" i="6272"/>
  <c r="C37" i="6272"/>
  <c r="H2" i="6272"/>
  <c r="H15" i="6272"/>
  <c r="H25" i="6272"/>
  <c r="C38" i="6272"/>
  <c r="H28" i="6272"/>
  <c r="H19" i="6272"/>
  <c r="H39" i="6272"/>
  <c r="C45" i="6272"/>
  <c r="H30" i="6272"/>
  <c r="C43" i="6272"/>
  <c r="H6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7" i="6272"/>
  <c r="H29" i="6272"/>
  <c r="H16" i="6272"/>
  <c r="H35" i="6272"/>
  <c r="C40" i="6272"/>
  <c r="C47" i="6272"/>
  <c r="B25" i="6272"/>
  <c r="H13" i="6272"/>
  <c r="H12" i="6272"/>
  <c r="H20" i="6272"/>
  <c r="H33" i="6272"/>
  <c r="H38" i="6272"/>
  <c r="H42" i="6272"/>
  <c r="H18" i="6272"/>
  <c r="H31" i="6272"/>
  <c r="H21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<sst xmlns="http://schemas.openxmlformats.org/spreadsheetml/2006/main" count="4940" uniqueCount="222">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</sst>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全体!$L$2:$L$166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-34.883720930232556</c:v>
                </c:pt>
                <c:pt idx="1">
                  <c:v>11.627906976744185</c:v>
                </c:pt>
                <c:pt idx="2">
                  <c:v>-46.511627906976742</c:v>
                </c:pt>
                <c:pt idx="3">
                  <c:v>-25</c:v>
                </c:pt>
                <c:pt idx="4">
                  <c:v>22.727272727272727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34</c:v>
                </c:pt>
                <c:pt idx="1">
                  <c:v>59</c:v>
                </c:pt>
                <c:pt idx="2">
                  <c:v>65</c:v>
                </c:pt>
                <c:pt idx="3">
                  <c:v>52</c:v>
                </c:pt>
                <c:pt idx="4">
                  <c:v>28</c:v>
                </c:pt>
                <c:pt idx="5">
                  <c:v>31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滝沢悠人!$L$2:$L$11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1122.2222222222222</c:v>
                </c:pt>
                <c:pt idx="2">
                  <c:v>1933.3333333333333</c:v>
                </c:pt>
                <c:pt idx="3">
                  <c:v>-1688.8888888888889</c:v>
                </c:pt>
                <c:pt idx="4">
                  <c:v>-1675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佐藤成浩!$L$2:$L$27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1088.8888888888889</c:v>
                </c:pt>
                <c:pt idx="1">
                  <c:v>1177.7777777777778</c:v>
                </c:pt>
                <c:pt idx="2">
                  <c:v>1577.7777777777778</c:v>
                </c:pt>
                <c:pt idx="3">
                  <c:v>876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12</c:v>
                </c:pt>
                <c:pt idx="4">
                  <c:v>4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柳澤颯吾!$L$2:$L$18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544.44444444444446</c:v>
                </c:pt>
                <c:pt idx="1">
                  <c:v>-1127.7777777777778</c:v>
                </c:pt>
                <c:pt idx="2">
                  <c:v>-1100</c:v>
                </c:pt>
                <c:pt idx="3">
                  <c:v>-606.25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阿部圭太朗!$L$2:$L$5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340</c:v>
                </c:pt>
                <c:pt idx="1">
                  <c:v>-780</c:v>
                </c:pt>
                <c:pt idx="2">
                  <c:v>-4180</c:v>
                </c:pt>
                <c:pt idx="3">
                  <c:v>-500</c:v>
                </c:pt>
                <c:pt idx="4">
                  <c:v>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関谷洸佑!$L$2:$L$5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-1520</c:v>
                </c:pt>
                <c:pt idx="1">
                  <c:v>500</c:v>
                </c:pt>
                <c:pt idx="2">
                  <c:v>-2540</c:v>
                </c:pt>
                <c:pt idx="3">
                  <c:v>-2325</c:v>
                </c:pt>
                <c:pt idx="4">
                  <c:v>-5000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(2)'!$L$1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(2)'!$K$2:$K$9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(2)'!$L$2:$L$9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(2)'!$O$1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(2)'!$N$2:$N$9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(2)'!$O$2:$O$9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(2)'!$A$35:$A$47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(2)'!$B$35:$B$47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1B33DC-6F60-49E0-8AF5-E66AE0AA3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21F839-84C5-40F5-8604-C2C96DDDB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185AF3-E6A4-4BA4-996B-CDF53D1EB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6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44242.864641203705</v>
      </c>
      <c r="C2" s="24" t="s">
        <v>102</v>
      </c>
    </row>
    <row r="3" spans="1:4">
      <c r="A3" s="24" t="s">
        <v>165</v>
      </c>
      <c r="B3" s="25">
        <v>44242.864641203705</v>
      </c>
      <c r="C3" s="24" t="s">
        <v>102</v>
      </c>
    </row>
    <row r="4" spans="1:4">
      <c r="A4" s="24" t="s">
        <v>174</v>
      </c>
      <c r="B4" s="25">
        <v>44242.864641203705</v>
      </c>
      <c r="C4" s="24" t="s">
        <v>102</v>
      </c>
      <c r="D4" s="24" t="s">
        <v>176</v>
      </c>
    </row>
    <row r="5" spans="1:4">
      <c r="A5" s="24" t="s">
        <v>178</v>
      </c>
      <c r="B5" s="25">
        <v>44242.864641203705</v>
      </c>
      <c r="C5" s="24" t="s">
        <v>102</v>
      </c>
      <c r="D5" s="24" t="s">
        <v>176</v>
      </c>
    </row>
    <row r="6" spans="1:4">
      <c r="A6" s="24" t="s">
        <v>188</v>
      </c>
      <c r="B6" s="25">
        <v>44242.864641203705</v>
      </c>
      <c r="C6" s="24" t="s">
        <v>102</v>
      </c>
      <c r="D6" s="24" t="s">
        <v>176</v>
      </c>
    </row>
    <row r="7" spans="1:4">
      <c r="A7" s="24" t="s">
        <v>189</v>
      </c>
      <c r="B7" s="25">
        <v>44242.864641203705</v>
      </c>
      <c r="C7" s="24" t="s">
        <v>102</v>
      </c>
      <c r="D7" s="24" t="s">
        <v>176</v>
      </c>
    </row>
    <row r="8" spans="1:4">
      <c r="A8" s="24" t="s">
        <v>190</v>
      </c>
      <c r="B8" s="25">
        <v>44242.864641203705</v>
      </c>
      <c r="C8" s="24" t="s">
        <v>102</v>
      </c>
      <c r="D8" s="24" t="s">
        <v>176</v>
      </c>
    </row>
    <row r="9" spans="1:4">
      <c r="A9" s="24" t="s">
        <v>192</v>
      </c>
      <c r="B9" s="25">
        <v>44242.864641203705</v>
      </c>
      <c r="C9" s="24" t="s">
        <v>102</v>
      </c>
      <c r="D9" s="24" t="s">
        <v>176</v>
      </c>
    </row>
    <row r="10" spans="1:4">
      <c r="A10" s="24" t="s">
        <v>193</v>
      </c>
      <c r="B10" s="25">
        <v>44242.864641203705</v>
      </c>
      <c r="C10" s="24" t="s">
        <v>102</v>
      </c>
      <c r="D10" s="24" t="s">
        <v>176</v>
      </c>
    </row>
    <row r="11" spans="1:4">
      <c r="A11" s="24" t="s">
        <v>194</v>
      </c>
      <c r="B11" s="25">
        <v>44242.864641203705</v>
      </c>
      <c r="C11" s="24" t="s">
        <v>102</v>
      </c>
      <c r="D11" s="24" t="s">
        <v>176</v>
      </c>
    </row>
    <row r="12" spans="1:4">
      <c r="A12" s="24" t="s">
        <v>197</v>
      </c>
      <c r="B12" s="25">
        <v>44242.864641203705</v>
      </c>
      <c r="C12" s="24" t="s">
        <v>102</v>
      </c>
      <c r="D12" s="24" t="s">
        <v>176</v>
      </c>
    </row>
    <row r="13" spans="1:4">
      <c r="A13" s="24" t="s">
        <v>198</v>
      </c>
      <c r="B13" s="25">
        <v>44242.864641203705</v>
      </c>
      <c r="C13" s="24" t="s">
        <v>102</v>
      </c>
      <c r="D13" s="24" t="s">
        <v>176</v>
      </c>
    </row>
    <row r="14" spans="1:4">
      <c r="A14" s="24" t="s">
        <v>201</v>
      </c>
      <c r="B14" s="25">
        <v>44242.864641203705</v>
      </c>
      <c r="C14" s="24" t="s">
        <v>102</v>
      </c>
      <c r="D14" s="24" t="s">
        <v>176</v>
      </c>
    </row>
    <row r="15" spans="1:4">
      <c r="A15" s="24" t="s">
        <v>204</v>
      </c>
      <c r="B15" s="25">
        <v>44242.864641203705</v>
      </c>
      <c r="C15" s="24" t="s">
        <v>102</v>
      </c>
      <c r="D15" s="24" t="s">
        <v>176</v>
      </c>
    </row>
    <row r="16" spans="1:4">
      <c r="A16" s="24" t="s">
        <v>206</v>
      </c>
      <c r="B16" s="25">
        <v>44242.864641203705</v>
      </c>
      <c r="C16" s="24" t="s">
        <v>102</v>
      </c>
      <c r="D16" s="24" t="s">
        <v>176</v>
      </c>
    </row>
    <row r="17" spans="1:5">
      <c r="A17" s="24" t="s">
        <v>207</v>
      </c>
      <c r="B17" s="25">
        <v>44242.864641203705</v>
      </c>
      <c r="C17" s="24" t="s">
        <v>102</v>
      </c>
      <c r="D17" s="24" t="s">
        <v>176</v>
      </c>
    </row>
    <row r="18" spans="1:5">
      <c r="A18" s="24" t="s">
        <v>209</v>
      </c>
      <c r="B18" s="25">
        <v>44242.864641203705</v>
      </c>
      <c r="C18" s="24" t="s">
        <v>102</v>
      </c>
    </row>
    <row r="19" spans="1:5">
      <c r="A19" s="24" t="s">
        <v>210</v>
      </c>
      <c r="B19" s="25">
        <v>44242.864641203705</v>
      </c>
      <c r="C19" s="24" t="s">
        <v>102</v>
      </c>
      <c r="D19" s="24" t="s">
        <v>176</v>
      </c>
    </row>
    <row r="20" spans="1:5">
      <c r="A20" s="24" t="s">
        <v>211</v>
      </c>
      <c r="B20" s="25">
        <v>44242.864641203705</v>
      </c>
      <c r="C20" s="24" t="s">
        <v>102</v>
      </c>
      <c r="D20" s="24" t="s">
        <v>176</v>
      </c>
    </row>
    <row r="21" spans="1:5">
      <c r="A21" s="24" t="s">
        <v>212</v>
      </c>
      <c r="B21" s="25">
        <v>44316.746180555558</v>
      </c>
      <c r="C21" s="24" t="s">
        <v>102</v>
      </c>
    </row>
    <row r="22" spans="1:5">
      <c r="A22" s="24" t="s">
        <v>214</v>
      </c>
      <c r="B22" s="25">
        <v>44442.062372685185</v>
      </c>
      <c r="C22" s="24" t="s">
        <v>102</v>
      </c>
    </row>
    <row r="23" spans="1:5">
      <c r="A23" s="24" t="s">
        <v>217</v>
      </c>
      <c r="B23" s="25">
        <v>44442.062372685185</v>
      </c>
      <c r="C23" s="24" t="s">
        <v>102</v>
      </c>
    </row>
    <row r="24" spans="1:5">
      <c r="A24" s="24" t="s">
        <v>218</v>
      </c>
      <c r="B24" s="25">
        <v>44442.062372685185</v>
      </c>
      <c r="C24" s="24" t="s">
        <v>102</v>
      </c>
    </row>
    <row r="25" spans="1:5">
      <c r="A25" s="24" t="s">
        <v>219</v>
      </c>
      <c r="B25" s="25">
        <v>44442.062372685185</v>
      </c>
      <c r="C25" s="24" t="s">
        <v>102</v>
      </c>
      <c r="D25" s="24" t="s">
        <v>176</v>
      </c>
    </row>
    <row r="26" spans="1:5">
      <c r="A26" s="24" t="s">
        <v>220</v>
      </c>
      <c r="B26" s="25">
        <v>44490.782094907408</v>
      </c>
      <c r="C26" s="24" t="s">
        <v>102</v>
      </c>
      <c r="D26" s="24" t="s">
        <v>176</v>
      </c>
      <c r="E26" s="24" t="s">
        <v>221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164</v>
      </c>
    </row>
    <row r="2" spans="1:2">
      <c r="A2" t="s">
        <v>164</v>
      </c>
      <c r="B2">
        <v>15</v>
      </c>
    </row>
    <row r="3" spans="1:2">
      <c r="A3" t="s">
        <v>161</v>
      </c>
      <c r="B3">
        <v>9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25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3</v>
      </c>
    </row>
    <row r="23" spans="1:2">
      <c r="A23" t="s">
        <v>215</v>
      </c>
      <c r="B23">
        <v>1</v>
      </c>
    </row>
    <row r="24" spans="1:2">
      <c r="A24" t="s">
        <v>216</v>
      </c>
      <c r="B24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6"/>
  <sheetViews>
    <sheetView showGridLines="0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46" t="s">
        <v>9</v>
      </c>
      <c r="C1" s="147"/>
      <c r="D1" s="146" t="s">
        <v>6</v>
      </c>
      <c r="E1" s="147"/>
      <c r="F1" s="146" t="s">
        <v>7</v>
      </c>
      <c r="G1" s="147"/>
      <c r="H1" s="146" t="s">
        <v>15</v>
      </c>
      <c r="I1" s="147"/>
      <c r="J1" s="146" t="s">
        <v>14</v>
      </c>
      <c r="K1" s="147"/>
      <c r="L1" s="146" t="s">
        <v>125</v>
      </c>
      <c r="M1" s="147"/>
      <c r="N1" s="146" t="s">
        <v>154</v>
      </c>
      <c r="O1" s="147"/>
      <c r="P1" s="146" t="s">
        <v>115</v>
      </c>
      <c r="Q1" s="147"/>
      <c r="R1" s="146" t="s">
        <v>116</v>
      </c>
      <c r="S1" s="147"/>
      <c r="T1" s="146" t="s">
        <v>5</v>
      </c>
      <c r="U1" s="147"/>
      <c r="V1" s="146" t="s">
        <v>16</v>
      </c>
      <c r="W1" s="147"/>
      <c r="X1" s="146" t="s">
        <v>98</v>
      </c>
      <c r="Y1" s="147"/>
      <c r="Z1" s="146" t="s">
        <v>95</v>
      </c>
      <c r="AA1" s="147"/>
      <c r="AB1" s="146" t="s">
        <v>101</v>
      </c>
      <c r="AC1" s="147"/>
      <c r="AD1" s="146" t="s">
        <v>117</v>
      </c>
      <c r="AE1" s="147"/>
      <c r="AF1" s="146" t="s">
        <v>113</v>
      </c>
      <c r="AG1" s="147"/>
      <c r="AH1" s="146" t="s">
        <v>148</v>
      </c>
      <c r="AI1" s="147"/>
    </row>
    <row r="2" spans="1:35">
      <c r="A2" s="58" t="s">
        <v>124</v>
      </c>
      <c r="B2" s="148">
        <v>0.77701523159055552</v>
      </c>
      <c r="C2" s="149"/>
      <c r="D2" s="150"/>
      <c r="E2" s="151"/>
      <c r="F2" s="150"/>
      <c r="G2" s="151"/>
      <c r="H2" s="148">
        <v>0.90523699173871686</v>
      </c>
      <c r="I2" s="149"/>
      <c r="J2" s="148">
        <v>0.8922394485655869</v>
      </c>
      <c r="K2" s="149"/>
      <c r="L2" s="148">
        <v>0.37025445202153462</v>
      </c>
      <c r="M2" s="149"/>
      <c r="N2" s="148">
        <v>0.72530786494654065</v>
      </c>
      <c r="O2" s="149"/>
      <c r="P2" s="148">
        <v>0.19955637669134593</v>
      </c>
      <c r="Q2" s="149"/>
      <c r="R2" s="148">
        <v>0.29539865021593986</v>
      </c>
      <c r="S2" s="149"/>
      <c r="T2" s="148">
        <v>0.80209996780384207</v>
      </c>
      <c r="U2" s="149"/>
      <c r="V2" s="148">
        <v>0.53156067356158732</v>
      </c>
      <c r="W2" s="149"/>
      <c r="X2" s="148">
        <v>-0.40814965467806591</v>
      </c>
      <c r="Y2" s="149"/>
      <c r="Z2" s="148">
        <v>-0.40173290769306258</v>
      </c>
      <c r="AA2" s="149"/>
      <c r="AB2" s="148">
        <v>0.57678949885636621</v>
      </c>
      <c r="AC2" s="149"/>
      <c r="AD2" s="148">
        <v>8.9689139444097662E-2</v>
      </c>
      <c r="AE2" s="149"/>
      <c r="AF2" s="148">
        <v>-0.46250869590034099</v>
      </c>
      <c r="AG2" s="149"/>
      <c r="AH2" s="148">
        <v>0.79983461122068489</v>
      </c>
      <c r="AI2" s="149"/>
    </row>
    <row r="3" spans="1:35">
      <c r="A3" s="60">
        <v>1</v>
      </c>
      <c r="B3" s="61" t="s">
        <v>114</v>
      </c>
      <c r="C3" s="132">
        <v>41</v>
      </c>
      <c r="D3" s="61" t="s">
        <v>169</v>
      </c>
      <c r="E3" s="62">
        <v>464.20000000000005</v>
      </c>
      <c r="F3" s="63" t="s">
        <v>205</v>
      </c>
      <c r="G3" s="82">
        <v>35.274999999999999</v>
      </c>
      <c r="H3" s="63" t="s">
        <v>205</v>
      </c>
      <c r="I3" s="64">
        <v>1.75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25</v>
      </c>
      <c r="D4" s="69" t="s">
        <v>162</v>
      </c>
      <c r="E4" s="70">
        <v>268</v>
      </c>
      <c r="F4" s="71" t="s">
        <v>162</v>
      </c>
      <c r="G4" s="83">
        <v>29.777777777777779</v>
      </c>
      <c r="H4" s="71" t="s">
        <v>162</v>
      </c>
      <c r="I4" s="72">
        <v>1.8888888888888888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162</v>
      </c>
      <c r="AC4" s="74">
        <v>0.75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18.568000000000001</v>
      </c>
      <c r="H5" s="71" t="s">
        <v>167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213</v>
      </c>
      <c r="S5" s="74">
        <v>5.5555555555555552E-2</v>
      </c>
      <c r="T5" s="71" t="s">
        <v>205</v>
      </c>
      <c r="U5" s="75">
        <v>8333.3333333333339</v>
      </c>
      <c r="V5" s="71" t="s">
        <v>213</v>
      </c>
      <c r="W5" s="75">
        <v>-1500</v>
      </c>
      <c r="X5" s="71" t="s">
        <v>175</v>
      </c>
      <c r="Y5" s="74">
        <v>0.26666666666666666</v>
      </c>
      <c r="Z5" s="71" t="s">
        <v>163</v>
      </c>
      <c r="AA5" s="74">
        <v>0.3188405797101449</v>
      </c>
      <c r="AB5" s="71" t="s">
        <v>166</v>
      </c>
      <c r="AC5" s="74">
        <v>0.75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169</v>
      </c>
      <c r="I6" s="72">
        <v>2.04</v>
      </c>
      <c r="J6" s="71" t="s">
        <v>169</v>
      </c>
      <c r="K6" s="73">
        <v>0.4</v>
      </c>
      <c r="L6" s="71" t="s">
        <v>205</v>
      </c>
      <c r="M6" s="73">
        <v>0</v>
      </c>
      <c r="N6" s="71" t="s">
        <v>162</v>
      </c>
      <c r="O6" s="73">
        <v>0.66666666666666663</v>
      </c>
      <c r="P6" s="71" t="s">
        <v>162</v>
      </c>
      <c r="Q6" s="74">
        <v>0.26923076923076922</v>
      </c>
      <c r="R6" s="71" t="s">
        <v>164</v>
      </c>
      <c r="S6" s="74">
        <v>9.0909090909090912E-2</v>
      </c>
      <c r="T6" s="71" t="s">
        <v>162</v>
      </c>
      <c r="U6" s="75">
        <v>7942.8571428571431</v>
      </c>
      <c r="V6" s="71" t="s">
        <v>175</v>
      </c>
      <c r="W6" s="75">
        <v>-2950</v>
      </c>
      <c r="X6" s="71" t="s">
        <v>164</v>
      </c>
      <c r="Y6" s="74">
        <v>0.26446280991735538</v>
      </c>
      <c r="Z6" s="71" t="s">
        <v>180</v>
      </c>
      <c r="AA6" s="74">
        <v>0.2857142857142857</v>
      </c>
      <c r="AB6" s="71" t="s">
        <v>175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195</v>
      </c>
      <c r="C7" s="133">
        <v>16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213</v>
      </c>
      <c r="M7" s="73">
        <v>0</v>
      </c>
      <c r="N7" s="71" t="s">
        <v>213</v>
      </c>
      <c r="O7" s="73">
        <v>0.66666666666666663</v>
      </c>
      <c r="P7" s="71" t="s">
        <v>179</v>
      </c>
      <c r="Q7" s="74">
        <v>0.24427480916030533</v>
      </c>
      <c r="R7" s="71" t="s">
        <v>169</v>
      </c>
      <c r="S7" s="74">
        <v>9.3596059113300489E-2</v>
      </c>
      <c r="T7" s="71" t="s">
        <v>169</v>
      </c>
      <c r="U7" s="75">
        <v>7641.8604651162786</v>
      </c>
      <c r="V7" s="71" t="s">
        <v>191</v>
      </c>
      <c r="W7" s="75">
        <v>-3740</v>
      </c>
      <c r="X7" s="71" t="s">
        <v>162</v>
      </c>
      <c r="Y7" s="74">
        <v>0.25641025641025639</v>
      </c>
      <c r="Z7" s="71" t="s">
        <v>164</v>
      </c>
      <c r="AA7" s="74">
        <v>0.256198347107438</v>
      </c>
      <c r="AB7" s="71" t="s">
        <v>177</v>
      </c>
      <c r="AC7" s="74">
        <v>0.75</v>
      </c>
      <c r="AD7" s="71" t="s">
        <v>216</v>
      </c>
      <c r="AE7" s="74">
        <v>0.5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215</v>
      </c>
      <c r="M8" s="73">
        <v>0</v>
      </c>
      <c r="N8" s="71" t="s">
        <v>169</v>
      </c>
      <c r="O8" s="73">
        <v>0.64</v>
      </c>
      <c r="P8" s="71" t="s">
        <v>163</v>
      </c>
      <c r="Q8" s="74">
        <v>0.21739130434782608</v>
      </c>
      <c r="R8" s="71" t="s">
        <v>177</v>
      </c>
      <c r="S8" s="74">
        <v>0.10526315789473684</v>
      </c>
      <c r="T8" s="71" t="s">
        <v>164</v>
      </c>
      <c r="U8" s="75">
        <v>7355</v>
      </c>
      <c r="V8" s="71" t="s">
        <v>215</v>
      </c>
      <c r="W8" s="75">
        <v>-3900</v>
      </c>
      <c r="X8" s="71" t="s">
        <v>196</v>
      </c>
      <c r="Y8" s="74">
        <v>0.25</v>
      </c>
      <c r="Z8" s="71" t="s">
        <v>195</v>
      </c>
      <c r="AA8" s="74">
        <v>0.25423728813559321</v>
      </c>
      <c r="AB8" s="71" t="s">
        <v>168</v>
      </c>
      <c r="AC8" s="74">
        <v>0.7142857142857143</v>
      </c>
      <c r="AD8" s="71" t="s">
        <v>179</v>
      </c>
      <c r="AE8" s="74">
        <v>0.45454545454545453</v>
      </c>
      <c r="AF8" s="71" t="s">
        <v>161</v>
      </c>
      <c r="AG8" s="74">
        <v>0.46153846153846156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213</v>
      </c>
      <c r="I9" s="72">
        <v>2.3333333333333335</v>
      </c>
      <c r="J9" s="71" t="s">
        <v>114</v>
      </c>
      <c r="K9" s="73">
        <v>0.25609756097560976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169</v>
      </c>
      <c r="Q9" s="74">
        <v>0.21182266009852216</v>
      </c>
      <c r="R9" s="71" t="s">
        <v>179</v>
      </c>
      <c r="S9" s="74">
        <v>0.10687022900763359</v>
      </c>
      <c r="T9" s="71" t="s">
        <v>161</v>
      </c>
      <c r="U9" s="75">
        <v>6884.6153846153848</v>
      </c>
      <c r="V9" s="71" t="s">
        <v>169</v>
      </c>
      <c r="W9" s="75">
        <v>-4726.3157894736842</v>
      </c>
      <c r="X9" s="71" t="s">
        <v>205</v>
      </c>
      <c r="Y9" s="74">
        <v>0.25</v>
      </c>
      <c r="Z9" s="71" t="s">
        <v>179</v>
      </c>
      <c r="AA9" s="74">
        <v>0.25190839694656486</v>
      </c>
      <c r="AB9" s="71" t="s">
        <v>169</v>
      </c>
      <c r="AC9" s="74">
        <v>0.6875</v>
      </c>
      <c r="AD9" s="71" t="s">
        <v>168</v>
      </c>
      <c r="AE9" s="74">
        <v>0.38297872340425532</v>
      </c>
      <c r="AF9" s="71" t="s">
        <v>162</v>
      </c>
      <c r="AG9" s="74">
        <v>0.42857142857142855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9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179</v>
      </c>
      <c r="I10" s="72">
        <v>2.4375</v>
      </c>
      <c r="J10" s="71" t="s">
        <v>179</v>
      </c>
      <c r="K10" s="73">
        <v>0.25</v>
      </c>
      <c r="L10" s="71" t="s">
        <v>169</v>
      </c>
      <c r="M10" s="73">
        <v>0.08</v>
      </c>
      <c r="N10" s="71" t="s">
        <v>168</v>
      </c>
      <c r="O10" s="73">
        <v>0.55555555555555558</v>
      </c>
      <c r="P10" s="71" t="s">
        <v>177</v>
      </c>
      <c r="Q10" s="74">
        <v>0.21052631578947367</v>
      </c>
      <c r="R10" s="71" t="s">
        <v>205</v>
      </c>
      <c r="S10" s="74">
        <v>0.10714285714285714</v>
      </c>
      <c r="T10" s="71" t="s">
        <v>191</v>
      </c>
      <c r="U10" s="75">
        <v>6733.333333333333</v>
      </c>
      <c r="V10" s="71" t="s">
        <v>202</v>
      </c>
      <c r="W10" s="75">
        <v>-4800</v>
      </c>
      <c r="X10" s="71" t="s">
        <v>195</v>
      </c>
      <c r="Y10" s="74">
        <v>0.22033898305084745</v>
      </c>
      <c r="Z10" s="71" t="s">
        <v>196</v>
      </c>
      <c r="AA10" s="74">
        <v>0.25</v>
      </c>
      <c r="AB10" s="71" t="s">
        <v>114</v>
      </c>
      <c r="AC10" s="74">
        <v>0.51639344262295084</v>
      </c>
      <c r="AD10" s="71" t="s">
        <v>191</v>
      </c>
      <c r="AE10" s="74">
        <v>0.35714285714285715</v>
      </c>
      <c r="AF10" s="71" t="s">
        <v>205</v>
      </c>
      <c r="AG10" s="74">
        <v>0.41666666666666669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164</v>
      </c>
      <c r="I11" s="72">
        <v>2.4666666666666668</v>
      </c>
      <c r="J11" s="71" t="s">
        <v>161</v>
      </c>
      <c r="K11" s="73">
        <v>0.22222222222222221</v>
      </c>
      <c r="L11" s="71" t="s">
        <v>179</v>
      </c>
      <c r="M11" s="73">
        <v>0.1875</v>
      </c>
      <c r="N11" s="71" t="s">
        <v>179</v>
      </c>
      <c r="O11" s="73">
        <v>0.5</v>
      </c>
      <c r="P11" s="71" t="s">
        <v>114</v>
      </c>
      <c r="Q11" s="74">
        <v>0.20503048780487804</v>
      </c>
      <c r="R11" s="71" t="s">
        <v>166</v>
      </c>
      <c r="S11" s="74">
        <v>0.11428571428571428</v>
      </c>
      <c r="T11" s="71" t="s">
        <v>213</v>
      </c>
      <c r="U11" s="75">
        <v>6600</v>
      </c>
      <c r="V11" s="71" t="s">
        <v>162</v>
      </c>
      <c r="W11" s="75">
        <v>-5000</v>
      </c>
      <c r="X11" s="71" t="s">
        <v>177</v>
      </c>
      <c r="Y11" s="74">
        <v>0.21052631578947367</v>
      </c>
      <c r="Z11" s="71" t="s">
        <v>191</v>
      </c>
      <c r="AA11" s="74">
        <v>0.24347826086956523</v>
      </c>
      <c r="AB11" s="71" t="s">
        <v>161</v>
      </c>
      <c r="AC11" s="74">
        <v>0.5</v>
      </c>
      <c r="AD11" s="71" t="s">
        <v>114</v>
      </c>
      <c r="AE11" s="74">
        <v>0.3413793103448276</v>
      </c>
      <c r="AF11" s="71" t="s">
        <v>168</v>
      </c>
      <c r="AG11" s="74">
        <v>0.39534883720930231</v>
      </c>
      <c r="AH11" s="71" t="s">
        <v>164</v>
      </c>
      <c r="AI11" s="78">
        <v>52000</v>
      </c>
    </row>
    <row r="12" spans="1:35">
      <c r="A12" s="68">
        <v>10</v>
      </c>
      <c r="B12" s="69" t="s">
        <v>163</v>
      </c>
      <c r="C12" s="133">
        <v>8</v>
      </c>
      <c r="D12" s="69" t="s">
        <v>175</v>
      </c>
      <c r="E12" s="70">
        <v>-2.2000000000000011</v>
      </c>
      <c r="F12" s="71" t="s">
        <v>114</v>
      </c>
      <c r="G12" s="83">
        <v>-0.1829268292682926</v>
      </c>
      <c r="H12" s="71" t="s">
        <v>114</v>
      </c>
      <c r="I12" s="72">
        <v>2.4878048780487805</v>
      </c>
      <c r="J12" s="71" t="s">
        <v>191</v>
      </c>
      <c r="K12" s="73">
        <v>0.21428571428571427</v>
      </c>
      <c r="L12" s="71" t="s">
        <v>195</v>
      </c>
      <c r="M12" s="73">
        <v>0.1875</v>
      </c>
      <c r="N12" s="71" t="s">
        <v>114</v>
      </c>
      <c r="O12" s="73">
        <v>0.5</v>
      </c>
      <c r="P12" s="71" t="s">
        <v>166</v>
      </c>
      <c r="Q12" s="74">
        <v>0.2</v>
      </c>
      <c r="R12" s="71" t="s">
        <v>163</v>
      </c>
      <c r="S12" s="74">
        <v>0.11594202898550725</v>
      </c>
      <c r="T12" s="71" t="s">
        <v>114</v>
      </c>
      <c r="U12" s="75">
        <v>6335.3159851301116</v>
      </c>
      <c r="V12" s="71" t="s">
        <v>203</v>
      </c>
      <c r="W12" s="75">
        <v>-5080</v>
      </c>
      <c r="X12" s="71" t="s">
        <v>203</v>
      </c>
      <c r="Y12" s="74">
        <v>0.20930232558139536</v>
      </c>
      <c r="Z12" s="71" t="s">
        <v>161</v>
      </c>
      <c r="AA12" s="74">
        <v>0.22222222222222221</v>
      </c>
      <c r="AB12" s="71" t="s">
        <v>163</v>
      </c>
      <c r="AC12" s="74">
        <v>0.5</v>
      </c>
      <c r="AD12" s="71" t="s">
        <v>169</v>
      </c>
      <c r="AE12" s="74">
        <v>0.33333333333333331</v>
      </c>
      <c r="AF12" s="71" t="s">
        <v>195</v>
      </c>
      <c r="AG12" s="74">
        <v>0.39130434782608697</v>
      </c>
      <c r="AH12" s="71" t="s">
        <v>195</v>
      </c>
      <c r="AI12" s="78">
        <v>48000</v>
      </c>
    </row>
    <row r="13" spans="1:35">
      <c r="A13" s="68">
        <v>11</v>
      </c>
      <c r="B13" s="69" t="s">
        <v>203</v>
      </c>
      <c r="C13" s="133">
        <v>5</v>
      </c>
      <c r="D13" s="69" t="s">
        <v>213</v>
      </c>
      <c r="E13" s="70">
        <v>-2.5999999999999996</v>
      </c>
      <c r="F13" s="71" t="s">
        <v>213</v>
      </c>
      <c r="G13" s="83">
        <v>-0.86666666666666659</v>
      </c>
      <c r="H13" s="71" t="s">
        <v>163</v>
      </c>
      <c r="I13" s="72">
        <v>2.5</v>
      </c>
      <c r="J13" s="71" t="s">
        <v>164</v>
      </c>
      <c r="K13" s="73">
        <v>0.2</v>
      </c>
      <c r="L13" s="71" t="s">
        <v>162</v>
      </c>
      <c r="M13" s="73">
        <v>0.22222222222222221</v>
      </c>
      <c r="N13" s="71" t="s">
        <v>163</v>
      </c>
      <c r="O13" s="73">
        <v>0.5</v>
      </c>
      <c r="P13" s="71" t="s">
        <v>175</v>
      </c>
      <c r="Q13" s="74">
        <v>0.2</v>
      </c>
      <c r="R13" s="71" t="s">
        <v>162</v>
      </c>
      <c r="S13" s="74">
        <v>0.12820512820512819</v>
      </c>
      <c r="T13" s="71" t="s">
        <v>203</v>
      </c>
      <c r="U13" s="75">
        <v>6275</v>
      </c>
      <c r="V13" s="71" t="s">
        <v>164</v>
      </c>
      <c r="W13" s="75">
        <v>-5500</v>
      </c>
      <c r="X13" s="71" t="s">
        <v>163</v>
      </c>
      <c r="Y13" s="74">
        <v>0.20289855072463769</v>
      </c>
      <c r="Z13" s="71" t="s">
        <v>114</v>
      </c>
      <c r="AA13" s="74">
        <v>0.22103658536585366</v>
      </c>
      <c r="AB13" s="71" t="s">
        <v>167</v>
      </c>
      <c r="AC13" s="74">
        <v>0.5</v>
      </c>
      <c r="AD13" s="71" t="s">
        <v>177</v>
      </c>
      <c r="AE13" s="74">
        <v>0.33333333333333331</v>
      </c>
      <c r="AF13" s="71" t="s">
        <v>179</v>
      </c>
      <c r="AG13" s="74">
        <v>0.375</v>
      </c>
      <c r="AH13" s="71" t="s">
        <v>177</v>
      </c>
      <c r="AI13" s="78">
        <v>42500</v>
      </c>
    </row>
    <row r="14" spans="1:35">
      <c r="A14" s="68">
        <v>12</v>
      </c>
      <c r="B14" s="69" t="s">
        <v>166</v>
      </c>
      <c r="C14" s="133">
        <v>4</v>
      </c>
      <c r="D14" s="69" t="s">
        <v>215</v>
      </c>
      <c r="E14" s="70">
        <v>-14.4</v>
      </c>
      <c r="F14" s="71" t="s">
        <v>175</v>
      </c>
      <c r="G14" s="83">
        <v>-1.1000000000000005</v>
      </c>
      <c r="H14" s="71" t="s">
        <v>175</v>
      </c>
      <c r="I14" s="72">
        <v>2.5</v>
      </c>
      <c r="J14" s="71" t="s">
        <v>195</v>
      </c>
      <c r="K14" s="73">
        <v>6.25E-2</v>
      </c>
      <c r="L14" s="71" t="s">
        <v>114</v>
      </c>
      <c r="M14" s="73">
        <v>0.24390243902439024</v>
      </c>
      <c r="N14" s="71" t="s">
        <v>175</v>
      </c>
      <c r="O14" s="73">
        <v>0.5</v>
      </c>
      <c r="P14" s="71" t="s">
        <v>195</v>
      </c>
      <c r="Q14" s="74">
        <v>0.19491525423728814</v>
      </c>
      <c r="R14" s="71" t="s">
        <v>191</v>
      </c>
      <c r="S14" s="74">
        <v>0.13043478260869565</v>
      </c>
      <c r="T14" s="71" t="s">
        <v>163</v>
      </c>
      <c r="U14" s="75">
        <v>5993.333333333333</v>
      </c>
      <c r="V14" s="71" t="s">
        <v>216</v>
      </c>
      <c r="W14" s="75">
        <v>-5775</v>
      </c>
      <c r="X14" s="71" t="s">
        <v>168</v>
      </c>
      <c r="Y14" s="74">
        <v>0.19718309859154928</v>
      </c>
      <c r="Z14" s="71" t="s">
        <v>205</v>
      </c>
      <c r="AA14" s="74">
        <v>0.21428571428571427</v>
      </c>
      <c r="AB14" s="71" t="s">
        <v>213</v>
      </c>
      <c r="AC14" s="74">
        <v>0.5</v>
      </c>
      <c r="AD14" s="71" t="s">
        <v>205</v>
      </c>
      <c r="AE14" s="74">
        <v>0.33333333333333331</v>
      </c>
      <c r="AF14" s="71" t="s">
        <v>114</v>
      </c>
      <c r="AG14" s="74">
        <v>0.34572490706319703</v>
      </c>
      <c r="AH14" s="71" t="s">
        <v>163</v>
      </c>
      <c r="AI14" s="78">
        <v>41700</v>
      </c>
    </row>
    <row r="15" spans="1:35">
      <c r="A15" s="68">
        <v>13</v>
      </c>
      <c r="B15" s="69" t="s">
        <v>205</v>
      </c>
      <c r="C15" s="133">
        <v>4</v>
      </c>
      <c r="D15" s="69" t="s">
        <v>196</v>
      </c>
      <c r="E15" s="70">
        <v>-27.1</v>
      </c>
      <c r="F15" s="71" t="s">
        <v>179</v>
      </c>
      <c r="G15" s="83">
        <v>-2.1625000000000001</v>
      </c>
      <c r="H15" s="71" t="s">
        <v>177</v>
      </c>
      <c r="I15" s="72">
        <v>2.5</v>
      </c>
      <c r="J15" s="71" t="s">
        <v>166</v>
      </c>
      <c r="K15" s="73">
        <v>0</v>
      </c>
      <c r="L15" s="71" t="s">
        <v>164</v>
      </c>
      <c r="M15" s="73">
        <v>0.26666666666666666</v>
      </c>
      <c r="N15" s="71" t="s">
        <v>177</v>
      </c>
      <c r="O15" s="73">
        <v>0.5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168</v>
      </c>
      <c r="U15" s="75">
        <v>5988.3720930232557</v>
      </c>
      <c r="V15" s="71" t="s">
        <v>168</v>
      </c>
      <c r="W15" s="75">
        <v>-5835.7142857142853</v>
      </c>
      <c r="X15" s="71" t="s">
        <v>179</v>
      </c>
      <c r="Y15" s="74">
        <v>0.19083969465648856</v>
      </c>
      <c r="Z15" s="71" t="s">
        <v>169</v>
      </c>
      <c r="AA15" s="74">
        <v>0.17733990147783252</v>
      </c>
      <c r="AB15" s="71" t="s">
        <v>195</v>
      </c>
      <c r="AC15" s="74">
        <v>0.46153846153846156</v>
      </c>
      <c r="AD15" s="71" t="s">
        <v>163</v>
      </c>
      <c r="AE15" s="74">
        <v>0.31818181818181818</v>
      </c>
      <c r="AF15" s="71" t="s">
        <v>175</v>
      </c>
      <c r="AG15" s="74">
        <v>0.33333333333333331</v>
      </c>
      <c r="AH15" s="71" t="s">
        <v>167</v>
      </c>
      <c r="AI15" s="78">
        <v>34000</v>
      </c>
    </row>
    <row r="16" spans="1:35">
      <c r="A16" s="68">
        <v>14</v>
      </c>
      <c r="B16" s="69" t="s">
        <v>208</v>
      </c>
      <c r="C16" s="133">
        <v>3</v>
      </c>
      <c r="D16" s="69" t="s">
        <v>114</v>
      </c>
      <c r="E16" s="70">
        <v>-29.999999999999986</v>
      </c>
      <c r="F16" s="71" t="s">
        <v>161</v>
      </c>
      <c r="G16" s="83">
        <v>-7.3888888888888875</v>
      </c>
      <c r="H16" s="71" t="s">
        <v>161</v>
      </c>
      <c r="I16" s="72">
        <v>2.6666666666666665</v>
      </c>
      <c r="J16" s="71" t="s">
        <v>167</v>
      </c>
      <c r="K16" s="73">
        <v>0</v>
      </c>
      <c r="L16" s="71" t="s">
        <v>168</v>
      </c>
      <c r="M16" s="73">
        <v>0.27777777777777779</v>
      </c>
      <c r="N16" s="71" t="s">
        <v>161</v>
      </c>
      <c r="O16" s="73">
        <v>0.44444444444444442</v>
      </c>
      <c r="P16" s="71" t="s">
        <v>161</v>
      </c>
      <c r="Q16" s="74">
        <v>0.18055555555555555</v>
      </c>
      <c r="R16" s="71" t="s">
        <v>199</v>
      </c>
      <c r="S16" s="74">
        <v>0.13333333333333333</v>
      </c>
      <c r="T16" s="71" t="s">
        <v>177</v>
      </c>
      <c r="U16" s="75">
        <v>5900</v>
      </c>
      <c r="V16" s="71" t="s">
        <v>177</v>
      </c>
      <c r="W16" s="75">
        <v>-5950</v>
      </c>
      <c r="X16" s="71" t="s">
        <v>114</v>
      </c>
      <c r="Y16" s="74">
        <v>0.18597560975609756</v>
      </c>
      <c r="Z16" s="71" t="s">
        <v>202</v>
      </c>
      <c r="AA16" s="74">
        <v>0.17647058823529413</v>
      </c>
      <c r="AB16" s="71" t="s">
        <v>179</v>
      </c>
      <c r="AC16" s="74">
        <v>0.4</v>
      </c>
      <c r="AD16" s="71" t="s">
        <v>161</v>
      </c>
      <c r="AE16" s="74">
        <v>0.3125</v>
      </c>
      <c r="AF16" s="71" t="s">
        <v>177</v>
      </c>
      <c r="AG16" s="74">
        <v>0.25</v>
      </c>
      <c r="AH16" s="71" t="s">
        <v>175</v>
      </c>
      <c r="AI16" s="78">
        <v>33600</v>
      </c>
    </row>
    <row r="17" spans="1:35">
      <c r="A17" s="68">
        <v>15</v>
      </c>
      <c r="B17" s="69" t="s">
        <v>213</v>
      </c>
      <c r="C17" s="133">
        <v>3</v>
      </c>
      <c r="D17" s="69" t="s">
        <v>179</v>
      </c>
      <c r="E17" s="70">
        <v>-34.6</v>
      </c>
      <c r="F17" s="71" t="s">
        <v>215</v>
      </c>
      <c r="G17" s="83">
        <v>-14.4</v>
      </c>
      <c r="H17" s="71" t="s">
        <v>195</v>
      </c>
      <c r="I17" s="72">
        <v>2.8125</v>
      </c>
      <c r="J17" s="71" t="s">
        <v>175</v>
      </c>
      <c r="K17" s="73">
        <v>0</v>
      </c>
      <c r="L17" s="71" t="s">
        <v>161</v>
      </c>
      <c r="M17" s="73">
        <v>0.33333333333333331</v>
      </c>
      <c r="N17" s="71" t="s">
        <v>216</v>
      </c>
      <c r="O17" s="73">
        <v>0.33333333333333331</v>
      </c>
      <c r="P17" s="71" t="s">
        <v>215</v>
      </c>
      <c r="Q17" s="74">
        <v>0.16666666666666666</v>
      </c>
      <c r="R17" s="71" t="s">
        <v>114</v>
      </c>
      <c r="S17" s="74">
        <v>0.13414634146341464</v>
      </c>
      <c r="T17" s="71" t="s">
        <v>179</v>
      </c>
      <c r="U17" s="75">
        <v>4909.375</v>
      </c>
      <c r="V17" s="71" t="s">
        <v>114</v>
      </c>
      <c r="W17" s="75">
        <v>-5994.318181818182</v>
      </c>
      <c r="X17" s="71" t="s">
        <v>161</v>
      </c>
      <c r="Y17" s="74">
        <v>0.16666666666666666</v>
      </c>
      <c r="Z17" s="71" t="s">
        <v>166</v>
      </c>
      <c r="AA17" s="74">
        <v>0.17142857142857143</v>
      </c>
      <c r="AB17" s="71" t="s">
        <v>191</v>
      </c>
      <c r="AC17" s="74">
        <v>0.33333333333333331</v>
      </c>
      <c r="AD17" s="71" t="s">
        <v>195</v>
      </c>
      <c r="AE17" s="74">
        <v>0.3</v>
      </c>
      <c r="AF17" s="71" t="s">
        <v>169</v>
      </c>
      <c r="AG17" s="74">
        <v>0.20930232558139536</v>
      </c>
      <c r="AH17" s="71" t="s">
        <v>213</v>
      </c>
      <c r="AI17" s="78">
        <v>29500</v>
      </c>
    </row>
    <row r="18" spans="1:35">
      <c r="A18" s="68">
        <v>16</v>
      </c>
      <c r="B18" s="69" t="s">
        <v>216</v>
      </c>
      <c r="C18" s="133">
        <v>3</v>
      </c>
      <c r="D18" s="69" t="s">
        <v>180</v>
      </c>
      <c r="E18" s="70">
        <v>-52.6</v>
      </c>
      <c r="F18" s="71" t="s">
        <v>195</v>
      </c>
      <c r="G18" s="83">
        <v>-17.1875</v>
      </c>
      <c r="H18" s="71" t="s">
        <v>196</v>
      </c>
      <c r="I18" s="72">
        <v>3</v>
      </c>
      <c r="J18" s="71" t="s">
        <v>180</v>
      </c>
      <c r="K18" s="73">
        <v>0</v>
      </c>
      <c r="L18" s="71" t="s">
        <v>163</v>
      </c>
      <c r="M18" s="73">
        <v>0.375</v>
      </c>
      <c r="N18" s="71" t="s">
        <v>195</v>
      </c>
      <c r="O18" s="73">
        <v>0.3125</v>
      </c>
      <c r="P18" s="71" t="s">
        <v>164</v>
      </c>
      <c r="Q18" s="74">
        <v>0.16528925619834711</v>
      </c>
      <c r="R18" s="71" t="s">
        <v>195</v>
      </c>
      <c r="S18" s="74">
        <v>0.16101694915254236</v>
      </c>
      <c r="T18" s="71" t="s">
        <v>195</v>
      </c>
      <c r="U18" s="75">
        <v>4056.521739130435</v>
      </c>
      <c r="V18" s="71" t="s">
        <v>208</v>
      </c>
      <c r="W18" s="75">
        <v>-6340</v>
      </c>
      <c r="X18" s="71" t="s">
        <v>169</v>
      </c>
      <c r="Y18" s="74">
        <v>0.15763546798029557</v>
      </c>
      <c r="Z18" s="71" t="s">
        <v>215</v>
      </c>
      <c r="AA18" s="74">
        <v>0.16666666666666666</v>
      </c>
      <c r="AB18" s="71" t="s">
        <v>203</v>
      </c>
      <c r="AC18" s="74">
        <v>0.33333333333333331</v>
      </c>
      <c r="AD18" s="71" t="s">
        <v>164</v>
      </c>
      <c r="AE18" s="74">
        <v>0.22580645161290322</v>
      </c>
      <c r="AF18" s="71" t="s">
        <v>164</v>
      </c>
      <c r="AG18" s="74">
        <v>0.2</v>
      </c>
      <c r="AH18" s="71" t="s">
        <v>215</v>
      </c>
      <c r="AI18" s="78">
        <v>25600</v>
      </c>
    </row>
    <row r="19" spans="1:35">
      <c r="A19" s="68">
        <v>17</v>
      </c>
      <c r="B19" s="69" t="s">
        <v>175</v>
      </c>
      <c r="C19" s="133">
        <v>2</v>
      </c>
      <c r="D19" s="69" t="s">
        <v>161</v>
      </c>
      <c r="E19" s="70">
        <v>-66.499999999999986</v>
      </c>
      <c r="F19" s="71" t="s">
        <v>196</v>
      </c>
      <c r="G19" s="83">
        <v>-27.1</v>
      </c>
      <c r="H19" s="71" t="s">
        <v>215</v>
      </c>
      <c r="I19" s="72">
        <v>3</v>
      </c>
      <c r="J19" s="71" t="s">
        <v>199</v>
      </c>
      <c r="K19" s="73">
        <v>0</v>
      </c>
      <c r="L19" s="71" t="s">
        <v>203</v>
      </c>
      <c r="M19" s="73">
        <v>0.4</v>
      </c>
      <c r="N19" s="71" t="s">
        <v>166</v>
      </c>
      <c r="O19" s="73">
        <v>0.25</v>
      </c>
      <c r="P19" s="71" t="s">
        <v>196</v>
      </c>
      <c r="Q19" s="74">
        <v>0.125</v>
      </c>
      <c r="R19" s="71" t="s">
        <v>215</v>
      </c>
      <c r="S19" s="74">
        <v>0.16666666666666666</v>
      </c>
      <c r="T19" s="71" t="s">
        <v>215</v>
      </c>
      <c r="U19" s="75">
        <v>3900</v>
      </c>
      <c r="V19" s="71" t="s">
        <v>161</v>
      </c>
      <c r="W19" s="75">
        <v>-6523.0769230769229</v>
      </c>
      <c r="X19" s="71" t="s">
        <v>180</v>
      </c>
      <c r="Y19" s="74">
        <v>0.14285714285714285</v>
      </c>
      <c r="Z19" s="71" t="s">
        <v>177</v>
      </c>
      <c r="AA19" s="74">
        <v>0.15789473684210525</v>
      </c>
      <c r="AB19" s="71" t="s">
        <v>164</v>
      </c>
      <c r="AC19" s="74">
        <v>0.3125</v>
      </c>
      <c r="AD19" s="71" t="s">
        <v>203</v>
      </c>
      <c r="AE19" s="74">
        <v>0.16666666666666666</v>
      </c>
      <c r="AF19" s="71" t="s">
        <v>191</v>
      </c>
      <c r="AG19" s="74">
        <v>0.14285714285714285</v>
      </c>
      <c r="AH19" s="71" t="s">
        <v>203</v>
      </c>
      <c r="AI19" s="78">
        <v>25000</v>
      </c>
    </row>
    <row r="20" spans="1:35">
      <c r="A20" s="68">
        <v>18</v>
      </c>
      <c r="B20" s="69" t="s">
        <v>177</v>
      </c>
      <c r="C20" s="133">
        <v>2</v>
      </c>
      <c r="D20" s="69" t="s">
        <v>216</v>
      </c>
      <c r="E20" s="70">
        <v>-97.3</v>
      </c>
      <c r="F20" s="71" t="s">
        <v>166</v>
      </c>
      <c r="G20" s="83">
        <v>-31.999999999999996</v>
      </c>
      <c r="H20" s="71" t="s">
        <v>166</v>
      </c>
      <c r="I20" s="72">
        <v>3.25</v>
      </c>
      <c r="J20" s="71" t="s">
        <v>196</v>
      </c>
      <c r="K20" s="73">
        <v>0</v>
      </c>
      <c r="L20" s="71" t="s">
        <v>166</v>
      </c>
      <c r="M20" s="73">
        <v>0.5</v>
      </c>
      <c r="N20" s="71" t="s">
        <v>180</v>
      </c>
      <c r="O20" s="73">
        <v>0</v>
      </c>
      <c r="P20" s="71" t="s">
        <v>213</v>
      </c>
      <c r="Q20" s="74">
        <v>0.1111111111111111</v>
      </c>
      <c r="R20" s="71" t="s">
        <v>202</v>
      </c>
      <c r="S20" s="74">
        <v>0.17647058823529413</v>
      </c>
      <c r="T20" s="71" t="s">
        <v>166</v>
      </c>
      <c r="U20" s="75">
        <v>2928.5714285714284</v>
      </c>
      <c r="V20" s="71" t="s">
        <v>180</v>
      </c>
      <c r="W20" s="75">
        <v>-6600</v>
      </c>
      <c r="X20" s="71" t="s">
        <v>202</v>
      </c>
      <c r="Y20" s="74">
        <v>0.11764705882352941</v>
      </c>
      <c r="Z20" s="71" t="s">
        <v>167</v>
      </c>
      <c r="AA20" s="74">
        <v>0.14285714285714285</v>
      </c>
      <c r="AB20" s="71" t="s">
        <v>180</v>
      </c>
      <c r="AC20" s="74">
        <v>0</v>
      </c>
      <c r="AD20" s="71" t="s">
        <v>167</v>
      </c>
      <c r="AE20" s="74">
        <v>0</v>
      </c>
      <c r="AF20" s="71" t="s">
        <v>180</v>
      </c>
      <c r="AG20" s="74">
        <v>0</v>
      </c>
      <c r="AH20" s="71" t="s">
        <v>216</v>
      </c>
      <c r="AI20" s="78">
        <v>24700</v>
      </c>
    </row>
    <row r="21" spans="1:35">
      <c r="A21" s="68">
        <v>19</v>
      </c>
      <c r="B21" s="69" t="s">
        <v>199</v>
      </c>
      <c r="C21" s="133">
        <v>2</v>
      </c>
      <c r="D21" s="69" t="s">
        <v>199</v>
      </c>
      <c r="E21" s="70">
        <v>-97.4</v>
      </c>
      <c r="F21" s="71" t="s">
        <v>203</v>
      </c>
      <c r="G21" s="83">
        <v>-32.279999999999994</v>
      </c>
      <c r="H21" s="71" t="s">
        <v>216</v>
      </c>
      <c r="I21" s="72">
        <v>3.3333333333333335</v>
      </c>
      <c r="J21" s="71" t="s">
        <v>203</v>
      </c>
      <c r="K21" s="73">
        <v>0</v>
      </c>
      <c r="L21" s="71" t="s">
        <v>177</v>
      </c>
      <c r="M21" s="73">
        <v>0.5</v>
      </c>
      <c r="N21" s="71" t="s">
        <v>199</v>
      </c>
      <c r="O21" s="73">
        <v>0</v>
      </c>
      <c r="P21" s="71" t="s">
        <v>203</v>
      </c>
      <c r="Q21" s="74">
        <v>9.3023255813953487E-2</v>
      </c>
      <c r="R21" s="71" t="s">
        <v>161</v>
      </c>
      <c r="S21" s="74">
        <v>0.18055555555555555</v>
      </c>
      <c r="T21" s="71" t="s">
        <v>216</v>
      </c>
      <c r="U21" s="75">
        <v>2000</v>
      </c>
      <c r="V21" s="71" t="s">
        <v>195</v>
      </c>
      <c r="W21" s="75">
        <v>-6742.105263157895</v>
      </c>
      <c r="X21" s="71" t="s">
        <v>166</v>
      </c>
      <c r="Y21" s="74">
        <v>0.11428571428571428</v>
      </c>
      <c r="Z21" s="71" t="s">
        <v>203</v>
      </c>
      <c r="AA21" s="74">
        <v>0.13953488372093023</v>
      </c>
      <c r="AB21" s="71" t="s">
        <v>199</v>
      </c>
      <c r="AC21" s="74">
        <v>0</v>
      </c>
      <c r="AD21" s="71" t="s">
        <v>175</v>
      </c>
      <c r="AE21" s="74">
        <v>0</v>
      </c>
      <c r="AF21" s="71" t="s">
        <v>199</v>
      </c>
      <c r="AG21" s="74">
        <v>0</v>
      </c>
      <c r="AH21" s="71" t="s">
        <v>166</v>
      </c>
      <c r="AI21" s="78">
        <v>23700</v>
      </c>
    </row>
    <row r="22" spans="1:35">
      <c r="A22" s="68">
        <v>20</v>
      </c>
      <c r="B22" s="69" t="s">
        <v>202</v>
      </c>
      <c r="C22" s="133">
        <v>2</v>
      </c>
      <c r="D22" s="69" t="s">
        <v>202</v>
      </c>
      <c r="E22" s="70">
        <v>-105.9</v>
      </c>
      <c r="F22" s="71" t="s">
        <v>216</v>
      </c>
      <c r="G22" s="83">
        <v>-32.43333333333333</v>
      </c>
      <c r="H22" s="71" t="s">
        <v>203</v>
      </c>
      <c r="I22" s="72">
        <v>3.4</v>
      </c>
      <c r="J22" s="71" t="s">
        <v>202</v>
      </c>
      <c r="K22" s="73">
        <v>0</v>
      </c>
      <c r="L22" s="71" t="s">
        <v>208</v>
      </c>
      <c r="M22" s="73">
        <v>0.66666666666666663</v>
      </c>
      <c r="N22" s="71" t="s">
        <v>196</v>
      </c>
      <c r="O22" s="73">
        <v>0</v>
      </c>
      <c r="P22" s="71" t="s">
        <v>202</v>
      </c>
      <c r="Q22" s="74">
        <v>5.8823529411764705E-2</v>
      </c>
      <c r="R22" s="71" t="s">
        <v>216</v>
      </c>
      <c r="S22" s="74">
        <v>0.18181818181818182</v>
      </c>
      <c r="T22" s="71" t="s">
        <v>202</v>
      </c>
      <c r="U22" s="75">
        <v>1300</v>
      </c>
      <c r="V22" s="71" t="s">
        <v>163</v>
      </c>
      <c r="W22" s="75">
        <v>-7212.5</v>
      </c>
      <c r="X22" s="71" t="s">
        <v>213</v>
      </c>
      <c r="Y22" s="74">
        <v>0.1111111111111111</v>
      </c>
      <c r="Z22" s="71" t="s">
        <v>162</v>
      </c>
      <c r="AA22" s="74">
        <v>0.11538461538461539</v>
      </c>
      <c r="AB22" s="71" t="s">
        <v>196</v>
      </c>
      <c r="AC22" s="74">
        <v>0</v>
      </c>
      <c r="AD22" s="71" t="s">
        <v>180</v>
      </c>
      <c r="AE22" s="74">
        <v>0</v>
      </c>
      <c r="AF22" s="71" t="s">
        <v>196</v>
      </c>
      <c r="AG22" s="74">
        <v>0</v>
      </c>
      <c r="AH22" s="71" t="s">
        <v>199</v>
      </c>
      <c r="AI22" s="78">
        <v>14100</v>
      </c>
    </row>
    <row r="23" spans="1:35">
      <c r="A23" s="68">
        <v>21</v>
      </c>
      <c r="B23" s="69" t="s">
        <v>167</v>
      </c>
      <c r="C23" s="133">
        <v>1</v>
      </c>
      <c r="D23" s="69" t="s">
        <v>166</v>
      </c>
      <c r="E23" s="70">
        <v>-127.99999999999999</v>
      </c>
      <c r="F23" s="71" t="s">
        <v>208</v>
      </c>
      <c r="G23" s="83">
        <v>-44.233333333333327</v>
      </c>
      <c r="H23" s="71" t="s">
        <v>208</v>
      </c>
      <c r="I23" s="72">
        <v>3.6666666666666665</v>
      </c>
      <c r="J23" s="71" t="s">
        <v>208</v>
      </c>
      <c r="K23" s="73">
        <v>0</v>
      </c>
      <c r="L23" s="71" t="s">
        <v>216</v>
      </c>
      <c r="M23" s="73">
        <v>0.66666666666666663</v>
      </c>
      <c r="N23" s="71" t="s">
        <v>203</v>
      </c>
      <c r="O23" s="73">
        <v>0</v>
      </c>
      <c r="P23" s="71" t="s">
        <v>216</v>
      </c>
      <c r="Q23" s="74">
        <v>4.5454545454545456E-2</v>
      </c>
      <c r="R23" s="71" t="s">
        <v>168</v>
      </c>
      <c r="S23" s="74">
        <v>0.19718309859154928</v>
      </c>
      <c r="T23" s="71" t="s">
        <v>196</v>
      </c>
      <c r="U23" s="75">
        <v>1000</v>
      </c>
      <c r="V23" s="71" t="s">
        <v>179</v>
      </c>
      <c r="W23" s="75">
        <v>-8157.1428571428569</v>
      </c>
      <c r="X23" s="71" t="s">
        <v>191</v>
      </c>
      <c r="Y23" s="74">
        <v>0.10434782608695652</v>
      </c>
      <c r="Z23" s="71" t="s">
        <v>216</v>
      </c>
      <c r="AA23" s="74">
        <v>9.0909090909090912E-2</v>
      </c>
      <c r="AB23" s="71" t="s">
        <v>202</v>
      </c>
      <c r="AC23" s="74">
        <v>0</v>
      </c>
      <c r="AD23" s="71" t="s">
        <v>199</v>
      </c>
      <c r="AE23" s="74">
        <v>0</v>
      </c>
      <c r="AF23" s="71" t="s">
        <v>202</v>
      </c>
      <c r="AG23" s="74">
        <v>0</v>
      </c>
      <c r="AH23" s="71" t="s">
        <v>202</v>
      </c>
      <c r="AI23" s="78">
        <v>13500</v>
      </c>
    </row>
    <row r="24" spans="1:35">
      <c r="A24" s="68">
        <v>22</v>
      </c>
      <c r="B24" s="69" t="s">
        <v>180</v>
      </c>
      <c r="C24" s="133">
        <v>1</v>
      </c>
      <c r="D24" s="69" t="s">
        <v>208</v>
      </c>
      <c r="E24" s="70">
        <v>-132.69999999999999</v>
      </c>
      <c r="F24" s="71" t="s">
        <v>199</v>
      </c>
      <c r="G24" s="83">
        <v>-48.7</v>
      </c>
      <c r="H24" s="71" t="s">
        <v>180</v>
      </c>
      <c r="I24" s="72">
        <v>4</v>
      </c>
      <c r="J24" s="71" t="s">
        <v>213</v>
      </c>
      <c r="K24" s="73">
        <v>0</v>
      </c>
      <c r="L24" s="71" t="s">
        <v>180</v>
      </c>
      <c r="M24" s="73">
        <v>1</v>
      </c>
      <c r="N24" s="71" t="s">
        <v>202</v>
      </c>
      <c r="O24" s="73">
        <v>0</v>
      </c>
      <c r="P24" s="71" t="s">
        <v>180</v>
      </c>
      <c r="Q24" s="74">
        <v>0</v>
      </c>
      <c r="R24" s="71" t="s">
        <v>208</v>
      </c>
      <c r="S24" s="74">
        <v>0.21739130434782608</v>
      </c>
      <c r="T24" s="71" t="s">
        <v>180</v>
      </c>
      <c r="U24" s="75">
        <v>0</v>
      </c>
      <c r="V24" s="71" t="s">
        <v>205</v>
      </c>
      <c r="W24" s="75">
        <v>-9466.6666666666661</v>
      </c>
      <c r="X24" s="71" t="s">
        <v>216</v>
      </c>
      <c r="Y24" s="74">
        <v>9.0909090909090912E-2</v>
      </c>
      <c r="Z24" s="71" t="s">
        <v>213</v>
      </c>
      <c r="AA24" s="74">
        <v>5.5555555555555552E-2</v>
      </c>
      <c r="AB24" s="71" t="s">
        <v>208</v>
      </c>
      <c r="AC24" s="74">
        <v>0</v>
      </c>
      <c r="AD24" s="71" t="s">
        <v>202</v>
      </c>
      <c r="AE24" s="74">
        <v>0</v>
      </c>
      <c r="AF24" s="71" t="s">
        <v>208</v>
      </c>
      <c r="AG24" s="74">
        <v>0</v>
      </c>
      <c r="AH24" s="71" t="s">
        <v>196</v>
      </c>
      <c r="AI24" s="78">
        <v>12900</v>
      </c>
    </row>
    <row r="25" spans="1:35">
      <c r="A25" s="68">
        <v>23</v>
      </c>
      <c r="B25" s="69" t="s">
        <v>196</v>
      </c>
      <c r="C25" s="133">
        <v>1</v>
      </c>
      <c r="D25" s="69" t="s">
        <v>203</v>
      </c>
      <c r="E25" s="70">
        <v>-161.39999999999998</v>
      </c>
      <c r="F25" s="71" t="s">
        <v>180</v>
      </c>
      <c r="G25" s="83">
        <v>-52.6</v>
      </c>
      <c r="H25" s="71" t="s">
        <v>199</v>
      </c>
      <c r="I25" s="72">
        <v>4</v>
      </c>
      <c r="J25" s="71" t="s">
        <v>215</v>
      </c>
      <c r="K25" s="73">
        <v>0</v>
      </c>
      <c r="L25" s="71" t="s">
        <v>199</v>
      </c>
      <c r="M25" s="73">
        <v>1</v>
      </c>
      <c r="N25" s="71" t="s">
        <v>208</v>
      </c>
      <c r="O25" s="73">
        <v>0</v>
      </c>
      <c r="P25" s="71" t="s">
        <v>199</v>
      </c>
      <c r="Q25" s="74">
        <v>0</v>
      </c>
      <c r="R25" s="71" t="s">
        <v>203</v>
      </c>
      <c r="S25" s="74">
        <v>0.23255813953488372</v>
      </c>
      <c r="T25" s="71" t="s">
        <v>199</v>
      </c>
      <c r="U25" s="75">
        <v>0</v>
      </c>
      <c r="V25" s="71" t="s">
        <v>199</v>
      </c>
      <c r="W25" s="75">
        <v>-10000</v>
      </c>
      <c r="X25" s="71" t="s">
        <v>199</v>
      </c>
      <c r="Y25" s="74">
        <v>6.6666666666666666E-2</v>
      </c>
      <c r="Z25" s="71" t="s">
        <v>175</v>
      </c>
      <c r="AA25" s="74">
        <v>0</v>
      </c>
      <c r="AB25" s="71" t="s">
        <v>215</v>
      </c>
      <c r="AC25" s="74">
        <v>0</v>
      </c>
      <c r="AD25" s="71" t="s">
        <v>208</v>
      </c>
      <c r="AE25" s="74">
        <v>0</v>
      </c>
      <c r="AF25" s="71" t="s">
        <v>215</v>
      </c>
      <c r="AG25" s="74">
        <v>0</v>
      </c>
      <c r="AH25" s="71" t="s">
        <v>208</v>
      </c>
      <c r="AI25" s="78">
        <v>10700</v>
      </c>
    </row>
    <row r="26" spans="1:35">
      <c r="A26" s="68">
        <v>24</v>
      </c>
      <c r="B26" s="69" t="s">
        <v>215</v>
      </c>
      <c r="C26" s="133">
        <v>1</v>
      </c>
      <c r="D26" s="69" t="s">
        <v>195</v>
      </c>
      <c r="E26" s="70">
        <v>-275</v>
      </c>
      <c r="F26" s="71" t="s">
        <v>202</v>
      </c>
      <c r="G26" s="83">
        <v>-52.95</v>
      </c>
      <c r="H26" s="71" t="s">
        <v>202</v>
      </c>
      <c r="I26" s="72">
        <v>4</v>
      </c>
      <c r="J26" s="71" t="s">
        <v>216</v>
      </c>
      <c r="K26" s="73">
        <v>0</v>
      </c>
      <c r="L26" s="71" t="s">
        <v>202</v>
      </c>
      <c r="M26" s="73">
        <v>1</v>
      </c>
      <c r="N26" s="71" t="s">
        <v>215</v>
      </c>
      <c r="O26" s="73">
        <v>0</v>
      </c>
      <c r="P26" s="71" t="s">
        <v>208</v>
      </c>
      <c r="Q26" s="74">
        <v>0</v>
      </c>
      <c r="R26" s="71" t="s">
        <v>180</v>
      </c>
      <c r="S26" s="74">
        <v>0.2857142857142857</v>
      </c>
      <c r="T26" s="71" t="s">
        <v>208</v>
      </c>
      <c r="U26" s="75">
        <v>0</v>
      </c>
      <c r="V26" s="71" t="s">
        <v>166</v>
      </c>
      <c r="W26" s="75">
        <v>-11400</v>
      </c>
      <c r="X26" s="71" t="s">
        <v>208</v>
      </c>
      <c r="Y26" s="74">
        <v>4.3478260869565216E-2</v>
      </c>
      <c r="Z26" s="71" t="s">
        <v>208</v>
      </c>
      <c r="AA26" s="74">
        <v>0</v>
      </c>
      <c r="AB26" s="71" t="s">
        <v>216</v>
      </c>
      <c r="AC26" s="74">
        <v>0</v>
      </c>
      <c r="AD26" s="71" t="s">
        <v>213</v>
      </c>
      <c r="AE26" s="74">
        <v>0</v>
      </c>
      <c r="AF26" s="71" t="s">
        <v>216</v>
      </c>
      <c r="AG26" s="74">
        <v>0</v>
      </c>
      <c r="AH26" s="71" t="s">
        <v>180</v>
      </c>
      <c r="AI26" s="78">
        <v>7400</v>
      </c>
    </row>
  </sheetData>
  <sortState xmlns:xlrd2="http://schemas.microsoft.com/office/spreadsheetml/2017/richdata2" ref="AH3:AI6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75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114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173</v>
      </c>
      <c r="C2" s="159"/>
      <c r="E2" s="54" t="s">
        <v>54</v>
      </c>
      <c r="F2" s="51" t="s">
        <v>20</v>
      </c>
      <c r="G2" s="39">
        <v>161</v>
      </c>
      <c r="H2" s="117">
        <f t="shared" ref="H2:H42" si="0">IF(B$17=0,0,G2/B$17)</f>
        <v>0.57913669064748197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-34.883720930232556</v>
      </c>
      <c r="P2" s="103">
        <v>172</v>
      </c>
      <c r="Q2" s="87">
        <v>-6000</v>
      </c>
    </row>
    <row r="3" spans="1:17">
      <c r="A3" s="47" t="s">
        <v>8</v>
      </c>
      <c r="B3" s="160">
        <v>1352</v>
      </c>
      <c r="C3" s="161"/>
      <c r="E3" s="55" t="s">
        <v>184</v>
      </c>
      <c r="F3" s="52" t="s">
        <v>187</v>
      </c>
      <c r="G3" s="40">
        <v>138</v>
      </c>
      <c r="H3" s="118">
        <f t="shared" si="0"/>
        <v>0.49640287769784175</v>
      </c>
      <c r="I3" s="80">
        <v>10</v>
      </c>
      <c r="K3" s="32">
        <v>1</v>
      </c>
      <c r="L3" s="85">
        <v>11.9</v>
      </c>
      <c r="N3" s="100" t="s">
        <v>104</v>
      </c>
      <c r="O3" s="107">
        <f t="shared" si="1"/>
        <v>11.627906976744185</v>
      </c>
      <c r="P3" s="104">
        <v>172</v>
      </c>
      <c r="Q3" s="88">
        <v>2000</v>
      </c>
    </row>
    <row r="4" spans="1:17">
      <c r="A4" s="47" t="s">
        <v>6</v>
      </c>
      <c r="B4" s="162">
        <v>-30.000000000000007</v>
      </c>
      <c r="C4" s="163"/>
      <c r="E4" s="55" t="s">
        <v>181</v>
      </c>
      <c r="F4" s="52" t="s">
        <v>156</v>
      </c>
      <c r="G4" s="40">
        <v>131</v>
      </c>
      <c r="H4" s="118">
        <f t="shared" si="0"/>
        <v>0.47122302158273383</v>
      </c>
      <c r="I4" s="80">
        <v>13</v>
      </c>
      <c r="K4" s="32">
        <v>2</v>
      </c>
      <c r="L4" s="85">
        <v>86.800000000000011</v>
      </c>
      <c r="N4" s="100" t="s">
        <v>105</v>
      </c>
      <c r="O4" s="107">
        <f t="shared" si="1"/>
        <v>-46.511627906976742</v>
      </c>
      <c r="P4" s="104">
        <v>172</v>
      </c>
      <c r="Q4" s="88">
        <v>-8000</v>
      </c>
    </row>
    <row r="5" spans="1:17">
      <c r="A5" s="47" t="s">
        <v>7</v>
      </c>
      <c r="B5" s="164">
        <f>IF(B$2=0,0,B$4/B$2)</f>
        <v>-0.17341040462427751</v>
      </c>
      <c r="C5" s="165"/>
      <c r="E5" s="55" t="s">
        <v>60</v>
      </c>
      <c r="F5" s="52" t="s">
        <v>24</v>
      </c>
      <c r="G5" s="40">
        <v>111</v>
      </c>
      <c r="H5" s="118">
        <f t="shared" si="0"/>
        <v>0.39928057553956836</v>
      </c>
      <c r="I5" s="80">
        <v>11</v>
      </c>
      <c r="K5" s="32">
        <v>3</v>
      </c>
      <c r="L5" s="85">
        <v>25.100000000000009</v>
      </c>
      <c r="N5" s="100" t="s">
        <v>157</v>
      </c>
      <c r="O5" s="107">
        <f>IF(P5=0,0,Q5/P5)</f>
        <v>-25</v>
      </c>
      <c r="P5" s="104">
        <v>160</v>
      </c>
      <c r="Q5" s="88">
        <v>-4000</v>
      </c>
    </row>
    <row r="6" spans="1:17">
      <c r="A6" s="47" t="s">
        <v>1</v>
      </c>
      <c r="B6" s="166">
        <f>IF(B$2=0,0,(B$7*1+B$8*2+B$9*3+B$10*4)/B$2)</f>
        <v>2.4797687861271678</v>
      </c>
      <c r="C6" s="167"/>
      <c r="E6" s="55" t="s">
        <v>57</v>
      </c>
      <c r="F6" s="52" t="s">
        <v>21</v>
      </c>
      <c r="G6" s="40">
        <v>68</v>
      </c>
      <c r="H6" s="118">
        <f t="shared" si="0"/>
        <v>0.2446043165467626</v>
      </c>
      <c r="I6" s="80">
        <v>11</v>
      </c>
      <c r="K6" s="32">
        <v>4</v>
      </c>
      <c r="L6" s="85">
        <v>7.1054273576010019E-15</v>
      </c>
      <c r="N6" s="100" t="s">
        <v>106</v>
      </c>
      <c r="O6" s="107">
        <f t="shared" ref="O6" si="2">IF(P6=0,0,Q6/P6)</f>
        <v>22.727272727272727</v>
      </c>
      <c r="P6" s="104">
        <v>132</v>
      </c>
      <c r="Q6" s="88">
        <v>3000</v>
      </c>
    </row>
    <row r="7" spans="1:17">
      <c r="A7" s="47" t="s">
        <v>2</v>
      </c>
      <c r="B7" s="40">
        <v>45</v>
      </c>
      <c r="C7" s="33">
        <f t="shared" ref="C7:C12" si="3">IF(B$2=0,0,B7/B$2)</f>
        <v>0.26011560693641617</v>
      </c>
      <c r="E7" s="55" t="s">
        <v>55</v>
      </c>
      <c r="F7" s="52" t="s">
        <v>155</v>
      </c>
      <c r="G7" s="40">
        <v>65</v>
      </c>
      <c r="H7" s="118">
        <f t="shared" si="0"/>
        <v>0.23381294964028776</v>
      </c>
      <c r="I7" s="80">
        <v>10</v>
      </c>
      <c r="K7" s="32">
        <v>5</v>
      </c>
      <c r="L7" s="85">
        <v>-14.199999999999992</v>
      </c>
      <c r="N7" s="100" t="s">
        <v>107</v>
      </c>
      <c r="O7" s="107">
        <f t="shared" si="1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42</v>
      </c>
      <c r="C8" s="33">
        <f>IF(B$2=0,0,B8/B$2)</f>
        <v>0.24277456647398843</v>
      </c>
      <c r="E8" s="55" t="s">
        <v>56</v>
      </c>
      <c r="F8" s="52" t="s">
        <v>185</v>
      </c>
      <c r="G8" s="40">
        <v>65</v>
      </c>
      <c r="H8" s="118">
        <f t="shared" si="0"/>
        <v>0.23381294964028776</v>
      </c>
      <c r="I8" s="80">
        <v>12</v>
      </c>
      <c r="K8" s="32">
        <v>6</v>
      </c>
      <c r="L8" s="85">
        <v>-75.099999999999994</v>
      </c>
      <c r="N8" s="100" t="s">
        <v>108</v>
      </c>
      <c r="O8" s="107">
        <f t="shared" si="1"/>
        <v>0</v>
      </c>
      <c r="P8" s="104">
        <v>72</v>
      </c>
      <c r="Q8" s="88">
        <v>0</v>
      </c>
    </row>
    <row r="9" spans="1:17">
      <c r="A9" s="48" t="s">
        <v>4</v>
      </c>
      <c r="B9" s="41">
        <v>44</v>
      </c>
      <c r="C9" s="34">
        <f>IF(B$2=0,0,B9/B$2)</f>
        <v>0.25433526011560692</v>
      </c>
      <c r="E9" s="55" t="s">
        <v>59</v>
      </c>
      <c r="F9" s="52" t="s">
        <v>23</v>
      </c>
      <c r="G9" s="40">
        <v>46</v>
      </c>
      <c r="H9" s="118">
        <f t="shared" si="0"/>
        <v>0.16546762589928057</v>
      </c>
      <c r="I9" s="80">
        <v>10</v>
      </c>
      <c r="K9" s="32">
        <v>7</v>
      </c>
      <c r="L9" s="85">
        <v>-61.099999999999994</v>
      </c>
      <c r="N9" s="101" t="s">
        <v>158</v>
      </c>
      <c r="O9" s="108">
        <f t="shared" si="1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42</v>
      </c>
      <c r="C10" s="34">
        <f>IF(B$2=0,0,B10/B$2)</f>
        <v>0.24277456647398843</v>
      </c>
      <c r="E10" s="55" t="s">
        <v>182</v>
      </c>
      <c r="F10" s="52" t="s">
        <v>19</v>
      </c>
      <c r="G10" s="40">
        <v>29</v>
      </c>
      <c r="H10" s="118">
        <f t="shared" si="0"/>
        <v>0.10431654676258993</v>
      </c>
      <c r="I10" s="80">
        <v>6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87</v>
      </c>
      <c r="C11" s="34">
        <f>IF(B$2=0,0,B11/B$2)</f>
        <v>0.50289017341040465</v>
      </c>
      <c r="E11" s="55" t="s">
        <v>58</v>
      </c>
      <c r="F11" s="52" t="s">
        <v>22</v>
      </c>
      <c r="G11" s="40">
        <v>17</v>
      </c>
      <c r="H11" s="118">
        <f t="shared" si="0"/>
        <v>6.1151079136690649E-2</v>
      </c>
      <c r="I11" s="80">
        <v>7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3"/>
        <v>5.2023121387283239E-2</v>
      </c>
      <c r="E12" s="55" t="s">
        <v>71</v>
      </c>
      <c r="F12" s="52" t="s">
        <v>35</v>
      </c>
      <c r="G12" s="40">
        <v>11</v>
      </c>
      <c r="H12" s="118">
        <f t="shared" si="0"/>
        <v>3.9568345323741004E-2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-4.6704545454545476</v>
      </c>
      <c r="P12" s="103">
        <v>44</v>
      </c>
      <c r="Q12" s="91">
        <v>-205.50000000000009</v>
      </c>
    </row>
    <row r="13" spans="1:17">
      <c r="A13" s="50" t="s">
        <v>97</v>
      </c>
      <c r="B13" s="43">
        <v>255</v>
      </c>
      <c r="C13" s="38">
        <f>IF(B$3=0,0,B13/B$3)</f>
        <v>0.18860946745562129</v>
      </c>
      <c r="E13" s="55" t="s">
        <v>183</v>
      </c>
      <c r="F13" s="52" t="s">
        <v>186</v>
      </c>
      <c r="G13" s="40">
        <v>9</v>
      </c>
      <c r="H13" s="118">
        <f t="shared" si="0"/>
        <v>3.237410071942446E-2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5.1931818181818148</v>
      </c>
      <c r="P13" s="104">
        <v>44</v>
      </c>
      <c r="Q13" s="92">
        <v>228.49999999999986</v>
      </c>
    </row>
    <row r="14" spans="1:17">
      <c r="A14" s="47" t="s">
        <v>94</v>
      </c>
      <c r="B14" s="40">
        <v>295</v>
      </c>
      <c r="C14" s="33">
        <f>IF(B$3=0,0,B14/B$3)</f>
        <v>0.21819526627218935</v>
      </c>
      <c r="E14" s="55" t="s">
        <v>77</v>
      </c>
      <c r="F14" s="52" t="s">
        <v>41</v>
      </c>
      <c r="G14" s="40">
        <v>7</v>
      </c>
      <c r="H14" s="118">
        <f t="shared" si="0"/>
        <v>2.5179856115107913E-2</v>
      </c>
      <c r="I14" s="80">
        <v>4</v>
      </c>
      <c r="K14" s="32">
        <v>12</v>
      </c>
      <c r="L14" s="85">
        <v>7.1054273576010019E-15</v>
      </c>
      <c r="N14" s="100" t="s">
        <v>128</v>
      </c>
      <c r="O14" s="110">
        <f>IF(P14=0,0,Q14/P14)</f>
        <v>-8.1818181818178778E-2</v>
      </c>
      <c r="P14" s="104">
        <v>44</v>
      </c>
      <c r="Q14" s="92">
        <v>-3.5999999999998664</v>
      </c>
    </row>
    <row r="15" spans="1:17">
      <c r="A15" s="46" t="s">
        <v>99</v>
      </c>
      <c r="B15" s="39">
        <f>B21</f>
        <v>133</v>
      </c>
      <c r="C15" s="31">
        <f>IF(B$13=0,0,B15/B$13)</f>
        <v>0.52156862745098043</v>
      </c>
      <c r="E15" s="55" t="s">
        <v>67</v>
      </c>
      <c r="F15" s="52" t="s">
        <v>31</v>
      </c>
      <c r="G15" s="40">
        <v>6</v>
      </c>
      <c r="H15" s="118">
        <f t="shared" si="0"/>
        <v>2.1582733812949641E-2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-1.1227272727272721</v>
      </c>
      <c r="P15" s="105">
        <v>44</v>
      </c>
      <c r="Q15" s="93">
        <v>-49.39999999999997</v>
      </c>
    </row>
    <row r="16" spans="1:17">
      <c r="A16" s="46" t="s">
        <v>100</v>
      </c>
      <c r="B16" s="39">
        <f>B22</f>
        <v>101</v>
      </c>
      <c r="C16" s="31">
        <f>IF(B$14=0,0,B16/B$14)</f>
        <v>0.34237288135593219</v>
      </c>
      <c r="E16" s="55" t="s">
        <v>74</v>
      </c>
      <c r="F16" s="52" t="s">
        <v>38</v>
      </c>
      <c r="G16" s="40">
        <v>6</v>
      </c>
      <c r="H16" s="118">
        <f t="shared" si="0"/>
        <v>2.1582733812949641E-2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278</v>
      </c>
      <c r="C17" s="31">
        <f>IF(B$3=0,0,B17/B$3)</f>
        <v>0.20562130177514792</v>
      </c>
      <c r="E17" s="55" t="s">
        <v>62</v>
      </c>
      <c r="F17" s="52" t="s">
        <v>26</v>
      </c>
      <c r="G17" s="40">
        <v>2</v>
      </c>
      <c r="H17" s="118">
        <f t="shared" si="0"/>
        <v>7.1942446043165471E-3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181</v>
      </c>
      <c r="C18" s="33">
        <f>IF(B$3=0,0,B18/B$3)</f>
        <v>0.1338757396449704</v>
      </c>
      <c r="E18" s="55" t="s">
        <v>69</v>
      </c>
      <c r="F18" s="52" t="s">
        <v>33</v>
      </c>
      <c r="G18" s="40">
        <v>2</v>
      </c>
      <c r="H18" s="118">
        <f t="shared" si="0"/>
        <v>7.1942446043165471E-3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 t="shared" ref="O18:O40" si="4"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97</v>
      </c>
      <c r="C19" s="33">
        <f>IF(B$17=0,0,B19/B$17)</f>
        <v>0.34892086330935251</v>
      </c>
      <c r="E19" s="55" t="s">
        <v>72</v>
      </c>
      <c r="F19" s="52" t="s">
        <v>36</v>
      </c>
      <c r="G19" s="40">
        <v>2</v>
      </c>
      <c r="H19" s="118">
        <f t="shared" si="0"/>
        <v>7.1942446043165471E-3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 t="shared" si="4"/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181</v>
      </c>
      <c r="C20" s="33">
        <f>IF(B$17=0,0,B20/B$17)</f>
        <v>0.65107913669064743</v>
      </c>
      <c r="E20" s="55" t="s">
        <v>75</v>
      </c>
      <c r="F20" s="52" t="s">
        <v>39</v>
      </c>
      <c r="G20" s="40">
        <v>2</v>
      </c>
      <c r="H20" s="118">
        <f t="shared" si="0"/>
        <v>7.1942446043165471E-3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 t="shared" si="4"/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133</v>
      </c>
      <c r="C21" s="33">
        <f>IF(B$17=0,0,B21/B$17)</f>
        <v>0.47841726618705038</v>
      </c>
      <c r="E21" s="55" t="s">
        <v>78</v>
      </c>
      <c r="F21" s="52" t="s">
        <v>42</v>
      </c>
      <c r="G21" s="40">
        <v>2</v>
      </c>
      <c r="H21" s="118">
        <f t="shared" si="0"/>
        <v>7.1942446043165471E-3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 t="shared" si="4"/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101</v>
      </c>
      <c r="C22" s="33">
        <f>IF(B$17=0,0,B22/B$17)</f>
        <v>0.36330935251798563</v>
      </c>
      <c r="E22" s="55" t="s">
        <v>61</v>
      </c>
      <c r="F22" s="52" t="s">
        <v>25</v>
      </c>
      <c r="G22" s="40">
        <v>1</v>
      </c>
      <c r="H22" s="118">
        <f t="shared" si="0"/>
        <v>3.5971223021582736E-3</v>
      </c>
      <c r="I22" s="80">
        <v>2</v>
      </c>
      <c r="K22" s="32">
        <v>20</v>
      </c>
      <c r="L22" s="85">
        <v>1.1546319456101628E-14</v>
      </c>
      <c r="N22" s="100" t="s">
        <v>216</v>
      </c>
      <c r="O22" s="110">
        <f t="shared" si="4"/>
        <v>35.573333333333338</v>
      </c>
      <c r="P22" s="104">
        <v>15</v>
      </c>
      <c r="Q22" s="92">
        <v>533.6</v>
      </c>
    </row>
    <row r="23" spans="1:17">
      <c r="A23" s="47" t="s">
        <v>150</v>
      </c>
      <c r="B23" s="40">
        <v>44</v>
      </c>
      <c r="C23" s="33">
        <f>IF(B$17=0,0,B23/B$17)</f>
        <v>0.15827338129496402</v>
      </c>
      <c r="E23" s="55" t="s">
        <v>66</v>
      </c>
      <c r="F23" s="52" t="s">
        <v>30</v>
      </c>
      <c r="G23" s="40">
        <v>2</v>
      </c>
      <c r="H23" s="118">
        <f t="shared" si="0"/>
        <v>7.1942446043165471E-3</v>
      </c>
      <c r="I23" s="80">
        <v>2</v>
      </c>
      <c r="K23" s="32">
        <v>21</v>
      </c>
      <c r="L23" s="85">
        <v>-52.599999999999987</v>
      </c>
      <c r="N23" s="100" t="s">
        <v>203</v>
      </c>
      <c r="O23" s="110">
        <f t="shared" si="4"/>
        <v>43.040000000000006</v>
      </c>
      <c r="P23" s="104">
        <v>15</v>
      </c>
      <c r="Q23" s="92">
        <v>645.60000000000014</v>
      </c>
    </row>
    <row r="24" spans="1:17">
      <c r="A24" s="47" t="s">
        <v>5</v>
      </c>
      <c r="B24" s="44">
        <f>IF(B$17=0,0,C24/B$17)</f>
        <v>6391.3669064748201</v>
      </c>
      <c r="C24" s="35">
        <v>1776800</v>
      </c>
      <c r="E24" s="55" t="s">
        <v>76</v>
      </c>
      <c r="F24" s="52" t="s">
        <v>40</v>
      </c>
      <c r="G24" s="40">
        <v>1</v>
      </c>
      <c r="H24" s="118">
        <f t="shared" si="0"/>
        <v>3.5971223021582736E-3</v>
      </c>
      <c r="I24" s="80">
        <v>2</v>
      </c>
      <c r="K24" s="32">
        <v>22</v>
      </c>
      <c r="L24" s="85">
        <v>-68.399999999999991</v>
      </c>
      <c r="N24" s="100" t="s">
        <v>166</v>
      </c>
      <c r="O24" s="110">
        <f t="shared" si="4"/>
        <v>42.666666666666664</v>
      </c>
      <c r="P24" s="104">
        <v>12</v>
      </c>
      <c r="Q24" s="92">
        <v>512</v>
      </c>
    </row>
    <row r="25" spans="1:17">
      <c r="A25" s="48" t="s">
        <v>133</v>
      </c>
      <c r="B25" s="121">
        <f>IF($B$17-B$16=0,0,C25/($B$17-B$16))</f>
        <v>7481.3559322033898</v>
      </c>
      <c r="C25" s="122">
        <v>1324200</v>
      </c>
      <c r="E25" s="55" t="s">
        <v>80</v>
      </c>
      <c r="F25" s="52" t="s">
        <v>44</v>
      </c>
      <c r="G25" s="40">
        <v>1</v>
      </c>
      <c r="H25" s="118">
        <f t="shared" si="0"/>
        <v>3.5971223021582736E-3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 t="shared" si="4"/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4481.1881188118814</v>
      </c>
      <c r="C26" s="122">
        <v>452600</v>
      </c>
      <c r="E26" s="55" t="s">
        <v>63</v>
      </c>
      <c r="F26" s="52" t="s">
        <v>27</v>
      </c>
      <c r="G26" s="40">
        <v>0</v>
      </c>
      <c r="H26" s="118">
        <f t="shared" si="0"/>
        <v>0</v>
      </c>
      <c r="I26" s="80">
        <v>1</v>
      </c>
      <c r="K26" s="32">
        <v>24</v>
      </c>
      <c r="L26" s="85">
        <v>1.0658141036401503E-14</v>
      </c>
      <c r="N26" s="100" t="s">
        <v>195</v>
      </c>
      <c r="O26" s="110">
        <f t="shared" si="4"/>
        <v>17.977777777777774</v>
      </c>
      <c r="P26" s="104">
        <v>54</v>
      </c>
      <c r="Q26" s="92">
        <v>970.79999999999984</v>
      </c>
    </row>
    <row r="27" spans="1:17">
      <c r="A27" s="48" t="s">
        <v>132</v>
      </c>
      <c r="B27" s="121">
        <f>IF(B$18=0,0,C27/B$18)</f>
        <v>-6070.1657458563532</v>
      </c>
      <c r="C27" s="122">
        <v>-1098700</v>
      </c>
      <c r="E27" s="55" t="s">
        <v>64</v>
      </c>
      <c r="F27" s="52" t="s">
        <v>28</v>
      </c>
      <c r="G27" s="40">
        <v>0</v>
      </c>
      <c r="H27" s="118">
        <f t="shared" si="0"/>
        <v>0</v>
      </c>
      <c r="I27" s="80">
        <v>1</v>
      </c>
      <c r="K27" s="32">
        <v>25</v>
      </c>
      <c r="L27" s="85">
        <v>-45.899999999999991</v>
      </c>
      <c r="N27" s="100" t="s">
        <v>215</v>
      </c>
      <c r="O27" s="110">
        <f t="shared" si="4"/>
        <v>19.200000000000003</v>
      </c>
      <c r="P27" s="104">
        <v>3</v>
      </c>
      <c r="Q27" s="92">
        <v>57.600000000000009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 t="shared" si="0"/>
        <v>0</v>
      </c>
      <c r="I28" s="80">
        <v>1</v>
      </c>
      <c r="K28" s="32">
        <v>26</v>
      </c>
      <c r="L28" s="85">
        <v>-33.899999999999991</v>
      </c>
      <c r="N28" s="100" t="s">
        <v>161</v>
      </c>
      <c r="O28" s="110">
        <f t="shared" si="4"/>
        <v>9.1111111111111143</v>
      </c>
      <c r="P28" s="104">
        <v>27</v>
      </c>
      <c r="Q28" s="92">
        <v>246.00000000000009</v>
      </c>
    </row>
    <row r="29" spans="1:17">
      <c r="A29" s="47" t="s">
        <v>131</v>
      </c>
      <c r="B29" s="40">
        <v>31</v>
      </c>
      <c r="C29" s="120">
        <v>10</v>
      </c>
      <c r="E29" s="55" t="s">
        <v>68</v>
      </c>
      <c r="F29" s="52" t="s">
        <v>32</v>
      </c>
      <c r="G29" s="40">
        <v>0</v>
      </c>
      <c r="H29" s="118">
        <f t="shared" si="0"/>
        <v>0</v>
      </c>
      <c r="I29" s="80">
        <v>1</v>
      </c>
      <c r="K29" s="32">
        <v>27</v>
      </c>
      <c r="L29" s="85">
        <v>21.500000000000007</v>
      </c>
      <c r="N29" s="100" t="s">
        <v>179</v>
      </c>
      <c r="O29" s="110">
        <f t="shared" si="4"/>
        <v>2.4666666666666663</v>
      </c>
      <c r="P29" s="104">
        <v>48</v>
      </c>
      <c r="Q29" s="92">
        <v>118.39999999999998</v>
      </c>
    </row>
    <row r="30" spans="1:17">
      <c r="A30" s="76" t="s">
        <v>111</v>
      </c>
      <c r="B30" s="152">
        <v>5</v>
      </c>
      <c r="C30" s="153"/>
      <c r="E30" s="55" t="s">
        <v>70</v>
      </c>
      <c r="F30" s="52" t="s">
        <v>34</v>
      </c>
      <c r="G30" s="40">
        <v>0</v>
      </c>
      <c r="H30" s="118">
        <f t="shared" si="0"/>
        <v>0</v>
      </c>
      <c r="I30" s="80">
        <v>1</v>
      </c>
      <c r="K30" s="32">
        <v>28</v>
      </c>
      <c r="L30" s="85">
        <v>7.1054273576010019E-15</v>
      </c>
      <c r="N30" s="100" t="s">
        <v>175</v>
      </c>
      <c r="O30" s="110">
        <f t="shared" si="4"/>
        <v>1.4666666666666668</v>
      </c>
      <c r="P30" s="104">
        <v>6</v>
      </c>
      <c r="Q30" s="92">
        <v>8.8000000000000007</v>
      </c>
    </row>
    <row r="31" spans="1:17">
      <c r="A31" s="50" t="s">
        <v>148</v>
      </c>
      <c r="B31" s="154">
        <v>67800</v>
      </c>
      <c r="C31" s="155"/>
      <c r="E31" s="55" t="s">
        <v>73</v>
      </c>
      <c r="F31" s="52" t="s">
        <v>37</v>
      </c>
      <c r="G31" s="40">
        <v>0</v>
      </c>
      <c r="H31" s="118">
        <f t="shared" si="0"/>
        <v>0</v>
      </c>
      <c r="I31" s="80">
        <v>1</v>
      </c>
      <c r="K31" s="32">
        <v>29</v>
      </c>
      <c r="L31" s="85">
        <v>-50.599999999999994</v>
      </c>
      <c r="N31" s="100" t="s">
        <v>213</v>
      </c>
      <c r="O31" s="110">
        <f t="shared" si="4"/>
        <v>14.639999999999999</v>
      </c>
      <c r="P31" s="104">
        <v>15</v>
      </c>
      <c r="Q31" s="92">
        <v>219.6</v>
      </c>
    </row>
    <row r="32" spans="1:17">
      <c r="A32" s="49" t="s">
        <v>112</v>
      </c>
      <c r="B32" s="57">
        <v>3</v>
      </c>
      <c r="C32" s="36">
        <f>IF(B$3=0,0,B32/B$3)</f>
        <v>2.2189349112426036E-3</v>
      </c>
      <c r="E32" s="55" t="s">
        <v>79</v>
      </c>
      <c r="F32" s="52" t="s">
        <v>43</v>
      </c>
      <c r="G32" s="40">
        <v>0</v>
      </c>
      <c r="H32" s="118">
        <f t="shared" si="0"/>
        <v>0</v>
      </c>
      <c r="I32" s="80">
        <v>1</v>
      </c>
      <c r="K32" s="32">
        <v>30</v>
      </c>
      <c r="L32" s="85">
        <v>7.7000000000000028</v>
      </c>
      <c r="N32" s="100" t="s">
        <v>164</v>
      </c>
      <c r="O32" s="110">
        <f t="shared" si="4"/>
        <v>-2.2222222222222197</v>
      </c>
      <c r="P32" s="104">
        <v>45</v>
      </c>
      <c r="Q32" s="92">
        <v>-99.999999999999886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K33" s="32">
        <v>31</v>
      </c>
      <c r="L33" s="85">
        <v>-8.2999999999999972</v>
      </c>
      <c r="N33" s="100" t="s">
        <v>177</v>
      </c>
      <c r="O33" s="110">
        <f t="shared" si="4"/>
        <v>-2.6</v>
      </c>
      <c r="P33" s="104">
        <v>6</v>
      </c>
      <c r="Q33" s="92">
        <v>-15.600000000000001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  <c r="K34" s="32">
        <v>32</v>
      </c>
      <c r="L34" s="85">
        <v>3.5527136788005009E-15</v>
      </c>
      <c r="N34" s="100" t="s">
        <v>163</v>
      </c>
      <c r="O34" s="110">
        <f t="shared" si="4"/>
        <v>-3.7999999999999949</v>
      </c>
      <c r="P34" s="104">
        <v>24</v>
      </c>
      <c r="Q34" s="92">
        <v>-91.199999999999875</v>
      </c>
    </row>
    <row r="35" spans="1:17">
      <c r="A35" s="76" t="s">
        <v>139</v>
      </c>
      <c r="B35" s="136">
        <v>34</v>
      </c>
      <c r="C35" s="126">
        <f t="shared" ref="C35:C47" si="5">IF(B$17=0,0,B35/B$17)</f>
        <v>0.1223021582733813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  <c r="K35" s="32">
        <v>33</v>
      </c>
      <c r="L35" s="85">
        <v>6.6000000000000032</v>
      </c>
      <c r="N35" s="100" t="s">
        <v>191</v>
      </c>
      <c r="O35" s="110">
        <f t="shared" si="4"/>
        <v>-7.5523809523809531</v>
      </c>
      <c r="P35" s="104">
        <v>42</v>
      </c>
      <c r="Q35" s="92">
        <v>-317.20000000000005</v>
      </c>
    </row>
    <row r="36" spans="1:17">
      <c r="A36" s="47" t="s">
        <v>135</v>
      </c>
      <c r="B36" s="40">
        <v>59</v>
      </c>
      <c r="C36" s="33">
        <f t="shared" si="5"/>
        <v>0.21223021582733814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  <c r="K36" s="32">
        <v>34</v>
      </c>
      <c r="L36" s="85">
        <v>68.300000000000011</v>
      </c>
      <c r="N36" s="100" t="s">
        <v>168</v>
      </c>
      <c r="O36" s="110">
        <f t="shared" si="4"/>
        <v>-11.807407407407409</v>
      </c>
      <c r="P36" s="104">
        <v>54</v>
      </c>
      <c r="Q36" s="92">
        <v>-637.6</v>
      </c>
    </row>
    <row r="37" spans="1:17">
      <c r="A37" s="47" t="s">
        <v>136</v>
      </c>
      <c r="B37" s="137">
        <v>65</v>
      </c>
      <c r="C37" s="33">
        <f t="shared" si="5"/>
        <v>0.23381294964028776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  <c r="K37" s="32">
        <v>35</v>
      </c>
      <c r="L37" s="85">
        <v>53.300000000000011</v>
      </c>
      <c r="N37" s="100" t="s">
        <v>167</v>
      </c>
      <c r="O37" s="110">
        <f t="shared" si="4"/>
        <v>-18.666666666666664</v>
      </c>
      <c r="P37" s="104">
        <v>3</v>
      </c>
      <c r="Q37" s="92">
        <v>-55.999999999999993</v>
      </c>
    </row>
    <row r="38" spans="1:17">
      <c r="A38" s="47" t="s">
        <v>137</v>
      </c>
      <c r="B38" s="137">
        <v>52</v>
      </c>
      <c r="C38" s="33">
        <f t="shared" si="5"/>
        <v>0.18705035971223022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  <c r="K38" s="32">
        <v>36</v>
      </c>
      <c r="L38" s="85">
        <v>-9.9999999999999858</v>
      </c>
      <c r="N38" s="100" t="s">
        <v>169</v>
      </c>
      <c r="O38" s="110">
        <f t="shared" si="4"/>
        <v>-25.94074074074074</v>
      </c>
      <c r="P38" s="104">
        <v>81</v>
      </c>
      <c r="Q38" s="92">
        <v>-2101.1999999999998</v>
      </c>
    </row>
    <row r="39" spans="1:17">
      <c r="A39" s="47" t="s">
        <v>138</v>
      </c>
      <c r="B39" s="137">
        <v>28</v>
      </c>
      <c r="C39" s="33">
        <f t="shared" si="5"/>
        <v>0.10071942446043165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  <c r="K39" s="32">
        <v>37</v>
      </c>
      <c r="L39" s="85">
        <v>-61.499999999999986</v>
      </c>
      <c r="N39" s="100" t="s">
        <v>162</v>
      </c>
      <c r="O39" s="110">
        <f t="shared" si="4"/>
        <v>-39.703703703703681</v>
      </c>
      <c r="P39" s="104">
        <v>27</v>
      </c>
      <c r="Q39" s="92">
        <v>-1071.9999999999993</v>
      </c>
    </row>
    <row r="40" spans="1:17">
      <c r="A40" s="47" t="s">
        <v>140</v>
      </c>
      <c r="B40" s="137">
        <v>31</v>
      </c>
      <c r="C40" s="33">
        <f t="shared" si="5"/>
        <v>0.11151079136690648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  <c r="K40" s="32">
        <v>38</v>
      </c>
      <c r="L40" s="85">
        <v>-52.699999999999989</v>
      </c>
      <c r="N40" s="100" t="s">
        <v>205</v>
      </c>
      <c r="O40" s="110">
        <f t="shared" si="4"/>
        <v>-47.866666666666667</v>
      </c>
      <c r="P40" s="104">
        <v>12</v>
      </c>
      <c r="Q40" s="92">
        <v>-574.4</v>
      </c>
    </row>
    <row r="41" spans="1:17">
      <c r="A41" s="47" t="s">
        <v>141</v>
      </c>
      <c r="B41" s="137">
        <v>8</v>
      </c>
      <c r="C41" s="33">
        <f t="shared" si="5"/>
        <v>2.8776978417266189E-2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5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5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5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5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5"/>
        <v>3.5971223021582736E-3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164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15</v>
      </c>
      <c r="C2" s="159"/>
      <c r="E2" s="54" t="s">
        <v>54</v>
      </c>
      <c r="F2" s="51" t="s">
        <v>20</v>
      </c>
      <c r="G2" s="39">
        <v>11</v>
      </c>
      <c r="H2" s="117">
        <f t="shared" ref="H2:H42" si="0">IF(B$17=0,0,G2/B$17)</f>
        <v>0.55000000000000004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1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0">
        <v>121</v>
      </c>
      <c r="C3" s="161"/>
      <c r="E3" s="55" t="s">
        <v>181</v>
      </c>
      <c r="F3" s="52" t="s">
        <v>156</v>
      </c>
      <c r="G3" s="40">
        <v>10</v>
      </c>
      <c r="H3" s="118">
        <f t="shared" si="0"/>
        <v>0.5</v>
      </c>
      <c r="I3" s="80">
        <v>7</v>
      </c>
      <c r="K3" s="32">
        <v>1</v>
      </c>
      <c r="L3" s="85">
        <v>11.9</v>
      </c>
      <c r="N3" s="100" t="s">
        <v>104</v>
      </c>
      <c r="O3" s="107">
        <f t="shared" si="1"/>
        <v>773.33333333333337</v>
      </c>
      <c r="P3" s="104">
        <v>15</v>
      </c>
      <c r="Q3" s="88">
        <v>11600</v>
      </c>
    </row>
    <row r="4" spans="1:17">
      <c r="A4" s="47" t="s">
        <v>6</v>
      </c>
      <c r="B4" s="162">
        <v>22.499999999999993</v>
      </c>
      <c r="C4" s="163"/>
      <c r="E4" s="55" t="s">
        <v>184</v>
      </c>
      <c r="F4" s="52" t="s">
        <v>187</v>
      </c>
      <c r="G4" s="40">
        <v>9</v>
      </c>
      <c r="H4" s="118">
        <f t="shared" si="0"/>
        <v>0.45</v>
      </c>
      <c r="I4" s="80">
        <v>11</v>
      </c>
      <c r="K4" s="32">
        <v>2</v>
      </c>
      <c r="L4" s="85">
        <v>-40.200000000000003</v>
      </c>
      <c r="N4" s="100" t="s">
        <v>105</v>
      </c>
      <c r="O4" s="107">
        <f t="shared" si="1"/>
        <v>1693.3333333333333</v>
      </c>
      <c r="P4" s="104">
        <v>15</v>
      </c>
      <c r="Q4" s="88">
        <v>25400</v>
      </c>
    </row>
    <row r="5" spans="1:17">
      <c r="A5" s="47" t="s">
        <v>7</v>
      </c>
      <c r="B5" s="164">
        <f>IF(B$2=0,0,B$4/B$2)</f>
        <v>1.4999999999999996</v>
      </c>
      <c r="C5" s="165"/>
      <c r="E5" s="55" t="s">
        <v>60</v>
      </c>
      <c r="F5" s="52" t="s">
        <v>24</v>
      </c>
      <c r="G5" s="40">
        <v>7</v>
      </c>
      <c r="H5" s="118">
        <f t="shared" si="0"/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66">
        <f>IF(B$2=0,0,(B$7*1+B$8*2+B$9*3+B$10*4)/B$2)</f>
        <v>2.4666666666666668</v>
      </c>
      <c r="C6" s="167"/>
      <c r="E6" s="55" t="s">
        <v>55</v>
      </c>
      <c r="F6" s="52" t="s">
        <v>155</v>
      </c>
      <c r="G6" s="40">
        <v>6</v>
      </c>
      <c r="H6" s="118">
        <f t="shared" si="0"/>
        <v>0.3</v>
      </c>
      <c r="I6" s="80">
        <v>6</v>
      </c>
      <c r="K6" s="32">
        <v>4</v>
      </c>
      <c r="L6" s="85">
        <v>-41.2</v>
      </c>
      <c r="N6" s="100" t="s">
        <v>106</v>
      </c>
      <c r="O6" s="107">
        <f t="shared" ref="O6" si="2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3">IF(B$2=0,0,B7/B$2)</f>
        <v>0.2</v>
      </c>
      <c r="E7" s="55" t="s">
        <v>57</v>
      </c>
      <c r="F7" s="52" t="s">
        <v>21</v>
      </c>
      <c r="G7" s="40">
        <v>6</v>
      </c>
      <c r="H7" s="118">
        <f t="shared" si="0"/>
        <v>0.3</v>
      </c>
      <c r="I7" s="80">
        <v>7</v>
      </c>
      <c r="K7" s="32">
        <v>5</v>
      </c>
      <c r="L7" s="85">
        <v>17.099999999999994</v>
      </c>
      <c r="N7" s="100" t="s">
        <v>107</v>
      </c>
      <c r="O7" s="107">
        <f t="shared" si="1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 t="shared" si="0"/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1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 t="shared" si="0"/>
        <v>0.2</v>
      </c>
      <c r="I9" s="80">
        <v>14</v>
      </c>
      <c r="K9" s="32">
        <v>7</v>
      </c>
      <c r="L9" s="85">
        <v>32.099999999999994</v>
      </c>
      <c r="N9" s="101" t="s">
        <v>158</v>
      </c>
      <c r="O9" s="108">
        <f t="shared" si="1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 t="shared" si="0"/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 t="shared" si="0"/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6.6666666666666666E-2</v>
      </c>
      <c r="E12" s="55" t="s">
        <v>182</v>
      </c>
      <c r="F12" s="52" t="s">
        <v>19</v>
      </c>
      <c r="G12" s="40">
        <v>1</v>
      </c>
      <c r="H12" s="118">
        <f t="shared" si="0"/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 t="shared" si="0"/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 t="shared" si="0"/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 t="shared" si="0"/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199</v>
      </c>
      <c r="O18" s="109">
        <f t="shared" ref="O18:O29" si="4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162</v>
      </c>
      <c r="O19" s="110">
        <f t="shared" si="4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205</v>
      </c>
      <c r="O20" s="110">
        <f t="shared" si="4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 t="shared" si="0"/>
        <v>0</v>
      </c>
      <c r="I21" s="80">
        <v>3</v>
      </c>
      <c r="N21" s="100" t="s">
        <v>195</v>
      </c>
      <c r="O21" s="110">
        <f t="shared" si="4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 t="shared" si="4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163</v>
      </c>
      <c r="O23" s="110">
        <f t="shared" si="4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169</v>
      </c>
      <c r="O24" s="110">
        <f t="shared" si="4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191</v>
      </c>
      <c r="O25" s="110">
        <f t="shared" si="4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161</v>
      </c>
      <c r="O26" s="110">
        <f t="shared" si="4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168</v>
      </c>
      <c r="O27" s="110">
        <f t="shared" si="4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175</v>
      </c>
      <c r="O28" s="110">
        <f t="shared" si="4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177</v>
      </c>
      <c r="O29" s="110">
        <f t="shared" si="4"/>
        <v>-75.5</v>
      </c>
      <c r="P29" s="104">
        <v>1</v>
      </c>
      <c r="Q29" s="92">
        <v>-75.5</v>
      </c>
    </row>
    <row r="30" spans="1:17">
      <c r="A30" s="76" t="s">
        <v>111</v>
      </c>
      <c r="B30" s="152">
        <v>4</v>
      </c>
      <c r="C30" s="153"/>
      <c r="E30" s="55" t="s">
        <v>77</v>
      </c>
      <c r="F30" s="52" t="s">
        <v>41</v>
      </c>
      <c r="G30" s="40">
        <v>0</v>
      </c>
      <c r="H30" s="118">
        <f t="shared" si="0"/>
        <v>0</v>
      </c>
      <c r="I30" s="80">
        <v>6</v>
      </c>
    </row>
    <row r="31" spans="1:17">
      <c r="A31" s="50" t="s">
        <v>148</v>
      </c>
      <c r="B31" s="154">
        <v>52000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0.1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5"/>
        <v>0.1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5"/>
        <v>0.3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5"/>
        <v>0.2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5"/>
        <v>0.05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5"/>
        <v>0.25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9</v>
      </c>
      <c r="C2" s="159"/>
      <c r="E2" s="54" t="s">
        <v>184</v>
      </c>
      <c r="F2" s="51" t="s">
        <v>187</v>
      </c>
      <c r="G2" s="39">
        <v>8</v>
      </c>
      <c r="H2" s="117">
        <f t="shared" ref="H2:H42" si="0">IF(B$17=0,0,G2/B$17)</f>
        <v>0.61538461538461542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-344.44444444444446</v>
      </c>
      <c r="P2" s="103">
        <v>9</v>
      </c>
      <c r="Q2" s="87">
        <v>-3100</v>
      </c>
    </row>
    <row r="3" spans="1:17">
      <c r="A3" s="47" t="s">
        <v>8</v>
      </c>
      <c r="B3" s="160">
        <v>72</v>
      </c>
      <c r="C3" s="161"/>
      <c r="E3" s="55" t="s">
        <v>54</v>
      </c>
      <c r="F3" s="52" t="s">
        <v>20</v>
      </c>
      <c r="G3" s="40">
        <v>7</v>
      </c>
      <c r="H3" s="118">
        <f t="shared" si="0"/>
        <v>0.53846153846153844</v>
      </c>
      <c r="I3" s="80">
        <v>9</v>
      </c>
      <c r="K3" s="32">
        <v>1</v>
      </c>
      <c r="L3" s="85">
        <v>74.900000000000006</v>
      </c>
      <c r="N3" s="100" t="s">
        <v>104</v>
      </c>
      <c r="O3" s="107">
        <f t="shared" si="1"/>
        <v>1122.2222222222222</v>
      </c>
      <c r="P3" s="104">
        <v>9</v>
      </c>
      <c r="Q3" s="88">
        <v>10100</v>
      </c>
    </row>
    <row r="4" spans="1:17">
      <c r="A4" s="47" t="s">
        <v>6</v>
      </c>
      <c r="B4" s="162">
        <v>-66.499999999999986</v>
      </c>
      <c r="C4" s="163"/>
      <c r="E4" s="55" t="s">
        <v>181</v>
      </c>
      <c r="F4" s="52" t="s">
        <v>156</v>
      </c>
      <c r="G4" s="40">
        <v>6</v>
      </c>
      <c r="H4" s="118">
        <f t="shared" si="0"/>
        <v>0.46153846153846156</v>
      </c>
      <c r="I4" s="80">
        <v>12</v>
      </c>
      <c r="K4" s="32">
        <v>2</v>
      </c>
      <c r="L4" s="85">
        <v>56.800000000000004</v>
      </c>
      <c r="N4" s="100" t="s">
        <v>105</v>
      </c>
      <c r="O4" s="107">
        <f t="shared" si="1"/>
        <v>1933.3333333333333</v>
      </c>
      <c r="P4" s="104">
        <v>9</v>
      </c>
      <c r="Q4" s="88">
        <v>17400</v>
      </c>
    </row>
    <row r="5" spans="1:17">
      <c r="A5" s="47" t="s">
        <v>7</v>
      </c>
      <c r="B5" s="164">
        <f>IF(B$2=0,0,B$4/B$2)</f>
        <v>-7.3888888888888875</v>
      </c>
      <c r="C5" s="165"/>
      <c r="E5" s="55" t="s">
        <v>60</v>
      </c>
      <c r="F5" s="52" t="s">
        <v>24</v>
      </c>
      <c r="G5" s="40">
        <v>6</v>
      </c>
      <c r="H5" s="118">
        <f t="shared" si="0"/>
        <v>0.46153846153846156</v>
      </c>
      <c r="I5" s="80">
        <v>7</v>
      </c>
      <c r="K5" s="32">
        <v>3</v>
      </c>
      <c r="L5" s="85">
        <v>-7.4999999999999929</v>
      </c>
      <c r="N5" s="100" t="s">
        <v>157</v>
      </c>
      <c r="O5" s="107">
        <f>IF(P5=0,0,Q5/P5)</f>
        <v>-1688.8888888888889</v>
      </c>
      <c r="P5" s="104">
        <v>9</v>
      </c>
      <c r="Q5" s="88">
        <v>-15200</v>
      </c>
    </row>
    <row r="6" spans="1:17">
      <c r="A6" s="47" t="s">
        <v>1</v>
      </c>
      <c r="B6" s="166">
        <f>IF(B$2=0,0,(B$7*1+B$8*2+B$9*3+B$10*4)/B$2)</f>
        <v>2.6666666666666665</v>
      </c>
      <c r="C6" s="167"/>
      <c r="E6" s="55" t="s">
        <v>55</v>
      </c>
      <c r="F6" s="52" t="s">
        <v>155</v>
      </c>
      <c r="G6" s="40">
        <v>3</v>
      </c>
      <c r="H6" s="118">
        <f t="shared" si="0"/>
        <v>0.23076923076923078</v>
      </c>
      <c r="I6" s="80">
        <v>9</v>
      </c>
      <c r="K6" s="32">
        <v>4</v>
      </c>
      <c r="L6" s="85">
        <v>-0.89999999999999325</v>
      </c>
      <c r="N6" s="100" t="s">
        <v>106</v>
      </c>
      <c r="O6" s="107">
        <f t="shared" ref="O6" si="2">IF(P6=0,0,Q6/P6)</f>
        <v>-1675</v>
      </c>
      <c r="P6" s="104">
        <v>8</v>
      </c>
      <c r="Q6" s="88">
        <v>-13400</v>
      </c>
    </row>
    <row r="7" spans="1:17">
      <c r="A7" s="47" t="s">
        <v>2</v>
      </c>
      <c r="B7" s="40">
        <v>2</v>
      </c>
      <c r="C7" s="33">
        <f t="shared" ref="C7:C12" si="3">IF(B$2=0,0,B7/B$2)</f>
        <v>0.22222222222222221</v>
      </c>
      <c r="E7" s="55" t="s">
        <v>56</v>
      </c>
      <c r="F7" s="52" t="s">
        <v>185</v>
      </c>
      <c r="G7" s="40">
        <v>3</v>
      </c>
      <c r="H7" s="118">
        <f t="shared" si="0"/>
        <v>0.23076923076923078</v>
      </c>
      <c r="I7" s="80">
        <v>11</v>
      </c>
      <c r="K7" s="32">
        <v>5</v>
      </c>
      <c r="L7" s="85">
        <v>-28.499999999999993</v>
      </c>
      <c r="N7" s="100" t="s">
        <v>107</v>
      </c>
      <c r="O7" s="107">
        <f t="shared" si="1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57</v>
      </c>
      <c r="F8" s="52" t="s">
        <v>21</v>
      </c>
      <c r="G8" s="40">
        <v>3</v>
      </c>
      <c r="H8" s="118">
        <f t="shared" si="0"/>
        <v>0.23076923076923078</v>
      </c>
      <c r="I8" s="80">
        <v>13</v>
      </c>
      <c r="K8" s="32">
        <v>6</v>
      </c>
      <c r="L8" s="85">
        <v>-82.1</v>
      </c>
      <c r="N8" s="100" t="s">
        <v>108</v>
      </c>
      <c r="O8" s="107">
        <f t="shared" si="1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74</v>
      </c>
      <c r="F9" s="52" t="s">
        <v>38</v>
      </c>
      <c r="G9" s="40">
        <v>2</v>
      </c>
      <c r="H9" s="118">
        <f t="shared" si="0"/>
        <v>0.15384615384615385</v>
      </c>
      <c r="I9" s="80">
        <v>1</v>
      </c>
      <c r="K9" s="32">
        <v>7</v>
      </c>
      <c r="L9" s="85">
        <v>-72.199999999999989</v>
      </c>
      <c r="N9" s="101" t="s">
        <v>158</v>
      </c>
      <c r="O9" s="108">
        <f t="shared" si="1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58</v>
      </c>
      <c r="F10" s="52" t="s">
        <v>22</v>
      </c>
      <c r="G10" s="40">
        <v>1</v>
      </c>
      <c r="H10" s="118">
        <f t="shared" si="0"/>
        <v>7.6923076923076927E-2</v>
      </c>
      <c r="I10" s="80">
        <v>6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0.44444444444444442</v>
      </c>
      <c r="E11" s="55" t="s">
        <v>59</v>
      </c>
      <c r="F11" s="52" t="s">
        <v>23</v>
      </c>
      <c r="G11" s="40">
        <v>1</v>
      </c>
      <c r="H11" s="118">
        <f t="shared" si="0"/>
        <v>7.6923076923076927E-2</v>
      </c>
      <c r="I11" s="80">
        <v>13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0.1111111111111111</v>
      </c>
      <c r="E12" s="55" t="s">
        <v>183</v>
      </c>
      <c r="F12" s="52" t="s">
        <v>186</v>
      </c>
      <c r="G12" s="40">
        <v>1</v>
      </c>
      <c r="H12" s="118">
        <f t="shared" si="0"/>
        <v>7.6923076923076927E-2</v>
      </c>
      <c r="I12" s="80">
        <v>2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12</v>
      </c>
      <c r="C13" s="38">
        <f>IF(B$3=0,0,B13/B$3)</f>
        <v>0.16666666666666666</v>
      </c>
      <c r="E13" s="55" t="s">
        <v>75</v>
      </c>
      <c r="F13" s="52" t="s">
        <v>39</v>
      </c>
      <c r="G13" s="40">
        <v>1</v>
      </c>
      <c r="H13" s="118">
        <f t="shared" si="0"/>
        <v>7.6923076923076927E-2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16</v>
      </c>
      <c r="C14" s="33">
        <f>IF(B$3=0,0,B14/B$3)</f>
        <v>0.22222222222222221</v>
      </c>
      <c r="E14" s="55" t="s">
        <v>182</v>
      </c>
      <c r="F14" s="52" t="s">
        <v>19</v>
      </c>
      <c r="G14" s="40">
        <v>0</v>
      </c>
      <c r="H14" s="118">
        <f t="shared" si="0"/>
        <v>0</v>
      </c>
      <c r="I14" s="80">
        <v>12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6</v>
      </c>
      <c r="C15" s="31">
        <f>IF(B$13=0,0,B15/B$13)</f>
        <v>0.5</v>
      </c>
      <c r="E15" s="55" t="s">
        <v>61</v>
      </c>
      <c r="F15" s="52" t="s">
        <v>25</v>
      </c>
      <c r="G15" s="40">
        <v>0</v>
      </c>
      <c r="H15" s="118">
        <f t="shared" si="0"/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0.3125</v>
      </c>
      <c r="E16" s="55" t="s">
        <v>62</v>
      </c>
      <c r="F16" s="52" t="s">
        <v>26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0.18055555555555555</v>
      </c>
      <c r="E17" s="55" t="s">
        <v>63</v>
      </c>
      <c r="F17" s="52" t="s">
        <v>27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13</v>
      </c>
      <c r="C18" s="33">
        <f>IF(B$3=0,0,B18/B$3)</f>
        <v>0.18055555555555555</v>
      </c>
      <c r="E18" s="55" t="s">
        <v>64</v>
      </c>
      <c r="F18" s="52" t="s">
        <v>28</v>
      </c>
      <c r="G18" s="40">
        <v>0</v>
      </c>
      <c r="H18" s="118">
        <f t="shared" si="0"/>
        <v>0</v>
      </c>
      <c r="I18" s="80">
        <v>1</v>
      </c>
      <c r="N18" s="99" t="s">
        <v>162</v>
      </c>
      <c r="O18" s="109">
        <f t="shared" ref="O18:O29" si="4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6</v>
      </c>
      <c r="C19" s="33">
        <f>IF(B$17=0,0,B19/B$17)</f>
        <v>0.46153846153846156</v>
      </c>
      <c r="E19" s="55" t="s">
        <v>65</v>
      </c>
      <c r="F19" s="52" t="s">
        <v>29</v>
      </c>
      <c r="G19" s="40">
        <v>0</v>
      </c>
      <c r="H19" s="118">
        <f t="shared" si="0"/>
        <v>0</v>
      </c>
      <c r="I19" s="80">
        <v>1</v>
      </c>
      <c r="N19" s="100" t="s">
        <v>199</v>
      </c>
      <c r="O19" s="110">
        <f t="shared" si="4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0.53846153846153844</v>
      </c>
      <c r="E20" s="55" t="s">
        <v>66</v>
      </c>
      <c r="F20" s="52" t="s">
        <v>30</v>
      </c>
      <c r="G20" s="40">
        <v>0</v>
      </c>
      <c r="H20" s="118">
        <f t="shared" si="0"/>
        <v>0</v>
      </c>
      <c r="I20" s="80">
        <v>3</v>
      </c>
      <c r="N20" s="100" t="s">
        <v>163</v>
      </c>
      <c r="O20" s="110">
        <f t="shared" si="4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6</v>
      </c>
      <c r="C21" s="33">
        <f>IF(B$17=0,0,B21/B$17)</f>
        <v>0.46153846153846156</v>
      </c>
      <c r="E21" s="55" t="s">
        <v>67</v>
      </c>
      <c r="F21" s="52" t="s">
        <v>31</v>
      </c>
      <c r="G21" s="40">
        <v>0</v>
      </c>
      <c r="H21" s="118">
        <f t="shared" si="0"/>
        <v>0</v>
      </c>
      <c r="I21" s="80">
        <v>7</v>
      </c>
      <c r="N21" s="100" t="s">
        <v>195</v>
      </c>
      <c r="O21" s="110">
        <f t="shared" si="4"/>
        <v>20.650000000000002</v>
      </c>
      <c r="P21" s="104">
        <v>2</v>
      </c>
      <c r="Q21" s="92">
        <v>41.300000000000004</v>
      </c>
    </row>
    <row r="22" spans="1:17">
      <c r="A22" s="47" t="s">
        <v>149</v>
      </c>
      <c r="B22" s="40">
        <v>5</v>
      </c>
      <c r="C22" s="33">
        <f>IF(B$17=0,0,B22/B$17)</f>
        <v>0.38461538461538464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164</v>
      </c>
      <c r="O22" s="110">
        <f t="shared" si="4"/>
        <v>15.233333333333334</v>
      </c>
      <c r="P22" s="104">
        <v>3</v>
      </c>
      <c r="Q22" s="92">
        <v>45.7</v>
      </c>
    </row>
    <row r="23" spans="1:17">
      <c r="A23" s="47" t="s">
        <v>150</v>
      </c>
      <c r="B23" s="40">
        <v>2</v>
      </c>
      <c r="C23" s="33">
        <f>IF(B$17=0,0,B23/B$17)</f>
        <v>0.15384615384615385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166</v>
      </c>
      <c r="O23" s="110">
        <f t="shared" si="4"/>
        <v>13.549999999999997</v>
      </c>
      <c r="P23" s="104">
        <v>2</v>
      </c>
      <c r="Q23" s="92">
        <v>27.099999999999994</v>
      </c>
    </row>
    <row r="24" spans="1:17">
      <c r="A24" s="47" t="s">
        <v>5</v>
      </c>
      <c r="B24" s="44">
        <f>IF(B$17=0,0,C24/B$17)</f>
        <v>6884.6153846153848</v>
      </c>
      <c r="C24" s="35">
        <v>89500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213</v>
      </c>
      <c r="O24" s="110">
        <f t="shared" si="4"/>
        <v>-5.5999999999999979</v>
      </c>
      <c r="P24" s="104">
        <v>2</v>
      </c>
      <c r="Q24" s="92">
        <v>-11.199999999999996</v>
      </c>
    </row>
    <row r="25" spans="1:17">
      <c r="A25" s="48" t="s">
        <v>133</v>
      </c>
      <c r="B25" s="121">
        <f>IF($B$17-B$16=0,0,C25/($B$17-B$16))</f>
        <v>9250</v>
      </c>
      <c r="C25" s="122">
        <v>74000</v>
      </c>
      <c r="E25" s="55" t="s">
        <v>71</v>
      </c>
      <c r="F25" s="52" t="s">
        <v>35</v>
      </c>
      <c r="G25" s="40">
        <v>0</v>
      </c>
      <c r="H25" s="118">
        <f t="shared" si="0"/>
        <v>0</v>
      </c>
      <c r="I25" s="80">
        <v>8</v>
      </c>
      <c r="N25" s="100" t="s">
        <v>179</v>
      </c>
      <c r="O25" s="110">
        <f t="shared" si="4"/>
        <v>-20.166666666666664</v>
      </c>
      <c r="P25" s="104">
        <v>3</v>
      </c>
      <c r="Q25" s="92">
        <v>-60.499999999999993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 t="shared" si="0"/>
        <v>0</v>
      </c>
      <c r="I26" s="80">
        <v>4</v>
      </c>
      <c r="N26" s="100" t="s">
        <v>168</v>
      </c>
      <c r="O26" s="110">
        <f t="shared" si="4"/>
        <v>-30.900000000000006</v>
      </c>
      <c r="P26" s="104">
        <v>3</v>
      </c>
      <c r="Q26" s="92">
        <v>-92.700000000000017</v>
      </c>
    </row>
    <row r="27" spans="1:17">
      <c r="A27" s="48" t="s">
        <v>132</v>
      </c>
      <c r="B27" s="121">
        <f>IF(B$18=0,0,C27/B$18)</f>
        <v>-6523.0769230769229</v>
      </c>
      <c r="C27" s="122">
        <v>-84800</v>
      </c>
      <c r="E27" s="55" t="s">
        <v>73</v>
      </c>
      <c r="F27" s="52" t="s">
        <v>37</v>
      </c>
      <c r="G27" s="40">
        <v>0</v>
      </c>
      <c r="H27" s="118">
        <f t="shared" si="0"/>
        <v>0</v>
      </c>
      <c r="I27" s="80">
        <v>1</v>
      </c>
      <c r="N27" s="100" t="s">
        <v>175</v>
      </c>
      <c r="O27" s="110">
        <f t="shared" si="4"/>
        <v>-31.700000000000003</v>
      </c>
      <c r="P27" s="104">
        <v>1</v>
      </c>
      <c r="Q27" s="92">
        <v>-31.700000000000003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169</v>
      </c>
      <c r="O28" s="110">
        <f t="shared" si="4"/>
        <v>-40.43333333333333</v>
      </c>
      <c r="P28" s="104">
        <v>6</v>
      </c>
      <c r="Q28" s="92">
        <v>-242.59999999999997</v>
      </c>
    </row>
    <row r="29" spans="1:17">
      <c r="A29" s="47" t="s">
        <v>131</v>
      </c>
      <c r="B29" s="40">
        <v>17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177</v>
      </c>
      <c r="O29" s="110">
        <f t="shared" si="4"/>
        <v>-126.8</v>
      </c>
      <c r="P29" s="104">
        <v>1</v>
      </c>
      <c r="Q29" s="92">
        <v>-126.8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54900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1.3888888888888888E-2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5">IF(B$17=0,0,B35/B$17)</f>
        <v>7.6923076923076927E-2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5"/>
        <v>0.30769230769230771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5"/>
        <v>0.15384615384615385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7.6923076923076927E-2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5"/>
        <v>0.23076923076923078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5"/>
        <v>0.15384615384615385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162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9</v>
      </c>
      <c r="C2" s="159"/>
      <c r="E2" s="54" t="s">
        <v>181</v>
      </c>
      <c r="F2" s="51" t="s">
        <v>156</v>
      </c>
      <c r="G2" s="39">
        <v>14</v>
      </c>
      <c r="H2" s="117">
        <f t="shared" ref="H2:H42" si="0">IF(B$17=0,0,G2/B$17)</f>
        <v>0.66666666666666663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1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0">
        <v>78</v>
      </c>
      <c r="C3" s="161"/>
      <c r="E3" s="55" t="s">
        <v>54</v>
      </c>
      <c r="F3" s="52" t="s">
        <v>20</v>
      </c>
      <c r="G3" s="40">
        <v>14</v>
      </c>
      <c r="H3" s="118">
        <f t="shared" si="0"/>
        <v>0.66666666666666663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1"/>
        <v>2755.5555555555557</v>
      </c>
      <c r="P3" s="104">
        <v>9</v>
      </c>
      <c r="Q3" s="88">
        <v>24800</v>
      </c>
    </row>
    <row r="4" spans="1:17">
      <c r="A4" s="47" t="s">
        <v>6</v>
      </c>
      <c r="B4" s="162">
        <v>268</v>
      </c>
      <c r="C4" s="163"/>
      <c r="E4" s="55" t="s">
        <v>184</v>
      </c>
      <c r="F4" s="52" t="s">
        <v>187</v>
      </c>
      <c r="G4" s="40">
        <v>13</v>
      </c>
      <c r="H4" s="118">
        <f t="shared" si="0"/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1"/>
        <v>2855.5555555555557</v>
      </c>
      <c r="P4" s="104">
        <v>9</v>
      </c>
      <c r="Q4" s="88">
        <v>25700</v>
      </c>
    </row>
    <row r="5" spans="1:17">
      <c r="A5" s="47" t="s">
        <v>7</v>
      </c>
      <c r="B5" s="164">
        <f>IF(B$2=0,0,B$4/B$2)</f>
        <v>29.777777777777779</v>
      </c>
      <c r="C5" s="165"/>
      <c r="E5" s="55" t="s">
        <v>60</v>
      </c>
      <c r="F5" s="52" t="s">
        <v>24</v>
      </c>
      <c r="G5" s="40">
        <v>9</v>
      </c>
      <c r="H5" s="118">
        <f t="shared" si="0"/>
        <v>0.42857142857142855</v>
      </c>
      <c r="I5" s="80">
        <v>8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66">
        <f>IF(B$2=0,0,(B$7*1+B$8*2+B$9*3+B$10*4)/B$2)</f>
        <v>1.8888888888888888</v>
      </c>
      <c r="C6" s="167"/>
      <c r="E6" s="55" t="s">
        <v>56</v>
      </c>
      <c r="F6" s="52" t="s">
        <v>185</v>
      </c>
      <c r="G6" s="40">
        <v>8</v>
      </c>
      <c r="H6" s="118">
        <f t="shared" si="0"/>
        <v>0.38095238095238093</v>
      </c>
      <c r="I6" s="80">
        <v>5</v>
      </c>
      <c r="K6" s="32">
        <v>4</v>
      </c>
      <c r="L6" s="85">
        <v>65.5</v>
      </c>
      <c r="N6" s="100" t="s">
        <v>106</v>
      </c>
      <c r="O6" s="107">
        <f t="shared" ref="O6" si="2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3">IF(B$2=0,0,B7/B$2)</f>
        <v>0.66666666666666663</v>
      </c>
      <c r="E7" s="55" t="s">
        <v>57</v>
      </c>
      <c r="F7" s="52" t="s">
        <v>21</v>
      </c>
      <c r="G7" s="40">
        <v>8</v>
      </c>
      <c r="H7" s="118">
        <f t="shared" si="0"/>
        <v>0.38095238095238093</v>
      </c>
      <c r="I7" s="80">
        <v>3</v>
      </c>
      <c r="K7" s="32">
        <v>5</v>
      </c>
      <c r="L7" s="85">
        <v>124</v>
      </c>
      <c r="N7" s="100" t="s">
        <v>107</v>
      </c>
      <c r="O7" s="107">
        <f t="shared" si="1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 t="shared" si="0"/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1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 t="shared" si="0"/>
        <v>0.14285714285714285</v>
      </c>
      <c r="I9" s="80">
        <v>13</v>
      </c>
      <c r="K9" s="32">
        <v>7</v>
      </c>
      <c r="L9" s="85">
        <v>249.8</v>
      </c>
      <c r="N9" s="101" t="s">
        <v>158</v>
      </c>
      <c r="O9" s="108">
        <f t="shared" si="1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 t="shared" si="0"/>
        <v>9.5238095238095233E-2</v>
      </c>
      <c r="I10" s="80">
        <v>4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 t="shared" si="0"/>
        <v>9.5238095238095233E-2</v>
      </c>
      <c r="I11" s="80">
        <v>11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0.1111111111111111</v>
      </c>
      <c r="E12" s="55" t="s">
        <v>183</v>
      </c>
      <c r="F12" s="52" t="s">
        <v>186</v>
      </c>
      <c r="G12" s="40">
        <v>1</v>
      </c>
      <c r="H12" s="118">
        <f t="shared" si="0"/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 t="shared" si="0"/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 t="shared" si="0"/>
        <v>4.7619047619047616E-2</v>
      </c>
      <c r="I14" s="80">
        <v>4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 t="shared" si="0"/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 t="shared" si="0"/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 t="shared" si="0"/>
        <v>0</v>
      </c>
      <c r="I18" s="80">
        <v>1</v>
      </c>
      <c r="N18" s="99" t="s">
        <v>177</v>
      </c>
      <c r="O18" s="109">
        <f t="shared" ref="O18:O30" si="4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 t="shared" si="0"/>
        <v>0</v>
      </c>
      <c r="I19" s="80">
        <v>1</v>
      </c>
      <c r="N19" s="100" t="s">
        <v>168</v>
      </c>
      <c r="O19" s="110">
        <f t="shared" si="4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 t="shared" si="0"/>
        <v>0</v>
      </c>
      <c r="I20" s="80">
        <v>3</v>
      </c>
      <c r="N20" s="100" t="s">
        <v>199</v>
      </c>
      <c r="O20" s="110">
        <f t="shared" si="4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 t="shared" si="0"/>
        <v>0</v>
      </c>
      <c r="I21" s="80">
        <v>7</v>
      </c>
      <c r="N21" s="100" t="s">
        <v>213</v>
      </c>
      <c r="O21" s="110">
        <f t="shared" si="4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166</v>
      </c>
      <c r="O22" s="110">
        <f t="shared" si="4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179</v>
      </c>
      <c r="O23" s="110">
        <f t="shared" si="4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195</v>
      </c>
      <c r="O25" s="110">
        <f t="shared" si="4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169</v>
      </c>
      <c r="O26" s="110">
        <f t="shared" si="4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  <c r="N27" s="100" t="s">
        <v>163</v>
      </c>
      <c r="O27" s="110">
        <f t="shared" si="4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216</v>
      </c>
      <c r="O28" s="110">
        <f t="shared" si="4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164</v>
      </c>
      <c r="O29" s="110">
        <f t="shared" si="4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161</v>
      </c>
      <c r="O30" s="110">
        <f t="shared" si="4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54">
        <v>67800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5"/>
        <v>4.7619047619047616E-2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0.19047619047619047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5"/>
        <v>0.2857142857142857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5"/>
        <v>0.19047619047619047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5"/>
        <v>0.19047619047619047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8</v>
      </c>
      <c r="C2" s="159"/>
      <c r="E2" s="54" t="s">
        <v>60</v>
      </c>
      <c r="F2" s="51" t="s">
        <v>24</v>
      </c>
      <c r="G2" s="39">
        <v>9</v>
      </c>
      <c r="H2" s="117">
        <f t="shared" ref="H2:H42" si="0">IF(B$17=0,0,G2/B$17)</f>
        <v>0.6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1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0">
        <v>69</v>
      </c>
      <c r="C3" s="161"/>
      <c r="E3" s="55" t="s">
        <v>181</v>
      </c>
      <c r="F3" s="52" t="s">
        <v>156</v>
      </c>
      <c r="G3" s="40">
        <v>6</v>
      </c>
      <c r="H3" s="118">
        <f t="shared" si="0"/>
        <v>0.4</v>
      </c>
      <c r="I3" s="80">
        <v>15</v>
      </c>
      <c r="K3" s="32">
        <v>1</v>
      </c>
      <c r="L3" s="85">
        <v>-25.1</v>
      </c>
      <c r="N3" s="100" t="s">
        <v>104</v>
      </c>
      <c r="O3" s="107">
        <f t="shared" si="1"/>
        <v>-975</v>
      </c>
      <c r="P3" s="104">
        <v>8</v>
      </c>
      <c r="Q3" s="88">
        <v>-7800</v>
      </c>
    </row>
    <row r="4" spans="1:17">
      <c r="A4" s="47" t="s">
        <v>6</v>
      </c>
      <c r="B4" s="162">
        <v>20.300000000000004</v>
      </c>
      <c r="C4" s="163"/>
      <c r="E4" s="55" t="s">
        <v>54</v>
      </c>
      <c r="F4" s="52" t="s">
        <v>20</v>
      </c>
      <c r="G4" s="40">
        <v>6</v>
      </c>
      <c r="H4" s="118">
        <f t="shared" si="0"/>
        <v>0.4</v>
      </c>
      <c r="I4" s="80">
        <v>13</v>
      </c>
      <c r="K4" s="32">
        <v>2</v>
      </c>
      <c r="L4" s="85">
        <v>-75.7</v>
      </c>
      <c r="N4" s="100" t="s">
        <v>105</v>
      </c>
      <c r="O4" s="107">
        <f t="shared" si="1"/>
        <v>-312.5</v>
      </c>
      <c r="P4" s="104">
        <v>8</v>
      </c>
      <c r="Q4" s="88">
        <v>-2500</v>
      </c>
    </row>
    <row r="5" spans="1:17">
      <c r="A5" s="47" t="s">
        <v>7</v>
      </c>
      <c r="B5" s="164">
        <f>IF(B$2=0,0,B$4/B$2)</f>
        <v>2.5375000000000005</v>
      </c>
      <c r="C5" s="165"/>
      <c r="E5" s="55" t="s">
        <v>56</v>
      </c>
      <c r="F5" s="52" t="s">
        <v>185</v>
      </c>
      <c r="G5" s="40">
        <v>4</v>
      </c>
      <c r="H5" s="118">
        <f t="shared" si="0"/>
        <v>0.26666666666666666</v>
      </c>
      <c r="I5" s="80">
        <v>8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21</v>
      </c>
      <c r="G6" s="40">
        <v>4</v>
      </c>
      <c r="H6" s="118">
        <f t="shared" si="0"/>
        <v>0.26666666666666666</v>
      </c>
      <c r="I6" s="80">
        <v>8</v>
      </c>
      <c r="K6" s="32">
        <v>4</v>
      </c>
      <c r="L6" s="85">
        <v>40.700000000000003</v>
      </c>
      <c r="N6" s="100" t="s">
        <v>106</v>
      </c>
      <c r="O6" s="107">
        <f t="shared" ref="O6" si="2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3">IF(B$2=0,0,B7/B$2)</f>
        <v>0.375</v>
      </c>
      <c r="E7" s="55" t="s">
        <v>184</v>
      </c>
      <c r="F7" s="52" t="s">
        <v>187</v>
      </c>
      <c r="G7" s="40">
        <v>4</v>
      </c>
      <c r="H7" s="118">
        <f t="shared" si="0"/>
        <v>0.26666666666666666</v>
      </c>
      <c r="I7" s="80">
        <v>17</v>
      </c>
      <c r="K7" s="32">
        <v>5</v>
      </c>
      <c r="L7" s="85">
        <v>97</v>
      </c>
      <c r="N7" s="100" t="s">
        <v>107</v>
      </c>
      <c r="O7" s="107">
        <f t="shared" si="1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 t="shared" si="0"/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1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 t="shared" si="0"/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1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 t="shared" si="0"/>
        <v>0.13333333333333333</v>
      </c>
      <c r="I10" s="80">
        <v>14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 t="shared" si="0"/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67</v>
      </c>
      <c r="F12" s="52" t="s">
        <v>31</v>
      </c>
      <c r="G12" s="40">
        <v>1</v>
      </c>
      <c r="H12" s="118">
        <f t="shared" si="0"/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 t="shared" si="0"/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 t="shared" si="0"/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 t="shared" si="0"/>
        <v>0</v>
      </c>
      <c r="I15" s="80">
        <v>12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168</v>
      </c>
      <c r="O18" s="109">
        <f t="shared" ref="O18:O26" si="4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 t="shared" si="4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191</v>
      </c>
      <c r="O20" s="110">
        <f t="shared" si="4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 t="shared" si="0"/>
        <v>0</v>
      </c>
      <c r="I21" s="80">
        <v>3</v>
      </c>
      <c r="N21" s="100" t="s">
        <v>164</v>
      </c>
      <c r="O21" s="110">
        <f t="shared" si="4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 t="shared" si="0"/>
        <v>0</v>
      </c>
      <c r="I22" s="80">
        <v>7</v>
      </c>
      <c r="N22" s="100" t="s">
        <v>203</v>
      </c>
      <c r="O22" s="110">
        <f t="shared" si="4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 t="shared" si="0"/>
        <v>0</v>
      </c>
      <c r="I23" s="80">
        <v>1</v>
      </c>
      <c r="N23" s="100" t="s">
        <v>161</v>
      </c>
      <c r="O23" s="110">
        <f t="shared" si="4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 t="shared" si="0"/>
        <v>0</v>
      </c>
      <c r="I24" s="80">
        <v>4</v>
      </c>
      <c r="N24" s="100" t="s">
        <v>179</v>
      </c>
      <c r="O24" s="110">
        <f t="shared" si="4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 t="shared" si="0"/>
        <v>0</v>
      </c>
      <c r="I25" s="80">
        <v>1</v>
      </c>
      <c r="N25" s="100" t="s">
        <v>169</v>
      </c>
      <c r="O25" s="110">
        <f t="shared" si="4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162</v>
      </c>
      <c r="O26" s="110">
        <f t="shared" si="4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41700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5"/>
        <v>0.4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5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5"/>
        <v>6.6666666666666666E-2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5"/>
        <v>0.2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27</v>
      </c>
      <c r="C2" s="159"/>
      <c r="E2" s="54" t="s">
        <v>184</v>
      </c>
      <c r="F2" s="51" t="s">
        <v>187</v>
      </c>
      <c r="G2" s="39">
        <v>34</v>
      </c>
      <c r="H2" s="117">
        <f t="shared" ref="H2:H42" si="0">IF(B$17=0,0,G2/B$17)</f>
        <v>0.70833333333333337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1">IF(P2=0,0,Q2/P2)</f>
        <v>1088.8888888888889</v>
      </c>
      <c r="P2" s="103">
        <v>27</v>
      </c>
      <c r="Q2" s="87">
        <v>29400</v>
      </c>
    </row>
    <row r="3" spans="1:17">
      <c r="A3" s="47" t="s">
        <v>8</v>
      </c>
      <c r="B3" s="160">
        <v>213</v>
      </c>
      <c r="C3" s="161"/>
      <c r="E3" s="55" t="s">
        <v>54</v>
      </c>
      <c r="F3" s="52" t="s">
        <v>20</v>
      </c>
      <c r="G3" s="40">
        <v>37</v>
      </c>
      <c r="H3" s="118">
        <f t="shared" si="0"/>
        <v>0.77083333333333337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1"/>
        <v>1177.7777777777778</v>
      </c>
      <c r="P3" s="104">
        <v>27</v>
      </c>
      <c r="Q3" s="88">
        <v>31800</v>
      </c>
    </row>
    <row r="4" spans="1:17">
      <c r="A4" s="47" t="s">
        <v>6</v>
      </c>
      <c r="B4" s="162">
        <v>522.80000000000007</v>
      </c>
      <c r="C4" s="163"/>
      <c r="E4" s="55" t="s">
        <v>181</v>
      </c>
      <c r="F4" s="52" t="s">
        <v>156</v>
      </c>
      <c r="G4" s="40">
        <v>26</v>
      </c>
      <c r="H4" s="118">
        <f t="shared" si="0"/>
        <v>0.54166666666666663</v>
      </c>
      <c r="I4" s="80">
        <v>6</v>
      </c>
      <c r="K4" s="32">
        <v>2</v>
      </c>
      <c r="L4" s="85">
        <v>0.60000000000000142</v>
      </c>
      <c r="N4" s="100" t="s">
        <v>105</v>
      </c>
      <c r="O4" s="107">
        <f t="shared" si="1"/>
        <v>1577.7777777777778</v>
      </c>
      <c r="P4" s="104">
        <v>27</v>
      </c>
      <c r="Q4" s="88">
        <v>42600</v>
      </c>
    </row>
    <row r="5" spans="1:17">
      <c r="A5" s="47" t="s">
        <v>7</v>
      </c>
      <c r="B5" s="164">
        <f>IF(B$2=0,0,B$4/B$2)</f>
        <v>19.362962962962964</v>
      </c>
      <c r="C5" s="165"/>
      <c r="E5" s="55" t="s">
        <v>60</v>
      </c>
      <c r="F5" s="52" t="s">
        <v>24</v>
      </c>
      <c r="G5" s="40">
        <v>18</v>
      </c>
      <c r="H5" s="118">
        <f t="shared" si="0"/>
        <v>0.375</v>
      </c>
      <c r="I5" s="80">
        <v>12</v>
      </c>
      <c r="K5" s="32">
        <v>3</v>
      </c>
      <c r="L5" s="85">
        <v>-32.299999999999997</v>
      </c>
      <c r="N5" s="100" t="s">
        <v>157</v>
      </c>
      <c r="O5" s="107">
        <f>IF(P5=0,0,Q5/P5)</f>
        <v>876</v>
      </c>
      <c r="P5" s="104">
        <v>25</v>
      </c>
      <c r="Q5" s="88">
        <v>21900</v>
      </c>
    </row>
    <row r="6" spans="1:17">
      <c r="A6" s="47" t="s">
        <v>1</v>
      </c>
      <c r="B6" s="166">
        <f>IF(B$2=0,0,(B$7*1+B$8*2+B$9*3+B$10*4)/B$2)</f>
        <v>2.0370370370370372</v>
      </c>
      <c r="C6" s="167"/>
      <c r="E6" s="55" t="s">
        <v>57</v>
      </c>
      <c r="F6" s="52" t="s">
        <v>21</v>
      </c>
      <c r="G6" s="40">
        <v>17</v>
      </c>
      <c r="H6" s="118">
        <f t="shared" si="0"/>
        <v>0.35416666666666669</v>
      </c>
      <c r="I6" s="80">
        <v>4</v>
      </c>
      <c r="K6" s="32">
        <v>4</v>
      </c>
      <c r="L6" s="85">
        <v>-23.999999999999996</v>
      </c>
      <c r="N6" s="100" t="s">
        <v>106</v>
      </c>
      <c r="O6" s="107">
        <f t="shared" ref="O6" si="2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11</v>
      </c>
      <c r="C7" s="33">
        <f t="shared" ref="C7:C12" si="3">IF(B$2=0,0,B7/B$2)</f>
        <v>0.40740740740740738</v>
      </c>
      <c r="E7" s="55" t="s">
        <v>55</v>
      </c>
      <c r="F7" s="52" t="s">
        <v>155</v>
      </c>
      <c r="G7" s="40">
        <v>15</v>
      </c>
      <c r="H7" s="118">
        <f t="shared" si="0"/>
        <v>0.3125</v>
      </c>
      <c r="I7" s="80">
        <v>5</v>
      </c>
      <c r="K7" s="32">
        <v>5</v>
      </c>
      <c r="L7" s="85">
        <v>-39</v>
      </c>
      <c r="N7" s="100" t="s">
        <v>107</v>
      </c>
      <c r="O7" s="107">
        <f t="shared" si="1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6</v>
      </c>
      <c r="C8" s="33">
        <f>IF(B$2=0,0,B8/B$2)</f>
        <v>0.22222222222222221</v>
      </c>
      <c r="E8" s="55" t="s">
        <v>59</v>
      </c>
      <c r="F8" s="52" t="s">
        <v>23</v>
      </c>
      <c r="G8" s="40">
        <v>8</v>
      </c>
      <c r="H8" s="118">
        <f t="shared" si="0"/>
        <v>0.16666666666666666</v>
      </c>
      <c r="I8" s="80">
        <v>8</v>
      </c>
      <c r="K8" s="32">
        <v>6</v>
      </c>
      <c r="L8" s="85">
        <v>43.8</v>
      </c>
      <c r="N8" s="100" t="s">
        <v>108</v>
      </c>
      <c r="O8" s="107">
        <f t="shared" si="1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0.29629629629629628</v>
      </c>
      <c r="E9" s="55" t="s">
        <v>56</v>
      </c>
      <c r="F9" s="52" t="s">
        <v>185</v>
      </c>
      <c r="G9" s="40">
        <v>8</v>
      </c>
      <c r="H9" s="118">
        <f t="shared" si="0"/>
        <v>0.16666666666666666</v>
      </c>
      <c r="I9" s="80">
        <v>16</v>
      </c>
      <c r="K9" s="32">
        <v>7</v>
      </c>
      <c r="L9" s="85">
        <v>95.1</v>
      </c>
      <c r="N9" s="101" t="s">
        <v>158</v>
      </c>
      <c r="O9" s="108">
        <f t="shared" si="1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2</v>
      </c>
      <c r="C10" s="34">
        <f>IF(B$2=0,0,B10/B$2)</f>
        <v>7.407407407407407E-2</v>
      </c>
      <c r="E10" s="55" t="s">
        <v>58</v>
      </c>
      <c r="F10" s="52" t="s">
        <v>22</v>
      </c>
      <c r="G10" s="40">
        <v>5</v>
      </c>
      <c r="H10" s="118">
        <f t="shared" si="0"/>
        <v>0.10416666666666667</v>
      </c>
      <c r="I10" s="80">
        <v>2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17</v>
      </c>
      <c r="C11" s="34">
        <f>IF(B$2=0,0,B11/B$2)</f>
        <v>0.62962962962962965</v>
      </c>
      <c r="E11" s="55" t="s">
        <v>182</v>
      </c>
      <c r="F11" s="52" t="s">
        <v>19</v>
      </c>
      <c r="G11" s="40">
        <v>5</v>
      </c>
      <c r="H11" s="118">
        <f t="shared" si="0"/>
        <v>0.10416666666666667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77</v>
      </c>
      <c r="F12" s="52" t="s">
        <v>41</v>
      </c>
      <c r="G12" s="40">
        <v>4</v>
      </c>
      <c r="H12" s="118">
        <f t="shared" si="0"/>
        <v>8.3333333333333329E-2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37</v>
      </c>
      <c r="C13" s="38">
        <f>IF(B$3=0,0,B13/B$3)</f>
        <v>0.17370892018779344</v>
      </c>
      <c r="E13" s="55" t="s">
        <v>62</v>
      </c>
      <c r="F13" s="52" t="s">
        <v>26</v>
      </c>
      <c r="G13" s="40">
        <v>1</v>
      </c>
      <c r="H13" s="118">
        <f t="shared" si="0"/>
        <v>2.0833333333333332E-2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13.1</v>
      </c>
      <c r="P13" s="104">
        <v>6</v>
      </c>
      <c r="Q13" s="92">
        <v>78.599999999999994</v>
      </c>
    </row>
    <row r="14" spans="1:17">
      <c r="A14" s="47" t="s">
        <v>94</v>
      </c>
      <c r="B14" s="40">
        <v>37</v>
      </c>
      <c r="C14" s="33">
        <f>IF(B$3=0,0,B14/B$3)</f>
        <v>0.17370892018779344</v>
      </c>
      <c r="E14" s="55" t="s">
        <v>71</v>
      </c>
      <c r="F14" s="52" t="s">
        <v>35</v>
      </c>
      <c r="G14" s="40">
        <v>1</v>
      </c>
      <c r="H14" s="118">
        <f t="shared" si="0"/>
        <v>2.0833333333333332E-2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26</v>
      </c>
      <c r="C15" s="31">
        <f>IF(B$13=0,0,B15/B$13)</f>
        <v>0.70270270270270274</v>
      </c>
      <c r="E15" s="55" t="s">
        <v>61</v>
      </c>
      <c r="F15" s="52" t="s">
        <v>25</v>
      </c>
      <c r="G15" s="40">
        <v>0</v>
      </c>
      <c r="H15" s="118">
        <f t="shared" si="0"/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16.974999999999998</v>
      </c>
      <c r="P15" s="105">
        <v>8</v>
      </c>
      <c r="Q15" s="93">
        <v>135.79999999999998</v>
      </c>
    </row>
    <row r="16" spans="1:17">
      <c r="A16" s="46" t="s">
        <v>100</v>
      </c>
      <c r="B16" s="39">
        <f>B22</f>
        <v>13</v>
      </c>
      <c r="C16" s="31">
        <f>IF(B$14=0,0,B16/B$14)</f>
        <v>0.35135135135135137</v>
      </c>
      <c r="E16" s="55" t="s">
        <v>63</v>
      </c>
      <c r="F16" s="52" t="s">
        <v>27</v>
      </c>
      <c r="G16" s="40">
        <v>0</v>
      </c>
      <c r="H16" s="118">
        <f t="shared" si="0"/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48</v>
      </c>
      <c r="C17" s="31">
        <f>IF(B$3=0,0,B17/B$3)</f>
        <v>0.22535211267605634</v>
      </c>
      <c r="E17" s="55" t="s">
        <v>64</v>
      </c>
      <c r="F17" s="52" t="s">
        <v>28</v>
      </c>
      <c r="G17" s="40">
        <v>0</v>
      </c>
      <c r="H17" s="118">
        <f t="shared" si="0"/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9.3896713615023469E-2</v>
      </c>
      <c r="E18" s="55" t="s">
        <v>65</v>
      </c>
      <c r="F18" s="52" t="s">
        <v>29</v>
      </c>
      <c r="G18" s="40">
        <v>0</v>
      </c>
      <c r="H18" s="118">
        <f t="shared" si="0"/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5" si="4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10</v>
      </c>
      <c r="C19" s="33">
        <f>IF(B$17=0,0,B19/B$17)</f>
        <v>0.20833333333333334</v>
      </c>
      <c r="E19" s="55" t="s">
        <v>66</v>
      </c>
      <c r="F19" s="52" t="s">
        <v>30</v>
      </c>
      <c r="G19" s="40">
        <v>1</v>
      </c>
      <c r="H19" s="118">
        <f t="shared" si="0"/>
        <v>2.0833333333333332E-2</v>
      </c>
      <c r="I19" s="80">
        <v>3</v>
      </c>
      <c r="K19" s="32">
        <v>17</v>
      </c>
      <c r="L19" s="85">
        <v>344</v>
      </c>
      <c r="N19" s="100" t="s">
        <v>202</v>
      </c>
      <c r="O19" s="110">
        <f t="shared" si="4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38</v>
      </c>
      <c r="C20" s="33">
        <f>IF(B$17=0,0,B20/B$17)</f>
        <v>0.79166666666666663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 t="shared" si="4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26</v>
      </c>
      <c r="C21" s="33">
        <f>IF(B$17=0,0,B21/B$17)</f>
        <v>0.54166666666666663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4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13</v>
      </c>
      <c r="C22" s="33">
        <f>IF(B$17=0,0,B22/B$17)</f>
        <v>0.27083333333333331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4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9</v>
      </c>
      <c r="C23" s="33">
        <f>IF(B$17=0,0,B23/B$17)</f>
        <v>0.1875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4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7752.083333333333</v>
      </c>
      <c r="C24" s="35">
        <v>372100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4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8700</v>
      </c>
      <c r="C25" s="122">
        <v>304500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K25" s="32">
        <v>23</v>
      </c>
      <c r="L25" s="85">
        <v>483.30000000000007</v>
      </c>
      <c r="N25" s="100" t="s">
        <v>216</v>
      </c>
      <c r="O25" s="110">
        <f t="shared" si="4"/>
        <v>44.98</v>
      </c>
      <c r="P25" s="104">
        <v>5</v>
      </c>
      <c r="Q25" s="92">
        <v>224.89999999999998</v>
      </c>
    </row>
    <row r="26" spans="1:17">
      <c r="A26" s="48" t="s">
        <v>134</v>
      </c>
      <c r="B26" s="121">
        <f>IF(B$16=0,0,C26/B$16)</f>
        <v>5200</v>
      </c>
      <c r="C26" s="122">
        <v>67600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4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K27" s="32">
        <v>25</v>
      </c>
      <c r="L27" s="85">
        <v>464.20000000000005</v>
      </c>
      <c r="N27" s="100" t="s">
        <v>191</v>
      </c>
      <c r="O27" s="110">
        <f t="shared" si="4"/>
        <v>32.150000000000006</v>
      </c>
      <c r="P27" s="104">
        <v>8</v>
      </c>
      <c r="Q27" s="92">
        <v>257.20000000000005</v>
      </c>
    </row>
    <row r="28" spans="1:17">
      <c r="A28" s="47" t="s">
        <v>130</v>
      </c>
      <c r="B28" s="40">
        <v>3</v>
      </c>
      <c r="C28" s="120">
        <v>1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K28" s="32">
        <v>26</v>
      </c>
      <c r="L28" s="85">
        <v>532.30000000000007</v>
      </c>
      <c r="N28" s="100" t="s">
        <v>163</v>
      </c>
      <c r="O28" s="110">
        <f t="shared" si="4"/>
        <v>24.933333333333337</v>
      </c>
      <c r="P28" s="104">
        <v>3</v>
      </c>
      <c r="Q28" s="92">
        <v>74.800000000000011</v>
      </c>
    </row>
    <row r="29" spans="1:17">
      <c r="A29" s="47" t="s">
        <v>131</v>
      </c>
      <c r="B29" s="40">
        <v>42</v>
      </c>
      <c r="C29" s="120">
        <v>2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K29" s="32">
        <v>27</v>
      </c>
      <c r="L29" s="85">
        <v>522.80000000000007</v>
      </c>
      <c r="N29" s="100" t="s">
        <v>195</v>
      </c>
      <c r="O29" s="110">
        <f t="shared" si="4"/>
        <v>18.229999999999997</v>
      </c>
      <c r="P29" s="104">
        <v>10</v>
      </c>
      <c r="Q29" s="92">
        <v>182.29999999999995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213</v>
      </c>
      <c r="O30" s="110">
        <f t="shared" si="4"/>
        <v>27.619999999999997</v>
      </c>
      <c r="P30" s="104">
        <v>5</v>
      </c>
      <c r="Q30" s="92">
        <v>138.1</v>
      </c>
    </row>
    <row r="31" spans="1:17">
      <c r="A31" s="50" t="s">
        <v>148</v>
      </c>
      <c r="B31" s="154">
        <v>62800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164</v>
      </c>
      <c r="O31" s="110">
        <f t="shared" si="4"/>
        <v>-7.6999999999999975</v>
      </c>
      <c r="P31" s="104">
        <v>7</v>
      </c>
      <c r="Q31" s="92">
        <v>-53.899999999999984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177</v>
      </c>
      <c r="O32" s="110">
        <f t="shared" si="4"/>
        <v>-10.999999999999996</v>
      </c>
      <c r="P32" s="104">
        <v>2</v>
      </c>
      <c r="Q32" s="92">
        <v>-21.999999999999993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N33" s="100" t="s">
        <v>168</v>
      </c>
      <c r="O33" s="110">
        <f t="shared" si="4"/>
        <v>-14.5625</v>
      </c>
      <c r="P33" s="104">
        <v>8</v>
      </c>
      <c r="Q33" s="92">
        <v>-116.5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  <c r="N34" s="100" t="s">
        <v>167</v>
      </c>
      <c r="O34" s="110">
        <f t="shared" si="4"/>
        <v>-28.2</v>
      </c>
      <c r="P34" s="104">
        <v>1</v>
      </c>
      <c r="Q34" s="92">
        <v>-28.2</v>
      </c>
    </row>
    <row r="35" spans="1:17">
      <c r="A35" s="76" t="s">
        <v>139</v>
      </c>
      <c r="B35" s="136">
        <v>2</v>
      </c>
      <c r="C35" s="126">
        <f t="shared" ref="C35:C47" si="5">IF(B$17=0,0,B35/B$17)</f>
        <v>4.1666666666666664E-2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  <c r="N35" s="100" t="s">
        <v>162</v>
      </c>
      <c r="O35" s="110">
        <f t="shared" si="4"/>
        <v>-38.020000000000003</v>
      </c>
      <c r="P35" s="104">
        <v>5</v>
      </c>
      <c r="Q35" s="92">
        <v>-190.10000000000002</v>
      </c>
    </row>
    <row r="36" spans="1:17">
      <c r="A36" s="47" t="s">
        <v>135</v>
      </c>
      <c r="B36" s="40">
        <v>10</v>
      </c>
      <c r="C36" s="33">
        <f t="shared" si="5"/>
        <v>0.20833333333333334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17">
      <c r="A37" s="47" t="s">
        <v>136</v>
      </c>
      <c r="B37" s="137">
        <v>8</v>
      </c>
      <c r="C37" s="33">
        <f t="shared" si="5"/>
        <v>0.16666666666666666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17">
      <c r="A38" s="47" t="s">
        <v>137</v>
      </c>
      <c r="B38" s="137">
        <v>12</v>
      </c>
      <c r="C38" s="33">
        <f t="shared" si="5"/>
        <v>0.25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5"/>
        <v>8.3333333333333329E-2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5"/>
        <v>0.1875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5"/>
        <v>6.25E-2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5"/>
        <v>0</v>
      </c>
    </row>
    <row r="44" spans="1:17">
      <c r="A44" s="47" t="s">
        <v>144</v>
      </c>
      <c r="B44" s="137">
        <v>0</v>
      </c>
      <c r="C44" s="33">
        <f t="shared" si="5"/>
        <v>0</v>
      </c>
    </row>
    <row r="45" spans="1:17">
      <c r="A45" s="47" t="s">
        <v>145</v>
      </c>
      <c r="B45" s="137">
        <v>0</v>
      </c>
      <c r="C45" s="33">
        <f t="shared" si="5"/>
        <v>0</v>
      </c>
    </row>
    <row r="46" spans="1:17">
      <c r="A46" s="47" t="s">
        <v>146</v>
      </c>
      <c r="B46" s="137">
        <v>0</v>
      </c>
      <c r="C46" s="33">
        <f t="shared" si="5"/>
        <v>0</v>
      </c>
    </row>
    <row r="47" spans="1:17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166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0.42857142857142855</v>
      </c>
      <c r="I2" s="79">
        <v>14</v>
      </c>
      <c r="K2" s="30">
        <v>0</v>
      </c>
      <c r="L2" s="84">
        <v>0</v>
      </c>
      <c r="N2" s="99" t="s">
        <v>103</v>
      </c>
      <c r="O2" s="106">
        <f t="shared" ref="O2:O9" si="1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0">
        <v>35</v>
      </c>
      <c r="C3" s="161"/>
      <c r="E3" s="55" t="s">
        <v>56</v>
      </c>
      <c r="F3" s="52" t="s">
        <v>185</v>
      </c>
      <c r="G3" s="40">
        <v>3</v>
      </c>
      <c r="H3" s="118">
        <f t="shared" si="0"/>
        <v>0.42857142857142855</v>
      </c>
      <c r="I3" s="80">
        <v>4</v>
      </c>
      <c r="K3" s="32">
        <v>1</v>
      </c>
      <c r="L3" s="85">
        <v>-60.9</v>
      </c>
      <c r="N3" s="100" t="s">
        <v>104</v>
      </c>
      <c r="O3" s="107">
        <f t="shared" si="1"/>
        <v>0</v>
      </c>
      <c r="P3" s="104">
        <v>4</v>
      </c>
      <c r="Q3" s="88">
        <v>0</v>
      </c>
    </row>
    <row r="4" spans="1:17">
      <c r="A4" s="47" t="s">
        <v>6</v>
      </c>
      <c r="B4" s="162">
        <v>-127.99999999999999</v>
      </c>
      <c r="C4" s="163"/>
      <c r="E4" s="55" t="s">
        <v>60</v>
      </c>
      <c r="F4" s="52" t="s">
        <v>24</v>
      </c>
      <c r="G4" s="40">
        <v>3</v>
      </c>
      <c r="H4" s="118">
        <f t="shared" si="0"/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1"/>
        <v>-5825</v>
      </c>
      <c r="P4" s="104">
        <v>4</v>
      </c>
      <c r="Q4" s="88">
        <v>-23300</v>
      </c>
    </row>
    <row r="5" spans="1:17">
      <c r="A5" s="47" t="s">
        <v>7</v>
      </c>
      <c r="B5" s="164">
        <f>IF(B$2=0,0,B$4/B$2)</f>
        <v>-31.999999999999996</v>
      </c>
      <c r="C5" s="165"/>
      <c r="E5" s="55" t="s">
        <v>54</v>
      </c>
      <c r="F5" s="52" t="s">
        <v>20</v>
      </c>
      <c r="G5" s="40">
        <v>2</v>
      </c>
      <c r="H5" s="118">
        <f t="shared" si="0"/>
        <v>0.2857142857142857</v>
      </c>
      <c r="I5" s="80">
        <v>15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6">
        <f>IF(B$2=0,0,(B$7*1+B$8*2+B$9*3+B$10*4)/B$2)</f>
        <v>3.25</v>
      </c>
      <c r="C6" s="167"/>
      <c r="E6" s="55" t="s">
        <v>184</v>
      </c>
      <c r="F6" s="52" t="s">
        <v>187</v>
      </c>
      <c r="G6" s="40">
        <v>2</v>
      </c>
      <c r="H6" s="118">
        <f t="shared" si="0"/>
        <v>0.2857142857142857</v>
      </c>
      <c r="I6" s="80">
        <v>16</v>
      </c>
      <c r="K6" s="32">
        <v>4</v>
      </c>
      <c r="L6" s="85">
        <v>-127.99999999999999</v>
      </c>
      <c r="N6" s="100" t="s">
        <v>106</v>
      </c>
      <c r="O6" s="107">
        <f t="shared" ref="O6" si="2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58</v>
      </c>
      <c r="F7" s="52" t="s">
        <v>22</v>
      </c>
      <c r="G7" s="40">
        <v>1</v>
      </c>
      <c r="H7" s="118">
        <f t="shared" si="0"/>
        <v>0.14285714285714285</v>
      </c>
      <c r="I7" s="80">
        <v>1</v>
      </c>
      <c r="N7" s="100" t="s">
        <v>107</v>
      </c>
      <c r="O7" s="107">
        <f t="shared" si="1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 t="shared" si="0"/>
        <v>0.14285714285714285</v>
      </c>
      <c r="I8" s="80">
        <v>1</v>
      </c>
      <c r="N8" s="100" t="s">
        <v>108</v>
      </c>
      <c r="O8" s="107">
        <f t="shared" si="1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 t="shared" si="0"/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 t="shared" si="0"/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0.25</v>
      </c>
      <c r="E12" s="55" t="s">
        <v>59</v>
      </c>
      <c r="F12" s="52" t="s">
        <v>23</v>
      </c>
      <c r="G12" s="40">
        <v>0</v>
      </c>
      <c r="H12" s="118">
        <f t="shared" si="0"/>
        <v>0</v>
      </c>
      <c r="I12" s="80">
        <v>15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 t="shared" si="0"/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 t="shared" si="0"/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 t="shared" si="0"/>
        <v>0</v>
      </c>
      <c r="I18" s="80">
        <v>3</v>
      </c>
      <c r="N18" s="99" t="s">
        <v>177</v>
      </c>
      <c r="O18" s="109">
        <f t="shared" ref="O18:O24" si="4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161</v>
      </c>
      <c r="O19" s="110">
        <f t="shared" si="4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179</v>
      </c>
      <c r="O20" s="110">
        <f t="shared" si="4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169</v>
      </c>
      <c r="O21" s="110">
        <f t="shared" si="4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167</v>
      </c>
      <c r="O22" s="110">
        <f t="shared" si="4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  <c r="N23" s="100" t="s">
        <v>162</v>
      </c>
      <c r="O23" s="110">
        <f t="shared" si="4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  <c r="N24" s="100" t="s">
        <v>168</v>
      </c>
      <c r="O24" s="110">
        <f t="shared" si="4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1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23700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5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5"/>
        <v>0.42857142857142855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5"/>
        <v>0.14285714285714285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0.14285714285714285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184</v>
      </c>
      <c r="F2" s="51" t="s">
        <v>187</v>
      </c>
      <c r="G2" s="39">
        <v>3</v>
      </c>
      <c r="H2" s="117">
        <f t="shared" ref="H2:H42" si="0"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0">
        <v>7</v>
      </c>
      <c r="C3" s="161"/>
      <c r="E3" s="55" t="s">
        <v>55</v>
      </c>
      <c r="F3" s="52" t="s">
        <v>155</v>
      </c>
      <c r="G3" s="40">
        <v>2</v>
      </c>
      <c r="H3" s="118">
        <f t="shared" si="0"/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1"/>
        <v>13000</v>
      </c>
      <c r="P3" s="104">
        <v>1</v>
      </c>
      <c r="Q3" s="88">
        <v>13000</v>
      </c>
    </row>
    <row r="4" spans="1:17">
      <c r="A4" s="47" t="s">
        <v>6</v>
      </c>
      <c r="B4" s="162">
        <v>14</v>
      </c>
      <c r="C4" s="163"/>
      <c r="E4" s="55" t="s">
        <v>181</v>
      </c>
      <c r="F4" s="52" t="s">
        <v>156</v>
      </c>
      <c r="G4" s="40">
        <v>1</v>
      </c>
      <c r="H4" s="118">
        <f t="shared" si="0"/>
        <v>0.5</v>
      </c>
      <c r="I4" s="80">
        <v>7</v>
      </c>
      <c r="N4" s="100" t="s">
        <v>105</v>
      </c>
      <c r="O4" s="107">
        <f t="shared" si="1"/>
        <v>-6000</v>
      </c>
      <c r="P4" s="104">
        <v>1</v>
      </c>
      <c r="Q4" s="88">
        <v>-6000</v>
      </c>
    </row>
    <row r="5" spans="1:17">
      <c r="A5" s="47" t="s">
        <v>7</v>
      </c>
      <c r="B5" s="164">
        <f>IF(B$2=0,0,B$4/B$2)</f>
        <v>14</v>
      </c>
      <c r="C5" s="165"/>
      <c r="E5" s="55" t="s">
        <v>54</v>
      </c>
      <c r="F5" s="52" t="s">
        <v>20</v>
      </c>
      <c r="G5" s="40">
        <v>1</v>
      </c>
      <c r="H5" s="118">
        <f t="shared" si="0"/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6">
        <f>IF(B$2=0,0,(B$7*1+B$8*2+B$9*3+B$10*4)/B$2)</f>
        <v>2</v>
      </c>
      <c r="C6" s="167"/>
      <c r="E6" s="55" t="s">
        <v>56</v>
      </c>
      <c r="F6" s="52" t="s">
        <v>185</v>
      </c>
      <c r="G6" s="40">
        <v>1</v>
      </c>
      <c r="H6" s="118">
        <f t="shared" si="0"/>
        <v>0.5</v>
      </c>
      <c r="I6" s="80">
        <v>1</v>
      </c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1</v>
      </c>
      <c r="H7" s="118">
        <f t="shared" si="0"/>
        <v>0.5</v>
      </c>
      <c r="I7" s="80">
        <v>2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 t="shared" si="0"/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34000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0.5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168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18</v>
      </c>
      <c r="C2" s="159"/>
      <c r="E2" s="54" t="s">
        <v>54</v>
      </c>
      <c r="F2" s="51" t="s">
        <v>20</v>
      </c>
      <c r="G2" s="39">
        <v>24</v>
      </c>
      <c r="H2" s="117">
        <f t="shared" ref="H2:H42" si="0">IF(B$17=0,0,G2/B$17)</f>
        <v>0.55813953488372092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0">
        <v>142</v>
      </c>
      <c r="C3" s="161"/>
      <c r="E3" s="55" t="s">
        <v>181</v>
      </c>
      <c r="F3" s="52" t="s">
        <v>156</v>
      </c>
      <c r="G3" s="40">
        <v>20</v>
      </c>
      <c r="H3" s="118">
        <f t="shared" si="0"/>
        <v>0.46511627906976744</v>
      </c>
      <c r="I3" s="80">
        <v>11</v>
      </c>
      <c r="K3" s="32">
        <v>1</v>
      </c>
      <c r="L3" s="85">
        <v>61.1</v>
      </c>
      <c r="N3" s="100" t="s">
        <v>104</v>
      </c>
      <c r="O3" s="107">
        <f t="shared" si="1"/>
        <v>-2133.3333333333335</v>
      </c>
      <c r="P3" s="104">
        <v>18</v>
      </c>
      <c r="Q3" s="88">
        <v>-38400</v>
      </c>
    </row>
    <row r="4" spans="1:17">
      <c r="A4" s="47" t="s">
        <v>6</v>
      </c>
      <c r="B4" s="162">
        <v>154.39999999999998</v>
      </c>
      <c r="C4" s="163"/>
      <c r="E4" s="55" t="s">
        <v>184</v>
      </c>
      <c r="F4" s="52" t="s">
        <v>187</v>
      </c>
      <c r="G4" s="40">
        <v>15</v>
      </c>
      <c r="H4" s="118">
        <f t="shared" si="0"/>
        <v>0.34883720930232559</v>
      </c>
      <c r="I4" s="80">
        <v>14</v>
      </c>
      <c r="K4" s="32">
        <v>2</v>
      </c>
      <c r="L4" s="85">
        <v>117.7</v>
      </c>
      <c r="N4" s="100" t="s">
        <v>105</v>
      </c>
      <c r="O4" s="107">
        <f t="shared" si="1"/>
        <v>855.55555555555554</v>
      </c>
      <c r="P4" s="104">
        <v>18</v>
      </c>
      <c r="Q4" s="88">
        <v>15400</v>
      </c>
    </row>
    <row r="5" spans="1:17">
      <c r="A5" s="47" t="s">
        <v>7</v>
      </c>
      <c r="B5" s="164">
        <f>IF(B$2=0,0,B$4/B$2)</f>
        <v>8.5777777777777757</v>
      </c>
      <c r="C5" s="165"/>
      <c r="E5" s="55" t="s">
        <v>55</v>
      </c>
      <c r="F5" s="52" t="s">
        <v>155</v>
      </c>
      <c r="G5" s="40">
        <v>14</v>
      </c>
      <c r="H5" s="118">
        <f t="shared" si="0"/>
        <v>0.32558139534883723</v>
      </c>
      <c r="I5" s="80">
        <v>4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66">
        <f>IF(B$2=0,0,(B$7*1+B$8*2+B$9*3+B$10*4)/B$2)</f>
        <v>2.3333333333333335</v>
      </c>
      <c r="C6" s="167"/>
      <c r="E6" s="55" t="s">
        <v>60</v>
      </c>
      <c r="F6" s="52" t="s">
        <v>24</v>
      </c>
      <c r="G6" s="40">
        <v>13</v>
      </c>
      <c r="H6" s="118">
        <f t="shared" si="0"/>
        <v>0.30232558139534882</v>
      </c>
      <c r="I6" s="80">
        <v>16</v>
      </c>
      <c r="K6" s="32">
        <v>4</v>
      </c>
      <c r="L6" s="85">
        <v>67.600000000000009</v>
      </c>
      <c r="N6" s="100" t="s">
        <v>106</v>
      </c>
      <c r="O6" s="107">
        <f t="shared" ref="O6" si="2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3">IF(B$2=0,0,B7/B$2)</f>
        <v>0.3888888888888889</v>
      </c>
      <c r="E7" s="55" t="s">
        <v>56</v>
      </c>
      <c r="F7" s="52" t="s">
        <v>185</v>
      </c>
      <c r="G7" s="40">
        <v>11</v>
      </c>
      <c r="H7" s="118">
        <f t="shared" si="0"/>
        <v>0.2558139534883721</v>
      </c>
      <c r="I7" s="80">
        <v>9</v>
      </c>
      <c r="K7" s="32">
        <v>5</v>
      </c>
      <c r="L7" s="85">
        <v>127.9</v>
      </c>
      <c r="N7" s="100" t="s">
        <v>107</v>
      </c>
      <c r="O7" s="107">
        <f t="shared" si="1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 t="shared" si="0"/>
        <v>0.18604651162790697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1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 t="shared" si="0"/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1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 t="shared" si="0"/>
        <v>0.16279069767441862</v>
      </c>
      <c r="I10" s="80">
        <v>14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 t="shared" si="0"/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5.5555555555555552E-2</v>
      </c>
      <c r="E12" s="55" t="s">
        <v>71</v>
      </c>
      <c r="F12" s="52" t="s">
        <v>35</v>
      </c>
      <c r="G12" s="40">
        <v>2</v>
      </c>
      <c r="H12" s="118">
        <f t="shared" si="0"/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 t="shared" si="0"/>
        <v>2.3255813953488372E-2</v>
      </c>
      <c r="I13" s="80">
        <v>11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 t="shared" si="0"/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 t="shared" si="0"/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 t="shared" si="0"/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 t="shared" si="0"/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 t="shared" si="0"/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4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 t="shared" si="0"/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4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 t="shared" si="0"/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4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 t="shared" si="0"/>
        <v>0</v>
      </c>
      <c r="I21" s="80">
        <v>1</v>
      </c>
      <c r="N21" s="100" t="s">
        <v>203</v>
      </c>
      <c r="O21" s="110">
        <f t="shared" si="4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 t="shared" si="0"/>
        <v>0</v>
      </c>
      <c r="I22" s="80">
        <v>3</v>
      </c>
      <c r="N22" s="100" t="s">
        <v>167</v>
      </c>
      <c r="O22" s="110">
        <f t="shared" si="4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 t="shared" si="0"/>
        <v>0</v>
      </c>
      <c r="I23" s="80">
        <v>1</v>
      </c>
      <c r="N23" s="100" t="s">
        <v>175</v>
      </c>
      <c r="O23" s="110">
        <f t="shared" si="4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161</v>
      </c>
      <c r="O25" s="110">
        <f t="shared" si="4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208</v>
      </c>
      <c r="O26" s="110">
        <f t="shared" si="4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195</v>
      </c>
      <c r="O27" s="110">
        <f t="shared" si="4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164</v>
      </c>
      <c r="O28" s="110">
        <f t="shared" si="4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169</v>
      </c>
      <c r="O29" s="110">
        <f t="shared" si="4"/>
        <v>14.5625</v>
      </c>
      <c r="P29" s="104">
        <v>8</v>
      </c>
      <c r="Q29" s="92">
        <v>116.5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179</v>
      </c>
      <c r="O30" s="110">
        <f t="shared" si="4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54">
        <v>65600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163</v>
      </c>
      <c r="O31" s="110">
        <f t="shared" si="4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205</v>
      </c>
      <c r="O32" s="110">
        <f t="shared" si="4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  <c r="N33" s="100" t="s">
        <v>162</v>
      </c>
      <c r="O33" s="110">
        <f t="shared" si="4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5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5"/>
        <v>0.16279069767441862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5"/>
        <v>0.23255813953488372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5"/>
        <v>0.23255813953488372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5"/>
        <v>6.9767441860465115E-2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5"/>
        <v>9.3023255813953487E-2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5"/>
        <v>2.3255813953488372E-2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5"/>
        <v>0</v>
      </c>
    </row>
    <row r="44" spans="1:17">
      <c r="A44" s="47" t="s">
        <v>144</v>
      </c>
      <c r="B44" s="137">
        <v>0</v>
      </c>
      <c r="C44" s="33">
        <f t="shared" si="5"/>
        <v>0</v>
      </c>
    </row>
    <row r="45" spans="1:17">
      <c r="A45" s="47" t="s">
        <v>145</v>
      </c>
      <c r="B45" s="137">
        <v>0</v>
      </c>
      <c r="C45" s="33">
        <f t="shared" si="5"/>
        <v>0</v>
      </c>
    </row>
    <row r="46" spans="1:17">
      <c r="A46" s="47" t="s">
        <v>146</v>
      </c>
      <c r="B46" s="137">
        <v>0</v>
      </c>
      <c r="C46" s="33">
        <f t="shared" si="5"/>
        <v>0</v>
      </c>
    </row>
    <row r="47" spans="1:17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54</v>
      </c>
      <c r="F2" s="51" t="s">
        <v>20</v>
      </c>
      <c r="G2" s="39">
        <v>4</v>
      </c>
      <c r="H2" s="117">
        <f t="shared" ref="H2:H42" si="0"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0">
        <v>15</v>
      </c>
      <c r="C3" s="161"/>
      <c r="E3" s="55" t="s">
        <v>181</v>
      </c>
      <c r="F3" s="52" t="s">
        <v>156</v>
      </c>
      <c r="G3" s="40">
        <v>3</v>
      </c>
      <c r="H3" s="118">
        <f t="shared" si="0"/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1"/>
        <v>-750</v>
      </c>
      <c r="P3" s="104">
        <v>2</v>
      </c>
      <c r="Q3" s="88">
        <v>-1500</v>
      </c>
    </row>
    <row r="4" spans="1:17">
      <c r="A4" s="47" t="s">
        <v>6</v>
      </c>
      <c r="B4" s="162">
        <v>-2.2000000000000011</v>
      </c>
      <c r="C4" s="163"/>
      <c r="E4" s="55" t="s">
        <v>182</v>
      </c>
      <c r="F4" s="52" t="s">
        <v>19</v>
      </c>
      <c r="G4" s="40">
        <v>1</v>
      </c>
      <c r="H4" s="118">
        <f t="shared" si="0"/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1"/>
        <v>5150</v>
      </c>
      <c r="P4" s="104">
        <v>2</v>
      </c>
      <c r="Q4" s="88">
        <v>10300</v>
      </c>
    </row>
    <row r="5" spans="1:17">
      <c r="A5" s="47" t="s">
        <v>7</v>
      </c>
      <c r="B5" s="164">
        <f>IF(B$2=0,0,B$4/B$2)</f>
        <v>-1.1000000000000005</v>
      </c>
      <c r="C5" s="165"/>
      <c r="E5" s="55" t="s">
        <v>55</v>
      </c>
      <c r="F5" s="52" t="s">
        <v>155</v>
      </c>
      <c r="G5" s="40">
        <v>1</v>
      </c>
      <c r="H5" s="118">
        <f t="shared" si="0"/>
        <v>0.33333333333333331</v>
      </c>
      <c r="I5" s="80">
        <v>3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56</v>
      </c>
      <c r="F6" s="52" t="s">
        <v>185</v>
      </c>
      <c r="G6" s="40">
        <v>1</v>
      </c>
      <c r="H6" s="118">
        <f t="shared" si="0"/>
        <v>0.33333333333333331</v>
      </c>
      <c r="I6" s="80">
        <v>6</v>
      </c>
      <c r="N6" s="100" t="s">
        <v>106</v>
      </c>
      <c r="O6" s="107">
        <f t="shared" ref="O6" si="2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1</v>
      </c>
      <c r="H7" s="118">
        <f t="shared" si="0"/>
        <v>0.33333333333333331</v>
      </c>
      <c r="I7" s="80">
        <v>5</v>
      </c>
      <c r="N7" s="100" t="s">
        <v>107</v>
      </c>
      <c r="O7" s="107">
        <f t="shared" si="1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 t="shared" si="0"/>
        <v>0.33333333333333331</v>
      </c>
      <c r="I8" s="80">
        <v>14</v>
      </c>
      <c r="N8" s="100" t="s">
        <v>108</v>
      </c>
      <c r="O8" s="107">
        <f t="shared" si="1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 t="shared" si="0"/>
        <v>0.33333333333333331</v>
      </c>
      <c r="I9" s="80">
        <v>15</v>
      </c>
      <c r="N9" s="101" t="s">
        <v>158</v>
      </c>
      <c r="O9" s="108">
        <f t="shared" si="1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 t="shared" si="0"/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3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33600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0.33333333333333331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0.33333333333333331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177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0">
        <v>19</v>
      </c>
      <c r="C3" s="161"/>
      <c r="E3" s="55" t="s">
        <v>54</v>
      </c>
      <c r="F3" s="52" t="s">
        <v>20</v>
      </c>
      <c r="G3" s="40">
        <v>1</v>
      </c>
      <c r="H3" s="118">
        <f t="shared" si="0"/>
        <v>0.25</v>
      </c>
      <c r="I3" s="80">
        <v>16</v>
      </c>
      <c r="K3" s="32">
        <v>1</v>
      </c>
      <c r="L3" s="85">
        <v>62.5</v>
      </c>
      <c r="N3" s="100" t="s">
        <v>104</v>
      </c>
      <c r="O3" s="107">
        <f t="shared" si="1"/>
        <v>-1300</v>
      </c>
      <c r="P3" s="104">
        <v>2</v>
      </c>
      <c r="Q3" s="88">
        <v>-2600</v>
      </c>
    </row>
    <row r="4" spans="1:17">
      <c r="A4" s="47" t="s">
        <v>6</v>
      </c>
      <c r="B4" s="162">
        <v>3.8999999999999986</v>
      </c>
      <c r="C4" s="163"/>
      <c r="E4" s="55" t="s">
        <v>55</v>
      </c>
      <c r="F4" s="52" t="s">
        <v>155</v>
      </c>
      <c r="G4" s="40">
        <v>1</v>
      </c>
      <c r="H4" s="118">
        <f t="shared" si="0"/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1"/>
        <v>-2450</v>
      </c>
      <c r="P4" s="104">
        <v>2</v>
      </c>
      <c r="Q4" s="88">
        <v>-4900</v>
      </c>
    </row>
    <row r="5" spans="1:17">
      <c r="A5" s="47" t="s">
        <v>7</v>
      </c>
      <c r="B5" s="164">
        <f>IF(B$2=0,0,B$4/B$2)</f>
        <v>1.9499999999999993</v>
      </c>
      <c r="C5" s="165"/>
      <c r="E5" s="55" t="s">
        <v>56</v>
      </c>
      <c r="F5" s="52" t="s">
        <v>185</v>
      </c>
      <c r="G5" s="40">
        <v>1</v>
      </c>
      <c r="H5" s="118">
        <f t="shared" si="0"/>
        <v>0.25</v>
      </c>
      <c r="I5" s="80">
        <v>10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6">
        <f>IF(B$2=0,0,(B$7*1+B$8*2+B$9*3+B$10*4)/B$2)</f>
        <v>2.5</v>
      </c>
      <c r="C6" s="167"/>
      <c r="E6" s="55" t="s">
        <v>57</v>
      </c>
      <c r="F6" s="52" t="s">
        <v>21</v>
      </c>
      <c r="G6" s="40">
        <v>1</v>
      </c>
      <c r="H6" s="118">
        <f t="shared" si="0"/>
        <v>0.25</v>
      </c>
      <c r="I6" s="80">
        <v>9</v>
      </c>
      <c r="N6" s="100" t="s">
        <v>106</v>
      </c>
      <c r="O6" s="107">
        <f t="shared" ref="O6" si="2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3">IF(B$2=0,0,B7/B$2)</f>
        <v>0.5</v>
      </c>
      <c r="E7" s="55" t="s">
        <v>59</v>
      </c>
      <c r="F7" s="52" t="s">
        <v>23</v>
      </c>
      <c r="G7" s="40">
        <v>1</v>
      </c>
      <c r="H7" s="118">
        <f t="shared" si="0"/>
        <v>0.25</v>
      </c>
      <c r="I7" s="80">
        <v>4</v>
      </c>
      <c r="N7" s="100" t="s">
        <v>107</v>
      </c>
      <c r="O7" s="107">
        <f t="shared" si="1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 t="shared" si="0"/>
        <v>0.25</v>
      </c>
      <c r="I8" s="80">
        <v>17</v>
      </c>
      <c r="N8" s="100" t="s">
        <v>108</v>
      </c>
      <c r="O8" s="107">
        <f t="shared" si="1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 t="shared" si="0"/>
        <v>0.25</v>
      </c>
      <c r="I9" s="80">
        <v>1</v>
      </c>
      <c r="N9" s="101" t="s">
        <v>158</v>
      </c>
      <c r="O9" s="108">
        <f t="shared" si="1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 t="shared" si="0"/>
        <v>0.25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 t="shared" si="0"/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58</v>
      </c>
      <c r="F12" s="52" t="s">
        <v>22</v>
      </c>
      <c r="G12" s="40">
        <v>0</v>
      </c>
      <c r="H12" s="118">
        <f t="shared" si="0"/>
        <v>0</v>
      </c>
      <c r="I12" s="80">
        <v>12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 t="shared" si="0"/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 t="shared" si="0"/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 t="shared" si="0"/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 t="shared" si="0"/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 t="shared" si="0"/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 t="shared" si="0"/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42500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0.25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0.25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0.25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180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0">
        <v>7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1"/>
        <v>-8600</v>
      </c>
      <c r="P3" s="104">
        <v>1</v>
      </c>
      <c r="Q3" s="88">
        <v>-8600</v>
      </c>
    </row>
    <row r="4" spans="1:17">
      <c r="A4" s="47" t="s">
        <v>6</v>
      </c>
      <c r="B4" s="162">
        <v>-52.6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N4" s="100" t="s">
        <v>105</v>
      </c>
      <c r="O4" s="107">
        <f t="shared" si="1"/>
        <v>0</v>
      </c>
      <c r="P4" s="104">
        <v>1</v>
      </c>
      <c r="Q4" s="88">
        <v>0</v>
      </c>
    </row>
    <row r="5" spans="1:17">
      <c r="A5" s="47" t="s">
        <v>7</v>
      </c>
      <c r="B5" s="164">
        <f>IF(B$2=0,0,B$4/B$2)</f>
        <v>-52.6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7400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179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16</v>
      </c>
      <c r="C2" s="159"/>
      <c r="E2" s="54" t="s">
        <v>60</v>
      </c>
      <c r="F2" s="51" t="s">
        <v>24</v>
      </c>
      <c r="G2" s="39">
        <v>19</v>
      </c>
      <c r="H2" s="117">
        <f t="shared" ref="H2:H42" si="0">IF(B$17=0,0,G2/B$17)</f>
        <v>0.59375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1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0">
        <v>131</v>
      </c>
      <c r="C3" s="161"/>
      <c r="E3" s="55" t="s">
        <v>54</v>
      </c>
      <c r="F3" s="52" t="s">
        <v>20</v>
      </c>
      <c r="G3" s="40">
        <v>18</v>
      </c>
      <c r="H3" s="118">
        <f t="shared" si="0"/>
        <v>0.5625</v>
      </c>
      <c r="I3" s="80">
        <v>6</v>
      </c>
      <c r="K3" s="32">
        <v>1</v>
      </c>
      <c r="L3" s="85">
        <v>55.2</v>
      </c>
      <c r="N3" s="100" t="s">
        <v>104</v>
      </c>
      <c r="O3" s="107">
        <f t="shared" si="1"/>
        <v>887.5</v>
      </c>
      <c r="P3" s="104">
        <v>16</v>
      </c>
      <c r="Q3" s="88">
        <v>14200</v>
      </c>
    </row>
    <row r="4" spans="1:17">
      <c r="A4" s="47" t="s">
        <v>6</v>
      </c>
      <c r="B4" s="162">
        <v>-34.6</v>
      </c>
      <c r="C4" s="163"/>
      <c r="E4" s="55" t="s">
        <v>184</v>
      </c>
      <c r="F4" s="52" t="s">
        <v>187</v>
      </c>
      <c r="G4" s="40">
        <v>12</v>
      </c>
      <c r="H4" s="118">
        <f t="shared" si="0"/>
        <v>0.375</v>
      </c>
      <c r="I4" s="80">
        <v>13</v>
      </c>
      <c r="K4" s="32">
        <v>2</v>
      </c>
      <c r="L4" s="85">
        <v>33.700000000000003</v>
      </c>
      <c r="N4" s="100" t="s">
        <v>105</v>
      </c>
      <c r="O4" s="107">
        <f t="shared" si="1"/>
        <v>-3662.5</v>
      </c>
      <c r="P4" s="104">
        <v>16</v>
      </c>
      <c r="Q4" s="88">
        <v>-58600</v>
      </c>
    </row>
    <row r="5" spans="1:17">
      <c r="A5" s="47" t="s">
        <v>7</v>
      </c>
      <c r="B5" s="164">
        <f>IF(B$2=0,0,B$4/B$2)</f>
        <v>-2.1625000000000001</v>
      </c>
      <c r="C5" s="165"/>
      <c r="E5" s="55" t="s">
        <v>181</v>
      </c>
      <c r="F5" s="52" t="s">
        <v>156</v>
      </c>
      <c r="G5" s="40">
        <v>10</v>
      </c>
      <c r="H5" s="118">
        <f t="shared" si="0"/>
        <v>0.3125</v>
      </c>
      <c r="I5" s="80">
        <v>16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66">
        <f>IF(B$2=0,0,(B$7*1+B$8*2+B$9*3+B$10*4)/B$2)</f>
        <v>2.4375</v>
      </c>
      <c r="C6" s="167"/>
      <c r="E6" s="55" t="s">
        <v>57</v>
      </c>
      <c r="F6" s="52" t="s">
        <v>21</v>
      </c>
      <c r="G6" s="40">
        <v>8</v>
      </c>
      <c r="H6" s="118">
        <f t="shared" si="0"/>
        <v>0.25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2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3">IF(B$2=0,0,B7/B$2)</f>
        <v>0.25</v>
      </c>
      <c r="E7" s="55" t="s">
        <v>56</v>
      </c>
      <c r="F7" s="52" t="s">
        <v>185</v>
      </c>
      <c r="G7" s="40">
        <v>6</v>
      </c>
      <c r="H7" s="118">
        <f t="shared" si="0"/>
        <v>0.1875</v>
      </c>
      <c r="I7" s="80">
        <v>15</v>
      </c>
      <c r="K7" s="32">
        <v>5</v>
      </c>
      <c r="L7" s="85">
        <v>22.9</v>
      </c>
      <c r="N7" s="100" t="s">
        <v>107</v>
      </c>
      <c r="O7" s="107">
        <f t="shared" si="1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 t="shared" si="0"/>
        <v>0.15625</v>
      </c>
      <c r="I8" s="80">
        <v>12</v>
      </c>
      <c r="K8" s="32">
        <v>6</v>
      </c>
      <c r="L8" s="85">
        <v>53.5</v>
      </c>
      <c r="N8" s="100" t="s">
        <v>108</v>
      </c>
      <c r="O8" s="107">
        <f t="shared" si="1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 t="shared" si="0"/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1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 t="shared" si="0"/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 t="shared" si="0"/>
        <v>3.125E-2</v>
      </c>
      <c r="I11" s="80">
        <v>14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6.25E-2</v>
      </c>
      <c r="E12" s="55" t="s">
        <v>62</v>
      </c>
      <c r="F12" s="52" t="s">
        <v>26</v>
      </c>
      <c r="G12" s="40">
        <v>1</v>
      </c>
      <c r="H12" s="118">
        <f t="shared" si="0"/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 t="shared" si="0"/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 t="shared" si="0"/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 t="shared" si="0"/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 t="shared" si="0"/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 t="shared" si="0"/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 t="shared" si="0"/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4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 t="shared" si="0"/>
        <v>0</v>
      </c>
      <c r="I19" s="80">
        <v>1</v>
      </c>
      <c r="N19" s="100" t="s">
        <v>175</v>
      </c>
      <c r="O19" s="110">
        <f t="shared" si="4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 t="shared" si="0"/>
        <v>0</v>
      </c>
      <c r="I20" s="80">
        <v>1</v>
      </c>
      <c r="N20" s="100" t="s">
        <v>208</v>
      </c>
      <c r="O20" s="110">
        <f t="shared" si="4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 t="shared" si="0"/>
        <v>0</v>
      </c>
      <c r="I21" s="80">
        <v>1</v>
      </c>
      <c r="N21" s="100" t="s">
        <v>199</v>
      </c>
      <c r="O21" s="110">
        <f t="shared" si="4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 t="shared" si="0"/>
        <v>0</v>
      </c>
      <c r="I22" s="80">
        <v>3</v>
      </c>
      <c r="N22" s="100" t="s">
        <v>195</v>
      </c>
      <c r="O22" s="110">
        <f t="shared" si="4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 t="shared" si="0"/>
        <v>0</v>
      </c>
      <c r="I23" s="80">
        <v>7</v>
      </c>
      <c r="N23" s="100" t="s">
        <v>166</v>
      </c>
      <c r="O23" s="110">
        <f t="shared" si="4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 t="shared" si="0"/>
        <v>0</v>
      </c>
      <c r="I24" s="80">
        <v>7</v>
      </c>
      <c r="N24" s="100" t="s">
        <v>163</v>
      </c>
      <c r="O24" s="110">
        <f t="shared" si="4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 t="shared" si="0"/>
        <v>0</v>
      </c>
      <c r="I25" s="80">
        <v>1</v>
      </c>
      <c r="N25" s="100" t="s">
        <v>161</v>
      </c>
      <c r="O25" s="110">
        <f t="shared" si="4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 t="shared" si="0"/>
        <v>0</v>
      </c>
      <c r="I26" s="80">
        <v>4</v>
      </c>
      <c r="N26" s="100" t="s">
        <v>168</v>
      </c>
      <c r="O26" s="110">
        <f t="shared" si="4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 t="shared" si="0"/>
        <v>0</v>
      </c>
      <c r="I27" s="80">
        <v>1</v>
      </c>
      <c r="N27" s="100" t="s">
        <v>164</v>
      </c>
      <c r="O27" s="110">
        <f t="shared" si="4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 t="shared" si="0"/>
        <v>0</v>
      </c>
      <c r="I28" s="80">
        <v>8</v>
      </c>
      <c r="N28" s="100" t="s">
        <v>191</v>
      </c>
      <c r="O28" s="110">
        <f t="shared" si="4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 t="shared" si="0"/>
        <v>0</v>
      </c>
      <c r="I29" s="80">
        <v>1</v>
      </c>
      <c r="N29" s="100" t="s">
        <v>196</v>
      </c>
      <c r="O29" s="110">
        <f t="shared" si="4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52">
        <v>5</v>
      </c>
      <c r="C30" s="153"/>
      <c r="E30" s="55" t="s">
        <v>74</v>
      </c>
      <c r="F30" s="52" t="s">
        <v>38</v>
      </c>
      <c r="G30" s="40">
        <v>0</v>
      </c>
      <c r="H30" s="118">
        <f t="shared" si="0"/>
        <v>0</v>
      </c>
      <c r="I30" s="80">
        <v>7</v>
      </c>
      <c r="N30" s="100" t="s">
        <v>169</v>
      </c>
      <c r="O30" s="110">
        <f t="shared" si="4"/>
        <v>-46.75</v>
      </c>
      <c r="P30" s="104">
        <v>8</v>
      </c>
      <c r="Q30" s="92">
        <v>-374</v>
      </c>
    </row>
    <row r="31" spans="1:17">
      <c r="A31" s="50" t="s">
        <v>148</v>
      </c>
      <c r="B31" s="154">
        <v>53200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205</v>
      </c>
      <c r="O31" s="110">
        <f t="shared" si="4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  <c r="N32" s="100" t="s">
        <v>162</v>
      </c>
      <c r="O32" s="110">
        <f t="shared" si="4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5">IF(B$17=0,0,B35/B$17)</f>
        <v>0.1875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5"/>
        <v>0.21875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5"/>
        <v>0.25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5"/>
        <v>0.15625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5"/>
        <v>0.125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5"/>
        <v>6.25E-2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199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1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0">
        <v>15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1"/>
        <v>-250</v>
      </c>
      <c r="P3" s="104">
        <v>2</v>
      </c>
      <c r="Q3" s="88">
        <v>-500</v>
      </c>
    </row>
    <row r="4" spans="1:17">
      <c r="A4" s="47" t="s">
        <v>6</v>
      </c>
      <c r="B4" s="162">
        <v>-97.4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K4" s="32">
        <v>2</v>
      </c>
      <c r="L4" s="85">
        <v>-97.4</v>
      </c>
      <c r="N4" s="100" t="s">
        <v>105</v>
      </c>
      <c r="O4" s="107">
        <f t="shared" si="1"/>
        <v>-550</v>
      </c>
      <c r="P4" s="104">
        <v>2</v>
      </c>
      <c r="Q4" s="88">
        <v>-1100</v>
      </c>
    </row>
    <row r="5" spans="1:17">
      <c r="A5" s="47" t="s">
        <v>7</v>
      </c>
      <c r="B5" s="164">
        <f>IF(B$2=0,0,B$4/B$2)</f>
        <v>-48.7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14100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191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14</v>
      </c>
      <c r="C2" s="159"/>
      <c r="E2" s="54" t="s">
        <v>54</v>
      </c>
      <c r="F2" s="51" t="s">
        <v>20</v>
      </c>
      <c r="G2" s="39">
        <v>21</v>
      </c>
      <c r="H2" s="117">
        <f t="shared" ref="H2:H42" si="0"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0">
        <v>115</v>
      </c>
      <c r="C3" s="161"/>
      <c r="E3" s="55" t="s">
        <v>184</v>
      </c>
      <c r="F3" s="52" t="s">
        <v>187</v>
      </c>
      <c r="G3" s="40">
        <v>11</v>
      </c>
      <c r="H3" s="118">
        <f t="shared" si="0"/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1"/>
        <v>-371.42857142857144</v>
      </c>
      <c r="P3" s="104">
        <v>14</v>
      </c>
      <c r="Q3" s="88">
        <v>-5200</v>
      </c>
    </row>
    <row r="4" spans="1:17">
      <c r="A4" s="47" t="s">
        <v>6</v>
      </c>
      <c r="B4" s="162">
        <v>79.299999999999983</v>
      </c>
      <c r="C4" s="163"/>
      <c r="E4" s="55" t="s">
        <v>60</v>
      </c>
      <c r="F4" s="52" t="s">
        <v>24</v>
      </c>
      <c r="G4" s="40">
        <v>9</v>
      </c>
      <c r="H4" s="118">
        <f t="shared" si="0"/>
        <v>0.42857142857142855</v>
      </c>
      <c r="I4" s="80">
        <v>8</v>
      </c>
      <c r="K4" s="32">
        <v>2</v>
      </c>
      <c r="L4" s="85">
        <v>-47.5</v>
      </c>
      <c r="N4" s="100" t="s">
        <v>105</v>
      </c>
      <c r="O4" s="107">
        <f t="shared" si="1"/>
        <v>907.14285714285711</v>
      </c>
      <c r="P4" s="104">
        <v>14</v>
      </c>
      <c r="Q4" s="88">
        <v>12700</v>
      </c>
    </row>
    <row r="5" spans="1:17">
      <c r="A5" s="47" t="s">
        <v>7</v>
      </c>
      <c r="B5" s="164">
        <f>IF(B$2=0,0,B$4/B$2)</f>
        <v>5.6642857142857128</v>
      </c>
      <c r="C5" s="165"/>
      <c r="E5" s="55" t="s">
        <v>59</v>
      </c>
      <c r="F5" s="52" t="s">
        <v>23</v>
      </c>
      <c r="G5" s="40">
        <v>7</v>
      </c>
      <c r="H5" s="118">
        <f t="shared" si="0"/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66">
        <f>IF(B$2=0,0,(B$7*1+B$8*2+B$9*3+B$10*4)/B$2)</f>
        <v>2.1428571428571428</v>
      </c>
      <c r="C6" s="167"/>
      <c r="E6" s="55" t="s">
        <v>57</v>
      </c>
      <c r="F6" s="52" t="s">
        <v>21</v>
      </c>
      <c r="G6" s="40">
        <v>5</v>
      </c>
      <c r="H6" s="118">
        <f t="shared" si="0"/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2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3">IF(B$2=0,0,B7/B$2)</f>
        <v>0.21428571428571427</v>
      </c>
      <c r="E7" s="55" t="s">
        <v>181</v>
      </c>
      <c r="F7" s="52" t="s">
        <v>156</v>
      </c>
      <c r="G7" s="40">
        <v>4</v>
      </c>
      <c r="H7" s="118">
        <f t="shared" si="0"/>
        <v>0.19047619047619047</v>
      </c>
      <c r="I7" s="80">
        <v>17</v>
      </c>
      <c r="K7" s="32">
        <v>5</v>
      </c>
      <c r="L7" s="85">
        <v>4.1000000000000014</v>
      </c>
      <c r="N7" s="100" t="s">
        <v>107</v>
      </c>
      <c r="O7" s="107">
        <f t="shared" si="1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 t="shared" si="0"/>
        <v>9.5238095238095233E-2</v>
      </c>
      <c r="I8" s="80">
        <v>15</v>
      </c>
      <c r="K8" s="32">
        <v>6</v>
      </c>
      <c r="L8" s="85">
        <v>70</v>
      </c>
      <c r="N8" s="100" t="s">
        <v>108</v>
      </c>
      <c r="O8" s="107">
        <f t="shared" si="1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 t="shared" si="0"/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1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 t="shared" si="0"/>
        <v>4.7619047619047616E-2</v>
      </c>
      <c r="I10" s="80">
        <v>17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 t="shared" si="0"/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3"/>
        <v>7.1428571428571425E-2</v>
      </c>
      <c r="E12" s="55" t="s">
        <v>66</v>
      </c>
      <c r="F12" s="52" t="s">
        <v>30</v>
      </c>
      <c r="G12" s="40">
        <v>1</v>
      </c>
      <c r="H12" s="118">
        <f t="shared" si="0"/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 t="shared" si="0"/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 t="shared" si="0"/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 t="shared" si="0"/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 t="shared" si="0"/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 t="shared" si="0"/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 t="shared" si="0"/>
        <v>0</v>
      </c>
      <c r="I18" s="80">
        <v>1</v>
      </c>
      <c r="N18" s="99" t="s">
        <v>196</v>
      </c>
      <c r="O18" s="109">
        <f t="shared" ref="O18:O29" si="4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 t="shared" si="4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 t="shared" si="0"/>
        <v>0</v>
      </c>
      <c r="I20" s="80">
        <v>1</v>
      </c>
      <c r="N20" s="100" t="s">
        <v>202</v>
      </c>
      <c r="O20" s="110">
        <f t="shared" si="4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 t="shared" si="0"/>
        <v>0</v>
      </c>
      <c r="I21" s="80">
        <v>1</v>
      </c>
      <c r="N21" s="100" t="s">
        <v>208</v>
      </c>
      <c r="O21" s="110">
        <f t="shared" si="4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 t="shared" si="0"/>
        <v>0</v>
      </c>
      <c r="I22" s="80">
        <v>4</v>
      </c>
      <c r="N22" s="100" t="s">
        <v>203</v>
      </c>
      <c r="O22" s="110">
        <f t="shared" si="4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 t="shared" si="0"/>
        <v>0</v>
      </c>
      <c r="I23" s="80">
        <v>1</v>
      </c>
      <c r="N23" s="100" t="s">
        <v>205</v>
      </c>
      <c r="O23" s="110">
        <f t="shared" si="4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 t="shared" si="0"/>
        <v>0</v>
      </c>
      <c r="I24" s="80">
        <v>8</v>
      </c>
      <c r="N24" s="100" t="s">
        <v>179</v>
      </c>
      <c r="O24" s="110">
        <f t="shared" si="4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164</v>
      </c>
      <c r="O25" s="110">
        <f t="shared" si="4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163</v>
      </c>
      <c r="O26" s="110">
        <f t="shared" si="4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 t="shared" si="0"/>
        <v>0</v>
      </c>
      <c r="I27" s="80">
        <v>7</v>
      </c>
      <c r="N27" s="100" t="s">
        <v>169</v>
      </c>
      <c r="O27" s="110">
        <f t="shared" si="4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  <c r="N28" s="100" t="s">
        <v>168</v>
      </c>
      <c r="O28" s="110">
        <f t="shared" si="4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  <c r="N29" s="100" t="s">
        <v>162</v>
      </c>
      <c r="O29" s="110">
        <f t="shared" si="4"/>
        <v>-47.8</v>
      </c>
      <c r="P29" s="104">
        <v>1</v>
      </c>
      <c r="Q29" s="92">
        <v>-47.8</v>
      </c>
    </row>
    <row r="30" spans="1:17">
      <c r="A30" s="76" t="s">
        <v>111</v>
      </c>
      <c r="B30" s="152">
        <v>5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52500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5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5"/>
        <v>0.23809523809523808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0.19047619047619047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5"/>
        <v>0.23809523809523808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5"/>
        <v>9.5238095238095233E-2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5"/>
        <v>4.7619047619047616E-2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5"/>
        <v>4.7619047619047616E-2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18</v>
      </c>
      <c r="C2" s="159"/>
      <c r="E2" s="54" t="s">
        <v>181</v>
      </c>
      <c r="F2" s="51" t="s">
        <v>156</v>
      </c>
      <c r="G2" s="39">
        <v>13</v>
      </c>
      <c r="H2" s="117">
        <f t="shared" ref="H2:H42" si="0">IF(B$17=0,0,G2/B$17)</f>
        <v>0.52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1">IF(P2=0,0,Q2/P2)</f>
        <v>544.44444444444446</v>
      </c>
      <c r="P2" s="103">
        <v>18</v>
      </c>
      <c r="Q2" s="87">
        <v>9800</v>
      </c>
    </row>
    <row r="3" spans="1:17">
      <c r="A3" s="47" t="s">
        <v>8</v>
      </c>
      <c r="B3" s="160">
        <v>128</v>
      </c>
      <c r="C3" s="161"/>
      <c r="E3" s="55" t="s">
        <v>184</v>
      </c>
      <c r="F3" s="52" t="s">
        <v>187</v>
      </c>
      <c r="G3" s="40">
        <v>10</v>
      </c>
      <c r="H3" s="118">
        <f t="shared" si="0"/>
        <v>0.4</v>
      </c>
      <c r="I3" s="80">
        <v>12</v>
      </c>
      <c r="K3" s="32">
        <v>1</v>
      </c>
      <c r="L3" s="85">
        <v>-21.3</v>
      </c>
      <c r="N3" s="100" t="s">
        <v>104</v>
      </c>
      <c r="O3" s="107">
        <f t="shared" si="1"/>
        <v>-1127.7777777777778</v>
      </c>
      <c r="P3" s="104">
        <v>18</v>
      </c>
      <c r="Q3" s="88">
        <v>-20300</v>
      </c>
    </row>
    <row r="4" spans="1:17">
      <c r="A4" s="47" t="s">
        <v>6</v>
      </c>
      <c r="B4" s="162">
        <v>-245.20000000000002</v>
      </c>
      <c r="C4" s="163"/>
      <c r="E4" s="55" t="s">
        <v>54</v>
      </c>
      <c r="F4" s="52" t="s">
        <v>20</v>
      </c>
      <c r="G4" s="40">
        <v>8</v>
      </c>
      <c r="H4" s="118">
        <f t="shared" si="0"/>
        <v>0.32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1"/>
        <v>-1100</v>
      </c>
      <c r="P4" s="104">
        <v>18</v>
      </c>
      <c r="Q4" s="88">
        <v>-19800</v>
      </c>
    </row>
    <row r="5" spans="1:17">
      <c r="A5" s="47" t="s">
        <v>7</v>
      </c>
      <c r="B5" s="164">
        <f>IF(B$2=0,0,B$4/B$2)</f>
        <v>-13.622222222222224</v>
      </c>
      <c r="C5" s="165"/>
      <c r="E5" s="55" t="s">
        <v>60</v>
      </c>
      <c r="F5" s="52" t="s">
        <v>24</v>
      </c>
      <c r="G5" s="40">
        <v>8</v>
      </c>
      <c r="H5" s="118">
        <f t="shared" si="0"/>
        <v>0.32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-606.25</v>
      </c>
      <c r="P5" s="104">
        <v>16</v>
      </c>
      <c r="Q5" s="88">
        <v>-9700</v>
      </c>
    </row>
    <row r="6" spans="1:17">
      <c r="A6" s="47" t="s">
        <v>1</v>
      </c>
      <c r="B6" s="166">
        <f>IF(B$2=0,0,(B$7*1+B$8*2+B$9*3+B$10*4)/B$2)</f>
        <v>2.7222222222222223</v>
      </c>
      <c r="C6" s="167"/>
      <c r="E6" s="55" t="s">
        <v>55</v>
      </c>
      <c r="F6" s="52" t="s">
        <v>155</v>
      </c>
      <c r="G6" s="40">
        <v>6</v>
      </c>
      <c r="H6" s="118">
        <f t="shared" si="0"/>
        <v>0.24</v>
      </c>
      <c r="I6" s="80">
        <v>7</v>
      </c>
      <c r="K6" s="32">
        <v>4</v>
      </c>
      <c r="L6" s="85">
        <v>-96.4</v>
      </c>
      <c r="N6" s="100" t="s">
        <v>106</v>
      </c>
      <c r="O6" s="107">
        <f t="shared" ref="O6" si="2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2</v>
      </c>
      <c r="C7" s="33">
        <f t="shared" ref="C7:C12" si="3">IF(B$2=0,0,B7/B$2)</f>
        <v>0.1111111111111111</v>
      </c>
      <c r="E7" s="55" t="s">
        <v>56</v>
      </c>
      <c r="F7" s="52" t="s">
        <v>185</v>
      </c>
      <c r="G7" s="40">
        <v>6</v>
      </c>
      <c r="H7" s="118">
        <f t="shared" si="0"/>
        <v>0.24</v>
      </c>
      <c r="I7" s="80">
        <v>13</v>
      </c>
      <c r="K7" s="32">
        <v>5</v>
      </c>
      <c r="L7" s="85">
        <v>-160.60000000000002</v>
      </c>
      <c r="N7" s="100" t="s">
        <v>107</v>
      </c>
      <c r="O7" s="107">
        <f t="shared" si="1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0.22222222222222221</v>
      </c>
      <c r="E8" s="55" t="s">
        <v>59</v>
      </c>
      <c r="F8" s="52" t="s">
        <v>23</v>
      </c>
      <c r="G8" s="40">
        <v>6</v>
      </c>
      <c r="H8" s="118">
        <f t="shared" si="0"/>
        <v>0.24</v>
      </c>
      <c r="I8" s="80">
        <v>6</v>
      </c>
      <c r="K8" s="32">
        <v>6</v>
      </c>
      <c r="L8" s="85">
        <v>-199.10000000000002</v>
      </c>
      <c r="N8" s="100" t="s">
        <v>108</v>
      </c>
      <c r="O8" s="107">
        <f t="shared" si="1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9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 t="shared" si="0"/>
        <v>0.12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1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0.16666666666666666</v>
      </c>
      <c r="E10" s="55" t="s">
        <v>71</v>
      </c>
      <c r="F10" s="52" t="s">
        <v>35</v>
      </c>
      <c r="G10" s="40">
        <v>2</v>
      </c>
      <c r="H10" s="118">
        <f t="shared" si="0"/>
        <v>0.08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0.33333333333333331</v>
      </c>
      <c r="E11" s="55" t="s">
        <v>58</v>
      </c>
      <c r="F11" s="52" t="s">
        <v>22</v>
      </c>
      <c r="G11" s="40">
        <v>1</v>
      </c>
      <c r="H11" s="118">
        <f t="shared" si="0"/>
        <v>0.04</v>
      </c>
      <c r="I11" s="80">
        <v>10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3"/>
        <v>0.1111111111111111</v>
      </c>
      <c r="E12" s="55" t="s">
        <v>74</v>
      </c>
      <c r="F12" s="52" t="s">
        <v>38</v>
      </c>
      <c r="G12" s="40">
        <v>1</v>
      </c>
      <c r="H12" s="118">
        <f t="shared" si="0"/>
        <v>0.04</v>
      </c>
      <c r="I12" s="80">
        <v>5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27</v>
      </c>
      <c r="C13" s="38">
        <f>IF(B$3=0,0,B13/B$3)</f>
        <v>0.2109375</v>
      </c>
      <c r="E13" s="55" t="s">
        <v>57</v>
      </c>
      <c r="F13" s="52" t="s">
        <v>21</v>
      </c>
      <c r="G13" s="40">
        <v>0</v>
      </c>
      <c r="H13" s="118">
        <f t="shared" si="0"/>
        <v>0</v>
      </c>
      <c r="I13" s="80">
        <v>15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33</v>
      </c>
      <c r="C14" s="33">
        <f>IF(B$3=0,0,B14/B$3)</f>
        <v>0.2578125</v>
      </c>
      <c r="E14" s="55" t="s">
        <v>61</v>
      </c>
      <c r="F14" s="52" t="s">
        <v>25</v>
      </c>
      <c r="G14" s="40">
        <v>0</v>
      </c>
      <c r="H14" s="118">
        <f t="shared" si="0"/>
        <v>0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-9.92</v>
      </c>
      <c r="P14" s="104">
        <v>5</v>
      </c>
      <c r="Q14" s="92">
        <v>-49.6</v>
      </c>
    </row>
    <row r="15" spans="1:17">
      <c r="A15" s="46" t="s">
        <v>99</v>
      </c>
      <c r="B15" s="39">
        <f>B21</f>
        <v>13</v>
      </c>
      <c r="C15" s="31">
        <f>IF(B$13=0,0,B15/B$13)</f>
        <v>0.48148148148148145</v>
      </c>
      <c r="E15" s="55" t="s">
        <v>62</v>
      </c>
      <c r="F15" s="52" t="s">
        <v>26</v>
      </c>
      <c r="G15" s="40">
        <v>0</v>
      </c>
      <c r="H15" s="118">
        <f t="shared" si="0"/>
        <v>0</v>
      </c>
      <c r="I15" s="80">
        <v>4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10</v>
      </c>
      <c r="C16" s="31">
        <f>IF(B$14=0,0,B16/B$14)</f>
        <v>0.30303030303030304</v>
      </c>
      <c r="E16" s="55" t="s">
        <v>63</v>
      </c>
      <c r="F16" s="52" t="s">
        <v>27</v>
      </c>
      <c r="G16" s="40">
        <v>0</v>
      </c>
      <c r="H16" s="118">
        <f t="shared" si="0"/>
        <v>0</v>
      </c>
      <c r="I16" s="80">
        <v>1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25</v>
      </c>
      <c r="C17" s="31">
        <f>IF(B$3=0,0,B17/B$3)</f>
        <v>0.1953125</v>
      </c>
      <c r="E17" s="55" t="s">
        <v>64</v>
      </c>
      <c r="F17" s="52" t="s">
        <v>28</v>
      </c>
      <c r="G17" s="40">
        <v>0</v>
      </c>
      <c r="H17" s="118">
        <f t="shared" si="0"/>
        <v>0</v>
      </c>
      <c r="I17" s="80">
        <v>1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0.15625</v>
      </c>
      <c r="E18" s="55" t="s">
        <v>65</v>
      </c>
      <c r="F18" s="52" t="s">
        <v>29</v>
      </c>
      <c r="G18" s="40">
        <v>0</v>
      </c>
      <c r="H18" s="118">
        <f t="shared" si="0"/>
        <v>0</v>
      </c>
      <c r="I18" s="80">
        <v>1</v>
      </c>
      <c r="K18" s="32">
        <v>16</v>
      </c>
      <c r="L18" s="85">
        <v>-275</v>
      </c>
      <c r="N18" s="99" t="s">
        <v>216</v>
      </c>
      <c r="O18" s="109">
        <f t="shared" ref="O18:O31" si="4">IF(P18=0,0,Q18/P18)</f>
        <v>44.760000000000005</v>
      </c>
      <c r="P18" s="103">
        <v>5</v>
      </c>
      <c r="Q18" s="91">
        <v>223.8</v>
      </c>
    </row>
    <row r="19" spans="1:17">
      <c r="A19" s="47" t="s">
        <v>12</v>
      </c>
      <c r="B19" s="40">
        <v>11</v>
      </c>
      <c r="C19" s="33">
        <f>IF(B$17=0,0,B19/B$17)</f>
        <v>0.44</v>
      </c>
      <c r="E19" s="55" t="s">
        <v>66</v>
      </c>
      <c r="F19" s="52" t="s">
        <v>30</v>
      </c>
      <c r="G19" s="40">
        <v>0</v>
      </c>
      <c r="H19" s="118">
        <f t="shared" si="0"/>
        <v>0</v>
      </c>
      <c r="I19" s="80">
        <v>3</v>
      </c>
      <c r="K19" s="32">
        <v>17</v>
      </c>
      <c r="L19" s="85">
        <v>-298.60000000000002</v>
      </c>
      <c r="N19" s="100" t="s">
        <v>208</v>
      </c>
      <c r="O19" s="110">
        <f t="shared" si="4"/>
        <v>45.5</v>
      </c>
      <c r="P19" s="104">
        <v>2</v>
      </c>
      <c r="Q19" s="92">
        <v>91</v>
      </c>
    </row>
    <row r="20" spans="1:17">
      <c r="A20" s="47" t="s">
        <v>11</v>
      </c>
      <c r="B20" s="40">
        <v>14</v>
      </c>
      <c r="C20" s="33">
        <f>IF(B$17=0,0,B20/B$17)</f>
        <v>0.56000000000000005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K20" s="32">
        <v>18</v>
      </c>
      <c r="L20" s="85">
        <v>-245.20000000000002</v>
      </c>
      <c r="N20" s="100" t="s">
        <v>215</v>
      </c>
      <c r="O20" s="110">
        <f t="shared" si="4"/>
        <v>24.4</v>
      </c>
      <c r="P20" s="104">
        <v>1</v>
      </c>
      <c r="Q20" s="92">
        <v>24.4</v>
      </c>
    </row>
    <row r="21" spans="1:17">
      <c r="A21" s="47" t="s">
        <v>151</v>
      </c>
      <c r="B21" s="40">
        <v>13</v>
      </c>
      <c r="C21" s="33">
        <f>IF(B$17=0,0,B21/B$17)</f>
        <v>0.52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N21" s="100" t="s">
        <v>203</v>
      </c>
      <c r="O21" s="110">
        <f t="shared" si="4"/>
        <v>20.5</v>
      </c>
      <c r="P21" s="104">
        <v>1</v>
      </c>
      <c r="Q21" s="92">
        <v>20.5</v>
      </c>
    </row>
    <row r="22" spans="1:17">
      <c r="A22" s="47" t="s">
        <v>149</v>
      </c>
      <c r="B22" s="40">
        <v>10</v>
      </c>
      <c r="C22" s="33">
        <f>IF(B$17=0,0,B22/B$17)</f>
        <v>0.4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169</v>
      </c>
      <c r="O22" s="110">
        <f t="shared" si="4"/>
        <v>-18.229999999999997</v>
      </c>
      <c r="P22" s="104">
        <v>10</v>
      </c>
      <c r="Q22" s="92">
        <v>-182.29999999999995</v>
      </c>
    </row>
    <row r="23" spans="1:17">
      <c r="A23" s="47" t="s">
        <v>150</v>
      </c>
      <c r="B23" s="40">
        <v>2</v>
      </c>
      <c r="C23" s="33">
        <f>IF(B$17=0,0,B23/B$17)</f>
        <v>0.08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164</v>
      </c>
      <c r="O23" s="110">
        <f t="shared" si="4"/>
        <v>-19.399999999999999</v>
      </c>
      <c r="P23" s="104">
        <v>4</v>
      </c>
      <c r="Q23" s="92">
        <v>-77.599999999999994</v>
      </c>
    </row>
    <row r="24" spans="1:17">
      <c r="A24" s="47" t="s">
        <v>5</v>
      </c>
      <c r="B24" s="44">
        <f>IF(B$17=0,0,C24/B$17)</f>
        <v>4256</v>
      </c>
      <c r="C24" s="35">
        <v>106400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161</v>
      </c>
      <c r="O24" s="110">
        <f t="shared" si="4"/>
        <v>-20.650000000000006</v>
      </c>
      <c r="P24" s="104">
        <v>2</v>
      </c>
      <c r="Q24" s="92">
        <v>-41.300000000000011</v>
      </c>
    </row>
    <row r="25" spans="1:17">
      <c r="A25" s="48" t="s">
        <v>133</v>
      </c>
      <c r="B25" s="121">
        <f>IF($B$17-B$16=0,0,C25/($B$17-B$16))</f>
        <v>5693.333333333333</v>
      </c>
      <c r="C25" s="122">
        <v>85400</v>
      </c>
      <c r="E25" s="55" t="s">
        <v>72</v>
      </c>
      <c r="F25" s="52" t="s">
        <v>36</v>
      </c>
      <c r="G25" s="40">
        <v>0</v>
      </c>
      <c r="H25" s="118">
        <f t="shared" si="0"/>
        <v>0</v>
      </c>
      <c r="I25" s="80">
        <v>4</v>
      </c>
      <c r="N25" s="100" t="s">
        <v>168</v>
      </c>
      <c r="O25" s="110">
        <f t="shared" si="4"/>
        <v>-25.7</v>
      </c>
      <c r="P25" s="104">
        <v>7</v>
      </c>
      <c r="Q25" s="92">
        <v>-179.9</v>
      </c>
    </row>
    <row r="26" spans="1:17">
      <c r="A26" s="48" t="s">
        <v>134</v>
      </c>
      <c r="B26" s="121">
        <f>IF(B$16=0,0,C26/B$16)</f>
        <v>2100</v>
      </c>
      <c r="C26" s="122">
        <v>21000</v>
      </c>
      <c r="E26" s="55" t="s">
        <v>73</v>
      </c>
      <c r="F26" s="52" t="s">
        <v>37</v>
      </c>
      <c r="G26" s="40">
        <v>0</v>
      </c>
      <c r="H26" s="118">
        <f t="shared" si="0"/>
        <v>0</v>
      </c>
      <c r="I26" s="80">
        <v>1</v>
      </c>
      <c r="N26" s="100" t="s">
        <v>163</v>
      </c>
      <c r="O26" s="110">
        <f t="shared" si="4"/>
        <v>-30.9</v>
      </c>
      <c r="P26" s="104">
        <v>1</v>
      </c>
      <c r="Q26" s="92">
        <v>-30.9</v>
      </c>
    </row>
    <row r="27" spans="1:17">
      <c r="A27" s="48" t="s">
        <v>132</v>
      </c>
      <c r="B27" s="121">
        <f>IF(B$18=0,0,C27/B$18)</f>
        <v>-6805</v>
      </c>
      <c r="C27" s="122">
        <v>-136100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  <c r="N27" s="100" t="s">
        <v>213</v>
      </c>
      <c r="O27" s="110">
        <f t="shared" si="4"/>
        <v>-2.1999999999999957</v>
      </c>
      <c r="P27" s="104">
        <v>5</v>
      </c>
      <c r="Q27" s="92">
        <v>-10.999999999999979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  <c r="N28" s="100" t="s">
        <v>179</v>
      </c>
      <c r="O28" s="110">
        <f t="shared" si="4"/>
        <v>-34.119999999999997</v>
      </c>
      <c r="P28" s="104">
        <v>5</v>
      </c>
      <c r="Q28" s="92">
        <v>-170.6</v>
      </c>
    </row>
    <row r="29" spans="1:17">
      <c r="A29" s="47" t="s">
        <v>131</v>
      </c>
      <c r="B29" s="40">
        <v>19</v>
      </c>
      <c r="C29" s="120">
        <v>6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  <c r="N29" s="100" t="s">
        <v>162</v>
      </c>
      <c r="O29" s="110">
        <f t="shared" si="4"/>
        <v>-43.699999999999996</v>
      </c>
      <c r="P29" s="104">
        <v>4</v>
      </c>
      <c r="Q29" s="92">
        <v>-174.79999999999998</v>
      </c>
    </row>
    <row r="30" spans="1:17">
      <c r="A30" s="76" t="s">
        <v>111</v>
      </c>
      <c r="B30" s="152">
        <v>4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  <c r="N30" s="100" t="s">
        <v>191</v>
      </c>
      <c r="O30" s="110">
        <f t="shared" si="4"/>
        <v>-65.966666666666669</v>
      </c>
      <c r="P30" s="104">
        <v>3</v>
      </c>
      <c r="Q30" s="92">
        <v>-197.9</v>
      </c>
    </row>
    <row r="31" spans="1:17">
      <c r="A31" s="50" t="s">
        <v>148</v>
      </c>
      <c r="B31" s="154">
        <v>48000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  <c r="N31" s="100" t="s">
        <v>205</v>
      </c>
      <c r="O31" s="110">
        <f t="shared" si="4"/>
        <v>-66.05</v>
      </c>
      <c r="P31" s="104">
        <v>4</v>
      </c>
      <c r="Q31" s="92">
        <v>-264.2</v>
      </c>
    </row>
    <row r="32" spans="1:17">
      <c r="A32" s="49" t="s">
        <v>112</v>
      </c>
      <c r="B32" s="57">
        <v>1</v>
      </c>
      <c r="C32" s="36">
        <f>IF(B$3=0,0,B32/B$3)</f>
        <v>7.8125E-3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4</v>
      </c>
      <c r="C35" s="126">
        <f t="shared" ref="C35:C47" si="5">IF(B$17=0,0,B35/B$17)</f>
        <v>0.16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8</v>
      </c>
      <c r="C36" s="33">
        <f t="shared" si="5"/>
        <v>0.32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10</v>
      </c>
      <c r="C37" s="33">
        <f t="shared" si="5"/>
        <v>0.4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5"/>
        <v>0.08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5"/>
        <v>0.04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196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60</v>
      </c>
      <c r="F2" s="51" t="s">
        <v>24</v>
      </c>
      <c r="G2" s="39">
        <v>1</v>
      </c>
      <c r="H2" s="117">
        <f t="shared" ref="H2:H42" si="0"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0">
        <v>8</v>
      </c>
      <c r="C3" s="161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18</v>
      </c>
      <c r="K3" s="32">
        <v>1</v>
      </c>
      <c r="L3" s="85">
        <v>-27.1</v>
      </c>
      <c r="N3" s="100" t="s">
        <v>104</v>
      </c>
      <c r="O3" s="107">
        <f t="shared" si="1"/>
        <v>-4600</v>
      </c>
      <c r="P3" s="104">
        <v>1</v>
      </c>
      <c r="Q3" s="88">
        <v>-4600</v>
      </c>
    </row>
    <row r="4" spans="1:17">
      <c r="A4" s="47" t="s">
        <v>6</v>
      </c>
      <c r="B4" s="162">
        <v>-27.1</v>
      </c>
      <c r="C4" s="163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N4" s="100" t="s">
        <v>105</v>
      </c>
      <c r="O4" s="107">
        <f t="shared" si="1"/>
        <v>1000</v>
      </c>
      <c r="P4" s="104">
        <v>1</v>
      </c>
      <c r="Q4" s="88">
        <v>1000</v>
      </c>
    </row>
    <row r="5" spans="1:17">
      <c r="A5" s="47" t="s">
        <v>7</v>
      </c>
      <c r="B5" s="164">
        <f>IF(B$2=0,0,B$4/B$2)</f>
        <v>-27.1</v>
      </c>
      <c r="C5" s="165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16</v>
      </c>
      <c r="N6" s="100" t="s">
        <v>106</v>
      </c>
      <c r="O6" s="107">
        <f t="shared" ref="O6" si="2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12900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1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181</v>
      </c>
      <c r="F2" s="51" t="s">
        <v>156</v>
      </c>
      <c r="G2" s="39">
        <v>3</v>
      </c>
      <c r="H2" s="117">
        <f t="shared" ref="H2:H42" si="0"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0">
        <v>43</v>
      </c>
      <c r="C3" s="161"/>
      <c r="E3" s="55" t="s">
        <v>55</v>
      </c>
      <c r="F3" s="52" t="s">
        <v>155</v>
      </c>
      <c r="G3" s="40">
        <v>2</v>
      </c>
      <c r="H3" s="118">
        <f t="shared" si="0"/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1"/>
        <v>-2160</v>
      </c>
      <c r="P3" s="104">
        <v>5</v>
      </c>
      <c r="Q3" s="88">
        <v>-10800</v>
      </c>
    </row>
    <row r="4" spans="1:17">
      <c r="A4" s="47" t="s">
        <v>6</v>
      </c>
      <c r="B4" s="162">
        <v>-161.39999999999998</v>
      </c>
      <c r="C4" s="163"/>
      <c r="E4" s="55" t="s">
        <v>56</v>
      </c>
      <c r="F4" s="52" t="s">
        <v>185</v>
      </c>
      <c r="G4" s="40">
        <v>2</v>
      </c>
      <c r="H4" s="118">
        <f t="shared" si="0"/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1"/>
        <v>-3860</v>
      </c>
      <c r="P4" s="104">
        <v>5</v>
      </c>
      <c r="Q4" s="88">
        <v>-19300</v>
      </c>
    </row>
    <row r="5" spans="1:17">
      <c r="A5" s="47" t="s">
        <v>7</v>
      </c>
      <c r="B5" s="164">
        <f>IF(B$2=0,0,B$4/B$2)</f>
        <v>-32.279999999999994</v>
      </c>
      <c r="C5" s="165"/>
      <c r="E5" s="55" t="s">
        <v>60</v>
      </c>
      <c r="F5" s="52" t="s">
        <v>24</v>
      </c>
      <c r="G5" s="40">
        <v>2</v>
      </c>
      <c r="H5" s="118">
        <f t="shared" si="0"/>
        <v>0.5</v>
      </c>
      <c r="I5" s="80">
        <v>6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66">
        <f>IF(B$2=0,0,(B$7*1+B$8*2+B$9*3+B$10*4)/B$2)</f>
        <v>3.4</v>
      </c>
      <c r="C6" s="167"/>
      <c r="E6" s="55" t="s">
        <v>184</v>
      </c>
      <c r="F6" s="52" t="s">
        <v>187</v>
      </c>
      <c r="G6" s="40">
        <v>2</v>
      </c>
      <c r="H6" s="118">
        <f t="shared" si="0"/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2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182</v>
      </c>
      <c r="F7" s="52" t="s">
        <v>19</v>
      </c>
      <c r="G7" s="40">
        <v>1</v>
      </c>
      <c r="H7" s="118">
        <f t="shared" si="0"/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1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 t="shared" si="0"/>
        <v>0.25</v>
      </c>
      <c r="I8" s="80">
        <v>16</v>
      </c>
      <c r="N8" s="100" t="s">
        <v>108</v>
      </c>
      <c r="O8" s="107">
        <f t="shared" si="1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 t="shared" si="0"/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202</v>
      </c>
      <c r="O18" s="109">
        <f t="shared" ref="O18:O24" si="4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163</v>
      </c>
      <c r="O19" s="110">
        <f t="shared" si="4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195</v>
      </c>
      <c r="O20" s="110">
        <f t="shared" si="4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191</v>
      </c>
      <c r="O21" s="110">
        <f t="shared" si="4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168</v>
      </c>
      <c r="O22" s="110">
        <f t="shared" si="4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  <c r="N23" s="100" t="s">
        <v>169</v>
      </c>
      <c r="O23" s="110">
        <f t="shared" si="4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  <c r="N24" s="100" t="s">
        <v>205</v>
      </c>
      <c r="O24" s="110">
        <f t="shared" si="4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25000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5"/>
        <v>0.25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5"/>
        <v>0.25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5"/>
        <v>0.5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202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2</v>
      </c>
      <c r="C2" s="159"/>
      <c r="E2" s="54" t="s">
        <v>59</v>
      </c>
      <c r="F2" s="51" t="s">
        <v>23</v>
      </c>
      <c r="G2" s="39">
        <v>1</v>
      </c>
      <c r="H2" s="117">
        <f t="shared" ref="H2:H42" si="0"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0">
        <v>17</v>
      </c>
      <c r="C3" s="161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18</v>
      </c>
      <c r="K3" s="32">
        <v>1</v>
      </c>
      <c r="L3" s="85">
        <v>-46.5</v>
      </c>
      <c r="N3" s="100" t="s">
        <v>104</v>
      </c>
      <c r="O3" s="107">
        <f t="shared" si="1"/>
        <v>-3050</v>
      </c>
      <c r="P3" s="104">
        <v>2</v>
      </c>
      <c r="Q3" s="88">
        <v>-6100</v>
      </c>
    </row>
    <row r="4" spans="1:17">
      <c r="A4" s="47" t="s">
        <v>6</v>
      </c>
      <c r="B4" s="162">
        <v>-105.9</v>
      </c>
      <c r="C4" s="163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1"/>
        <v>-3000</v>
      </c>
      <c r="P4" s="104">
        <v>2</v>
      </c>
      <c r="Q4" s="88">
        <v>-6000</v>
      </c>
    </row>
    <row r="5" spans="1:17">
      <c r="A5" s="47" t="s">
        <v>7</v>
      </c>
      <c r="B5" s="164">
        <f>IF(B$2=0,0,B$4/B$2)</f>
        <v>-52.95</v>
      </c>
      <c r="C5" s="165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6">
        <f>IF(B$2=0,0,(B$7*1+B$8*2+B$9*3+B$10*4)/B$2)</f>
        <v>4</v>
      </c>
      <c r="C6" s="167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16</v>
      </c>
      <c r="N6" s="100" t="s">
        <v>106</v>
      </c>
      <c r="O6" s="107">
        <f t="shared" ref="O6" si="2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13500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1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205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4</v>
      </c>
      <c r="C2" s="159"/>
      <c r="E2" s="54" t="s">
        <v>184</v>
      </c>
      <c r="F2" s="51" t="s">
        <v>187</v>
      </c>
      <c r="G2" s="39">
        <v>7</v>
      </c>
      <c r="H2" s="117">
        <f t="shared" ref="H2:H42" si="0">IF(B$17=0,0,G2/B$17)</f>
        <v>0.58333333333333337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1">IF(P2=0,0,Q2/P2)</f>
        <v>125</v>
      </c>
      <c r="P2" s="103">
        <v>4</v>
      </c>
      <c r="Q2" s="87">
        <v>500</v>
      </c>
    </row>
    <row r="3" spans="1:17">
      <c r="A3" s="47" t="s">
        <v>8</v>
      </c>
      <c r="B3" s="160">
        <v>28</v>
      </c>
      <c r="C3" s="161"/>
      <c r="E3" s="55" t="s">
        <v>181</v>
      </c>
      <c r="F3" s="52" t="s">
        <v>156</v>
      </c>
      <c r="G3" s="40">
        <v>6</v>
      </c>
      <c r="H3" s="118">
        <f t="shared" si="0"/>
        <v>0.5</v>
      </c>
      <c r="I3" s="80">
        <v>7</v>
      </c>
      <c r="K3" s="32">
        <v>1</v>
      </c>
      <c r="L3" s="85">
        <v>-18</v>
      </c>
      <c r="N3" s="100" t="s">
        <v>104</v>
      </c>
      <c r="O3" s="107">
        <f t="shared" si="1"/>
        <v>950</v>
      </c>
      <c r="P3" s="104">
        <v>4</v>
      </c>
      <c r="Q3" s="88">
        <v>3800</v>
      </c>
    </row>
    <row r="4" spans="1:17">
      <c r="A4" s="47" t="s">
        <v>6</v>
      </c>
      <c r="B4" s="162">
        <v>141.1</v>
      </c>
      <c r="C4" s="163"/>
      <c r="E4" s="55" t="s">
        <v>54</v>
      </c>
      <c r="F4" s="52" t="s">
        <v>20</v>
      </c>
      <c r="G4" s="40">
        <v>5</v>
      </c>
      <c r="H4" s="118">
        <f t="shared" si="0"/>
        <v>0.41666666666666669</v>
      </c>
      <c r="I4" s="80">
        <v>12</v>
      </c>
      <c r="K4" s="32">
        <v>2</v>
      </c>
      <c r="L4" s="85">
        <v>7</v>
      </c>
      <c r="N4" s="100" t="s">
        <v>105</v>
      </c>
      <c r="O4" s="107">
        <f t="shared" si="1"/>
        <v>3650</v>
      </c>
      <c r="P4" s="104">
        <v>4</v>
      </c>
      <c r="Q4" s="88">
        <v>14600</v>
      </c>
    </row>
    <row r="5" spans="1:17">
      <c r="A5" s="47" t="s">
        <v>7</v>
      </c>
      <c r="B5" s="164">
        <f>IF(B$2=0,0,B$4/B$2)</f>
        <v>35.274999999999999</v>
      </c>
      <c r="C5" s="165"/>
      <c r="E5" s="55" t="s">
        <v>56</v>
      </c>
      <c r="F5" s="52" t="s">
        <v>185</v>
      </c>
      <c r="G5" s="40">
        <v>4</v>
      </c>
      <c r="H5" s="118">
        <f t="shared" si="0"/>
        <v>0.33333333333333331</v>
      </c>
      <c r="I5" s="80">
        <v>6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66">
        <f>IF(B$2=0,0,(B$7*1+B$8*2+B$9*3+B$10*4)/B$2)</f>
        <v>1.75</v>
      </c>
      <c r="C6" s="167"/>
      <c r="E6" s="55" t="s">
        <v>57</v>
      </c>
      <c r="F6" s="52" t="s">
        <v>21</v>
      </c>
      <c r="G6" s="40">
        <v>4</v>
      </c>
      <c r="H6" s="118">
        <f t="shared" si="0"/>
        <v>0.33333333333333331</v>
      </c>
      <c r="I6" s="80">
        <v>5</v>
      </c>
      <c r="K6" s="32">
        <v>4</v>
      </c>
      <c r="L6" s="85">
        <v>141.1</v>
      </c>
      <c r="N6" s="100" t="s">
        <v>106</v>
      </c>
      <c r="O6" s="107">
        <f t="shared" ref="O6" si="2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3">IF(B$2=0,0,B7/B$2)</f>
        <v>0.5</v>
      </c>
      <c r="E7" s="55" t="s">
        <v>182</v>
      </c>
      <c r="F7" s="52" t="s">
        <v>19</v>
      </c>
      <c r="G7" s="40">
        <v>2</v>
      </c>
      <c r="H7" s="118">
        <f t="shared" si="0"/>
        <v>0.16666666666666666</v>
      </c>
      <c r="I7" s="80">
        <v>4</v>
      </c>
      <c r="N7" s="100" t="s">
        <v>107</v>
      </c>
      <c r="O7" s="107">
        <f t="shared" si="1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 t="shared" si="0"/>
        <v>0.16666666666666666</v>
      </c>
      <c r="I8" s="80">
        <v>11</v>
      </c>
      <c r="N8" s="100" t="s">
        <v>108</v>
      </c>
      <c r="O8" s="107">
        <f t="shared" si="1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 t="shared" si="0"/>
        <v>0.16666666666666666</v>
      </c>
      <c r="I9" s="80">
        <v>18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 t="shared" si="0"/>
        <v>8.3333333333333329E-2</v>
      </c>
      <c r="I10" s="80">
        <v>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 t="shared" si="0"/>
        <v>8.3333333333333329E-2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1</v>
      </c>
      <c r="H12" s="118">
        <f t="shared" si="0"/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 t="shared" si="0"/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 t="shared" si="0"/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 t="shared" si="0"/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 t="shared" si="0"/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 t="shared" si="0"/>
        <v>0</v>
      </c>
      <c r="I18" s="80">
        <v>1</v>
      </c>
      <c r="N18" s="99" t="s">
        <v>208</v>
      </c>
      <c r="O18" s="109">
        <f t="shared" ref="O18:O24" si="4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 t="shared" si="0"/>
        <v>0</v>
      </c>
      <c r="I19" s="80">
        <v>3</v>
      </c>
      <c r="N19" s="100" t="s">
        <v>168</v>
      </c>
      <c r="O19" s="110">
        <f t="shared" si="4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 t="shared" si="0"/>
        <v>0</v>
      </c>
      <c r="I20" s="80">
        <v>7</v>
      </c>
      <c r="N20" s="100" t="s">
        <v>203</v>
      </c>
      <c r="O20" s="110">
        <f t="shared" si="4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 t="shared" si="0"/>
        <v>0</v>
      </c>
      <c r="I21" s="80">
        <v>7</v>
      </c>
      <c r="N21" s="100" t="s">
        <v>195</v>
      </c>
      <c r="O21" s="110">
        <f t="shared" si="4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 t="shared" si="0"/>
        <v>0</v>
      </c>
      <c r="I22" s="80">
        <v>1</v>
      </c>
      <c r="N22" s="100" t="s">
        <v>179</v>
      </c>
      <c r="O22" s="110">
        <f t="shared" si="4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 t="shared" si="0"/>
        <v>0</v>
      </c>
      <c r="I23" s="80">
        <v>4</v>
      </c>
      <c r="N23" s="100" t="s">
        <v>164</v>
      </c>
      <c r="O23" s="110">
        <f t="shared" si="4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 t="shared" si="0"/>
        <v>0</v>
      </c>
      <c r="I24" s="80">
        <v>1</v>
      </c>
      <c r="N24" s="100" t="s">
        <v>191</v>
      </c>
      <c r="O24" s="110">
        <f t="shared" si="4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 t="shared" si="0"/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 t="shared" si="0"/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 t="shared" si="0"/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 t="shared" si="0"/>
        <v>0</v>
      </c>
      <c r="I29" s="80">
        <v>3</v>
      </c>
    </row>
    <row r="30" spans="1:17">
      <c r="A30" s="76" t="s">
        <v>111</v>
      </c>
      <c r="B30" s="152">
        <v>3</v>
      </c>
      <c r="C30" s="153"/>
      <c r="E30" s="55" t="s">
        <v>77</v>
      </c>
      <c r="F30" s="52" t="s">
        <v>41</v>
      </c>
      <c r="G30" s="40">
        <v>0</v>
      </c>
      <c r="H30" s="118">
        <f t="shared" si="0"/>
        <v>0</v>
      </c>
      <c r="I30" s="80">
        <v>6</v>
      </c>
    </row>
    <row r="31" spans="1:17">
      <c r="A31" s="50" t="s">
        <v>148</v>
      </c>
      <c r="B31" s="154">
        <v>57200</v>
      </c>
      <c r="C31" s="155"/>
      <c r="E31" s="55" t="s">
        <v>78</v>
      </c>
      <c r="F31" s="52" t="s">
        <v>42</v>
      </c>
      <c r="G31" s="40">
        <v>0</v>
      </c>
      <c r="H31" s="118">
        <f t="shared" si="0"/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5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5"/>
        <v>0.16666666666666666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5"/>
        <v>0.33333333333333331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5"/>
        <v>8.3333333333333329E-2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5"/>
        <v>0.16666666666666666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5"/>
        <v>8.3333333333333329E-2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1</v>
      </c>
      <c r="C47" s="36">
        <f t="shared" si="5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208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3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0">
        <v>23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1"/>
        <v>166.66666666666666</v>
      </c>
      <c r="P3" s="104">
        <v>3</v>
      </c>
      <c r="Q3" s="88">
        <v>500</v>
      </c>
    </row>
    <row r="4" spans="1:17">
      <c r="A4" s="47" t="s">
        <v>6</v>
      </c>
      <c r="B4" s="162">
        <v>-132.69999999999999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>
        <v>18</v>
      </c>
      <c r="K4" s="32">
        <v>2</v>
      </c>
      <c r="L4" s="85">
        <v>-82.4</v>
      </c>
      <c r="N4" s="100" t="s">
        <v>105</v>
      </c>
      <c r="O4" s="107">
        <f t="shared" si="1"/>
        <v>-833.33333333333337</v>
      </c>
      <c r="P4" s="104">
        <v>3</v>
      </c>
      <c r="Q4" s="88">
        <v>-2500</v>
      </c>
    </row>
    <row r="5" spans="1:17">
      <c r="A5" s="47" t="s">
        <v>7</v>
      </c>
      <c r="B5" s="164">
        <f>IF(B$2=0,0,B$4/B$2)</f>
        <v>-44.233333333333327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66">
        <f>IF(B$2=0,0,(B$7*1+B$8*2+B$9*3+B$10*4)/B$2)</f>
        <v>3.6666666666666665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>
        <v>18</v>
      </c>
      <c r="N6" s="100" t="s">
        <v>106</v>
      </c>
      <c r="O6" s="107">
        <f t="shared" ref="O6" si="2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>
        <v>15</v>
      </c>
      <c r="N7" s="100" t="s">
        <v>107</v>
      </c>
      <c r="O7" s="107">
        <f t="shared" si="1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168</v>
      </c>
      <c r="O18" s="109">
        <f t="shared" ref="O18:O23" si="4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179</v>
      </c>
      <c r="O19" s="110">
        <f t="shared" si="4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195</v>
      </c>
      <c r="O20" s="110">
        <f t="shared" si="4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  <c r="N21" s="100" t="s">
        <v>191</v>
      </c>
      <c r="O21" s="110">
        <f t="shared" si="4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  <c r="N22" s="100" t="s">
        <v>205</v>
      </c>
      <c r="O22" s="110">
        <f t="shared" si="4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  <c r="N23" s="100" t="s">
        <v>169</v>
      </c>
      <c r="O23" s="110">
        <f t="shared" si="4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10700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5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5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5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5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5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5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5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5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37">
        <v>0</v>
      </c>
      <c r="C43" s="33">
        <f t="shared" si="5"/>
        <v>0</v>
      </c>
    </row>
    <row r="44" spans="1:9">
      <c r="A44" s="47" t="s">
        <v>144</v>
      </c>
      <c r="B44" s="137">
        <v>0</v>
      </c>
      <c r="C44" s="33">
        <f t="shared" si="5"/>
        <v>0</v>
      </c>
    </row>
    <row r="45" spans="1:9">
      <c r="A45" s="47" t="s">
        <v>145</v>
      </c>
      <c r="B45" s="137">
        <v>0</v>
      </c>
      <c r="C45" s="33">
        <f t="shared" si="5"/>
        <v>0</v>
      </c>
    </row>
    <row r="46" spans="1:9">
      <c r="A46" s="47" t="s">
        <v>146</v>
      </c>
      <c r="B46" s="137">
        <v>0</v>
      </c>
      <c r="C46" s="33">
        <f t="shared" si="5"/>
        <v>0</v>
      </c>
    </row>
    <row r="47" spans="1:9">
      <c r="A47" s="49" t="s">
        <v>147</v>
      </c>
      <c r="B47" s="125">
        <v>0</v>
      </c>
      <c r="C47" s="36">
        <f t="shared" si="5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213</v>
      </c>
      <c r="C1" s="157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57</v>
      </c>
      <c r="F2" s="51" t="s">
        <v>21</v>
      </c>
      <c r="G2" s="39">
        <v>3</v>
      </c>
      <c r="H2" s="117">
        <f t="shared" ref="H2:H42" si="0"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340</v>
      </c>
      <c r="P2" s="103">
        <v>5</v>
      </c>
      <c r="Q2" s="87">
        <v>1700</v>
      </c>
    </row>
    <row r="3" spans="1:17">
      <c r="A3" s="47" t="s">
        <v>8</v>
      </c>
      <c r="B3" s="160">
        <v>28</v>
      </c>
      <c r="C3" s="161"/>
      <c r="E3" s="55" t="s">
        <v>184</v>
      </c>
      <c r="F3" s="52" t="s">
        <v>187</v>
      </c>
      <c r="G3" s="40">
        <v>3</v>
      </c>
      <c r="H3" s="118">
        <f t="shared" si="0"/>
        <v>1</v>
      </c>
      <c r="I3" s="80">
        <v>2</v>
      </c>
      <c r="K3" s="32">
        <v>1</v>
      </c>
      <c r="L3" s="85">
        <v>-19.5</v>
      </c>
      <c r="N3" s="100" t="s">
        <v>104</v>
      </c>
      <c r="O3" s="107">
        <f t="shared" si="1"/>
        <v>-780</v>
      </c>
      <c r="P3" s="104">
        <v>5</v>
      </c>
      <c r="Q3" s="88">
        <v>-3900</v>
      </c>
    </row>
    <row r="4" spans="1:17">
      <c r="A4" s="47" t="s">
        <v>6</v>
      </c>
      <c r="B4" s="162">
        <v>-54.9</v>
      </c>
      <c r="C4" s="163"/>
      <c r="E4" s="55" t="s">
        <v>181</v>
      </c>
      <c r="F4" s="52" t="s">
        <v>156</v>
      </c>
      <c r="G4" s="40">
        <v>2</v>
      </c>
      <c r="H4" s="118">
        <f t="shared" si="0"/>
        <v>0.66666666666666663</v>
      </c>
      <c r="I4" s="80">
        <v>7</v>
      </c>
      <c r="K4" s="32">
        <v>2</v>
      </c>
      <c r="L4" s="85">
        <v>-12.1</v>
      </c>
      <c r="N4" s="100" t="s">
        <v>105</v>
      </c>
      <c r="O4" s="107">
        <f t="shared" si="1"/>
        <v>-4180</v>
      </c>
      <c r="P4" s="104">
        <v>5</v>
      </c>
      <c r="Q4" s="88">
        <v>-20900</v>
      </c>
    </row>
    <row r="5" spans="1:17">
      <c r="A5" s="47" t="s">
        <v>7</v>
      </c>
      <c r="B5" s="164">
        <f>IF(B$2=0,0,B$4/B$2)</f>
        <v>-10.98</v>
      </c>
      <c r="C5" s="165"/>
      <c r="E5" s="55" t="s">
        <v>54</v>
      </c>
      <c r="F5" s="52" t="s">
        <v>20</v>
      </c>
      <c r="G5" s="40">
        <v>1</v>
      </c>
      <c r="H5" s="118">
        <f t="shared" si="0"/>
        <v>0.33333333333333331</v>
      </c>
      <c r="I5" s="80">
        <v>10</v>
      </c>
      <c r="K5" s="32">
        <v>3</v>
      </c>
      <c r="L5" s="85">
        <v>-2.5999999999999996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66">
        <f>IF(B$2=0,0,(B$7*1+B$8*2+B$9*3+B$10*4)/B$2)</f>
        <v>2.6</v>
      </c>
      <c r="C6" s="167"/>
      <c r="E6" s="55" t="s">
        <v>56</v>
      </c>
      <c r="F6" s="52" t="s">
        <v>185</v>
      </c>
      <c r="G6" s="40">
        <v>2</v>
      </c>
      <c r="H6" s="118">
        <f t="shared" si="0"/>
        <v>0.66666666666666663</v>
      </c>
      <c r="I6" s="80">
        <v>1</v>
      </c>
      <c r="K6" s="32">
        <v>4</v>
      </c>
      <c r="L6" s="85">
        <v>0</v>
      </c>
      <c r="N6" s="100" t="s">
        <v>106</v>
      </c>
      <c r="O6" s="107">
        <f t="shared" ref="O6" si="2">IF(P6=0,0,Q6/P6)</f>
        <v>2600</v>
      </c>
      <c r="P6" s="104">
        <v>2</v>
      </c>
      <c r="Q6" s="88">
        <v>5200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59</v>
      </c>
      <c r="F7" s="52" t="s">
        <v>23</v>
      </c>
      <c r="G7" s="40">
        <v>1</v>
      </c>
      <c r="H7" s="118">
        <f t="shared" si="0"/>
        <v>0.33333333333333331</v>
      </c>
      <c r="I7" s="80">
        <v>2</v>
      </c>
      <c r="K7" s="32">
        <v>5</v>
      </c>
      <c r="L7" s="85">
        <v>-54.9</v>
      </c>
      <c r="N7" s="100" t="s">
        <v>107</v>
      </c>
      <c r="O7" s="107">
        <f t="shared" si="1"/>
        <v>0</v>
      </c>
      <c r="P7" s="104">
        <v>1</v>
      </c>
      <c r="Q7" s="88">
        <v>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182</v>
      </c>
      <c r="F8" s="52" t="s">
        <v>19</v>
      </c>
      <c r="G8" s="40">
        <v>0</v>
      </c>
      <c r="H8" s="118">
        <f t="shared" si="0"/>
        <v>0</v>
      </c>
      <c r="I8" s="80">
        <v>12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55</v>
      </c>
      <c r="F9" s="52" t="s">
        <v>155</v>
      </c>
      <c r="G9" s="40">
        <v>1</v>
      </c>
      <c r="H9" s="118">
        <f t="shared" si="0"/>
        <v>0.33333333333333331</v>
      </c>
      <c r="I9" s="80">
        <v>16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0.6</v>
      </c>
      <c r="E11" s="55" t="s">
        <v>60</v>
      </c>
      <c r="F11" s="52" t="s">
        <v>24</v>
      </c>
      <c r="G11" s="40">
        <v>0</v>
      </c>
      <c r="H11" s="118">
        <f t="shared" si="0"/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5</v>
      </c>
      <c r="C13" s="38">
        <f>IF(B$3=0,0,B13/B$3)</f>
        <v>0.17857142857142858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-22.7</v>
      </c>
      <c r="P13" s="104">
        <v>2</v>
      </c>
      <c r="Q13" s="92">
        <v>-45.4</v>
      </c>
    </row>
    <row r="14" spans="1:17">
      <c r="A14" s="47" t="s">
        <v>94</v>
      </c>
      <c r="B14" s="40">
        <v>2</v>
      </c>
      <c r="C14" s="33">
        <f>IF(B$3=0,0,B14/B$3)</f>
        <v>7.1428571428571425E-2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2.5999999999999996</v>
      </c>
      <c r="P14" s="104">
        <v>1</v>
      </c>
      <c r="Q14" s="92">
        <v>2.5999999999999996</v>
      </c>
    </row>
    <row r="15" spans="1:17">
      <c r="A15" s="46" t="s">
        <v>99</v>
      </c>
      <c r="B15" s="39">
        <f>B21</f>
        <v>2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0.10714285714285714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195</v>
      </c>
      <c r="O18" s="109">
        <f>IF(P18=0,0,Q18/P18)</f>
        <v>2.1999999999999957</v>
      </c>
      <c r="P18" s="103">
        <v>5</v>
      </c>
      <c r="Q18" s="91">
        <v>10.999999999999979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161</v>
      </c>
      <c r="O19" s="110">
        <f>IF(P19=0,0,Q19/P19)</f>
        <v>5.5999999999999979</v>
      </c>
      <c r="P19" s="104">
        <v>2</v>
      </c>
      <c r="Q19" s="92">
        <v>11.199999999999996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169</v>
      </c>
      <c r="O20" s="110">
        <f>IF(P20=0,0,Q20/P20)</f>
        <v>-27.619999999999997</v>
      </c>
      <c r="P20" s="104">
        <v>5</v>
      </c>
      <c r="Q20" s="92">
        <v>-138.1</v>
      </c>
    </row>
    <row r="21" spans="1:17">
      <c r="A21" s="47" t="s">
        <v>151</v>
      </c>
      <c r="B21" s="40">
        <v>2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162</v>
      </c>
      <c r="O21" s="110">
        <f>IF(P21=0,0,Q21/P21)</f>
        <v>-87.5</v>
      </c>
      <c r="P21" s="104">
        <v>1</v>
      </c>
      <c r="Q21" s="92">
        <v>-87.5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216</v>
      </c>
      <c r="O22" s="110">
        <f>IF(P22=0,0,Q22/P22)</f>
        <v>-8.0999999999999979</v>
      </c>
      <c r="P22" s="104">
        <v>2</v>
      </c>
      <c r="Q22" s="92">
        <v>-16.199999999999996</v>
      </c>
    </row>
    <row r="23" spans="1:17">
      <c r="A23" s="47" t="s">
        <v>150</v>
      </c>
      <c r="B23" s="40">
        <v>1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7066.666666666667</v>
      </c>
      <c r="C24" s="35">
        <v>21200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-7166.666666666667</v>
      </c>
      <c r="C27" s="122">
        <v>-21500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14</v>
      </c>
      <c r="C29" s="120">
        <v>0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29500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0.66666666666666663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0.33333333333333331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215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1</v>
      </c>
      <c r="C2" s="159"/>
      <c r="E2" s="54" t="s">
        <v>60</v>
      </c>
      <c r="F2" s="51" t="s">
        <v>24</v>
      </c>
      <c r="G2" s="39">
        <v>2</v>
      </c>
      <c r="H2" s="117">
        <f t="shared" ref="H2:H42" si="0"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1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0">
        <v>6</v>
      </c>
      <c r="C3" s="161"/>
      <c r="E3" s="55" t="s">
        <v>181</v>
      </c>
      <c r="F3" s="52" t="s">
        <v>156</v>
      </c>
      <c r="G3" s="40">
        <v>0</v>
      </c>
      <c r="H3" s="118">
        <f t="shared" si="0"/>
        <v>0</v>
      </c>
      <c r="I3" s="80">
        <v>18</v>
      </c>
      <c r="K3" s="32">
        <v>1</v>
      </c>
      <c r="L3" s="85">
        <v>-14.4</v>
      </c>
      <c r="N3" s="100" t="s">
        <v>104</v>
      </c>
      <c r="O3" s="107">
        <f t="shared" si="1"/>
        <v>0</v>
      </c>
      <c r="P3" s="104">
        <v>1</v>
      </c>
      <c r="Q3" s="88">
        <v>0</v>
      </c>
    </row>
    <row r="4" spans="1:17">
      <c r="A4" s="47" t="s">
        <v>6</v>
      </c>
      <c r="B4" s="162">
        <v>-14.4</v>
      </c>
      <c r="C4" s="163"/>
      <c r="E4" s="55" t="s">
        <v>182</v>
      </c>
      <c r="F4" s="52" t="s">
        <v>19</v>
      </c>
      <c r="G4" s="40">
        <v>0</v>
      </c>
      <c r="H4" s="118">
        <f t="shared" si="0"/>
        <v>0</v>
      </c>
      <c r="I4" s="80">
        <v>12</v>
      </c>
      <c r="N4" s="100" t="s">
        <v>105</v>
      </c>
      <c r="O4" s="107">
        <f t="shared" si="1"/>
        <v>4500</v>
      </c>
      <c r="P4" s="104">
        <v>1</v>
      </c>
      <c r="Q4" s="88">
        <v>4500</v>
      </c>
    </row>
    <row r="5" spans="1:17">
      <c r="A5" s="47" t="s">
        <v>7</v>
      </c>
      <c r="B5" s="164">
        <f>IF(B$2=0,0,B$4/B$2)</f>
        <v>-14.4</v>
      </c>
      <c r="C5" s="165"/>
      <c r="E5" s="55" t="s">
        <v>54</v>
      </c>
      <c r="F5" s="52" t="s">
        <v>20</v>
      </c>
      <c r="G5" s="40">
        <v>0</v>
      </c>
      <c r="H5" s="118">
        <f t="shared" si="0"/>
        <v>0</v>
      </c>
      <c r="I5" s="80">
        <v>18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66">
        <f>IF(B$2=0,0,(B$7*1+B$8*2+B$9*3+B$10*4)/B$2)</f>
        <v>3</v>
      </c>
      <c r="C6" s="167"/>
      <c r="E6" s="55" t="s">
        <v>55</v>
      </c>
      <c r="F6" s="52" t="s">
        <v>155</v>
      </c>
      <c r="G6" s="40">
        <v>0</v>
      </c>
      <c r="H6" s="118">
        <f t="shared" si="0"/>
        <v>0</v>
      </c>
      <c r="I6" s="80">
        <v>16</v>
      </c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56</v>
      </c>
      <c r="F7" s="52" t="s">
        <v>185</v>
      </c>
      <c r="G7" s="40">
        <v>0</v>
      </c>
      <c r="H7" s="118">
        <f t="shared" si="0"/>
        <v>0</v>
      </c>
      <c r="I7" s="80">
        <v>18</v>
      </c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 t="shared" si="0"/>
        <v>0</v>
      </c>
      <c r="I8" s="80">
        <v>15</v>
      </c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 t="shared" si="0"/>
        <v>0</v>
      </c>
      <c r="I9" s="80">
        <v>12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 t="shared" si="0"/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>
        <v>7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>
        <v>6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>
        <v>4</v>
      </c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>
        <v>1</v>
      </c>
    </row>
    <row r="31" spans="1:17">
      <c r="A31" s="50" t="s">
        <v>148</v>
      </c>
      <c r="B31" s="154">
        <v>25600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1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>
        <v>19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tabSelected="1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 t="s">
        <v>216</v>
      </c>
      <c r="C1" s="157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5</v>
      </c>
      <c r="C2" s="159"/>
      <c r="E2" s="54" t="s">
        <v>60</v>
      </c>
      <c r="F2" s="51" t="s">
        <v>24</v>
      </c>
      <c r="G2" s="39">
        <v>1</v>
      </c>
      <c r="H2" s="117">
        <f t="shared" ref="H2:H42" si="0">IF(B$17=0,0,G2/B$17)</f>
        <v>0.5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1">IF(P2=0,0,Q2/P2)</f>
        <v>-1520</v>
      </c>
      <c r="P2" s="103">
        <v>5</v>
      </c>
      <c r="Q2" s="87">
        <v>-7600</v>
      </c>
    </row>
    <row r="3" spans="1:17">
      <c r="A3" s="47" t="s">
        <v>8</v>
      </c>
      <c r="B3" s="160">
        <v>32</v>
      </c>
      <c r="C3" s="161"/>
      <c r="E3" s="55" t="s">
        <v>184</v>
      </c>
      <c r="F3" s="52" t="s">
        <v>187</v>
      </c>
      <c r="G3" s="40">
        <v>3</v>
      </c>
      <c r="H3" s="118">
        <f t="shared" si="0"/>
        <v>1.5</v>
      </c>
      <c r="I3" s="80">
        <v>2</v>
      </c>
      <c r="K3" s="32">
        <v>1</v>
      </c>
      <c r="L3" s="85">
        <v>-47.6</v>
      </c>
      <c r="N3" s="100" t="s">
        <v>104</v>
      </c>
      <c r="O3" s="107">
        <f t="shared" si="1"/>
        <v>500</v>
      </c>
      <c r="P3" s="104">
        <v>5</v>
      </c>
      <c r="Q3" s="88">
        <v>2500</v>
      </c>
    </row>
    <row r="4" spans="1:17">
      <c r="A4" s="47" t="s">
        <v>6</v>
      </c>
      <c r="B4" s="162">
        <v>-133.4</v>
      </c>
      <c r="C4" s="163"/>
      <c r="E4" s="55" t="s">
        <v>181</v>
      </c>
      <c r="F4" s="52" t="s">
        <v>156</v>
      </c>
      <c r="G4" s="40">
        <v>1</v>
      </c>
      <c r="H4" s="118">
        <f t="shared" si="0"/>
        <v>0.5</v>
      </c>
      <c r="I4" s="80">
        <v>18</v>
      </c>
      <c r="K4" s="32">
        <v>2</v>
      </c>
      <c r="L4" s="85">
        <v>-102</v>
      </c>
      <c r="N4" s="100" t="s">
        <v>105</v>
      </c>
      <c r="O4" s="107">
        <f t="shared" si="1"/>
        <v>-2540</v>
      </c>
      <c r="P4" s="104">
        <v>5</v>
      </c>
      <c r="Q4" s="88">
        <v>-12700</v>
      </c>
    </row>
    <row r="5" spans="1:17">
      <c r="A5" s="47" t="s">
        <v>7</v>
      </c>
      <c r="B5" s="164">
        <f>IF(B$2=0,0,B$4/B$2)</f>
        <v>-26.68</v>
      </c>
      <c r="C5" s="165"/>
      <c r="E5" s="55" t="s">
        <v>182</v>
      </c>
      <c r="F5" s="52" t="s">
        <v>19</v>
      </c>
      <c r="G5" s="40">
        <v>0</v>
      </c>
      <c r="H5" s="118">
        <f t="shared" si="0"/>
        <v>0</v>
      </c>
      <c r="I5" s="80">
        <v>12</v>
      </c>
      <c r="K5" s="32">
        <v>3</v>
      </c>
      <c r="L5" s="85">
        <v>-97.3</v>
      </c>
      <c r="N5" s="100" t="s">
        <v>157</v>
      </c>
      <c r="O5" s="107">
        <f>IF(P5=0,0,Q5/P5)</f>
        <v>-2325</v>
      </c>
      <c r="P5" s="104">
        <v>4</v>
      </c>
      <c r="Q5" s="88">
        <v>-9300</v>
      </c>
    </row>
    <row r="6" spans="1:17">
      <c r="A6" s="47" t="s">
        <v>1</v>
      </c>
      <c r="B6" s="166">
        <f>IF(B$2=0,0,(B$7*1+B$8*2+B$9*3+B$10*4)/B$2)</f>
        <v>3.2</v>
      </c>
      <c r="C6" s="167"/>
      <c r="E6" s="55" t="s">
        <v>54</v>
      </c>
      <c r="F6" s="52" t="s">
        <v>20</v>
      </c>
      <c r="G6" s="40">
        <v>0</v>
      </c>
      <c r="H6" s="118">
        <f t="shared" si="0"/>
        <v>0</v>
      </c>
      <c r="I6" s="80">
        <v>18</v>
      </c>
      <c r="K6" s="32">
        <v>4</v>
      </c>
      <c r="L6" s="85">
        <v>-144.4</v>
      </c>
      <c r="N6" s="100" t="s">
        <v>106</v>
      </c>
      <c r="O6" s="107">
        <f t="shared" ref="O6" si="2">IF(P6=0,0,Q6/P6)</f>
        <v>-5000</v>
      </c>
      <c r="P6" s="104">
        <v>2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55</v>
      </c>
      <c r="F7" s="52" t="s">
        <v>155</v>
      </c>
      <c r="G7" s="40">
        <v>0</v>
      </c>
      <c r="H7" s="118">
        <f t="shared" si="0"/>
        <v>0</v>
      </c>
      <c r="I7" s="80">
        <v>16</v>
      </c>
      <c r="K7" s="32">
        <v>5</v>
      </c>
      <c r="L7" s="85">
        <v>-133.4</v>
      </c>
      <c r="N7" s="100" t="s">
        <v>107</v>
      </c>
      <c r="O7" s="107">
        <f t="shared" si="1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56</v>
      </c>
      <c r="F8" s="52" t="s">
        <v>185</v>
      </c>
      <c r="G8" s="40">
        <v>0</v>
      </c>
      <c r="H8" s="118">
        <f t="shared" si="0"/>
        <v>0</v>
      </c>
      <c r="I8" s="80">
        <v>18</v>
      </c>
      <c r="N8" s="100" t="s">
        <v>108</v>
      </c>
      <c r="O8" s="107">
        <f t="shared" si="1"/>
        <v>0</v>
      </c>
      <c r="P8" s="104">
        <v>1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57</v>
      </c>
      <c r="F9" s="52" t="s">
        <v>21</v>
      </c>
      <c r="G9" s="40">
        <v>0</v>
      </c>
      <c r="H9" s="118">
        <f t="shared" si="0"/>
        <v>0</v>
      </c>
      <c r="I9" s="80">
        <v>15</v>
      </c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3</v>
      </c>
      <c r="C10" s="34">
        <f>IF(B$2=0,0,B10/B$2)</f>
        <v>0.6</v>
      </c>
      <c r="E10" s="55" t="s">
        <v>58</v>
      </c>
      <c r="F10" s="52" t="s">
        <v>22</v>
      </c>
      <c r="G10" s="40">
        <v>0</v>
      </c>
      <c r="H10" s="118">
        <f t="shared" si="0"/>
        <v>0</v>
      </c>
      <c r="I10" s="80">
        <v>12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0.4</v>
      </c>
      <c r="E11" s="55" t="s">
        <v>59</v>
      </c>
      <c r="F11" s="52" t="s">
        <v>23</v>
      </c>
      <c r="G11" s="40">
        <v>1</v>
      </c>
      <c r="H11" s="118">
        <f t="shared" si="0"/>
        <v>0.5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61</v>
      </c>
      <c r="F12" s="52" t="s">
        <v>25</v>
      </c>
      <c r="G12" s="40">
        <v>0</v>
      </c>
      <c r="H12" s="118">
        <f t="shared" si="0"/>
        <v>0</v>
      </c>
      <c r="I12" s="80">
        <v>3</v>
      </c>
      <c r="N12" s="99" t="s">
        <v>126</v>
      </c>
      <c r="O12" s="109">
        <f>IF(P12=0,0,Q12/P12)</f>
        <v>-47.1</v>
      </c>
      <c r="P12" s="103">
        <v>1</v>
      </c>
      <c r="Q12" s="91">
        <v>-47.1</v>
      </c>
    </row>
    <row r="13" spans="1:17">
      <c r="A13" s="50" t="s">
        <v>97</v>
      </c>
      <c r="B13" s="43">
        <v>4</v>
      </c>
      <c r="C13" s="38">
        <f>IF(B$3=0,0,B13/B$3)</f>
        <v>0.125</v>
      </c>
      <c r="E13" s="55" t="s">
        <v>62</v>
      </c>
      <c r="F13" s="52" t="s">
        <v>26</v>
      </c>
      <c r="G13" s="40">
        <v>0</v>
      </c>
      <c r="H13" s="118">
        <f t="shared" si="0"/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2</v>
      </c>
      <c r="C14" s="33">
        <f>IF(B$3=0,0,B14/B$3)</f>
        <v>6.25E-2</v>
      </c>
      <c r="E14" s="55" t="s">
        <v>63</v>
      </c>
      <c r="F14" s="52" t="s">
        <v>27</v>
      </c>
      <c r="G14" s="40">
        <v>0</v>
      </c>
      <c r="H14" s="118">
        <f t="shared" si="0"/>
        <v>0</v>
      </c>
      <c r="I14" s="80">
        <v>1</v>
      </c>
      <c r="N14" s="100" t="s">
        <v>128</v>
      </c>
      <c r="O14" s="110">
        <f>IF(P14=0,0,Q14/P14)</f>
        <v>4.7</v>
      </c>
      <c r="P14" s="104">
        <v>1</v>
      </c>
      <c r="Q14" s="92">
        <v>4.7</v>
      </c>
    </row>
    <row r="15" spans="1:17">
      <c r="A15" s="46" t="s">
        <v>99</v>
      </c>
      <c r="B15" s="39">
        <f>B21</f>
        <v>1</v>
      </c>
      <c r="C15" s="31">
        <f>IF(B$13=0,0,B15/B$13)</f>
        <v>0.25</v>
      </c>
      <c r="E15" s="55" t="s">
        <v>64</v>
      </c>
      <c r="F15" s="52" t="s">
        <v>28</v>
      </c>
      <c r="G15" s="40">
        <v>0</v>
      </c>
      <c r="H15" s="118">
        <f t="shared" si="0"/>
        <v>0</v>
      </c>
      <c r="I15" s="80">
        <v>1</v>
      </c>
      <c r="N15" s="101" t="s">
        <v>159</v>
      </c>
      <c r="O15" s="111">
        <f>IF(P15=0,0,Q15/P15)</f>
        <v>-18.3</v>
      </c>
      <c r="P15" s="105">
        <v>2</v>
      </c>
      <c r="Q15" s="93">
        <v>-36.6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 t="shared" si="0"/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6.25E-2</v>
      </c>
      <c r="E17" s="55" t="s">
        <v>66</v>
      </c>
      <c r="F17" s="52" t="s">
        <v>30</v>
      </c>
      <c r="G17" s="40">
        <v>0</v>
      </c>
      <c r="H17" s="118">
        <f t="shared" si="0"/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0.15625</v>
      </c>
      <c r="E18" s="55" t="s">
        <v>67</v>
      </c>
      <c r="F18" s="52" t="s">
        <v>31</v>
      </c>
      <c r="G18" s="40">
        <v>0</v>
      </c>
      <c r="H18" s="118">
        <f t="shared" si="0"/>
        <v>0</v>
      </c>
      <c r="I18" s="80">
        <v>7</v>
      </c>
      <c r="N18" s="99" t="s">
        <v>215</v>
      </c>
      <c r="O18" s="109">
        <f>IF(P18=0,0,Q18/P18)</f>
        <v>-33.200000000000003</v>
      </c>
      <c r="P18" s="103">
        <v>1</v>
      </c>
      <c r="Q18" s="91">
        <v>-33.200000000000003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183</v>
      </c>
      <c r="F19" s="52" t="s">
        <v>186</v>
      </c>
      <c r="G19" s="40">
        <v>0</v>
      </c>
      <c r="H19" s="118">
        <f t="shared" si="0"/>
        <v>0</v>
      </c>
      <c r="I19" s="80">
        <v>7</v>
      </c>
      <c r="N19" s="100" t="s">
        <v>162</v>
      </c>
      <c r="O19" s="110">
        <f>IF(P19=0,0,Q19/P19)</f>
        <v>-33.950000000000003</v>
      </c>
      <c r="P19" s="104">
        <v>2</v>
      </c>
      <c r="Q19" s="92">
        <v>-67.900000000000006</v>
      </c>
    </row>
    <row r="20" spans="1:17">
      <c r="A20" s="47" t="s">
        <v>11</v>
      </c>
      <c r="B20" s="40">
        <v>2</v>
      </c>
      <c r="C20" s="33">
        <f>IF(B$17=0,0,B20/B$17)</f>
        <v>1</v>
      </c>
      <c r="E20" s="55" t="s">
        <v>68</v>
      </c>
      <c r="F20" s="52" t="s">
        <v>32</v>
      </c>
      <c r="G20" s="40">
        <v>0</v>
      </c>
      <c r="H20" s="118">
        <f t="shared" si="0"/>
        <v>0</v>
      </c>
      <c r="I20" s="80">
        <v>1</v>
      </c>
      <c r="N20" s="100" t="s">
        <v>169</v>
      </c>
      <c r="O20" s="110">
        <f>IF(P20=0,0,Q20/P20)</f>
        <v>-44.98</v>
      </c>
      <c r="P20" s="104">
        <v>5</v>
      </c>
      <c r="Q20" s="92">
        <v>-224.89999999999998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 t="shared" si="0"/>
        <v>0</v>
      </c>
      <c r="I21" s="80">
        <v>4</v>
      </c>
      <c r="N21" s="100" t="s">
        <v>195</v>
      </c>
      <c r="O21" s="110">
        <f>IF(P21=0,0,Q21/P21)</f>
        <v>-44.76</v>
      </c>
      <c r="P21" s="104">
        <v>5</v>
      </c>
      <c r="Q21" s="92">
        <v>-223.79999999999998</v>
      </c>
    </row>
    <row r="22" spans="1:17">
      <c r="A22" s="47" t="s">
        <v>149</v>
      </c>
      <c r="B22" s="40">
        <v>1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 t="shared" si="0"/>
        <v>0</v>
      </c>
      <c r="I22" s="80">
        <v>1</v>
      </c>
      <c r="N22" s="100" t="s">
        <v>213</v>
      </c>
      <c r="O22" s="110">
        <f>IF(P22=0,0,Q22/P22)</f>
        <v>8.0999999999999979</v>
      </c>
      <c r="P22" s="104">
        <v>2</v>
      </c>
      <c r="Q22" s="92">
        <v>16.199999999999996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 t="shared" si="0"/>
        <v>0</v>
      </c>
      <c r="I23" s="80">
        <v>8</v>
      </c>
    </row>
    <row r="24" spans="1:17">
      <c r="A24" s="47" t="s">
        <v>5</v>
      </c>
      <c r="B24" s="44">
        <f>IF(B$17=0,0,C24/B$17)</f>
        <v>5000</v>
      </c>
      <c r="C24" s="35">
        <v>10000</v>
      </c>
      <c r="E24" s="55" t="s">
        <v>72</v>
      </c>
      <c r="F24" s="52" t="s">
        <v>36</v>
      </c>
      <c r="G24" s="40">
        <v>0</v>
      </c>
      <c r="H24" s="118">
        <f t="shared" si="0"/>
        <v>0</v>
      </c>
      <c r="I24" s="80">
        <v>4</v>
      </c>
    </row>
    <row r="25" spans="1:17">
      <c r="A25" s="48" t="s">
        <v>133</v>
      </c>
      <c r="B25" s="121">
        <f>IF($B$17-B$16=0,0,C25/($B$17-B$16))</f>
        <v>8000</v>
      </c>
      <c r="C25" s="122">
        <v>8000</v>
      </c>
      <c r="E25" s="55" t="s">
        <v>73</v>
      </c>
      <c r="F25" s="52" t="s">
        <v>37</v>
      </c>
      <c r="G25" s="40">
        <v>0</v>
      </c>
      <c r="H25" s="118">
        <f t="shared" si="0"/>
        <v>0</v>
      </c>
      <c r="I25" s="80">
        <v>1</v>
      </c>
    </row>
    <row r="26" spans="1:17">
      <c r="A26" s="48" t="s">
        <v>134</v>
      </c>
      <c r="B26" s="121">
        <f>IF(B$16=0,0,C26/B$16)</f>
        <v>2000</v>
      </c>
      <c r="C26" s="122">
        <v>2000</v>
      </c>
      <c r="E26" s="55" t="s">
        <v>74</v>
      </c>
      <c r="F26" s="52" t="s">
        <v>38</v>
      </c>
      <c r="G26" s="40">
        <v>0</v>
      </c>
      <c r="H26" s="118">
        <f t="shared" si="0"/>
        <v>0</v>
      </c>
      <c r="I26" s="80">
        <v>7</v>
      </c>
    </row>
    <row r="27" spans="1:17">
      <c r="A27" s="48" t="s">
        <v>132</v>
      </c>
      <c r="B27" s="121">
        <f>IF(B$18=0,0,C27/B$18)</f>
        <v>-6160</v>
      </c>
      <c r="C27" s="122">
        <v>-30800</v>
      </c>
      <c r="E27" s="55" t="s">
        <v>75</v>
      </c>
      <c r="F27" s="52" t="s">
        <v>39</v>
      </c>
      <c r="G27" s="40">
        <v>0</v>
      </c>
      <c r="H27" s="118">
        <f t="shared" si="0"/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 t="shared" si="0"/>
        <v>0</v>
      </c>
      <c r="I28" s="80">
        <v>3</v>
      </c>
    </row>
    <row r="29" spans="1:17">
      <c r="A29" s="47" t="s">
        <v>131</v>
      </c>
      <c r="B29" s="40">
        <v>10</v>
      </c>
      <c r="C29" s="120">
        <v>8</v>
      </c>
      <c r="E29" s="55" t="s">
        <v>77</v>
      </c>
      <c r="F29" s="52" t="s">
        <v>41</v>
      </c>
      <c r="G29" s="40">
        <v>0</v>
      </c>
      <c r="H29" s="118">
        <f t="shared" si="0"/>
        <v>0</v>
      </c>
      <c r="I29" s="80">
        <v>6</v>
      </c>
    </row>
    <row r="30" spans="1:17">
      <c r="A30" s="76" t="s">
        <v>111</v>
      </c>
      <c r="B30" s="152">
        <v>2</v>
      </c>
      <c r="C30" s="153"/>
      <c r="E30" s="55" t="s">
        <v>78</v>
      </c>
      <c r="F30" s="52" t="s">
        <v>42</v>
      </c>
      <c r="G30" s="40">
        <v>0</v>
      </c>
      <c r="H30" s="118">
        <f t="shared" si="0"/>
        <v>0</v>
      </c>
      <c r="I30" s="80">
        <v>4</v>
      </c>
    </row>
    <row r="31" spans="1:17">
      <c r="A31" s="50" t="s">
        <v>148</v>
      </c>
      <c r="B31" s="154">
        <v>31000</v>
      </c>
      <c r="C31" s="155"/>
      <c r="E31" s="55" t="s">
        <v>79</v>
      </c>
      <c r="F31" s="52" t="s">
        <v>43</v>
      </c>
      <c r="G31" s="40">
        <v>0</v>
      </c>
      <c r="H31" s="118">
        <f t="shared" si="0"/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 t="shared" si="0"/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 t="shared" si="0"/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 t="shared" si="0"/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 t="shared" si="0"/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0.5</v>
      </c>
      <c r="E36" s="55" t="s">
        <v>84</v>
      </c>
      <c r="F36" s="52" t="s">
        <v>48</v>
      </c>
      <c r="G36" s="40">
        <v>0</v>
      </c>
      <c r="H36" s="118">
        <f t="shared" si="0"/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 t="shared" si="0"/>
        <v>0</v>
      </c>
      <c r="I37" s="80">
        <v>1</v>
      </c>
    </row>
    <row r="38" spans="1:9">
      <c r="A38" s="47" t="s">
        <v>137</v>
      </c>
      <c r="B38" s="141">
        <v>1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 t="shared" si="0"/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 t="shared" si="0"/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 t="shared" si="0"/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 t="shared" si="0"/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 t="shared" si="0"/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56"/>
      <c r="C1" s="157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8">
        <v>0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0">
        <v>0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62">
        <v>0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64">
        <f>IF(B$2=0,0,B$4/B$2)</f>
        <v>0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66">
        <f>IF(B$2=0,0,(B$7*1+B$8*2+B$9*3+B$10*4)/B$2)</f>
        <v>0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4">
        <v>-1000000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4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5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5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5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5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5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5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5">
        <v>0</v>
      </c>
      <c r="C43" s="33">
        <f t="shared" si="4"/>
        <v>0</v>
      </c>
    </row>
    <row r="44" spans="1:9">
      <c r="A44" s="47" t="s">
        <v>144</v>
      </c>
      <c r="B44" s="145">
        <v>0</v>
      </c>
      <c r="C44" s="33">
        <f t="shared" si="4"/>
        <v>0</v>
      </c>
    </row>
    <row r="45" spans="1:9">
      <c r="A45" s="47" t="s">
        <v>145</v>
      </c>
      <c r="B45" s="145">
        <v>0</v>
      </c>
      <c r="C45" s="33">
        <f t="shared" si="4"/>
        <v>0</v>
      </c>
    </row>
    <row r="46" spans="1:9">
      <c r="A46" s="47" t="s">
        <v>146</v>
      </c>
      <c r="B46" s="145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56"/>
      <c r="C1" s="157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8">
        <v>0</v>
      </c>
      <c r="C2" s="159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0">
        <v>0</v>
      </c>
      <c r="C3" s="161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62">
        <v>0</v>
      </c>
      <c r="C4" s="163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4">
        <f>IF(B$2=0,0,B$4/B$2)</f>
        <v>0</v>
      </c>
      <c r="C5" s="165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6">
        <f>IF(B$2=0,0,(B$7*1+B$8*2+B$9*3+B$10*4)/B$2)</f>
        <v>0</v>
      </c>
      <c r="C6" s="167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52">
        <v>0</v>
      </c>
      <c r="C30" s="153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4">
        <v>-1000000</v>
      </c>
      <c r="C31" s="155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1482</vt:i4>
      </vt:variant>
    </vt:vector>
  </HeadingPairs>
  <TitlesOfParts>
    <vt:vector size="151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Template (2)</vt:lpstr>
      <vt:lpstr>Template</vt:lpstr>
      <vt:lpstr>'Template (2)'!アガリ数</vt:lpstr>
      <vt:lpstr>阿部圭太朗!アガリ数</vt:lpstr>
      <vt:lpstr>依田幸憲!アガリ数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(2)'!アガリ率</vt:lpstr>
      <vt:lpstr>阿部圭太朗!アガリ率</vt:lpstr>
      <vt:lpstr>依田幸憲!アガリ率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(2)'!ダマアガリ数</vt:lpstr>
      <vt:lpstr>阿部圭太朗!ダマアガリ数</vt:lpstr>
      <vt:lpstr>依田幸憲!ダマアガリ数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(2)'!ダマアガリ率</vt:lpstr>
      <vt:lpstr>阿部圭太朗!ダマアガリ率</vt:lpstr>
      <vt:lpstr>依田幸憲!ダマアガリ率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(2)'!チョンボ数</vt:lpstr>
      <vt:lpstr>阿部圭太朗!チョンボ数</vt:lpstr>
      <vt:lpstr>依田幸憲!チョンボ数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(2)'!チョンボ率</vt:lpstr>
      <vt:lpstr>阿部圭太朗!チョンボ率</vt:lpstr>
      <vt:lpstr>依田幸憲!チョンボ率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(2)'!ツモ数</vt:lpstr>
      <vt:lpstr>阿部圭太朗!ツモ数</vt:lpstr>
      <vt:lpstr>依田幸憲!ツモ数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(2)'!ツモ率</vt:lpstr>
      <vt:lpstr>阿部圭太朗!ツモ率</vt:lpstr>
      <vt:lpstr>依田幸憲!ツモ率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(2)'!トップ数</vt:lpstr>
      <vt:lpstr>阿部圭太朗!トップ数</vt:lpstr>
      <vt:lpstr>依田幸憲!トップ数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(2)'!トップ率</vt:lpstr>
      <vt:lpstr>阿部圭太朗!トップ率</vt:lpstr>
      <vt:lpstr>依田幸憲!トップ率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(2)'!ふっとび数</vt:lpstr>
      <vt:lpstr>阿部圭太朗!ふっとび数</vt:lpstr>
      <vt:lpstr>依田幸憲!ふっとび数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(2)'!ふっとび率</vt:lpstr>
      <vt:lpstr>阿部圭太朗!ふっとび率</vt:lpstr>
      <vt:lpstr>依田幸憲!ふっとび率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(2)'!ラス数</vt:lpstr>
      <vt:lpstr>阿部圭太朗!ラス数</vt:lpstr>
      <vt:lpstr>依田幸憲!ラス数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(2)'!ラス率</vt:lpstr>
      <vt:lpstr>阿部圭太朗!ラス率</vt:lpstr>
      <vt:lpstr>依田幸憲!ラス率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(2)'!リーチアガリ数</vt:lpstr>
      <vt:lpstr>阿部圭太朗!リーチアガリ数</vt:lpstr>
      <vt:lpstr>依田幸憲!リーチアガリ数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(2)'!リーチアガリ率</vt:lpstr>
      <vt:lpstr>阿部圭太朗!リーチアガリ率</vt:lpstr>
      <vt:lpstr>依田幸憲!リーチアガリ率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(2)'!リーチ数</vt:lpstr>
      <vt:lpstr>阿部圭太朗!リーチ数</vt:lpstr>
      <vt:lpstr>依田幸憲!リーチ数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(2)'!リーチ成功数</vt:lpstr>
      <vt:lpstr>阿部圭太朗!リーチ成功数</vt:lpstr>
      <vt:lpstr>依田幸憲!リーチ成功数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(2)'!リーチ成功率</vt:lpstr>
      <vt:lpstr>阿部圭太朗!リーチ成功率</vt:lpstr>
      <vt:lpstr>依田幸憲!リーチ成功率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(2)'!リーチ率</vt:lpstr>
      <vt:lpstr>阿部圭太朗!リーチ率</vt:lpstr>
      <vt:lpstr>依田幸憲!リーチ率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(2)'!ロン数</vt:lpstr>
      <vt:lpstr>阿部圭太朗!ロン数</vt:lpstr>
      <vt:lpstr>依田幸憲!ロン数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(2)'!ロン率</vt:lpstr>
      <vt:lpstr>阿部圭太朗!ロン率</vt:lpstr>
      <vt:lpstr>依田幸憲!ロン率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(2)'!現行連続アガリ</vt:lpstr>
      <vt:lpstr>阿部圭太朗!現行連続アガリ</vt:lpstr>
      <vt:lpstr>依田幸憲!現行連続アガリ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(2)'!現行連続無放銃</vt:lpstr>
      <vt:lpstr>阿部圭太朗!現行連続無放銃</vt:lpstr>
      <vt:lpstr>依田幸憲!現行連続無放銃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(2)'!最高点</vt:lpstr>
      <vt:lpstr>阿部圭太朗!最高点</vt:lpstr>
      <vt:lpstr>依田幸憲!最高点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(2)'!最大ドラ数</vt:lpstr>
      <vt:lpstr>阿部圭太朗!最大ドラ数</vt:lpstr>
      <vt:lpstr>依田幸憲!最大ドラ数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(2)'!最大点数</vt:lpstr>
      <vt:lpstr>阿部圭太朗!最大点数</vt:lpstr>
      <vt:lpstr>依田幸憲!最大点数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(2)'!三位数</vt:lpstr>
      <vt:lpstr>阿部圭太朗!三位数</vt:lpstr>
      <vt:lpstr>依田幸憲!三位数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(2)'!三位率</vt:lpstr>
      <vt:lpstr>阿部圭太朗!三位率</vt:lpstr>
      <vt:lpstr>依田幸憲!三位率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(2)'!総局数</vt:lpstr>
      <vt:lpstr>阿部圭太朗!総局数</vt:lpstr>
      <vt:lpstr>依田幸憲!総局数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(2)'!対戦数</vt:lpstr>
      <vt:lpstr>阿部圭太朗!対戦数</vt:lpstr>
      <vt:lpstr>依田幸憲!対戦数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(2)'!通算アガリ点</vt:lpstr>
      <vt:lpstr>阿部圭太朗!通算アガリ点</vt:lpstr>
      <vt:lpstr>依田幸憲!通算アガリ点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(2)'!通算スコア</vt:lpstr>
      <vt:lpstr>阿部圭太朗!通算スコア</vt:lpstr>
      <vt:lpstr>依田幸憲!通算スコア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(2)'!通算副露アガリ点</vt:lpstr>
      <vt:lpstr>阿部圭太朗!通算副露アガリ点</vt:lpstr>
      <vt:lpstr>依田幸憲!通算副露アガリ点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(2)'!通算放銃点</vt:lpstr>
      <vt:lpstr>阿部圭太朗!通算放銃点</vt:lpstr>
      <vt:lpstr>依田幸憲!通算放銃点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(2)'!通算門前アガリ点</vt:lpstr>
      <vt:lpstr>阿部圭太朗!通算門前アガリ点</vt:lpstr>
      <vt:lpstr>依田幸憲!通算門前アガリ点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(2)'!二位数</vt:lpstr>
      <vt:lpstr>阿部圭太朗!二位数</vt:lpstr>
      <vt:lpstr>依田幸憲!二位数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(2)'!二位率</vt:lpstr>
      <vt:lpstr>阿部圭太朗!二位率</vt:lpstr>
      <vt:lpstr>依田幸憲!二位率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(2)'!副露アガリ数</vt:lpstr>
      <vt:lpstr>阿部圭太朗!副露アガリ数</vt:lpstr>
      <vt:lpstr>依田幸憲!副露アガリ数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(2)'!副露アガリ点</vt:lpstr>
      <vt:lpstr>阿部圭太朗!副露アガリ点</vt:lpstr>
      <vt:lpstr>依田幸憲!副露アガリ点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(2)'!副露アガリ率</vt:lpstr>
      <vt:lpstr>阿部圭太朗!副露アガリ率</vt:lpstr>
      <vt:lpstr>依田幸憲!副露アガリ率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(2)'!副露数</vt:lpstr>
      <vt:lpstr>阿部圭太朗!副露数</vt:lpstr>
      <vt:lpstr>依田幸憲!副露数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(2)'!副露成功数</vt:lpstr>
      <vt:lpstr>阿部圭太朗!副露成功数</vt:lpstr>
      <vt:lpstr>依田幸憲!副露成功数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(2)'!副露成功率</vt:lpstr>
      <vt:lpstr>阿部圭太朗!副露成功率</vt:lpstr>
      <vt:lpstr>依田幸憲!副露成功率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(2)'!副露率</vt:lpstr>
      <vt:lpstr>阿部圭太朗!副露率</vt:lpstr>
      <vt:lpstr>依田幸憲!副露率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(2)'!平均アガリ点</vt:lpstr>
      <vt:lpstr>阿部圭太朗!平均アガリ点</vt:lpstr>
      <vt:lpstr>依田幸憲!平均アガリ点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(2)'!平均スコア</vt:lpstr>
      <vt:lpstr>阿部圭太朗!平均スコア</vt:lpstr>
      <vt:lpstr>依田幸憲!平均スコア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(2)'!平均順位</vt:lpstr>
      <vt:lpstr>阿部圭太朗!平均順位</vt:lpstr>
      <vt:lpstr>依田幸憲!平均順位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(2)'!平均放銃点</vt:lpstr>
      <vt:lpstr>阿部圭太朗!平均放銃点</vt:lpstr>
      <vt:lpstr>依田幸憲!平均放銃点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(2)'!放銃数</vt:lpstr>
      <vt:lpstr>阿部圭太朗!放銃数</vt:lpstr>
      <vt:lpstr>依田幸憲!放銃数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(2)'!放銃率</vt:lpstr>
      <vt:lpstr>阿部圭太朗!放銃率</vt:lpstr>
      <vt:lpstr>依田幸憲!放銃率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(2)'!名前</vt:lpstr>
      <vt:lpstr>阿部圭太朗!名前</vt:lpstr>
      <vt:lpstr>依田幸憲!名前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(2)'!門前アガリ点</vt:lpstr>
      <vt:lpstr>阿部圭太朗!門前アガリ点</vt:lpstr>
      <vt:lpstr>依田幸憲!門前アガリ点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(2)'!連続アガリ</vt:lpstr>
      <vt:lpstr>阿部圭太朗!連続アガリ</vt:lpstr>
      <vt:lpstr>依田幸憲!連続アガリ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(2)'!連続無放銃</vt:lpstr>
      <vt:lpstr>阿部圭太朗!連続無放銃</vt:lpstr>
      <vt:lpstr>依田幸憲!連続無放銃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(2)'!連対数</vt:lpstr>
      <vt:lpstr>阿部圭太朗!連対数</vt:lpstr>
      <vt:lpstr>依田幸憲!連対数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(2)'!連対率</vt:lpstr>
      <vt:lpstr>阿部圭太朗!連対率</vt:lpstr>
      <vt:lpstr>依田幸憲!連対率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dcterms:created xsi:type="dcterms:W3CDTF">2018-11-18T09:24:12Z</dcterms:created>
  <dcterms:modified xsi:type="dcterms:W3CDTF">2021-10-21T10:57:38Z</dcterms:modified>
</cp:coreProperties>
</file>