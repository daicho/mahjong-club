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5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6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7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8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9.xml" ContentType="application/vnd.openxmlformats-officedocument.drawing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0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11.xml" ContentType="application/vnd.openxmlformats-officedocument.drawing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12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13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14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15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16.xml" ContentType="application/vnd.openxmlformats-officedocument.drawing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17.xml" ContentType="application/vnd.openxmlformats-officedocument.drawing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18.xml" ContentType="application/vnd.openxmlformats-officedocument.drawing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19.xml" ContentType="application/vnd.openxmlformats-officedocument.drawing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drawings/drawing20.xml" ContentType="application/vnd.openxmlformats-officedocument.drawing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drawings/drawing21.xml" ContentType="application/vnd.openxmlformats-officedocument.drawing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drawings/drawing22.xml" ContentType="application/vnd.openxmlformats-officedocument.drawing+xml"/>
  <Override PartName="/xl/charts/chart61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charts/chart62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charts/chart63.xml" ContentType="application/vnd.openxmlformats-officedocument.drawingml.chart+xml"/>
  <Override PartName="/xl/charts/style63.xml" ContentType="application/vnd.ms-office.chartstyle+xml"/>
  <Override PartName="/xl/charts/colors63.xml" ContentType="application/vnd.ms-office.chartcolorstyle+xml"/>
  <Override PartName="/xl/drawings/drawing23.xml" ContentType="application/vnd.openxmlformats-officedocument.drawing+xml"/>
  <Override PartName="/xl/charts/chart64.xml" ContentType="application/vnd.openxmlformats-officedocument.drawingml.chart+xml"/>
  <Override PartName="/xl/charts/style64.xml" ContentType="application/vnd.ms-office.chartstyle+xml"/>
  <Override PartName="/xl/charts/colors64.xml" ContentType="application/vnd.ms-office.chartcolorstyle+xml"/>
  <Override PartName="/xl/charts/chart65.xml" ContentType="application/vnd.openxmlformats-officedocument.drawingml.chart+xml"/>
  <Override PartName="/xl/charts/style65.xml" ContentType="application/vnd.ms-office.chartstyle+xml"/>
  <Override PartName="/xl/charts/colors65.xml" ContentType="application/vnd.ms-office.chartcolorstyle+xml"/>
  <Override PartName="/xl/charts/chart66.xml" ContentType="application/vnd.openxmlformats-officedocument.drawingml.chart+xml"/>
  <Override PartName="/xl/charts/style66.xml" ContentType="application/vnd.ms-office.chartstyle+xml"/>
  <Override PartName="/xl/charts/colors66.xml" ContentType="application/vnd.ms-office.chartcolorstyle+xml"/>
  <Override PartName="/xl/drawings/drawing24.xml" ContentType="application/vnd.openxmlformats-officedocument.drawing+xml"/>
  <Override PartName="/xl/charts/chart67.xml" ContentType="application/vnd.openxmlformats-officedocument.drawingml.chart+xml"/>
  <Override PartName="/xl/charts/style67.xml" ContentType="application/vnd.ms-office.chartstyle+xml"/>
  <Override PartName="/xl/charts/colors67.xml" ContentType="application/vnd.ms-office.chartcolorstyle+xml"/>
  <Override PartName="/xl/charts/chart68.xml" ContentType="application/vnd.openxmlformats-officedocument.drawingml.chart+xml"/>
  <Override PartName="/xl/charts/style68.xml" ContentType="application/vnd.ms-office.chartstyle+xml"/>
  <Override PartName="/xl/charts/colors68.xml" ContentType="application/vnd.ms-office.chartcolorstyle+xml"/>
  <Override PartName="/xl/charts/chart69.xml" ContentType="application/vnd.openxmlformats-officedocument.drawingml.chart+xml"/>
  <Override PartName="/xl/charts/style69.xml" ContentType="application/vnd.ms-office.chartstyle+xml"/>
  <Override PartName="/xl/charts/colors69.xml" ContentType="application/vnd.ms-office.chartcolorstyle+xml"/>
  <Override PartName="/xl/drawings/drawing25.xml" ContentType="application/vnd.openxmlformats-officedocument.drawing+xml"/>
  <Override PartName="/xl/charts/chart70.xml" ContentType="application/vnd.openxmlformats-officedocument.drawingml.chart+xml"/>
  <Override PartName="/xl/charts/style70.xml" ContentType="application/vnd.ms-office.chartstyle+xml"/>
  <Override PartName="/xl/charts/colors70.xml" ContentType="application/vnd.ms-office.chartcolorstyle+xml"/>
  <Override PartName="/xl/charts/chart71.xml" ContentType="application/vnd.openxmlformats-officedocument.drawingml.chart+xml"/>
  <Override PartName="/xl/charts/style71.xml" ContentType="application/vnd.ms-office.chartstyle+xml"/>
  <Override PartName="/xl/charts/colors71.xml" ContentType="application/vnd.ms-office.chartcolorstyle+xml"/>
  <Override PartName="/xl/charts/chart72.xml" ContentType="application/vnd.openxmlformats-officedocument.drawingml.chart+xml"/>
  <Override PartName="/xl/charts/style72.xml" ContentType="application/vnd.ms-office.chartstyle+xml"/>
  <Override PartName="/xl/charts/colors72.xml" ContentType="application/vnd.ms-office.chartcolorstyle+xml"/>
  <Override PartName="/xl/drawings/drawing26.xml" ContentType="application/vnd.openxmlformats-officedocument.drawing+xml"/>
  <Override PartName="/xl/charts/chart73.xml" ContentType="application/vnd.openxmlformats-officedocument.drawingml.chart+xml"/>
  <Override PartName="/xl/charts/style73.xml" ContentType="application/vnd.ms-office.chartstyle+xml"/>
  <Override PartName="/xl/charts/colors73.xml" ContentType="application/vnd.ms-office.chartcolorstyle+xml"/>
  <Override PartName="/xl/charts/chart74.xml" ContentType="application/vnd.openxmlformats-officedocument.drawingml.chart+xml"/>
  <Override PartName="/xl/charts/style74.xml" ContentType="application/vnd.ms-office.chartstyle+xml"/>
  <Override PartName="/xl/charts/colors74.xml" ContentType="application/vnd.ms-office.chartcolorstyle+xml"/>
  <Override PartName="/xl/charts/chart75.xml" ContentType="application/vnd.openxmlformats-officedocument.drawingml.chart+xml"/>
  <Override PartName="/xl/charts/style75.xml" ContentType="application/vnd.ms-office.chartstyle+xml"/>
  <Override PartName="/xl/charts/colors75.xml" ContentType="application/vnd.ms-office.chartcolorstyle+xml"/>
  <Override PartName="/xl/drawings/drawing27.xml" ContentType="application/vnd.openxmlformats-officedocument.drawing+xml"/>
  <Override PartName="/xl/charts/chart76.xml" ContentType="application/vnd.openxmlformats-officedocument.drawingml.chart+xml"/>
  <Override PartName="/xl/charts/style76.xml" ContentType="application/vnd.ms-office.chartstyle+xml"/>
  <Override PartName="/xl/charts/colors76.xml" ContentType="application/vnd.ms-office.chartcolorstyle+xml"/>
  <Override PartName="/xl/charts/chart77.xml" ContentType="application/vnd.openxmlformats-officedocument.drawingml.chart+xml"/>
  <Override PartName="/xl/charts/style77.xml" ContentType="application/vnd.ms-office.chartstyle+xml"/>
  <Override PartName="/xl/charts/colors77.xml" ContentType="application/vnd.ms-office.chartcolorstyle+xml"/>
  <Override PartName="/xl/charts/chart78.xml" ContentType="application/vnd.openxmlformats-officedocument.drawingml.chart+xml"/>
  <Override PartName="/xl/charts/style78.xml" ContentType="application/vnd.ms-office.chartstyle+xml"/>
  <Override PartName="/xl/charts/colors78.xml" ContentType="application/vnd.ms-office.chartcolorstyle+xml"/>
  <Override PartName="/xl/drawings/drawing28.xml" ContentType="application/vnd.openxmlformats-officedocument.drawing+xml"/>
  <Override PartName="/xl/charts/chart79.xml" ContentType="application/vnd.openxmlformats-officedocument.drawingml.chart+xml"/>
  <Override PartName="/xl/charts/style79.xml" ContentType="application/vnd.ms-office.chartstyle+xml"/>
  <Override PartName="/xl/charts/colors79.xml" ContentType="application/vnd.ms-office.chartcolorstyle+xml"/>
  <Override PartName="/xl/charts/chart80.xml" ContentType="application/vnd.openxmlformats-officedocument.drawingml.chart+xml"/>
  <Override PartName="/xl/charts/style80.xml" ContentType="application/vnd.ms-office.chartstyle+xml"/>
  <Override PartName="/xl/charts/colors80.xml" ContentType="application/vnd.ms-office.chartcolorstyle+xml"/>
  <Override PartName="/xl/charts/chart81.xml" ContentType="application/vnd.openxmlformats-officedocument.drawingml.chart+xml"/>
  <Override PartName="/xl/charts/style81.xml" ContentType="application/vnd.ms-office.chartstyle+xml"/>
  <Override PartName="/xl/charts/colors81.xml" ContentType="application/vnd.ms-office.chartcolorstyle+xml"/>
  <Override PartName="/xl/drawings/drawing29.xml" ContentType="application/vnd.openxmlformats-officedocument.drawing+xml"/>
  <Override PartName="/xl/charts/chart82.xml" ContentType="application/vnd.openxmlformats-officedocument.drawingml.chart+xml"/>
  <Override PartName="/xl/charts/style82.xml" ContentType="application/vnd.ms-office.chartstyle+xml"/>
  <Override PartName="/xl/charts/colors82.xml" ContentType="application/vnd.ms-office.chartcolorstyle+xml"/>
  <Override PartName="/xl/charts/chart83.xml" ContentType="application/vnd.openxmlformats-officedocument.drawingml.chart+xml"/>
  <Override PartName="/xl/charts/style83.xml" ContentType="application/vnd.ms-office.chartstyle+xml"/>
  <Override PartName="/xl/charts/colors83.xml" ContentType="application/vnd.ms-office.chartcolorstyle+xml"/>
  <Override PartName="/xl/charts/chart84.xml" ContentType="application/vnd.openxmlformats-officedocument.drawingml.chart+xml"/>
  <Override PartName="/xl/charts/style84.xml" ContentType="application/vnd.ms-office.chartstyle+xml"/>
  <Override PartName="/xl/charts/colors84.xml" ContentType="application/vnd.ms-office.chartcolorstyle+xml"/>
  <Override PartName="/xl/drawings/drawing30.xml" ContentType="application/vnd.openxmlformats-officedocument.drawing+xml"/>
  <Override PartName="/xl/charts/chart85.xml" ContentType="application/vnd.openxmlformats-officedocument.drawingml.chart+xml"/>
  <Override PartName="/xl/charts/style85.xml" ContentType="application/vnd.ms-office.chartstyle+xml"/>
  <Override PartName="/xl/charts/colors85.xml" ContentType="application/vnd.ms-office.chartcolorstyle+xml"/>
  <Override PartName="/xl/charts/chart86.xml" ContentType="application/vnd.openxmlformats-officedocument.drawingml.chart+xml"/>
  <Override PartName="/xl/charts/style86.xml" ContentType="application/vnd.ms-office.chartstyle+xml"/>
  <Override PartName="/xl/charts/colors86.xml" ContentType="application/vnd.ms-office.chartcolorstyle+xml"/>
  <Override PartName="/xl/charts/chart87.xml" ContentType="application/vnd.openxmlformats-officedocument.drawingml.chart+xml"/>
  <Override PartName="/xl/charts/style87.xml" ContentType="application/vnd.ms-office.chartstyle+xml"/>
  <Override PartName="/xl/charts/colors87.xml" ContentType="application/vnd.ms-office.chartcolorstyle+xml"/>
  <Override PartName="/xl/drawings/drawing31.xml" ContentType="application/vnd.openxmlformats-officedocument.drawing+xml"/>
  <Override PartName="/xl/charts/chart88.xml" ContentType="application/vnd.openxmlformats-officedocument.drawingml.chart+xml"/>
  <Override PartName="/xl/charts/style88.xml" ContentType="application/vnd.ms-office.chartstyle+xml"/>
  <Override PartName="/xl/charts/colors88.xml" ContentType="application/vnd.ms-office.chartcolorstyle+xml"/>
  <Override PartName="/xl/charts/chart89.xml" ContentType="application/vnd.openxmlformats-officedocument.drawingml.chart+xml"/>
  <Override PartName="/xl/charts/style89.xml" ContentType="application/vnd.ms-office.chartstyle+xml"/>
  <Override PartName="/xl/charts/colors89.xml" ContentType="application/vnd.ms-office.chartcolorstyle+xml"/>
  <Override PartName="/xl/charts/chart90.xml" ContentType="application/vnd.openxmlformats-officedocument.drawingml.chart+xml"/>
  <Override PartName="/xl/charts/style90.xml" ContentType="application/vnd.ms-office.chartstyle+xml"/>
  <Override PartName="/xl/charts/colors90.xml" ContentType="application/vnd.ms-office.chartcolorstyle+xml"/>
  <Override PartName="/xl/drawings/drawing32.xml" ContentType="application/vnd.openxmlformats-officedocument.drawing+xml"/>
  <Override PartName="/xl/charts/chart91.xml" ContentType="application/vnd.openxmlformats-officedocument.drawingml.chart+xml"/>
  <Override PartName="/xl/charts/style91.xml" ContentType="application/vnd.ms-office.chartstyle+xml"/>
  <Override PartName="/xl/charts/colors91.xml" ContentType="application/vnd.ms-office.chartcolorstyle+xml"/>
  <Override PartName="/xl/charts/chart92.xml" ContentType="application/vnd.openxmlformats-officedocument.drawingml.chart+xml"/>
  <Override PartName="/xl/charts/style92.xml" ContentType="application/vnd.ms-office.chartstyle+xml"/>
  <Override PartName="/xl/charts/colors92.xml" ContentType="application/vnd.ms-office.chartcolorstyle+xml"/>
  <Override PartName="/xl/charts/chart93.xml" ContentType="application/vnd.openxmlformats-officedocument.drawingml.chart+xml"/>
  <Override PartName="/xl/charts/style93.xml" ContentType="application/vnd.ms-office.chartstyle+xml"/>
  <Override PartName="/xl/charts/colors93.xml" ContentType="application/vnd.ms-office.chartcolorstyle+xml"/>
  <Override PartName="/xl/drawings/drawing33.xml" ContentType="application/vnd.openxmlformats-officedocument.drawing+xml"/>
  <Override PartName="/xl/charts/chart94.xml" ContentType="application/vnd.openxmlformats-officedocument.drawingml.chart+xml"/>
  <Override PartName="/xl/charts/style94.xml" ContentType="application/vnd.ms-office.chartstyle+xml"/>
  <Override PartName="/xl/charts/colors94.xml" ContentType="application/vnd.ms-office.chartcolorstyle+xml"/>
  <Override PartName="/xl/charts/chart95.xml" ContentType="application/vnd.openxmlformats-officedocument.drawingml.chart+xml"/>
  <Override PartName="/xl/charts/style95.xml" ContentType="application/vnd.ms-office.chartstyle+xml"/>
  <Override PartName="/xl/charts/colors95.xml" ContentType="application/vnd.ms-office.chartcolorstyle+xml"/>
  <Override PartName="/xl/charts/chart96.xml" ContentType="application/vnd.openxmlformats-officedocument.drawingml.chart+xml"/>
  <Override PartName="/xl/charts/style96.xml" ContentType="application/vnd.ms-office.chartstyle+xml"/>
  <Override PartName="/xl/charts/colors96.xml" ContentType="application/vnd.ms-office.chartcolorstyle+xml"/>
  <Override PartName="/xl/drawings/drawing34.xml" ContentType="application/vnd.openxmlformats-officedocument.drawing+xml"/>
  <Override PartName="/xl/charts/chart97.xml" ContentType="application/vnd.openxmlformats-officedocument.drawingml.chart+xml"/>
  <Override PartName="/xl/charts/style97.xml" ContentType="application/vnd.ms-office.chartstyle+xml"/>
  <Override PartName="/xl/charts/colors97.xml" ContentType="application/vnd.ms-office.chartcolorstyle+xml"/>
  <Override PartName="/xl/charts/chart98.xml" ContentType="application/vnd.openxmlformats-officedocument.drawingml.chart+xml"/>
  <Override PartName="/xl/charts/style98.xml" ContentType="application/vnd.ms-office.chartstyle+xml"/>
  <Override PartName="/xl/charts/colors98.xml" ContentType="application/vnd.ms-office.chartcolorstyle+xml"/>
  <Override PartName="/xl/charts/chart99.xml" ContentType="application/vnd.openxmlformats-officedocument.drawingml.chart+xml"/>
  <Override PartName="/xl/charts/style99.xml" ContentType="application/vnd.ms-office.chartstyle+xml"/>
  <Override PartName="/xl/charts/colors99.xml" ContentType="application/vnd.ms-office.chartcolorstyle+xml"/>
  <Override PartName="/xl/drawings/drawing35.xml" ContentType="application/vnd.openxmlformats-officedocument.drawing+xml"/>
  <Override PartName="/xl/charts/chart100.xml" ContentType="application/vnd.openxmlformats-officedocument.drawingml.chart+xml"/>
  <Override PartName="/xl/charts/style100.xml" ContentType="application/vnd.ms-office.chartstyle+xml"/>
  <Override PartName="/xl/charts/colors100.xml" ContentType="application/vnd.ms-office.chartcolorstyle+xml"/>
  <Override PartName="/xl/charts/chart101.xml" ContentType="application/vnd.openxmlformats-officedocument.drawingml.chart+xml"/>
  <Override PartName="/xl/charts/style101.xml" ContentType="application/vnd.ms-office.chartstyle+xml"/>
  <Override PartName="/xl/charts/colors101.xml" ContentType="application/vnd.ms-office.chartcolorstyle+xml"/>
  <Override PartName="/xl/charts/chart102.xml" ContentType="application/vnd.openxmlformats-officedocument.drawingml.chart+xml"/>
  <Override PartName="/xl/charts/style102.xml" ContentType="application/vnd.ms-office.chartstyle+xml"/>
  <Override PartName="/xl/charts/colors102.xml" ContentType="application/vnd.ms-office.chartcolorstyle+xml"/>
  <Override PartName="/xl/drawings/drawing36.xml" ContentType="application/vnd.openxmlformats-officedocument.drawing+xml"/>
  <Override PartName="/xl/charts/chart103.xml" ContentType="application/vnd.openxmlformats-officedocument.drawingml.chart+xml"/>
  <Override PartName="/xl/charts/style103.xml" ContentType="application/vnd.ms-office.chartstyle+xml"/>
  <Override PartName="/xl/charts/colors103.xml" ContentType="application/vnd.ms-office.chartcolorstyle+xml"/>
  <Override PartName="/xl/charts/chart104.xml" ContentType="application/vnd.openxmlformats-officedocument.drawingml.chart+xml"/>
  <Override PartName="/xl/charts/style104.xml" ContentType="application/vnd.ms-office.chartstyle+xml"/>
  <Override PartName="/xl/charts/colors104.xml" ContentType="application/vnd.ms-office.chartcolorstyle+xml"/>
  <Override PartName="/xl/charts/chart105.xml" ContentType="application/vnd.openxmlformats-officedocument.drawingml.chart+xml"/>
  <Override PartName="/xl/charts/style105.xml" ContentType="application/vnd.ms-office.chartstyle+xml"/>
  <Override PartName="/xl/charts/colors105.xml" ContentType="application/vnd.ms-office.chartcolorstyle+xml"/>
  <Override PartName="/xl/drawings/drawing37.xml" ContentType="application/vnd.openxmlformats-officedocument.drawing+xml"/>
  <Override PartName="/xl/charts/chart106.xml" ContentType="application/vnd.openxmlformats-officedocument.drawingml.chart+xml"/>
  <Override PartName="/xl/charts/style106.xml" ContentType="application/vnd.ms-office.chartstyle+xml"/>
  <Override PartName="/xl/charts/colors106.xml" ContentType="application/vnd.ms-office.chartcolorstyle+xml"/>
  <Override PartName="/xl/charts/chart107.xml" ContentType="application/vnd.openxmlformats-officedocument.drawingml.chart+xml"/>
  <Override PartName="/xl/charts/style107.xml" ContentType="application/vnd.ms-office.chartstyle+xml"/>
  <Override PartName="/xl/charts/colors107.xml" ContentType="application/vnd.ms-office.chartcolorstyle+xml"/>
  <Override PartName="/xl/charts/chart108.xml" ContentType="application/vnd.openxmlformats-officedocument.drawingml.chart+xml"/>
  <Override PartName="/xl/charts/style108.xml" ContentType="application/vnd.ms-office.chartstyle+xml"/>
  <Override PartName="/xl/charts/colors108.xml" ContentType="application/vnd.ms-office.chartcolorstyle+xml"/>
  <Override PartName="/xl/drawings/drawing38.xml" ContentType="application/vnd.openxmlformats-officedocument.drawing+xml"/>
  <Override PartName="/xl/charts/chart109.xml" ContentType="application/vnd.openxmlformats-officedocument.drawingml.chart+xml"/>
  <Override PartName="/xl/charts/style109.xml" ContentType="application/vnd.ms-office.chartstyle+xml"/>
  <Override PartName="/xl/charts/colors109.xml" ContentType="application/vnd.ms-office.chartcolorstyle+xml"/>
  <Override PartName="/xl/charts/chart110.xml" ContentType="application/vnd.openxmlformats-officedocument.drawingml.chart+xml"/>
  <Override PartName="/xl/charts/style110.xml" ContentType="application/vnd.ms-office.chartstyle+xml"/>
  <Override PartName="/xl/charts/colors110.xml" ContentType="application/vnd.ms-office.chartcolorstyle+xml"/>
  <Override PartName="/xl/charts/chart111.xml" ContentType="application/vnd.openxmlformats-officedocument.drawingml.chart+xml"/>
  <Override PartName="/xl/charts/style111.xml" ContentType="application/vnd.ms-office.chartstyle+xml"/>
  <Override PartName="/xl/charts/colors111.xml" ContentType="application/vnd.ms-office.chartcolorstyle+xml"/>
  <Override PartName="/xl/drawings/drawing39.xml" ContentType="application/vnd.openxmlformats-officedocument.drawing+xml"/>
  <Override PartName="/xl/charts/chart112.xml" ContentType="application/vnd.openxmlformats-officedocument.drawingml.chart+xml"/>
  <Override PartName="/xl/charts/style112.xml" ContentType="application/vnd.ms-office.chartstyle+xml"/>
  <Override PartName="/xl/charts/colors112.xml" ContentType="application/vnd.ms-office.chartcolorstyle+xml"/>
  <Override PartName="/xl/charts/chart113.xml" ContentType="application/vnd.openxmlformats-officedocument.drawingml.chart+xml"/>
  <Override PartName="/xl/charts/style113.xml" ContentType="application/vnd.ms-office.chartstyle+xml"/>
  <Override PartName="/xl/charts/colors113.xml" ContentType="application/vnd.ms-office.chartcolorstyle+xml"/>
  <Override PartName="/xl/charts/chart114.xml" ContentType="application/vnd.openxmlformats-officedocument.drawingml.chart+xml"/>
  <Override PartName="/xl/charts/style114.xml" ContentType="application/vnd.ms-office.chartstyle+xml"/>
  <Override PartName="/xl/charts/colors114.xml" ContentType="application/vnd.ms-office.chartcolorstyle+xml"/>
  <Override PartName="/xl/drawings/drawing40.xml" ContentType="application/vnd.openxmlformats-officedocument.drawing+xml"/>
  <Override PartName="/xl/charts/chart115.xml" ContentType="application/vnd.openxmlformats-officedocument.drawingml.chart+xml"/>
  <Override PartName="/xl/charts/style115.xml" ContentType="application/vnd.ms-office.chartstyle+xml"/>
  <Override PartName="/xl/charts/colors115.xml" ContentType="application/vnd.ms-office.chartcolorstyle+xml"/>
  <Override PartName="/xl/charts/chart116.xml" ContentType="application/vnd.openxmlformats-officedocument.drawingml.chart+xml"/>
  <Override PartName="/xl/charts/style116.xml" ContentType="application/vnd.ms-office.chartstyle+xml"/>
  <Override PartName="/xl/charts/colors116.xml" ContentType="application/vnd.ms-office.chartcolorstyle+xml"/>
  <Override PartName="/xl/charts/chart117.xml" ContentType="application/vnd.openxmlformats-officedocument.drawingml.chart+xml"/>
  <Override PartName="/xl/charts/style117.xml" ContentType="application/vnd.ms-office.chartstyle+xml"/>
  <Override PartName="/xl/charts/colors117.xml" ContentType="application/vnd.ms-office.chartcolorstyle+xml"/>
  <Override PartName="/xl/drawings/drawing41.xml" ContentType="application/vnd.openxmlformats-officedocument.drawing+xml"/>
  <Override PartName="/xl/charts/chart118.xml" ContentType="application/vnd.openxmlformats-officedocument.drawingml.chart+xml"/>
  <Override PartName="/xl/charts/style118.xml" ContentType="application/vnd.ms-office.chartstyle+xml"/>
  <Override PartName="/xl/charts/colors118.xml" ContentType="application/vnd.ms-office.chartcolorstyle+xml"/>
  <Override PartName="/xl/charts/chart119.xml" ContentType="application/vnd.openxmlformats-officedocument.drawingml.chart+xml"/>
  <Override PartName="/xl/charts/style119.xml" ContentType="application/vnd.ms-office.chartstyle+xml"/>
  <Override PartName="/xl/charts/colors119.xml" ContentType="application/vnd.ms-office.chartcolorstyle+xml"/>
  <Override PartName="/xl/charts/chart120.xml" ContentType="application/vnd.openxmlformats-officedocument.drawingml.chart+xml"/>
  <Override PartName="/xl/charts/style120.xml" ContentType="application/vnd.ms-office.chartstyle+xml"/>
  <Override PartName="/xl/charts/colors120.xml" ContentType="application/vnd.ms-office.chartcolorstyle+xml"/>
  <Override PartName="/xl/drawings/drawing42.xml" ContentType="application/vnd.openxmlformats-officedocument.drawing+xml"/>
  <Override PartName="/xl/charts/chart121.xml" ContentType="application/vnd.openxmlformats-officedocument.drawingml.chart+xml"/>
  <Override PartName="/xl/charts/style121.xml" ContentType="application/vnd.ms-office.chartstyle+xml"/>
  <Override PartName="/xl/charts/colors121.xml" ContentType="application/vnd.ms-office.chartcolorstyle+xml"/>
  <Override PartName="/xl/charts/chart122.xml" ContentType="application/vnd.openxmlformats-officedocument.drawingml.chart+xml"/>
  <Override PartName="/xl/charts/style122.xml" ContentType="application/vnd.ms-office.chartstyle+xml"/>
  <Override PartName="/xl/charts/colors122.xml" ContentType="application/vnd.ms-office.chartcolorstyle+xml"/>
  <Override PartName="/xl/charts/chart123.xml" ContentType="application/vnd.openxmlformats-officedocument.drawingml.chart+xml"/>
  <Override PartName="/xl/charts/style123.xml" ContentType="application/vnd.ms-office.chartstyle+xml"/>
  <Override PartName="/xl/charts/colors123.xml" ContentType="application/vnd.ms-office.chartcolorstyle+xml"/>
  <Override PartName="/xl/drawings/drawing43.xml" ContentType="application/vnd.openxmlformats-officedocument.drawing+xml"/>
  <Override PartName="/xl/charts/chart124.xml" ContentType="application/vnd.openxmlformats-officedocument.drawingml.chart+xml"/>
  <Override PartName="/xl/charts/style124.xml" ContentType="application/vnd.ms-office.chartstyle+xml"/>
  <Override PartName="/xl/charts/colors124.xml" ContentType="application/vnd.ms-office.chartcolorstyle+xml"/>
  <Override PartName="/xl/charts/chart125.xml" ContentType="application/vnd.openxmlformats-officedocument.drawingml.chart+xml"/>
  <Override PartName="/xl/charts/style125.xml" ContentType="application/vnd.ms-office.chartstyle+xml"/>
  <Override PartName="/xl/charts/colors125.xml" ContentType="application/vnd.ms-office.chartcolorstyle+xml"/>
  <Override PartName="/xl/charts/chart126.xml" ContentType="application/vnd.openxmlformats-officedocument.drawingml.chart+xml"/>
  <Override PartName="/xl/charts/style126.xml" ContentType="application/vnd.ms-office.chartstyle+xml"/>
  <Override PartName="/xl/charts/colors126.xml" ContentType="application/vnd.ms-office.chartcolorstyle+xml"/>
  <Override PartName="/xl/drawings/drawing44.xml" ContentType="application/vnd.openxmlformats-officedocument.drawing+xml"/>
  <Override PartName="/xl/charts/chart127.xml" ContentType="application/vnd.openxmlformats-officedocument.drawingml.chart+xml"/>
  <Override PartName="/xl/charts/style127.xml" ContentType="application/vnd.ms-office.chartstyle+xml"/>
  <Override PartName="/xl/charts/colors127.xml" ContentType="application/vnd.ms-office.chartcolorstyle+xml"/>
  <Override PartName="/xl/charts/chart128.xml" ContentType="application/vnd.openxmlformats-officedocument.drawingml.chart+xml"/>
  <Override PartName="/xl/charts/style128.xml" ContentType="application/vnd.ms-office.chartstyle+xml"/>
  <Override PartName="/xl/charts/colors128.xml" ContentType="application/vnd.ms-office.chartcolorstyle+xml"/>
  <Override PartName="/xl/charts/chart129.xml" ContentType="application/vnd.openxmlformats-officedocument.drawingml.chart+xml"/>
  <Override PartName="/xl/charts/style129.xml" ContentType="application/vnd.ms-office.chartstyle+xml"/>
  <Override PartName="/xl/charts/colors129.xml" ContentType="application/vnd.ms-office.chartcolorstyle+xml"/>
  <Override PartName="/xl/drawings/drawing45.xml" ContentType="application/vnd.openxmlformats-officedocument.drawing+xml"/>
  <Override PartName="/xl/charts/chart130.xml" ContentType="application/vnd.openxmlformats-officedocument.drawingml.chart+xml"/>
  <Override PartName="/xl/charts/style130.xml" ContentType="application/vnd.ms-office.chartstyle+xml"/>
  <Override PartName="/xl/charts/colors130.xml" ContentType="application/vnd.ms-office.chartcolorstyle+xml"/>
  <Override PartName="/xl/charts/chart131.xml" ContentType="application/vnd.openxmlformats-officedocument.drawingml.chart+xml"/>
  <Override PartName="/xl/charts/style131.xml" ContentType="application/vnd.ms-office.chartstyle+xml"/>
  <Override PartName="/xl/charts/colors131.xml" ContentType="application/vnd.ms-office.chartcolorstyle+xml"/>
  <Override PartName="/xl/charts/chart132.xml" ContentType="application/vnd.openxmlformats-officedocument.drawingml.chart+xml"/>
  <Override PartName="/xl/charts/style132.xml" ContentType="application/vnd.ms-office.chartstyle+xml"/>
  <Override PartName="/xl/charts/colors132.xml" ContentType="application/vnd.ms-office.chartcolorstyle+xml"/>
  <Override PartName="/xl/drawings/drawing46.xml" ContentType="application/vnd.openxmlformats-officedocument.drawing+xml"/>
  <Override PartName="/xl/charts/chart133.xml" ContentType="application/vnd.openxmlformats-officedocument.drawingml.chart+xml"/>
  <Override PartName="/xl/charts/style133.xml" ContentType="application/vnd.ms-office.chartstyle+xml"/>
  <Override PartName="/xl/charts/colors133.xml" ContentType="application/vnd.ms-office.chartcolorstyle+xml"/>
  <Override PartName="/xl/charts/chart134.xml" ContentType="application/vnd.openxmlformats-officedocument.drawingml.chart+xml"/>
  <Override PartName="/xl/charts/style134.xml" ContentType="application/vnd.ms-office.chartstyle+xml"/>
  <Override PartName="/xl/charts/colors134.xml" ContentType="application/vnd.ms-office.chartcolorstyle+xml"/>
  <Override PartName="/xl/charts/chart135.xml" ContentType="application/vnd.openxmlformats-officedocument.drawingml.chart+xml"/>
  <Override PartName="/xl/charts/style135.xml" ContentType="application/vnd.ms-office.chartstyle+xml"/>
  <Override PartName="/xl/charts/colors135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62F9E958-00F4-224C-1CEB-3A4BEE276A5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online024\Documents\mahjong-club\成績管理システム\"/>
    </mc:Choice>
  </mc:AlternateContent>
  <xr:revisionPtr revIDLastSave="0" documentId="13_ncr:1_{94DC2895-5048-4FE1-86D7-A4FB8B31CCD6}" xr6:coauthVersionLast="47" xr6:coauthVersionMax="47" xr10:uidLastSave="{00000000-0000-0000-0000-000000000000}"/>
  <bookViews>
    <workbookView xWindow="-108" yWindow="-108" windowWidth="23256" windowHeight="12456" tabRatio="663" firstSheet="2" activeTab="2" xr2:uid="{4FDB0271-42AC-4C1F-BA12-2E989A379038}"/>
  </bookViews>
  <sheets>
    <sheet name="Cache" sheetId="2227" state="hidden" r:id="rId1"/>
    <sheet name="Players" sheetId="3285" state="hidden" r:id="rId2"/>
    <sheet name="ランキング" sheetId="3332" r:id="rId3"/>
    <sheet name="全体" sheetId="6272" r:id="rId4"/>
    <sheet name="松澤亮太" sheetId="6273" r:id="rId5"/>
    <sheet name="滝沢悠人" sheetId="6274" r:id="rId6"/>
    <sheet name="大池陸斗" sheetId="6275" r:id="rId7"/>
    <sheet name="百瀬成空" sheetId="6276" r:id="rId8"/>
    <sheet name="佐藤成浩" sheetId="6277" r:id="rId9"/>
    <sheet name="依田幸憲" sheetId="6278" r:id="rId10"/>
    <sheet name="保谷一貴" sheetId="6279" r:id="rId11"/>
    <sheet name="高野源太" sheetId="6280" r:id="rId12"/>
    <sheet name="矢ヶ崎健" sheetId="6281" r:id="rId13"/>
    <sheet name="小林郁斗" sheetId="6282" r:id="rId14"/>
    <sheet name="木角有希" sheetId="6283" r:id="rId15"/>
    <sheet name="福澤大地" sheetId="6284" r:id="rId16"/>
    <sheet name="髙橋桜" sheetId="6285" r:id="rId17"/>
    <sheet name="多田洋輔" sheetId="6286" r:id="rId18"/>
    <sheet name="柳澤颯吾" sheetId="6287" r:id="rId19"/>
    <sheet name="石澤巧望" sheetId="6288" r:id="rId20"/>
    <sheet name="川上翔大" sheetId="6289" r:id="rId21"/>
    <sheet name="北沢蓮太郎" sheetId="6290" r:id="rId22"/>
    <sheet name="市川大智" sheetId="6291" r:id="rId23"/>
    <sheet name="中川弘崇" sheetId="6292" r:id="rId24"/>
    <sheet name="阿部圭太朗" sheetId="6293" r:id="rId25"/>
    <sheet name="山崎葵" sheetId="6294" r:id="rId26"/>
    <sheet name="関谷洸佑" sheetId="6295" r:id="rId27"/>
    <sheet name="巻島夢樹" sheetId="6296" r:id="rId28"/>
    <sheet name="伊藤仁城" sheetId="6298" r:id="rId29"/>
    <sheet name="西沢武留" sheetId="6299" r:id="rId30"/>
    <sheet name="両角慧太" sheetId="6300" r:id="rId31"/>
    <sheet name="中村花菜" sheetId="6301" r:id="rId32"/>
    <sheet name="中村季暉" sheetId="6302" r:id="rId33"/>
    <sheet name="吉澤諒" sheetId="6303" r:id="rId34"/>
    <sheet name="塩入悠" sheetId="6304" r:id="rId35"/>
    <sheet name="宮澤七星" sheetId="6305" r:id="rId36"/>
    <sheet name="坂本羽弥斗" sheetId="6306" r:id="rId37"/>
    <sheet name="湯本咲蔵" sheetId="6307" r:id="rId38"/>
    <sheet name="田名網新" sheetId="6308" r:id="rId39"/>
    <sheet name="山本悠介" sheetId="6309" r:id="rId40"/>
    <sheet name="石原凛人" sheetId="6310" r:id="rId41"/>
    <sheet name="渡部陵瑛" sheetId="6311" r:id="rId42"/>
    <sheet name="唐澤聖矢" sheetId="6312" r:id="rId43"/>
    <sheet name="清水常緑" sheetId="6313" r:id="rId44"/>
    <sheet name="所附快和" sheetId="6314" r:id="rId45"/>
    <sheet name="長野柊馬" sheetId="6315" r:id="rId46"/>
    <sheet name="Template (3)" sheetId="6297" state="hidden" r:id="rId47"/>
    <sheet name="Template" sheetId="2228" state="hidden" r:id="rId48"/>
  </sheets>
  <definedNames>
    <definedName name="アガリ数" localSheetId="46">'Template (3)'!$B$17</definedName>
    <definedName name="アガリ数" localSheetId="24">阿部圭太朗!$B$17</definedName>
    <definedName name="アガリ数" localSheetId="28">伊藤仁城!$B$17</definedName>
    <definedName name="アガリ数" localSheetId="9">依田幸憲!$B$17</definedName>
    <definedName name="アガリ数" localSheetId="34">塩入悠!$B$17</definedName>
    <definedName name="アガリ数" localSheetId="27">巻島夢樹!$B$17</definedName>
    <definedName name="アガリ数" localSheetId="26">関谷洸佑!$B$17</definedName>
    <definedName name="アガリ数" localSheetId="33">吉澤諒!$B$17</definedName>
    <definedName name="アガリ数" localSheetId="35">宮澤七星!$B$17</definedName>
    <definedName name="アガリ数" localSheetId="11">高野源太!$B$17</definedName>
    <definedName name="アガリ数" localSheetId="8">佐藤成浩!$B$17</definedName>
    <definedName name="アガリ数" localSheetId="36">坂本羽弥斗!$B$17</definedName>
    <definedName name="アガリ数" localSheetId="25">山崎葵!$B$17</definedName>
    <definedName name="アガリ数" localSheetId="39">山本悠介!$B$17</definedName>
    <definedName name="アガリ数" localSheetId="22">市川大智!$B$17</definedName>
    <definedName name="アガリ数" localSheetId="44">所附快和!$B$17</definedName>
    <definedName name="アガリ数" localSheetId="13">小林郁斗!$B$17</definedName>
    <definedName name="アガリ数" localSheetId="4">松澤亮太!$B$17</definedName>
    <definedName name="アガリ数" localSheetId="43">清水常緑!$B$17</definedName>
    <definedName name="アガリ数" localSheetId="29">西沢武留!$B$17</definedName>
    <definedName name="アガリ数" localSheetId="40">石原凛人!$B$17</definedName>
    <definedName name="アガリ数" localSheetId="19">石澤巧望!$B$17</definedName>
    <definedName name="アガリ数" localSheetId="20">川上翔大!$B$17</definedName>
    <definedName name="アガリ数" localSheetId="3">全体!$B$17</definedName>
    <definedName name="アガリ数" localSheetId="17">多田洋輔!$B$17</definedName>
    <definedName name="アガリ数" localSheetId="6">大池陸斗!$B$17</definedName>
    <definedName name="アガリ数" localSheetId="5">滝沢悠人!$B$17</definedName>
    <definedName name="アガリ数" localSheetId="23">中川弘崇!$B$17</definedName>
    <definedName name="アガリ数" localSheetId="31">中村花菜!$B$17</definedName>
    <definedName name="アガリ数" localSheetId="32">中村季暉!$B$17</definedName>
    <definedName name="アガリ数" localSheetId="45">長野柊馬!$B$17</definedName>
    <definedName name="アガリ数" localSheetId="38">田名網新!$B$17</definedName>
    <definedName name="アガリ数" localSheetId="41">渡部陵瑛!$B$17</definedName>
    <definedName name="アガリ数" localSheetId="42">唐澤聖矢!$B$17</definedName>
    <definedName name="アガリ数" localSheetId="37">湯本咲蔵!$B$17</definedName>
    <definedName name="アガリ数" localSheetId="7">百瀬成空!$B$17</definedName>
    <definedName name="アガリ数" localSheetId="15">福澤大地!$B$17</definedName>
    <definedName name="アガリ数" localSheetId="10">保谷一貴!$B$17</definedName>
    <definedName name="アガリ数" localSheetId="21">北沢蓮太郎!$B$17</definedName>
    <definedName name="アガリ数" localSheetId="14">木角有希!$B$17</definedName>
    <definedName name="アガリ数" localSheetId="12">矢ヶ崎健!$B$17</definedName>
    <definedName name="アガリ数" localSheetId="18">柳澤颯吾!$B$17</definedName>
    <definedName name="アガリ数" localSheetId="30">両角慧太!$B$17</definedName>
    <definedName name="アガリ数" localSheetId="16">髙橋桜!$B$17</definedName>
    <definedName name="アガリ数">Template!$B$17</definedName>
    <definedName name="アガリ率" localSheetId="46">'Template (3)'!$C$17</definedName>
    <definedName name="アガリ率" localSheetId="24">阿部圭太朗!$C$17</definedName>
    <definedName name="アガリ率" localSheetId="28">伊藤仁城!$C$17</definedName>
    <definedName name="アガリ率" localSheetId="9">依田幸憲!$C$17</definedName>
    <definedName name="アガリ率" localSheetId="34">塩入悠!$C$17</definedName>
    <definedName name="アガリ率" localSheetId="27">巻島夢樹!$C$17</definedName>
    <definedName name="アガリ率" localSheetId="26">関谷洸佑!$C$17</definedName>
    <definedName name="アガリ率" localSheetId="33">吉澤諒!$C$17</definedName>
    <definedName name="アガリ率" localSheetId="35">宮澤七星!$C$17</definedName>
    <definedName name="アガリ率" localSheetId="11">高野源太!$C$17</definedName>
    <definedName name="アガリ率" localSheetId="8">佐藤成浩!$C$17</definedName>
    <definedName name="アガリ率" localSheetId="36">坂本羽弥斗!$C$17</definedName>
    <definedName name="アガリ率" localSheetId="25">山崎葵!$C$17</definedName>
    <definedName name="アガリ率" localSheetId="39">山本悠介!$C$17</definedName>
    <definedName name="アガリ率" localSheetId="22">市川大智!$C$17</definedName>
    <definedName name="アガリ率" localSheetId="44">所附快和!$C$17</definedName>
    <definedName name="アガリ率" localSheetId="13">小林郁斗!$C$17</definedName>
    <definedName name="アガリ率" localSheetId="4">松澤亮太!$C$17</definedName>
    <definedName name="アガリ率" localSheetId="43">清水常緑!$C$17</definedName>
    <definedName name="アガリ率" localSheetId="29">西沢武留!$C$17</definedName>
    <definedName name="アガリ率" localSheetId="40">石原凛人!$C$17</definedName>
    <definedName name="アガリ率" localSheetId="19">石澤巧望!$C$17</definedName>
    <definedName name="アガリ率" localSheetId="20">川上翔大!$C$17</definedName>
    <definedName name="アガリ率" localSheetId="3">全体!$C$17</definedName>
    <definedName name="アガリ率" localSheetId="17">多田洋輔!$C$17</definedName>
    <definedName name="アガリ率" localSheetId="6">大池陸斗!$C$17</definedName>
    <definedName name="アガリ率" localSheetId="5">滝沢悠人!$C$17</definedName>
    <definedName name="アガリ率" localSheetId="23">中川弘崇!$C$17</definedName>
    <definedName name="アガリ率" localSheetId="31">中村花菜!$C$17</definedName>
    <definedName name="アガリ率" localSheetId="32">中村季暉!$C$17</definedName>
    <definedName name="アガリ率" localSheetId="45">長野柊馬!$C$17</definedName>
    <definedName name="アガリ率" localSheetId="38">田名網新!$C$17</definedName>
    <definedName name="アガリ率" localSheetId="41">渡部陵瑛!$C$17</definedName>
    <definedName name="アガリ率" localSheetId="42">唐澤聖矢!$C$17</definedName>
    <definedName name="アガリ率" localSheetId="37">湯本咲蔵!$C$17</definedName>
    <definedName name="アガリ率" localSheetId="7">百瀬成空!$C$17</definedName>
    <definedName name="アガリ率" localSheetId="15">福澤大地!$C$17</definedName>
    <definedName name="アガリ率" localSheetId="10">保谷一貴!$C$17</definedName>
    <definedName name="アガリ率" localSheetId="21">北沢蓮太郎!$C$17</definedName>
    <definedName name="アガリ率" localSheetId="14">木角有希!$C$17</definedName>
    <definedName name="アガリ率" localSheetId="12">矢ヶ崎健!$C$17</definedName>
    <definedName name="アガリ率" localSheetId="18">柳澤颯吾!$C$17</definedName>
    <definedName name="アガリ率" localSheetId="30">両角慧太!$C$17</definedName>
    <definedName name="アガリ率" localSheetId="16">髙橋桜!$C$17</definedName>
    <definedName name="アガリ率">Template!$C$17</definedName>
    <definedName name="ダマアガリ数" localSheetId="46">'Template (3)'!$B$23</definedName>
    <definedName name="ダマアガリ数" localSheetId="24">阿部圭太朗!$B$23</definedName>
    <definedName name="ダマアガリ数" localSheetId="28">伊藤仁城!$B$23</definedName>
    <definedName name="ダマアガリ数" localSheetId="9">依田幸憲!$B$23</definedName>
    <definedName name="ダマアガリ数" localSheetId="34">塩入悠!$B$23</definedName>
    <definedName name="ダマアガリ数" localSheetId="27">巻島夢樹!$B$23</definedName>
    <definedName name="ダマアガリ数" localSheetId="26">関谷洸佑!$B$23</definedName>
    <definedName name="ダマアガリ数" localSheetId="33">吉澤諒!$B$23</definedName>
    <definedName name="ダマアガリ数" localSheetId="35">宮澤七星!$B$23</definedName>
    <definedName name="ダマアガリ数" localSheetId="11">高野源太!$B$23</definedName>
    <definedName name="ダマアガリ数" localSheetId="8">佐藤成浩!$B$23</definedName>
    <definedName name="ダマアガリ数" localSheetId="36">坂本羽弥斗!$B$23</definedName>
    <definedName name="ダマアガリ数" localSheetId="25">山崎葵!$B$23</definedName>
    <definedName name="ダマアガリ数" localSheetId="39">山本悠介!$B$23</definedName>
    <definedName name="ダマアガリ数" localSheetId="22">市川大智!$B$23</definedName>
    <definedName name="ダマアガリ数" localSheetId="44">所附快和!$B$23</definedName>
    <definedName name="ダマアガリ数" localSheetId="13">小林郁斗!$B$23</definedName>
    <definedName name="ダマアガリ数" localSheetId="4">松澤亮太!$B$23</definedName>
    <definedName name="ダマアガリ数" localSheetId="43">清水常緑!$B$23</definedName>
    <definedName name="ダマアガリ数" localSheetId="29">西沢武留!$B$23</definedName>
    <definedName name="ダマアガリ数" localSheetId="40">石原凛人!$B$23</definedName>
    <definedName name="ダマアガリ数" localSheetId="19">石澤巧望!$B$23</definedName>
    <definedName name="ダマアガリ数" localSheetId="20">川上翔大!$B$23</definedName>
    <definedName name="ダマアガリ数" localSheetId="3">全体!$B$23</definedName>
    <definedName name="ダマアガリ数" localSheetId="17">多田洋輔!$B$23</definedName>
    <definedName name="ダマアガリ数" localSheetId="6">大池陸斗!$B$23</definedName>
    <definedName name="ダマアガリ数" localSheetId="5">滝沢悠人!$B$23</definedName>
    <definedName name="ダマアガリ数" localSheetId="23">中川弘崇!$B$23</definedName>
    <definedName name="ダマアガリ数" localSheetId="31">中村花菜!$B$23</definedName>
    <definedName name="ダマアガリ数" localSheetId="32">中村季暉!$B$23</definedName>
    <definedName name="ダマアガリ数" localSheetId="45">長野柊馬!$B$23</definedName>
    <definedName name="ダマアガリ数" localSheetId="38">田名網新!$B$23</definedName>
    <definedName name="ダマアガリ数" localSheetId="41">渡部陵瑛!$B$23</definedName>
    <definedName name="ダマアガリ数" localSheetId="42">唐澤聖矢!$B$23</definedName>
    <definedName name="ダマアガリ数" localSheetId="37">湯本咲蔵!$B$23</definedName>
    <definedName name="ダマアガリ数" localSheetId="7">百瀬成空!$B$23</definedName>
    <definedName name="ダマアガリ数" localSheetId="15">福澤大地!$B$23</definedName>
    <definedName name="ダマアガリ数" localSheetId="10">保谷一貴!$B$23</definedName>
    <definedName name="ダマアガリ数" localSheetId="21">北沢蓮太郎!$B$23</definedName>
    <definedName name="ダマアガリ数" localSheetId="14">木角有希!$B$23</definedName>
    <definedName name="ダマアガリ数" localSheetId="12">矢ヶ崎健!$B$23</definedName>
    <definedName name="ダマアガリ数" localSheetId="18">柳澤颯吾!$B$23</definedName>
    <definedName name="ダマアガリ数" localSheetId="30">両角慧太!$B$23</definedName>
    <definedName name="ダマアガリ数" localSheetId="16">髙橋桜!$B$23</definedName>
    <definedName name="ダマアガリ数">Template!$B$23</definedName>
    <definedName name="ダマアガリ点" localSheetId="46">'Template (3)'!#REF!</definedName>
    <definedName name="ダマアガリ点" localSheetId="24">阿部圭太朗!#REF!</definedName>
    <definedName name="ダマアガリ点" localSheetId="28">伊藤仁城!#REF!</definedName>
    <definedName name="ダマアガリ点" localSheetId="9">依田幸憲!#REF!</definedName>
    <definedName name="ダマアガリ点" localSheetId="34">塩入悠!#REF!</definedName>
    <definedName name="ダマアガリ点" localSheetId="27">巻島夢樹!#REF!</definedName>
    <definedName name="ダマアガリ点" localSheetId="26">関谷洸佑!#REF!</definedName>
    <definedName name="ダマアガリ点" localSheetId="33">吉澤諒!#REF!</definedName>
    <definedName name="ダマアガリ点" localSheetId="35">宮澤七星!#REF!</definedName>
    <definedName name="ダマアガリ点" localSheetId="11">高野源太!#REF!</definedName>
    <definedName name="ダマアガリ点" localSheetId="8">佐藤成浩!#REF!</definedName>
    <definedName name="ダマアガリ点" localSheetId="36">坂本羽弥斗!#REF!</definedName>
    <definedName name="ダマアガリ点" localSheetId="25">山崎葵!#REF!</definedName>
    <definedName name="ダマアガリ点" localSheetId="39">山本悠介!#REF!</definedName>
    <definedName name="ダマアガリ点" localSheetId="22">市川大智!#REF!</definedName>
    <definedName name="ダマアガリ点" localSheetId="44">所附快和!#REF!</definedName>
    <definedName name="ダマアガリ点" localSheetId="13">小林郁斗!#REF!</definedName>
    <definedName name="ダマアガリ点" localSheetId="4">松澤亮太!#REF!</definedName>
    <definedName name="ダマアガリ点" localSheetId="43">清水常緑!#REF!</definedName>
    <definedName name="ダマアガリ点" localSheetId="29">西沢武留!#REF!</definedName>
    <definedName name="ダマアガリ点" localSheetId="40">石原凛人!#REF!</definedName>
    <definedName name="ダマアガリ点" localSheetId="19">石澤巧望!#REF!</definedName>
    <definedName name="ダマアガリ点" localSheetId="20">川上翔大!#REF!</definedName>
    <definedName name="ダマアガリ点" localSheetId="3">全体!#REF!</definedName>
    <definedName name="ダマアガリ点" localSheetId="17">多田洋輔!#REF!</definedName>
    <definedName name="ダマアガリ点" localSheetId="6">大池陸斗!#REF!</definedName>
    <definedName name="ダマアガリ点" localSheetId="5">滝沢悠人!#REF!</definedName>
    <definedName name="ダマアガリ点" localSheetId="23">中川弘崇!#REF!</definedName>
    <definedName name="ダマアガリ点" localSheetId="31">中村花菜!#REF!</definedName>
    <definedName name="ダマアガリ点" localSheetId="32">中村季暉!#REF!</definedName>
    <definedName name="ダマアガリ点" localSheetId="45">長野柊馬!#REF!</definedName>
    <definedName name="ダマアガリ点" localSheetId="38">田名網新!#REF!</definedName>
    <definedName name="ダマアガリ点" localSheetId="41">渡部陵瑛!#REF!</definedName>
    <definedName name="ダマアガリ点" localSheetId="42">唐澤聖矢!#REF!</definedName>
    <definedName name="ダマアガリ点" localSheetId="37">湯本咲蔵!#REF!</definedName>
    <definedName name="ダマアガリ点" localSheetId="7">百瀬成空!#REF!</definedName>
    <definedName name="ダマアガリ点" localSheetId="15">福澤大地!#REF!</definedName>
    <definedName name="ダマアガリ点" localSheetId="10">保谷一貴!#REF!</definedName>
    <definedName name="ダマアガリ点" localSheetId="21">北沢蓮太郎!#REF!</definedName>
    <definedName name="ダマアガリ点" localSheetId="14">木角有希!#REF!</definedName>
    <definedName name="ダマアガリ点" localSheetId="12">矢ヶ崎健!#REF!</definedName>
    <definedName name="ダマアガリ点" localSheetId="18">柳澤颯吾!#REF!</definedName>
    <definedName name="ダマアガリ点" localSheetId="30">両角慧太!#REF!</definedName>
    <definedName name="ダマアガリ点" localSheetId="16">髙橋桜!#REF!</definedName>
    <definedName name="ダマアガリ点">Template!#REF!</definedName>
    <definedName name="ダマアガリ率" localSheetId="46">'Template (3)'!$C$23</definedName>
    <definedName name="ダマアガリ率" localSheetId="24">阿部圭太朗!$C$23</definedName>
    <definedName name="ダマアガリ率" localSheetId="28">伊藤仁城!$C$23</definedName>
    <definedName name="ダマアガリ率" localSheetId="9">依田幸憲!$C$23</definedName>
    <definedName name="ダマアガリ率" localSheetId="34">塩入悠!$C$23</definedName>
    <definedName name="ダマアガリ率" localSheetId="27">巻島夢樹!$C$23</definedName>
    <definedName name="ダマアガリ率" localSheetId="26">関谷洸佑!$C$23</definedName>
    <definedName name="ダマアガリ率" localSheetId="33">吉澤諒!$C$23</definedName>
    <definedName name="ダマアガリ率" localSheetId="35">宮澤七星!$C$23</definedName>
    <definedName name="ダマアガリ率" localSheetId="11">高野源太!$C$23</definedName>
    <definedName name="ダマアガリ率" localSheetId="8">佐藤成浩!$C$23</definedName>
    <definedName name="ダマアガリ率" localSheetId="36">坂本羽弥斗!$C$23</definedName>
    <definedName name="ダマアガリ率" localSheetId="25">山崎葵!$C$23</definedName>
    <definedName name="ダマアガリ率" localSheetId="39">山本悠介!$C$23</definedName>
    <definedName name="ダマアガリ率" localSheetId="22">市川大智!$C$23</definedName>
    <definedName name="ダマアガリ率" localSheetId="44">所附快和!$C$23</definedName>
    <definedName name="ダマアガリ率" localSheetId="13">小林郁斗!$C$23</definedName>
    <definedName name="ダマアガリ率" localSheetId="4">松澤亮太!$C$23</definedName>
    <definedName name="ダマアガリ率" localSheetId="43">清水常緑!$C$23</definedName>
    <definedName name="ダマアガリ率" localSheetId="29">西沢武留!$C$23</definedName>
    <definedName name="ダマアガリ率" localSheetId="40">石原凛人!$C$23</definedName>
    <definedName name="ダマアガリ率" localSheetId="19">石澤巧望!$C$23</definedName>
    <definedName name="ダマアガリ率" localSheetId="20">川上翔大!$C$23</definedName>
    <definedName name="ダマアガリ率" localSheetId="3">全体!$C$23</definedName>
    <definedName name="ダマアガリ率" localSheetId="17">多田洋輔!$C$23</definedName>
    <definedName name="ダマアガリ率" localSheetId="6">大池陸斗!$C$23</definedName>
    <definedName name="ダマアガリ率" localSheetId="5">滝沢悠人!$C$23</definedName>
    <definedName name="ダマアガリ率" localSheetId="23">中川弘崇!$C$23</definedName>
    <definedName name="ダマアガリ率" localSheetId="31">中村花菜!$C$23</definedName>
    <definedName name="ダマアガリ率" localSheetId="32">中村季暉!$C$23</definedName>
    <definedName name="ダマアガリ率" localSheetId="45">長野柊馬!$C$23</definedName>
    <definedName name="ダマアガリ率" localSheetId="38">田名網新!$C$23</definedName>
    <definedName name="ダマアガリ率" localSheetId="41">渡部陵瑛!$C$23</definedName>
    <definedName name="ダマアガリ率" localSheetId="42">唐澤聖矢!$C$23</definedName>
    <definedName name="ダマアガリ率" localSheetId="37">湯本咲蔵!$C$23</definedName>
    <definedName name="ダマアガリ率" localSheetId="7">百瀬成空!$C$23</definedName>
    <definedName name="ダマアガリ率" localSheetId="15">福澤大地!$C$23</definedName>
    <definedName name="ダマアガリ率" localSheetId="10">保谷一貴!$C$23</definedName>
    <definedName name="ダマアガリ率" localSheetId="21">北沢蓮太郎!$C$23</definedName>
    <definedName name="ダマアガリ率" localSheetId="14">木角有希!$C$23</definedName>
    <definedName name="ダマアガリ率" localSheetId="12">矢ヶ崎健!$C$23</definedName>
    <definedName name="ダマアガリ率" localSheetId="18">柳澤颯吾!$C$23</definedName>
    <definedName name="ダマアガリ率" localSheetId="30">両角慧太!$C$23</definedName>
    <definedName name="ダマアガリ率" localSheetId="16">髙橋桜!$C$23</definedName>
    <definedName name="ダマアガリ率">Template!$C$23</definedName>
    <definedName name="チョンボ数" localSheetId="46">'Template (3)'!$B$32</definedName>
    <definedName name="チョンボ数" localSheetId="24">阿部圭太朗!$B$32</definedName>
    <definedName name="チョンボ数" localSheetId="28">伊藤仁城!$B$32</definedName>
    <definedName name="チョンボ数" localSheetId="9">依田幸憲!$B$32</definedName>
    <definedName name="チョンボ数" localSheetId="34">塩入悠!$B$32</definedName>
    <definedName name="チョンボ数" localSheetId="27">巻島夢樹!$B$32</definedName>
    <definedName name="チョンボ数" localSheetId="26">関谷洸佑!$B$32</definedName>
    <definedName name="チョンボ数" localSheetId="33">吉澤諒!$B$32</definedName>
    <definedName name="チョンボ数" localSheetId="35">宮澤七星!$B$32</definedName>
    <definedName name="チョンボ数" localSheetId="11">高野源太!$B$32</definedName>
    <definedName name="チョンボ数" localSheetId="8">佐藤成浩!$B$32</definedName>
    <definedName name="チョンボ数" localSheetId="36">坂本羽弥斗!$B$32</definedName>
    <definedName name="チョンボ数" localSheetId="25">山崎葵!$B$32</definedName>
    <definedName name="チョンボ数" localSheetId="39">山本悠介!$B$32</definedName>
    <definedName name="チョンボ数" localSheetId="22">市川大智!$B$32</definedName>
    <definedName name="チョンボ数" localSheetId="44">所附快和!$B$32</definedName>
    <definedName name="チョンボ数" localSheetId="13">小林郁斗!$B$32</definedName>
    <definedName name="チョンボ数" localSheetId="4">松澤亮太!$B$32</definedName>
    <definedName name="チョンボ数" localSheetId="43">清水常緑!$B$32</definedName>
    <definedName name="チョンボ数" localSheetId="29">西沢武留!$B$32</definedName>
    <definedName name="チョンボ数" localSheetId="40">石原凛人!$B$32</definedName>
    <definedName name="チョンボ数" localSheetId="19">石澤巧望!$B$32</definedName>
    <definedName name="チョンボ数" localSheetId="20">川上翔大!$B$32</definedName>
    <definedName name="チョンボ数" localSheetId="3">全体!$B$32</definedName>
    <definedName name="チョンボ数" localSheetId="17">多田洋輔!$B$32</definedName>
    <definedName name="チョンボ数" localSheetId="6">大池陸斗!$B$32</definedName>
    <definedName name="チョンボ数" localSheetId="5">滝沢悠人!$B$32</definedName>
    <definedName name="チョンボ数" localSheetId="23">中川弘崇!$B$32</definedName>
    <definedName name="チョンボ数" localSheetId="31">中村花菜!$B$32</definedName>
    <definedName name="チョンボ数" localSheetId="32">中村季暉!$B$32</definedName>
    <definedName name="チョンボ数" localSheetId="45">長野柊馬!$B$32</definedName>
    <definedName name="チョンボ数" localSheetId="38">田名網新!$B$32</definedName>
    <definedName name="チョンボ数" localSheetId="41">渡部陵瑛!$B$32</definedName>
    <definedName name="チョンボ数" localSheetId="42">唐澤聖矢!$B$32</definedName>
    <definedName name="チョンボ数" localSheetId="37">湯本咲蔵!$B$32</definedName>
    <definedName name="チョンボ数" localSheetId="7">百瀬成空!$B$32</definedName>
    <definedName name="チョンボ数" localSheetId="15">福澤大地!$B$32</definedName>
    <definedName name="チョンボ数" localSheetId="10">保谷一貴!$B$32</definedName>
    <definedName name="チョンボ数" localSheetId="21">北沢蓮太郎!$B$32</definedName>
    <definedName name="チョンボ数" localSheetId="14">木角有希!$B$32</definedName>
    <definedName name="チョンボ数" localSheetId="12">矢ヶ崎健!$B$32</definedName>
    <definedName name="チョンボ数" localSheetId="18">柳澤颯吾!$B$32</definedName>
    <definedName name="チョンボ数" localSheetId="30">両角慧太!$B$32</definedName>
    <definedName name="チョンボ数" localSheetId="16">髙橋桜!$B$32</definedName>
    <definedName name="チョンボ数">Template!$B$32</definedName>
    <definedName name="チョンボ率" localSheetId="46">'Template (3)'!$C$32</definedName>
    <definedName name="チョンボ率" localSheetId="24">阿部圭太朗!$C$32</definedName>
    <definedName name="チョンボ率" localSheetId="28">伊藤仁城!$C$32</definedName>
    <definedName name="チョンボ率" localSheetId="9">依田幸憲!$C$32</definedName>
    <definedName name="チョンボ率" localSheetId="34">塩入悠!$C$32</definedName>
    <definedName name="チョンボ率" localSheetId="27">巻島夢樹!$C$32</definedName>
    <definedName name="チョンボ率" localSheetId="26">関谷洸佑!$C$32</definedName>
    <definedName name="チョンボ率" localSheetId="33">吉澤諒!$C$32</definedName>
    <definedName name="チョンボ率" localSheetId="35">宮澤七星!$C$32</definedName>
    <definedName name="チョンボ率" localSheetId="11">高野源太!$C$32</definedName>
    <definedName name="チョンボ率" localSheetId="8">佐藤成浩!$C$32</definedName>
    <definedName name="チョンボ率" localSheetId="36">坂本羽弥斗!$C$32</definedName>
    <definedName name="チョンボ率" localSheetId="25">山崎葵!$C$32</definedName>
    <definedName name="チョンボ率" localSheetId="39">山本悠介!$C$32</definedName>
    <definedName name="チョンボ率" localSheetId="22">市川大智!$C$32</definedName>
    <definedName name="チョンボ率" localSheetId="44">所附快和!$C$32</definedName>
    <definedName name="チョンボ率" localSheetId="13">小林郁斗!$C$32</definedName>
    <definedName name="チョンボ率" localSheetId="4">松澤亮太!$C$32</definedName>
    <definedName name="チョンボ率" localSheetId="43">清水常緑!$C$32</definedName>
    <definedName name="チョンボ率" localSheetId="29">西沢武留!$C$32</definedName>
    <definedName name="チョンボ率" localSheetId="40">石原凛人!$C$32</definedName>
    <definedName name="チョンボ率" localSheetId="19">石澤巧望!$C$32</definedName>
    <definedName name="チョンボ率" localSheetId="20">川上翔大!$C$32</definedName>
    <definedName name="チョンボ率" localSheetId="3">全体!$C$32</definedName>
    <definedName name="チョンボ率" localSheetId="17">多田洋輔!$C$32</definedName>
    <definedName name="チョンボ率" localSheetId="6">大池陸斗!$C$32</definedName>
    <definedName name="チョンボ率" localSheetId="5">滝沢悠人!$C$32</definedName>
    <definedName name="チョンボ率" localSheetId="23">中川弘崇!$C$32</definedName>
    <definedName name="チョンボ率" localSheetId="31">中村花菜!$C$32</definedName>
    <definedName name="チョンボ率" localSheetId="32">中村季暉!$C$32</definedName>
    <definedName name="チョンボ率" localSheetId="45">長野柊馬!$C$32</definedName>
    <definedName name="チョンボ率" localSheetId="38">田名網新!$C$32</definedName>
    <definedName name="チョンボ率" localSheetId="41">渡部陵瑛!$C$32</definedName>
    <definedName name="チョンボ率" localSheetId="42">唐澤聖矢!$C$32</definedName>
    <definedName name="チョンボ率" localSheetId="37">湯本咲蔵!$C$32</definedName>
    <definedName name="チョンボ率" localSheetId="7">百瀬成空!$C$32</definedName>
    <definedName name="チョンボ率" localSheetId="15">福澤大地!$C$32</definedName>
    <definedName name="チョンボ率" localSheetId="10">保谷一貴!$C$32</definedName>
    <definedName name="チョンボ率" localSheetId="21">北沢蓮太郎!$C$32</definedName>
    <definedName name="チョンボ率" localSheetId="14">木角有希!$C$32</definedName>
    <definedName name="チョンボ率" localSheetId="12">矢ヶ崎健!$C$32</definedName>
    <definedName name="チョンボ率" localSheetId="18">柳澤颯吾!$C$32</definedName>
    <definedName name="チョンボ率" localSheetId="30">両角慧太!$C$32</definedName>
    <definedName name="チョンボ率" localSheetId="16">髙橋桜!$C$32</definedName>
    <definedName name="チョンボ率">Template!$C$32</definedName>
    <definedName name="ツモ数" localSheetId="46">'Template (3)'!$B$19</definedName>
    <definedName name="ツモ数" localSheetId="24">阿部圭太朗!$B$19</definedName>
    <definedName name="ツモ数" localSheetId="28">伊藤仁城!$B$19</definedName>
    <definedName name="ツモ数" localSheetId="9">依田幸憲!$B$19</definedName>
    <definedName name="ツモ数" localSheetId="34">塩入悠!$B$19</definedName>
    <definedName name="ツモ数" localSheetId="27">巻島夢樹!$B$19</definedName>
    <definedName name="ツモ数" localSheetId="26">関谷洸佑!$B$19</definedName>
    <definedName name="ツモ数" localSheetId="33">吉澤諒!$B$19</definedName>
    <definedName name="ツモ数" localSheetId="35">宮澤七星!$B$19</definedName>
    <definedName name="ツモ数" localSheetId="11">高野源太!$B$19</definedName>
    <definedName name="ツモ数" localSheetId="8">佐藤成浩!$B$19</definedName>
    <definedName name="ツモ数" localSheetId="36">坂本羽弥斗!$B$19</definedName>
    <definedName name="ツモ数" localSheetId="25">山崎葵!$B$19</definedName>
    <definedName name="ツモ数" localSheetId="39">山本悠介!$B$19</definedName>
    <definedName name="ツモ数" localSheetId="22">市川大智!$B$19</definedName>
    <definedName name="ツモ数" localSheetId="44">所附快和!$B$19</definedName>
    <definedName name="ツモ数" localSheetId="13">小林郁斗!$B$19</definedName>
    <definedName name="ツモ数" localSheetId="4">松澤亮太!$B$19</definedName>
    <definedName name="ツモ数" localSheetId="43">清水常緑!$B$19</definedName>
    <definedName name="ツモ数" localSheetId="29">西沢武留!$B$19</definedName>
    <definedName name="ツモ数" localSheetId="40">石原凛人!$B$19</definedName>
    <definedName name="ツモ数" localSheetId="19">石澤巧望!$B$19</definedName>
    <definedName name="ツモ数" localSheetId="20">川上翔大!$B$19</definedName>
    <definedName name="ツモ数" localSheetId="3">全体!$B$19</definedName>
    <definedName name="ツモ数" localSheetId="17">多田洋輔!$B$19</definedName>
    <definedName name="ツモ数" localSheetId="6">大池陸斗!$B$19</definedName>
    <definedName name="ツモ数" localSheetId="5">滝沢悠人!$B$19</definedName>
    <definedName name="ツモ数" localSheetId="23">中川弘崇!$B$19</definedName>
    <definedName name="ツモ数" localSheetId="31">中村花菜!$B$19</definedName>
    <definedName name="ツモ数" localSheetId="32">中村季暉!$B$19</definedName>
    <definedName name="ツモ数" localSheetId="45">長野柊馬!$B$19</definedName>
    <definedName name="ツモ数" localSheetId="38">田名網新!$B$19</definedName>
    <definedName name="ツモ数" localSheetId="41">渡部陵瑛!$B$19</definedName>
    <definedName name="ツモ数" localSheetId="42">唐澤聖矢!$B$19</definedName>
    <definedName name="ツモ数" localSheetId="37">湯本咲蔵!$B$19</definedName>
    <definedName name="ツモ数" localSheetId="7">百瀬成空!$B$19</definedName>
    <definedName name="ツモ数" localSheetId="15">福澤大地!$B$19</definedName>
    <definedName name="ツモ数" localSheetId="10">保谷一貴!$B$19</definedName>
    <definedName name="ツモ数" localSheetId="21">北沢蓮太郎!$B$19</definedName>
    <definedName name="ツモ数" localSheetId="14">木角有希!$B$19</definedName>
    <definedName name="ツモ数" localSheetId="12">矢ヶ崎健!$B$19</definedName>
    <definedName name="ツモ数" localSheetId="18">柳澤颯吾!$B$19</definedName>
    <definedName name="ツモ数" localSheetId="30">両角慧太!$B$19</definedName>
    <definedName name="ツモ数" localSheetId="16">髙橋桜!$B$19</definedName>
    <definedName name="ツモ数">Template!$B$19</definedName>
    <definedName name="ツモ率" localSheetId="46">'Template (3)'!$C$19</definedName>
    <definedName name="ツモ率" localSheetId="24">阿部圭太朗!$C$19</definedName>
    <definedName name="ツモ率" localSheetId="28">伊藤仁城!$C$19</definedName>
    <definedName name="ツモ率" localSheetId="9">依田幸憲!$C$19</definedName>
    <definedName name="ツモ率" localSheetId="34">塩入悠!$C$19</definedName>
    <definedName name="ツモ率" localSheetId="27">巻島夢樹!$C$19</definedName>
    <definedName name="ツモ率" localSheetId="26">関谷洸佑!$C$19</definedName>
    <definedName name="ツモ率" localSheetId="33">吉澤諒!$C$19</definedName>
    <definedName name="ツモ率" localSheetId="35">宮澤七星!$C$19</definedName>
    <definedName name="ツモ率" localSheetId="11">高野源太!$C$19</definedName>
    <definedName name="ツモ率" localSheetId="8">佐藤成浩!$C$19</definedName>
    <definedName name="ツモ率" localSheetId="36">坂本羽弥斗!$C$19</definedName>
    <definedName name="ツモ率" localSheetId="25">山崎葵!$C$19</definedName>
    <definedName name="ツモ率" localSheetId="39">山本悠介!$C$19</definedName>
    <definedName name="ツモ率" localSheetId="22">市川大智!$C$19</definedName>
    <definedName name="ツモ率" localSheetId="44">所附快和!$C$19</definedName>
    <definedName name="ツモ率" localSheetId="13">小林郁斗!$C$19</definedName>
    <definedName name="ツモ率" localSheetId="4">松澤亮太!$C$19</definedName>
    <definedName name="ツモ率" localSheetId="43">清水常緑!$C$19</definedName>
    <definedName name="ツモ率" localSheetId="29">西沢武留!$C$19</definedName>
    <definedName name="ツモ率" localSheetId="40">石原凛人!$C$19</definedName>
    <definedName name="ツモ率" localSheetId="19">石澤巧望!$C$19</definedName>
    <definedName name="ツモ率" localSheetId="20">川上翔大!$C$19</definedName>
    <definedName name="ツモ率" localSheetId="3">全体!$C$19</definedName>
    <definedName name="ツモ率" localSheetId="17">多田洋輔!$C$19</definedName>
    <definedName name="ツモ率" localSheetId="6">大池陸斗!$C$19</definedName>
    <definedName name="ツモ率" localSheetId="5">滝沢悠人!$C$19</definedName>
    <definedName name="ツモ率" localSheetId="23">中川弘崇!$C$19</definedName>
    <definedName name="ツモ率" localSheetId="31">中村花菜!$C$19</definedName>
    <definedName name="ツモ率" localSheetId="32">中村季暉!$C$19</definedName>
    <definedName name="ツモ率" localSheetId="45">長野柊馬!$C$19</definedName>
    <definedName name="ツモ率" localSheetId="38">田名網新!$C$19</definedName>
    <definedName name="ツモ率" localSheetId="41">渡部陵瑛!$C$19</definedName>
    <definedName name="ツモ率" localSheetId="42">唐澤聖矢!$C$19</definedName>
    <definedName name="ツモ率" localSheetId="37">湯本咲蔵!$C$19</definedName>
    <definedName name="ツモ率" localSheetId="7">百瀬成空!$C$19</definedName>
    <definedName name="ツモ率" localSheetId="15">福澤大地!$C$19</definedName>
    <definedName name="ツモ率" localSheetId="10">保谷一貴!$C$19</definedName>
    <definedName name="ツモ率" localSheetId="21">北沢蓮太郎!$C$19</definedName>
    <definedName name="ツモ率" localSheetId="14">木角有希!$C$19</definedName>
    <definedName name="ツモ率" localSheetId="12">矢ヶ崎健!$C$19</definedName>
    <definedName name="ツモ率" localSheetId="18">柳澤颯吾!$C$19</definedName>
    <definedName name="ツモ率" localSheetId="30">両角慧太!$C$19</definedName>
    <definedName name="ツモ率" localSheetId="16">髙橋桜!$C$19</definedName>
    <definedName name="ツモ率">Template!$C$19</definedName>
    <definedName name="トップ数" localSheetId="46">'Template (3)'!$B$7</definedName>
    <definedName name="トップ数" localSheetId="24">阿部圭太朗!$B$7</definedName>
    <definedName name="トップ数" localSheetId="28">伊藤仁城!$B$7</definedName>
    <definedName name="トップ数" localSheetId="9">依田幸憲!$B$7</definedName>
    <definedName name="トップ数" localSheetId="34">塩入悠!$B$7</definedName>
    <definedName name="トップ数" localSheetId="27">巻島夢樹!$B$7</definedName>
    <definedName name="トップ数" localSheetId="26">関谷洸佑!$B$7</definedName>
    <definedName name="トップ数" localSheetId="33">吉澤諒!$B$7</definedName>
    <definedName name="トップ数" localSheetId="35">宮澤七星!$B$7</definedName>
    <definedName name="トップ数" localSheetId="11">高野源太!$B$7</definedName>
    <definedName name="トップ数" localSheetId="8">佐藤成浩!$B$7</definedName>
    <definedName name="トップ数" localSheetId="36">坂本羽弥斗!$B$7</definedName>
    <definedName name="トップ数" localSheetId="25">山崎葵!$B$7</definedName>
    <definedName name="トップ数" localSheetId="39">山本悠介!$B$7</definedName>
    <definedName name="トップ数" localSheetId="22">市川大智!$B$7</definedName>
    <definedName name="トップ数" localSheetId="44">所附快和!$B$7</definedName>
    <definedName name="トップ数" localSheetId="13">小林郁斗!$B$7</definedName>
    <definedName name="トップ数" localSheetId="4">松澤亮太!$B$7</definedName>
    <definedName name="トップ数" localSheetId="43">清水常緑!$B$7</definedName>
    <definedName name="トップ数" localSheetId="29">西沢武留!$B$7</definedName>
    <definedName name="トップ数" localSheetId="40">石原凛人!$B$7</definedName>
    <definedName name="トップ数" localSheetId="19">石澤巧望!$B$7</definedName>
    <definedName name="トップ数" localSheetId="20">川上翔大!$B$7</definedName>
    <definedName name="トップ数" localSheetId="3">全体!$B$7</definedName>
    <definedName name="トップ数" localSheetId="17">多田洋輔!$B$7</definedName>
    <definedName name="トップ数" localSheetId="6">大池陸斗!$B$7</definedName>
    <definedName name="トップ数" localSheetId="5">滝沢悠人!$B$7</definedName>
    <definedName name="トップ数" localSheetId="23">中川弘崇!$B$7</definedName>
    <definedName name="トップ数" localSheetId="31">中村花菜!$B$7</definedName>
    <definedName name="トップ数" localSheetId="32">中村季暉!$B$7</definedName>
    <definedName name="トップ数" localSheetId="45">長野柊馬!$B$7</definedName>
    <definedName name="トップ数" localSheetId="38">田名網新!$B$7</definedName>
    <definedName name="トップ数" localSheetId="41">渡部陵瑛!$B$7</definedName>
    <definedName name="トップ数" localSheetId="42">唐澤聖矢!$B$7</definedName>
    <definedName name="トップ数" localSheetId="37">湯本咲蔵!$B$7</definedName>
    <definedName name="トップ数" localSheetId="7">百瀬成空!$B$7</definedName>
    <definedName name="トップ数" localSheetId="15">福澤大地!$B$7</definedName>
    <definedName name="トップ数" localSheetId="10">保谷一貴!$B$7</definedName>
    <definedName name="トップ数" localSheetId="21">北沢蓮太郎!$B$7</definedName>
    <definedName name="トップ数" localSheetId="14">木角有希!$B$7</definedName>
    <definedName name="トップ数" localSheetId="12">矢ヶ崎健!$B$7</definedName>
    <definedName name="トップ数" localSheetId="18">柳澤颯吾!$B$7</definedName>
    <definedName name="トップ数" localSheetId="30">両角慧太!$B$7</definedName>
    <definedName name="トップ数" localSheetId="16">髙橋桜!$B$7</definedName>
    <definedName name="トップ数">Template!$B$7</definedName>
    <definedName name="トップ率" localSheetId="46">'Template (3)'!$C$7</definedName>
    <definedName name="トップ率" localSheetId="24">阿部圭太朗!$C$7</definedName>
    <definedName name="トップ率" localSheetId="28">伊藤仁城!$C$7</definedName>
    <definedName name="トップ率" localSheetId="9">依田幸憲!$C$7</definedName>
    <definedName name="トップ率" localSheetId="34">塩入悠!$C$7</definedName>
    <definedName name="トップ率" localSheetId="27">巻島夢樹!$C$7</definedName>
    <definedName name="トップ率" localSheetId="26">関谷洸佑!$C$7</definedName>
    <definedName name="トップ率" localSheetId="33">吉澤諒!$C$7</definedName>
    <definedName name="トップ率" localSheetId="35">宮澤七星!$C$7</definedName>
    <definedName name="トップ率" localSheetId="11">高野源太!$C$7</definedName>
    <definedName name="トップ率" localSheetId="8">佐藤成浩!$C$7</definedName>
    <definedName name="トップ率" localSheetId="36">坂本羽弥斗!$C$7</definedName>
    <definedName name="トップ率" localSheetId="25">山崎葵!$C$7</definedName>
    <definedName name="トップ率" localSheetId="39">山本悠介!$C$7</definedName>
    <definedName name="トップ率" localSheetId="22">市川大智!$C$7</definedName>
    <definedName name="トップ率" localSheetId="44">所附快和!$C$7</definedName>
    <definedName name="トップ率" localSheetId="13">小林郁斗!$C$7</definedName>
    <definedName name="トップ率" localSheetId="4">松澤亮太!$C$7</definedName>
    <definedName name="トップ率" localSheetId="43">清水常緑!$C$7</definedName>
    <definedName name="トップ率" localSheetId="29">西沢武留!$C$7</definedName>
    <definedName name="トップ率" localSheetId="40">石原凛人!$C$7</definedName>
    <definedName name="トップ率" localSheetId="19">石澤巧望!$C$7</definedName>
    <definedName name="トップ率" localSheetId="20">川上翔大!$C$7</definedName>
    <definedName name="トップ率" localSheetId="3">全体!$C$7</definedName>
    <definedName name="トップ率" localSheetId="17">多田洋輔!$C$7</definedName>
    <definedName name="トップ率" localSheetId="6">大池陸斗!$C$7</definedName>
    <definedName name="トップ率" localSheetId="5">滝沢悠人!$C$7</definedName>
    <definedName name="トップ率" localSheetId="23">中川弘崇!$C$7</definedName>
    <definedName name="トップ率" localSheetId="31">中村花菜!$C$7</definedName>
    <definedName name="トップ率" localSheetId="32">中村季暉!$C$7</definedName>
    <definedName name="トップ率" localSheetId="45">長野柊馬!$C$7</definedName>
    <definedName name="トップ率" localSheetId="38">田名網新!$C$7</definedName>
    <definedName name="トップ率" localSheetId="41">渡部陵瑛!$C$7</definedName>
    <definedName name="トップ率" localSheetId="42">唐澤聖矢!$C$7</definedName>
    <definedName name="トップ率" localSheetId="37">湯本咲蔵!$C$7</definedName>
    <definedName name="トップ率" localSheetId="7">百瀬成空!$C$7</definedName>
    <definedName name="トップ率" localSheetId="15">福澤大地!$C$7</definedName>
    <definedName name="トップ率" localSheetId="10">保谷一貴!$C$7</definedName>
    <definedName name="トップ率" localSheetId="21">北沢蓮太郎!$C$7</definedName>
    <definedName name="トップ率" localSheetId="14">木角有希!$C$7</definedName>
    <definedName name="トップ率" localSheetId="12">矢ヶ崎健!$C$7</definedName>
    <definedName name="トップ率" localSheetId="18">柳澤颯吾!$C$7</definedName>
    <definedName name="トップ率" localSheetId="30">両角慧太!$C$7</definedName>
    <definedName name="トップ率" localSheetId="16">髙橋桜!$C$7</definedName>
    <definedName name="トップ率">Template!$C$7</definedName>
    <definedName name="ふっとばし数" localSheetId="46">'Template (3)'!#REF!</definedName>
    <definedName name="ふっとばし数" localSheetId="24">阿部圭太朗!#REF!</definedName>
    <definedName name="ふっとばし数" localSheetId="28">伊藤仁城!#REF!</definedName>
    <definedName name="ふっとばし数" localSheetId="9">依田幸憲!#REF!</definedName>
    <definedName name="ふっとばし数" localSheetId="34">塩入悠!#REF!</definedName>
    <definedName name="ふっとばし数" localSheetId="27">巻島夢樹!#REF!</definedName>
    <definedName name="ふっとばし数" localSheetId="26">関谷洸佑!#REF!</definedName>
    <definedName name="ふっとばし数" localSheetId="33">吉澤諒!#REF!</definedName>
    <definedName name="ふっとばし数" localSheetId="35">宮澤七星!#REF!</definedName>
    <definedName name="ふっとばし数" localSheetId="11">高野源太!#REF!</definedName>
    <definedName name="ふっとばし数" localSheetId="8">佐藤成浩!#REF!</definedName>
    <definedName name="ふっとばし数" localSheetId="36">坂本羽弥斗!#REF!</definedName>
    <definedName name="ふっとばし数" localSheetId="25">山崎葵!#REF!</definedName>
    <definedName name="ふっとばし数" localSheetId="39">山本悠介!#REF!</definedName>
    <definedName name="ふっとばし数" localSheetId="22">市川大智!#REF!</definedName>
    <definedName name="ふっとばし数" localSheetId="44">所附快和!#REF!</definedName>
    <definedName name="ふっとばし数" localSheetId="13">小林郁斗!#REF!</definedName>
    <definedName name="ふっとばし数" localSheetId="4">松澤亮太!#REF!</definedName>
    <definedName name="ふっとばし数" localSheetId="43">清水常緑!#REF!</definedName>
    <definedName name="ふっとばし数" localSheetId="29">西沢武留!#REF!</definedName>
    <definedName name="ふっとばし数" localSheetId="40">石原凛人!#REF!</definedName>
    <definedName name="ふっとばし数" localSheetId="19">石澤巧望!#REF!</definedName>
    <definedName name="ふっとばし数" localSheetId="20">川上翔大!#REF!</definedName>
    <definedName name="ふっとばし数" localSheetId="3">全体!#REF!</definedName>
    <definedName name="ふっとばし数" localSheetId="17">多田洋輔!#REF!</definedName>
    <definedName name="ふっとばし数" localSheetId="6">大池陸斗!#REF!</definedName>
    <definedName name="ふっとばし数" localSheetId="5">滝沢悠人!#REF!</definedName>
    <definedName name="ふっとばし数" localSheetId="23">中川弘崇!#REF!</definedName>
    <definedName name="ふっとばし数" localSheetId="31">中村花菜!#REF!</definedName>
    <definedName name="ふっとばし数" localSheetId="32">中村季暉!#REF!</definedName>
    <definedName name="ふっとばし数" localSheetId="45">長野柊馬!#REF!</definedName>
    <definedName name="ふっとばし数" localSheetId="38">田名網新!#REF!</definedName>
    <definedName name="ふっとばし数" localSheetId="41">渡部陵瑛!#REF!</definedName>
    <definedName name="ふっとばし数" localSheetId="42">唐澤聖矢!#REF!</definedName>
    <definedName name="ふっとばし数" localSheetId="37">湯本咲蔵!#REF!</definedName>
    <definedName name="ふっとばし数" localSheetId="7">百瀬成空!#REF!</definedName>
    <definedName name="ふっとばし数" localSheetId="15">福澤大地!#REF!</definedName>
    <definedName name="ふっとばし数" localSheetId="10">保谷一貴!#REF!</definedName>
    <definedName name="ふっとばし数" localSheetId="21">北沢蓮太郎!#REF!</definedName>
    <definedName name="ふっとばし数" localSheetId="14">木角有希!#REF!</definedName>
    <definedName name="ふっとばし数" localSheetId="12">矢ヶ崎健!#REF!</definedName>
    <definedName name="ふっとばし数" localSheetId="18">柳澤颯吾!#REF!</definedName>
    <definedName name="ふっとばし数" localSheetId="30">両角慧太!#REF!</definedName>
    <definedName name="ふっとばし数" localSheetId="16">髙橋桜!#REF!</definedName>
    <definedName name="ふっとばし数">Template!#REF!</definedName>
    <definedName name="ふっとばし率" localSheetId="46">'Template (3)'!#REF!</definedName>
    <definedName name="ふっとばし率" localSheetId="24">阿部圭太朗!#REF!</definedName>
    <definedName name="ふっとばし率" localSheetId="28">伊藤仁城!#REF!</definedName>
    <definedName name="ふっとばし率" localSheetId="9">依田幸憲!#REF!</definedName>
    <definedName name="ふっとばし率" localSheetId="34">塩入悠!#REF!</definedName>
    <definedName name="ふっとばし率" localSheetId="27">巻島夢樹!#REF!</definedName>
    <definedName name="ふっとばし率" localSheetId="26">関谷洸佑!#REF!</definedName>
    <definedName name="ふっとばし率" localSheetId="33">吉澤諒!#REF!</definedName>
    <definedName name="ふっとばし率" localSheetId="35">宮澤七星!#REF!</definedName>
    <definedName name="ふっとばし率" localSheetId="11">高野源太!#REF!</definedName>
    <definedName name="ふっとばし率" localSheetId="8">佐藤成浩!#REF!</definedName>
    <definedName name="ふっとばし率" localSheetId="36">坂本羽弥斗!#REF!</definedName>
    <definedName name="ふっとばし率" localSheetId="25">山崎葵!#REF!</definedName>
    <definedName name="ふっとばし率" localSheetId="39">山本悠介!#REF!</definedName>
    <definedName name="ふっとばし率" localSheetId="22">市川大智!#REF!</definedName>
    <definedName name="ふっとばし率" localSheetId="44">所附快和!#REF!</definedName>
    <definedName name="ふっとばし率" localSheetId="13">小林郁斗!#REF!</definedName>
    <definedName name="ふっとばし率" localSheetId="4">松澤亮太!#REF!</definedName>
    <definedName name="ふっとばし率" localSheetId="43">清水常緑!#REF!</definedName>
    <definedName name="ふっとばし率" localSheetId="29">西沢武留!#REF!</definedName>
    <definedName name="ふっとばし率" localSheetId="40">石原凛人!#REF!</definedName>
    <definedName name="ふっとばし率" localSheetId="19">石澤巧望!#REF!</definedName>
    <definedName name="ふっとばし率" localSheetId="20">川上翔大!#REF!</definedName>
    <definedName name="ふっとばし率" localSheetId="3">全体!#REF!</definedName>
    <definedName name="ふっとばし率" localSheetId="17">多田洋輔!#REF!</definedName>
    <definedName name="ふっとばし率" localSheetId="6">大池陸斗!#REF!</definedName>
    <definedName name="ふっとばし率" localSheetId="5">滝沢悠人!#REF!</definedName>
    <definedName name="ふっとばし率" localSheetId="23">中川弘崇!#REF!</definedName>
    <definedName name="ふっとばし率" localSheetId="31">中村花菜!#REF!</definedName>
    <definedName name="ふっとばし率" localSheetId="32">中村季暉!#REF!</definedName>
    <definedName name="ふっとばし率" localSheetId="45">長野柊馬!#REF!</definedName>
    <definedName name="ふっとばし率" localSheetId="38">田名網新!#REF!</definedName>
    <definedName name="ふっとばし率" localSheetId="41">渡部陵瑛!#REF!</definedName>
    <definedName name="ふっとばし率" localSheetId="42">唐澤聖矢!#REF!</definedName>
    <definedName name="ふっとばし率" localSheetId="37">湯本咲蔵!#REF!</definedName>
    <definedName name="ふっとばし率" localSheetId="7">百瀬成空!#REF!</definedName>
    <definedName name="ふっとばし率" localSheetId="15">福澤大地!#REF!</definedName>
    <definedName name="ふっとばし率" localSheetId="10">保谷一貴!#REF!</definedName>
    <definedName name="ふっとばし率" localSheetId="21">北沢蓮太郎!#REF!</definedName>
    <definedName name="ふっとばし率" localSheetId="14">木角有希!#REF!</definedName>
    <definedName name="ふっとばし率" localSheetId="12">矢ヶ崎健!#REF!</definedName>
    <definedName name="ふっとばし率" localSheetId="18">柳澤颯吾!#REF!</definedName>
    <definedName name="ふっとばし率" localSheetId="30">両角慧太!#REF!</definedName>
    <definedName name="ふっとばし率" localSheetId="16">髙橋桜!#REF!</definedName>
    <definedName name="ふっとばし率">Template!#REF!</definedName>
    <definedName name="ふっとび数" localSheetId="46">'Template (3)'!$B$12</definedName>
    <definedName name="ふっとび数" localSheetId="24">阿部圭太朗!$B$12</definedName>
    <definedName name="ふっとび数" localSheetId="28">伊藤仁城!$B$12</definedName>
    <definedName name="ふっとび数" localSheetId="9">依田幸憲!$B$12</definedName>
    <definedName name="ふっとび数" localSheetId="34">塩入悠!$B$12</definedName>
    <definedName name="ふっとび数" localSheetId="27">巻島夢樹!$B$12</definedName>
    <definedName name="ふっとび数" localSheetId="26">関谷洸佑!$B$12</definedName>
    <definedName name="ふっとび数" localSheetId="33">吉澤諒!$B$12</definedName>
    <definedName name="ふっとび数" localSheetId="35">宮澤七星!$B$12</definedName>
    <definedName name="ふっとび数" localSheetId="11">高野源太!$B$12</definedName>
    <definedName name="ふっとび数" localSheetId="8">佐藤成浩!$B$12</definedName>
    <definedName name="ふっとび数" localSheetId="36">坂本羽弥斗!$B$12</definedName>
    <definedName name="ふっとび数" localSheetId="25">山崎葵!$B$12</definedName>
    <definedName name="ふっとび数" localSheetId="39">山本悠介!$B$12</definedName>
    <definedName name="ふっとび数" localSheetId="22">市川大智!$B$12</definedName>
    <definedName name="ふっとび数" localSheetId="44">所附快和!$B$12</definedName>
    <definedName name="ふっとび数" localSheetId="13">小林郁斗!$B$12</definedName>
    <definedName name="ふっとび数" localSheetId="4">松澤亮太!$B$12</definedName>
    <definedName name="ふっとび数" localSheetId="43">清水常緑!$B$12</definedName>
    <definedName name="ふっとび数" localSheetId="29">西沢武留!$B$12</definedName>
    <definedName name="ふっとび数" localSheetId="40">石原凛人!$B$12</definedName>
    <definedName name="ふっとび数" localSheetId="19">石澤巧望!$B$12</definedName>
    <definedName name="ふっとび数" localSheetId="20">川上翔大!$B$12</definedName>
    <definedName name="ふっとび数" localSheetId="3">全体!$B$12</definedName>
    <definedName name="ふっとび数" localSheetId="17">多田洋輔!$B$12</definedName>
    <definedName name="ふっとび数" localSheetId="6">大池陸斗!$B$12</definedName>
    <definedName name="ふっとび数" localSheetId="5">滝沢悠人!$B$12</definedName>
    <definedName name="ふっとび数" localSheetId="23">中川弘崇!$B$12</definedName>
    <definedName name="ふっとび数" localSheetId="31">中村花菜!$B$12</definedName>
    <definedName name="ふっとび数" localSheetId="32">中村季暉!$B$12</definedName>
    <definedName name="ふっとび数" localSheetId="45">長野柊馬!$B$12</definedName>
    <definedName name="ふっとび数" localSheetId="38">田名網新!$B$12</definedName>
    <definedName name="ふっとび数" localSheetId="41">渡部陵瑛!$B$12</definedName>
    <definedName name="ふっとび数" localSheetId="42">唐澤聖矢!$B$12</definedName>
    <definedName name="ふっとび数" localSheetId="37">湯本咲蔵!$B$12</definedName>
    <definedName name="ふっとび数" localSheetId="7">百瀬成空!$B$12</definedName>
    <definedName name="ふっとび数" localSheetId="15">福澤大地!$B$12</definedName>
    <definedName name="ふっとび数" localSheetId="10">保谷一貴!$B$12</definedName>
    <definedName name="ふっとび数" localSheetId="21">北沢蓮太郎!$B$12</definedName>
    <definedName name="ふっとび数" localSheetId="14">木角有希!$B$12</definedName>
    <definedName name="ふっとび数" localSheetId="12">矢ヶ崎健!$B$12</definedName>
    <definedName name="ふっとび数" localSheetId="18">柳澤颯吾!$B$12</definedName>
    <definedName name="ふっとび数" localSheetId="30">両角慧太!$B$12</definedName>
    <definedName name="ふっとび数" localSheetId="16">髙橋桜!$B$12</definedName>
    <definedName name="ふっとび数">Template!$B$12</definedName>
    <definedName name="ふっとび率" localSheetId="46">'Template (3)'!$C$12</definedName>
    <definedName name="ふっとび率" localSheetId="24">阿部圭太朗!$C$12</definedName>
    <definedName name="ふっとび率" localSheetId="28">伊藤仁城!$C$12</definedName>
    <definedName name="ふっとび率" localSheetId="9">依田幸憲!$C$12</definedName>
    <definedName name="ふっとび率" localSheetId="34">塩入悠!$C$12</definedName>
    <definedName name="ふっとび率" localSheetId="27">巻島夢樹!$C$12</definedName>
    <definedName name="ふっとび率" localSheetId="26">関谷洸佑!$C$12</definedName>
    <definedName name="ふっとび率" localSheetId="33">吉澤諒!$C$12</definedName>
    <definedName name="ふっとび率" localSheetId="35">宮澤七星!$C$12</definedName>
    <definedName name="ふっとび率" localSheetId="11">高野源太!$C$12</definedName>
    <definedName name="ふっとび率" localSheetId="8">佐藤成浩!$C$12</definedName>
    <definedName name="ふっとび率" localSheetId="36">坂本羽弥斗!$C$12</definedName>
    <definedName name="ふっとび率" localSheetId="25">山崎葵!$C$12</definedName>
    <definedName name="ふっとび率" localSheetId="39">山本悠介!$C$12</definedName>
    <definedName name="ふっとび率" localSheetId="22">市川大智!$C$12</definedName>
    <definedName name="ふっとび率" localSheetId="44">所附快和!$C$12</definedName>
    <definedName name="ふっとび率" localSheetId="13">小林郁斗!$C$12</definedName>
    <definedName name="ふっとび率" localSheetId="4">松澤亮太!$C$12</definedName>
    <definedName name="ふっとび率" localSheetId="43">清水常緑!$C$12</definedName>
    <definedName name="ふっとび率" localSheetId="29">西沢武留!$C$12</definedName>
    <definedName name="ふっとび率" localSheetId="40">石原凛人!$C$12</definedName>
    <definedName name="ふっとび率" localSheetId="19">石澤巧望!$C$12</definedName>
    <definedName name="ふっとび率" localSheetId="20">川上翔大!$C$12</definedName>
    <definedName name="ふっとび率" localSheetId="3">全体!$C$12</definedName>
    <definedName name="ふっとび率" localSheetId="17">多田洋輔!$C$12</definedName>
    <definedName name="ふっとび率" localSheetId="6">大池陸斗!$C$12</definedName>
    <definedName name="ふっとび率" localSheetId="5">滝沢悠人!$C$12</definedName>
    <definedName name="ふっとび率" localSheetId="23">中川弘崇!$C$12</definedName>
    <definedName name="ふっとび率" localSheetId="31">中村花菜!$C$12</definedName>
    <definedName name="ふっとび率" localSheetId="32">中村季暉!$C$12</definedName>
    <definedName name="ふっとび率" localSheetId="45">長野柊馬!$C$12</definedName>
    <definedName name="ふっとび率" localSheetId="38">田名網新!$C$12</definedName>
    <definedName name="ふっとび率" localSheetId="41">渡部陵瑛!$C$12</definedName>
    <definedName name="ふっとび率" localSheetId="42">唐澤聖矢!$C$12</definedName>
    <definedName name="ふっとび率" localSheetId="37">湯本咲蔵!$C$12</definedName>
    <definedName name="ふっとび率" localSheetId="7">百瀬成空!$C$12</definedName>
    <definedName name="ふっとび率" localSheetId="15">福澤大地!$C$12</definedName>
    <definedName name="ふっとび率" localSheetId="10">保谷一貴!$C$12</definedName>
    <definedName name="ふっとび率" localSheetId="21">北沢蓮太郎!$C$12</definedName>
    <definedName name="ふっとび率" localSheetId="14">木角有希!$C$12</definedName>
    <definedName name="ふっとび率" localSheetId="12">矢ヶ崎健!$C$12</definedName>
    <definedName name="ふっとび率" localSheetId="18">柳澤颯吾!$C$12</definedName>
    <definedName name="ふっとび率" localSheetId="30">両角慧太!$C$12</definedName>
    <definedName name="ふっとび率" localSheetId="16">髙橋桜!$C$12</definedName>
    <definedName name="ふっとび率">Template!$C$12</definedName>
    <definedName name="ラス数" localSheetId="46">'Template (3)'!$B$10</definedName>
    <definedName name="ラス数" localSheetId="24">阿部圭太朗!$B$10</definedName>
    <definedName name="ラス数" localSheetId="28">伊藤仁城!$B$10</definedName>
    <definedName name="ラス数" localSheetId="9">依田幸憲!$B$10</definedName>
    <definedName name="ラス数" localSheetId="34">塩入悠!$B$10</definedName>
    <definedName name="ラス数" localSheetId="27">巻島夢樹!$B$10</definedName>
    <definedName name="ラス数" localSheetId="26">関谷洸佑!$B$10</definedName>
    <definedName name="ラス数" localSheetId="33">吉澤諒!$B$10</definedName>
    <definedName name="ラス数" localSheetId="35">宮澤七星!$B$10</definedName>
    <definedName name="ラス数" localSheetId="11">高野源太!$B$10</definedName>
    <definedName name="ラス数" localSheetId="8">佐藤成浩!$B$10</definedName>
    <definedName name="ラス数" localSheetId="36">坂本羽弥斗!$B$10</definedName>
    <definedName name="ラス数" localSheetId="25">山崎葵!$B$10</definedName>
    <definedName name="ラス数" localSheetId="39">山本悠介!$B$10</definedName>
    <definedName name="ラス数" localSheetId="22">市川大智!$B$10</definedName>
    <definedName name="ラス数" localSheetId="44">所附快和!$B$10</definedName>
    <definedName name="ラス数" localSheetId="13">小林郁斗!$B$10</definedName>
    <definedName name="ラス数" localSheetId="4">松澤亮太!$B$10</definedName>
    <definedName name="ラス数" localSheetId="43">清水常緑!$B$10</definedName>
    <definedName name="ラス数" localSheetId="29">西沢武留!$B$10</definedName>
    <definedName name="ラス数" localSheetId="40">石原凛人!$B$10</definedName>
    <definedName name="ラス数" localSheetId="19">石澤巧望!$B$10</definedName>
    <definedName name="ラス数" localSheetId="20">川上翔大!$B$10</definedName>
    <definedName name="ラス数" localSheetId="3">全体!$B$10</definedName>
    <definedName name="ラス数" localSheetId="17">多田洋輔!$B$10</definedName>
    <definedName name="ラス数" localSheetId="6">大池陸斗!$B$10</definedName>
    <definedName name="ラス数" localSheetId="5">滝沢悠人!$B$10</definedName>
    <definedName name="ラス数" localSheetId="23">中川弘崇!$B$10</definedName>
    <definedName name="ラス数" localSheetId="31">中村花菜!$B$10</definedName>
    <definedName name="ラス数" localSheetId="32">中村季暉!$B$10</definedName>
    <definedName name="ラス数" localSheetId="45">長野柊馬!$B$10</definedName>
    <definedName name="ラス数" localSheetId="38">田名網新!$B$10</definedName>
    <definedName name="ラス数" localSheetId="41">渡部陵瑛!$B$10</definedName>
    <definedName name="ラス数" localSheetId="42">唐澤聖矢!$B$10</definedName>
    <definedName name="ラス数" localSheetId="37">湯本咲蔵!$B$10</definedName>
    <definedName name="ラス数" localSheetId="7">百瀬成空!$B$10</definedName>
    <definedName name="ラス数" localSheetId="15">福澤大地!$B$10</definedName>
    <definedName name="ラス数" localSheetId="10">保谷一貴!$B$10</definedName>
    <definedName name="ラス数" localSheetId="21">北沢蓮太郎!$B$10</definedName>
    <definedName name="ラス数" localSheetId="14">木角有希!$B$10</definedName>
    <definedName name="ラス数" localSheetId="12">矢ヶ崎健!$B$10</definedName>
    <definedName name="ラス数" localSheetId="18">柳澤颯吾!$B$10</definedName>
    <definedName name="ラス数" localSheetId="30">両角慧太!$B$10</definedName>
    <definedName name="ラス数" localSheetId="16">髙橋桜!$B$10</definedName>
    <definedName name="ラス数">Template!$B$10</definedName>
    <definedName name="ラス率" localSheetId="46">'Template (3)'!$C$10</definedName>
    <definedName name="ラス率" localSheetId="24">阿部圭太朗!$C$10</definedName>
    <definedName name="ラス率" localSheetId="28">伊藤仁城!$C$10</definedName>
    <definedName name="ラス率" localSheetId="9">依田幸憲!$C$10</definedName>
    <definedName name="ラス率" localSheetId="34">塩入悠!$C$10</definedName>
    <definedName name="ラス率" localSheetId="27">巻島夢樹!$C$10</definedName>
    <definedName name="ラス率" localSheetId="26">関谷洸佑!$C$10</definedName>
    <definedName name="ラス率" localSheetId="33">吉澤諒!$C$10</definedName>
    <definedName name="ラス率" localSheetId="35">宮澤七星!$C$10</definedName>
    <definedName name="ラス率" localSheetId="11">高野源太!$C$10</definedName>
    <definedName name="ラス率" localSheetId="8">佐藤成浩!$C$10</definedName>
    <definedName name="ラス率" localSheetId="36">坂本羽弥斗!$C$10</definedName>
    <definedName name="ラス率" localSheetId="25">山崎葵!$C$10</definedName>
    <definedName name="ラス率" localSheetId="39">山本悠介!$C$10</definedName>
    <definedName name="ラス率" localSheetId="22">市川大智!$C$10</definedName>
    <definedName name="ラス率" localSheetId="44">所附快和!$C$10</definedName>
    <definedName name="ラス率" localSheetId="13">小林郁斗!$C$10</definedName>
    <definedName name="ラス率" localSheetId="4">松澤亮太!$C$10</definedName>
    <definedName name="ラス率" localSheetId="43">清水常緑!$C$10</definedName>
    <definedName name="ラス率" localSheetId="29">西沢武留!$C$10</definedName>
    <definedName name="ラス率" localSheetId="40">石原凛人!$C$10</definedName>
    <definedName name="ラス率" localSheetId="19">石澤巧望!$C$10</definedName>
    <definedName name="ラス率" localSheetId="20">川上翔大!$C$10</definedName>
    <definedName name="ラス率" localSheetId="3">全体!$C$10</definedName>
    <definedName name="ラス率" localSheetId="17">多田洋輔!$C$10</definedName>
    <definedName name="ラス率" localSheetId="6">大池陸斗!$C$10</definedName>
    <definedName name="ラス率" localSheetId="5">滝沢悠人!$C$10</definedName>
    <definedName name="ラス率" localSheetId="23">中川弘崇!$C$10</definedName>
    <definedName name="ラス率" localSheetId="31">中村花菜!$C$10</definedName>
    <definedName name="ラス率" localSheetId="32">中村季暉!$C$10</definedName>
    <definedName name="ラス率" localSheetId="45">長野柊馬!$C$10</definedName>
    <definedName name="ラス率" localSheetId="38">田名網新!$C$10</definedName>
    <definedName name="ラス率" localSheetId="41">渡部陵瑛!$C$10</definedName>
    <definedName name="ラス率" localSheetId="42">唐澤聖矢!$C$10</definedName>
    <definedName name="ラス率" localSheetId="37">湯本咲蔵!$C$10</definedName>
    <definedName name="ラス率" localSheetId="7">百瀬成空!$C$10</definedName>
    <definedName name="ラス率" localSheetId="15">福澤大地!$C$10</definedName>
    <definedName name="ラス率" localSheetId="10">保谷一貴!$C$10</definedName>
    <definedName name="ラス率" localSheetId="21">北沢蓮太郎!$C$10</definedName>
    <definedName name="ラス率" localSheetId="14">木角有希!$C$10</definedName>
    <definedName name="ラス率" localSheetId="12">矢ヶ崎健!$C$10</definedName>
    <definedName name="ラス率" localSheetId="18">柳澤颯吾!$C$10</definedName>
    <definedName name="ラス率" localSheetId="30">両角慧太!$C$10</definedName>
    <definedName name="ラス率" localSheetId="16">髙橋桜!$C$10</definedName>
    <definedName name="ラス率">Template!$C$10</definedName>
    <definedName name="リーチアガリ数" localSheetId="46">'Template (3)'!$B$21</definedName>
    <definedName name="リーチアガリ数" localSheetId="24">阿部圭太朗!$B$21</definedName>
    <definedName name="リーチアガリ数" localSheetId="28">伊藤仁城!$B$21</definedName>
    <definedName name="リーチアガリ数" localSheetId="9">依田幸憲!$B$21</definedName>
    <definedName name="リーチアガリ数" localSheetId="34">塩入悠!$B$21</definedName>
    <definedName name="リーチアガリ数" localSheetId="27">巻島夢樹!$B$21</definedName>
    <definedName name="リーチアガリ数" localSheetId="26">関谷洸佑!$B$21</definedName>
    <definedName name="リーチアガリ数" localSheetId="33">吉澤諒!$B$21</definedName>
    <definedName name="リーチアガリ数" localSheetId="35">宮澤七星!$B$21</definedName>
    <definedName name="リーチアガリ数" localSheetId="11">高野源太!$B$21</definedName>
    <definedName name="リーチアガリ数" localSheetId="8">佐藤成浩!$B$21</definedName>
    <definedName name="リーチアガリ数" localSheetId="36">坂本羽弥斗!$B$21</definedName>
    <definedName name="リーチアガリ数" localSheetId="25">山崎葵!$B$21</definedName>
    <definedName name="リーチアガリ数" localSheetId="39">山本悠介!$B$21</definedName>
    <definedName name="リーチアガリ数" localSheetId="22">市川大智!$B$21</definedName>
    <definedName name="リーチアガリ数" localSheetId="44">所附快和!$B$21</definedName>
    <definedName name="リーチアガリ数" localSheetId="13">小林郁斗!$B$21</definedName>
    <definedName name="リーチアガリ数" localSheetId="4">松澤亮太!$B$21</definedName>
    <definedName name="リーチアガリ数" localSheetId="43">清水常緑!$B$21</definedName>
    <definedName name="リーチアガリ数" localSheetId="29">西沢武留!$B$21</definedName>
    <definedName name="リーチアガリ数" localSheetId="40">石原凛人!$B$21</definedName>
    <definedName name="リーチアガリ数" localSheetId="19">石澤巧望!$B$21</definedName>
    <definedName name="リーチアガリ数" localSheetId="20">川上翔大!$B$21</definedName>
    <definedName name="リーチアガリ数" localSheetId="3">全体!$B$21</definedName>
    <definedName name="リーチアガリ数" localSheetId="17">多田洋輔!$B$21</definedName>
    <definedName name="リーチアガリ数" localSheetId="6">大池陸斗!$B$21</definedName>
    <definedName name="リーチアガリ数" localSheetId="5">滝沢悠人!$B$21</definedName>
    <definedName name="リーチアガリ数" localSheetId="23">中川弘崇!$B$21</definedName>
    <definedName name="リーチアガリ数" localSheetId="31">中村花菜!$B$21</definedName>
    <definedName name="リーチアガリ数" localSheetId="32">中村季暉!$B$21</definedName>
    <definedName name="リーチアガリ数" localSheetId="45">長野柊馬!$B$21</definedName>
    <definedName name="リーチアガリ数" localSheetId="38">田名網新!$B$21</definedName>
    <definedName name="リーチアガリ数" localSheetId="41">渡部陵瑛!$B$21</definedName>
    <definedName name="リーチアガリ数" localSheetId="42">唐澤聖矢!$B$21</definedName>
    <definedName name="リーチアガリ数" localSheetId="37">湯本咲蔵!$B$21</definedName>
    <definedName name="リーチアガリ数" localSheetId="7">百瀬成空!$B$21</definedName>
    <definedName name="リーチアガリ数" localSheetId="15">福澤大地!$B$21</definedName>
    <definedName name="リーチアガリ数" localSheetId="10">保谷一貴!$B$21</definedName>
    <definedName name="リーチアガリ数" localSheetId="21">北沢蓮太郎!$B$21</definedName>
    <definedName name="リーチアガリ数" localSheetId="14">木角有希!$B$21</definedName>
    <definedName name="リーチアガリ数" localSheetId="12">矢ヶ崎健!$B$21</definedName>
    <definedName name="リーチアガリ数" localSheetId="18">柳澤颯吾!$B$21</definedName>
    <definedName name="リーチアガリ数" localSheetId="30">両角慧太!$B$21</definedName>
    <definedName name="リーチアガリ数" localSheetId="16">髙橋桜!$B$21</definedName>
    <definedName name="リーチアガリ数">Template!$B$21</definedName>
    <definedName name="リーチアガリ率" localSheetId="46">'Template (3)'!$C$21</definedName>
    <definedName name="リーチアガリ率" localSheetId="24">阿部圭太朗!$C$21</definedName>
    <definedName name="リーチアガリ率" localSheetId="28">伊藤仁城!$C$21</definedName>
    <definedName name="リーチアガリ率" localSheetId="9">依田幸憲!$C$21</definedName>
    <definedName name="リーチアガリ率" localSheetId="34">塩入悠!$C$21</definedName>
    <definedName name="リーチアガリ率" localSheetId="27">巻島夢樹!$C$21</definedName>
    <definedName name="リーチアガリ率" localSheetId="26">関谷洸佑!$C$21</definedName>
    <definedName name="リーチアガリ率" localSheetId="33">吉澤諒!$C$21</definedName>
    <definedName name="リーチアガリ率" localSheetId="35">宮澤七星!$C$21</definedName>
    <definedName name="リーチアガリ率" localSheetId="11">高野源太!$C$21</definedName>
    <definedName name="リーチアガリ率" localSheetId="8">佐藤成浩!$C$21</definedName>
    <definedName name="リーチアガリ率" localSheetId="36">坂本羽弥斗!$C$21</definedName>
    <definedName name="リーチアガリ率" localSheetId="25">山崎葵!$C$21</definedName>
    <definedName name="リーチアガリ率" localSheetId="39">山本悠介!$C$21</definedName>
    <definedName name="リーチアガリ率" localSheetId="22">市川大智!$C$21</definedName>
    <definedName name="リーチアガリ率" localSheetId="44">所附快和!$C$21</definedName>
    <definedName name="リーチアガリ率" localSheetId="13">小林郁斗!$C$21</definedName>
    <definedName name="リーチアガリ率" localSheetId="4">松澤亮太!$C$21</definedName>
    <definedName name="リーチアガリ率" localSheetId="43">清水常緑!$C$21</definedName>
    <definedName name="リーチアガリ率" localSheetId="29">西沢武留!$C$21</definedName>
    <definedName name="リーチアガリ率" localSheetId="40">石原凛人!$C$21</definedName>
    <definedName name="リーチアガリ率" localSheetId="19">石澤巧望!$C$21</definedName>
    <definedName name="リーチアガリ率" localSheetId="20">川上翔大!$C$21</definedName>
    <definedName name="リーチアガリ率" localSheetId="3">全体!$C$21</definedName>
    <definedName name="リーチアガリ率" localSheetId="17">多田洋輔!$C$21</definedName>
    <definedName name="リーチアガリ率" localSheetId="6">大池陸斗!$C$21</definedName>
    <definedName name="リーチアガリ率" localSheetId="5">滝沢悠人!$C$21</definedName>
    <definedName name="リーチアガリ率" localSheetId="23">中川弘崇!$C$21</definedName>
    <definedName name="リーチアガリ率" localSheetId="31">中村花菜!$C$21</definedName>
    <definedName name="リーチアガリ率" localSheetId="32">中村季暉!$C$21</definedName>
    <definedName name="リーチアガリ率" localSheetId="45">長野柊馬!$C$21</definedName>
    <definedName name="リーチアガリ率" localSheetId="38">田名網新!$C$21</definedName>
    <definedName name="リーチアガリ率" localSheetId="41">渡部陵瑛!$C$21</definedName>
    <definedName name="リーチアガリ率" localSheetId="42">唐澤聖矢!$C$21</definedName>
    <definedName name="リーチアガリ率" localSheetId="37">湯本咲蔵!$C$21</definedName>
    <definedName name="リーチアガリ率" localSheetId="7">百瀬成空!$C$21</definedName>
    <definedName name="リーチアガリ率" localSheetId="15">福澤大地!$C$21</definedName>
    <definedName name="リーチアガリ率" localSheetId="10">保谷一貴!$C$21</definedName>
    <definedName name="リーチアガリ率" localSheetId="21">北沢蓮太郎!$C$21</definedName>
    <definedName name="リーチアガリ率" localSheetId="14">木角有希!$C$21</definedName>
    <definedName name="リーチアガリ率" localSheetId="12">矢ヶ崎健!$C$21</definedName>
    <definedName name="リーチアガリ率" localSheetId="18">柳澤颯吾!$C$21</definedName>
    <definedName name="リーチアガリ率" localSheetId="30">両角慧太!$C$21</definedName>
    <definedName name="リーチアガリ率" localSheetId="16">髙橋桜!$C$21</definedName>
    <definedName name="リーチアガリ率">Template!$C$21</definedName>
    <definedName name="リーチ数" localSheetId="46">'Template (3)'!$B$13</definedName>
    <definedName name="リーチ数" localSheetId="24">阿部圭太朗!$B$13</definedName>
    <definedName name="リーチ数" localSheetId="28">伊藤仁城!$B$13</definedName>
    <definedName name="リーチ数" localSheetId="9">依田幸憲!$B$13</definedName>
    <definedName name="リーチ数" localSheetId="34">塩入悠!$B$13</definedName>
    <definedName name="リーチ数" localSheetId="27">巻島夢樹!$B$13</definedName>
    <definedName name="リーチ数" localSheetId="26">関谷洸佑!$B$13</definedName>
    <definedName name="リーチ数" localSheetId="33">吉澤諒!$B$13</definedName>
    <definedName name="リーチ数" localSheetId="35">宮澤七星!$B$13</definedName>
    <definedName name="リーチ数" localSheetId="11">高野源太!$B$13</definedName>
    <definedName name="リーチ数" localSheetId="8">佐藤成浩!$B$13</definedName>
    <definedName name="リーチ数" localSheetId="36">坂本羽弥斗!$B$13</definedName>
    <definedName name="リーチ数" localSheetId="25">山崎葵!$B$13</definedName>
    <definedName name="リーチ数" localSheetId="39">山本悠介!$B$13</definedName>
    <definedName name="リーチ数" localSheetId="22">市川大智!$B$13</definedName>
    <definedName name="リーチ数" localSheetId="44">所附快和!$B$13</definedName>
    <definedName name="リーチ数" localSheetId="13">小林郁斗!$B$13</definedName>
    <definedName name="リーチ数" localSheetId="4">松澤亮太!$B$13</definedName>
    <definedName name="リーチ数" localSheetId="43">清水常緑!$B$13</definedName>
    <definedName name="リーチ数" localSheetId="29">西沢武留!$B$13</definedName>
    <definedName name="リーチ数" localSheetId="40">石原凛人!$B$13</definedName>
    <definedName name="リーチ数" localSheetId="19">石澤巧望!$B$13</definedName>
    <definedName name="リーチ数" localSheetId="20">川上翔大!$B$13</definedName>
    <definedName name="リーチ数" localSheetId="3">全体!$B$13</definedName>
    <definedName name="リーチ数" localSheetId="17">多田洋輔!$B$13</definedName>
    <definedName name="リーチ数" localSheetId="6">大池陸斗!$B$13</definedName>
    <definedName name="リーチ数" localSheetId="5">滝沢悠人!$B$13</definedName>
    <definedName name="リーチ数" localSheetId="23">中川弘崇!$B$13</definedName>
    <definedName name="リーチ数" localSheetId="31">中村花菜!$B$13</definedName>
    <definedName name="リーチ数" localSheetId="32">中村季暉!$B$13</definedName>
    <definedName name="リーチ数" localSheetId="45">長野柊馬!$B$13</definedName>
    <definedName name="リーチ数" localSheetId="38">田名網新!$B$13</definedName>
    <definedName name="リーチ数" localSheetId="41">渡部陵瑛!$B$13</definedName>
    <definedName name="リーチ数" localSheetId="42">唐澤聖矢!$B$13</definedName>
    <definedName name="リーチ数" localSheetId="37">湯本咲蔵!$B$13</definedName>
    <definedName name="リーチ数" localSheetId="7">百瀬成空!$B$13</definedName>
    <definedName name="リーチ数" localSheetId="15">福澤大地!$B$13</definedName>
    <definedName name="リーチ数" localSheetId="10">保谷一貴!$B$13</definedName>
    <definedName name="リーチ数" localSheetId="21">北沢蓮太郎!$B$13</definedName>
    <definedName name="リーチ数" localSheetId="14">木角有希!$B$13</definedName>
    <definedName name="リーチ数" localSheetId="12">矢ヶ崎健!$B$13</definedName>
    <definedName name="リーチ数" localSheetId="18">柳澤颯吾!$B$13</definedName>
    <definedName name="リーチ数" localSheetId="30">両角慧太!$B$13</definedName>
    <definedName name="リーチ数" localSheetId="16">髙橋桜!$B$13</definedName>
    <definedName name="リーチ数">Template!$B$13</definedName>
    <definedName name="リーチ成功数" localSheetId="46">'Template (3)'!$B$15</definedName>
    <definedName name="リーチ成功数" localSheetId="24">阿部圭太朗!$B$15</definedName>
    <definedName name="リーチ成功数" localSheetId="28">伊藤仁城!$B$15</definedName>
    <definedName name="リーチ成功数" localSheetId="9">依田幸憲!$B$15</definedName>
    <definedName name="リーチ成功数" localSheetId="34">塩入悠!$B$15</definedName>
    <definedName name="リーチ成功数" localSheetId="27">巻島夢樹!$B$15</definedName>
    <definedName name="リーチ成功数" localSheetId="26">関谷洸佑!$B$15</definedName>
    <definedName name="リーチ成功数" localSheetId="33">吉澤諒!$B$15</definedName>
    <definedName name="リーチ成功数" localSheetId="35">宮澤七星!$B$15</definedName>
    <definedName name="リーチ成功数" localSheetId="11">高野源太!$B$15</definedName>
    <definedName name="リーチ成功数" localSheetId="8">佐藤成浩!$B$15</definedName>
    <definedName name="リーチ成功数" localSheetId="36">坂本羽弥斗!$B$15</definedName>
    <definedName name="リーチ成功数" localSheetId="25">山崎葵!$B$15</definedName>
    <definedName name="リーチ成功数" localSheetId="39">山本悠介!$B$15</definedName>
    <definedName name="リーチ成功数" localSheetId="22">市川大智!$B$15</definedName>
    <definedName name="リーチ成功数" localSheetId="44">所附快和!$B$15</definedName>
    <definedName name="リーチ成功数" localSheetId="13">小林郁斗!$B$15</definedName>
    <definedName name="リーチ成功数" localSheetId="4">松澤亮太!$B$15</definedName>
    <definedName name="リーチ成功数" localSheetId="43">清水常緑!$B$15</definedName>
    <definedName name="リーチ成功数" localSheetId="29">西沢武留!$B$15</definedName>
    <definedName name="リーチ成功数" localSheetId="40">石原凛人!$B$15</definedName>
    <definedName name="リーチ成功数" localSheetId="19">石澤巧望!$B$15</definedName>
    <definedName name="リーチ成功数" localSheetId="20">川上翔大!$B$15</definedName>
    <definedName name="リーチ成功数" localSheetId="3">全体!$B$15</definedName>
    <definedName name="リーチ成功数" localSheetId="17">多田洋輔!$B$15</definedName>
    <definedName name="リーチ成功数" localSheetId="6">大池陸斗!$B$15</definedName>
    <definedName name="リーチ成功数" localSheetId="5">滝沢悠人!$B$15</definedName>
    <definedName name="リーチ成功数" localSheetId="23">中川弘崇!$B$15</definedName>
    <definedName name="リーチ成功数" localSheetId="31">中村花菜!$B$15</definedName>
    <definedName name="リーチ成功数" localSheetId="32">中村季暉!$B$15</definedName>
    <definedName name="リーチ成功数" localSheetId="45">長野柊馬!$B$15</definedName>
    <definedName name="リーチ成功数" localSheetId="38">田名網新!$B$15</definedName>
    <definedName name="リーチ成功数" localSheetId="41">渡部陵瑛!$B$15</definedName>
    <definedName name="リーチ成功数" localSheetId="42">唐澤聖矢!$B$15</definedName>
    <definedName name="リーチ成功数" localSheetId="37">湯本咲蔵!$B$15</definedName>
    <definedName name="リーチ成功数" localSheetId="7">百瀬成空!$B$15</definedName>
    <definedName name="リーチ成功数" localSheetId="15">福澤大地!$B$15</definedName>
    <definedName name="リーチ成功数" localSheetId="10">保谷一貴!$B$15</definedName>
    <definedName name="リーチ成功数" localSheetId="21">北沢蓮太郎!$B$15</definedName>
    <definedName name="リーチ成功数" localSheetId="14">木角有希!$B$15</definedName>
    <definedName name="リーチ成功数" localSheetId="12">矢ヶ崎健!$B$15</definedName>
    <definedName name="リーチ成功数" localSheetId="18">柳澤颯吾!$B$15</definedName>
    <definedName name="リーチ成功数" localSheetId="30">両角慧太!$B$15</definedName>
    <definedName name="リーチ成功数" localSheetId="16">髙橋桜!$B$15</definedName>
    <definedName name="リーチ成功数">Template!$B$15</definedName>
    <definedName name="リーチ成功率" localSheetId="46">'Template (3)'!$C$15</definedName>
    <definedName name="リーチ成功率" localSheetId="24">阿部圭太朗!$C$15</definedName>
    <definedName name="リーチ成功率" localSheetId="28">伊藤仁城!$C$15</definedName>
    <definedName name="リーチ成功率" localSheetId="9">依田幸憲!$C$15</definedName>
    <definedName name="リーチ成功率" localSheetId="34">塩入悠!$C$15</definedName>
    <definedName name="リーチ成功率" localSheetId="27">巻島夢樹!$C$15</definedName>
    <definedName name="リーチ成功率" localSheetId="26">関谷洸佑!$C$15</definedName>
    <definedName name="リーチ成功率" localSheetId="33">吉澤諒!$C$15</definedName>
    <definedName name="リーチ成功率" localSheetId="35">宮澤七星!$C$15</definedName>
    <definedName name="リーチ成功率" localSheetId="11">高野源太!$C$15</definedName>
    <definedName name="リーチ成功率" localSheetId="8">佐藤成浩!$C$15</definedName>
    <definedName name="リーチ成功率" localSheetId="36">坂本羽弥斗!$C$15</definedName>
    <definedName name="リーチ成功率" localSheetId="25">山崎葵!$C$15</definedName>
    <definedName name="リーチ成功率" localSheetId="39">山本悠介!$C$15</definedName>
    <definedName name="リーチ成功率" localSheetId="22">市川大智!$C$15</definedName>
    <definedName name="リーチ成功率" localSheetId="44">所附快和!$C$15</definedName>
    <definedName name="リーチ成功率" localSheetId="13">小林郁斗!$C$15</definedName>
    <definedName name="リーチ成功率" localSheetId="4">松澤亮太!$C$15</definedName>
    <definedName name="リーチ成功率" localSheetId="43">清水常緑!$C$15</definedName>
    <definedName name="リーチ成功率" localSheetId="29">西沢武留!$C$15</definedName>
    <definedName name="リーチ成功率" localSheetId="40">石原凛人!$C$15</definedName>
    <definedName name="リーチ成功率" localSheetId="19">石澤巧望!$C$15</definedName>
    <definedName name="リーチ成功率" localSheetId="20">川上翔大!$C$15</definedName>
    <definedName name="リーチ成功率" localSheetId="3">全体!$C$15</definedName>
    <definedName name="リーチ成功率" localSheetId="17">多田洋輔!$C$15</definedName>
    <definedName name="リーチ成功率" localSheetId="6">大池陸斗!$C$15</definedName>
    <definedName name="リーチ成功率" localSheetId="5">滝沢悠人!$C$15</definedName>
    <definedName name="リーチ成功率" localSheetId="23">中川弘崇!$C$15</definedName>
    <definedName name="リーチ成功率" localSheetId="31">中村花菜!$C$15</definedName>
    <definedName name="リーチ成功率" localSheetId="32">中村季暉!$C$15</definedName>
    <definedName name="リーチ成功率" localSheetId="45">長野柊馬!$C$15</definedName>
    <definedName name="リーチ成功率" localSheetId="38">田名網新!$C$15</definedName>
    <definedName name="リーチ成功率" localSheetId="41">渡部陵瑛!$C$15</definedName>
    <definedName name="リーチ成功率" localSheetId="42">唐澤聖矢!$C$15</definedName>
    <definedName name="リーチ成功率" localSheetId="37">湯本咲蔵!$C$15</definedName>
    <definedName name="リーチ成功率" localSheetId="7">百瀬成空!$C$15</definedName>
    <definedName name="リーチ成功率" localSheetId="15">福澤大地!$C$15</definedName>
    <definedName name="リーチ成功率" localSheetId="10">保谷一貴!$C$15</definedName>
    <definedName name="リーチ成功率" localSheetId="21">北沢蓮太郎!$C$15</definedName>
    <definedName name="リーチ成功率" localSheetId="14">木角有希!$C$15</definedName>
    <definedName name="リーチ成功率" localSheetId="12">矢ヶ崎健!$C$15</definedName>
    <definedName name="リーチ成功率" localSheetId="18">柳澤颯吾!$C$15</definedName>
    <definedName name="リーチ成功率" localSheetId="30">両角慧太!$C$15</definedName>
    <definedName name="リーチ成功率" localSheetId="16">髙橋桜!$C$15</definedName>
    <definedName name="リーチ成功率">Template!$C$15</definedName>
    <definedName name="リーチ率" localSheetId="46">'Template (3)'!$C$13</definedName>
    <definedName name="リーチ率" localSheetId="24">阿部圭太朗!$C$13</definedName>
    <definedName name="リーチ率" localSheetId="28">伊藤仁城!$C$13</definedName>
    <definedName name="リーチ率" localSheetId="9">依田幸憲!$C$13</definedName>
    <definedName name="リーチ率" localSheetId="34">塩入悠!$C$13</definedName>
    <definedName name="リーチ率" localSheetId="27">巻島夢樹!$C$13</definedName>
    <definedName name="リーチ率" localSheetId="26">関谷洸佑!$C$13</definedName>
    <definedName name="リーチ率" localSheetId="33">吉澤諒!$C$13</definedName>
    <definedName name="リーチ率" localSheetId="35">宮澤七星!$C$13</definedName>
    <definedName name="リーチ率" localSheetId="11">高野源太!$C$13</definedName>
    <definedName name="リーチ率" localSheetId="8">佐藤成浩!$C$13</definedName>
    <definedName name="リーチ率" localSheetId="36">坂本羽弥斗!$C$13</definedName>
    <definedName name="リーチ率" localSheetId="25">山崎葵!$C$13</definedName>
    <definedName name="リーチ率" localSheetId="39">山本悠介!$C$13</definedName>
    <definedName name="リーチ率" localSheetId="22">市川大智!$C$13</definedName>
    <definedName name="リーチ率" localSheetId="44">所附快和!$C$13</definedName>
    <definedName name="リーチ率" localSheetId="13">小林郁斗!$C$13</definedName>
    <definedName name="リーチ率" localSheetId="4">松澤亮太!$C$13</definedName>
    <definedName name="リーチ率" localSheetId="43">清水常緑!$C$13</definedName>
    <definedName name="リーチ率" localSheetId="29">西沢武留!$C$13</definedName>
    <definedName name="リーチ率" localSheetId="40">石原凛人!$C$13</definedName>
    <definedName name="リーチ率" localSheetId="19">石澤巧望!$C$13</definedName>
    <definedName name="リーチ率" localSheetId="20">川上翔大!$C$13</definedName>
    <definedName name="リーチ率" localSheetId="3">全体!$C$13</definedName>
    <definedName name="リーチ率" localSheetId="17">多田洋輔!$C$13</definedName>
    <definedName name="リーチ率" localSheetId="6">大池陸斗!$C$13</definedName>
    <definedName name="リーチ率" localSheetId="5">滝沢悠人!$C$13</definedName>
    <definedName name="リーチ率" localSheetId="23">中川弘崇!$C$13</definedName>
    <definedName name="リーチ率" localSheetId="31">中村花菜!$C$13</definedName>
    <definedName name="リーチ率" localSheetId="32">中村季暉!$C$13</definedName>
    <definedName name="リーチ率" localSheetId="45">長野柊馬!$C$13</definedName>
    <definedName name="リーチ率" localSheetId="38">田名網新!$C$13</definedName>
    <definedName name="リーチ率" localSheetId="41">渡部陵瑛!$C$13</definedName>
    <definedName name="リーチ率" localSheetId="42">唐澤聖矢!$C$13</definedName>
    <definedName name="リーチ率" localSheetId="37">湯本咲蔵!$C$13</definedName>
    <definedName name="リーチ率" localSheetId="7">百瀬成空!$C$13</definedName>
    <definedName name="リーチ率" localSheetId="15">福澤大地!$C$13</definedName>
    <definedName name="リーチ率" localSheetId="10">保谷一貴!$C$13</definedName>
    <definedName name="リーチ率" localSheetId="21">北沢蓮太郎!$C$13</definedName>
    <definedName name="リーチ率" localSheetId="14">木角有希!$C$13</definedName>
    <definedName name="リーチ率" localSheetId="12">矢ヶ崎健!$C$13</definedName>
    <definedName name="リーチ率" localSheetId="18">柳澤颯吾!$C$13</definedName>
    <definedName name="リーチ率" localSheetId="30">両角慧太!$C$13</definedName>
    <definedName name="リーチ率" localSheetId="16">髙橋桜!$C$13</definedName>
    <definedName name="リーチ率">Template!$C$13</definedName>
    <definedName name="ロン数" localSheetId="46">'Template (3)'!$B$20</definedName>
    <definedName name="ロン数" localSheetId="24">阿部圭太朗!$B$20</definedName>
    <definedName name="ロン数" localSheetId="28">伊藤仁城!$B$20</definedName>
    <definedName name="ロン数" localSheetId="9">依田幸憲!$B$20</definedName>
    <definedName name="ロン数" localSheetId="34">塩入悠!$B$20</definedName>
    <definedName name="ロン数" localSheetId="27">巻島夢樹!$B$20</definedName>
    <definedName name="ロン数" localSheetId="26">関谷洸佑!$B$20</definedName>
    <definedName name="ロン数" localSheetId="33">吉澤諒!$B$20</definedName>
    <definedName name="ロン数" localSheetId="35">宮澤七星!$B$20</definedName>
    <definedName name="ロン数" localSheetId="11">高野源太!$B$20</definedName>
    <definedName name="ロン数" localSheetId="8">佐藤成浩!$B$20</definedName>
    <definedName name="ロン数" localSheetId="36">坂本羽弥斗!$B$20</definedName>
    <definedName name="ロン数" localSheetId="25">山崎葵!$B$20</definedName>
    <definedName name="ロン数" localSheetId="39">山本悠介!$B$20</definedName>
    <definedName name="ロン数" localSheetId="22">市川大智!$B$20</definedName>
    <definedName name="ロン数" localSheetId="44">所附快和!$B$20</definedName>
    <definedName name="ロン数" localSheetId="13">小林郁斗!$B$20</definedName>
    <definedName name="ロン数" localSheetId="4">松澤亮太!$B$20</definedName>
    <definedName name="ロン数" localSheetId="43">清水常緑!$B$20</definedName>
    <definedName name="ロン数" localSheetId="29">西沢武留!$B$20</definedName>
    <definedName name="ロン数" localSheetId="40">石原凛人!$B$20</definedName>
    <definedName name="ロン数" localSheetId="19">石澤巧望!$B$20</definedName>
    <definedName name="ロン数" localSheetId="20">川上翔大!$B$20</definedName>
    <definedName name="ロン数" localSheetId="3">全体!$B$20</definedName>
    <definedName name="ロン数" localSheetId="17">多田洋輔!$B$20</definedName>
    <definedName name="ロン数" localSheetId="6">大池陸斗!$B$20</definedName>
    <definedName name="ロン数" localSheetId="5">滝沢悠人!$B$20</definedName>
    <definedName name="ロン数" localSheetId="23">中川弘崇!$B$20</definedName>
    <definedName name="ロン数" localSheetId="31">中村花菜!$B$20</definedName>
    <definedName name="ロン数" localSheetId="32">中村季暉!$B$20</definedName>
    <definedName name="ロン数" localSheetId="45">長野柊馬!$B$20</definedName>
    <definedName name="ロン数" localSheetId="38">田名網新!$B$20</definedName>
    <definedName name="ロン数" localSheetId="41">渡部陵瑛!$B$20</definedName>
    <definedName name="ロン数" localSheetId="42">唐澤聖矢!$B$20</definedName>
    <definedName name="ロン数" localSheetId="37">湯本咲蔵!$B$20</definedName>
    <definedName name="ロン数" localSheetId="7">百瀬成空!$B$20</definedName>
    <definedName name="ロン数" localSheetId="15">福澤大地!$B$20</definedName>
    <definedName name="ロン数" localSheetId="10">保谷一貴!$B$20</definedName>
    <definedName name="ロン数" localSheetId="21">北沢蓮太郎!$B$20</definedName>
    <definedName name="ロン数" localSheetId="14">木角有希!$B$20</definedName>
    <definedName name="ロン数" localSheetId="12">矢ヶ崎健!$B$20</definedName>
    <definedName name="ロン数" localSheetId="18">柳澤颯吾!$B$20</definedName>
    <definedName name="ロン数" localSheetId="30">両角慧太!$B$20</definedName>
    <definedName name="ロン数" localSheetId="16">髙橋桜!$B$20</definedName>
    <definedName name="ロン数">Template!$B$20</definedName>
    <definedName name="ロン率" localSheetId="46">'Template (3)'!$C$20</definedName>
    <definedName name="ロン率" localSheetId="24">阿部圭太朗!$C$20</definedName>
    <definedName name="ロン率" localSheetId="28">伊藤仁城!$C$20</definedName>
    <definedName name="ロン率" localSheetId="9">依田幸憲!$C$20</definedName>
    <definedName name="ロン率" localSheetId="34">塩入悠!$C$20</definedName>
    <definedName name="ロン率" localSheetId="27">巻島夢樹!$C$20</definedName>
    <definedName name="ロン率" localSheetId="26">関谷洸佑!$C$20</definedName>
    <definedName name="ロン率" localSheetId="33">吉澤諒!$C$20</definedName>
    <definedName name="ロン率" localSheetId="35">宮澤七星!$C$20</definedName>
    <definedName name="ロン率" localSheetId="11">高野源太!$C$20</definedName>
    <definedName name="ロン率" localSheetId="8">佐藤成浩!$C$20</definedName>
    <definedName name="ロン率" localSheetId="36">坂本羽弥斗!$C$20</definedName>
    <definedName name="ロン率" localSheetId="25">山崎葵!$C$20</definedName>
    <definedName name="ロン率" localSheetId="39">山本悠介!$C$20</definedName>
    <definedName name="ロン率" localSheetId="22">市川大智!$C$20</definedName>
    <definedName name="ロン率" localSheetId="44">所附快和!$C$20</definedName>
    <definedName name="ロン率" localSheetId="13">小林郁斗!$C$20</definedName>
    <definedName name="ロン率" localSheetId="4">松澤亮太!$C$20</definedName>
    <definedName name="ロン率" localSheetId="43">清水常緑!$C$20</definedName>
    <definedName name="ロン率" localSheetId="29">西沢武留!$C$20</definedName>
    <definedName name="ロン率" localSheetId="40">石原凛人!$C$20</definedName>
    <definedName name="ロン率" localSheetId="19">石澤巧望!$C$20</definedName>
    <definedName name="ロン率" localSheetId="20">川上翔大!$C$20</definedName>
    <definedName name="ロン率" localSheetId="3">全体!$C$20</definedName>
    <definedName name="ロン率" localSheetId="17">多田洋輔!$C$20</definedName>
    <definedName name="ロン率" localSheetId="6">大池陸斗!$C$20</definedName>
    <definedName name="ロン率" localSheetId="5">滝沢悠人!$C$20</definedName>
    <definedName name="ロン率" localSheetId="23">中川弘崇!$C$20</definedName>
    <definedName name="ロン率" localSheetId="31">中村花菜!$C$20</definedName>
    <definedName name="ロン率" localSheetId="32">中村季暉!$C$20</definedName>
    <definedName name="ロン率" localSheetId="45">長野柊馬!$C$20</definedName>
    <definedName name="ロン率" localSheetId="38">田名網新!$C$20</definedName>
    <definedName name="ロン率" localSheetId="41">渡部陵瑛!$C$20</definedName>
    <definedName name="ロン率" localSheetId="42">唐澤聖矢!$C$20</definedName>
    <definedName name="ロン率" localSheetId="37">湯本咲蔵!$C$20</definedName>
    <definedName name="ロン率" localSheetId="7">百瀬成空!$C$20</definedName>
    <definedName name="ロン率" localSheetId="15">福澤大地!$C$20</definedName>
    <definedName name="ロン率" localSheetId="10">保谷一貴!$C$20</definedName>
    <definedName name="ロン率" localSheetId="21">北沢蓮太郎!$C$20</definedName>
    <definedName name="ロン率" localSheetId="14">木角有希!$C$20</definedName>
    <definedName name="ロン率" localSheetId="12">矢ヶ崎健!$C$20</definedName>
    <definedName name="ロン率" localSheetId="18">柳澤颯吾!$C$20</definedName>
    <definedName name="ロン率" localSheetId="30">両角慧太!$C$20</definedName>
    <definedName name="ロン率" localSheetId="16">髙橋桜!$C$20</definedName>
    <definedName name="ロン率">Template!$C$20</definedName>
    <definedName name="逆転数" localSheetId="46">'Template (3)'!#REF!</definedName>
    <definedName name="逆転数" localSheetId="24">阿部圭太朗!#REF!</definedName>
    <definedName name="逆転数" localSheetId="28">伊藤仁城!#REF!</definedName>
    <definedName name="逆転数" localSheetId="9">依田幸憲!#REF!</definedName>
    <definedName name="逆転数" localSheetId="34">塩入悠!#REF!</definedName>
    <definedName name="逆転数" localSheetId="27">巻島夢樹!#REF!</definedName>
    <definedName name="逆転数" localSheetId="26">関谷洸佑!#REF!</definedName>
    <definedName name="逆転数" localSheetId="33">吉澤諒!#REF!</definedName>
    <definedName name="逆転数" localSheetId="35">宮澤七星!#REF!</definedName>
    <definedName name="逆転数" localSheetId="11">高野源太!#REF!</definedName>
    <definedName name="逆転数" localSheetId="8">佐藤成浩!#REF!</definedName>
    <definedName name="逆転数" localSheetId="36">坂本羽弥斗!#REF!</definedName>
    <definedName name="逆転数" localSheetId="25">山崎葵!#REF!</definedName>
    <definedName name="逆転数" localSheetId="39">山本悠介!#REF!</definedName>
    <definedName name="逆転数" localSheetId="22">市川大智!#REF!</definedName>
    <definedName name="逆転数" localSheetId="44">所附快和!#REF!</definedName>
    <definedName name="逆転数" localSheetId="13">小林郁斗!#REF!</definedName>
    <definedName name="逆転数" localSheetId="4">松澤亮太!#REF!</definedName>
    <definedName name="逆転数" localSheetId="43">清水常緑!#REF!</definedName>
    <definedName name="逆転数" localSheetId="29">西沢武留!#REF!</definedName>
    <definedName name="逆転数" localSheetId="40">石原凛人!#REF!</definedName>
    <definedName name="逆転数" localSheetId="19">石澤巧望!#REF!</definedName>
    <definedName name="逆転数" localSheetId="20">川上翔大!#REF!</definedName>
    <definedName name="逆転数" localSheetId="3">全体!#REF!</definedName>
    <definedName name="逆転数" localSheetId="17">多田洋輔!#REF!</definedName>
    <definedName name="逆転数" localSheetId="6">大池陸斗!#REF!</definedName>
    <definedName name="逆転数" localSheetId="5">滝沢悠人!#REF!</definedName>
    <definedName name="逆転数" localSheetId="23">中川弘崇!#REF!</definedName>
    <definedName name="逆転数" localSheetId="31">中村花菜!#REF!</definedName>
    <definedName name="逆転数" localSheetId="32">中村季暉!#REF!</definedName>
    <definedName name="逆転数" localSheetId="45">長野柊馬!#REF!</definedName>
    <definedName name="逆転数" localSheetId="38">田名網新!#REF!</definedName>
    <definedName name="逆転数" localSheetId="41">渡部陵瑛!#REF!</definedName>
    <definedName name="逆転数" localSheetId="42">唐澤聖矢!#REF!</definedName>
    <definedName name="逆転数" localSheetId="37">湯本咲蔵!#REF!</definedName>
    <definedName name="逆転数" localSheetId="7">百瀬成空!#REF!</definedName>
    <definedName name="逆転数" localSheetId="15">福澤大地!#REF!</definedName>
    <definedName name="逆転数" localSheetId="10">保谷一貴!#REF!</definedName>
    <definedName name="逆転数" localSheetId="21">北沢蓮太郎!#REF!</definedName>
    <definedName name="逆転数" localSheetId="14">木角有希!#REF!</definedName>
    <definedName name="逆転数" localSheetId="12">矢ヶ崎健!#REF!</definedName>
    <definedName name="逆転数" localSheetId="18">柳澤颯吾!#REF!</definedName>
    <definedName name="逆転数" localSheetId="30">両角慧太!#REF!</definedName>
    <definedName name="逆転数" localSheetId="16">髙橋桜!#REF!</definedName>
    <definedName name="逆転数">Template!#REF!</definedName>
    <definedName name="逆転率" localSheetId="46">'Template (3)'!#REF!</definedName>
    <definedName name="逆転率" localSheetId="24">阿部圭太朗!#REF!</definedName>
    <definedName name="逆転率" localSheetId="28">伊藤仁城!#REF!</definedName>
    <definedName name="逆転率" localSheetId="9">依田幸憲!#REF!</definedName>
    <definedName name="逆転率" localSheetId="34">塩入悠!#REF!</definedName>
    <definedName name="逆転率" localSheetId="27">巻島夢樹!#REF!</definedName>
    <definedName name="逆転率" localSheetId="26">関谷洸佑!#REF!</definedName>
    <definedName name="逆転率" localSheetId="33">吉澤諒!#REF!</definedName>
    <definedName name="逆転率" localSheetId="35">宮澤七星!#REF!</definedName>
    <definedName name="逆転率" localSheetId="11">高野源太!#REF!</definedName>
    <definedName name="逆転率" localSheetId="8">佐藤成浩!#REF!</definedName>
    <definedName name="逆転率" localSheetId="36">坂本羽弥斗!#REF!</definedName>
    <definedName name="逆転率" localSheetId="25">山崎葵!#REF!</definedName>
    <definedName name="逆転率" localSheetId="39">山本悠介!#REF!</definedName>
    <definedName name="逆転率" localSheetId="22">市川大智!#REF!</definedName>
    <definedName name="逆転率" localSheetId="44">所附快和!#REF!</definedName>
    <definedName name="逆転率" localSheetId="13">小林郁斗!#REF!</definedName>
    <definedName name="逆転率" localSheetId="4">松澤亮太!#REF!</definedName>
    <definedName name="逆転率" localSheetId="43">清水常緑!#REF!</definedName>
    <definedName name="逆転率" localSheetId="29">西沢武留!#REF!</definedName>
    <definedName name="逆転率" localSheetId="40">石原凛人!#REF!</definedName>
    <definedName name="逆転率" localSheetId="19">石澤巧望!#REF!</definedName>
    <definedName name="逆転率" localSheetId="20">川上翔大!#REF!</definedName>
    <definedName name="逆転率" localSheetId="3">全体!#REF!</definedName>
    <definedName name="逆転率" localSheetId="17">多田洋輔!#REF!</definedName>
    <definedName name="逆転率" localSheetId="6">大池陸斗!#REF!</definedName>
    <definedName name="逆転率" localSheetId="5">滝沢悠人!#REF!</definedName>
    <definedName name="逆転率" localSheetId="23">中川弘崇!#REF!</definedName>
    <definedName name="逆転率" localSheetId="31">中村花菜!#REF!</definedName>
    <definedName name="逆転率" localSheetId="32">中村季暉!#REF!</definedName>
    <definedName name="逆転率" localSheetId="45">長野柊馬!#REF!</definedName>
    <definedName name="逆転率" localSheetId="38">田名網新!#REF!</definedName>
    <definedName name="逆転率" localSheetId="41">渡部陵瑛!#REF!</definedName>
    <definedName name="逆転率" localSheetId="42">唐澤聖矢!#REF!</definedName>
    <definedName name="逆転率" localSheetId="37">湯本咲蔵!#REF!</definedName>
    <definedName name="逆転率" localSheetId="7">百瀬成空!#REF!</definedName>
    <definedName name="逆転率" localSheetId="15">福澤大地!#REF!</definedName>
    <definedName name="逆転率" localSheetId="10">保谷一貴!#REF!</definedName>
    <definedName name="逆転率" localSheetId="21">北沢蓮太郎!#REF!</definedName>
    <definedName name="逆転率" localSheetId="14">木角有希!#REF!</definedName>
    <definedName name="逆転率" localSheetId="12">矢ヶ崎健!#REF!</definedName>
    <definedName name="逆転率" localSheetId="18">柳澤颯吾!#REF!</definedName>
    <definedName name="逆転率" localSheetId="30">両角慧太!#REF!</definedName>
    <definedName name="逆転率" localSheetId="16">髙橋桜!#REF!</definedName>
    <definedName name="逆転率">Template!#REF!</definedName>
    <definedName name="現行連続アガリ" localSheetId="46">'Template (3)'!$C$28</definedName>
    <definedName name="現行連続アガリ" localSheetId="24">阿部圭太朗!$C$28</definedName>
    <definedName name="現行連続アガリ" localSheetId="28">伊藤仁城!$C$28</definedName>
    <definedName name="現行連続アガリ" localSheetId="9">依田幸憲!$C$28</definedName>
    <definedName name="現行連続アガリ" localSheetId="34">塩入悠!$C$28</definedName>
    <definedName name="現行連続アガリ" localSheetId="27">巻島夢樹!$C$28</definedName>
    <definedName name="現行連続アガリ" localSheetId="26">関谷洸佑!$C$28</definedName>
    <definedName name="現行連続アガリ" localSheetId="33">吉澤諒!$C$28</definedName>
    <definedName name="現行連続アガリ" localSheetId="35">宮澤七星!$C$28</definedName>
    <definedName name="現行連続アガリ" localSheetId="11">高野源太!$C$28</definedName>
    <definedName name="現行連続アガリ" localSheetId="8">佐藤成浩!$C$28</definedName>
    <definedName name="現行連続アガリ" localSheetId="36">坂本羽弥斗!$C$28</definedName>
    <definedName name="現行連続アガリ" localSheetId="25">山崎葵!$C$28</definedName>
    <definedName name="現行連続アガリ" localSheetId="39">山本悠介!$C$28</definedName>
    <definedName name="現行連続アガリ" localSheetId="22">市川大智!$C$28</definedName>
    <definedName name="現行連続アガリ" localSheetId="44">所附快和!$C$28</definedName>
    <definedName name="現行連続アガリ" localSheetId="13">小林郁斗!$C$28</definedName>
    <definedName name="現行連続アガリ" localSheetId="4">松澤亮太!$C$28</definedName>
    <definedName name="現行連続アガリ" localSheetId="43">清水常緑!$C$28</definedName>
    <definedName name="現行連続アガリ" localSheetId="29">西沢武留!$C$28</definedName>
    <definedName name="現行連続アガリ" localSheetId="40">石原凛人!$C$28</definedName>
    <definedName name="現行連続アガリ" localSheetId="19">石澤巧望!$C$28</definedName>
    <definedName name="現行連続アガリ" localSheetId="20">川上翔大!$C$28</definedName>
    <definedName name="現行連続アガリ" localSheetId="3">全体!$C$28</definedName>
    <definedName name="現行連続アガリ" localSheetId="17">多田洋輔!$C$28</definedName>
    <definedName name="現行連続アガリ" localSheetId="6">大池陸斗!$C$28</definedName>
    <definedName name="現行連続アガリ" localSheetId="5">滝沢悠人!$C$28</definedName>
    <definedName name="現行連続アガリ" localSheetId="23">中川弘崇!$C$28</definedName>
    <definedName name="現行連続アガリ" localSheetId="31">中村花菜!$C$28</definedName>
    <definedName name="現行連続アガリ" localSheetId="32">中村季暉!$C$28</definedName>
    <definedName name="現行連続アガリ" localSheetId="45">長野柊馬!$C$28</definedName>
    <definedName name="現行連続アガリ" localSheetId="38">田名網新!$C$28</definedName>
    <definedName name="現行連続アガリ" localSheetId="41">渡部陵瑛!$C$28</definedName>
    <definedName name="現行連続アガリ" localSheetId="42">唐澤聖矢!$C$28</definedName>
    <definedName name="現行連続アガリ" localSheetId="37">湯本咲蔵!$C$28</definedName>
    <definedName name="現行連続アガリ" localSheetId="7">百瀬成空!$C$28</definedName>
    <definedName name="現行連続アガリ" localSheetId="15">福澤大地!$C$28</definedName>
    <definedName name="現行連続アガリ" localSheetId="10">保谷一貴!$C$28</definedName>
    <definedName name="現行連続アガリ" localSheetId="21">北沢蓮太郎!$C$28</definedName>
    <definedName name="現行連続アガリ" localSheetId="14">木角有希!$C$28</definedName>
    <definedName name="現行連続アガリ" localSheetId="12">矢ヶ崎健!$C$28</definedName>
    <definedName name="現行連続アガリ" localSheetId="18">柳澤颯吾!$C$28</definedName>
    <definedName name="現行連続アガリ" localSheetId="30">両角慧太!$C$28</definedName>
    <definedName name="現行連続アガリ" localSheetId="16">髙橋桜!$C$28</definedName>
    <definedName name="現行連続アガリ">Template!$C$28</definedName>
    <definedName name="現行連続無放銃" localSheetId="46">'Template (3)'!$C$29</definedName>
    <definedName name="現行連続無放銃" localSheetId="24">阿部圭太朗!$C$29</definedName>
    <definedName name="現行連続無放銃" localSheetId="28">伊藤仁城!$C$29</definedName>
    <definedName name="現行連続無放銃" localSheetId="9">依田幸憲!$C$29</definedName>
    <definedName name="現行連続無放銃" localSheetId="34">塩入悠!$C$29</definedName>
    <definedName name="現行連続無放銃" localSheetId="27">巻島夢樹!$C$29</definedName>
    <definedName name="現行連続無放銃" localSheetId="26">関谷洸佑!$C$29</definedName>
    <definedName name="現行連続無放銃" localSheetId="33">吉澤諒!$C$29</definedName>
    <definedName name="現行連続無放銃" localSheetId="35">宮澤七星!$C$29</definedName>
    <definedName name="現行連続無放銃" localSheetId="11">高野源太!$C$29</definedName>
    <definedName name="現行連続無放銃" localSheetId="8">佐藤成浩!$C$29</definedName>
    <definedName name="現行連続無放銃" localSheetId="36">坂本羽弥斗!$C$29</definedName>
    <definedName name="現行連続無放銃" localSheetId="25">山崎葵!$C$29</definedName>
    <definedName name="現行連続無放銃" localSheetId="39">山本悠介!$C$29</definedName>
    <definedName name="現行連続無放銃" localSheetId="22">市川大智!$C$29</definedName>
    <definedName name="現行連続無放銃" localSheetId="44">所附快和!$C$29</definedName>
    <definedName name="現行連続無放銃" localSheetId="13">小林郁斗!$C$29</definedName>
    <definedName name="現行連続無放銃" localSheetId="4">松澤亮太!$C$29</definedName>
    <definedName name="現行連続無放銃" localSheetId="43">清水常緑!$C$29</definedName>
    <definedName name="現行連続無放銃" localSheetId="29">西沢武留!$C$29</definedName>
    <definedName name="現行連続無放銃" localSheetId="40">石原凛人!$C$29</definedName>
    <definedName name="現行連続無放銃" localSheetId="19">石澤巧望!$C$29</definedName>
    <definedName name="現行連続無放銃" localSheetId="20">川上翔大!$C$29</definedName>
    <definedName name="現行連続無放銃" localSheetId="3">全体!$C$29</definedName>
    <definedName name="現行連続無放銃" localSheetId="17">多田洋輔!$C$29</definedName>
    <definedName name="現行連続無放銃" localSheetId="6">大池陸斗!$C$29</definedName>
    <definedName name="現行連続無放銃" localSheetId="5">滝沢悠人!$C$29</definedName>
    <definedName name="現行連続無放銃" localSheetId="23">中川弘崇!$C$29</definedName>
    <definedName name="現行連続無放銃" localSheetId="31">中村花菜!$C$29</definedName>
    <definedName name="現行連続無放銃" localSheetId="32">中村季暉!$C$29</definedName>
    <definedName name="現行連続無放銃" localSheetId="45">長野柊馬!$C$29</definedName>
    <definedName name="現行連続無放銃" localSheetId="38">田名網新!$C$29</definedName>
    <definedName name="現行連続無放銃" localSheetId="41">渡部陵瑛!$C$29</definedName>
    <definedName name="現行連続無放銃" localSheetId="42">唐澤聖矢!$C$29</definedName>
    <definedName name="現行連続無放銃" localSheetId="37">湯本咲蔵!$C$29</definedName>
    <definedName name="現行連続無放銃" localSheetId="7">百瀬成空!$C$29</definedName>
    <definedName name="現行連続無放銃" localSheetId="15">福澤大地!$C$29</definedName>
    <definedName name="現行連続無放銃" localSheetId="10">保谷一貴!$C$29</definedName>
    <definedName name="現行連続無放銃" localSheetId="21">北沢蓮太郎!$C$29</definedName>
    <definedName name="現行連続無放銃" localSheetId="14">木角有希!$C$29</definedName>
    <definedName name="現行連続無放銃" localSheetId="12">矢ヶ崎健!$C$29</definedName>
    <definedName name="現行連続無放銃" localSheetId="18">柳澤颯吾!$C$29</definedName>
    <definedName name="現行連続無放銃" localSheetId="30">両角慧太!$C$29</definedName>
    <definedName name="現行連続無放銃" localSheetId="16">髙橋桜!$C$29</definedName>
    <definedName name="現行連続無放銃">Template!$C$29</definedName>
    <definedName name="最高点" localSheetId="46">'Template (3)'!$B$31</definedName>
    <definedName name="最高点" localSheetId="24">阿部圭太朗!$B$31</definedName>
    <definedName name="最高点" localSheetId="28">伊藤仁城!$B$31</definedName>
    <definedName name="最高点" localSheetId="9">依田幸憲!$B$31</definedName>
    <definedName name="最高点" localSheetId="34">塩入悠!$B$31</definedName>
    <definedName name="最高点" localSheetId="27">巻島夢樹!$B$31</definedName>
    <definedName name="最高点" localSheetId="26">関谷洸佑!$B$31</definedName>
    <definedName name="最高点" localSheetId="33">吉澤諒!$B$31</definedName>
    <definedName name="最高点" localSheetId="35">宮澤七星!$B$31</definedName>
    <definedName name="最高点" localSheetId="11">高野源太!$B$31</definedName>
    <definedName name="最高点" localSheetId="8">佐藤成浩!$B$31</definedName>
    <definedName name="最高点" localSheetId="36">坂本羽弥斗!$B$31</definedName>
    <definedName name="最高点" localSheetId="25">山崎葵!$B$31</definedName>
    <definedName name="最高点" localSheetId="39">山本悠介!$B$31</definedName>
    <definedName name="最高点" localSheetId="22">市川大智!$B$31</definedName>
    <definedName name="最高点" localSheetId="44">所附快和!$B$31</definedName>
    <definedName name="最高点" localSheetId="13">小林郁斗!$B$31</definedName>
    <definedName name="最高点" localSheetId="4">松澤亮太!$B$31</definedName>
    <definedName name="最高点" localSheetId="43">清水常緑!$B$31</definedName>
    <definedName name="最高点" localSheetId="29">西沢武留!$B$31</definedName>
    <definedName name="最高点" localSheetId="40">石原凛人!$B$31</definedName>
    <definedName name="最高点" localSheetId="19">石澤巧望!$B$31</definedName>
    <definedName name="最高点" localSheetId="20">川上翔大!$B$31</definedName>
    <definedName name="最高点" localSheetId="3">全体!$B$31</definedName>
    <definedName name="最高点" localSheetId="17">多田洋輔!$B$31</definedName>
    <definedName name="最高点" localSheetId="6">大池陸斗!$B$31</definedName>
    <definedName name="最高点" localSheetId="5">滝沢悠人!$B$31</definedName>
    <definedName name="最高点" localSheetId="23">中川弘崇!$B$31</definedName>
    <definedName name="最高点" localSheetId="31">中村花菜!$B$31</definedName>
    <definedName name="最高点" localSheetId="32">中村季暉!$B$31</definedName>
    <definedName name="最高点" localSheetId="45">長野柊馬!$B$31</definedName>
    <definedName name="最高点" localSheetId="38">田名網新!$B$31</definedName>
    <definedName name="最高点" localSheetId="41">渡部陵瑛!$B$31</definedName>
    <definedName name="最高点" localSheetId="42">唐澤聖矢!$B$31</definedName>
    <definedName name="最高点" localSheetId="37">湯本咲蔵!$B$31</definedName>
    <definedName name="最高点" localSheetId="7">百瀬成空!$B$31</definedName>
    <definedName name="最高点" localSheetId="15">福澤大地!$B$31</definedName>
    <definedName name="最高点" localSheetId="10">保谷一貴!$B$31</definedName>
    <definedName name="最高点" localSheetId="21">北沢蓮太郎!$B$31</definedName>
    <definedName name="最高点" localSheetId="14">木角有希!$B$31</definedName>
    <definedName name="最高点" localSheetId="12">矢ヶ崎健!$B$31</definedName>
    <definedName name="最高点" localSheetId="18">柳澤颯吾!$B$31</definedName>
    <definedName name="最高点" localSheetId="30">両角慧太!$B$31</definedName>
    <definedName name="最高点" localSheetId="16">髙橋桜!$B$31</definedName>
    <definedName name="最高点">Template!$B$31</definedName>
    <definedName name="最大ドラ数" localSheetId="46">'Template (3)'!$B$30</definedName>
    <definedName name="最大ドラ数" localSheetId="24">阿部圭太朗!$B$30</definedName>
    <definedName name="最大ドラ数" localSheetId="28">伊藤仁城!$B$30</definedName>
    <definedName name="最大ドラ数" localSheetId="9">依田幸憲!$B$30</definedName>
    <definedName name="最大ドラ数" localSheetId="34">塩入悠!$B$30</definedName>
    <definedName name="最大ドラ数" localSheetId="27">巻島夢樹!$B$30</definedName>
    <definedName name="最大ドラ数" localSheetId="26">関谷洸佑!$B$30</definedName>
    <definedName name="最大ドラ数" localSheetId="33">吉澤諒!$B$30</definedName>
    <definedName name="最大ドラ数" localSheetId="35">宮澤七星!$B$30</definedName>
    <definedName name="最大ドラ数" localSheetId="11">高野源太!$B$30</definedName>
    <definedName name="最大ドラ数" localSheetId="8">佐藤成浩!$B$30</definedName>
    <definedName name="最大ドラ数" localSheetId="36">坂本羽弥斗!$B$30</definedName>
    <definedName name="最大ドラ数" localSheetId="25">山崎葵!$B$30</definedName>
    <definedName name="最大ドラ数" localSheetId="39">山本悠介!$B$30</definedName>
    <definedName name="最大ドラ数" localSheetId="22">市川大智!$B$30</definedName>
    <definedName name="最大ドラ数" localSheetId="44">所附快和!$B$30</definedName>
    <definedName name="最大ドラ数" localSheetId="13">小林郁斗!$B$30</definedName>
    <definedName name="最大ドラ数" localSheetId="4">松澤亮太!$B$30</definedName>
    <definedName name="最大ドラ数" localSheetId="43">清水常緑!$B$30</definedName>
    <definedName name="最大ドラ数" localSheetId="29">西沢武留!$B$30</definedName>
    <definedName name="最大ドラ数" localSheetId="40">石原凛人!$B$30</definedName>
    <definedName name="最大ドラ数" localSheetId="19">石澤巧望!$B$30</definedName>
    <definedName name="最大ドラ数" localSheetId="20">川上翔大!$B$30</definedName>
    <definedName name="最大ドラ数" localSheetId="3">全体!$B$30</definedName>
    <definedName name="最大ドラ数" localSheetId="17">多田洋輔!$B$30</definedName>
    <definedName name="最大ドラ数" localSheetId="6">大池陸斗!$B$30</definedName>
    <definedName name="最大ドラ数" localSheetId="5">滝沢悠人!$B$30</definedName>
    <definedName name="最大ドラ数" localSheetId="23">中川弘崇!$B$30</definedName>
    <definedName name="最大ドラ数" localSheetId="31">中村花菜!$B$30</definedName>
    <definedName name="最大ドラ数" localSheetId="32">中村季暉!$B$30</definedName>
    <definedName name="最大ドラ数" localSheetId="45">長野柊馬!$B$30</definedName>
    <definedName name="最大ドラ数" localSheetId="38">田名網新!$B$30</definedName>
    <definedName name="最大ドラ数" localSheetId="41">渡部陵瑛!$B$30</definedName>
    <definedName name="最大ドラ数" localSheetId="42">唐澤聖矢!$B$30</definedName>
    <definedName name="最大ドラ数" localSheetId="37">湯本咲蔵!$B$30</definedName>
    <definedName name="最大ドラ数" localSheetId="7">百瀬成空!$B$30</definedName>
    <definedName name="最大ドラ数" localSheetId="15">福澤大地!$B$30</definedName>
    <definedName name="最大ドラ数" localSheetId="10">保谷一貴!$B$30</definedName>
    <definedName name="最大ドラ数" localSheetId="21">北沢蓮太郎!$B$30</definedName>
    <definedName name="最大ドラ数" localSheetId="14">木角有希!$B$30</definedName>
    <definedName name="最大ドラ数" localSheetId="12">矢ヶ崎健!$B$30</definedName>
    <definedName name="最大ドラ数" localSheetId="18">柳澤颯吾!$B$30</definedName>
    <definedName name="最大ドラ数" localSheetId="30">両角慧太!$B$30</definedName>
    <definedName name="最大ドラ数" localSheetId="16">髙橋桜!$B$30</definedName>
    <definedName name="最大ドラ数">Template!$B$30</definedName>
    <definedName name="最大点数" localSheetId="46">'Template (3)'!$B$31</definedName>
    <definedName name="最大点数" localSheetId="24">阿部圭太朗!$B$31</definedName>
    <definedName name="最大点数" localSheetId="28">伊藤仁城!$B$31</definedName>
    <definedName name="最大点数" localSheetId="9">依田幸憲!$B$31</definedName>
    <definedName name="最大点数" localSheetId="34">塩入悠!$B$31</definedName>
    <definedName name="最大点数" localSheetId="27">巻島夢樹!$B$31</definedName>
    <definedName name="最大点数" localSheetId="26">関谷洸佑!$B$31</definedName>
    <definedName name="最大点数" localSheetId="33">吉澤諒!$B$31</definedName>
    <definedName name="最大点数" localSheetId="35">宮澤七星!$B$31</definedName>
    <definedName name="最大点数" localSheetId="11">高野源太!$B$31</definedName>
    <definedName name="最大点数" localSheetId="8">佐藤成浩!$B$31</definedName>
    <definedName name="最大点数" localSheetId="36">坂本羽弥斗!$B$31</definedName>
    <definedName name="最大点数" localSheetId="25">山崎葵!$B$31</definedName>
    <definedName name="最大点数" localSheetId="39">山本悠介!$B$31</definedName>
    <definedName name="最大点数" localSheetId="22">市川大智!$B$31</definedName>
    <definedName name="最大点数" localSheetId="44">所附快和!$B$31</definedName>
    <definedName name="最大点数" localSheetId="13">小林郁斗!$B$31</definedName>
    <definedName name="最大点数" localSheetId="4">松澤亮太!$B$31</definedName>
    <definedName name="最大点数" localSheetId="43">清水常緑!$B$31</definedName>
    <definedName name="最大点数" localSheetId="29">西沢武留!$B$31</definedName>
    <definedName name="最大点数" localSheetId="40">石原凛人!$B$31</definedName>
    <definedName name="最大点数" localSheetId="19">石澤巧望!$B$31</definedName>
    <definedName name="最大点数" localSheetId="20">川上翔大!$B$31</definedName>
    <definedName name="最大点数" localSheetId="3">全体!$B$31</definedName>
    <definedName name="最大点数" localSheetId="17">多田洋輔!$B$31</definedName>
    <definedName name="最大点数" localSheetId="6">大池陸斗!$B$31</definedName>
    <definedName name="最大点数" localSheetId="5">滝沢悠人!$B$31</definedName>
    <definedName name="最大点数" localSheetId="23">中川弘崇!$B$31</definedName>
    <definedName name="最大点数" localSheetId="31">中村花菜!$B$31</definedName>
    <definedName name="最大点数" localSheetId="32">中村季暉!$B$31</definedName>
    <definedName name="最大点数" localSheetId="45">長野柊馬!$B$31</definedName>
    <definedName name="最大点数" localSheetId="38">田名網新!$B$31</definedName>
    <definedName name="最大点数" localSheetId="41">渡部陵瑛!$B$31</definedName>
    <definedName name="最大点数" localSheetId="42">唐澤聖矢!$B$31</definedName>
    <definedName name="最大点数" localSheetId="37">湯本咲蔵!$B$31</definedName>
    <definedName name="最大点数" localSheetId="7">百瀬成空!$B$31</definedName>
    <definedName name="最大点数" localSheetId="15">福澤大地!$B$31</definedName>
    <definedName name="最大点数" localSheetId="10">保谷一貴!$B$31</definedName>
    <definedName name="最大点数" localSheetId="21">北沢蓮太郎!$B$31</definedName>
    <definedName name="最大点数" localSheetId="14">木角有希!$B$31</definedName>
    <definedName name="最大点数" localSheetId="12">矢ヶ崎健!$B$31</definedName>
    <definedName name="最大点数" localSheetId="18">柳澤颯吾!$B$31</definedName>
    <definedName name="最大点数" localSheetId="30">両角慧太!$B$31</definedName>
    <definedName name="最大点数" localSheetId="16">髙橋桜!$B$31</definedName>
    <definedName name="最大点数">Template!$B$31</definedName>
    <definedName name="三位数" localSheetId="46">'Template (3)'!$B$9</definedName>
    <definedName name="三位数" localSheetId="24">阿部圭太朗!$B$9</definedName>
    <definedName name="三位数" localSheetId="28">伊藤仁城!$B$9</definedName>
    <definedName name="三位数" localSheetId="9">依田幸憲!$B$9</definedName>
    <definedName name="三位数" localSheetId="34">塩入悠!$B$9</definedName>
    <definedName name="三位数" localSheetId="27">巻島夢樹!$B$9</definedName>
    <definedName name="三位数" localSheetId="26">関谷洸佑!$B$9</definedName>
    <definedName name="三位数" localSheetId="33">吉澤諒!$B$9</definedName>
    <definedName name="三位数" localSheetId="35">宮澤七星!$B$9</definedName>
    <definedName name="三位数" localSheetId="11">高野源太!$B$9</definedName>
    <definedName name="三位数" localSheetId="8">佐藤成浩!$B$9</definedName>
    <definedName name="三位数" localSheetId="36">坂本羽弥斗!$B$9</definedName>
    <definedName name="三位数" localSheetId="25">山崎葵!$B$9</definedName>
    <definedName name="三位数" localSheetId="39">山本悠介!$B$9</definedName>
    <definedName name="三位数" localSheetId="22">市川大智!$B$9</definedName>
    <definedName name="三位数" localSheetId="44">所附快和!$B$9</definedName>
    <definedName name="三位数" localSheetId="13">小林郁斗!$B$9</definedName>
    <definedName name="三位数" localSheetId="4">松澤亮太!$B$9</definedName>
    <definedName name="三位数" localSheetId="43">清水常緑!$B$9</definedName>
    <definedName name="三位数" localSheetId="29">西沢武留!$B$9</definedName>
    <definedName name="三位数" localSheetId="40">石原凛人!$B$9</definedName>
    <definedName name="三位数" localSheetId="19">石澤巧望!$B$9</definedName>
    <definedName name="三位数" localSheetId="20">川上翔大!$B$9</definedName>
    <definedName name="三位数" localSheetId="3">全体!$B$9</definedName>
    <definedName name="三位数" localSheetId="17">多田洋輔!$B$9</definedName>
    <definedName name="三位数" localSheetId="6">大池陸斗!$B$9</definedName>
    <definedName name="三位数" localSheetId="5">滝沢悠人!$B$9</definedName>
    <definedName name="三位数" localSheetId="23">中川弘崇!$B$9</definedName>
    <definedName name="三位数" localSheetId="31">中村花菜!$B$9</definedName>
    <definedName name="三位数" localSheetId="32">中村季暉!$B$9</definedName>
    <definedName name="三位数" localSheetId="45">長野柊馬!$B$9</definedName>
    <definedName name="三位数" localSheetId="38">田名網新!$B$9</definedName>
    <definedName name="三位数" localSheetId="41">渡部陵瑛!$B$9</definedName>
    <definedName name="三位数" localSheetId="42">唐澤聖矢!$B$9</definedName>
    <definedName name="三位数" localSheetId="37">湯本咲蔵!$B$9</definedName>
    <definedName name="三位数" localSheetId="7">百瀬成空!$B$9</definedName>
    <definedName name="三位数" localSheetId="15">福澤大地!$B$9</definedName>
    <definedName name="三位数" localSheetId="10">保谷一貴!$B$9</definedName>
    <definedName name="三位数" localSheetId="21">北沢蓮太郎!$B$9</definedName>
    <definedName name="三位数" localSheetId="14">木角有希!$B$9</definedName>
    <definedName name="三位数" localSheetId="12">矢ヶ崎健!$B$9</definedName>
    <definedName name="三位数" localSheetId="18">柳澤颯吾!$B$9</definedName>
    <definedName name="三位数" localSheetId="30">両角慧太!$B$9</definedName>
    <definedName name="三位数" localSheetId="16">髙橋桜!$B$9</definedName>
    <definedName name="三位数">Template!$B$9</definedName>
    <definedName name="三位率" localSheetId="46">'Template (3)'!$C$9</definedName>
    <definedName name="三位率" localSheetId="24">阿部圭太朗!$C$9</definedName>
    <definedName name="三位率" localSheetId="28">伊藤仁城!$C$9</definedName>
    <definedName name="三位率" localSheetId="9">依田幸憲!$C$9</definedName>
    <definedName name="三位率" localSheetId="34">塩入悠!$C$9</definedName>
    <definedName name="三位率" localSheetId="27">巻島夢樹!$C$9</definedName>
    <definedName name="三位率" localSheetId="26">関谷洸佑!$C$9</definedName>
    <definedName name="三位率" localSheetId="33">吉澤諒!$C$9</definedName>
    <definedName name="三位率" localSheetId="35">宮澤七星!$C$9</definedName>
    <definedName name="三位率" localSheetId="11">高野源太!$C$9</definedName>
    <definedName name="三位率" localSheetId="8">佐藤成浩!$C$9</definedName>
    <definedName name="三位率" localSheetId="36">坂本羽弥斗!$C$9</definedName>
    <definedName name="三位率" localSheetId="25">山崎葵!$C$9</definedName>
    <definedName name="三位率" localSheetId="39">山本悠介!$C$9</definedName>
    <definedName name="三位率" localSheetId="22">市川大智!$C$9</definedName>
    <definedName name="三位率" localSheetId="44">所附快和!$C$9</definedName>
    <definedName name="三位率" localSheetId="13">小林郁斗!$C$9</definedName>
    <definedName name="三位率" localSheetId="4">松澤亮太!$C$9</definedName>
    <definedName name="三位率" localSheetId="43">清水常緑!$C$9</definedName>
    <definedName name="三位率" localSheetId="29">西沢武留!$C$9</definedName>
    <definedName name="三位率" localSheetId="40">石原凛人!$C$9</definedName>
    <definedName name="三位率" localSheetId="19">石澤巧望!$C$9</definedName>
    <definedName name="三位率" localSheetId="20">川上翔大!$C$9</definedName>
    <definedName name="三位率" localSheetId="3">全体!$C$9</definedName>
    <definedName name="三位率" localSheetId="17">多田洋輔!$C$9</definedName>
    <definedName name="三位率" localSheetId="6">大池陸斗!$C$9</definedName>
    <definedName name="三位率" localSheetId="5">滝沢悠人!$C$9</definedName>
    <definedName name="三位率" localSheetId="23">中川弘崇!$C$9</definedName>
    <definedName name="三位率" localSheetId="31">中村花菜!$C$9</definedName>
    <definedName name="三位率" localSheetId="32">中村季暉!$C$9</definedName>
    <definedName name="三位率" localSheetId="45">長野柊馬!$C$9</definedName>
    <definedName name="三位率" localSheetId="38">田名網新!$C$9</definedName>
    <definedName name="三位率" localSheetId="41">渡部陵瑛!$C$9</definedName>
    <definedName name="三位率" localSheetId="42">唐澤聖矢!$C$9</definedName>
    <definedName name="三位率" localSheetId="37">湯本咲蔵!$C$9</definedName>
    <definedName name="三位率" localSheetId="7">百瀬成空!$C$9</definedName>
    <definedName name="三位率" localSheetId="15">福澤大地!$C$9</definedName>
    <definedName name="三位率" localSheetId="10">保谷一貴!$C$9</definedName>
    <definedName name="三位率" localSheetId="21">北沢蓮太郎!$C$9</definedName>
    <definedName name="三位率" localSheetId="14">木角有希!$C$9</definedName>
    <definedName name="三位率" localSheetId="12">矢ヶ崎健!$C$9</definedName>
    <definedName name="三位率" localSheetId="18">柳澤颯吾!$C$9</definedName>
    <definedName name="三位率" localSheetId="30">両角慧太!$C$9</definedName>
    <definedName name="三位率" localSheetId="16">髙橋桜!$C$9</definedName>
    <definedName name="三位率">Template!$C$9</definedName>
    <definedName name="総局数" localSheetId="46">'Template (3)'!$B$3</definedName>
    <definedName name="総局数" localSheetId="24">阿部圭太朗!$B$3</definedName>
    <definedName name="総局数" localSheetId="28">伊藤仁城!$B$3</definedName>
    <definedName name="総局数" localSheetId="9">依田幸憲!$B$3</definedName>
    <definedName name="総局数" localSheetId="34">塩入悠!$B$3</definedName>
    <definedName name="総局数" localSheetId="27">巻島夢樹!$B$3</definedName>
    <definedName name="総局数" localSheetId="26">関谷洸佑!$B$3</definedName>
    <definedName name="総局数" localSheetId="33">吉澤諒!$B$3</definedName>
    <definedName name="総局数" localSheetId="35">宮澤七星!$B$3</definedName>
    <definedName name="総局数" localSheetId="11">高野源太!$B$3</definedName>
    <definedName name="総局数" localSheetId="8">佐藤成浩!$B$3</definedName>
    <definedName name="総局数" localSheetId="36">坂本羽弥斗!$B$3</definedName>
    <definedName name="総局数" localSheetId="25">山崎葵!$B$3</definedName>
    <definedName name="総局数" localSheetId="39">山本悠介!$B$3</definedName>
    <definedName name="総局数" localSheetId="22">市川大智!$B$3</definedName>
    <definedName name="総局数" localSheetId="44">所附快和!$B$3</definedName>
    <definedName name="総局数" localSheetId="13">小林郁斗!$B$3</definedName>
    <definedName name="総局数" localSheetId="4">松澤亮太!$B$3</definedName>
    <definedName name="総局数" localSheetId="43">清水常緑!$B$3</definedName>
    <definedName name="総局数" localSheetId="29">西沢武留!$B$3</definedName>
    <definedName name="総局数" localSheetId="40">石原凛人!$B$3</definedName>
    <definedName name="総局数" localSheetId="19">石澤巧望!$B$3</definedName>
    <definedName name="総局数" localSheetId="20">川上翔大!$B$3</definedName>
    <definedName name="総局数" localSheetId="3">全体!$B$3</definedName>
    <definedName name="総局数" localSheetId="17">多田洋輔!$B$3</definedName>
    <definedName name="総局数" localSheetId="6">大池陸斗!$B$3</definedName>
    <definedName name="総局数" localSheetId="5">滝沢悠人!$B$3</definedName>
    <definedName name="総局数" localSheetId="23">中川弘崇!$B$3</definedName>
    <definedName name="総局数" localSheetId="31">中村花菜!$B$3</definedName>
    <definedName name="総局数" localSheetId="32">中村季暉!$B$3</definedName>
    <definedName name="総局数" localSheetId="45">長野柊馬!$B$3</definedName>
    <definedName name="総局数" localSheetId="38">田名網新!$B$3</definedName>
    <definedName name="総局数" localSheetId="41">渡部陵瑛!$B$3</definedName>
    <definedName name="総局数" localSheetId="42">唐澤聖矢!$B$3</definedName>
    <definedName name="総局数" localSheetId="37">湯本咲蔵!$B$3</definedName>
    <definedName name="総局数" localSheetId="7">百瀬成空!$B$3</definedName>
    <definedName name="総局数" localSheetId="15">福澤大地!$B$3</definedName>
    <definedName name="総局数" localSheetId="10">保谷一貴!$B$3</definedName>
    <definedName name="総局数" localSheetId="21">北沢蓮太郎!$B$3</definedName>
    <definedName name="総局数" localSheetId="14">木角有希!$B$3</definedName>
    <definedName name="総局数" localSheetId="12">矢ヶ崎健!$B$3</definedName>
    <definedName name="総局数" localSheetId="18">柳澤颯吾!$B$3</definedName>
    <definedName name="総局数" localSheetId="30">両角慧太!$B$3</definedName>
    <definedName name="総局数" localSheetId="16">髙橋桜!$B$3</definedName>
    <definedName name="総局数">Template!$B$3</definedName>
    <definedName name="対戦数" localSheetId="46">'Template (3)'!$B$2</definedName>
    <definedName name="対戦数" localSheetId="24">阿部圭太朗!$B$2</definedName>
    <definedName name="対戦数" localSheetId="28">伊藤仁城!$B$2</definedName>
    <definedName name="対戦数" localSheetId="9">依田幸憲!$B$2</definedName>
    <definedName name="対戦数" localSheetId="34">塩入悠!$B$2</definedName>
    <definedName name="対戦数" localSheetId="27">巻島夢樹!$B$2</definedName>
    <definedName name="対戦数" localSheetId="26">関谷洸佑!$B$2</definedName>
    <definedName name="対戦数" localSheetId="33">吉澤諒!$B$2</definedName>
    <definedName name="対戦数" localSheetId="35">宮澤七星!$B$2</definedName>
    <definedName name="対戦数" localSheetId="11">高野源太!$B$2</definedName>
    <definedName name="対戦数" localSheetId="8">佐藤成浩!$B$2</definedName>
    <definedName name="対戦数" localSheetId="36">坂本羽弥斗!$B$2</definedName>
    <definedName name="対戦数" localSheetId="25">山崎葵!$B$2</definedName>
    <definedName name="対戦数" localSheetId="39">山本悠介!$B$2</definedName>
    <definedName name="対戦数" localSheetId="22">市川大智!$B$2</definedName>
    <definedName name="対戦数" localSheetId="44">所附快和!$B$2</definedName>
    <definedName name="対戦数" localSheetId="13">小林郁斗!$B$2</definedName>
    <definedName name="対戦数" localSheetId="4">松澤亮太!$B$2</definedName>
    <definedName name="対戦数" localSheetId="43">清水常緑!$B$2</definedName>
    <definedName name="対戦数" localSheetId="29">西沢武留!$B$2</definedName>
    <definedName name="対戦数" localSheetId="40">石原凛人!$B$2</definedName>
    <definedName name="対戦数" localSheetId="19">石澤巧望!$B$2</definedName>
    <definedName name="対戦数" localSheetId="20">川上翔大!$B$2</definedName>
    <definedName name="対戦数" localSheetId="3">全体!$B$2</definedName>
    <definedName name="対戦数" localSheetId="17">多田洋輔!$B$2</definedName>
    <definedName name="対戦数" localSheetId="6">大池陸斗!$B$2</definedName>
    <definedName name="対戦数" localSheetId="5">滝沢悠人!$B$2</definedName>
    <definedName name="対戦数" localSheetId="23">中川弘崇!$B$2</definedName>
    <definedName name="対戦数" localSheetId="31">中村花菜!$B$2</definedName>
    <definedName name="対戦数" localSheetId="32">中村季暉!$B$2</definedName>
    <definedName name="対戦数" localSheetId="45">長野柊馬!$B$2</definedName>
    <definedName name="対戦数" localSheetId="38">田名網新!$B$2</definedName>
    <definedName name="対戦数" localSheetId="41">渡部陵瑛!$B$2</definedName>
    <definedName name="対戦数" localSheetId="42">唐澤聖矢!$B$2</definedName>
    <definedName name="対戦数" localSheetId="37">湯本咲蔵!$B$2</definedName>
    <definedName name="対戦数" localSheetId="7">百瀬成空!$B$2</definedName>
    <definedName name="対戦数" localSheetId="15">福澤大地!$B$2</definedName>
    <definedName name="対戦数" localSheetId="10">保谷一貴!$B$2</definedName>
    <definedName name="対戦数" localSheetId="21">北沢蓮太郎!$B$2</definedName>
    <definedName name="対戦数" localSheetId="14">木角有希!$B$2</definedName>
    <definedName name="対戦数" localSheetId="12">矢ヶ崎健!$B$2</definedName>
    <definedName name="対戦数" localSheetId="18">柳澤颯吾!$B$2</definedName>
    <definedName name="対戦数" localSheetId="30">両角慧太!$B$2</definedName>
    <definedName name="対戦数" localSheetId="16">髙橋桜!$B$2</definedName>
    <definedName name="対戦数">Template!$B$2</definedName>
    <definedName name="通算アガリ点" localSheetId="46">'Template (3)'!$C$24</definedName>
    <definedName name="通算アガリ点" localSheetId="24">阿部圭太朗!$C$24</definedName>
    <definedName name="通算アガリ点" localSheetId="28">伊藤仁城!$C$24</definedName>
    <definedName name="通算アガリ点" localSheetId="9">依田幸憲!$C$24</definedName>
    <definedName name="通算アガリ点" localSheetId="34">塩入悠!$C$24</definedName>
    <definedName name="通算アガリ点" localSheetId="27">巻島夢樹!$C$24</definedName>
    <definedName name="通算アガリ点" localSheetId="26">関谷洸佑!$C$24</definedName>
    <definedName name="通算アガリ点" localSheetId="33">吉澤諒!$C$24</definedName>
    <definedName name="通算アガリ点" localSheetId="35">宮澤七星!$C$24</definedName>
    <definedName name="通算アガリ点" localSheetId="11">高野源太!$C$24</definedName>
    <definedName name="通算アガリ点" localSheetId="8">佐藤成浩!$C$24</definedName>
    <definedName name="通算アガリ点" localSheetId="36">坂本羽弥斗!$C$24</definedName>
    <definedName name="通算アガリ点" localSheetId="25">山崎葵!$C$24</definedName>
    <definedName name="通算アガリ点" localSheetId="39">山本悠介!$C$24</definedName>
    <definedName name="通算アガリ点" localSheetId="22">市川大智!$C$24</definedName>
    <definedName name="通算アガリ点" localSheetId="44">所附快和!$C$24</definedName>
    <definedName name="通算アガリ点" localSheetId="13">小林郁斗!$C$24</definedName>
    <definedName name="通算アガリ点" localSheetId="4">松澤亮太!$C$24</definedName>
    <definedName name="通算アガリ点" localSheetId="43">清水常緑!$C$24</definedName>
    <definedName name="通算アガリ点" localSheetId="29">西沢武留!$C$24</definedName>
    <definedName name="通算アガリ点" localSheetId="40">石原凛人!$C$24</definedName>
    <definedName name="通算アガリ点" localSheetId="19">石澤巧望!$C$24</definedName>
    <definedName name="通算アガリ点" localSheetId="20">川上翔大!$C$24</definedName>
    <definedName name="通算アガリ点" localSheetId="3">全体!$C$24</definedName>
    <definedName name="通算アガリ点" localSheetId="17">多田洋輔!$C$24</definedName>
    <definedName name="通算アガリ点" localSheetId="6">大池陸斗!$C$24</definedName>
    <definedName name="通算アガリ点" localSheetId="5">滝沢悠人!$C$24</definedName>
    <definedName name="通算アガリ点" localSheetId="23">中川弘崇!$C$24</definedName>
    <definedName name="通算アガリ点" localSheetId="31">中村花菜!$C$24</definedName>
    <definedName name="通算アガリ点" localSheetId="32">中村季暉!$C$24</definedName>
    <definedName name="通算アガリ点" localSheetId="45">長野柊馬!$C$24</definedName>
    <definedName name="通算アガリ点" localSheetId="38">田名網新!$C$24</definedName>
    <definedName name="通算アガリ点" localSheetId="41">渡部陵瑛!$C$24</definedName>
    <definedName name="通算アガリ点" localSheetId="42">唐澤聖矢!$C$24</definedName>
    <definedName name="通算アガリ点" localSheetId="37">湯本咲蔵!$C$24</definedName>
    <definedName name="通算アガリ点" localSheetId="7">百瀬成空!$C$24</definedName>
    <definedName name="通算アガリ点" localSheetId="15">福澤大地!$C$24</definedName>
    <definedName name="通算アガリ点" localSheetId="10">保谷一貴!$C$24</definedName>
    <definedName name="通算アガリ点" localSheetId="21">北沢蓮太郎!$C$24</definedName>
    <definedName name="通算アガリ点" localSheetId="14">木角有希!$C$24</definedName>
    <definedName name="通算アガリ点" localSheetId="12">矢ヶ崎健!$C$24</definedName>
    <definedName name="通算アガリ点" localSheetId="18">柳澤颯吾!$C$24</definedName>
    <definedName name="通算アガリ点" localSheetId="30">両角慧太!$C$24</definedName>
    <definedName name="通算アガリ点" localSheetId="16">髙橋桜!$C$24</definedName>
    <definedName name="通算アガリ点">Template!$C$24</definedName>
    <definedName name="通算スコア" localSheetId="46">'Template (3)'!$B$4</definedName>
    <definedName name="通算スコア" localSheetId="24">阿部圭太朗!$B$4</definedName>
    <definedName name="通算スコア" localSheetId="28">伊藤仁城!$B$4</definedName>
    <definedName name="通算スコア" localSheetId="9">依田幸憲!$B$4</definedName>
    <definedName name="通算スコア" localSheetId="34">塩入悠!$B$4</definedName>
    <definedName name="通算スコア" localSheetId="27">巻島夢樹!$B$4</definedName>
    <definedName name="通算スコア" localSheetId="26">関谷洸佑!$B$4</definedName>
    <definedName name="通算スコア" localSheetId="33">吉澤諒!$B$4</definedName>
    <definedName name="通算スコア" localSheetId="35">宮澤七星!$B$4</definedName>
    <definedName name="通算スコア" localSheetId="11">高野源太!$B$4</definedName>
    <definedName name="通算スコア" localSheetId="8">佐藤成浩!$B$4</definedName>
    <definedName name="通算スコア" localSheetId="36">坂本羽弥斗!$B$4</definedName>
    <definedName name="通算スコア" localSheetId="25">山崎葵!$B$4</definedName>
    <definedName name="通算スコア" localSheetId="39">山本悠介!$B$4</definedName>
    <definedName name="通算スコア" localSheetId="22">市川大智!$B$4</definedName>
    <definedName name="通算スコア" localSheetId="44">所附快和!$B$4</definedName>
    <definedName name="通算スコア" localSheetId="13">小林郁斗!$B$4</definedName>
    <definedName name="通算スコア" localSheetId="4">松澤亮太!$B$4</definedName>
    <definedName name="通算スコア" localSheetId="43">清水常緑!$B$4</definedName>
    <definedName name="通算スコア" localSheetId="29">西沢武留!$B$4</definedName>
    <definedName name="通算スコア" localSheetId="40">石原凛人!$B$4</definedName>
    <definedName name="通算スコア" localSheetId="19">石澤巧望!$B$4</definedName>
    <definedName name="通算スコア" localSheetId="20">川上翔大!$B$4</definedName>
    <definedName name="通算スコア" localSheetId="3">全体!$B$4</definedName>
    <definedName name="通算スコア" localSheetId="17">多田洋輔!$B$4</definedName>
    <definedName name="通算スコア" localSheetId="6">大池陸斗!$B$4</definedName>
    <definedName name="通算スコア" localSheetId="5">滝沢悠人!$B$4</definedName>
    <definedName name="通算スコア" localSheetId="23">中川弘崇!$B$4</definedName>
    <definedName name="通算スコア" localSheetId="31">中村花菜!$B$4</definedName>
    <definedName name="通算スコア" localSheetId="32">中村季暉!$B$4</definedName>
    <definedName name="通算スコア" localSheetId="45">長野柊馬!$B$4</definedName>
    <definedName name="通算スコア" localSheetId="38">田名網新!$B$4</definedName>
    <definedName name="通算スコア" localSheetId="41">渡部陵瑛!$B$4</definedName>
    <definedName name="通算スコア" localSheetId="42">唐澤聖矢!$B$4</definedName>
    <definedName name="通算スコア" localSheetId="37">湯本咲蔵!$B$4</definedName>
    <definedName name="通算スコア" localSheetId="7">百瀬成空!$B$4</definedName>
    <definedName name="通算スコア" localSheetId="15">福澤大地!$B$4</definedName>
    <definedName name="通算スコア" localSheetId="10">保谷一貴!$B$4</definedName>
    <definedName name="通算スコア" localSheetId="21">北沢蓮太郎!$B$4</definedName>
    <definedName name="通算スコア" localSheetId="14">木角有希!$B$4</definedName>
    <definedName name="通算スコア" localSheetId="12">矢ヶ崎健!$B$4</definedName>
    <definedName name="通算スコア" localSheetId="18">柳澤颯吾!$B$4</definedName>
    <definedName name="通算スコア" localSheetId="30">両角慧太!$B$4</definedName>
    <definedName name="通算スコア" localSheetId="16">髙橋桜!$B$4</definedName>
    <definedName name="通算スコア">Template!$B$4</definedName>
    <definedName name="通算副露アガリ点" localSheetId="46">'Template (3)'!$C$26</definedName>
    <definedName name="通算副露アガリ点" localSheetId="24">阿部圭太朗!$C$26</definedName>
    <definedName name="通算副露アガリ点" localSheetId="28">伊藤仁城!$C$26</definedName>
    <definedName name="通算副露アガリ点" localSheetId="9">依田幸憲!$C$26</definedName>
    <definedName name="通算副露アガリ点" localSheetId="34">塩入悠!$C$26</definedName>
    <definedName name="通算副露アガリ点" localSheetId="27">巻島夢樹!$C$26</definedName>
    <definedName name="通算副露アガリ点" localSheetId="26">関谷洸佑!$C$26</definedName>
    <definedName name="通算副露アガリ点" localSheetId="33">吉澤諒!$C$26</definedName>
    <definedName name="通算副露アガリ点" localSheetId="35">宮澤七星!$C$26</definedName>
    <definedName name="通算副露アガリ点" localSheetId="11">高野源太!$C$26</definedName>
    <definedName name="通算副露アガリ点" localSheetId="8">佐藤成浩!$C$26</definedName>
    <definedName name="通算副露アガリ点" localSheetId="36">坂本羽弥斗!$C$26</definedName>
    <definedName name="通算副露アガリ点" localSheetId="25">山崎葵!$C$26</definedName>
    <definedName name="通算副露アガリ点" localSheetId="39">山本悠介!$C$26</definedName>
    <definedName name="通算副露アガリ点" localSheetId="22">市川大智!$C$26</definedName>
    <definedName name="通算副露アガリ点" localSheetId="44">所附快和!$C$26</definedName>
    <definedName name="通算副露アガリ点" localSheetId="13">小林郁斗!$C$26</definedName>
    <definedName name="通算副露アガリ点" localSheetId="4">松澤亮太!$C$26</definedName>
    <definedName name="通算副露アガリ点" localSheetId="43">清水常緑!$C$26</definedName>
    <definedName name="通算副露アガリ点" localSheetId="29">西沢武留!$C$26</definedName>
    <definedName name="通算副露アガリ点" localSheetId="40">石原凛人!$C$26</definedName>
    <definedName name="通算副露アガリ点" localSheetId="19">石澤巧望!$C$26</definedName>
    <definedName name="通算副露アガリ点" localSheetId="20">川上翔大!$C$26</definedName>
    <definedName name="通算副露アガリ点" localSheetId="3">全体!$C$26</definedName>
    <definedName name="通算副露アガリ点" localSheetId="17">多田洋輔!$C$26</definedName>
    <definedName name="通算副露アガリ点" localSheetId="6">大池陸斗!$C$26</definedName>
    <definedName name="通算副露アガリ点" localSheetId="5">滝沢悠人!$C$26</definedName>
    <definedName name="通算副露アガリ点" localSheetId="23">中川弘崇!$C$26</definedName>
    <definedName name="通算副露アガリ点" localSheetId="31">中村花菜!$C$26</definedName>
    <definedName name="通算副露アガリ点" localSheetId="32">中村季暉!$C$26</definedName>
    <definedName name="通算副露アガリ点" localSheetId="45">長野柊馬!$C$26</definedName>
    <definedName name="通算副露アガリ点" localSheetId="38">田名網新!$C$26</definedName>
    <definedName name="通算副露アガリ点" localSheetId="41">渡部陵瑛!$C$26</definedName>
    <definedName name="通算副露アガリ点" localSheetId="42">唐澤聖矢!$C$26</definedName>
    <definedName name="通算副露アガリ点" localSheetId="37">湯本咲蔵!$C$26</definedName>
    <definedName name="通算副露アガリ点" localSheetId="7">百瀬成空!$C$26</definedName>
    <definedName name="通算副露アガリ点" localSheetId="15">福澤大地!$C$26</definedName>
    <definedName name="通算副露アガリ点" localSheetId="10">保谷一貴!$C$26</definedName>
    <definedName name="通算副露アガリ点" localSheetId="21">北沢蓮太郎!$C$26</definedName>
    <definedName name="通算副露アガリ点" localSheetId="14">木角有希!$C$26</definedName>
    <definedName name="通算副露アガリ点" localSheetId="12">矢ヶ崎健!$C$26</definedName>
    <definedName name="通算副露アガリ点" localSheetId="18">柳澤颯吾!$C$26</definedName>
    <definedName name="通算副露アガリ点" localSheetId="30">両角慧太!$C$26</definedName>
    <definedName name="通算副露アガリ点" localSheetId="16">髙橋桜!$C$26</definedName>
    <definedName name="通算副露アガリ点">Template!$C$26</definedName>
    <definedName name="通算放銃点" localSheetId="46">'Template (3)'!$C$27</definedName>
    <definedName name="通算放銃点" localSheetId="24">阿部圭太朗!$C$27</definedName>
    <definedName name="通算放銃点" localSheetId="28">伊藤仁城!$C$27</definedName>
    <definedName name="通算放銃点" localSheetId="9">依田幸憲!$C$27</definedName>
    <definedName name="通算放銃点" localSheetId="34">塩入悠!$C$27</definedName>
    <definedName name="通算放銃点" localSheetId="27">巻島夢樹!$C$27</definedName>
    <definedName name="通算放銃点" localSheetId="26">関谷洸佑!$C$27</definedName>
    <definedName name="通算放銃点" localSheetId="33">吉澤諒!$C$27</definedName>
    <definedName name="通算放銃点" localSheetId="35">宮澤七星!$C$27</definedName>
    <definedName name="通算放銃点" localSheetId="11">高野源太!$C$27</definedName>
    <definedName name="通算放銃点" localSheetId="8">佐藤成浩!$C$27</definedName>
    <definedName name="通算放銃点" localSheetId="36">坂本羽弥斗!$C$27</definedName>
    <definedName name="通算放銃点" localSheetId="25">山崎葵!$C$27</definedName>
    <definedName name="通算放銃点" localSheetId="39">山本悠介!$C$27</definedName>
    <definedName name="通算放銃点" localSheetId="22">市川大智!$C$27</definedName>
    <definedName name="通算放銃点" localSheetId="44">所附快和!$C$27</definedName>
    <definedName name="通算放銃点" localSheetId="13">小林郁斗!$C$27</definedName>
    <definedName name="通算放銃点" localSheetId="4">松澤亮太!$C$27</definedName>
    <definedName name="通算放銃点" localSheetId="43">清水常緑!$C$27</definedName>
    <definedName name="通算放銃点" localSheetId="29">西沢武留!$C$27</definedName>
    <definedName name="通算放銃点" localSheetId="40">石原凛人!$C$27</definedName>
    <definedName name="通算放銃点" localSheetId="19">石澤巧望!$C$27</definedName>
    <definedName name="通算放銃点" localSheetId="20">川上翔大!$C$27</definedName>
    <definedName name="通算放銃点" localSheetId="3">全体!$C$27</definedName>
    <definedName name="通算放銃点" localSheetId="17">多田洋輔!$C$27</definedName>
    <definedName name="通算放銃点" localSheetId="6">大池陸斗!$C$27</definedName>
    <definedName name="通算放銃点" localSheetId="5">滝沢悠人!$C$27</definedName>
    <definedName name="通算放銃点" localSheetId="23">中川弘崇!$C$27</definedName>
    <definedName name="通算放銃点" localSheetId="31">中村花菜!$C$27</definedName>
    <definedName name="通算放銃点" localSheetId="32">中村季暉!$C$27</definedName>
    <definedName name="通算放銃点" localSheetId="45">長野柊馬!$C$27</definedName>
    <definedName name="通算放銃点" localSheetId="38">田名網新!$C$27</definedName>
    <definedName name="通算放銃点" localSheetId="41">渡部陵瑛!$C$27</definedName>
    <definedName name="通算放銃点" localSheetId="42">唐澤聖矢!$C$27</definedName>
    <definedName name="通算放銃点" localSheetId="37">湯本咲蔵!$C$27</definedName>
    <definedName name="通算放銃点" localSheetId="7">百瀬成空!$C$27</definedName>
    <definedName name="通算放銃点" localSheetId="15">福澤大地!$C$27</definedName>
    <definedName name="通算放銃点" localSheetId="10">保谷一貴!$C$27</definedName>
    <definedName name="通算放銃点" localSheetId="21">北沢蓮太郎!$C$27</definedName>
    <definedName name="通算放銃点" localSheetId="14">木角有希!$C$27</definedName>
    <definedName name="通算放銃点" localSheetId="12">矢ヶ崎健!$C$27</definedName>
    <definedName name="通算放銃点" localSheetId="18">柳澤颯吾!$C$27</definedName>
    <definedName name="通算放銃点" localSheetId="30">両角慧太!$C$27</definedName>
    <definedName name="通算放銃点" localSheetId="16">髙橋桜!$C$27</definedName>
    <definedName name="通算放銃点">Template!$C$27</definedName>
    <definedName name="通算門前アガリ点" localSheetId="46">'Template (3)'!$C$25</definedName>
    <definedName name="通算門前アガリ点" localSheetId="24">阿部圭太朗!$C$25</definedName>
    <definedName name="通算門前アガリ点" localSheetId="28">伊藤仁城!$C$25</definedName>
    <definedName name="通算門前アガリ点" localSheetId="9">依田幸憲!$C$25</definedName>
    <definedName name="通算門前アガリ点" localSheetId="34">塩入悠!$C$25</definedName>
    <definedName name="通算門前アガリ点" localSheetId="27">巻島夢樹!$C$25</definedName>
    <definedName name="通算門前アガリ点" localSheetId="26">関谷洸佑!$C$25</definedName>
    <definedName name="通算門前アガリ点" localSheetId="33">吉澤諒!$C$25</definedName>
    <definedName name="通算門前アガリ点" localSheetId="35">宮澤七星!$C$25</definedName>
    <definedName name="通算門前アガリ点" localSheetId="11">高野源太!$C$25</definedName>
    <definedName name="通算門前アガリ点" localSheetId="8">佐藤成浩!$C$25</definedName>
    <definedName name="通算門前アガリ点" localSheetId="36">坂本羽弥斗!$C$25</definedName>
    <definedName name="通算門前アガリ点" localSheetId="25">山崎葵!$C$25</definedName>
    <definedName name="通算門前アガリ点" localSheetId="39">山本悠介!$C$25</definedName>
    <definedName name="通算門前アガリ点" localSheetId="22">市川大智!$C$25</definedName>
    <definedName name="通算門前アガリ点" localSheetId="44">所附快和!$C$25</definedName>
    <definedName name="通算門前アガリ点" localSheetId="13">小林郁斗!$C$25</definedName>
    <definedName name="通算門前アガリ点" localSheetId="4">松澤亮太!$C$25</definedName>
    <definedName name="通算門前アガリ点" localSheetId="43">清水常緑!$C$25</definedName>
    <definedName name="通算門前アガリ点" localSheetId="29">西沢武留!$C$25</definedName>
    <definedName name="通算門前アガリ点" localSheetId="40">石原凛人!$C$25</definedName>
    <definedName name="通算門前アガリ点" localSheetId="19">石澤巧望!$C$25</definedName>
    <definedName name="通算門前アガリ点" localSheetId="20">川上翔大!$C$25</definedName>
    <definedName name="通算門前アガリ点" localSheetId="3">全体!$C$25</definedName>
    <definedName name="通算門前アガリ点" localSheetId="17">多田洋輔!$C$25</definedName>
    <definedName name="通算門前アガリ点" localSheetId="6">大池陸斗!$C$25</definedName>
    <definedName name="通算門前アガリ点" localSheetId="5">滝沢悠人!$C$25</definedName>
    <definedName name="通算門前アガリ点" localSheetId="23">中川弘崇!$C$25</definedName>
    <definedName name="通算門前アガリ点" localSheetId="31">中村花菜!$C$25</definedName>
    <definedName name="通算門前アガリ点" localSheetId="32">中村季暉!$C$25</definedName>
    <definedName name="通算門前アガリ点" localSheetId="45">長野柊馬!$C$25</definedName>
    <definedName name="通算門前アガリ点" localSheetId="38">田名網新!$C$25</definedName>
    <definedName name="通算門前アガリ点" localSheetId="41">渡部陵瑛!$C$25</definedName>
    <definedName name="通算門前アガリ点" localSheetId="42">唐澤聖矢!$C$25</definedName>
    <definedName name="通算門前アガリ点" localSheetId="37">湯本咲蔵!$C$25</definedName>
    <definedName name="通算門前アガリ点" localSheetId="7">百瀬成空!$C$25</definedName>
    <definedName name="通算門前アガリ点" localSheetId="15">福澤大地!$C$25</definedName>
    <definedName name="通算門前アガリ点" localSheetId="10">保谷一貴!$C$25</definedName>
    <definedName name="通算門前アガリ点" localSheetId="21">北沢蓮太郎!$C$25</definedName>
    <definedName name="通算門前アガリ点" localSheetId="14">木角有希!$C$25</definedName>
    <definedName name="通算門前アガリ点" localSheetId="12">矢ヶ崎健!$C$25</definedName>
    <definedName name="通算門前アガリ点" localSheetId="18">柳澤颯吾!$C$25</definedName>
    <definedName name="通算門前アガリ点" localSheetId="30">両角慧太!$C$25</definedName>
    <definedName name="通算門前アガリ点" localSheetId="16">髙橋桜!$C$25</definedName>
    <definedName name="通算門前アガリ点">Template!$C$25</definedName>
    <definedName name="二位数" localSheetId="46">'Template (3)'!$B$8</definedName>
    <definedName name="二位数" localSheetId="24">阿部圭太朗!$B$8</definedName>
    <definedName name="二位数" localSheetId="28">伊藤仁城!$B$8</definedName>
    <definedName name="二位数" localSheetId="9">依田幸憲!$B$8</definedName>
    <definedName name="二位数" localSheetId="34">塩入悠!$B$8</definedName>
    <definedName name="二位数" localSheetId="27">巻島夢樹!$B$8</definedName>
    <definedName name="二位数" localSheetId="26">関谷洸佑!$B$8</definedName>
    <definedName name="二位数" localSheetId="33">吉澤諒!$B$8</definedName>
    <definedName name="二位数" localSheetId="35">宮澤七星!$B$8</definedName>
    <definedName name="二位数" localSheetId="11">高野源太!$B$8</definedName>
    <definedName name="二位数" localSheetId="8">佐藤成浩!$B$8</definedName>
    <definedName name="二位数" localSheetId="36">坂本羽弥斗!$B$8</definedName>
    <definedName name="二位数" localSheetId="25">山崎葵!$B$8</definedName>
    <definedName name="二位数" localSheetId="39">山本悠介!$B$8</definedName>
    <definedName name="二位数" localSheetId="22">市川大智!$B$8</definedName>
    <definedName name="二位数" localSheetId="44">所附快和!$B$8</definedName>
    <definedName name="二位数" localSheetId="13">小林郁斗!$B$8</definedName>
    <definedName name="二位数" localSheetId="4">松澤亮太!$B$8</definedName>
    <definedName name="二位数" localSheetId="43">清水常緑!$B$8</definedName>
    <definedName name="二位数" localSheetId="29">西沢武留!$B$8</definedName>
    <definedName name="二位数" localSheetId="40">石原凛人!$B$8</definedName>
    <definedName name="二位数" localSheetId="19">石澤巧望!$B$8</definedName>
    <definedName name="二位数" localSheetId="20">川上翔大!$B$8</definedName>
    <definedName name="二位数" localSheetId="3">全体!$B$8</definedName>
    <definedName name="二位数" localSheetId="17">多田洋輔!$B$8</definedName>
    <definedName name="二位数" localSheetId="6">大池陸斗!$B$8</definedName>
    <definedName name="二位数" localSheetId="5">滝沢悠人!$B$8</definedName>
    <definedName name="二位数" localSheetId="23">中川弘崇!$B$8</definedName>
    <definedName name="二位数" localSheetId="31">中村花菜!$B$8</definedName>
    <definedName name="二位数" localSheetId="32">中村季暉!$B$8</definedName>
    <definedName name="二位数" localSheetId="45">長野柊馬!$B$8</definedName>
    <definedName name="二位数" localSheetId="38">田名網新!$B$8</definedName>
    <definedName name="二位数" localSheetId="41">渡部陵瑛!$B$8</definedName>
    <definedName name="二位数" localSheetId="42">唐澤聖矢!$B$8</definedName>
    <definedName name="二位数" localSheetId="37">湯本咲蔵!$B$8</definedName>
    <definedName name="二位数" localSheetId="7">百瀬成空!$B$8</definedName>
    <definedName name="二位数" localSheetId="15">福澤大地!$B$8</definedName>
    <definedName name="二位数" localSheetId="10">保谷一貴!$B$8</definedName>
    <definedName name="二位数" localSheetId="21">北沢蓮太郎!$B$8</definedName>
    <definedName name="二位数" localSheetId="14">木角有希!$B$8</definedName>
    <definedName name="二位数" localSheetId="12">矢ヶ崎健!$B$8</definedName>
    <definedName name="二位数" localSheetId="18">柳澤颯吾!$B$8</definedName>
    <definedName name="二位数" localSheetId="30">両角慧太!$B$8</definedName>
    <definedName name="二位数" localSheetId="16">髙橋桜!$B$8</definedName>
    <definedName name="二位数">Template!$B$8</definedName>
    <definedName name="二位率" localSheetId="46">'Template (3)'!$C$8</definedName>
    <definedName name="二位率" localSheetId="24">阿部圭太朗!$C$8</definedName>
    <definedName name="二位率" localSheetId="28">伊藤仁城!$C$8</definedName>
    <definedName name="二位率" localSheetId="9">依田幸憲!$C$8</definedName>
    <definedName name="二位率" localSheetId="34">塩入悠!$C$8</definedName>
    <definedName name="二位率" localSheetId="27">巻島夢樹!$C$8</definedName>
    <definedName name="二位率" localSheetId="26">関谷洸佑!$C$8</definedName>
    <definedName name="二位率" localSheetId="33">吉澤諒!$C$8</definedName>
    <definedName name="二位率" localSheetId="35">宮澤七星!$C$8</definedName>
    <definedName name="二位率" localSheetId="11">高野源太!$C$8</definedName>
    <definedName name="二位率" localSheetId="8">佐藤成浩!$C$8</definedName>
    <definedName name="二位率" localSheetId="36">坂本羽弥斗!$C$8</definedName>
    <definedName name="二位率" localSheetId="25">山崎葵!$C$8</definedName>
    <definedName name="二位率" localSheetId="39">山本悠介!$C$8</definedName>
    <definedName name="二位率" localSheetId="22">市川大智!$C$8</definedName>
    <definedName name="二位率" localSheetId="44">所附快和!$C$8</definedName>
    <definedName name="二位率" localSheetId="13">小林郁斗!$C$8</definedName>
    <definedName name="二位率" localSheetId="4">松澤亮太!$C$8</definedName>
    <definedName name="二位率" localSheetId="43">清水常緑!$C$8</definedName>
    <definedName name="二位率" localSheetId="29">西沢武留!$C$8</definedName>
    <definedName name="二位率" localSheetId="40">石原凛人!$C$8</definedName>
    <definedName name="二位率" localSheetId="19">石澤巧望!$C$8</definedName>
    <definedName name="二位率" localSheetId="20">川上翔大!$C$8</definedName>
    <definedName name="二位率" localSheetId="3">全体!$C$8</definedName>
    <definedName name="二位率" localSheetId="17">多田洋輔!$C$8</definedName>
    <definedName name="二位率" localSheetId="6">大池陸斗!$C$8</definedName>
    <definedName name="二位率" localSheetId="5">滝沢悠人!$C$8</definedName>
    <definedName name="二位率" localSheetId="23">中川弘崇!$C$8</definedName>
    <definedName name="二位率" localSheetId="31">中村花菜!$C$8</definedName>
    <definedName name="二位率" localSheetId="32">中村季暉!$C$8</definedName>
    <definedName name="二位率" localSheetId="45">長野柊馬!$C$8</definedName>
    <definedName name="二位率" localSheetId="38">田名網新!$C$8</definedName>
    <definedName name="二位率" localSheetId="41">渡部陵瑛!$C$8</definedName>
    <definedName name="二位率" localSheetId="42">唐澤聖矢!$C$8</definedName>
    <definedName name="二位率" localSheetId="37">湯本咲蔵!$C$8</definedName>
    <definedName name="二位率" localSheetId="7">百瀬成空!$C$8</definedName>
    <definedName name="二位率" localSheetId="15">福澤大地!$C$8</definedName>
    <definedName name="二位率" localSheetId="10">保谷一貴!$C$8</definedName>
    <definedName name="二位率" localSheetId="21">北沢蓮太郎!$C$8</definedName>
    <definedName name="二位率" localSheetId="14">木角有希!$C$8</definedName>
    <definedName name="二位率" localSheetId="12">矢ヶ崎健!$C$8</definedName>
    <definedName name="二位率" localSheetId="18">柳澤颯吾!$C$8</definedName>
    <definedName name="二位率" localSheetId="30">両角慧太!$C$8</definedName>
    <definedName name="二位率" localSheetId="16">髙橋桜!$C$8</definedName>
    <definedName name="二位率">Template!$C$8</definedName>
    <definedName name="副露アガリ数" localSheetId="46">'Template (3)'!$B$22</definedName>
    <definedName name="副露アガリ数" localSheetId="24">阿部圭太朗!$B$22</definedName>
    <definedName name="副露アガリ数" localSheetId="28">伊藤仁城!$B$22</definedName>
    <definedName name="副露アガリ数" localSheetId="9">依田幸憲!$B$22</definedName>
    <definedName name="副露アガリ数" localSheetId="34">塩入悠!$B$22</definedName>
    <definedName name="副露アガリ数" localSheetId="27">巻島夢樹!$B$22</definedName>
    <definedName name="副露アガリ数" localSheetId="26">関谷洸佑!$B$22</definedName>
    <definedName name="副露アガリ数" localSheetId="33">吉澤諒!$B$22</definedName>
    <definedName name="副露アガリ数" localSheetId="35">宮澤七星!$B$22</definedName>
    <definedName name="副露アガリ数" localSheetId="11">高野源太!$B$22</definedName>
    <definedName name="副露アガリ数" localSheetId="8">佐藤成浩!$B$22</definedName>
    <definedName name="副露アガリ数" localSheetId="36">坂本羽弥斗!$B$22</definedName>
    <definedName name="副露アガリ数" localSheetId="25">山崎葵!$B$22</definedName>
    <definedName name="副露アガリ数" localSheetId="39">山本悠介!$B$22</definedName>
    <definedName name="副露アガリ数" localSheetId="22">市川大智!$B$22</definedName>
    <definedName name="副露アガリ数" localSheetId="44">所附快和!$B$22</definedName>
    <definedName name="副露アガリ数" localSheetId="13">小林郁斗!$B$22</definedName>
    <definedName name="副露アガリ数" localSheetId="4">松澤亮太!$B$22</definedName>
    <definedName name="副露アガリ数" localSheetId="43">清水常緑!$B$22</definedName>
    <definedName name="副露アガリ数" localSheetId="29">西沢武留!$B$22</definedName>
    <definedName name="副露アガリ数" localSheetId="40">石原凛人!$B$22</definedName>
    <definedName name="副露アガリ数" localSheetId="19">石澤巧望!$B$22</definedName>
    <definedName name="副露アガリ数" localSheetId="20">川上翔大!$B$22</definedName>
    <definedName name="副露アガリ数" localSheetId="3">全体!$B$22</definedName>
    <definedName name="副露アガリ数" localSheetId="17">多田洋輔!$B$22</definedName>
    <definedName name="副露アガリ数" localSheetId="6">大池陸斗!$B$22</definedName>
    <definedName name="副露アガリ数" localSheetId="5">滝沢悠人!$B$22</definedName>
    <definedName name="副露アガリ数" localSheetId="23">中川弘崇!$B$22</definedName>
    <definedName name="副露アガリ数" localSheetId="31">中村花菜!$B$22</definedName>
    <definedName name="副露アガリ数" localSheetId="32">中村季暉!$B$22</definedName>
    <definedName name="副露アガリ数" localSheetId="45">長野柊馬!$B$22</definedName>
    <definedName name="副露アガリ数" localSheetId="38">田名網新!$B$22</definedName>
    <definedName name="副露アガリ数" localSheetId="41">渡部陵瑛!$B$22</definedName>
    <definedName name="副露アガリ数" localSheetId="42">唐澤聖矢!$B$22</definedName>
    <definedName name="副露アガリ数" localSheetId="37">湯本咲蔵!$B$22</definedName>
    <definedName name="副露アガリ数" localSheetId="7">百瀬成空!$B$22</definedName>
    <definedName name="副露アガリ数" localSheetId="15">福澤大地!$B$22</definedName>
    <definedName name="副露アガリ数" localSheetId="10">保谷一貴!$B$22</definedName>
    <definedName name="副露アガリ数" localSheetId="21">北沢蓮太郎!$B$22</definedName>
    <definedName name="副露アガリ数" localSheetId="14">木角有希!$B$22</definedName>
    <definedName name="副露アガリ数" localSheetId="12">矢ヶ崎健!$B$22</definedName>
    <definedName name="副露アガリ数" localSheetId="18">柳澤颯吾!$B$22</definedName>
    <definedName name="副露アガリ数" localSheetId="30">両角慧太!$B$22</definedName>
    <definedName name="副露アガリ数" localSheetId="16">髙橋桜!$B$22</definedName>
    <definedName name="副露アガリ数">Template!$B$22</definedName>
    <definedName name="副露アガリ点" localSheetId="46">'Template (3)'!$B$26</definedName>
    <definedName name="副露アガリ点" localSheetId="24">阿部圭太朗!$B$26</definedName>
    <definedName name="副露アガリ点" localSheetId="28">伊藤仁城!$B$26</definedName>
    <definedName name="副露アガリ点" localSheetId="9">依田幸憲!$B$26</definedName>
    <definedName name="副露アガリ点" localSheetId="34">塩入悠!$B$26</definedName>
    <definedName name="副露アガリ点" localSheetId="27">巻島夢樹!$B$26</definedName>
    <definedName name="副露アガリ点" localSheetId="26">関谷洸佑!$B$26</definedName>
    <definedName name="副露アガリ点" localSheetId="33">吉澤諒!$B$26</definedName>
    <definedName name="副露アガリ点" localSheetId="35">宮澤七星!$B$26</definedName>
    <definedName name="副露アガリ点" localSheetId="11">高野源太!$B$26</definedName>
    <definedName name="副露アガリ点" localSheetId="8">佐藤成浩!$B$26</definedName>
    <definedName name="副露アガリ点" localSheetId="36">坂本羽弥斗!$B$26</definedName>
    <definedName name="副露アガリ点" localSheetId="25">山崎葵!$B$26</definedName>
    <definedName name="副露アガリ点" localSheetId="39">山本悠介!$B$26</definedName>
    <definedName name="副露アガリ点" localSheetId="22">市川大智!$B$26</definedName>
    <definedName name="副露アガリ点" localSheetId="44">所附快和!$B$26</definedName>
    <definedName name="副露アガリ点" localSheetId="13">小林郁斗!$B$26</definedName>
    <definedName name="副露アガリ点" localSheetId="4">松澤亮太!$B$26</definedName>
    <definedName name="副露アガリ点" localSheetId="43">清水常緑!$B$26</definedName>
    <definedName name="副露アガリ点" localSheetId="29">西沢武留!$B$26</definedName>
    <definedName name="副露アガリ点" localSheetId="40">石原凛人!$B$26</definedName>
    <definedName name="副露アガリ点" localSheetId="19">石澤巧望!$B$26</definedName>
    <definedName name="副露アガリ点" localSheetId="20">川上翔大!$B$26</definedName>
    <definedName name="副露アガリ点" localSheetId="3">全体!$B$26</definedName>
    <definedName name="副露アガリ点" localSheetId="17">多田洋輔!$B$26</definedName>
    <definedName name="副露アガリ点" localSheetId="6">大池陸斗!$B$26</definedName>
    <definedName name="副露アガリ点" localSheetId="5">滝沢悠人!$B$26</definedName>
    <definedName name="副露アガリ点" localSheetId="23">中川弘崇!$B$26</definedName>
    <definedName name="副露アガリ点" localSheetId="31">中村花菜!$B$26</definedName>
    <definedName name="副露アガリ点" localSheetId="32">中村季暉!$B$26</definedName>
    <definedName name="副露アガリ点" localSheetId="45">長野柊馬!$B$26</definedName>
    <definedName name="副露アガリ点" localSheetId="38">田名網新!$B$26</definedName>
    <definedName name="副露アガリ点" localSheetId="41">渡部陵瑛!$B$26</definedName>
    <definedName name="副露アガリ点" localSheetId="42">唐澤聖矢!$B$26</definedName>
    <definedName name="副露アガリ点" localSheetId="37">湯本咲蔵!$B$26</definedName>
    <definedName name="副露アガリ点" localSheetId="7">百瀬成空!$B$26</definedName>
    <definedName name="副露アガリ点" localSheetId="15">福澤大地!$B$26</definedName>
    <definedName name="副露アガリ点" localSheetId="10">保谷一貴!$B$26</definedName>
    <definedName name="副露アガリ点" localSheetId="21">北沢蓮太郎!$B$26</definedName>
    <definedName name="副露アガリ点" localSheetId="14">木角有希!$B$26</definedName>
    <definedName name="副露アガリ点" localSheetId="12">矢ヶ崎健!$B$26</definedName>
    <definedName name="副露アガリ点" localSheetId="18">柳澤颯吾!$B$26</definedName>
    <definedName name="副露アガリ点" localSheetId="30">両角慧太!$B$26</definedName>
    <definedName name="副露アガリ点" localSheetId="16">髙橋桜!$B$26</definedName>
    <definedName name="副露アガリ点">Template!$B$26</definedName>
    <definedName name="副露アガリ率" localSheetId="46">'Template (3)'!$C$22</definedName>
    <definedName name="副露アガリ率" localSheetId="24">阿部圭太朗!$C$22</definedName>
    <definedName name="副露アガリ率" localSheetId="28">伊藤仁城!$C$22</definedName>
    <definedName name="副露アガリ率" localSheetId="9">依田幸憲!$C$22</definedName>
    <definedName name="副露アガリ率" localSheetId="34">塩入悠!$C$22</definedName>
    <definedName name="副露アガリ率" localSheetId="27">巻島夢樹!$C$22</definedName>
    <definedName name="副露アガリ率" localSheetId="26">関谷洸佑!$C$22</definedName>
    <definedName name="副露アガリ率" localSheetId="33">吉澤諒!$C$22</definedName>
    <definedName name="副露アガリ率" localSheetId="35">宮澤七星!$C$22</definedName>
    <definedName name="副露アガリ率" localSheetId="11">高野源太!$C$22</definedName>
    <definedName name="副露アガリ率" localSheetId="8">佐藤成浩!$C$22</definedName>
    <definedName name="副露アガリ率" localSheetId="36">坂本羽弥斗!$C$22</definedName>
    <definedName name="副露アガリ率" localSheetId="25">山崎葵!$C$22</definedName>
    <definedName name="副露アガリ率" localSheetId="39">山本悠介!$C$22</definedName>
    <definedName name="副露アガリ率" localSheetId="22">市川大智!$C$22</definedName>
    <definedName name="副露アガリ率" localSheetId="44">所附快和!$C$22</definedName>
    <definedName name="副露アガリ率" localSheetId="13">小林郁斗!$C$22</definedName>
    <definedName name="副露アガリ率" localSheetId="4">松澤亮太!$C$22</definedName>
    <definedName name="副露アガリ率" localSheetId="43">清水常緑!$C$22</definedName>
    <definedName name="副露アガリ率" localSheetId="29">西沢武留!$C$22</definedName>
    <definedName name="副露アガリ率" localSheetId="40">石原凛人!$C$22</definedName>
    <definedName name="副露アガリ率" localSheetId="19">石澤巧望!$C$22</definedName>
    <definedName name="副露アガリ率" localSheetId="20">川上翔大!$C$22</definedName>
    <definedName name="副露アガリ率" localSheetId="3">全体!$C$22</definedName>
    <definedName name="副露アガリ率" localSheetId="17">多田洋輔!$C$22</definedName>
    <definedName name="副露アガリ率" localSheetId="6">大池陸斗!$C$22</definedName>
    <definedName name="副露アガリ率" localSheetId="5">滝沢悠人!$C$22</definedName>
    <definedName name="副露アガリ率" localSheetId="23">中川弘崇!$C$22</definedName>
    <definedName name="副露アガリ率" localSheetId="31">中村花菜!$C$22</definedName>
    <definedName name="副露アガリ率" localSheetId="32">中村季暉!$C$22</definedName>
    <definedName name="副露アガリ率" localSheetId="45">長野柊馬!$C$22</definedName>
    <definedName name="副露アガリ率" localSheetId="38">田名網新!$C$22</definedName>
    <definedName name="副露アガリ率" localSheetId="41">渡部陵瑛!$C$22</definedName>
    <definedName name="副露アガリ率" localSheetId="42">唐澤聖矢!$C$22</definedName>
    <definedName name="副露アガリ率" localSheetId="37">湯本咲蔵!$C$22</definedName>
    <definedName name="副露アガリ率" localSheetId="7">百瀬成空!$C$22</definedName>
    <definedName name="副露アガリ率" localSheetId="15">福澤大地!$C$22</definedName>
    <definedName name="副露アガリ率" localSheetId="10">保谷一貴!$C$22</definedName>
    <definedName name="副露アガリ率" localSheetId="21">北沢蓮太郎!$C$22</definedName>
    <definedName name="副露アガリ率" localSheetId="14">木角有希!$C$22</definedName>
    <definedName name="副露アガリ率" localSheetId="12">矢ヶ崎健!$C$22</definedName>
    <definedName name="副露アガリ率" localSheetId="18">柳澤颯吾!$C$22</definedName>
    <definedName name="副露アガリ率" localSheetId="30">両角慧太!$C$22</definedName>
    <definedName name="副露アガリ率" localSheetId="16">髙橋桜!$C$22</definedName>
    <definedName name="副露アガリ率">Template!$C$22</definedName>
    <definedName name="副露数" localSheetId="46">'Template (3)'!$B$14</definedName>
    <definedName name="副露数" localSheetId="24">阿部圭太朗!$B$14</definedName>
    <definedName name="副露数" localSheetId="28">伊藤仁城!$B$14</definedName>
    <definedName name="副露数" localSheetId="9">依田幸憲!$B$14</definedName>
    <definedName name="副露数" localSheetId="34">塩入悠!$B$14</definedName>
    <definedName name="副露数" localSheetId="27">巻島夢樹!$B$14</definedName>
    <definedName name="副露数" localSheetId="26">関谷洸佑!$B$14</definedName>
    <definedName name="副露数" localSheetId="33">吉澤諒!$B$14</definedName>
    <definedName name="副露数" localSheetId="35">宮澤七星!$B$14</definedName>
    <definedName name="副露数" localSheetId="11">高野源太!$B$14</definedName>
    <definedName name="副露数" localSheetId="8">佐藤成浩!$B$14</definedName>
    <definedName name="副露数" localSheetId="36">坂本羽弥斗!$B$14</definedName>
    <definedName name="副露数" localSheetId="25">山崎葵!$B$14</definedName>
    <definedName name="副露数" localSheetId="39">山本悠介!$B$14</definedName>
    <definedName name="副露数" localSheetId="22">市川大智!$B$14</definedName>
    <definedName name="副露数" localSheetId="44">所附快和!$B$14</definedName>
    <definedName name="副露数" localSheetId="13">小林郁斗!$B$14</definedName>
    <definedName name="副露数" localSheetId="4">松澤亮太!$B$14</definedName>
    <definedName name="副露数" localSheetId="43">清水常緑!$B$14</definedName>
    <definedName name="副露数" localSheetId="29">西沢武留!$B$14</definedName>
    <definedName name="副露数" localSheetId="40">石原凛人!$B$14</definedName>
    <definedName name="副露数" localSheetId="19">石澤巧望!$B$14</definedName>
    <definedName name="副露数" localSheetId="20">川上翔大!$B$14</definedName>
    <definedName name="副露数" localSheetId="3">全体!$B$14</definedName>
    <definedName name="副露数" localSheetId="17">多田洋輔!$B$14</definedName>
    <definedName name="副露数" localSheetId="6">大池陸斗!$B$14</definedName>
    <definedName name="副露数" localSheetId="5">滝沢悠人!$B$14</definedName>
    <definedName name="副露数" localSheetId="23">中川弘崇!$B$14</definedName>
    <definedName name="副露数" localSheetId="31">中村花菜!$B$14</definedName>
    <definedName name="副露数" localSheetId="32">中村季暉!$B$14</definedName>
    <definedName name="副露数" localSheetId="45">長野柊馬!$B$14</definedName>
    <definedName name="副露数" localSheetId="38">田名網新!$B$14</definedName>
    <definedName name="副露数" localSheetId="41">渡部陵瑛!$B$14</definedName>
    <definedName name="副露数" localSheetId="42">唐澤聖矢!$B$14</definedName>
    <definedName name="副露数" localSheetId="37">湯本咲蔵!$B$14</definedName>
    <definedName name="副露数" localSheetId="7">百瀬成空!$B$14</definedName>
    <definedName name="副露数" localSheetId="15">福澤大地!$B$14</definedName>
    <definedName name="副露数" localSheetId="10">保谷一貴!$B$14</definedName>
    <definedName name="副露数" localSheetId="21">北沢蓮太郎!$B$14</definedName>
    <definedName name="副露数" localSheetId="14">木角有希!$B$14</definedName>
    <definedName name="副露数" localSheetId="12">矢ヶ崎健!$B$14</definedName>
    <definedName name="副露数" localSheetId="18">柳澤颯吾!$B$14</definedName>
    <definedName name="副露数" localSheetId="30">両角慧太!$B$14</definedName>
    <definedName name="副露数" localSheetId="16">髙橋桜!$B$14</definedName>
    <definedName name="副露数">Template!$B$14</definedName>
    <definedName name="副露成功数" localSheetId="46">'Template (3)'!$B$16</definedName>
    <definedName name="副露成功数" localSheetId="24">阿部圭太朗!$B$16</definedName>
    <definedName name="副露成功数" localSheetId="28">伊藤仁城!$B$16</definedName>
    <definedName name="副露成功数" localSheetId="9">依田幸憲!$B$16</definedName>
    <definedName name="副露成功数" localSheetId="34">塩入悠!$B$16</definedName>
    <definedName name="副露成功数" localSheetId="27">巻島夢樹!$B$16</definedName>
    <definedName name="副露成功数" localSheetId="26">関谷洸佑!$B$16</definedName>
    <definedName name="副露成功数" localSheetId="33">吉澤諒!$B$16</definedName>
    <definedName name="副露成功数" localSheetId="35">宮澤七星!$B$16</definedName>
    <definedName name="副露成功数" localSheetId="11">高野源太!$B$16</definedName>
    <definedName name="副露成功数" localSheetId="8">佐藤成浩!$B$16</definedName>
    <definedName name="副露成功数" localSheetId="36">坂本羽弥斗!$B$16</definedName>
    <definedName name="副露成功数" localSheetId="25">山崎葵!$B$16</definedName>
    <definedName name="副露成功数" localSheetId="39">山本悠介!$B$16</definedName>
    <definedName name="副露成功数" localSheetId="22">市川大智!$B$16</definedName>
    <definedName name="副露成功数" localSheetId="44">所附快和!$B$16</definedName>
    <definedName name="副露成功数" localSheetId="13">小林郁斗!$B$16</definedName>
    <definedName name="副露成功数" localSheetId="4">松澤亮太!$B$16</definedName>
    <definedName name="副露成功数" localSheetId="43">清水常緑!$B$16</definedName>
    <definedName name="副露成功数" localSheetId="29">西沢武留!$B$16</definedName>
    <definedName name="副露成功数" localSheetId="40">石原凛人!$B$16</definedName>
    <definedName name="副露成功数" localSheetId="19">石澤巧望!$B$16</definedName>
    <definedName name="副露成功数" localSheetId="20">川上翔大!$B$16</definedName>
    <definedName name="副露成功数" localSheetId="3">全体!$B$16</definedName>
    <definedName name="副露成功数" localSheetId="17">多田洋輔!$B$16</definedName>
    <definedName name="副露成功数" localSheetId="6">大池陸斗!$B$16</definedName>
    <definedName name="副露成功数" localSheetId="5">滝沢悠人!$B$16</definedName>
    <definedName name="副露成功数" localSheetId="23">中川弘崇!$B$16</definedName>
    <definedName name="副露成功数" localSheetId="31">中村花菜!$B$16</definedName>
    <definedName name="副露成功数" localSheetId="32">中村季暉!$B$16</definedName>
    <definedName name="副露成功数" localSheetId="45">長野柊馬!$B$16</definedName>
    <definedName name="副露成功数" localSheetId="38">田名網新!$B$16</definedName>
    <definedName name="副露成功数" localSheetId="41">渡部陵瑛!$B$16</definedName>
    <definedName name="副露成功数" localSheetId="42">唐澤聖矢!$B$16</definedName>
    <definedName name="副露成功数" localSheetId="37">湯本咲蔵!$B$16</definedName>
    <definedName name="副露成功数" localSheetId="7">百瀬成空!$B$16</definedName>
    <definedName name="副露成功数" localSheetId="15">福澤大地!$B$16</definedName>
    <definedName name="副露成功数" localSheetId="10">保谷一貴!$B$16</definedName>
    <definedName name="副露成功数" localSheetId="21">北沢蓮太郎!$B$16</definedName>
    <definedName name="副露成功数" localSheetId="14">木角有希!$B$16</definedName>
    <definedName name="副露成功数" localSheetId="12">矢ヶ崎健!$B$16</definedName>
    <definedName name="副露成功数" localSheetId="18">柳澤颯吾!$B$16</definedName>
    <definedName name="副露成功数" localSheetId="30">両角慧太!$B$16</definedName>
    <definedName name="副露成功数" localSheetId="16">髙橋桜!$B$16</definedName>
    <definedName name="副露成功数">Template!$B$16</definedName>
    <definedName name="副露成功率" localSheetId="46">'Template (3)'!$C$16</definedName>
    <definedName name="副露成功率" localSheetId="24">阿部圭太朗!$C$16</definedName>
    <definedName name="副露成功率" localSheetId="28">伊藤仁城!$C$16</definedName>
    <definedName name="副露成功率" localSheetId="9">依田幸憲!$C$16</definedName>
    <definedName name="副露成功率" localSheetId="34">塩入悠!$C$16</definedName>
    <definedName name="副露成功率" localSheetId="27">巻島夢樹!$C$16</definedName>
    <definedName name="副露成功率" localSheetId="26">関谷洸佑!$C$16</definedName>
    <definedName name="副露成功率" localSheetId="33">吉澤諒!$C$16</definedName>
    <definedName name="副露成功率" localSheetId="35">宮澤七星!$C$16</definedName>
    <definedName name="副露成功率" localSheetId="11">高野源太!$C$16</definedName>
    <definedName name="副露成功率" localSheetId="8">佐藤成浩!$C$16</definedName>
    <definedName name="副露成功率" localSheetId="36">坂本羽弥斗!$C$16</definedName>
    <definedName name="副露成功率" localSheetId="25">山崎葵!$C$16</definedName>
    <definedName name="副露成功率" localSheetId="39">山本悠介!$C$16</definedName>
    <definedName name="副露成功率" localSheetId="22">市川大智!$C$16</definedName>
    <definedName name="副露成功率" localSheetId="44">所附快和!$C$16</definedName>
    <definedName name="副露成功率" localSheetId="13">小林郁斗!$C$16</definedName>
    <definedName name="副露成功率" localSheetId="4">松澤亮太!$C$16</definedName>
    <definedName name="副露成功率" localSheetId="43">清水常緑!$C$16</definedName>
    <definedName name="副露成功率" localSheetId="29">西沢武留!$C$16</definedName>
    <definedName name="副露成功率" localSheetId="40">石原凛人!$C$16</definedName>
    <definedName name="副露成功率" localSheetId="19">石澤巧望!$C$16</definedName>
    <definedName name="副露成功率" localSheetId="20">川上翔大!$C$16</definedName>
    <definedName name="副露成功率" localSheetId="3">全体!$C$16</definedName>
    <definedName name="副露成功率" localSheetId="17">多田洋輔!$C$16</definedName>
    <definedName name="副露成功率" localSheetId="6">大池陸斗!$C$16</definedName>
    <definedName name="副露成功率" localSheetId="5">滝沢悠人!$C$16</definedName>
    <definedName name="副露成功率" localSheetId="23">中川弘崇!$C$16</definedName>
    <definedName name="副露成功率" localSheetId="31">中村花菜!$C$16</definedName>
    <definedName name="副露成功率" localSheetId="32">中村季暉!$C$16</definedName>
    <definedName name="副露成功率" localSheetId="45">長野柊馬!$C$16</definedName>
    <definedName name="副露成功率" localSheetId="38">田名網新!$C$16</definedName>
    <definedName name="副露成功率" localSheetId="41">渡部陵瑛!$C$16</definedName>
    <definedName name="副露成功率" localSheetId="42">唐澤聖矢!$C$16</definedName>
    <definedName name="副露成功率" localSheetId="37">湯本咲蔵!$C$16</definedName>
    <definedName name="副露成功率" localSheetId="7">百瀬成空!$C$16</definedName>
    <definedName name="副露成功率" localSheetId="15">福澤大地!$C$16</definedName>
    <definedName name="副露成功率" localSheetId="10">保谷一貴!$C$16</definedName>
    <definedName name="副露成功率" localSheetId="21">北沢蓮太郎!$C$16</definedName>
    <definedName name="副露成功率" localSheetId="14">木角有希!$C$16</definedName>
    <definedName name="副露成功率" localSheetId="12">矢ヶ崎健!$C$16</definedName>
    <definedName name="副露成功率" localSheetId="18">柳澤颯吾!$C$16</definedName>
    <definedName name="副露成功率" localSheetId="30">両角慧太!$C$16</definedName>
    <definedName name="副露成功率" localSheetId="16">髙橋桜!$C$16</definedName>
    <definedName name="副露成功率">Template!$C$16</definedName>
    <definedName name="副露率" localSheetId="46">'Template (3)'!$C$14</definedName>
    <definedName name="副露率" localSheetId="24">阿部圭太朗!$C$14</definedName>
    <definedName name="副露率" localSheetId="28">伊藤仁城!$C$14</definedName>
    <definedName name="副露率" localSheetId="9">依田幸憲!$C$14</definedName>
    <definedName name="副露率" localSheetId="34">塩入悠!$C$14</definedName>
    <definedName name="副露率" localSheetId="27">巻島夢樹!$C$14</definedName>
    <definedName name="副露率" localSheetId="26">関谷洸佑!$C$14</definedName>
    <definedName name="副露率" localSheetId="33">吉澤諒!$C$14</definedName>
    <definedName name="副露率" localSheetId="35">宮澤七星!$C$14</definedName>
    <definedName name="副露率" localSheetId="11">高野源太!$C$14</definedName>
    <definedName name="副露率" localSheetId="8">佐藤成浩!$C$14</definedName>
    <definedName name="副露率" localSheetId="36">坂本羽弥斗!$C$14</definedName>
    <definedName name="副露率" localSheetId="25">山崎葵!$C$14</definedName>
    <definedName name="副露率" localSheetId="39">山本悠介!$C$14</definedName>
    <definedName name="副露率" localSheetId="22">市川大智!$C$14</definedName>
    <definedName name="副露率" localSheetId="44">所附快和!$C$14</definedName>
    <definedName name="副露率" localSheetId="13">小林郁斗!$C$14</definedName>
    <definedName name="副露率" localSheetId="4">松澤亮太!$C$14</definedName>
    <definedName name="副露率" localSheetId="43">清水常緑!$C$14</definedName>
    <definedName name="副露率" localSheetId="29">西沢武留!$C$14</definedName>
    <definedName name="副露率" localSheetId="40">石原凛人!$C$14</definedName>
    <definedName name="副露率" localSheetId="19">石澤巧望!$C$14</definedName>
    <definedName name="副露率" localSheetId="20">川上翔大!$C$14</definedName>
    <definedName name="副露率" localSheetId="3">全体!$C$14</definedName>
    <definedName name="副露率" localSheetId="17">多田洋輔!$C$14</definedName>
    <definedName name="副露率" localSheetId="6">大池陸斗!$C$14</definedName>
    <definedName name="副露率" localSheetId="5">滝沢悠人!$C$14</definedName>
    <definedName name="副露率" localSheetId="23">中川弘崇!$C$14</definedName>
    <definedName name="副露率" localSheetId="31">中村花菜!$C$14</definedName>
    <definedName name="副露率" localSheetId="32">中村季暉!$C$14</definedName>
    <definedName name="副露率" localSheetId="45">長野柊馬!$C$14</definedName>
    <definedName name="副露率" localSheetId="38">田名網新!$C$14</definedName>
    <definedName name="副露率" localSheetId="41">渡部陵瑛!$C$14</definedName>
    <definedName name="副露率" localSheetId="42">唐澤聖矢!$C$14</definedName>
    <definedName name="副露率" localSheetId="37">湯本咲蔵!$C$14</definedName>
    <definedName name="副露率" localSheetId="7">百瀬成空!$C$14</definedName>
    <definedName name="副露率" localSheetId="15">福澤大地!$C$14</definedName>
    <definedName name="副露率" localSheetId="10">保谷一貴!$C$14</definedName>
    <definedName name="副露率" localSheetId="21">北沢蓮太郎!$C$14</definedName>
    <definedName name="副露率" localSheetId="14">木角有希!$C$14</definedName>
    <definedName name="副露率" localSheetId="12">矢ヶ崎健!$C$14</definedName>
    <definedName name="副露率" localSheetId="18">柳澤颯吾!$C$14</definedName>
    <definedName name="副露率" localSheetId="30">両角慧太!$C$14</definedName>
    <definedName name="副露率" localSheetId="16">髙橋桜!$C$14</definedName>
    <definedName name="副露率">Template!$C$14</definedName>
    <definedName name="平均アガリ点" localSheetId="46">'Template (3)'!$B$24</definedName>
    <definedName name="平均アガリ点" localSheetId="24">阿部圭太朗!$B$24</definedName>
    <definedName name="平均アガリ点" localSheetId="28">伊藤仁城!$B$24</definedName>
    <definedName name="平均アガリ点" localSheetId="9">依田幸憲!$B$24</definedName>
    <definedName name="平均アガリ点" localSheetId="34">塩入悠!$B$24</definedName>
    <definedName name="平均アガリ点" localSheetId="27">巻島夢樹!$B$24</definedName>
    <definedName name="平均アガリ点" localSheetId="26">関谷洸佑!$B$24</definedName>
    <definedName name="平均アガリ点" localSheetId="33">吉澤諒!$B$24</definedName>
    <definedName name="平均アガリ点" localSheetId="35">宮澤七星!$B$24</definedName>
    <definedName name="平均アガリ点" localSheetId="11">高野源太!$B$24</definedName>
    <definedName name="平均アガリ点" localSheetId="8">佐藤成浩!$B$24</definedName>
    <definedName name="平均アガリ点" localSheetId="36">坂本羽弥斗!$B$24</definedName>
    <definedName name="平均アガリ点" localSheetId="25">山崎葵!$B$24</definedName>
    <definedName name="平均アガリ点" localSheetId="39">山本悠介!$B$24</definedName>
    <definedName name="平均アガリ点" localSheetId="22">市川大智!$B$24</definedName>
    <definedName name="平均アガリ点" localSheetId="44">所附快和!$B$24</definedName>
    <definedName name="平均アガリ点" localSheetId="13">小林郁斗!$B$24</definedName>
    <definedName name="平均アガリ点" localSheetId="4">松澤亮太!$B$24</definedName>
    <definedName name="平均アガリ点" localSheetId="43">清水常緑!$B$24</definedName>
    <definedName name="平均アガリ点" localSheetId="29">西沢武留!$B$24</definedName>
    <definedName name="平均アガリ点" localSheetId="40">石原凛人!$B$24</definedName>
    <definedName name="平均アガリ点" localSheetId="19">石澤巧望!$B$24</definedName>
    <definedName name="平均アガリ点" localSheetId="20">川上翔大!$B$24</definedName>
    <definedName name="平均アガリ点" localSheetId="3">全体!$B$24</definedName>
    <definedName name="平均アガリ点" localSheetId="17">多田洋輔!$B$24</definedName>
    <definedName name="平均アガリ点" localSheetId="6">大池陸斗!$B$24</definedName>
    <definedName name="平均アガリ点" localSheetId="5">滝沢悠人!$B$24</definedName>
    <definedName name="平均アガリ点" localSheetId="23">中川弘崇!$B$24</definedName>
    <definedName name="平均アガリ点" localSheetId="31">中村花菜!$B$24</definedName>
    <definedName name="平均アガリ点" localSheetId="32">中村季暉!$B$24</definedName>
    <definedName name="平均アガリ点" localSheetId="45">長野柊馬!$B$24</definedName>
    <definedName name="平均アガリ点" localSheetId="38">田名網新!$B$24</definedName>
    <definedName name="平均アガリ点" localSheetId="41">渡部陵瑛!$B$24</definedName>
    <definedName name="平均アガリ点" localSheetId="42">唐澤聖矢!$B$24</definedName>
    <definedName name="平均アガリ点" localSheetId="37">湯本咲蔵!$B$24</definedName>
    <definedName name="平均アガリ点" localSheetId="7">百瀬成空!$B$24</definedName>
    <definedName name="平均アガリ点" localSheetId="15">福澤大地!$B$24</definedName>
    <definedName name="平均アガリ点" localSheetId="10">保谷一貴!$B$24</definedName>
    <definedName name="平均アガリ点" localSheetId="21">北沢蓮太郎!$B$24</definedName>
    <definedName name="平均アガリ点" localSheetId="14">木角有希!$B$24</definedName>
    <definedName name="平均アガリ点" localSheetId="12">矢ヶ崎健!$B$24</definedName>
    <definedName name="平均アガリ点" localSheetId="18">柳澤颯吾!$B$24</definedName>
    <definedName name="平均アガリ点" localSheetId="30">両角慧太!$B$24</definedName>
    <definedName name="平均アガリ点" localSheetId="16">髙橋桜!$B$24</definedName>
    <definedName name="平均アガリ点">Template!$B$24</definedName>
    <definedName name="平均スコア" localSheetId="46">'Template (3)'!$B$5</definedName>
    <definedName name="平均スコア" localSheetId="24">阿部圭太朗!$B$5</definedName>
    <definedName name="平均スコア" localSheetId="28">伊藤仁城!$B$5</definedName>
    <definedName name="平均スコア" localSheetId="9">依田幸憲!$B$5</definedName>
    <definedName name="平均スコア" localSheetId="34">塩入悠!$B$5</definedName>
    <definedName name="平均スコア" localSheetId="27">巻島夢樹!$B$5</definedName>
    <definedName name="平均スコア" localSheetId="26">関谷洸佑!$B$5</definedName>
    <definedName name="平均スコア" localSheetId="33">吉澤諒!$B$5</definedName>
    <definedName name="平均スコア" localSheetId="35">宮澤七星!$B$5</definedName>
    <definedName name="平均スコア" localSheetId="11">高野源太!$B$5</definedName>
    <definedName name="平均スコア" localSheetId="8">佐藤成浩!$B$5</definedName>
    <definedName name="平均スコア" localSheetId="36">坂本羽弥斗!$B$5</definedName>
    <definedName name="平均スコア" localSheetId="25">山崎葵!$B$5</definedName>
    <definedName name="平均スコア" localSheetId="39">山本悠介!$B$5</definedName>
    <definedName name="平均スコア" localSheetId="22">市川大智!$B$5</definedName>
    <definedName name="平均スコア" localSheetId="44">所附快和!$B$5</definedName>
    <definedName name="平均スコア" localSheetId="13">小林郁斗!$B$5</definedName>
    <definedName name="平均スコア" localSheetId="4">松澤亮太!$B$5</definedName>
    <definedName name="平均スコア" localSheetId="43">清水常緑!$B$5</definedName>
    <definedName name="平均スコア" localSheetId="29">西沢武留!$B$5</definedName>
    <definedName name="平均スコア" localSheetId="40">石原凛人!$B$5</definedName>
    <definedName name="平均スコア" localSheetId="19">石澤巧望!$B$5</definedName>
    <definedName name="平均スコア" localSheetId="20">川上翔大!$B$5</definedName>
    <definedName name="平均スコア" localSheetId="3">全体!$B$5</definedName>
    <definedName name="平均スコア" localSheetId="17">多田洋輔!$B$5</definedName>
    <definedName name="平均スコア" localSheetId="6">大池陸斗!$B$5</definedName>
    <definedName name="平均スコア" localSheetId="5">滝沢悠人!$B$5</definedName>
    <definedName name="平均スコア" localSheetId="23">中川弘崇!$B$5</definedName>
    <definedName name="平均スコア" localSheetId="31">中村花菜!$B$5</definedName>
    <definedName name="平均スコア" localSheetId="32">中村季暉!$B$5</definedName>
    <definedName name="平均スコア" localSheetId="45">長野柊馬!$B$5</definedName>
    <definedName name="平均スコア" localSheetId="38">田名網新!$B$5</definedName>
    <definedName name="平均スコア" localSheetId="41">渡部陵瑛!$B$5</definedName>
    <definedName name="平均スコア" localSheetId="42">唐澤聖矢!$B$5</definedName>
    <definedName name="平均スコア" localSheetId="37">湯本咲蔵!$B$5</definedName>
    <definedName name="平均スコア" localSheetId="7">百瀬成空!$B$5</definedName>
    <definedName name="平均スコア" localSheetId="15">福澤大地!$B$5</definedName>
    <definedName name="平均スコア" localSheetId="10">保谷一貴!$B$5</definedName>
    <definedName name="平均スコア" localSheetId="21">北沢蓮太郎!$B$5</definedName>
    <definedName name="平均スコア" localSheetId="14">木角有希!$B$5</definedName>
    <definedName name="平均スコア" localSheetId="12">矢ヶ崎健!$B$5</definedName>
    <definedName name="平均スコア" localSheetId="18">柳澤颯吾!$B$5</definedName>
    <definedName name="平均スコア" localSheetId="30">両角慧太!$B$5</definedName>
    <definedName name="平均スコア" localSheetId="16">髙橋桜!$B$5</definedName>
    <definedName name="平均スコア">Template!$B$5</definedName>
    <definedName name="平均順位" localSheetId="46">'Template (3)'!$B$6</definedName>
    <definedName name="平均順位" localSheetId="24">阿部圭太朗!$B$6</definedName>
    <definedName name="平均順位" localSheetId="28">伊藤仁城!$B$6</definedName>
    <definedName name="平均順位" localSheetId="9">依田幸憲!$B$6</definedName>
    <definedName name="平均順位" localSheetId="34">塩入悠!$B$6</definedName>
    <definedName name="平均順位" localSheetId="27">巻島夢樹!$B$6</definedName>
    <definedName name="平均順位" localSheetId="26">関谷洸佑!$B$6</definedName>
    <definedName name="平均順位" localSheetId="33">吉澤諒!$B$6</definedName>
    <definedName name="平均順位" localSheetId="35">宮澤七星!$B$6</definedName>
    <definedName name="平均順位" localSheetId="11">高野源太!$B$6</definedName>
    <definedName name="平均順位" localSheetId="8">佐藤成浩!$B$6</definedName>
    <definedName name="平均順位" localSheetId="36">坂本羽弥斗!$B$6</definedName>
    <definedName name="平均順位" localSheetId="25">山崎葵!$B$6</definedName>
    <definedName name="平均順位" localSheetId="39">山本悠介!$B$6</definedName>
    <definedName name="平均順位" localSheetId="22">市川大智!$B$6</definedName>
    <definedName name="平均順位" localSheetId="44">所附快和!$B$6</definedName>
    <definedName name="平均順位" localSheetId="13">小林郁斗!$B$6</definedName>
    <definedName name="平均順位" localSheetId="4">松澤亮太!$B$6</definedName>
    <definedName name="平均順位" localSheetId="43">清水常緑!$B$6</definedName>
    <definedName name="平均順位" localSheetId="29">西沢武留!$B$6</definedName>
    <definedName name="平均順位" localSheetId="40">石原凛人!$B$6</definedName>
    <definedName name="平均順位" localSheetId="19">石澤巧望!$B$6</definedName>
    <definedName name="平均順位" localSheetId="20">川上翔大!$B$6</definedName>
    <definedName name="平均順位" localSheetId="3">全体!$B$6</definedName>
    <definedName name="平均順位" localSheetId="17">多田洋輔!$B$6</definedName>
    <definedName name="平均順位" localSheetId="6">大池陸斗!$B$6</definedName>
    <definedName name="平均順位" localSheetId="5">滝沢悠人!$B$6</definedName>
    <definedName name="平均順位" localSheetId="23">中川弘崇!$B$6</definedName>
    <definedName name="平均順位" localSheetId="31">中村花菜!$B$6</definedName>
    <definedName name="平均順位" localSheetId="32">中村季暉!$B$6</definedName>
    <definedName name="平均順位" localSheetId="45">長野柊馬!$B$6</definedName>
    <definedName name="平均順位" localSheetId="38">田名網新!$B$6</definedName>
    <definedName name="平均順位" localSheetId="41">渡部陵瑛!$B$6</definedName>
    <definedName name="平均順位" localSheetId="42">唐澤聖矢!$B$6</definedName>
    <definedName name="平均順位" localSheetId="37">湯本咲蔵!$B$6</definedName>
    <definedName name="平均順位" localSheetId="7">百瀬成空!$B$6</definedName>
    <definedName name="平均順位" localSheetId="15">福澤大地!$B$6</definedName>
    <definedName name="平均順位" localSheetId="10">保谷一貴!$B$6</definedName>
    <definedName name="平均順位" localSheetId="21">北沢蓮太郎!$B$6</definedName>
    <definedName name="平均順位" localSheetId="14">木角有希!$B$6</definedName>
    <definedName name="平均順位" localSheetId="12">矢ヶ崎健!$B$6</definedName>
    <definedName name="平均順位" localSheetId="18">柳澤颯吾!$B$6</definedName>
    <definedName name="平均順位" localSheetId="30">両角慧太!$B$6</definedName>
    <definedName name="平均順位" localSheetId="16">髙橋桜!$B$6</definedName>
    <definedName name="平均順位">Template!$B$6</definedName>
    <definedName name="平均放銃点" localSheetId="46">'Template (3)'!$B$27</definedName>
    <definedName name="平均放銃点" localSheetId="24">阿部圭太朗!$B$27</definedName>
    <definedName name="平均放銃点" localSheetId="28">伊藤仁城!$B$27</definedName>
    <definedName name="平均放銃点" localSheetId="9">依田幸憲!$B$27</definedName>
    <definedName name="平均放銃点" localSheetId="34">塩入悠!$B$27</definedName>
    <definedName name="平均放銃点" localSheetId="27">巻島夢樹!$B$27</definedName>
    <definedName name="平均放銃点" localSheetId="26">関谷洸佑!$B$27</definedName>
    <definedName name="平均放銃点" localSheetId="33">吉澤諒!$B$27</definedName>
    <definedName name="平均放銃点" localSheetId="35">宮澤七星!$B$27</definedName>
    <definedName name="平均放銃点" localSheetId="11">高野源太!$B$27</definedName>
    <definedName name="平均放銃点" localSheetId="8">佐藤成浩!$B$27</definedName>
    <definedName name="平均放銃点" localSheetId="36">坂本羽弥斗!$B$27</definedName>
    <definedName name="平均放銃点" localSheetId="25">山崎葵!$B$27</definedName>
    <definedName name="平均放銃点" localSheetId="39">山本悠介!$B$27</definedName>
    <definedName name="平均放銃点" localSheetId="22">市川大智!$B$27</definedName>
    <definedName name="平均放銃点" localSheetId="44">所附快和!$B$27</definedName>
    <definedName name="平均放銃点" localSheetId="13">小林郁斗!$B$27</definedName>
    <definedName name="平均放銃点" localSheetId="4">松澤亮太!$B$27</definedName>
    <definedName name="平均放銃点" localSheetId="43">清水常緑!$B$27</definedName>
    <definedName name="平均放銃点" localSheetId="29">西沢武留!$B$27</definedName>
    <definedName name="平均放銃点" localSheetId="40">石原凛人!$B$27</definedName>
    <definedName name="平均放銃点" localSheetId="19">石澤巧望!$B$27</definedName>
    <definedName name="平均放銃点" localSheetId="20">川上翔大!$B$27</definedName>
    <definedName name="平均放銃点" localSheetId="3">全体!$B$27</definedName>
    <definedName name="平均放銃点" localSheetId="17">多田洋輔!$B$27</definedName>
    <definedName name="平均放銃点" localSheetId="6">大池陸斗!$B$27</definedName>
    <definedName name="平均放銃点" localSheetId="5">滝沢悠人!$B$27</definedName>
    <definedName name="平均放銃点" localSheetId="23">中川弘崇!$B$27</definedName>
    <definedName name="平均放銃点" localSheetId="31">中村花菜!$B$27</definedName>
    <definedName name="平均放銃点" localSheetId="32">中村季暉!$B$27</definedName>
    <definedName name="平均放銃点" localSheetId="45">長野柊馬!$B$27</definedName>
    <definedName name="平均放銃点" localSheetId="38">田名網新!$B$27</definedName>
    <definedName name="平均放銃点" localSheetId="41">渡部陵瑛!$B$27</definedName>
    <definedName name="平均放銃点" localSheetId="42">唐澤聖矢!$B$27</definedName>
    <definedName name="平均放銃点" localSheetId="37">湯本咲蔵!$B$27</definedName>
    <definedName name="平均放銃点" localSheetId="7">百瀬成空!$B$27</definedName>
    <definedName name="平均放銃点" localSheetId="15">福澤大地!$B$27</definedName>
    <definedName name="平均放銃点" localSheetId="10">保谷一貴!$B$27</definedName>
    <definedName name="平均放銃点" localSheetId="21">北沢蓮太郎!$B$27</definedName>
    <definedName name="平均放銃点" localSheetId="14">木角有希!$B$27</definedName>
    <definedName name="平均放銃点" localSheetId="12">矢ヶ崎健!$B$27</definedName>
    <definedName name="平均放銃点" localSheetId="18">柳澤颯吾!$B$27</definedName>
    <definedName name="平均放銃点" localSheetId="30">両角慧太!$B$27</definedName>
    <definedName name="平均放銃点" localSheetId="16">髙橋桜!$B$27</definedName>
    <definedName name="平均放銃点">Template!$B$27</definedName>
    <definedName name="放銃数" localSheetId="46">'Template (3)'!$B$18</definedName>
    <definedName name="放銃数" localSheetId="24">阿部圭太朗!$B$18</definedName>
    <definedName name="放銃数" localSheetId="28">伊藤仁城!$B$18</definedName>
    <definedName name="放銃数" localSheetId="9">依田幸憲!$B$18</definedName>
    <definedName name="放銃数" localSheetId="34">塩入悠!$B$18</definedName>
    <definedName name="放銃数" localSheetId="27">巻島夢樹!$B$18</definedName>
    <definedName name="放銃数" localSheetId="26">関谷洸佑!$B$18</definedName>
    <definedName name="放銃数" localSheetId="33">吉澤諒!$B$18</definedName>
    <definedName name="放銃数" localSheetId="35">宮澤七星!$B$18</definedName>
    <definedName name="放銃数" localSheetId="11">高野源太!$B$18</definedName>
    <definedName name="放銃数" localSheetId="8">佐藤成浩!$B$18</definedName>
    <definedName name="放銃数" localSheetId="36">坂本羽弥斗!$B$18</definedName>
    <definedName name="放銃数" localSheetId="25">山崎葵!$B$18</definedName>
    <definedName name="放銃数" localSheetId="39">山本悠介!$B$18</definedName>
    <definedName name="放銃数" localSheetId="22">市川大智!$B$18</definedName>
    <definedName name="放銃数" localSheetId="44">所附快和!$B$18</definedName>
    <definedName name="放銃数" localSheetId="13">小林郁斗!$B$18</definedName>
    <definedName name="放銃数" localSheetId="4">松澤亮太!$B$18</definedName>
    <definedName name="放銃数" localSheetId="43">清水常緑!$B$18</definedName>
    <definedName name="放銃数" localSheetId="29">西沢武留!$B$18</definedName>
    <definedName name="放銃数" localSheetId="40">石原凛人!$B$18</definedName>
    <definedName name="放銃数" localSheetId="19">石澤巧望!$B$18</definedName>
    <definedName name="放銃数" localSheetId="20">川上翔大!$B$18</definedName>
    <definedName name="放銃数" localSheetId="3">全体!$B$18</definedName>
    <definedName name="放銃数" localSheetId="17">多田洋輔!$B$18</definedName>
    <definedName name="放銃数" localSheetId="6">大池陸斗!$B$18</definedName>
    <definedName name="放銃数" localSheetId="5">滝沢悠人!$B$18</definedName>
    <definedName name="放銃数" localSheetId="23">中川弘崇!$B$18</definedName>
    <definedName name="放銃数" localSheetId="31">中村花菜!$B$18</definedName>
    <definedName name="放銃数" localSheetId="32">中村季暉!$B$18</definedName>
    <definedName name="放銃数" localSheetId="45">長野柊馬!$B$18</definedName>
    <definedName name="放銃数" localSheetId="38">田名網新!$B$18</definedName>
    <definedName name="放銃数" localSheetId="41">渡部陵瑛!$B$18</definedName>
    <definedName name="放銃数" localSheetId="42">唐澤聖矢!$B$18</definedName>
    <definedName name="放銃数" localSheetId="37">湯本咲蔵!$B$18</definedName>
    <definedName name="放銃数" localSheetId="7">百瀬成空!$B$18</definedName>
    <definedName name="放銃数" localSheetId="15">福澤大地!$B$18</definedName>
    <definedName name="放銃数" localSheetId="10">保谷一貴!$B$18</definedName>
    <definedName name="放銃数" localSheetId="21">北沢蓮太郎!$B$18</definedName>
    <definedName name="放銃数" localSheetId="14">木角有希!$B$18</definedName>
    <definedName name="放銃数" localSheetId="12">矢ヶ崎健!$B$18</definedName>
    <definedName name="放銃数" localSheetId="18">柳澤颯吾!$B$18</definedName>
    <definedName name="放銃数" localSheetId="30">両角慧太!$B$18</definedName>
    <definedName name="放銃数" localSheetId="16">髙橋桜!$B$18</definedName>
    <definedName name="放銃数">Template!$B$18</definedName>
    <definedName name="放銃率" localSheetId="46">'Template (3)'!$C$18</definedName>
    <definedName name="放銃率" localSheetId="24">阿部圭太朗!$C$18</definedName>
    <definedName name="放銃率" localSheetId="28">伊藤仁城!$C$18</definedName>
    <definedName name="放銃率" localSheetId="9">依田幸憲!$C$18</definedName>
    <definedName name="放銃率" localSheetId="34">塩入悠!$C$18</definedName>
    <definedName name="放銃率" localSheetId="27">巻島夢樹!$C$18</definedName>
    <definedName name="放銃率" localSheetId="26">関谷洸佑!$C$18</definedName>
    <definedName name="放銃率" localSheetId="33">吉澤諒!$C$18</definedName>
    <definedName name="放銃率" localSheetId="35">宮澤七星!$C$18</definedName>
    <definedName name="放銃率" localSheetId="11">高野源太!$C$18</definedName>
    <definedName name="放銃率" localSheetId="8">佐藤成浩!$C$18</definedName>
    <definedName name="放銃率" localSheetId="36">坂本羽弥斗!$C$18</definedName>
    <definedName name="放銃率" localSheetId="25">山崎葵!$C$18</definedName>
    <definedName name="放銃率" localSheetId="39">山本悠介!$C$18</definedName>
    <definedName name="放銃率" localSheetId="22">市川大智!$C$18</definedName>
    <definedName name="放銃率" localSheetId="44">所附快和!$C$18</definedName>
    <definedName name="放銃率" localSheetId="13">小林郁斗!$C$18</definedName>
    <definedName name="放銃率" localSheetId="4">松澤亮太!$C$18</definedName>
    <definedName name="放銃率" localSheetId="43">清水常緑!$C$18</definedName>
    <definedName name="放銃率" localSheetId="29">西沢武留!$C$18</definedName>
    <definedName name="放銃率" localSheetId="40">石原凛人!$C$18</definedName>
    <definedName name="放銃率" localSheetId="19">石澤巧望!$C$18</definedName>
    <definedName name="放銃率" localSheetId="20">川上翔大!$C$18</definedName>
    <definedName name="放銃率" localSheetId="3">全体!$C$18</definedName>
    <definedName name="放銃率" localSheetId="17">多田洋輔!$C$18</definedName>
    <definedName name="放銃率" localSheetId="6">大池陸斗!$C$18</definedName>
    <definedName name="放銃率" localSheetId="5">滝沢悠人!$C$18</definedName>
    <definedName name="放銃率" localSheetId="23">中川弘崇!$C$18</definedName>
    <definedName name="放銃率" localSheetId="31">中村花菜!$C$18</definedName>
    <definedName name="放銃率" localSheetId="32">中村季暉!$C$18</definedName>
    <definedName name="放銃率" localSheetId="45">長野柊馬!$C$18</definedName>
    <definedName name="放銃率" localSheetId="38">田名網新!$C$18</definedName>
    <definedName name="放銃率" localSheetId="41">渡部陵瑛!$C$18</definedName>
    <definedName name="放銃率" localSheetId="42">唐澤聖矢!$C$18</definedName>
    <definedName name="放銃率" localSheetId="37">湯本咲蔵!$C$18</definedName>
    <definedName name="放銃率" localSheetId="7">百瀬成空!$C$18</definedName>
    <definedName name="放銃率" localSheetId="15">福澤大地!$C$18</definedName>
    <definedName name="放銃率" localSheetId="10">保谷一貴!$C$18</definedName>
    <definedName name="放銃率" localSheetId="21">北沢蓮太郎!$C$18</definedName>
    <definedName name="放銃率" localSheetId="14">木角有希!$C$18</definedName>
    <definedName name="放銃率" localSheetId="12">矢ヶ崎健!$C$18</definedName>
    <definedName name="放銃率" localSheetId="18">柳澤颯吾!$C$18</definedName>
    <definedName name="放銃率" localSheetId="30">両角慧太!$C$18</definedName>
    <definedName name="放銃率" localSheetId="16">髙橋桜!$C$18</definedName>
    <definedName name="放銃率">Template!$C$18</definedName>
    <definedName name="名前" localSheetId="46">'Template (3)'!$B$1</definedName>
    <definedName name="名前" localSheetId="24">阿部圭太朗!$B$1</definedName>
    <definedName name="名前" localSheetId="28">伊藤仁城!$B$1</definedName>
    <definedName name="名前" localSheetId="9">依田幸憲!$B$1</definedName>
    <definedName name="名前" localSheetId="34">塩入悠!$B$1</definedName>
    <definedName name="名前" localSheetId="27">巻島夢樹!$B$1</definedName>
    <definedName name="名前" localSheetId="26">関谷洸佑!$B$1</definedName>
    <definedName name="名前" localSheetId="33">吉澤諒!$B$1</definedName>
    <definedName name="名前" localSheetId="35">宮澤七星!$B$1</definedName>
    <definedName name="名前" localSheetId="11">高野源太!$B$1</definedName>
    <definedName name="名前" localSheetId="8">佐藤成浩!$B$1</definedName>
    <definedName name="名前" localSheetId="36">坂本羽弥斗!$B$1</definedName>
    <definedName name="名前" localSheetId="25">山崎葵!$B$1</definedName>
    <definedName name="名前" localSheetId="39">山本悠介!$B$1</definedName>
    <definedName name="名前" localSheetId="22">市川大智!$B$1</definedName>
    <definedName name="名前" localSheetId="44">所附快和!$B$1</definedName>
    <definedName name="名前" localSheetId="13">小林郁斗!$B$1</definedName>
    <definedName name="名前" localSheetId="4">松澤亮太!$B$1</definedName>
    <definedName name="名前" localSheetId="43">清水常緑!$B$1</definedName>
    <definedName name="名前" localSheetId="29">西沢武留!$B$1</definedName>
    <definedName name="名前" localSheetId="40">石原凛人!$B$1</definedName>
    <definedName name="名前" localSheetId="19">石澤巧望!$B$1</definedName>
    <definedName name="名前" localSheetId="20">川上翔大!$B$1</definedName>
    <definedName name="名前" localSheetId="3">全体!$B$1</definedName>
    <definedName name="名前" localSheetId="17">多田洋輔!$B$1</definedName>
    <definedName name="名前" localSheetId="6">大池陸斗!$B$1</definedName>
    <definedName name="名前" localSheetId="5">滝沢悠人!$B$1</definedName>
    <definedName name="名前" localSheetId="23">中川弘崇!$B$1</definedName>
    <definedName name="名前" localSheetId="31">中村花菜!$B$1</definedName>
    <definedName name="名前" localSheetId="32">中村季暉!$B$1</definedName>
    <definedName name="名前" localSheetId="45">長野柊馬!$B$1</definedName>
    <definedName name="名前" localSheetId="38">田名網新!$B$1</definedName>
    <definedName name="名前" localSheetId="41">渡部陵瑛!$B$1</definedName>
    <definedName name="名前" localSheetId="42">唐澤聖矢!$B$1</definedName>
    <definedName name="名前" localSheetId="37">湯本咲蔵!$B$1</definedName>
    <definedName name="名前" localSheetId="7">百瀬成空!$B$1</definedName>
    <definedName name="名前" localSheetId="15">福澤大地!$B$1</definedName>
    <definedName name="名前" localSheetId="10">保谷一貴!$B$1</definedName>
    <definedName name="名前" localSheetId="21">北沢蓮太郎!$B$1</definedName>
    <definedName name="名前" localSheetId="14">木角有希!$B$1</definedName>
    <definedName name="名前" localSheetId="12">矢ヶ崎健!$B$1</definedName>
    <definedName name="名前" localSheetId="18">柳澤颯吾!$B$1</definedName>
    <definedName name="名前" localSheetId="30">両角慧太!$B$1</definedName>
    <definedName name="名前" localSheetId="16">髙橋桜!$B$1</definedName>
    <definedName name="名前">Template!$B$1</definedName>
    <definedName name="門前アガリ点" localSheetId="46">'Template (3)'!$B$25</definedName>
    <definedName name="門前アガリ点" localSheetId="24">阿部圭太朗!$B$25</definedName>
    <definedName name="門前アガリ点" localSheetId="28">伊藤仁城!$B$25</definedName>
    <definedName name="門前アガリ点" localSheetId="9">依田幸憲!$B$25</definedName>
    <definedName name="門前アガリ点" localSheetId="34">塩入悠!$B$25</definedName>
    <definedName name="門前アガリ点" localSheetId="27">巻島夢樹!$B$25</definedName>
    <definedName name="門前アガリ点" localSheetId="26">関谷洸佑!$B$25</definedName>
    <definedName name="門前アガリ点" localSheetId="33">吉澤諒!$B$25</definedName>
    <definedName name="門前アガリ点" localSheetId="35">宮澤七星!$B$25</definedName>
    <definedName name="門前アガリ点" localSheetId="11">高野源太!$B$25</definedName>
    <definedName name="門前アガリ点" localSheetId="8">佐藤成浩!$B$25</definedName>
    <definedName name="門前アガリ点" localSheetId="36">坂本羽弥斗!$B$25</definedName>
    <definedName name="門前アガリ点" localSheetId="25">山崎葵!$B$25</definedName>
    <definedName name="門前アガリ点" localSheetId="39">山本悠介!$B$25</definedName>
    <definedName name="門前アガリ点" localSheetId="22">市川大智!$B$25</definedName>
    <definedName name="門前アガリ点" localSheetId="44">所附快和!$B$25</definedName>
    <definedName name="門前アガリ点" localSheetId="13">小林郁斗!$B$25</definedName>
    <definedName name="門前アガリ点" localSheetId="4">松澤亮太!$B$25</definedName>
    <definedName name="門前アガリ点" localSheetId="43">清水常緑!$B$25</definedName>
    <definedName name="門前アガリ点" localSheetId="29">西沢武留!$B$25</definedName>
    <definedName name="門前アガリ点" localSheetId="40">石原凛人!$B$25</definedName>
    <definedName name="門前アガリ点" localSheetId="19">石澤巧望!$B$25</definedName>
    <definedName name="門前アガリ点" localSheetId="20">川上翔大!$B$25</definedName>
    <definedName name="門前アガリ点" localSheetId="3">全体!$B$25</definedName>
    <definedName name="門前アガリ点" localSheetId="17">多田洋輔!$B$25</definedName>
    <definedName name="門前アガリ点" localSheetId="6">大池陸斗!$B$25</definedName>
    <definedName name="門前アガリ点" localSheetId="5">滝沢悠人!$B$25</definedName>
    <definedName name="門前アガリ点" localSheetId="23">中川弘崇!$B$25</definedName>
    <definedName name="門前アガリ点" localSheetId="31">中村花菜!$B$25</definedName>
    <definedName name="門前アガリ点" localSheetId="32">中村季暉!$B$25</definedName>
    <definedName name="門前アガリ点" localSheetId="45">長野柊馬!$B$25</definedName>
    <definedName name="門前アガリ点" localSheetId="38">田名網新!$B$25</definedName>
    <definedName name="門前アガリ点" localSheetId="41">渡部陵瑛!$B$25</definedName>
    <definedName name="門前アガリ点" localSheetId="42">唐澤聖矢!$B$25</definedName>
    <definedName name="門前アガリ点" localSheetId="37">湯本咲蔵!$B$25</definedName>
    <definedName name="門前アガリ点" localSheetId="7">百瀬成空!$B$25</definedName>
    <definedName name="門前アガリ点" localSheetId="15">福澤大地!$B$25</definedName>
    <definedName name="門前アガリ点" localSheetId="10">保谷一貴!$B$25</definedName>
    <definedName name="門前アガリ点" localSheetId="21">北沢蓮太郎!$B$25</definedName>
    <definedName name="門前アガリ点" localSheetId="14">木角有希!$B$25</definedName>
    <definedName name="門前アガリ点" localSheetId="12">矢ヶ崎健!$B$25</definedName>
    <definedName name="門前アガリ点" localSheetId="18">柳澤颯吾!$B$25</definedName>
    <definedName name="門前アガリ点" localSheetId="30">両角慧太!$B$25</definedName>
    <definedName name="門前アガリ点" localSheetId="16">髙橋桜!$B$25</definedName>
    <definedName name="門前アガリ点">Template!$B$25</definedName>
    <definedName name="連続アガリ" localSheetId="46">'Template (3)'!$B$28</definedName>
    <definedName name="連続アガリ" localSheetId="24">阿部圭太朗!$B$28</definedName>
    <definedName name="連続アガリ" localSheetId="28">伊藤仁城!$B$28</definedName>
    <definedName name="連続アガリ" localSheetId="9">依田幸憲!$B$28</definedName>
    <definedName name="連続アガリ" localSheetId="34">塩入悠!$B$28</definedName>
    <definedName name="連続アガリ" localSheetId="27">巻島夢樹!$B$28</definedName>
    <definedName name="連続アガリ" localSheetId="26">関谷洸佑!$B$28</definedName>
    <definedName name="連続アガリ" localSheetId="33">吉澤諒!$B$28</definedName>
    <definedName name="連続アガリ" localSheetId="35">宮澤七星!$B$28</definedName>
    <definedName name="連続アガリ" localSheetId="11">高野源太!$B$28</definedName>
    <definedName name="連続アガリ" localSheetId="8">佐藤成浩!$B$28</definedName>
    <definedName name="連続アガリ" localSheetId="36">坂本羽弥斗!$B$28</definedName>
    <definedName name="連続アガリ" localSheetId="25">山崎葵!$B$28</definedName>
    <definedName name="連続アガリ" localSheetId="39">山本悠介!$B$28</definedName>
    <definedName name="連続アガリ" localSheetId="22">市川大智!$B$28</definedName>
    <definedName name="連続アガリ" localSheetId="44">所附快和!$B$28</definedName>
    <definedName name="連続アガリ" localSheetId="13">小林郁斗!$B$28</definedName>
    <definedName name="連続アガリ" localSheetId="4">松澤亮太!$B$28</definedName>
    <definedName name="連続アガリ" localSheetId="43">清水常緑!$B$28</definedName>
    <definedName name="連続アガリ" localSheetId="29">西沢武留!$B$28</definedName>
    <definedName name="連続アガリ" localSheetId="40">石原凛人!$B$28</definedName>
    <definedName name="連続アガリ" localSheetId="19">石澤巧望!$B$28</definedName>
    <definedName name="連続アガリ" localSheetId="20">川上翔大!$B$28</definedName>
    <definedName name="連続アガリ" localSheetId="3">全体!$B$28</definedName>
    <definedName name="連続アガリ" localSheetId="17">多田洋輔!$B$28</definedName>
    <definedName name="連続アガリ" localSheetId="6">大池陸斗!$B$28</definedName>
    <definedName name="連続アガリ" localSheetId="5">滝沢悠人!$B$28</definedName>
    <definedName name="連続アガリ" localSheetId="23">中川弘崇!$B$28</definedName>
    <definedName name="連続アガリ" localSheetId="31">中村花菜!$B$28</definedName>
    <definedName name="連続アガリ" localSheetId="32">中村季暉!$B$28</definedName>
    <definedName name="連続アガリ" localSheetId="45">長野柊馬!$B$28</definedName>
    <definedName name="連続アガリ" localSheetId="38">田名網新!$B$28</definedName>
    <definedName name="連続アガリ" localSheetId="41">渡部陵瑛!$B$28</definedName>
    <definedName name="連続アガリ" localSheetId="42">唐澤聖矢!$B$28</definedName>
    <definedName name="連続アガリ" localSheetId="37">湯本咲蔵!$B$28</definedName>
    <definedName name="連続アガリ" localSheetId="7">百瀬成空!$B$28</definedName>
    <definedName name="連続アガリ" localSheetId="15">福澤大地!$B$28</definedName>
    <definedName name="連続アガリ" localSheetId="10">保谷一貴!$B$28</definedName>
    <definedName name="連続アガリ" localSheetId="21">北沢蓮太郎!$B$28</definedName>
    <definedName name="連続アガリ" localSheetId="14">木角有希!$B$28</definedName>
    <definedName name="連続アガリ" localSheetId="12">矢ヶ崎健!$B$28</definedName>
    <definedName name="連続アガリ" localSheetId="18">柳澤颯吾!$B$28</definedName>
    <definedName name="連続アガリ" localSheetId="30">両角慧太!$B$28</definedName>
    <definedName name="連続アガリ" localSheetId="16">髙橋桜!$B$28</definedName>
    <definedName name="連続アガリ">Template!$B$28</definedName>
    <definedName name="連続無放銃" localSheetId="46">'Template (3)'!$B$29</definedName>
    <definedName name="連続無放銃" localSheetId="24">阿部圭太朗!$B$29</definedName>
    <definedName name="連続無放銃" localSheetId="28">伊藤仁城!$B$29</definedName>
    <definedName name="連続無放銃" localSheetId="9">依田幸憲!$B$29</definedName>
    <definedName name="連続無放銃" localSheetId="34">塩入悠!$B$29</definedName>
    <definedName name="連続無放銃" localSheetId="27">巻島夢樹!$B$29</definedName>
    <definedName name="連続無放銃" localSheetId="26">関谷洸佑!$B$29</definedName>
    <definedName name="連続無放銃" localSheetId="33">吉澤諒!$B$29</definedName>
    <definedName name="連続無放銃" localSheetId="35">宮澤七星!$B$29</definedName>
    <definedName name="連続無放銃" localSheetId="11">高野源太!$B$29</definedName>
    <definedName name="連続無放銃" localSheetId="8">佐藤成浩!$B$29</definedName>
    <definedName name="連続無放銃" localSheetId="36">坂本羽弥斗!$B$29</definedName>
    <definedName name="連続無放銃" localSheetId="25">山崎葵!$B$29</definedName>
    <definedName name="連続無放銃" localSheetId="39">山本悠介!$B$29</definedName>
    <definedName name="連続無放銃" localSheetId="22">市川大智!$B$29</definedName>
    <definedName name="連続無放銃" localSheetId="44">所附快和!$B$29</definedName>
    <definedName name="連続無放銃" localSheetId="13">小林郁斗!$B$29</definedName>
    <definedName name="連続無放銃" localSheetId="4">松澤亮太!$B$29</definedName>
    <definedName name="連続無放銃" localSheetId="43">清水常緑!$B$29</definedName>
    <definedName name="連続無放銃" localSheetId="29">西沢武留!$B$29</definedName>
    <definedName name="連続無放銃" localSheetId="40">石原凛人!$B$29</definedName>
    <definedName name="連続無放銃" localSheetId="19">石澤巧望!$B$29</definedName>
    <definedName name="連続無放銃" localSheetId="20">川上翔大!$B$29</definedName>
    <definedName name="連続無放銃" localSheetId="3">全体!$B$29</definedName>
    <definedName name="連続無放銃" localSheetId="17">多田洋輔!$B$29</definedName>
    <definedName name="連続無放銃" localSheetId="6">大池陸斗!$B$29</definedName>
    <definedName name="連続無放銃" localSheetId="5">滝沢悠人!$B$29</definedName>
    <definedName name="連続無放銃" localSheetId="23">中川弘崇!$B$29</definedName>
    <definedName name="連続無放銃" localSheetId="31">中村花菜!$B$29</definedName>
    <definedName name="連続無放銃" localSheetId="32">中村季暉!$B$29</definedName>
    <definedName name="連続無放銃" localSheetId="45">長野柊馬!$B$29</definedName>
    <definedName name="連続無放銃" localSheetId="38">田名網新!$B$29</definedName>
    <definedName name="連続無放銃" localSheetId="41">渡部陵瑛!$B$29</definedName>
    <definedName name="連続無放銃" localSheetId="42">唐澤聖矢!$B$29</definedName>
    <definedName name="連続無放銃" localSheetId="37">湯本咲蔵!$B$29</definedName>
    <definedName name="連続無放銃" localSheetId="7">百瀬成空!$B$29</definedName>
    <definedName name="連続無放銃" localSheetId="15">福澤大地!$B$29</definedName>
    <definedName name="連続無放銃" localSheetId="10">保谷一貴!$B$29</definedName>
    <definedName name="連続無放銃" localSheetId="21">北沢蓮太郎!$B$29</definedName>
    <definedName name="連続無放銃" localSheetId="14">木角有希!$B$29</definedName>
    <definedName name="連続無放銃" localSheetId="12">矢ヶ崎健!$B$29</definedName>
    <definedName name="連続無放銃" localSheetId="18">柳澤颯吾!$B$29</definedName>
    <definedName name="連続無放銃" localSheetId="30">両角慧太!$B$29</definedName>
    <definedName name="連続無放銃" localSheetId="16">髙橋桜!$B$29</definedName>
    <definedName name="連続無放銃">Template!$B$29</definedName>
    <definedName name="連対数" localSheetId="46">'Template (3)'!$B$11</definedName>
    <definedName name="連対数" localSheetId="24">阿部圭太朗!$B$11</definedName>
    <definedName name="連対数" localSheetId="28">伊藤仁城!$B$11</definedName>
    <definedName name="連対数" localSheetId="9">依田幸憲!$B$11</definedName>
    <definedName name="連対数" localSheetId="34">塩入悠!$B$11</definedName>
    <definedName name="連対数" localSheetId="27">巻島夢樹!$B$11</definedName>
    <definedName name="連対数" localSheetId="26">関谷洸佑!$B$11</definedName>
    <definedName name="連対数" localSheetId="33">吉澤諒!$B$11</definedName>
    <definedName name="連対数" localSheetId="35">宮澤七星!$B$11</definedName>
    <definedName name="連対数" localSheetId="11">高野源太!$B$11</definedName>
    <definedName name="連対数" localSheetId="8">佐藤成浩!$B$11</definedName>
    <definedName name="連対数" localSheetId="36">坂本羽弥斗!$B$11</definedName>
    <definedName name="連対数" localSheetId="25">山崎葵!$B$11</definedName>
    <definedName name="連対数" localSheetId="39">山本悠介!$B$11</definedName>
    <definedName name="連対数" localSheetId="22">市川大智!$B$11</definedName>
    <definedName name="連対数" localSheetId="44">所附快和!$B$11</definedName>
    <definedName name="連対数" localSheetId="13">小林郁斗!$B$11</definedName>
    <definedName name="連対数" localSheetId="4">松澤亮太!$B$11</definedName>
    <definedName name="連対数" localSheetId="43">清水常緑!$B$11</definedName>
    <definedName name="連対数" localSheetId="29">西沢武留!$B$11</definedName>
    <definedName name="連対数" localSheetId="40">石原凛人!$B$11</definedName>
    <definedName name="連対数" localSheetId="19">石澤巧望!$B$11</definedName>
    <definedName name="連対数" localSheetId="20">川上翔大!$B$11</definedName>
    <definedName name="連対数" localSheetId="3">全体!$B$11</definedName>
    <definedName name="連対数" localSheetId="17">多田洋輔!$B$11</definedName>
    <definedName name="連対数" localSheetId="6">大池陸斗!$B$11</definedName>
    <definedName name="連対数" localSheetId="5">滝沢悠人!$B$11</definedName>
    <definedName name="連対数" localSheetId="23">中川弘崇!$B$11</definedName>
    <definedName name="連対数" localSheetId="31">中村花菜!$B$11</definedName>
    <definedName name="連対数" localSheetId="32">中村季暉!$B$11</definedName>
    <definedName name="連対数" localSheetId="45">長野柊馬!$B$11</definedName>
    <definedName name="連対数" localSheetId="38">田名網新!$B$11</definedName>
    <definedName name="連対数" localSheetId="41">渡部陵瑛!$B$11</definedName>
    <definedName name="連対数" localSheetId="42">唐澤聖矢!$B$11</definedName>
    <definedName name="連対数" localSheetId="37">湯本咲蔵!$B$11</definedName>
    <definedName name="連対数" localSheetId="7">百瀬成空!$B$11</definedName>
    <definedName name="連対数" localSheetId="15">福澤大地!$B$11</definedName>
    <definedName name="連対数" localSheetId="10">保谷一貴!$B$11</definedName>
    <definedName name="連対数" localSheetId="21">北沢蓮太郎!$B$11</definedName>
    <definedName name="連対数" localSheetId="14">木角有希!$B$11</definedName>
    <definedName name="連対数" localSheetId="12">矢ヶ崎健!$B$11</definedName>
    <definedName name="連対数" localSheetId="18">柳澤颯吾!$B$11</definedName>
    <definedName name="連対数" localSheetId="30">両角慧太!$B$11</definedName>
    <definedName name="連対数" localSheetId="16">髙橋桜!$B$11</definedName>
    <definedName name="連対数">Template!$B$11</definedName>
    <definedName name="連対率" localSheetId="46">'Template (3)'!$C$11</definedName>
    <definedName name="連対率" localSheetId="24">阿部圭太朗!$C$11</definedName>
    <definedName name="連対率" localSheetId="28">伊藤仁城!$C$11</definedName>
    <definedName name="連対率" localSheetId="9">依田幸憲!$C$11</definedName>
    <definedName name="連対率" localSheetId="34">塩入悠!$C$11</definedName>
    <definedName name="連対率" localSheetId="27">巻島夢樹!$C$11</definedName>
    <definedName name="連対率" localSheetId="26">関谷洸佑!$C$11</definedName>
    <definedName name="連対率" localSheetId="33">吉澤諒!$C$11</definedName>
    <definedName name="連対率" localSheetId="35">宮澤七星!$C$11</definedName>
    <definedName name="連対率" localSheetId="11">高野源太!$C$11</definedName>
    <definedName name="連対率" localSheetId="8">佐藤成浩!$C$11</definedName>
    <definedName name="連対率" localSheetId="36">坂本羽弥斗!$C$11</definedName>
    <definedName name="連対率" localSheetId="25">山崎葵!$C$11</definedName>
    <definedName name="連対率" localSheetId="39">山本悠介!$C$11</definedName>
    <definedName name="連対率" localSheetId="22">市川大智!$C$11</definedName>
    <definedName name="連対率" localSheetId="44">所附快和!$C$11</definedName>
    <definedName name="連対率" localSheetId="13">小林郁斗!$C$11</definedName>
    <definedName name="連対率" localSheetId="4">松澤亮太!$C$11</definedName>
    <definedName name="連対率" localSheetId="43">清水常緑!$C$11</definedName>
    <definedName name="連対率" localSheetId="29">西沢武留!$C$11</definedName>
    <definedName name="連対率" localSheetId="40">石原凛人!$C$11</definedName>
    <definedName name="連対率" localSheetId="19">石澤巧望!$C$11</definedName>
    <definedName name="連対率" localSheetId="20">川上翔大!$C$11</definedName>
    <definedName name="連対率" localSheetId="3">全体!$C$11</definedName>
    <definedName name="連対率" localSheetId="17">多田洋輔!$C$11</definedName>
    <definedName name="連対率" localSheetId="6">大池陸斗!$C$11</definedName>
    <definedName name="連対率" localSheetId="5">滝沢悠人!$C$11</definedName>
    <definedName name="連対率" localSheetId="23">中川弘崇!$C$11</definedName>
    <definedName name="連対率" localSheetId="31">中村花菜!$C$11</definedName>
    <definedName name="連対率" localSheetId="32">中村季暉!$C$11</definedName>
    <definedName name="連対率" localSheetId="45">長野柊馬!$C$11</definedName>
    <definedName name="連対率" localSheetId="38">田名網新!$C$11</definedName>
    <definedName name="連対率" localSheetId="41">渡部陵瑛!$C$11</definedName>
    <definedName name="連対率" localSheetId="42">唐澤聖矢!$C$11</definedName>
    <definedName name="連対率" localSheetId="37">湯本咲蔵!$C$11</definedName>
    <definedName name="連対率" localSheetId="7">百瀬成空!$C$11</definedName>
    <definedName name="連対率" localSheetId="15">福澤大地!$C$11</definedName>
    <definedName name="連対率" localSheetId="10">保谷一貴!$C$11</definedName>
    <definedName name="連対率" localSheetId="21">北沢蓮太郎!$C$11</definedName>
    <definedName name="連対率" localSheetId="14">木角有希!$C$11</definedName>
    <definedName name="連対率" localSheetId="12">矢ヶ崎健!$C$11</definedName>
    <definedName name="連対率" localSheetId="18">柳澤颯吾!$C$11</definedName>
    <definedName name="連対率" localSheetId="30">両角慧太!$C$11</definedName>
    <definedName name="連対率" localSheetId="16">髙橋桜!$C$11</definedName>
    <definedName name="連対率">Template!$C$11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O29" i="6311" l="1"/>
  <c r="O32" i="6307"/>
  <c r="O18" i="6304"/>
  <c r="O19" i="6304"/>
  <c r="O32" i="6309"/>
  <c r="O32" i="6304"/>
  <c r="O20" i="6302"/>
  <c r="O18" i="6301"/>
  <c r="O25" i="6311" l="1"/>
  <c r="O27" i="6313"/>
  <c r="O21" i="6305"/>
  <c r="O27" i="6305"/>
  <c r="O19" i="6311" l="1"/>
  <c r="O23" i="6311"/>
  <c r="O43" i="6277"/>
  <c r="O21" i="6309"/>
  <c r="O28" i="6287"/>
  <c r="O21" i="6311"/>
  <c r="O24" i="6307" l="1"/>
  <c r="O29" i="6307"/>
  <c r="O44" i="6287"/>
  <c r="O27" i="6287"/>
  <c r="O38" i="6287"/>
  <c r="O24" i="6315"/>
  <c r="O22" i="6315"/>
  <c r="O21" i="6314"/>
  <c r="O31" i="6277"/>
  <c r="O46" i="6277"/>
  <c r="O38" i="6277"/>
  <c r="O27" i="6315"/>
  <c r="O20" i="6313"/>
  <c r="O25" i="6309"/>
  <c r="O18" i="6315" l="1"/>
  <c r="O20" i="6315"/>
  <c r="O30" i="6305"/>
  <c r="O27" i="6306"/>
  <c r="O19" i="6302" l="1"/>
  <c r="O28" i="6315"/>
  <c r="O24" i="6314" l="1"/>
  <c r="O26" i="6309"/>
  <c r="O21" i="6307"/>
  <c r="O20" i="6305"/>
  <c r="O24" i="6305"/>
  <c r="O28" i="6305"/>
  <c r="O31" i="6307" l="1"/>
  <c r="O22" i="6307"/>
  <c r="O21" i="6302"/>
  <c r="O29" i="6302"/>
  <c r="O18" i="6302"/>
  <c r="O23" i="6314"/>
  <c r="O22" i="6314"/>
  <c r="O23" i="6313"/>
  <c r="O26" i="6315" l="1"/>
  <c r="O25" i="6315"/>
  <c r="O31" i="6304"/>
  <c r="O28" i="6304"/>
  <c r="O25" i="6304"/>
  <c r="O25" i="6314"/>
  <c r="O18" i="6314"/>
  <c r="O27" i="6309"/>
  <c r="O19" i="6309"/>
  <c r="O18" i="6309"/>
  <c r="O18" i="6311" l="1"/>
  <c r="O19" i="6315"/>
  <c r="O20" i="6314"/>
  <c r="O25" i="6301"/>
  <c r="O30" i="6301"/>
  <c r="O19" i="6301"/>
  <c r="O29" i="6315" l="1"/>
  <c r="O23" i="6315"/>
  <c r="O21" i="6315"/>
  <c r="C32" i="6315"/>
  <c r="B27" i="6315"/>
  <c r="C18" i="6315"/>
  <c r="B17" i="6315"/>
  <c r="C45" i="6315" s="1"/>
  <c r="C16" i="6315"/>
  <c r="B16" i="6315"/>
  <c r="B26" i="6315" s="1"/>
  <c r="O15" i="6315"/>
  <c r="B15" i="6315"/>
  <c r="C15" i="6315" s="1"/>
  <c r="O14" i="6315"/>
  <c r="C14" i="6315"/>
  <c r="O13" i="6315"/>
  <c r="C13" i="6315"/>
  <c r="O12" i="6315"/>
  <c r="C12" i="6315"/>
  <c r="B11" i="6315"/>
  <c r="C11" i="6315" s="1"/>
  <c r="C10" i="6315"/>
  <c r="O9" i="6315"/>
  <c r="C9" i="6315"/>
  <c r="O8" i="6315"/>
  <c r="C8" i="6315"/>
  <c r="O7" i="6315"/>
  <c r="C7" i="6315"/>
  <c r="O6" i="6315"/>
  <c r="B6" i="6315"/>
  <c r="O5" i="6315"/>
  <c r="B5" i="6315"/>
  <c r="O4" i="6315"/>
  <c r="O3" i="6315"/>
  <c r="O2" i="6315"/>
  <c r="O22" i="6313"/>
  <c r="O18" i="6313"/>
  <c r="O19" i="6313"/>
  <c r="O20" i="6311"/>
  <c r="O24" i="6311"/>
  <c r="O26" i="6311"/>
  <c r="O23" i="6272"/>
  <c r="O26" i="6314"/>
  <c r="O27" i="6314"/>
  <c r="O19" i="6314"/>
  <c r="C32" i="6314"/>
  <c r="B27" i="6314"/>
  <c r="C18" i="6314"/>
  <c r="B17" i="6314"/>
  <c r="C43" i="6314" s="1"/>
  <c r="C16" i="6314"/>
  <c r="B16" i="6314"/>
  <c r="B26" i="6314" s="1"/>
  <c r="O15" i="6314"/>
  <c r="B15" i="6314"/>
  <c r="C15" i="6314" s="1"/>
  <c r="O14" i="6314"/>
  <c r="C14" i="6314"/>
  <c r="O13" i="6314"/>
  <c r="C13" i="6314"/>
  <c r="O12" i="6314"/>
  <c r="C12" i="6314"/>
  <c r="B11" i="6314"/>
  <c r="C11" i="6314" s="1"/>
  <c r="C10" i="6314"/>
  <c r="O9" i="6314"/>
  <c r="C9" i="6314"/>
  <c r="O8" i="6314"/>
  <c r="C8" i="6314"/>
  <c r="O7" i="6314"/>
  <c r="C7" i="6314"/>
  <c r="O6" i="6314"/>
  <c r="B6" i="6314"/>
  <c r="O5" i="6314"/>
  <c r="B5" i="6314"/>
  <c r="O4" i="6314"/>
  <c r="O3" i="6314"/>
  <c r="O2" i="6314"/>
  <c r="O53" i="6272"/>
  <c r="H12" i="6315" l="1"/>
  <c r="H30" i="6315"/>
  <c r="H19" i="6315"/>
  <c r="H10" i="6315"/>
  <c r="H37" i="6315"/>
  <c r="H22" i="6315"/>
  <c r="C37" i="6315"/>
  <c r="H16" i="6315"/>
  <c r="H11" i="6315"/>
  <c r="C19" i="6315"/>
  <c r="H18" i="6315"/>
  <c r="C39" i="6315"/>
  <c r="H7" i="6315"/>
  <c r="H2" i="6315"/>
  <c r="H20" i="6315"/>
  <c r="H9" i="6315"/>
  <c r="C20" i="6315"/>
  <c r="H5" i="6315"/>
  <c r="H8" i="6315"/>
  <c r="H25" i="6315"/>
  <c r="H29" i="6315"/>
  <c r="H41" i="6315"/>
  <c r="C41" i="6315"/>
  <c r="H42" i="6315"/>
  <c r="H26" i="6315"/>
  <c r="H17" i="6315"/>
  <c r="H34" i="6315"/>
  <c r="C42" i="6315"/>
  <c r="H4" i="6315"/>
  <c r="H33" i="6315"/>
  <c r="H15" i="6315"/>
  <c r="C17" i="6315"/>
  <c r="C23" i="6315"/>
  <c r="H6" i="6315"/>
  <c r="H21" i="6315"/>
  <c r="B24" i="6315"/>
  <c r="C35" i="6315"/>
  <c r="C43" i="6315"/>
  <c r="H38" i="6315"/>
  <c r="C46" i="6315"/>
  <c r="C22" i="6315"/>
  <c r="H32" i="6315"/>
  <c r="C38" i="6315"/>
  <c r="C47" i="6315"/>
  <c r="H23" i="6315"/>
  <c r="H27" i="6315"/>
  <c r="H31" i="6315"/>
  <c r="H35" i="6315"/>
  <c r="H39" i="6315"/>
  <c r="H3" i="6315"/>
  <c r="H24" i="6315"/>
  <c r="H28" i="6315"/>
  <c r="H13" i="6315"/>
  <c r="H36" i="6315"/>
  <c r="H40" i="6315"/>
  <c r="C44" i="6315"/>
  <c r="C21" i="6315"/>
  <c r="B25" i="6315"/>
  <c r="H14" i="6315"/>
  <c r="C36" i="6315"/>
  <c r="C40" i="6315"/>
  <c r="C17" i="6314"/>
  <c r="H7" i="6314"/>
  <c r="H9" i="6314"/>
  <c r="H25" i="6314"/>
  <c r="H36" i="6314"/>
  <c r="C44" i="6314"/>
  <c r="B25" i="6314"/>
  <c r="C36" i="6314"/>
  <c r="C40" i="6314"/>
  <c r="C45" i="6314"/>
  <c r="H5" i="6314"/>
  <c r="H18" i="6314"/>
  <c r="H22" i="6314"/>
  <c r="H26" i="6314"/>
  <c r="H32" i="6314"/>
  <c r="H37" i="6314"/>
  <c r="H41" i="6314"/>
  <c r="C46" i="6314"/>
  <c r="H8" i="6314"/>
  <c r="H16" i="6314"/>
  <c r="C22" i="6314"/>
  <c r="C37" i="6314"/>
  <c r="C41" i="6314"/>
  <c r="C47" i="6314"/>
  <c r="H6" i="6314"/>
  <c r="H14" i="6314"/>
  <c r="H19" i="6314"/>
  <c r="H23" i="6314"/>
  <c r="H27" i="6314"/>
  <c r="H33" i="6314"/>
  <c r="H38" i="6314"/>
  <c r="H42" i="6314"/>
  <c r="H21" i="6314"/>
  <c r="H30" i="6314"/>
  <c r="H40" i="6314"/>
  <c r="H11" i="6314"/>
  <c r="H13" i="6314"/>
  <c r="C21" i="6314"/>
  <c r="H31" i="6314"/>
  <c r="H3" i="6314"/>
  <c r="C19" i="6314"/>
  <c r="C23" i="6314"/>
  <c r="H34" i="6314"/>
  <c r="C38" i="6314"/>
  <c r="C42" i="6314"/>
  <c r="H2" i="6314"/>
  <c r="H10" i="6314"/>
  <c r="H20" i="6314"/>
  <c r="H24" i="6314"/>
  <c r="H28" i="6314"/>
  <c r="H35" i="6314"/>
  <c r="H39" i="6314"/>
  <c r="H4" i="6314"/>
  <c r="H12" i="6314"/>
  <c r="H15" i="6314"/>
  <c r="H17" i="6314"/>
  <c r="C20" i="6314"/>
  <c r="B24" i="6314"/>
  <c r="H29" i="6314"/>
  <c r="C35" i="6314"/>
  <c r="C39" i="6314"/>
  <c r="O30" i="6313" l="1"/>
  <c r="O26" i="6313"/>
  <c r="O28" i="6313"/>
  <c r="O19" i="6310"/>
  <c r="O22" i="6310"/>
  <c r="O27" i="6303"/>
  <c r="O24" i="6303"/>
  <c r="O26" i="6303"/>
  <c r="O27" i="6307"/>
  <c r="O19" i="6307"/>
  <c r="O31" i="6301" l="1"/>
  <c r="O21" i="6313"/>
  <c r="O24" i="6313" l="1"/>
  <c r="O29" i="6313"/>
  <c r="O25" i="6313"/>
  <c r="C32" i="6313"/>
  <c r="B27" i="6313"/>
  <c r="C18" i="6313"/>
  <c r="B17" i="6313"/>
  <c r="C44" i="6313" s="1"/>
  <c r="C16" i="6313"/>
  <c r="B16" i="6313"/>
  <c r="B26" i="6313" s="1"/>
  <c r="O15" i="6313"/>
  <c r="B15" i="6313"/>
  <c r="C15" i="6313" s="1"/>
  <c r="O14" i="6313"/>
  <c r="C14" i="6313"/>
  <c r="O13" i="6313"/>
  <c r="C13" i="6313"/>
  <c r="O12" i="6313"/>
  <c r="C12" i="6313"/>
  <c r="B11" i="6313"/>
  <c r="C11" i="6313" s="1"/>
  <c r="C10" i="6313"/>
  <c r="O9" i="6313"/>
  <c r="C9" i="6313"/>
  <c r="O8" i="6313"/>
  <c r="C8" i="6313"/>
  <c r="O7" i="6313"/>
  <c r="C7" i="6313"/>
  <c r="O6" i="6313"/>
  <c r="B6" i="6313"/>
  <c r="O5" i="6313"/>
  <c r="B5" i="6313"/>
  <c r="O4" i="6313"/>
  <c r="O3" i="6313"/>
  <c r="O2" i="6313"/>
  <c r="O26" i="6306"/>
  <c r="O24" i="6298"/>
  <c r="O22" i="6298"/>
  <c r="O28" i="6309"/>
  <c r="O24" i="6309"/>
  <c r="O57" i="6272"/>
  <c r="H2" i="6313" l="1"/>
  <c r="H16" i="6313"/>
  <c r="C35" i="6313"/>
  <c r="C20" i="6313"/>
  <c r="H10" i="6313"/>
  <c r="H41" i="6313"/>
  <c r="H19" i="6313"/>
  <c r="H21" i="6313"/>
  <c r="C21" i="6313"/>
  <c r="H15" i="6313"/>
  <c r="C36" i="6313"/>
  <c r="C41" i="6313"/>
  <c r="H24" i="6313"/>
  <c r="H29" i="6313"/>
  <c r="H37" i="6313"/>
  <c r="C42" i="6313"/>
  <c r="H31" i="6313"/>
  <c r="H6" i="6313"/>
  <c r="H17" i="6313"/>
  <c r="C37" i="6313"/>
  <c r="H3" i="6313"/>
  <c r="H22" i="6313"/>
  <c r="C23" i="6313"/>
  <c r="H32" i="6313"/>
  <c r="C38" i="6313"/>
  <c r="C43" i="6313"/>
  <c r="H9" i="6313"/>
  <c r="C22" i="6313"/>
  <c r="C45" i="6313"/>
  <c r="C17" i="6313"/>
  <c r="H5" i="6313"/>
  <c r="H11" i="6313"/>
  <c r="H4" i="6313"/>
  <c r="H8" i="6313"/>
  <c r="H20" i="6313"/>
  <c r="H26" i="6313"/>
  <c r="H39" i="6313"/>
  <c r="H18" i="6313"/>
  <c r="C19" i="6313"/>
  <c r="B24" i="6313"/>
  <c r="H34" i="6313"/>
  <c r="C39" i="6313"/>
  <c r="C46" i="6313"/>
  <c r="H7" i="6313"/>
  <c r="H23" i="6313"/>
  <c r="H13" i="6313"/>
  <c r="H35" i="6313"/>
  <c r="C40" i="6313"/>
  <c r="C47" i="6313"/>
  <c r="B25" i="6313"/>
  <c r="H12" i="6313"/>
  <c r="H25" i="6313"/>
  <c r="H28" i="6313"/>
  <c r="H33" i="6313"/>
  <c r="H38" i="6313"/>
  <c r="H42" i="6313"/>
  <c r="H14" i="6313"/>
  <c r="H27" i="6313"/>
  <c r="H30" i="6313"/>
  <c r="H36" i="6313"/>
  <c r="H40" i="6313"/>
  <c r="O20" i="6287" l="1"/>
  <c r="O18" i="6287"/>
  <c r="O23" i="6287"/>
  <c r="O19" i="6306"/>
  <c r="O24" i="6306"/>
  <c r="O28" i="6306"/>
  <c r="O23" i="6308"/>
  <c r="O21" i="6308"/>
  <c r="O31" i="6309"/>
  <c r="O20" i="6309"/>
  <c r="O23" i="6293" l="1"/>
  <c r="O27" i="6293"/>
  <c r="O18" i="6293"/>
  <c r="O30" i="6307"/>
  <c r="O20" i="6307"/>
  <c r="O25" i="6307"/>
  <c r="O18" i="6312"/>
  <c r="O19" i="6312"/>
  <c r="O20" i="6312"/>
  <c r="C32" i="6312"/>
  <c r="B27" i="6312"/>
  <c r="C18" i="6312"/>
  <c r="B17" i="6312"/>
  <c r="C44" i="6312" s="1"/>
  <c r="H19" i="6312"/>
  <c r="C16" i="6312"/>
  <c r="B16" i="6312"/>
  <c r="B26" i="6312" s="1"/>
  <c r="O15" i="6312"/>
  <c r="C15" i="6312"/>
  <c r="B15" i="6312"/>
  <c r="O14" i="6312"/>
  <c r="H17" i="6312"/>
  <c r="C14" i="6312"/>
  <c r="O13" i="6312"/>
  <c r="C13" i="6312"/>
  <c r="O12" i="6312"/>
  <c r="C12" i="6312"/>
  <c r="B11" i="6312"/>
  <c r="C11" i="6312" s="1"/>
  <c r="C10" i="6312"/>
  <c r="O9" i="6312"/>
  <c r="C9" i="6312"/>
  <c r="O8" i="6312"/>
  <c r="C8" i="6312"/>
  <c r="O7" i="6312"/>
  <c r="C7" i="6312"/>
  <c r="O6" i="6312"/>
  <c r="B6" i="6312"/>
  <c r="O5" i="6312"/>
  <c r="B5" i="6312"/>
  <c r="O4" i="6312"/>
  <c r="O3" i="6312"/>
  <c r="O2" i="6312"/>
  <c r="O22" i="6272"/>
  <c r="O22" i="6311"/>
  <c r="O27" i="6311"/>
  <c r="O28" i="6311"/>
  <c r="C32" i="6311"/>
  <c r="B27" i="6311"/>
  <c r="C18" i="6311"/>
  <c r="B17" i="6311"/>
  <c r="C44" i="6311" s="1"/>
  <c r="C16" i="6311"/>
  <c r="B16" i="6311"/>
  <c r="B26" i="6311" s="1"/>
  <c r="O15" i="6311"/>
  <c r="B15" i="6311"/>
  <c r="C15" i="6311" s="1"/>
  <c r="O14" i="6311"/>
  <c r="C14" i="6311"/>
  <c r="O13" i="6311"/>
  <c r="H14" i="6311"/>
  <c r="C13" i="6311"/>
  <c r="O12" i="6311"/>
  <c r="H13" i="6311"/>
  <c r="C12" i="6311"/>
  <c r="H12" i="6311"/>
  <c r="C11" i="6311"/>
  <c r="B11" i="6311"/>
  <c r="H11" i="6311"/>
  <c r="C10" i="6311"/>
  <c r="O9" i="6311"/>
  <c r="H10" i="6311"/>
  <c r="C9" i="6311"/>
  <c r="O8" i="6311"/>
  <c r="C8" i="6311"/>
  <c r="O7" i="6311"/>
  <c r="H8" i="6311"/>
  <c r="C7" i="6311"/>
  <c r="O6" i="6311"/>
  <c r="H4" i="6311"/>
  <c r="B6" i="6311"/>
  <c r="O5" i="6311"/>
  <c r="H7" i="6311"/>
  <c r="B5" i="6311"/>
  <c r="O4" i="6311"/>
  <c r="H3" i="6311"/>
  <c r="O3" i="6311"/>
  <c r="H6" i="6311"/>
  <c r="O2" i="6311"/>
  <c r="O58" i="6272"/>
  <c r="C17" i="6311" l="1"/>
  <c r="H14" i="6312"/>
  <c r="C21" i="6312"/>
  <c r="C42" i="6312"/>
  <c r="C35" i="6312"/>
  <c r="C17" i="6312"/>
  <c r="H8" i="6312"/>
  <c r="H20" i="6312"/>
  <c r="C23" i="6312"/>
  <c r="H31" i="6312"/>
  <c r="C37" i="6312"/>
  <c r="H7" i="6312"/>
  <c r="H24" i="6312"/>
  <c r="C43" i="6312"/>
  <c r="H4" i="6312"/>
  <c r="C36" i="6312"/>
  <c r="H15" i="6312"/>
  <c r="H6" i="6312"/>
  <c r="H10" i="6312"/>
  <c r="H32" i="6312"/>
  <c r="H13" i="6312"/>
  <c r="H16" i="6312"/>
  <c r="C19" i="6312"/>
  <c r="B24" i="6312"/>
  <c r="H39" i="6312"/>
  <c r="C45" i="6312"/>
  <c r="H3" i="6312"/>
  <c r="H29" i="6312"/>
  <c r="H12" i="6312"/>
  <c r="C22" i="6312"/>
  <c r="H18" i="6312"/>
  <c r="H26" i="6312"/>
  <c r="H9" i="6312"/>
  <c r="H22" i="6312"/>
  <c r="B25" i="6312"/>
  <c r="H34" i="6312"/>
  <c r="C39" i="6312"/>
  <c r="C46" i="6312"/>
  <c r="H41" i="6312"/>
  <c r="C41" i="6312"/>
  <c r="H37" i="6312"/>
  <c r="C38" i="6312"/>
  <c r="H2" i="6312"/>
  <c r="H11" i="6312"/>
  <c r="C20" i="6312"/>
  <c r="H5" i="6312"/>
  <c r="H35" i="6312"/>
  <c r="C40" i="6312"/>
  <c r="C47" i="6312"/>
  <c r="H21" i="6312"/>
  <c r="H25" i="6312"/>
  <c r="H28" i="6312"/>
  <c r="H33" i="6312"/>
  <c r="H38" i="6312"/>
  <c r="H42" i="6312"/>
  <c r="H23" i="6312"/>
  <c r="H27" i="6312"/>
  <c r="H30" i="6312"/>
  <c r="H36" i="6312"/>
  <c r="H40" i="6312"/>
  <c r="H2" i="6311"/>
  <c r="H9" i="6311"/>
  <c r="C20" i="6311"/>
  <c r="C35" i="6311"/>
  <c r="H41" i="6311"/>
  <c r="H15" i="6311"/>
  <c r="H17" i="6311"/>
  <c r="C21" i="6311"/>
  <c r="H28" i="6311"/>
  <c r="C36" i="6311"/>
  <c r="C41" i="6311"/>
  <c r="H22" i="6311"/>
  <c r="H29" i="6311"/>
  <c r="H37" i="6311"/>
  <c r="C42" i="6311"/>
  <c r="C22" i="6311"/>
  <c r="H31" i="6311"/>
  <c r="C37" i="6311"/>
  <c r="H5" i="6311"/>
  <c r="H18" i="6311"/>
  <c r="C23" i="6311"/>
  <c r="H32" i="6311"/>
  <c r="C38" i="6311"/>
  <c r="C43" i="6311"/>
  <c r="H16" i="6311"/>
  <c r="H24" i="6311"/>
  <c r="H39" i="6311"/>
  <c r="C45" i="6311"/>
  <c r="C19" i="6311"/>
  <c r="B24" i="6311"/>
  <c r="H34" i="6311"/>
  <c r="C39" i="6311"/>
  <c r="C46" i="6311"/>
  <c r="H20" i="6311"/>
  <c r="H26" i="6311"/>
  <c r="H35" i="6311"/>
  <c r="C40" i="6311"/>
  <c r="C47" i="6311"/>
  <c r="B25" i="6311"/>
  <c r="H19" i="6311"/>
  <c r="H23" i="6311"/>
  <c r="H27" i="6311"/>
  <c r="H33" i="6311"/>
  <c r="H38" i="6311"/>
  <c r="H42" i="6311"/>
  <c r="H21" i="6311"/>
  <c r="H25" i="6311"/>
  <c r="H30" i="6311"/>
  <c r="H36" i="6311"/>
  <c r="H40" i="6311"/>
  <c r="O18" i="6308" l="1"/>
  <c r="O22" i="6301"/>
  <c r="O33" i="6301"/>
  <c r="O29" i="6301"/>
  <c r="O23" i="6309"/>
  <c r="O18" i="6307"/>
  <c r="O20" i="6310" l="1"/>
  <c r="O18" i="6310"/>
  <c r="O21" i="6310"/>
  <c r="C32" i="6310"/>
  <c r="B27" i="6310"/>
  <c r="C18" i="6310"/>
  <c r="B17" i="6310"/>
  <c r="C44" i="6310" s="1"/>
  <c r="C16" i="6310"/>
  <c r="B16" i="6310"/>
  <c r="B26" i="6310" s="1"/>
  <c r="O15" i="6310"/>
  <c r="C15" i="6310"/>
  <c r="B15" i="6310"/>
  <c r="O14" i="6310"/>
  <c r="C14" i="6310"/>
  <c r="O13" i="6310"/>
  <c r="C13" i="6310"/>
  <c r="O12" i="6310"/>
  <c r="C12" i="6310"/>
  <c r="B11" i="6310"/>
  <c r="C11" i="6310" s="1"/>
  <c r="C10" i="6310"/>
  <c r="O9" i="6310"/>
  <c r="C9" i="6310"/>
  <c r="O8" i="6310"/>
  <c r="C8" i="6310"/>
  <c r="O7" i="6310"/>
  <c r="C7" i="6310"/>
  <c r="O6" i="6310"/>
  <c r="B6" i="6310"/>
  <c r="O5" i="6310"/>
  <c r="B5" i="6310"/>
  <c r="O4" i="6310"/>
  <c r="O3" i="6310"/>
  <c r="O2" i="6310"/>
  <c r="O22" i="6309"/>
  <c r="O30" i="6309"/>
  <c r="O29" i="6309"/>
  <c r="C32" i="6309"/>
  <c r="B27" i="6309"/>
  <c r="B26" i="6309"/>
  <c r="C18" i="6309"/>
  <c r="B17" i="6309"/>
  <c r="C45" i="6309" s="1"/>
  <c r="B16" i="6309"/>
  <c r="C16" i="6309" s="1"/>
  <c r="O15" i="6309"/>
  <c r="B15" i="6309"/>
  <c r="C15" i="6309" s="1"/>
  <c r="O14" i="6309"/>
  <c r="C14" i="6309"/>
  <c r="O13" i="6309"/>
  <c r="C13" i="6309"/>
  <c r="O12" i="6309"/>
  <c r="C12" i="6309"/>
  <c r="B11" i="6309"/>
  <c r="C11" i="6309" s="1"/>
  <c r="C10" i="6309"/>
  <c r="O9" i="6309"/>
  <c r="C9" i="6309"/>
  <c r="O8" i="6309"/>
  <c r="C8" i="6309"/>
  <c r="O7" i="6309"/>
  <c r="C7" i="6309"/>
  <c r="O6" i="6309"/>
  <c r="H8" i="6309"/>
  <c r="B6" i="6309"/>
  <c r="O5" i="6309"/>
  <c r="B5" i="6309"/>
  <c r="O4" i="6309"/>
  <c r="O3" i="6309"/>
  <c r="O2" i="6309"/>
  <c r="O20" i="6308"/>
  <c r="O22" i="6308"/>
  <c r="O19" i="6308"/>
  <c r="C32" i="6308"/>
  <c r="B27" i="6308"/>
  <c r="C18" i="6308"/>
  <c r="B17" i="6308"/>
  <c r="C47" i="6308" s="1"/>
  <c r="C16" i="6308"/>
  <c r="B16" i="6308"/>
  <c r="B26" i="6308" s="1"/>
  <c r="O15" i="6308"/>
  <c r="B15" i="6308"/>
  <c r="C15" i="6308" s="1"/>
  <c r="O14" i="6308"/>
  <c r="C14" i="6308"/>
  <c r="O13" i="6308"/>
  <c r="C13" i="6308"/>
  <c r="O12" i="6308"/>
  <c r="C12" i="6308"/>
  <c r="B11" i="6308"/>
  <c r="C11" i="6308" s="1"/>
  <c r="C10" i="6308"/>
  <c r="O9" i="6308"/>
  <c r="C9" i="6308"/>
  <c r="O8" i="6308"/>
  <c r="C8" i="6308"/>
  <c r="O7" i="6308"/>
  <c r="C7" i="6308"/>
  <c r="O6" i="6308"/>
  <c r="B6" i="6308"/>
  <c r="O5" i="6308"/>
  <c r="B5" i="6308"/>
  <c r="O4" i="6308"/>
  <c r="O3" i="6308"/>
  <c r="O2" i="6308"/>
  <c r="O52" i="6272"/>
  <c r="O28" i="6307"/>
  <c r="O23" i="6307"/>
  <c r="O26" i="6307"/>
  <c r="C32" i="6307"/>
  <c r="B27" i="6307"/>
  <c r="C18" i="6307"/>
  <c r="B17" i="6307"/>
  <c r="C44" i="6307" s="1"/>
  <c r="B16" i="6307"/>
  <c r="B26" i="6307" s="1"/>
  <c r="O15" i="6307"/>
  <c r="B15" i="6307"/>
  <c r="C15" i="6307" s="1"/>
  <c r="O14" i="6307"/>
  <c r="C14" i="6307"/>
  <c r="O13" i="6307"/>
  <c r="C13" i="6307"/>
  <c r="O12" i="6307"/>
  <c r="C12" i="6307"/>
  <c r="B11" i="6307"/>
  <c r="C11" i="6307" s="1"/>
  <c r="C10" i="6307"/>
  <c r="O9" i="6307"/>
  <c r="C9" i="6307"/>
  <c r="O8" i="6307"/>
  <c r="C8" i="6307"/>
  <c r="O7" i="6307"/>
  <c r="C7" i="6307"/>
  <c r="O6" i="6307"/>
  <c r="B6" i="6307"/>
  <c r="O5" i="6307"/>
  <c r="B5" i="6307"/>
  <c r="O4" i="6307"/>
  <c r="O3" i="6307"/>
  <c r="O2" i="6307"/>
  <c r="O55" i="6272"/>
  <c r="O38" i="6272"/>
  <c r="O28" i="6272"/>
  <c r="H6" i="6309" l="1"/>
  <c r="H35" i="6310"/>
  <c r="H12" i="6310"/>
  <c r="H23" i="6310"/>
  <c r="C40" i="6310"/>
  <c r="H8" i="6310"/>
  <c r="H41" i="6310"/>
  <c r="C19" i="6310"/>
  <c r="H13" i="6310"/>
  <c r="B25" i="6310"/>
  <c r="C21" i="6310"/>
  <c r="H27" i="6310"/>
  <c r="H33" i="6310"/>
  <c r="H2" i="6310"/>
  <c r="H11" i="6310"/>
  <c r="H17" i="6310"/>
  <c r="C17" i="6310"/>
  <c r="C35" i="6307"/>
  <c r="H19" i="6309"/>
  <c r="C21" i="6308"/>
  <c r="H27" i="6308"/>
  <c r="H22" i="6308"/>
  <c r="H30" i="6308"/>
  <c r="H4" i="6308"/>
  <c r="H14" i="6308"/>
  <c r="H38" i="6308"/>
  <c r="C40" i="6308"/>
  <c r="H27" i="6309"/>
  <c r="H31" i="6308"/>
  <c r="H8" i="6308"/>
  <c r="H3" i="6308"/>
  <c r="H20" i="6308"/>
  <c r="C38" i="6308"/>
  <c r="H17" i="6307"/>
  <c r="H19" i="6307"/>
  <c r="H3" i="6307"/>
  <c r="C21" i="6307"/>
  <c r="H14" i="6307"/>
  <c r="H8" i="6307"/>
  <c r="H28" i="6307"/>
  <c r="C41" i="6310"/>
  <c r="H24" i="6310"/>
  <c r="H28" i="6310"/>
  <c r="C36" i="6310"/>
  <c r="H42" i="6310"/>
  <c r="H7" i="6310"/>
  <c r="H9" i="6310"/>
  <c r="H3" i="6310"/>
  <c r="H21" i="6310"/>
  <c r="H5" i="6310"/>
  <c r="H29" i="6310"/>
  <c r="C37" i="6310"/>
  <c r="C45" i="6310"/>
  <c r="C22" i="6310"/>
  <c r="H14" i="6310"/>
  <c r="H16" i="6310"/>
  <c r="C23" i="6310"/>
  <c r="H31" i="6310"/>
  <c r="H38" i="6310"/>
  <c r="C46" i="6310"/>
  <c r="H15" i="6310"/>
  <c r="H37" i="6310"/>
  <c r="H10" i="6310"/>
  <c r="H19" i="6310"/>
  <c r="H22" i="6310"/>
  <c r="H25" i="6310"/>
  <c r="H32" i="6310"/>
  <c r="H39" i="6310"/>
  <c r="C47" i="6310"/>
  <c r="H34" i="6310"/>
  <c r="C38" i="6310"/>
  <c r="C42" i="6310"/>
  <c r="H18" i="6310"/>
  <c r="H20" i="6310"/>
  <c r="C20" i="6310"/>
  <c r="B24" i="6310"/>
  <c r="H6" i="6310"/>
  <c r="C35" i="6310"/>
  <c r="C39" i="6310"/>
  <c r="C43" i="6310"/>
  <c r="H4" i="6310"/>
  <c r="H26" i="6310"/>
  <c r="H30" i="6310"/>
  <c r="H36" i="6310"/>
  <c r="H40" i="6310"/>
  <c r="H14" i="6309"/>
  <c r="C19" i="6309"/>
  <c r="H7" i="6309"/>
  <c r="H13" i="6309"/>
  <c r="H21" i="6309"/>
  <c r="H35" i="6309"/>
  <c r="H33" i="6309"/>
  <c r="C20" i="6309"/>
  <c r="C39" i="6309"/>
  <c r="H17" i="6309"/>
  <c r="H2" i="6309"/>
  <c r="B24" i="6309"/>
  <c r="H41" i="6309"/>
  <c r="C41" i="6309"/>
  <c r="H23" i="6309"/>
  <c r="H28" i="6309"/>
  <c r="C35" i="6309"/>
  <c r="H42" i="6309"/>
  <c r="H3" i="6309"/>
  <c r="C17" i="6309"/>
  <c r="H10" i="6309"/>
  <c r="H20" i="6309"/>
  <c r="H24" i="6309"/>
  <c r="H29" i="6309"/>
  <c r="C37" i="6309"/>
  <c r="C43" i="6309"/>
  <c r="H15" i="6309"/>
  <c r="C22" i="6309"/>
  <c r="H5" i="6309"/>
  <c r="H18" i="6309"/>
  <c r="C23" i="6309"/>
  <c r="H12" i="6309"/>
  <c r="H38" i="6309"/>
  <c r="C46" i="6309"/>
  <c r="H9" i="6309"/>
  <c r="H37" i="6309"/>
  <c r="H4" i="6309"/>
  <c r="H16" i="6309"/>
  <c r="H11" i="6309"/>
  <c r="H25" i="6309"/>
  <c r="H32" i="6309"/>
  <c r="H39" i="6309"/>
  <c r="C47" i="6309"/>
  <c r="H34" i="6309"/>
  <c r="C38" i="6309"/>
  <c r="C42" i="6309"/>
  <c r="H22" i="6309"/>
  <c r="H26" i="6309"/>
  <c r="H30" i="6309"/>
  <c r="H36" i="6309"/>
  <c r="H40" i="6309"/>
  <c r="C44" i="6309"/>
  <c r="C21" i="6309"/>
  <c r="B25" i="6309"/>
  <c r="H31" i="6309"/>
  <c r="C36" i="6309"/>
  <c r="C40" i="6309"/>
  <c r="H40" i="6308"/>
  <c r="C23" i="6308"/>
  <c r="H11" i="6308"/>
  <c r="C42" i="6308"/>
  <c r="H18" i="6308"/>
  <c r="H23" i="6308"/>
  <c r="H34" i="6308"/>
  <c r="H42" i="6308"/>
  <c r="H5" i="6308"/>
  <c r="H2" i="6308"/>
  <c r="C17" i="6308"/>
  <c r="H6" i="6308"/>
  <c r="H25" i="6308"/>
  <c r="C36" i="6308"/>
  <c r="C45" i="6308"/>
  <c r="C22" i="6308"/>
  <c r="H33" i="6308"/>
  <c r="H10" i="6308"/>
  <c r="H13" i="6308"/>
  <c r="H7" i="6308"/>
  <c r="H16" i="6308"/>
  <c r="C19" i="6308"/>
  <c r="H36" i="6308"/>
  <c r="C46" i="6308"/>
  <c r="B25" i="6308"/>
  <c r="H19" i="6308"/>
  <c r="H9" i="6308"/>
  <c r="H26" i="6308"/>
  <c r="H32" i="6308"/>
  <c r="H37" i="6308"/>
  <c r="H41" i="6308"/>
  <c r="H12" i="6308"/>
  <c r="H15" i="6308"/>
  <c r="H17" i="6308"/>
  <c r="C20" i="6308"/>
  <c r="B24" i="6308"/>
  <c r="H28" i="6308"/>
  <c r="C35" i="6308"/>
  <c r="C39" i="6308"/>
  <c r="C43" i="6308"/>
  <c r="H21" i="6308"/>
  <c r="H24" i="6308"/>
  <c r="H29" i="6308"/>
  <c r="H35" i="6308"/>
  <c r="H39" i="6308"/>
  <c r="C44" i="6308"/>
  <c r="C37" i="6308"/>
  <c r="C41" i="6308"/>
  <c r="C16" i="6307"/>
  <c r="C36" i="6307"/>
  <c r="H41" i="6307"/>
  <c r="C20" i="6307"/>
  <c r="C41" i="6307"/>
  <c r="H13" i="6307"/>
  <c r="C42" i="6307"/>
  <c r="H6" i="6307"/>
  <c r="H23" i="6307"/>
  <c r="C22" i="6307"/>
  <c r="H31" i="6307"/>
  <c r="C37" i="6307"/>
  <c r="H5" i="6307"/>
  <c r="C43" i="6307"/>
  <c r="H37" i="6307"/>
  <c r="H15" i="6307"/>
  <c r="H2" i="6307"/>
  <c r="H32" i="6307"/>
  <c r="H9" i="6307"/>
  <c r="H18" i="6307"/>
  <c r="H25" i="6307"/>
  <c r="H39" i="6307"/>
  <c r="C45" i="6307"/>
  <c r="H29" i="6307"/>
  <c r="H10" i="6307"/>
  <c r="C23" i="6307"/>
  <c r="H4" i="6307"/>
  <c r="H16" i="6307"/>
  <c r="C19" i="6307"/>
  <c r="B24" i="6307"/>
  <c r="H34" i="6307"/>
  <c r="C39" i="6307"/>
  <c r="C46" i="6307"/>
  <c r="C17" i="6307"/>
  <c r="H20" i="6307"/>
  <c r="C38" i="6307"/>
  <c r="H7" i="6307"/>
  <c r="H21" i="6307"/>
  <c r="H12" i="6307"/>
  <c r="H35" i="6307"/>
  <c r="C40" i="6307"/>
  <c r="C47" i="6307"/>
  <c r="B25" i="6307"/>
  <c r="H11" i="6307"/>
  <c r="H24" i="6307"/>
  <c r="H27" i="6307"/>
  <c r="H33" i="6307"/>
  <c r="H38" i="6307"/>
  <c r="H42" i="6307"/>
  <c r="H22" i="6307"/>
  <c r="H26" i="6307"/>
  <c r="H30" i="6307"/>
  <c r="H36" i="6307"/>
  <c r="H40" i="6307"/>
  <c r="O26" i="6305" l="1"/>
  <c r="O23" i="6298"/>
  <c r="O31" i="6305" l="1"/>
  <c r="O29" i="6305"/>
  <c r="O18" i="6295"/>
  <c r="O21" i="6287"/>
  <c r="O25" i="6305"/>
  <c r="O23" i="6305"/>
  <c r="O20" i="6306"/>
  <c r="O25" i="6306"/>
  <c r="O22" i="6306"/>
  <c r="O30" i="6304"/>
  <c r="O27" i="6304"/>
  <c r="O26" i="6304"/>
  <c r="O32" i="6277"/>
  <c r="O23" i="6277"/>
  <c r="O28" i="6301" l="1"/>
  <c r="O24" i="6301"/>
  <c r="O28" i="6303"/>
  <c r="O25" i="6303"/>
  <c r="O21" i="6298"/>
  <c r="O20" i="6298"/>
  <c r="O18" i="6298"/>
  <c r="O34" i="6272"/>
  <c r="O21" i="6306"/>
  <c r="O18" i="6306"/>
  <c r="O23" i="6306"/>
  <c r="C32" i="6306"/>
  <c r="B27" i="6306"/>
  <c r="C18" i="6306"/>
  <c r="B17" i="6306"/>
  <c r="C17" i="6306" s="1"/>
  <c r="C16" i="6306"/>
  <c r="B16" i="6306"/>
  <c r="B26" i="6306" s="1"/>
  <c r="O15" i="6306"/>
  <c r="B15" i="6306"/>
  <c r="C15" i="6306" s="1"/>
  <c r="O14" i="6306"/>
  <c r="C14" i="6306"/>
  <c r="O13" i="6306"/>
  <c r="C13" i="6306"/>
  <c r="O12" i="6306"/>
  <c r="C12" i="6306"/>
  <c r="B11" i="6306"/>
  <c r="C11" i="6306" s="1"/>
  <c r="C10" i="6306"/>
  <c r="O9" i="6306"/>
  <c r="C9" i="6306"/>
  <c r="O8" i="6306"/>
  <c r="C8" i="6306"/>
  <c r="O7" i="6306"/>
  <c r="C7" i="6306"/>
  <c r="O6" i="6306"/>
  <c r="B6" i="6306"/>
  <c r="O5" i="6306"/>
  <c r="B5" i="6306"/>
  <c r="O4" i="6306"/>
  <c r="O3" i="6306"/>
  <c r="O2" i="6306"/>
  <c r="O26" i="6301"/>
  <c r="O19" i="6303"/>
  <c r="H10" i="6306" l="1"/>
  <c r="H20" i="6306"/>
  <c r="H19" i="6306"/>
  <c r="H4" i="6306"/>
  <c r="H5" i="6306"/>
  <c r="H7" i="6306"/>
  <c r="H17" i="6306"/>
  <c r="H15" i="6306"/>
  <c r="H18" i="6306"/>
  <c r="H6" i="6306"/>
  <c r="H2" i="6306"/>
  <c r="H16" i="6306"/>
  <c r="H14" i="6306"/>
  <c r="H8" i="6306"/>
  <c r="H9" i="6306"/>
  <c r="C47" i="6306"/>
  <c r="C46" i="6306"/>
  <c r="C45" i="6306"/>
  <c r="C44" i="6306"/>
  <c r="C43" i="6306"/>
  <c r="H3" i="6306"/>
  <c r="C42" i="6306"/>
  <c r="H42" i="6306"/>
  <c r="C41" i="6306"/>
  <c r="H41" i="6306"/>
  <c r="C40" i="6306"/>
  <c r="H40" i="6306"/>
  <c r="C39" i="6306"/>
  <c r="H39" i="6306"/>
  <c r="C38" i="6306"/>
  <c r="H38" i="6306"/>
  <c r="C37" i="6306"/>
  <c r="H37" i="6306"/>
  <c r="C36" i="6306"/>
  <c r="H36" i="6306"/>
  <c r="C35" i="6306"/>
  <c r="H35" i="6306"/>
  <c r="H34" i="6306"/>
  <c r="H33" i="6306"/>
  <c r="H32" i="6306"/>
  <c r="H31" i="6306"/>
  <c r="H30" i="6306"/>
  <c r="H13" i="6306"/>
  <c r="H29" i="6306"/>
  <c r="H28" i="6306"/>
  <c r="H12" i="6306"/>
  <c r="B25" i="6306"/>
  <c r="H27" i="6306"/>
  <c r="B24" i="6306"/>
  <c r="H26" i="6306"/>
  <c r="C23" i="6306"/>
  <c r="H11" i="6306"/>
  <c r="C22" i="6306"/>
  <c r="H25" i="6306"/>
  <c r="C21" i="6306"/>
  <c r="H24" i="6306"/>
  <c r="C20" i="6306"/>
  <c r="H23" i="6306"/>
  <c r="C19" i="6306"/>
  <c r="H22" i="6306"/>
  <c r="H21" i="6306"/>
  <c r="O23" i="6302" l="1"/>
  <c r="O30" i="6302"/>
  <c r="O27" i="6301"/>
  <c r="O21" i="6301"/>
  <c r="O18" i="6305"/>
  <c r="O19" i="6305"/>
  <c r="O22" i="6305"/>
  <c r="C32" i="6305"/>
  <c r="B27" i="6305"/>
  <c r="C18" i="6305"/>
  <c r="B17" i="6305"/>
  <c r="C17" i="6305" s="1"/>
  <c r="B16" i="6305"/>
  <c r="O15" i="6305"/>
  <c r="H17" i="6305"/>
  <c r="B15" i="6305"/>
  <c r="C15" i="6305" s="1"/>
  <c r="O14" i="6305"/>
  <c r="C14" i="6305"/>
  <c r="O13" i="6305"/>
  <c r="C13" i="6305"/>
  <c r="O12" i="6305"/>
  <c r="H14" i="6305"/>
  <c r="C12" i="6305"/>
  <c r="B11" i="6305"/>
  <c r="C11" i="6305" s="1"/>
  <c r="C10" i="6305"/>
  <c r="O9" i="6305"/>
  <c r="C9" i="6305"/>
  <c r="O8" i="6305"/>
  <c r="H11" i="6305"/>
  <c r="C8" i="6305"/>
  <c r="O7" i="6305"/>
  <c r="C7" i="6305"/>
  <c r="O6" i="6305"/>
  <c r="B6" i="6305"/>
  <c r="O5" i="6305"/>
  <c r="B5" i="6305"/>
  <c r="O4" i="6305"/>
  <c r="H5" i="6305"/>
  <c r="O3" i="6305"/>
  <c r="O2" i="6305"/>
  <c r="O47" i="6277"/>
  <c r="O49" i="6272"/>
  <c r="H4" i="6305" l="1"/>
  <c r="H6" i="6305"/>
  <c r="H7" i="6305"/>
  <c r="H9" i="6305"/>
  <c r="H18" i="6305"/>
  <c r="H2" i="6305"/>
  <c r="H15" i="6305"/>
  <c r="H8" i="6305"/>
  <c r="H10" i="6305"/>
  <c r="H13" i="6305"/>
  <c r="H16" i="6305"/>
  <c r="B26" i="6305"/>
  <c r="C16" i="6305"/>
  <c r="C47" i="6305"/>
  <c r="C46" i="6305"/>
  <c r="C45" i="6305"/>
  <c r="C44" i="6305"/>
  <c r="C43" i="6305"/>
  <c r="H3" i="6305"/>
  <c r="C42" i="6305"/>
  <c r="H42" i="6305"/>
  <c r="C41" i="6305"/>
  <c r="H41" i="6305"/>
  <c r="C40" i="6305"/>
  <c r="H40" i="6305"/>
  <c r="C39" i="6305"/>
  <c r="H39" i="6305"/>
  <c r="C38" i="6305"/>
  <c r="H38" i="6305"/>
  <c r="C37" i="6305"/>
  <c r="H37" i="6305"/>
  <c r="C36" i="6305"/>
  <c r="H36" i="6305"/>
  <c r="C35" i="6305"/>
  <c r="H35" i="6305"/>
  <c r="H34" i="6305"/>
  <c r="H33" i="6305"/>
  <c r="H32" i="6305"/>
  <c r="H31" i="6305"/>
  <c r="H30" i="6305"/>
  <c r="H29" i="6305"/>
  <c r="H28" i="6305"/>
  <c r="H27" i="6305"/>
  <c r="H26" i="6305"/>
  <c r="B25" i="6305"/>
  <c r="H25" i="6305"/>
  <c r="B24" i="6305"/>
  <c r="H24" i="6305"/>
  <c r="C23" i="6305"/>
  <c r="H23" i="6305"/>
  <c r="C22" i="6305"/>
  <c r="H22" i="6305"/>
  <c r="C21" i="6305"/>
  <c r="H21" i="6305"/>
  <c r="C20" i="6305"/>
  <c r="H20" i="6305"/>
  <c r="C19" i="6305"/>
  <c r="H12" i="6305"/>
  <c r="H19" i="6305"/>
  <c r="O24" i="6302" l="1"/>
  <c r="O22" i="6304"/>
  <c r="O30" i="6298" l="1"/>
  <c r="O43" i="6287"/>
  <c r="O20" i="6304"/>
  <c r="O21" i="6304"/>
  <c r="O21" i="6277" l="1"/>
  <c r="O37" i="6277"/>
  <c r="O26" i="6299"/>
  <c r="O25" i="6302"/>
  <c r="O25" i="6295" l="1"/>
  <c r="O21" i="6299"/>
  <c r="O20" i="6299"/>
  <c r="O18" i="6303"/>
  <c r="O21" i="6303"/>
  <c r="O41" i="6272"/>
  <c r="O23" i="6304"/>
  <c r="O24" i="6304"/>
  <c r="O29" i="6304"/>
  <c r="C32" i="6304"/>
  <c r="B27" i="6304"/>
  <c r="C18" i="6304"/>
  <c r="B17" i="6304"/>
  <c r="C17" i="6304" s="1"/>
  <c r="B16" i="6304"/>
  <c r="O15" i="6304"/>
  <c r="B15" i="6304"/>
  <c r="C15" i="6304" s="1"/>
  <c r="O14" i="6304"/>
  <c r="C14" i="6304"/>
  <c r="O13" i="6304"/>
  <c r="C13" i="6304"/>
  <c r="O12" i="6304"/>
  <c r="C12" i="6304"/>
  <c r="B11" i="6304"/>
  <c r="C11" i="6304" s="1"/>
  <c r="C10" i="6304"/>
  <c r="O9" i="6304"/>
  <c r="C9" i="6304"/>
  <c r="O8" i="6304"/>
  <c r="C8" i="6304"/>
  <c r="O7" i="6304"/>
  <c r="C7" i="6304"/>
  <c r="O6" i="6304"/>
  <c r="B6" i="6304"/>
  <c r="O5" i="6304"/>
  <c r="B5" i="6304"/>
  <c r="O4" i="6304"/>
  <c r="O3" i="6304"/>
  <c r="O2" i="6304"/>
  <c r="H8" i="6304" l="1"/>
  <c r="H2" i="6304"/>
  <c r="H17" i="6304"/>
  <c r="H22" i="6304"/>
  <c r="H20" i="6304"/>
  <c r="H3" i="6304"/>
  <c r="H4" i="6304"/>
  <c r="H18" i="6304"/>
  <c r="H19" i="6304"/>
  <c r="H7" i="6304"/>
  <c r="H6" i="6304"/>
  <c r="H12" i="6304"/>
  <c r="H11" i="6304"/>
  <c r="H9" i="6304"/>
  <c r="H21" i="6304"/>
  <c r="B26" i="6304"/>
  <c r="C16" i="6304"/>
  <c r="C47" i="6304"/>
  <c r="C46" i="6304"/>
  <c r="C45" i="6304"/>
  <c r="C44" i="6304"/>
  <c r="C43" i="6304"/>
  <c r="H5" i="6304"/>
  <c r="C42" i="6304"/>
  <c r="H42" i="6304"/>
  <c r="C41" i="6304"/>
  <c r="H41" i="6304"/>
  <c r="C40" i="6304"/>
  <c r="H40" i="6304"/>
  <c r="C39" i="6304"/>
  <c r="H39" i="6304"/>
  <c r="C38" i="6304"/>
  <c r="H38" i="6304"/>
  <c r="C37" i="6304"/>
  <c r="H37" i="6304"/>
  <c r="C36" i="6304"/>
  <c r="H36" i="6304"/>
  <c r="C35" i="6304"/>
  <c r="H35" i="6304"/>
  <c r="H34" i="6304"/>
  <c r="H33" i="6304"/>
  <c r="H32" i="6304"/>
  <c r="H31" i="6304"/>
  <c r="H16" i="6304"/>
  <c r="H30" i="6304"/>
  <c r="H29" i="6304"/>
  <c r="H28" i="6304"/>
  <c r="H27" i="6304"/>
  <c r="B25" i="6304"/>
  <c r="H26" i="6304"/>
  <c r="B24" i="6304"/>
  <c r="H25" i="6304"/>
  <c r="C23" i="6304"/>
  <c r="H13" i="6304"/>
  <c r="C22" i="6304"/>
  <c r="H24" i="6304"/>
  <c r="C21" i="6304"/>
  <c r="H15" i="6304"/>
  <c r="C20" i="6304"/>
  <c r="H23" i="6304"/>
  <c r="C19" i="6304"/>
  <c r="H10" i="6304"/>
  <c r="H14" i="6304"/>
  <c r="O28" i="6302" l="1"/>
  <c r="O26" i="6302"/>
  <c r="O20" i="6295"/>
  <c r="O19" i="6295"/>
  <c r="O22" i="6303"/>
  <c r="O20" i="6303"/>
  <c r="O23" i="6303"/>
  <c r="C32" i="6303"/>
  <c r="B27" i="6303"/>
  <c r="C18" i="6303"/>
  <c r="B17" i="6303"/>
  <c r="C17" i="6303" s="1"/>
  <c r="B16" i="6303"/>
  <c r="O15" i="6303"/>
  <c r="H18" i="6303"/>
  <c r="B15" i="6303"/>
  <c r="C15" i="6303" s="1"/>
  <c r="O14" i="6303"/>
  <c r="C14" i="6303"/>
  <c r="O13" i="6303"/>
  <c r="H16" i="6303"/>
  <c r="C13" i="6303"/>
  <c r="O12" i="6303"/>
  <c r="H15" i="6303"/>
  <c r="C12" i="6303"/>
  <c r="B11" i="6303"/>
  <c r="C11" i="6303" s="1"/>
  <c r="C10" i="6303"/>
  <c r="O9" i="6303"/>
  <c r="H13" i="6303"/>
  <c r="C9" i="6303"/>
  <c r="O8" i="6303"/>
  <c r="C8" i="6303"/>
  <c r="O7" i="6303"/>
  <c r="H6" i="6303"/>
  <c r="C7" i="6303"/>
  <c r="O6" i="6303"/>
  <c r="H8" i="6303"/>
  <c r="B6" i="6303"/>
  <c r="O5" i="6303"/>
  <c r="B5" i="6303"/>
  <c r="O4" i="6303"/>
  <c r="H3" i="6303"/>
  <c r="O3" i="6303"/>
  <c r="H11" i="6303"/>
  <c r="O2" i="6303"/>
  <c r="O33" i="6287"/>
  <c r="O33" i="6272"/>
  <c r="H7" i="6303" l="1"/>
  <c r="H5" i="6303"/>
  <c r="H14" i="6303"/>
  <c r="H2" i="6303"/>
  <c r="H19" i="6303"/>
  <c r="H12" i="6303"/>
  <c r="H17" i="6303"/>
  <c r="B26" i="6303"/>
  <c r="C16" i="6303"/>
  <c r="C47" i="6303"/>
  <c r="C46" i="6303"/>
  <c r="C45" i="6303"/>
  <c r="C44" i="6303"/>
  <c r="C43" i="6303"/>
  <c r="H4" i="6303"/>
  <c r="C42" i="6303"/>
  <c r="H42" i="6303"/>
  <c r="C41" i="6303"/>
  <c r="H41" i="6303"/>
  <c r="C40" i="6303"/>
  <c r="H40" i="6303"/>
  <c r="C39" i="6303"/>
  <c r="H39" i="6303"/>
  <c r="C38" i="6303"/>
  <c r="H38" i="6303"/>
  <c r="C37" i="6303"/>
  <c r="H37" i="6303"/>
  <c r="C36" i="6303"/>
  <c r="H36" i="6303"/>
  <c r="C35" i="6303"/>
  <c r="H35" i="6303"/>
  <c r="H34" i="6303"/>
  <c r="H33" i="6303"/>
  <c r="H32" i="6303"/>
  <c r="H31" i="6303"/>
  <c r="H30" i="6303"/>
  <c r="H10" i="6303"/>
  <c r="H29" i="6303"/>
  <c r="H28" i="6303"/>
  <c r="H27" i="6303"/>
  <c r="B25" i="6303"/>
  <c r="H26" i="6303"/>
  <c r="B24" i="6303"/>
  <c r="H25" i="6303"/>
  <c r="C23" i="6303"/>
  <c r="H9" i="6303"/>
  <c r="C22" i="6303"/>
  <c r="H24" i="6303"/>
  <c r="C21" i="6303"/>
  <c r="H23" i="6303"/>
  <c r="C20" i="6303"/>
  <c r="H22" i="6303"/>
  <c r="C19" i="6303"/>
  <c r="H21" i="6303"/>
  <c r="H20" i="6303"/>
  <c r="O25" i="6298" l="1"/>
  <c r="O22" i="6287"/>
  <c r="O27" i="6302"/>
  <c r="O22" i="6302"/>
  <c r="O31" i="6302"/>
  <c r="C32" i="6302"/>
  <c r="B27" i="6302"/>
  <c r="C18" i="6302"/>
  <c r="B17" i="6302"/>
  <c r="C17" i="6302" s="1"/>
  <c r="B16" i="6302"/>
  <c r="O15" i="6302"/>
  <c r="H17" i="6302"/>
  <c r="B15" i="6302"/>
  <c r="C15" i="6302" s="1"/>
  <c r="O14" i="6302"/>
  <c r="H16" i="6302"/>
  <c r="C14" i="6302"/>
  <c r="O13" i="6302"/>
  <c r="C13" i="6302"/>
  <c r="O12" i="6302"/>
  <c r="C12" i="6302"/>
  <c r="H13" i="6302"/>
  <c r="B11" i="6302"/>
  <c r="C11" i="6302" s="1"/>
  <c r="H2" i="6302"/>
  <c r="C10" i="6302"/>
  <c r="O9" i="6302"/>
  <c r="H8" i="6302"/>
  <c r="C9" i="6302"/>
  <c r="O8" i="6302"/>
  <c r="H11" i="6302"/>
  <c r="C8" i="6302"/>
  <c r="O7" i="6302"/>
  <c r="H5" i="6302"/>
  <c r="C7" i="6302"/>
  <c r="O6" i="6302"/>
  <c r="H7" i="6302"/>
  <c r="B6" i="6302"/>
  <c r="O5" i="6302"/>
  <c r="H9" i="6302"/>
  <c r="B5" i="6302"/>
  <c r="O4" i="6302"/>
  <c r="O3" i="6302"/>
  <c r="H10" i="6302"/>
  <c r="O2" i="6302"/>
  <c r="H3" i="6302"/>
  <c r="O19" i="6299"/>
  <c r="O31" i="6272"/>
  <c r="H14" i="6302" l="1"/>
  <c r="H4" i="6302"/>
  <c r="H15" i="6302"/>
  <c r="H18" i="6302"/>
  <c r="B26" i="6302"/>
  <c r="C16" i="6302"/>
  <c r="C47" i="6302"/>
  <c r="C46" i="6302"/>
  <c r="C45" i="6302"/>
  <c r="C44" i="6302"/>
  <c r="C43" i="6302"/>
  <c r="H6" i="6302"/>
  <c r="C42" i="6302"/>
  <c r="H42" i="6302"/>
  <c r="C41" i="6302"/>
  <c r="H41" i="6302"/>
  <c r="C40" i="6302"/>
  <c r="H40" i="6302"/>
  <c r="C39" i="6302"/>
  <c r="H39" i="6302"/>
  <c r="C38" i="6302"/>
  <c r="H38" i="6302"/>
  <c r="C37" i="6302"/>
  <c r="H37" i="6302"/>
  <c r="C36" i="6302"/>
  <c r="H36" i="6302"/>
  <c r="C35" i="6302"/>
  <c r="H35" i="6302"/>
  <c r="H34" i="6302"/>
  <c r="H33" i="6302"/>
  <c r="H32" i="6302"/>
  <c r="H31" i="6302"/>
  <c r="H30" i="6302"/>
  <c r="H29" i="6302"/>
  <c r="H28" i="6302"/>
  <c r="H27" i="6302"/>
  <c r="H26" i="6302"/>
  <c r="B25" i="6302"/>
  <c r="H25" i="6302"/>
  <c r="B24" i="6302"/>
  <c r="H24" i="6302"/>
  <c r="C23" i="6302"/>
  <c r="H23" i="6302"/>
  <c r="C22" i="6302"/>
  <c r="H22" i="6302"/>
  <c r="C21" i="6302"/>
  <c r="H12" i="6302"/>
  <c r="C20" i="6302"/>
  <c r="H21" i="6302"/>
  <c r="C19" i="6302"/>
  <c r="H20" i="6302"/>
  <c r="H19" i="6302"/>
  <c r="O19" i="6287" l="1"/>
  <c r="O23" i="6295"/>
  <c r="O23" i="6301"/>
  <c r="O32" i="6301"/>
  <c r="O20" i="6301"/>
  <c r="C32" i="6301"/>
  <c r="B27" i="6301"/>
  <c r="C18" i="6301"/>
  <c r="B17" i="6301"/>
  <c r="C17" i="6301" s="1"/>
  <c r="B16" i="6301"/>
  <c r="O15" i="6301"/>
  <c r="H18" i="6301"/>
  <c r="B15" i="6301"/>
  <c r="C15" i="6301" s="1"/>
  <c r="O14" i="6301"/>
  <c r="H17" i="6301"/>
  <c r="C14" i="6301"/>
  <c r="O13" i="6301"/>
  <c r="C13" i="6301"/>
  <c r="O12" i="6301"/>
  <c r="H15" i="6301"/>
  <c r="C12" i="6301"/>
  <c r="H11" i="6301"/>
  <c r="B11" i="6301"/>
  <c r="C11" i="6301" s="1"/>
  <c r="H6" i="6301"/>
  <c r="C10" i="6301"/>
  <c r="O9" i="6301"/>
  <c r="H10" i="6301"/>
  <c r="C9" i="6301"/>
  <c r="O8" i="6301"/>
  <c r="H14" i="6301"/>
  <c r="C8" i="6301"/>
  <c r="O7" i="6301"/>
  <c r="H9" i="6301"/>
  <c r="C7" i="6301"/>
  <c r="O6" i="6301"/>
  <c r="H4" i="6301"/>
  <c r="B6" i="6301"/>
  <c r="O5" i="6301"/>
  <c r="H8" i="6301"/>
  <c r="B5" i="6301"/>
  <c r="O4" i="6301"/>
  <c r="H2" i="6301"/>
  <c r="O3" i="6301"/>
  <c r="H7" i="6301"/>
  <c r="O2" i="6301"/>
  <c r="H3" i="6301"/>
  <c r="O36" i="6277"/>
  <c r="O27" i="6272"/>
  <c r="H16" i="6301" l="1"/>
  <c r="H12" i="6301"/>
  <c r="B26" i="6301"/>
  <c r="C16" i="6301"/>
  <c r="C47" i="6301"/>
  <c r="C46" i="6301"/>
  <c r="C45" i="6301"/>
  <c r="C44" i="6301"/>
  <c r="C43" i="6301"/>
  <c r="H5" i="6301"/>
  <c r="C42" i="6301"/>
  <c r="H42" i="6301"/>
  <c r="C41" i="6301"/>
  <c r="H41" i="6301"/>
  <c r="C40" i="6301"/>
  <c r="H40" i="6301"/>
  <c r="C39" i="6301"/>
  <c r="H39" i="6301"/>
  <c r="C38" i="6301"/>
  <c r="H38" i="6301"/>
  <c r="C37" i="6301"/>
  <c r="H37" i="6301"/>
  <c r="C36" i="6301"/>
  <c r="H36" i="6301"/>
  <c r="C35" i="6301"/>
  <c r="H35" i="6301"/>
  <c r="H34" i="6301"/>
  <c r="H33" i="6301"/>
  <c r="H32" i="6301"/>
  <c r="H31" i="6301"/>
  <c r="H30" i="6301"/>
  <c r="H29" i="6301"/>
  <c r="H28" i="6301"/>
  <c r="H27" i="6301"/>
  <c r="H26" i="6301"/>
  <c r="B25" i="6301"/>
  <c r="H25" i="6301"/>
  <c r="B24" i="6301"/>
  <c r="H24" i="6301"/>
  <c r="C23" i="6301"/>
  <c r="H13" i="6301"/>
  <c r="C22" i="6301"/>
  <c r="H23" i="6301"/>
  <c r="C21" i="6301"/>
  <c r="H22" i="6301"/>
  <c r="C20" i="6301"/>
  <c r="H21" i="6301"/>
  <c r="C19" i="6301"/>
  <c r="H20" i="6301"/>
  <c r="H19" i="6301"/>
  <c r="O29" i="6298" l="1"/>
  <c r="O29" i="6277"/>
  <c r="O22" i="6295" l="1"/>
  <c r="O21" i="6295"/>
  <c r="O31" i="6295"/>
  <c r="O31" i="6298"/>
  <c r="O26" i="6298"/>
  <c r="O25" i="6299"/>
  <c r="O22" i="6299"/>
  <c r="O59" i="6272"/>
  <c r="O19" i="6300"/>
  <c r="O18" i="6300"/>
  <c r="O20" i="6300"/>
  <c r="C32" i="6300"/>
  <c r="B27" i="6300"/>
  <c r="C18" i="6300"/>
  <c r="B17" i="6300"/>
  <c r="C17" i="6300" s="1"/>
  <c r="H8" i="6300"/>
  <c r="B16" i="6300"/>
  <c r="O15" i="6300"/>
  <c r="H18" i="6300"/>
  <c r="B15" i="6300"/>
  <c r="C15" i="6300" s="1"/>
  <c r="O14" i="6300"/>
  <c r="H17" i="6300"/>
  <c r="C14" i="6300"/>
  <c r="O13" i="6300"/>
  <c r="H16" i="6300"/>
  <c r="C13" i="6300"/>
  <c r="O12" i="6300"/>
  <c r="H15" i="6300"/>
  <c r="C12" i="6300"/>
  <c r="H14" i="6300"/>
  <c r="B11" i="6300"/>
  <c r="C11" i="6300" s="1"/>
  <c r="H2" i="6300"/>
  <c r="C10" i="6300"/>
  <c r="O9" i="6300"/>
  <c r="H13" i="6300"/>
  <c r="C9" i="6300"/>
  <c r="O8" i="6300"/>
  <c r="H12" i="6300"/>
  <c r="C8" i="6300"/>
  <c r="O7" i="6300"/>
  <c r="H11" i="6300"/>
  <c r="C7" i="6300"/>
  <c r="O6" i="6300"/>
  <c r="H7" i="6300"/>
  <c r="B6" i="6300"/>
  <c r="O5" i="6300"/>
  <c r="H4" i="6300"/>
  <c r="B5" i="6300"/>
  <c r="O4" i="6300"/>
  <c r="H10" i="6300"/>
  <c r="O3" i="6300"/>
  <c r="H6" i="6300"/>
  <c r="O2" i="6300"/>
  <c r="H3" i="6300"/>
  <c r="B26" i="6300" l="1"/>
  <c r="C16" i="6300"/>
  <c r="C47" i="6300"/>
  <c r="C46" i="6300"/>
  <c r="C45" i="6300"/>
  <c r="C44" i="6300"/>
  <c r="C43" i="6300"/>
  <c r="H5" i="6300"/>
  <c r="C42" i="6300"/>
  <c r="H42" i="6300"/>
  <c r="C41" i="6300"/>
  <c r="H41" i="6300"/>
  <c r="C40" i="6300"/>
  <c r="H40" i="6300"/>
  <c r="C39" i="6300"/>
  <c r="H39" i="6300"/>
  <c r="C38" i="6300"/>
  <c r="H38" i="6300"/>
  <c r="C37" i="6300"/>
  <c r="H37" i="6300"/>
  <c r="C36" i="6300"/>
  <c r="H36" i="6300"/>
  <c r="C35" i="6300"/>
  <c r="H35" i="6300"/>
  <c r="H34" i="6300"/>
  <c r="H33" i="6300"/>
  <c r="H32" i="6300"/>
  <c r="H31" i="6300"/>
  <c r="H30" i="6300"/>
  <c r="H9" i="6300"/>
  <c r="H29" i="6300"/>
  <c r="H28" i="6300"/>
  <c r="H27" i="6300"/>
  <c r="B25" i="6300"/>
  <c r="H26" i="6300"/>
  <c r="B24" i="6300"/>
  <c r="H25" i="6300"/>
  <c r="C23" i="6300"/>
  <c r="H24" i="6300"/>
  <c r="C22" i="6300"/>
  <c r="H23" i="6300"/>
  <c r="C21" i="6300"/>
  <c r="H22" i="6300"/>
  <c r="C20" i="6300"/>
  <c r="H21" i="6300"/>
  <c r="C19" i="6300"/>
  <c r="H20" i="6300"/>
  <c r="H19" i="6300"/>
  <c r="O19" i="6293" l="1"/>
  <c r="O26" i="6293"/>
  <c r="O30" i="6287"/>
  <c r="O26" i="6287"/>
  <c r="O18" i="6299"/>
  <c r="O24" i="6299"/>
  <c r="O23" i="6299"/>
  <c r="C32" i="6299"/>
  <c r="B27" i="6299"/>
  <c r="C18" i="6299"/>
  <c r="B17" i="6299"/>
  <c r="C17" i="6299" s="1"/>
  <c r="H18" i="6299"/>
  <c r="B16" i="6299"/>
  <c r="O15" i="6299"/>
  <c r="H17" i="6299"/>
  <c r="B15" i="6299"/>
  <c r="C15" i="6299" s="1"/>
  <c r="O14" i="6299"/>
  <c r="H16" i="6299"/>
  <c r="C14" i="6299"/>
  <c r="O13" i="6299"/>
  <c r="H15" i="6299"/>
  <c r="C13" i="6299"/>
  <c r="O12" i="6299"/>
  <c r="H12" i="6299"/>
  <c r="C12" i="6299"/>
  <c r="H14" i="6299"/>
  <c r="B11" i="6299"/>
  <c r="C11" i="6299" s="1"/>
  <c r="H9" i="6299"/>
  <c r="C10" i="6299"/>
  <c r="O9" i="6299"/>
  <c r="H8" i="6299"/>
  <c r="C9" i="6299"/>
  <c r="O8" i="6299"/>
  <c r="H11" i="6299"/>
  <c r="C8" i="6299"/>
  <c r="O7" i="6299"/>
  <c r="H5" i="6299"/>
  <c r="C7" i="6299"/>
  <c r="O6" i="6299"/>
  <c r="H10" i="6299"/>
  <c r="B6" i="6299"/>
  <c r="O5" i="6299"/>
  <c r="H7" i="6299"/>
  <c r="B5" i="6299"/>
  <c r="O4" i="6299"/>
  <c r="H3" i="6299"/>
  <c r="O3" i="6299"/>
  <c r="H6" i="6299"/>
  <c r="O2" i="6299"/>
  <c r="H2" i="6299"/>
  <c r="O35" i="6272"/>
  <c r="O19" i="6298"/>
  <c r="O28" i="6298"/>
  <c r="O27" i="6298"/>
  <c r="C32" i="6298"/>
  <c r="B27" i="6298"/>
  <c r="C18" i="6298"/>
  <c r="B17" i="6298"/>
  <c r="C17" i="6298" s="1"/>
  <c r="H20" i="6298"/>
  <c r="B16" i="6298"/>
  <c r="O15" i="6298"/>
  <c r="H19" i="6298"/>
  <c r="B15" i="6298"/>
  <c r="C15" i="6298" s="1"/>
  <c r="O14" i="6298"/>
  <c r="C14" i="6298"/>
  <c r="O13" i="6298"/>
  <c r="H17" i="6298"/>
  <c r="C13" i="6298"/>
  <c r="O12" i="6298"/>
  <c r="H16" i="6298"/>
  <c r="C12" i="6298"/>
  <c r="H15" i="6298"/>
  <c r="B11" i="6298"/>
  <c r="C11" i="6298" s="1"/>
  <c r="H5" i="6298"/>
  <c r="C10" i="6298"/>
  <c r="O9" i="6298"/>
  <c r="H9" i="6298"/>
  <c r="C9" i="6298"/>
  <c r="O8" i="6298"/>
  <c r="H10" i="6298"/>
  <c r="C8" i="6298"/>
  <c r="O7" i="6298"/>
  <c r="H8" i="6298"/>
  <c r="C7" i="6298"/>
  <c r="O6" i="6298"/>
  <c r="H7" i="6298"/>
  <c r="B6" i="6298"/>
  <c r="O5" i="6298"/>
  <c r="B5" i="6298"/>
  <c r="O4" i="6298"/>
  <c r="H2" i="6298"/>
  <c r="O3" i="6298"/>
  <c r="H13" i="6298"/>
  <c r="O2" i="6298"/>
  <c r="H3" i="6298"/>
  <c r="O37" i="6272"/>
  <c r="H6" i="6298" l="1"/>
  <c r="H18" i="6298"/>
  <c r="B26" i="6299"/>
  <c r="C16" i="6299"/>
  <c r="B26" i="6298"/>
  <c r="C16" i="6298"/>
  <c r="C47" i="6299"/>
  <c r="C46" i="6299"/>
  <c r="C45" i="6299"/>
  <c r="C44" i="6299"/>
  <c r="C43" i="6299"/>
  <c r="H4" i="6299"/>
  <c r="C42" i="6299"/>
  <c r="H42" i="6299"/>
  <c r="C41" i="6299"/>
  <c r="H41" i="6299"/>
  <c r="C40" i="6299"/>
  <c r="H40" i="6299"/>
  <c r="C39" i="6299"/>
  <c r="H39" i="6299"/>
  <c r="C38" i="6299"/>
  <c r="H38" i="6299"/>
  <c r="C37" i="6299"/>
  <c r="H37" i="6299"/>
  <c r="C36" i="6299"/>
  <c r="H36" i="6299"/>
  <c r="C35" i="6299"/>
  <c r="H35" i="6299"/>
  <c r="H34" i="6299"/>
  <c r="H33" i="6299"/>
  <c r="H32" i="6299"/>
  <c r="H31" i="6299"/>
  <c r="H30" i="6299"/>
  <c r="H29" i="6299"/>
  <c r="H13" i="6299"/>
  <c r="H28" i="6299"/>
  <c r="H27" i="6299"/>
  <c r="B25" i="6299"/>
  <c r="H26" i="6299"/>
  <c r="B24" i="6299"/>
  <c r="H25" i="6299"/>
  <c r="C23" i="6299"/>
  <c r="H24" i="6299"/>
  <c r="C22" i="6299"/>
  <c r="H23" i="6299"/>
  <c r="C21" i="6299"/>
  <c r="H22" i="6299"/>
  <c r="C20" i="6299"/>
  <c r="H21" i="6299"/>
  <c r="C19" i="6299"/>
  <c r="H20" i="6299"/>
  <c r="H19" i="6299"/>
  <c r="C47" i="6298"/>
  <c r="C46" i="6298"/>
  <c r="C45" i="6298"/>
  <c r="C44" i="6298"/>
  <c r="C43" i="6298"/>
  <c r="H4" i="6298"/>
  <c r="C42" i="6298"/>
  <c r="H42" i="6298"/>
  <c r="C41" i="6298"/>
  <c r="H41" i="6298"/>
  <c r="C40" i="6298"/>
  <c r="H40" i="6298"/>
  <c r="C39" i="6298"/>
  <c r="H39" i="6298"/>
  <c r="C38" i="6298"/>
  <c r="H38" i="6298"/>
  <c r="C37" i="6298"/>
  <c r="H37" i="6298"/>
  <c r="C36" i="6298"/>
  <c r="H36" i="6298"/>
  <c r="C35" i="6298"/>
  <c r="H35" i="6298"/>
  <c r="H14" i="6298"/>
  <c r="H34" i="6298"/>
  <c r="H33" i="6298"/>
  <c r="H32" i="6298"/>
  <c r="H31" i="6298"/>
  <c r="H12" i="6298"/>
  <c r="H30" i="6298"/>
  <c r="H29" i="6298"/>
  <c r="H28" i="6298"/>
  <c r="B25" i="6298"/>
  <c r="H27" i="6298"/>
  <c r="B24" i="6298"/>
  <c r="H26" i="6298"/>
  <c r="C23" i="6298"/>
  <c r="H25" i="6298"/>
  <c r="C22" i="6298"/>
  <c r="H24" i="6298"/>
  <c r="C21" i="6298"/>
  <c r="H23" i="6298"/>
  <c r="C20" i="6298"/>
  <c r="H22" i="6298"/>
  <c r="C19" i="6298"/>
  <c r="H11" i="6298"/>
  <c r="H21" i="6298"/>
  <c r="O32" i="6295" l="1"/>
  <c r="O22" i="6293"/>
  <c r="O22" i="6296"/>
  <c r="O18" i="6296"/>
  <c r="O19" i="6274"/>
  <c r="O20" i="6274"/>
  <c r="O19" i="6296" l="1"/>
  <c r="O20" i="6296"/>
  <c r="O21" i="6296"/>
  <c r="C32" i="6297"/>
  <c r="B27" i="6297"/>
  <c r="C18" i="6297"/>
  <c r="C17" i="6297"/>
  <c r="B17" i="6297"/>
  <c r="C47" i="6297" s="1"/>
  <c r="C16" i="6297"/>
  <c r="B16" i="6297"/>
  <c r="B26" i="6297" s="1"/>
  <c r="O15" i="6297"/>
  <c r="C15" i="6297"/>
  <c r="B15" i="6297"/>
  <c r="O14" i="6297"/>
  <c r="C14" i="6297"/>
  <c r="O13" i="6297"/>
  <c r="C13" i="6297"/>
  <c r="O12" i="6297"/>
  <c r="C12" i="6297"/>
  <c r="C11" i="6297"/>
  <c r="B11" i="6297"/>
  <c r="C10" i="6297"/>
  <c r="O9" i="6297"/>
  <c r="C9" i="6297"/>
  <c r="O8" i="6297"/>
  <c r="C8" i="6297"/>
  <c r="O7" i="6297"/>
  <c r="C7" i="6297"/>
  <c r="O6" i="6297"/>
  <c r="H6" i="6297"/>
  <c r="B6" i="6297"/>
  <c r="O5" i="6297"/>
  <c r="B5" i="6297"/>
  <c r="O4" i="6297"/>
  <c r="O3" i="6297"/>
  <c r="O2" i="6297"/>
  <c r="O24" i="6295"/>
  <c r="O27" i="6277"/>
  <c r="O24" i="6287"/>
  <c r="O29" i="6272"/>
  <c r="H10" i="6297" l="1"/>
  <c r="H3" i="6297"/>
  <c r="H13" i="6297"/>
  <c r="H18" i="6297"/>
  <c r="H24" i="6297"/>
  <c r="H35" i="6297"/>
  <c r="C44" i="6297"/>
  <c r="H5" i="6297"/>
  <c r="H9" i="6297"/>
  <c r="H12" i="6297"/>
  <c r="C19" i="6297"/>
  <c r="C21" i="6297"/>
  <c r="C23" i="6297"/>
  <c r="B25" i="6297"/>
  <c r="H30" i="6297"/>
  <c r="H33" i="6297"/>
  <c r="C36" i="6297"/>
  <c r="C38" i="6297"/>
  <c r="C40" i="6297"/>
  <c r="C42" i="6297"/>
  <c r="C45" i="6297"/>
  <c r="H20" i="6297"/>
  <c r="H29" i="6297"/>
  <c r="H41" i="6297"/>
  <c r="H2" i="6297"/>
  <c r="H4" i="6297"/>
  <c r="H8" i="6297"/>
  <c r="H17" i="6297"/>
  <c r="H19" i="6297"/>
  <c r="H21" i="6297"/>
  <c r="H23" i="6297"/>
  <c r="H25" i="6297"/>
  <c r="H27" i="6297"/>
  <c r="H31" i="6297"/>
  <c r="H34" i="6297"/>
  <c r="H36" i="6297"/>
  <c r="H38" i="6297"/>
  <c r="H40" i="6297"/>
  <c r="H42" i="6297"/>
  <c r="C46" i="6297"/>
  <c r="H22" i="6297"/>
  <c r="H26" i="6297"/>
  <c r="H32" i="6297"/>
  <c r="H37" i="6297"/>
  <c r="H39" i="6297"/>
  <c r="H7" i="6297"/>
  <c r="H11" i="6297"/>
  <c r="H14" i="6297"/>
  <c r="H15" i="6297"/>
  <c r="H16" i="6297"/>
  <c r="C20" i="6297"/>
  <c r="C22" i="6297"/>
  <c r="B24" i="6297"/>
  <c r="H28" i="6297"/>
  <c r="C35" i="6297"/>
  <c r="C37" i="6297"/>
  <c r="C39" i="6297"/>
  <c r="C41" i="6297"/>
  <c r="C43" i="6297"/>
  <c r="C32" i="6296" l="1"/>
  <c r="B27" i="6296"/>
  <c r="H20" i="6296"/>
  <c r="C18" i="6296"/>
  <c r="B17" i="6296"/>
  <c r="C47" i="6296" s="1"/>
  <c r="C16" i="6296"/>
  <c r="B16" i="6296"/>
  <c r="B26" i="6296" s="1"/>
  <c r="O15" i="6296"/>
  <c r="B15" i="6296"/>
  <c r="C15" i="6296" s="1"/>
  <c r="O14" i="6296"/>
  <c r="C14" i="6296"/>
  <c r="O13" i="6296"/>
  <c r="H13" i="6296"/>
  <c r="C13" i="6296"/>
  <c r="O12" i="6296"/>
  <c r="C12" i="6296"/>
  <c r="B11" i="6296"/>
  <c r="C11" i="6296" s="1"/>
  <c r="H4" i="6296"/>
  <c r="C10" i="6296"/>
  <c r="O9" i="6296"/>
  <c r="C9" i="6296"/>
  <c r="O8" i="6296"/>
  <c r="C8" i="6296"/>
  <c r="O7" i="6296"/>
  <c r="C7" i="6296"/>
  <c r="O6" i="6296"/>
  <c r="H5" i="6296"/>
  <c r="B6" i="6296"/>
  <c r="O5" i="6296"/>
  <c r="B5" i="6296"/>
  <c r="O4" i="6296"/>
  <c r="O3" i="6296"/>
  <c r="H6" i="6296"/>
  <c r="O2" i="6296"/>
  <c r="O20" i="6293"/>
  <c r="O26" i="6295"/>
  <c r="H22" i="6296" l="1"/>
  <c r="C17" i="6296"/>
  <c r="H18" i="6296"/>
  <c r="H24" i="6296"/>
  <c r="H26" i="6296"/>
  <c r="H29" i="6296"/>
  <c r="H32" i="6296"/>
  <c r="H35" i="6296"/>
  <c r="H37" i="6296"/>
  <c r="H39" i="6296"/>
  <c r="H41" i="6296"/>
  <c r="C44" i="6296"/>
  <c r="H3" i="6296"/>
  <c r="H10" i="6296"/>
  <c r="H12" i="6296"/>
  <c r="C19" i="6296"/>
  <c r="C21" i="6296"/>
  <c r="C23" i="6296"/>
  <c r="B25" i="6296"/>
  <c r="H30" i="6296"/>
  <c r="H33" i="6296"/>
  <c r="C36" i="6296"/>
  <c r="C38" i="6296"/>
  <c r="C40" i="6296"/>
  <c r="C42" i="6296"/>
  <c r="C45" i="6296"/>
  <c r="H2" i="6296"/>
  <c r="H7" i="6296"/>
  <c r="H9" i="6296"/>
  <c r="H17" i="6296"/>
  <c r="H19" i="6296"/>
  <c r="H21" i="6296"/>
  <c r="H23" i="6296"/>
  <c r="H25" i="6296"/>
  <c r="H27" i="6296"/>
  <c r="H31" i="6296"/>
  <c r="H34" i="6296"/>
  <c r="H36" i="6296"/>
  <c r="H38" i="6296"/>
  <c r="H40" i="6296"/>
  <c r="H42" i="6296"/>
  <c r="C46" i="6296"/>
  <c r="H8" i="6296"/>
  <c r="H11" i="6296"/>
  <c r="H14" i="6296"/>
  <c r="H15" i="6296"/>
  <c r="H16" i="6296"/>
  <c r="C20" i="6296"/>
  <c r="C22" i="6296"/>
  <c r="B24" i="6296"/>
  <c r="H28" i="6296"/>
  <c r="C35" i="6296"/>
  <c r="C37" i="6296"/>
  <c r="C39" i="6296"/>
  <c r="C41" i="6296"/>
  <c r="C43" i="6296"/>
  <c r="O29" i="6295" l="1"/>
  <c r="O28" i="6275"/>
  <c r="O37" i="6287" l="1"/>
  <c r="O21" i="6274"/>
  <c r="O24" i="6274"/>
  <c r="O24" i="6293"/>
  <c r="O28" i="6295" l="1"/>
  <c r="O27" i="6295"/>
  <c r="O30" i="6295"/>
  <c r="C32" i="6295"/>
  <c r="B27" i="6295"/>
  <c r="C18" i="6295"/>
  <c r="B17" i="6295"/>
  <c r="C46" i="6295" s="1"/>
  <c r="B16" i="6295"/>
  <c r="B26" i="6295" s="1"/>
  <c r="O15" i="6295"/>
  <c r="B15" i="6295"/>
  <c r="C15" i="6295" s="1"/>
  <c r="O14" i="6295"/>
  <c r="C14" i="6295"/>
  <c r="O13" i="6295"/>
  <c r="C13" i="6295"/>
  <c r="O12" i="6295"/>
  <c r="C12" i="6295"/>
  <c r="B11" i="6295"/>
  <c r="C11" i="6295" s="1"/>
  <c r="C10" i="6295"/>
  <c r="O9" i="6295"/>
  <c r="C9" i="6295"/>
  <c r="O8" i="6295"/>
  <c r="C8" i="6295"/>
  <c r="O7" i="6295"/>
  <c r="C7" i="6295"/>
  <c r="O6" i="6295"/>
  <c r="B6" i="6295"/>
  <c r="O5" i="6295"/>
  <c r="B5" i="6295"/>
  <c r="O4" i="6295"/>
  <c r="O3" i="6295"/>
  <c r="O2" i="6295"/>
  <c r="O19" i="6294"/>
  <c r="O20" i="6294"/>
  <c r="O18" i="6294"/>
  <c r="C32" i="6294"/>
  <c r="B27" i="6294"/>
  <c r="C20" i="6294"/>
  <c r="C18" i="6294"/>
  <c r="B17" i="6294"/>
  <c r="C47" i="6294" s="1"/>
  <c r="H16" i="6294"/>
  <c r="C16" i="6294"/>
  <c r="B16" i="6294"/>
  <c r="B26" i="6294" s="1"/>
  <c r="O15" i="6294"/>
  <c r="B15" i="6294"/>
  <c r="C15" i="6294" s="1"/>
  <c r="O14" i="6294"/>
  <c r="H14" i="6294"/>
  <c r="C14" i="6294"/>
  <c r="O13" i="6294"/>
  <c r="C13" i="6294"/>
  <c r="O12" i="6294"/>
  <c r="C12" i="6294"/>
  <c r="H11" i="6294"/>
  <c r="B11" i="6294"/>
  <c r="C11" i="6294" s="1"/>
  <c r="C10" i="6294"/>
  <c r="O9" i="6294"/>
  <c r="C9" i="6294"/>
  <c r="O8" i="6294"/>
  <c r="C8" i="6294"/>
  <c r="O7" i="6294"/>
  <c r="C7" i="6294"/>
  <c r="O6" i="6294"/>
  <c r="B6" i="6294"/>
  <c r="O5" i="6294"/>
  <c r="B5" i="6294"/>
  <c r="O4" i="6294"/>
  <c r="O3" i="6294"/>
  <c r="H4" i="6294"/>
  <c r="O2" i="6294"/>
  <c r="O29" i="6287"/>
  <c r="O31" i="6287"/>
  <c r="O33" i="6277"/>
  <c r="O22" i="6277"/>
  <c r="O36" i="6272"/>
  <c r="O30" i="6272"/>
  <c r="B25" i="6294" l="1"/>
  <c r="C37" i="6294"/>
  <c r="H31" i="6294"/>
  <c r="H12" i="6295"/>
  <c r="H8" i="6295"/>
  <c r="H17" i="6295"/>
  <c r="C21" i="6295"/>
  <c r="C35" i="6295"/>
  <c r="C41" i="6295"/>
  <c r="C47" i="6295"/>
  <c r="H14" i="6295"/>
  <c r="C23" i="6295"/>
  <c r="H9" i="6295"/>
  <c r="C36" i="6295"/>
  <c r="C42" i="6295"/>
  <c r="C19" i="6295"/>
  <c r="B24" i="6295"/>
  <c r="C37" i="6295"/>
  <c r="C43" i="6295"/>
  <c r="H7" i="6295"/>
  <c r="H6" i="6295"/>
  <c r="H16" i="6295"/>
  <c r="H10" i="6295"/>
  <c r="H5" i="6295"/>
  <c r="H11" i="6295"/>
  <c r="H19" i="6295"/>
  <c r="C17" i="6295"/>
  <c r="C20" i="6295"/>
  <c r="H28" i="6295"/>
  <c r="H34" i="6295"/>
  <c r="H38" i="6295"/>
  <c r="C45" i="6295"/>
  <c r="C16" i="6295"/>
  <c r="C38" i="6295"/>
  <c r="H31" i="6295"/>
  <c r="H3" i="6295"/>
  <c r="H13" i="6295"/>
  <c r="H18" i="6295"/>
  <c r="H20" i="6295"/>
  <c r="C22" i="6295"/>
  <c r="C39" i="6295"/>
  <c r="H25" i="6295"/>
  <c r="H33" i="6295"/>
  <c r="C40" i="6295"/>
  <c r="H42" i="6295"/>
  <c r="H22" i="6295"/>
  <c r="H26" i="6295"/>
  <c r="H29" i="6295"/>
  <c r="H35" i="6295"/>
  <c r="H39" i="6295"/>
  <c r="H2" i="6295"/>
  <c r="H23" i="6295"/>
  <c r="H27" i="6295"/>
  <c r="H30" i="6295"/>
  <c r="H36" i="6295"/>
  <c r="H40" i="6295"/>
  <c r="C44" i="6295"/>
  <c r="B25" i="6295"/>
  <c r="H4" i="6295"/>
  <c r="H21" i="6295"/>
  <c r="H24" i="6295"/>
  <c r="H15" i="6295"/>
  <c r="H32" i="6295"/>
  <c r="H37" i="6295"/>
  <c r="H41" i="6295"/>
  <c r="H7" i="6294"/>
  <c r="H12" i="6294"/>
  <c r="C38" i="6294"/>
  <c r="H37" i="6294"/>
  <c r="H32" i="6294"/>
  <c r="C22" i="6294"/>
  <c r="H38" i="6294"/>
  <c r="H25" i="6294"/>
  <c r="H15" i="6294"/>
  <c r="H21" i="6294"/>
  <c r="H26" i="6294"/>
  <c r="H22" i="6294"/>
  <c r="C39" i="6294"/>
  <c r="H2" i="6294"/>
  <c r="C23" i="6294"/>
  <c r="H27" i="6294"/>
  <c r="C35" i="6294"/>
  <c r="C40" i="6294"/>
  <c r="H33" i="6294"/>
  <c r="H13" i="6294"/>
  <c r="H18" i="6294"/>
  <c r="H6" i="6294"/>
  <c r="C19" i="6294"/>
  <c r="H28" i="6294"/>
  <c r="C36" i="6294"/>
  <c r="H40" i="6294"/>
  <c r="C21" i="6294"/>
  <c r="H10" i="6294"/>
  <c r="C17" i="6294"/>
  <c r="H5" i="6294"/>
  <c r="H17" i="6294"/>
  <c r="H8" i="6294"/>
  <c r="H34" i="6294"/>
  <c r="H23" i="6294"/>
  <c r="H3" i="6294"/>
  <c r="H9" i="6294"/>
  <c r="H19" i="6294"/>
  <c r="B24" i="6294"/>
  <c r="H30" i="6294"/>
  <c r="H36" i="6294"/>
  <c r="C41" i="6294"/>
  <c r="H41" i="6294"/>
  <c r="C42" i="6294"/>
  <c r="H42" i="6294"/>
  <c r="C43" i="6294"/>
  <c r="H20" i="6294"/>
  <c r="H24" i="6294"/>
  <c r="H29" i="6294"/>
  <c r="H35" i="6294"/>
  <c r="H39" i="6294"/>
  <c r="C44" i="6294"/>
  <c r="C45" i="6294"/>
  <c r="C46" i="6294"/>
  <c r="O25" i="6293" l="1"/>
  <c r="O21" i="6293"/>
  <c r="O28" i="6293"/>
  <c r="C32" i="6293"/>
  <c r="B27" i="6293"/>
  <c r="C18" i="6293"/>
  <c r="B17" i="6293"/>
  <c r="C44" i="6293" s="1"/>
  <c r="C16" i="6293"/>
  <c r="B16" i="6293"/>
  <c r="B26" i="6293" s="1"/>
  <c r="O15" i="6293"/>
  <c r="B15" i="6293"/>
  <c r="C15" i="6293" s="1"/>
  <c r="O14" i="6293"/>
  <c r="C14" i="6293"/>
  <c r="O13" i="6293"/>
  <c r="C13" i="6293"/>
  <c r="O12" i="6293"/>
  <c r="C12" i="6293"/>
  <c r="B11" i="6293"/>
  <c r="C11" i="6293" s="1"/>
  <c r="C10" i="6293"/>
  <c r="O9" i="6293"/>
  <c r="C9" i="6293"/>
  <c r="O8" i="6293"/>
  <c r="C8" i="6293"/>
  <c r="O7" i="6293"/>
  <c r="C7" i="6293"/>
  <c r="O6" i="6293"/>
  <c r="B6" i="6293"/>
  <c r="O5" i="6293"/>
  <c r="B5" i="6293"/>
  <c r="O4" i="6293"/>
  <c r="O3" i="6293"/>
  <c r="O2" i="6293"/>
  <c r="O30" i="6277"/>
  <c r="O35" i="6287"/>
  <c r="O21" i="6275"/>
  <c r="O32" i="6272"/>
  <c r="O18" i="6277"/>
  <c r="O21" i="6286"/>
  <c r="O23" i="6292"/>
  <c r="O21" i="6292"/>
  <c r="O22" i="6292"/>
  <c r="O18" i="6291"/>
  <c r="H7" i="6293" l="1"/>
  <c r="H6" i="6293"/>
  <c r="C22" i="6293"/>
  <c r="H34" i="6293"/>
  <c r="H11" i="6293"/>
  <c r="H14" i="6293"/>
  <c r="C43" i="6293"/>
  <c r="C23" i="6293"/>
  <c r="H4" i="6293"/>
  <c r="H35" i="6293"/>
  <c r="C46" i="6293"/>
  <c r="H9" i="6293"/>
  <c r="H24" i="6293"/>
  <c r="C17" i="6293"/>
  <c r="B24" i="6293"/>
  <c r="C38" i="6293"/>
  <c r="H8" i="6293"/>
  <c r="H39" i="6293"/>
  <c r="H5" i="6293"/>
  <c r="H18" i="6293"/>
  <c r="H26" i="6293"/>
  <c r="C47" i="6293"/>
  <c r="H16" i="6293"/>
  <c r="H31" i="6293"/>
  <c r="C39" i="6293"/>
  <c r="C45" i="6293"/>
  <c r="H3" i="6293"/>
  <c r="C37" i="6293"/>
  <c r="H13" i="6293"/>
  <c r="C19" i="6293"/>
  <c r="H20" i="6293"/>
  <c r="H32" i="6293"/>
  <c r="C40" i="6293"/>
  <c r="H2" i="6293"/>
  <c r="H10" i="6293"/>
  <c r="C20" i="6293"/>
  <c r="C35" i="6293"/>
  <c r="H41" i="6293"/>
  <c r="H12" i="6293"/>
  <c r="H15" i="6293"/>
  <c r="H17" i="6293"/>
  <c r="C21" i="6293"/>
  <c r="H28" i="6293"/>
  <c r="C36" i="6293"/>
  <c r="C41" i="6293"/>
  <c r="H22" i="6293"/>
  <c r="H29" i="6293"/>
  <c r="H37" i="6293"/>
  <c r="C42" i="6293"/>
  <c r="H19" i="6293"/>
  <c r="H23" i="6293"/>
  <c r="H27" i="6293"/>
  <c r="H33" i="6293"/>
  <c r="H38" i="6293"/>
  <c r="H42" i="6293"/>
  <c r="H21" i="6293"/>
  <c r="H25" i="6293"/>
  <c r="H30" i="6293"/>
  <c r="H36" i="6293"/>
  <c r="H40" i="6293"/>
  <c r="B25" i="6293"/>
  <c r="O32" i="6280"/>
  <c r="O19" i="6291"/>
  <c r="O22" i="6276" l="1"/>
  <c r="O19" i="6289"/>
  <c r="O25" i="6287" l="1"/>
  <c r="O18" i="6292"/>
  <c r="O19" i="6292"/>
  <c r="O20" i="6292"/>
  <c r="H40" i="6292"/>
  <c r="H37" i="6292"/>
  <c r="H34" i="6292"/>
  <c r="C32" i="6292"/>
  <c r="H27" i="6292"/>
  <c r="B27" i="6292"/>
  <c r="H26" i="6292"/>
  <c r="H23" i="6292"/>
  <c r="H22" i="6292"/>
  <c r="H21" i="6292"/>
  <c r="C19" i="6292"/>
  <c r="C18" i="6292"/>
  <c r="C17" i="6292"/>
  <c r="B17" i="6292"/>
  <c r="C47" i="6292" s="1"/>
  <c r="H16" i="6292"/>
  <c r="C16" i="6292"/>
  <c r="B16" i="6292"/>
  <c r="B26" i="6292" s="1"/>
  <c r="O15" i="6292"/>
  <c r="H15" i="6292"/>
  <c r="B15" i="6292"/>
  <c r="C15" i="6292" s="1"/>
  <c r="O14" i="6292"/>
  <c r="H14" i="6292"/>
  <c r="C14" i="6292"/>
  <c r="O13" i="6292"/>
  <c r="H13" i="6292"/>
  <c r="C13" i="6292"/>
  <c r="O12" i="6292"/>
  <c r="C12" i="6292"/>
  <c r="H11" i="6292"/>
  <c r="C11" i="6292"/>
  <c r="B11" i="6292"/>
  <c r="H10" i="6292"/>
  <c r="C10" i="6292"/>
  <c r="O9" i="6292"/>
  <c r="C9" i="6292"/>
  <c r="O8" i="6292"/>
  <c r="H8" i="6292"/>
  <c r="C8" i="6292"/>
  <c r="O7" i="6292"/>
  <c r="H7" i="6292"/>
  <c r="C7" i="6292"/>
  <c r="O6" i="6292"/>
  <c r="H6" i="6292"/>
  <c r="B6" i="6292"/>
  <c r="O5" i="6292"/>
  <c r="H5" i="6292"/>
  <c r="B5" i="6292"/>
  <c r="O4" i="6292"/>
  <c r="H4" i="6292"/>
  <c r="O3" i="6292"/>
  <c r="H3" i="6292"/>
  <c r="O2" i="6292"/>
  <c r="H2" i="6292"/>
  <c r="O26" i="6280"/>
  <c r="O20" i="6284"/>
  <c r="O21" i="6272"/>
  <c r="H18" i="6292" l="1"/>
  <c r="C22" i="6292"/>
  <c r="H25" i="6292"/>
  <c r="H31" i="6292"/>
  <c r="H36" i="6292"/>
  <c r="H41" i="6292"/>
  <c r="H42" i="6292"/>
  <c r="H17" i="6292"/>
  <c r="H19" i="6292"/>
  <c r="C23" i="6292"/>
  <c r="H32" i="6292"/>
  <c r="H38" i="6292"/>
  <c r="C46" i="6292"/>
  <c r="H33" i="6292"/>
  <c r="C38" i="6292"/>
  <c r="C42" i="6292"/>
  <c r="C20" i="6292"/>
  <c r="B24" i="6292"/>
  <c r="H28" i="6292"/>
  <c r="C35" i="6292"/>
  <c r="C39" i="6292"/>
  <c r="C43" i="6292"/>
  <c r="H20" i="6292"/>
  <c r="H24" i="6292"/>
  <c r="H29" i="6292"/>
  <c r="H35" i="6292"/>
  <c r="H39" i="6292"/>
  <c r="C44" i="6292"/>
  <c r="H9" i="6292"/>
  <c r="H12" i="6292"/>
  <c r="C21" i="6292"/>
  <c r="B25" i="6292"/>
  <c r="H30" i="6292"/>
  <c r="C36" i="6292"/>
  <c r="C40" i="6292"/>
  <c r="C45" i="6292"/>
  <c r="C37" i="6292"/>
  <c r="C41" i="6292"/>
  <c r="O23" i="6286" l="1"/>
  <c r="O32" i="6287"/>
  <c r="O20" i="6291"/>
  <c r="O24" i="6291"/>
  <c r="O20" i="6289"/>
  <c r="O24" i="6289"/>
  <c r="O21" i="6280"/>
  <c r="O22" i="6289"/>
  <c r="O46" i="6287" l="1"/>
  <c r="O31" i="6284"/>
  <c r="O20" i="6273"/>
  <c r="O56" i="6272"/>
  <c r="O21" i="6291"/>
  <c r="O22" i="6291"/>
  <c r="O23" i="6291"/>
  <c r="C32" i="6291"/>
  <c r="B27" i="6291"/>
  <c r="C18" i="6291"/>
  <c r="B17" i="6291"/>
  <c r="C44" i="6291" s="1"/>
  <c r="B16" i="6291"/>
  <c r="B26" i="6291" s="1"/>
  <c r="O15" i="6291"/>
  <c r="B15" i="6291"/>
  <c r="C15" i="6291" s="1"/>
  <c r="O14" i="6291"/>
  <c r="C14" i="6291"/>
  <c r="O13" i="6291"/>
  <c r="C13" i="6291"/>
  <c r="O12" i="6291"/>
  <c r="C12" i="6291"/>
  <c r="B11" i="6291"/>
  <c r="C11" i="6291" s="1"/>
  <c r="C10" i="6291"/>
  <c r="O9" i="6291"/>
  <c r="C9" i="6291"/>
  <c r="O8" i="6291"/>
  <c r="C8" i="6291"/>
  <c r="O7" i="6291"/>
  <c r="C7" i="6291"/>
  <c r="O6" i="6291"/>
  <c r="B6" i="6291"/>
  <c r="O5" i="6291"/>
  <c r="B5" i="6291"/>
  <c r="O4" i="6291"/>
  <c r="O3" i="6291"/>
  <c r="O2" i="6291"/>
  <c r="C16" i="6291" l="1"/>
  <c r="H26" i="6291"/>
  <c r="H8" i="6291"/>
  <c r="H16" i="6291"/>
  <c r="H32" i="6291"/>
  <c r="H14" i="6291"/>
  <c r="H9" i="6291"/>
  <c r="H21" i="6291"/>
  <c r="H37" i="6291"/>
  <c r="C19" i="6291"/>
  <c r="C37" i="6291"/>
  <c r="C23" i="6291"/>
  <c r="H42" i="6291"/>
  <c r="C41" i="6291"/>
  <c r="H3" i="6291"/>
  <c r="H10" i="6291"/>
  <c r="H22" i="6291"/>
  <c r="B24" i="6291"/>
  <c r="H38" i="6291"/>
  <c r="C42" i="6291"/>
  <c r="H12" i="6291"/>
  <c r="H17" i="6291"/>
  <c r="H19" i="6291"/>
  <c r="C20" i="6291"/>
  <c r="H13" i="6291"/>
  <c r="H33" i="6291"/>
  <c r="C38" i="6291"/>
  <c r="H2" i="6291"/>
  <c r="H5" i="6291"/>
  <c r="C21" i="6291"/>
  <c r="H28" i="6291"/>
  <c r="H34" i="6291"/>
  <c r="H39" i="6291"/>
  <c r="C43" i="6291"/>
  <c r="H11" i="6291"/>
  <c r="H15" i="6291"/>
  <c r="C17" i="6291"/>
  <c r="H24" i="6291"/>
  <c r="H35" i="6291"/>
  <c r="C39" i="6291"/>
  <c r="C45" i="6291"/>
  <c r="H7" i="6291"/>
  <c r="H4" i="6291"/>
  <c r="H20" i="6291"/>
  <c r="C22" i="6291"/>
  <c r="H29" i="6291"/>
  <c r="C35" i="6291"/>
  <c r="C40" i="6291"/>
  <c r="C46" i="6291"/>
  <c r="H6" i="6291"/>
  <c r="H18" i="6291"/>
  <c r="H25" i="6291"/>
  <c r="H30" i="6291"/>
  <c r="C36" i="6291"/>
  <c r="H41" i="6291"/>
  <c r="C47" i="6291"/>
  <c r="H23" i="6291"/>
  <c r="H27" i="6291"/>
  <c r="H31" i="6291"/>
  <c r="H36" i="6291"/>
  <c r="H40" i="6291"/>
  <c r="B25" i="6291"/>
  <c r="O20" i="6286" l="1"/>
  <c r="O22" i="6286"/>
  <c r="O20" i="6290"/>
  <c r="O18" i="6290"/>
  <c r="O19" i="6290"/>
  <c r="C39" i="6290"/>
  <c r="H32" i="6290"/>
  <c r="C32" i="6290"/>
  <c r="B27" i="6290"/>
  <c r="B26" i="6290"/>
  <c r="H23" i="6290"/>
  <c r="C19" i="6290"/>
  <c r="C18" i="6290"/>
  <c r="B17" i="6290"/>
  <c r="C47" i="6290" s="1"/>
  <c r="H16" i="6290"/>
  <c r="C16" i="6290"/>
  <c r="B16" i="6290"/>
  <c r="O15" i="6290"/>
  <c r="H15" i="6290"/>
  <c r="C15" i="6290"/>
  <c r="B15" i="6290"/>
  <c r="O14" i="6290"/>
  <c r="H14" i="6290"/>
  <c r="C14" i="6290"/>
  <c r="O13" i="6290"/>
  <c r="H13" i="6290"/>
  <c r="C13" i="6290"/>
  <c r="O12" i="6290"/>
  <c r="C12" i="6290"/>
  <c r="H11" i="6290"/>
  <c r="C11" i="6290"/>
  <c r="B11" i="6290"/>
  <c r="C10" i="6290"/>
  <c r="O9" i="6290"/>
  <c r="H2" i="6290"/>
  <c r="C9" i="6290"/>
  <c r="O8" i="6290"/>
  <c r="H9" i="6290"/>
  <c r="C8" i="6290"/>
  <c r="O7" i="6290"/>
  <c r="H8" i="6290"/>
  <c r="C7" i="6290"/>
  <c r="O6" i="6290"/>
  <c r="H7" i="6290"/>
  <c r="B6" i="6290"/>
  <c r="O5" i="6290"/>
  <c r="H6" i="6290"/>
  <c r="B5" i="6290"/>
  <c r="O4" i="6290"/>
  <c r="O3" i="6290"/>
  <c r="H4" i="6290"/>
  <c r="O2" i="6290"/>
  <c r="H3" i="6290"/>
  <c r="O20" i="6277"/>
  <c r="O19" i="6277"/>
  <c r="O24" i="6272"/>
  <c r="O21" i="6289"/>
  <c r="O18" i="6289"/>
  <c r="O23" i="6289"/>
  <c r="C32" i="6289"/>
  <c r="B27" i="6289"/>
  <c r="C18" i="6289"/>
  <c r="B17" i="6289"/>
  <c r="C47" i="6289" s="1"/>
  <c r="B16" i="6289"/>
  <c r="B26" i="6289" s="1"/>
  <c r="O15" i="6289"/>
  <c r="B15" i="6289"/>
  <c r="C15" i="6289" s="1"/>
  <c r="O14" i="6289"/>
  <c r="C14" i="6289"/>
  <c r="O13" i="6289"/>
  <c r="C13" i="6289"/>
  <c r="O12" i="6289"/>
  <c r="C12" i="6289"/>
  <c r="H12" i="6289"/>
  <c r="C11" i="6289"/>
  <c r="B11" i="6289"/>
  <c r="C10" i="6289"/>
  <c r="O9" i="6289"/>
  <c r="C9" i="6289"/>
  <c r="O8" i="6289"/>
  <c r="C8" i="6289"/>
  <c r="O7" i="6289"/>
  <c r="C7" i="6289"/>
  <c r="O6" i="6289"/>
  <c r="B6" i="6289"/>
  <c r="O5" i="6289"/>
  <c r="B5" i="6289"/>
  <c r="O4" i="6289"/>
  <c r="O3" i="6289"/>
  <c r="O2" i="6289"/>
  <c r="O18" i="6272"/>
  <c r="H2" i="6289" l="1"/>
  <c r="H10" i="6289"/>
  <c r="H20" i="6289"/>
  <c r="H19" i="6290"/>
  <c r="B24" i="6290"/>
  <c r="H28" i="6290"/>
  <c r="H34" i="6290"/>
  <c r="H40" i="6290"/>
  <c r="H3" i="6289"/>
  <c r="H17" i="6289"/>
  <c r="C20" i="6289"/>
  <c r="C36" i="6289"/>
  <c r="H10" i="6290"/>
  <c r="C20" i="6290"/>
  <c r="H25" i="6290"/>
  <c r="H31" i="6290"/>
  <c r="H37" i="6290"/>
  <c r="C41" i="6290"/>
  <c r="H27" i="6289"/>
  <c r="H18" i="6290"/>
  <c r="C23" i="6290"/>
  <c r="H38" i="6290"/>
  <c r="C16" i="6289"/>
  <c r="C38" i="6289"/>
  <c r="H15" i="6289"/>
  <c r="H22" i="6289"/>
  <c r="H28" i="6289"/>
  <c r="H39" i="6289"/>
  <c r="H7" i="6289"/>
  <c r="H4" i="6289"/>
  <c r="C17" i="6289"/>
  <c r="C22" i="6289"/>
  <c r="H31" i="6289"/>
  <c r="C40" i="6289"/>
  <c r="H41" i="6289"/>
  <c r="H11" i="6289"/>
  <c r="H18" i="6289"/>
  <c r="H32" i="6289"/>
  <c r="H8" i="6289"/>
  <c r="H16" i="6289"/>
  <c r="C23" i="6289"/>
  <c r="C42" i="6289"/>
  <c r="H13" i="6289"/>
  <c r="H9" i="6289"/>
  <c r="H19" i="6289"/>
  <c r="H24" i="6289"/>
  <c r="H34" i="6289"/>
  <c r="H6" i="6289"/>
  <c r="H23" i="6289"/>
  <c r="H5" i="6289"/>
  <c r="H14" i="6289"/>
  <c r="C19" i="6289"/>
  <c r="H26" i="6289"/>
  <c r="H35" i="6289"/>
  <c r="H21" i="6290"/>
  <c r="H26" i="6290"/>
  <c r="C35" i="6290"/>
  <c r="H41" i="6290"/>
  <c r="H12" i="6290"/>
  <c r="C17" i="6290"/>
  <c r="C22" i="6290"/>
  <c r="H36" i="6290"/>
  <c r="H42" i="6290"/>
  <c r="H5" i="6290"/>
  <c r="H17" i="6290"/>
  <c r="H22" i="6290"/>
  <c r="H27" i="6290"/>
  <c r="C37" i="6290"/>
  <c r="C46" i="6290"/>
  <c r="H33" i="6290"/>
  <c r="C38" i="6290"/>
  <c r="C42" i="6290"/>
  <c r="C43" i="6290"/>
  <c r="H20" i="6290"/>
  <c r="H24" i="6290"/>
  <c r="H29" i="6290"/>
  <c r="H35" i="6290"/>
  <c r="H39" i="6290"/>
  <c r="C44" i="6290"/>
  <c r="C21" i="6290"/>
  <c r="B25" i="6290"/>
  <c r="H30" i="6290"/>
  <c r="C36" i="6290"/>
  <c r="C40" i="6290"/>
  <c r="C45" i="6290"/>
  <c r="C45" i="6289"/>
  <c r="C21" i="6289"/>
  <c r="H37" i="6289"/>
  <c r="C46" i="6289"/>
  <c r="H33" i="6289"/>
  <c r="H38" i="6289"/>
  <c r="H42" i="6289"/>
  <c r="B24" i="6289"/>
  <c r="H29" i="6289"/>
  <c r="C35" i="6289"/>
  <c r="C39" i="6289"/>
  <c r="C43" i="6289"/>
  <c r="H21" i="6289"/>
  <c r="H25" i="6289"/>
  <c r="H30" i="6289"/>
  <c r="H36" i="6289"/>
  <c r="H40" i="6289"/>
  <c r="C44" i="6289"/>
  <c r="B25" i="6289"/>
  <c r="C37" i="6289"/>
  <c r="C41" i="6289"/>
  <c r="O18" i="6288" l="1"/>
  <c r="O20" i="6288"/>
  <c r="O19" i="6288"/>
  <c r="C32" i="6288"/>
  <c r="B27" i="6288"/>
  <c r="B26" i="6288"/>
  <c r="C18" i="6288"/>
  <c r="B17" i="6288"/>
  <c r="C45" i="6288" s="1"/>
  <c r="B16" i="6288"/>
  <c r="C16" i="6288" s="1"/>
  <c r="O15" i="6288"/>
  <c r="C15" i="6288"/>
  <c r="B15" i="6288"/>
  <c r="O14" i="6288"/>
  <c r="C14" i="6288"/>
  <c r="O13" i="6288"/>
  <c r="C13" i="6288"/>
  <c r="O12" i="6288"/>
  <c r="C12" i="6288"/>
  <c r="B11" i="6288"/>
  <c r="C11" i="6288" s="1"/>
  <c r="H2" i="6288"/>
  <c r="C10" i="6288"/>
  <c r="O9" i="6288"/>
  <c r="C9" i="6288"/>
  <c r="O8" i="6288"/>
  <c r="C8" i="6288"/>
  <c r="O7" i="6288"/>
  <c r="H8" i="6288"/>
  <c r="C7" i="6288"/>
  <c r="O6" i="6288"/>
  <c r="B6" i="6288"/>
  <c r="O5" i="6288"/>
  <c r="B5" i="6288"/>
  <c r="O4" i="6288"/>
  <c r="O3" i="6288"/>
  <c r="O2" i="6288"/>
  <c r="O29" i="6284"/>
  <c r="O18" i="6286"/>
  <c r="O25" i="6277"/>
  <c r="O26" i="6272"/>
  <c r="O45" i="6287"/>
  <c r="O41" i="6287"/>
  <c r="O19" i="6286"/>
  <c r="O22" i="6284"/>
  <c r="H14" i="6288" l="1"/>
  <c r="C17" i="6288"/>
  <c r="C20" i="6288"/>
  <c r="H34" i="6288"/>
  <c r="H25" i="6288"/>
  <c r="H32" i="6288"/>
  <c r="H3" i="6288"/>
  <c r="C22" i="6288"/>
  <c r="C39" i="6288"/>
  <c r="H19" i="6288"/>
  <c r="C41" i="6288"/>
  <c r="H6" i="6288"/>
  <c r="H9" i="6288"/>
  <c r="H11" i="6288"/>
  <c r="H16" i="6288"/>
  <c r="C19" i="6288"/>
  <c r="B24" i="6288"/>
  <c r="H40" i="6288"/>
  <c r="H21" i="6288"/>
  <c r="H26" i="6288"/>
  <c r="C35" i="6288"/>
  <c r="H41" i="6288"/>
  <c r="H42" i="6288"/>
  <c r="H36" i="6288"/>
  <c r="H4" i="6288"/>
  <c r="H7" i="6288"/>
  <c r="H17" i="6288"/>
  <c r="H22" i="6288"/>
  <c r="H27" i="6288"/>
  <c r="C37" i="6288"/>
  <c r="C43" i="6288"/>
  <c r="H15" i="6288"/>
  <c r="C23" i="6288"/>
  <c r="H28" i="6288"/>
  <c r="H37" i="6288"/>
  <c r="C46" i="6288"/>
  <c r="H5" i="6288"/>
  <c r="H13" i="6288"/>
  <c r="H18" i="6288"/>
  <c r="H23" i="6288"/>
  <c r="H31" i="6288"/>
  <c r="H38" i="6288"/>
  <c r="C47" i="6288"/>
  <c r="H33" i="6288"/>
  <c r="C38" i="6288"/>
  <c r="C42" i="6288"/>
  <c r="H20" i="6288"/>
  <c r="H24" i="6288"/>
  <c r="H29" i="6288"/>
  <c r="H35" i="6288"/>
  <c r="H39" i="6288"/>
  <c r="C44" i="6288"/>
  <c r="H10" i="6288"/>
  <c r="H12" i="6288"/>
  <c r="C21" i="6288"/>
  <c r="B25" i="6288"/>
  <c r="H30" i="6288"/>
  <c r="C36" i="6288"/>
  <c r="C40" i="6288"/>
  <c r="O39" i="6277" l="1"/>
  <c r="O36" i="6287"/>
  <c r="O34" i="6287"/>
  <c r="O21" i="6273"/>
  <c r="O40" i="6287"/>
  <c r="O39" i="6287"/>
  <c r="O42" i="6287"/>
  <c r="C32" i="6287"/>
  <c r="B27" i="6287"/>
  <c r="C18" i="6287"/>
  <c r="B17" i="6287"/>
  <c r="C45" i="6287" s="1"/>
  <c r="B16" i="6287"/>
  <c r="B26" i="6287" s="1"/>
  <c r="O15" i="6287"/>
  <c r="B15" i="6287"/>
  <c r="C15" i="6287" s="1"/>
  <c r="O14" i="6287"/>
  <c r="C14" i="6287"/>
  <c r="O13" i="6287"/>
  <c r="C13" i="6287"/>
  <c r="O12" i="6287"/>
  <c r="C12" i="6287"/>
  <c r="B11" i="6287"/>
  <c r="C11" i="6287" s="1"/>
  <c r="C10" i="6287"/>
  <c r="O9" i="6287"/>
  <c r="C9" i="6287"/>
  <c r="O8" i="6287"/>
  <c r="C8" i="6287"/>
  <c r="O7" i="6287"/>
  <c r="C7" i="6287"/>
  <c r="O6" i="6287"/>
  <c r="B6" i="6287"/>
  <c r="O5" i="6287"/>
  <c r="B5" i="6287"/>
  <c r="O4" i="6287"/>
  <c r="O3" i="6287"/>
  <c r="O2" i="6287"/>
  <c r="O19" i="6276"/>
  <c r="O33" i="6280"/>
  <c r="O27" i="6280"/>
  <c r="O25" i="6275"/>
  <c r="O19" i="6275"/>
  <c r="O47" i="6272"/>
  <c r="C39" i="6287" l="1"/>
  <c r="H41" i="6287"/>
  <c r="H5" i="6287"/>
  <c r="H14" i="6287"/>
  <c r="H24" i="6287"/>
  <c r="H9" i="6287"/>
  <c r="C20" i="6287"/>
  <c r="H11" i="6287"/>
  <c r="H3" i="6287"/>
  <c r="B24" i="6287"/>
  <c r="H19" i="6287"/>
  <c r="H6" i="6287"/>
  <c r="H18" i="6287"/>
  <c r="H33" i="6287"/>
  <c r="C19" i="6287"/>
  <c r="H35" i="6287"/>
  <c r="C16" i="6287"/>
  <c r="H21" i="6287"/>
  <c r="C41" i="6287"/>
  <c r="H26" i="6287"/>
  <c r="H29" i="6287"/>
  <c r="C35" i="6287"/>
  <c r="H42" i="6287"/>
  <c r="H4" i="6287"/>
  <c r="C17" i="6287"/>
  <c r="H10" i="6287"/>
  <c r="H7" i="6287"/>
  <c r="H23" i="6287"/>
  <c r="H13" i="6287"/>
  <c r="H30" i="6287"/>
  <c r="C37" i="6287"/>
  <c r="C43" i="6287"/>
  <c r="C22" i="6287"/>
  <c r="H22" i="6287"/>
  <c r="C23" i="6287"/>
  <c r="H12" i="6287"/>
  <c r="H38" i="6287"/>
  <c r="C46" i="6287"/>
  <c r="H37" i="6287"/>
  <c r="H2" i="6287"/>
  <c r="H20" i="6287"/>
  <c r="H15" i="6287"/>
  <c r="H27" i="6287"/>
  <c r="H32" i="6287"/>
  <c r="H39" i="6287"/>
  <c r="C47" i="6287"/>
  <c r="H34" i="6287"/>
  <c r="C38" i="6287"/>
  <c r="C42" i="6287"/>
  <c r="H25" i="6287"/>
  <c r="H28" i="6287"/>
  <c r="H16" i="6287"/>
  <c r="H36" i="6287"/>
  <c r="H40" i="6287"/>
  <c r="C44" i="6287"/>
  <c r="H8" i="6287"/>
  <c r="H17" i="6287"/>
  <c r="C21" i="6287"/>
  <c r="B25" i="6287"/>
  <c r="H31" i="6287"/>
  <c r="C36" i="6287"/>
  <c r="C40" i="6287"/>
  <c r="O29" i="6286" l="1"/>
  <c r="O24" i="6284"/>
  <c r="O24" i="6275"/>
  <c r="O24" i="6276"/>
  <c r="O34" i="6277"/>
  <c r="O28" i="6284"/>
  <c r="O27" i="6286"/>
  <c r="O24" i="6286"/>
  <c r="O20" i="6278" l="1"/>
  <c r="O19" i="6278"/>
  <c r="O26" i="6277"/>
  <c r="O23" i="6284"/>
  <c r="O30" i="6284"/>
  <c r="O26" i="6274"/>
  <c r="O20" i="6276" l="1"/>
  <c r="O25" i="6286"/>
  <c r="O28" i="6286"/>
  <c r="O26" i="6286"/>
  <c r="C32" i="6286"/>
  <c r="B27" i="6286"/>
  <c r="C18" i="6286"/>
  <c r="B17" i="6286"/>
  <c r="C45" i="6286" s="1"/>
  <c r="B16" i="6286"/>
  <c r="B26" i="6286" s="1"/>
  <c r="O15" i="6286"/>
  <c r="B15" i="6286"/>
  <c r="C15" i="6286" s="1"/>
  <c r="O14" i="6286"/>
  <c r="C14" i="6286"/>
  <c r="O13" i="6286"/>
  <c r="C13" i="6286"/>
  <c r="O12" i="6286"/>
  <c r="C12" i="6286"/>
  <c r="B11" i="6286"/>
  <c r="C11" i="6286" s="1"/>
  <c r="C10" i="6286"/>
  <c r="O9" i="6286"/>
  <c r="C9" i="6286"/>
  <c r="O8" i="6286"/>
  <c r="C8" i="6286"/>
  <c r="O7" i="6286"/>
  <c r="C7" i="6286"/>
  <c r="O6" i="6286"/>
  <c r="B6" i="6286"/>
  <c r="O5" i="6286"/>
  <c r="B5" i="6286"/>
  <c r="O4" i="6286"/>
  <c r="O3" i="6286"/>
  <c r="O2" i="6286"/>
  <c r="O25" i="6273"/>
  <c r="O24" i="6280"/>
  <c r="O46" i="6272"/>
  <c r="H11" i="6286" l="1"/>
  <c r="C16" i="6286"/>
  <c r="H7" i="6286"/>
  <c r="H16" i="6286"/>
  <c r="H23" i="6286"/>
  <c r="H28" i="6286"/>
  <c r="H35" i="6286"/>
  <c r="H41" i="6286"/>
  <c r="C41" i="6286"/>
  <c r="C17" i="6286"/>
  <c r="H10" i="6286"/>
  <c r="H24" i="6286"/>
  <c r="H29" i="6286"/>
  <c r="H37" i="6286"/>
  <c r="H42" i="6286"/>
  <c r="C35" i="6286"/>
  <c r="H15" i="6286"/>
  <c r="H9" i="6286"/>
  <c r="H20" i="6286"/>
  <c r="C23" i="6286"/>
  <c r="H14" i="6286"/>
  <c r="C37" i="6286"/>
  <c r="C42" i="6286"/>
  <c r="H13" i="6286"/>
  <c r="H3" i="6286"/>
  <c r="H32" i="6286"/>
  <c r="H6" i="6286"/>
  <c r="H4" i="6286"/>
  <c r="C19" i="6286"/>
  <c r="B24" i="6286"/>
  <c r="C38" i="6286"/>
  <c r="C43" i="6286"/>
  <c r="H25" i="6286"/>
  <c r="H21" i="6286"/>
  <c r="H27" i="6286"/>
  <c r="H33" i="6286"/>
  <c r="H39" i="6286"/>
  <c r="C46" i="6286"/>
  <c r="C22" i="6286"/>
  <c r="H2" i="6286"/>
  <c r="H18" i="6286"/>
  <c r="H38" i="6286"/>
  <c r="H8" i="6286"/>
  <c r="H19" i="6286"/>
  <c r="H12" i="6286"/>
  <c r="C20" i="6286"/>
  <c r="H34" i="6286"/>
  <c r="C39" i="6286"/>
  <c r="C47" i="6286"/>
  <c r="H22" i="6286"/>
  <c r="H26" i="6286"/>
  <c r="H30" i="6286"/>
  <c r="H36" i="6286"/>
  <c r="H40" i="6286"/>
  <c r="C44" i="6286"/>
  <c r="H5" i="6286"/>
  <c r="H17" i="6286"/>
  <c r="C21" i="6286"/>
  <c r="B25" i="6286"/>
  <c r="H31" i="6286"/>
  <c r="C36" i="6286"/>
  <c r="C40" i="6286"/>
  <c r="O27" i="6274" l="1"/>
  <c r="O22" i="6274"/>
  <c r="O19" i="6280"/>
  <c r="O25" i="6284"/>
  <c r="O18" i="6285"/>
  <c r="O22" i="6285"/>
  <c r="O31" i="6280"/>
  <c r="O18" i="6276"/>
  <c r="O35" i="6277" l="1"/>
  <c r="O25" i="6276"/>
  <c r="O32" i="6284"/>
  <c r="O27" i="6284"/>
  <c r="O21" i="6284"/>
  <c r="O20" i="6275"/>
  <c r="O23" i="6275"/>
  <c r="O18" i="6273"/>
  <c r="O22" i="6273"/>
  <c r="O20" i="6272"/>
  <c r="O19" i="6285"/>
  <c r="O21" i="6285"/>
  <c r="O20" i="6285"/>
  <c r="C45" i="6285"/>
  <c r="C41" i="6285"/>
  <c r="H38" i="6285"/>
  <c r="C36" i="6285"/>
  <c r="H32" i="6285"/>
  <c r="C32" i="6285"/>
  <c r="H28" i="6285"/>
  <c r="B27" i="6285"/>
  <c r="H25" i="6285"/>
  <c r="H22" i="6285"/>
  <c r="C20" i="6285"/>
  <c r="C18" i="6285"/>
  <c r="B17" i="6285"/>
  <c r="C44" i="6285" s="1"/>
  <c r="H16" i="6285"/>
  <c r="B16" i="6285"/>
  <c r="B25" i="6285" s="1"/>
  <c r="O15" i="6285"/>
  <c r="H15" i="6285"/>
  <c r="B15" i="6285"/>
  <c r="C15" i="6285" s="1"/>
  <c r="O14" i="6285"/>
  <c r="H14" i="6285"/>
  <c r="C14" i="6285"/>
  <c r="O13" i="6285"/>
  <c r="H13" i="6285"/>
  <c r="C13" i="6285"/>
  <c r="O12" i="6285"/>
  <c r="H12" i="6285"/>
  <c r="C12" i="6285"/>
  <c r="H11" i="6285"/>
  <c r="B11" i="6285"/>
  <c r="C11" i="6285" s="1"/>
  <c r="H10" i="6285"/>
  <c r="C10" i="6285"/>
  <c r="O9" i="6285"/>
  <c r="H9" i="6285"/>
  <c r="C9" i="6285"/>
  <c r="O8" i="6285"/>
  <c r="H8" i="6285"/>
  <c r="C8" i="6285"/>
  <c r="O7" i="6285"/>
  <c r="H7" i="6285"/>
  <c r="C7" i="6285"/>
  <c r="O6" i="6285"/>
  <c r="H6" i="6285"/>
  <c r="B6" i="6285"/>
  <c r="O5" i="6285"/>
  <c r="H5" i="6285"/>
  <c r="B5" i="6285"/>
  <c r="O4" i="6285"/>
  <c r="H4" i="6285"/>
  <c r="O3" i="6285"/>
  <c r="H3" i="6285"/>
  <c r="O2" i="6285"/>
  <c r="H2" i="6285"/>
  <c r="H18" i="6285" l="1"/>
  <c r="C21" i="6285"/>
  <c r="C23" i="6285"/>
  <c r="H26" i="6285"/>
  <c r="H30" i="6285"/>
  <c r="H33" i="6285"/>
  <c r="H36" i="6285"/>
  <c r="C39" i="6285"/>
  <c r="C42" i="6285"/>
  <c r="C46" i="6285"/>
  <c r="C17" i="6285"/>
  <c r="C19" i="6285"/>
  <c r="H21" i="6285"/>
  <c r="H23" i="6285"/>
  <c r="H31" i="6285"/>
  <c r="H34" i="6285"/>
  <c r="C37" i="6285"/>
  <c r="C40" i="6285"/>
  <c r="H42" i="6285"/>
  <c r="C47" i="6285"/>
  <c r="C16" i="6285"/>
  <c r="H17" i="6285"/>
  <c r="H19" i="6285"/>
  <c r="C22" i="6285"/>
  <c r="B24" i="6285"/>
  <c r="H27" i="6285"/>
  <c r="C35" i="6285"/>
  <c r="C38" i="6285"/>
  <c r="H40" i="6285"/>
  <c r="C43" i="6285"/>
  <c r="B26" i="6285"/>
  <c r="H37" i="6285"/>
  <c r="H41" i="6285"/>
  <c r="H20" i="6285"/>
  <c r="H24" i="6285"/>
  <c r="H29" i="6285"/>
  <c r="H35" i="6285"/>
  <c r="H39" i="6285"/>
  <c r="O30" i="6280" l="1"/>
  <c r="O20" i="6280"/>
  <c r="O19" i="6284"/>
  <c r="O18" i="6284"/>
  <c r="O26" i="6284"/>
  <c r="C32" i="6284"/>
  <c r="H15" i="6284"/>
  <c r="B27" i="6284"/>
  <c r="C18" i="6284"/>
  <c r="B17" i="6284"/>
  <c r="C46" i="6284" s="1"/>
  <c r="B16" i="6284"/>
  <c r="C16" i="6284" s="1"/>
  <c r="O15" i="6284"/>
  <c r="B15" i="6284"/>
  <c r="C15" i="6284" s="1"/>
  <c r="O14" i="6284"/>
  <c r="C14" i="6284"/>
  <c r="O13" i="6284"/>
  <c r="C13" i="6284"/>
  <c r="O12" i="6284"/>
  <c r="C12" i="6284"/>
  <c r="B11" i="6284"/>
  <c r="C11" i="6284" s="1"/>
  <c r="C10" i="6284"/>
  <c r="O9" i="6284"/>
  <c r="C9" i="6284"/>
  <c r="O8" i="6284"/>
  <c r="C8" i="6284"/>
  <c r="O7" i="6284"/>
  <c r="C7" i="6284"/>
  <c r="O6" i="6284"/>
  <c r="B6" i="6284"/>
  <c r="O5" i="6284"/>
  <c r="B5" i="6284"/>
  <c r="O4" i="6284"/>
  <c r="O3" i="6284"/>
  <c r="O2" i="6284"/>
  <c r="O19" i="6281"/>
  <c r="O22" i="6281"/>
  <c r="O19" i="6272"/>
  <c r="O19" i="6283"/>
  <c r="O20" i="6283"/>
  <c r="O18" i="6283"/>
  <c r="C32" i="6283"/>
  <c r="B27" i="6283"/>
  <c r="C18" i="6283"/>
  <c r="B17" i="6283"/>
  <c r="C45" i="6283" s="1"/>
  <c r="B16" i="6283"/>
  <c r="B26" i="6283" s="1"/>
  <c r="O15" i="6283"/>
  <c r="B15" i="6283"/>
  <c r="C15" i="6283" s="1"/>
  <c r="O14" i="6283"/>
  <c r="C14" i="6283"/>
  <c r="O13" i="6283"/>
  <c r="H13" i="6283"/>
  <c r="C13" i="6283"/>
  <c r="O12" i="6283"/>
  <c r="C12" i="6283"/>
  <c r="H11" i="6283"/>
  <c r="C11" i="6283"/>
  <c r="B11" i="6283"/>
  <c r="C10" i="6283"/>
  <c r="O9" i="6283"/>
  <c r="C9" i="6283"/>
  <c r="O8" i="6283"/>
  <c r="H8" i="6283"/>
  <c r="C8" i="6283"/>
  <c r="O7" i="6283"/>
  <c r="C7" i="6283"/>
  <c r="O6" i="6283"/>
  <c r="B6" i="6283"/>
  <c r="O5" i="6283"/>
  <c r="B5" i="6283"/>
  <c r="O4" i="6283"/>
  <c r="H4" i="6283"/>
  <c r="O3" i="6283"/>
  <c r="O2" i="6283"/>
  <c r="H2" i="6283"/>
  <c r="O39" i="6272"/>
  <c r="O23" i="6278"/>
  <c r="O18" i="6278"/>
  <c r="O18" i="6275"/>
  <c r="O26" i="6275"/>
  <c r="O22" i="6275"/>
  <c r="O21" i="6282"/>
  <c r="O22" i="6282"/>
  <c r="O45" i="6277"/>
  <c r="H21" i="6283" l="1"/>
  <c r="H26" i="6283"/>
  <c r="H34" i="6283"/>
  <c r="H40" i="6283"/>
  <c r="H7" i="6283"/>
  <c r="H10" i="6283"/>
  <c r="C17" i="6283"/>
  <c r="C19" i="6283"/>
  <c r="C22" i="6283"/>
  <c r="B24" i="6283"/>
  <c r="C35" i="6283"/>
  <c r="C38" i="6283"/>
  <c r="C41" i="6283"/>
  <c r="C43" i="6283"/>
  <c r="H23" i="6283"/>
  <c r="H31" i="6283"/>
  <c r="H37" i="6283"/>
  <c r="H3" i="6283"/>
  <c r="H6" i="6283"/>
  <c r="C16" i="6283"/>
  <c r="H17" i="6283"/>
  <c r="H19" i="6283"/>
  <c r="H22" i="6283"/>
  <c r="H25" i="6283"/>
  <c r="H27" i="6283"/>
  <c r="H32" i="6283"/>
  <c r="H36" i="6283"/>
  <c r="H38" i="6283"/>
  <c r="H41" i="6283"/>
  <c r="C46" i="6283"/>
  <c r="H18" i="6283"/>
  <c r="H42" i="6283"/>
  <c r="H5" i="6283"/>
  <c r="H14" i="6283"/>
  <c r="H15" i="6283"/>
  <c r="H16" i="6283"/>
  <c r="C20" i="6283"/>
  <c r="C23" i="6283"/>
  <c r="H28" i="6283"/>
  <c r="H33" i="6283"/>
  <c r="C37" i="6283"/>
  <c r="C39" i="6283"/>
  <c r="C42" i="6283"/>
  <c r="C47" i="6283"/>
  <c r="B26" i="6284"/>
  <c r="H5" i="6284"/>
  <c r="H22" i="6284"/>
  <c r="H10" i="6284"/>
  <c r="H20" i="6284"/>
  <c r="H7" i="6284"/>
  <c r="H9" i="6284"/>
  <c r="C20" i="6284"/>
  <c r="H18" i="6284"/>
  <c r="C22" i="6284"/>
  <c r="H38" i="6284"/>
  <c r="H39" i="6284"/>
  <c r="H28" i="6284"/>
  <c r="H16" i="6284"/>
  <c r="C39" i="6284"/>
  <c r="H11" i="6284"/>
  <c r="H12" i="6284"/>
  <c r="C17" i="6284"/>
  <c r="C23" i="6284"/>
  <c r="C41" i="6284"/>
  <c r="H3" i="6284"/>
  <c r="H13" i="6284"/>
  <c r="H42" i="6284"/>
  <c r="H33" i="6284"/>
  <c r="H6" i="6284"/>
  <c r="H21" i="6284"/>
  <c r="H24" i="6284"/>
  <c r="B24" i="6284"/>
  <c r="H35" i="6284"/>
  <c r="H4" i="6284"/>
  <c r="H2" i="6284"/>
  <c r="H19" i="6284"/>
  <c r="C19" i="6284"/>
  <c r="C35" i="6284"/>
  <c r="C43" i="6284"/>
  <c r="H8" i="6284"/>
  <c r="H25" i="6284"/>
  <c r="H14" i="6284"/>
  <c r="C37" i="6284"/>
  <c r="C47" i="6284"/>
  <c r="H34" i="6284"/>
  <c r="C38" i="6284"/>
  <c r="C42" i="6284"/>
  <c r="H26" i="6284"/>
  <c r="H29" i="6284"/>
  <c r="H17" i="6284"/>
  <c r="H36" i="6284"/>
  <c r="H40" i="6284"/>
  <c r="C44" i="6284"/>
  <c r="C21" i="6284"/>
  <c r="B25" i="6284"/>
  <c r="H31" i="6284"/>
  <c r="C36" i="6284"/>
  <c r="C40" i="6284"/>
  <c r="C45" i="6284"/>
  <c r="H23" i="6284"/>
  <c r="H27" i="6284"/>
  <c r="H30" i="6284"/>
  <c r="H32" i="6284"/>
  <c r="H37" i="6284"/>
  <c r="H41" i="6284"/>
  <c r="H20" i="6283"/>
  <c r="H24" i="6283"/>
  <c r="H29" i="6283"/>
  <c r="H35" i="6283"/>
  <c r="H39" i="6283"/>
  <c r="C44" i="6283"/>
  <c r="H9" i="6283"/>
  <c r="H12" i="6283"/>
  <c r="C21" i="6283"/>
  <c r="B25" i="6283"/>
  <c r="H30" i="6283"/>
  <c r="C36" i="6283"/>
  <c r="C40" i="6283"/>
  <c r="O24" i="6273" l="1"/>
  <c r="O29" i="6273"/>
  <c r="O30" i="6274"/>
  <c r="O31" i="6274"/>
  <c r="O41" i="6277"/>
  <c r="O40" i="6277"/>
  <c r="O28" i="6277"/>
  <c r="O44" i="6272"/>
  <c r="O19" i="6282"/>
  <c r="O18" i="6282"/>
  <c r="O20" i="6282"/>
  <c r="C32" i="6282"/>
  <c r="B27" i="6282"/>
  <c r="C18" i="6282"/>
  <c r="B17" i="6282"/>
  <c r="C45" i="6282" s="1"/>
  <c r="B16" i="6282"/>
  <c r="C16" i="6282" s="1"/>
  <c r="O15" i="6282"/>
  <c r="B15" i="6282"/>
  <c r="C15" i="6282" s="1"/>
  <c r="O14" i="6282"/>
  <c r="C14" i="6282"/>
  <c r="O13" i="6282"/>
  <c r="C13" i="6282"/>
  <c r="O12" i="6282"/>
  <c r="C12" i="6282"/>
  <c r="B11" i="6282"/>
  <c r="C11" i="6282" s="1"/>
  <c r="C10" i="6282"/>
  <c r="O9" i="6282"/>
  <c r="C9" i="6282"/>
  <c r="O8" i="6282"/>
  <c r="C8" i="6282"/>
  <c r="O7" i="6282"/>
  <c r="C7" i="6282"/>
  <c r="O6" i="6282"/>
  <c r="B6" i="6282"/>
  <c r="O5" i="6282"/>
  <c r="B5" i="6282"/>
  <c r="O4" i="6282"/>
  <c r="O3" i="6282"/>
  <c r="O2" i="6282"/>
  <c r="O28" i="6274"/>
  <c r="O29" i="6274"/>
  <c r="O23" i="6280"/>
  <c r="O28" i="6280"/>
  <c r="O25" i="6280"/>
  <c r="O18" i="6281"/>
  <c r="O20" i="6281"/>
  <c r="O21" i="6281"/>
  <c r="C32" i="6281"/>
  <c r="B27" i="6281"/>
  <c r="C18" i="6281"/>
  <c r="B17" i="6281"/>
  <c r="C47" i="6281" s="1"/>
  <c r="C16" i="6281"/>
  <c r="B16" i="6281"/>
  <c r="B26" i="6281" s="1"/>
  <c r="O15" i="6281"/>
  <c r="B15" i="6281"/>
  <c r="C15" i="6281" s="1"/>
  <c r="O14" i="6281"/>
  <c r="C14" i="6281"/>
  <c r="O13" i="6281"/>
  <c r="C13" i="6281"/>
  <c r="O12" i="6281"/>
  <c r="C12" i="6281"/>
  <c r="B11" i="6281"/>
  <c r="C11" i="6281" s="1"/>
  <c r="C10" i="6281"/>
  <c r="O9" i="6281"/>
  <c r="C9" i="6281"/>
  <c r="O8" i="6281"/>
  <c r="H10" i="6281"/>
  <c r="C8" i="6281"/>
  <c r="O7" i="6281"/>
  <c r="C7" i="6281"/>
  <c r="O6" i="6281"/>
  <c r="B6" i="6281"/>
  <c r="O5" i="6281"/>
  <c r="B5" i="6281"/>
  <c r="O4" i="6281"/>
  <c r="O3" i="6281"/>
  <c r="O2" i="6281"/>
  <c r="O27" i="6273"/>
  <c r="O28" i="6273"/>
  <c r="O40" i="6272"/>
  <c r="B26" i="6282" l="1"/>
  <c r="H16" i="6282"/>
  <c r="H26" i="6282"/>
  <c r="H13" i="6282"/>
  <c r="H12" i="6282"/>
  <c r="C19" i="6282"/>
  <c r="H33" i="6282"/>
  <c r="H2" i="6282"/>
  <c r="C20" i="6282"/>
  <c r="H35" i="6282"/>
  <c r="C17" i="6282"/>
  <c r="C22" i="6282"/>
  <c r="C39" i="6282"/>
  <c r="H4" i="6282"/>
  <c r="H21" i="6282"/>
  <c r="H6" i="6282"/>
  <c r="H8" i="6282"/>
  <c r="H18" i="6282"/>
  <c r="B24" i="6282"/>
  <c r="H41" i="6282"/>
  <c r="C41" i="6282"/>
  <c r="H22" i="6282"/>
  <c r="H27" i="6282"/>
  <c r="C35" i="6282"/>
  <c r="H42" i="6282"/>
  <c r="H10" i="6282"/>
  <c r="H37" i="6282"/>
  <c r="H11" i="6282"/>
  <c r="H5" i="6282"/>
  <c r="H19" i="6282"/>
  <c r="H23" i="6282"/>
  <c r="H28" i="6282"/>
  <c r="C37" i="6282"/>
  <c r="C43" i="6282"/>
  <c r="H17" i="6282"/>
  <c r="C23" i="6282"/>
  <c r="H29" i="6282"/>
  <c r="H38" i="6282"/>
  <c r="C46" i="6282"/>
  <c r="H3" i="6282"/>
  <c r="H15" i="6282"/>
  <c r="H20" i="6282"/>
  <c r="H24" i="6282"/>
  <c r="H32" i="6282"/>
  <c r="H39" i="6282"/>
  <c r="C47" i="6282"/>
  <c r="H34" i="6282"/>
  <c r="C38" i="6282"/>
  <c r="C42" i="6282"/>
  <c r="H9" i="6282"/>
  <c r="H25" i="6282"/>
  <c r="H30" i="6282"/>
  <c r="H36" i="6282"/>
  <c r="H40" i="6282"/>
  <c r="C44" i="6282"/>
  <c r="H7" i="6282"/>
  <c r="H14" i="6282"/>
  <c r="C21" i="6282"/>
  <c r="B25" i="6282"/>
  <c r="H31" i="6282"/>
  <c r="C36" i="6282"/>
  <c r="C40" i="6282"/>
  <c r="H3" i="6281"/>
  <c r="H22" i="6281"/>
  <c r="H28" i="6281"/>
  <c r="C38" i="6281"/>
  <c r="H12" i="6281"/>
  <c r="H6" i="6281"/>
  <c r="H18" i="6281"/>
  <c r="H23" i="6281"/>
  <c r="H32" i="6281"/>
  <c r="C40" i="6281"/>
  <c r="H31" i="6281"/>
  <c r="H11" i="6281"/>
  <c r="H13" i="6281"/>
  <c r="C23" i="6281"/>
  <c r="H41" i="6281"/>
  <c r="C17" i="6281"/>
  <c r="C42" i="6281"/>
  <c r="H39" i="6281"/>
  <c r="H2" i="6281"/>
  <c r="H19" i="6281"/>
  <c r="H24" i="6281"/>
  <c r="H7" i="6281"/>
  <c r="C19" i="6281"/>
  <c r="H26" i="6281"/>
  <c r="H35" i="6281"/>
  <c r="H9" i="6281"/>
  <c r="H16" i="6281"/>
  <c r="H8" i="6281"/>
  <c r="H14" i="6281"/>
  <c r="H20" i="6281"/>
  <c r="H27" i="6281"/>
  <c r="C36" i="6281"/>
  <c r="C45" i="6281"/>
  <c r="C22" i="6281"/>
  <c r="H4" i="6281"/>
  <c r="H34" i="6281"/>
  <c r="H5" i="6281"/>
  <c r="C21" i="6281"/>
  <c r="H37" i="6281"/>
  <c r="C46" i="6281"/>
  <c r="H33" i="6281"/>
  <c r="H38" i="6281"/>
  <c r="H42" i="6281"/>
  <c r="H15" i="6281"/>
  <c r="H17" i="6281"/>
  <c r="C20" i="6281"/>
  <c r="B24" i="6281"/>
  <c r="H29" i="6281"/>
  <c r="C35" i="6281"/>
  <c r="C39" i="6281"/>
  <c r="C43" i="6281"/>
  <c r="H21" i="6281"/>
  <c r="H25" i="6281"/>
  <c r="H30" i="6281"/>
  <c r="H36" i="6281"/>
  <c r="H40" i="6281"/>
  <c r="C44" i="6281"/>
  <c r="B25" i="6281"/>
  <c r="C37" i="6281"/>
  <c r="C41" i="6281"/>
  <c r="O22" i="6280" l="1"/>
  <c r="O18" i="6280"/>
  <c r="O29" i="6280"/>
  <c r="C32" i="6280"/>
  <c r="B27" i="6280"/>
  <c r="C18" i="6280"/>
  <c r="B17" i="6280"/>
  <c r="C47" i="6280" s="1"/>
  <c r="B16" i="6280"/>
  <c r="B26" i="6280" s="1"/>
  <c r="O15" i="6280"/>
  <c r="B15" i="6280"/>
  <c r="C15" i="6280" s="1"/>
  <c r="O14" i="6280"/>
  <c r="C14" i="6280"/>
  <c r="O13" i="6280"/>
  <c r="C13" i="6280"/>
  <c r="O12" i="6280"/>
  <c r="C12" i="6280"/>
  <c r="B11" i="6280"/>
  <c r="C11" i="6280" s="1"/>
  <c r="C10" i="6280"/>
  <c r="O9" i="6280"/>
  <c r="C9" i="6280"/>
  <c r="O8" i="6280"/>
  <c r="C8" i="6280"/>
  <c r="O7" i="6280"/>
  <c r="C7" i="6280"/>
  <c r="O6" i="6280"/>
  <c r="B6" i="6280"/>
  <c r="O5" i="6280"/>
  <c r="B5" i="6280"/>
  <c r="O4" i="6280"/>
  <c r="O3" i="6280"/>
  <c r="O2" i="6280"/>
  <c r="O18" i="6279"/>
  <c r="O19" i="6279"/>
  <c r="O20" i="6279"/>
  <c r="C32" i="6279"/>
  <c r="B27" i="6279"/>
  <c r="C18" i="6279"/>
  <c r="B17" i="6279"/>
  <c r="C47" i="6279" s="1"/>
  <c r="B16" i="6279"/>
  <c r="B26" i="6279" s="1"/>
  <c r="O15" i="6279"/>
  <c r="C15" i="6279"/>
  <c r="B15" i="6279"/>
  <c r="O14" i="6279"/>
  <c r="C14" i="6279"/>
  <c r="O13" i="6279"/>
  <c r="C13" i="6279"/>
  <c r="O12" i="6279"/>
  <c r="C12" i="6279"/>
  <c r="B11" i="6279"/>
  <c r="C11" i="6279" s="1"/>
  <c r="C10" i="6279"/>
  <c r="O9" i="6279"/>
  <c r="C9" i="6279"/>
  <c r="O8" i="6279"/>
  <c r="C8" i="6279"/>
  <c r="O7" i="6279"/>
  <c r="C7" i="6279"/>
  <c r="O6" i="6279"/>
  <c r="B6" i="6279"/>
  <c r="O5" i="6279"/>
  <c r="B5" i="6279"/>
  <c r="O4" i="6279"/>
  <c r="H5" i="6279"/>
  <c r="O3" i="6279"/>
  <c r="O2" i="6279"/>
  <c r="O21" i="6278"/>
  <c r="O24" i="6278"/>
  <c r="O22" i="6278"/>
  <c r="C32" i="6278"/>
  <c r="B27" i="6278"/>
  <c r="C18" i="6278"/>
  <c r="B17" i="6278"/>
  <c r="C46" i="6278" s="1"/>
  <c r="B16" i="6278"/>
  <c r="B26" i="6278" s="1"/>
  <c r="O15" i="6278"/>
  <c r="B15" i="6278"/>
  <c r="C15" i="6278" s="1"/>
  <c r="O14" i="6278"/>
  <c r="C14" i="6278"/>
  <c r="O13" i="6278"/>
  <c r="C13" i="6278"/>
  <c r="O12" i="6278"/>
  <c r="C12" i="6278"/>
  <c r="B11" i="6278"/>
  <c r="C11" i="6278" s="1"/>
  <c r="C10" i="6278"/>
  <c r="O9" i="6278"/>
  <c r="C9" i="6278"/>
  <c r="O8" i="6278"/>
  <c r="C8" i="6278"/>
  <c r="O7" i="6278"/>
  <c r="C7" i="6278"/>
  <c r="O6" i="6278"/>
  <c r="B6" i="6278"/>
  <c r="O5" i="6278"/>
  <c r="B5" i="6278"/>
  <c r="O4" i="6278"/>
  <c r="O3" i="6278"/>
  <c r="O2" i="6278"/>
  <c r="O51" i="6272"/>
  <c r="O42" i="6277"/>
  <c r="O44" i="6277"/>
  <c r="O24" i="6277"/>
  <c r="C32" i="6277"/>
  <c r="B27" i="6277"/>
  <c r="C18" i="6277"/>
  <c r="B17" i="6277"/>
  <c r="C47" i="6277" s="1"/>
  <c r="B16" i="6277"/>
  <c r="B26" i="6277" s="1"/>
  <c r="O15" i="6277"/>
  <c r="B15" i="6277"/>
  <c r="C15" i="6277" s="1"/>
  <c r="O14" i="6277"/>
  <c r="C14" i="6277"/>
  <c r="O13" i="6277"/>
  <c r="C13" i="6277"/>
  <c r="O12" i="6277"/>
  <c r="C12" i="6277"/>
  <c r="B11" i="6277"/>
  <c r="C11" i="6277" s="1"/>
  <c r="C10" i="6277"/>
  <c r="O9" i="6277"/>
  <c r="C9" i="6277"/>
  <c r="O8" i="6277"/>
  <c r="C8" i="6277"/>
  <c r="O7" i="6277"/>
  <c r="C7" i="6277"/>
  <c r="O6" i="6277"/>
  <c r="B6" i="6277"/>
  <c r="O5" i="6277"/>
  <c r="B5" i="6277"/>
  <c r="O4" i="6277"/>
  <c r="O3" i="6277"/>
  <c r="O2" i="6277"/>
  <c r="O48" i="6272"/>
  <c r="O50" i="6272"/>
  <c r="O25" i="6272"/>
  <c r="H28" i="6279" l="1"/>
  <c r="H4" i="6279"/>
  <c r="H11" i="6279"/>
  <c r="C23" i="6279"/>
  <c r="H7" i="6279"/>
  <c r="H14" i="6279"/>
  <c r="C16" i="6279"/>
  <c r="H4" i="6277"/>
  <c r="C16" i="6277"/>
  <c r="H10" i="6278"/>
  <c r="H28" i="6278"/>
  <c r="H29" i="6278"/>
  <c r="H18" i="6278"/>
  <c r="H18" i="6277"/>
  <c r="H27" i="6277"/>
  <c r="H15" i="6278"/>
  <c r="H2" i="6278"/>
  <c r="H20" i="6278"/>
  <c r="C41" i="6278"/>
  <c r="H4" i="6278"/>
  <c r="C39" i="6278"/>
  <c r="C22" i="6278"/>
  <c r="H38" i="6278"/>
  <c r="C20" i="6278"/>
  <c r="H7" i="6278"/>
  <c r="H13" i="6278"/>
  <c r="C23" i="6278"/>
  <c r="H42" i="6278"/>
  <c r="H34" i="6278"/>
  <c r="H33" i="6278"/>
  <c r="H3" i="6278"/>
  <c r="H24" i="6278"/>
  <c r="C42" i="6278"/>
  <c r="H14" i="6278"/>
  <c r="B24" i="6278"/>
  <c r="H35" i="6278"/>
  <c r="C43" i="6278"/>
  <c r="H9" i="6278"/>
  <c r="H12" i="6278"/>
  <c r="H5" i="6278"/>
  <c r="H27" i="6278"/>
  <c r="C35" i="6278"/>
  <c r="H16" i="6278"/>
  <c r="C17" i="6278"/>
  <c r="H19" i="6278"/>
  <c r="H11" i="6278"/>
  <c r="H17" i="6278"/>
  <c r="C19" i="6278"/>
  <c r="C37" i="6278"/>
  <c r="C16" i="6278"/>
  <c r="C47" i="6278"/>
  <c r="C38" i="6278"/>
  <c r="H23" i="6278"/>
  <c r="H39" i="6278"/>
  <c r="H5" i="6277"/>
  <c r="H6" i="6277"/>
  <c r="H35" i="6277"/>
  <c r="H2" i="6277"/>
  <c r="H15" i="6277"/>
  <c r="H37" i="6277"/>
  <c r="C19" i="6277"/>
  <c r="H10" i="6277"/>
  <c r="H17" i="6277"/>
  <c r="B24" i="6277"/>
  <c r="C16" i="6280"/>
  <c r="H5" i="6280"/>
  <c r="H23" i="6280"/>
  <c r="C21" i="6280"/>
  <c r="H10" i="6280"/>
  <c r="H29" i="6280"/>
  <c r="H31" i="6280"/>
  <c r="H19" i="6280"/>
  <c r="C38" i="6280"/>
  <c r="H6" i="6280"/>
  <c r="H39" i="6280"/>
  <c r="H24" i="6280"/>
  <c r="H32" i="6280"/>
  <c r="C40" i="6280"/>
  <c r="H3" i="6280"/>
  <c r="H13" i="6280"/>
  <c r="C17" i="6280"/>
  <c r="C22" i="6280"/>
  <c r="H41" i="6280"/>
  <c r="C23" i="6280"/>
  <c r="C42" i="6280"/>
  <c r="H34" i="6280"/>
  <c r="H9" i="6280"/>
  <c r="H7" i="6280"/>
  <c r="H18" i="6280"/>
  <c r="H25" i="6280"/>
  <c r="H35" i="6280"/>
  <c r="H4" i="6280"/>
  <c r="H8" i="6280"/>
  <c r="H21" i="6280"/>
  <c r="H11" i="6280"/>
  <c r="H27" i="6280"/>
  <c r="C36" i="6280"/>
  <c r="C45" i="6280"/>
  <c r="H14" i="6280"/>
  <c r="H2" i="6280"/>
  <c r="C19" i="6280"/>
  <c r="H37" i="6280"/>
  <c r="C46" i="6280"/>
  <c r="H12" i="6280"/>
  <c r="H28" i="6280"/>
  <c r="H33" i="6280"/>
  <c r="H38" i="6280"/>
  <c r="H42" i="6280"/>
  <c r="H17" i="6280"/>
  <c r="H20" i="6280"/>
  <c r="H22" i="6280"/>
  <c r="C20" i="6280"/>
  <c r="B24" i="6280"/>
  <c r="H16" i="6280"/>
  <c r="C35" i="6280"/>
  <c r="C39" i="6280"/>
  <c r="C43" i="6280"/>
  <c r="H15" i="6280"/>
  <c r="H26" i="6280"/>
  <c r="H30" i="6280"/>
  <c r="H36" i="6280"/>
  <c r="H40" i="6280"/>
  <c r="C44" i="6280"/>
  <c r="B25" i="6280"/>
  <c r="C37" i="6280"/>
  <c r="C41" i="6280"/>
  <c r="H18" i="6279"/>
  <c r="H38" i="6279"/>
  <c r="H9" i="6279"/>
  <c r="H12" i="6279"/>
  <c r="H20" i="6279"/>
  <c r="C38" i="6279"/>
  <c r="H33" i="6279"/>
  <c r="H22" i="6279"/>
  <c r="H42" i="6279"/>
  <c r="C22" i="6279"/>
  <c r="H32" i="6279"/>
  <c r="H39" i="6279"/>
  <c r="H3" i="6279"/>
  <c r="C17" i="6279"/>
  <c r="H23" i="6279"/>
  <c r="H41" i="6279"/>
  <c r="H24" i="6279"/>
  <c r="H34" i="6279"/>
  <c r="C42" i="6279"/>
  <c r="H8" i="6279"/>
  <c r="H6" i="6279"/>
  <c r="H16" i="6279"/>
  <c r="H19" i="6279"/>
  <c r="H26" i="6279"/>
  <c r="H35" i="6279"/>
  <c r="H2" i="6279"/>
  <c r="C19" i="6279"/>
  <c r="H27" i="6279"/>
  <c r="H37" i="6279"/>
  <c r="C46" i="6279"/>
  <c r="H15" i="6279"/>
  <c r="H17" i="6279"/>
  <c r="C20" i="6279"/>
  <c r="B24" i="6279"/>
  <c r="H29" i="6279"/>
  <c r="C35" i="6279"/>
  <c r="C39" i="6279"/>
  <c r="C43" i="6279"/>
  <c r="H21" i="6279"/>
  <c r="H25" i="6279"/>
  <c r="H30" i="6279"/>
  <c r="H36" i="6279"/>
  <c r="H40" i="6279"/>
  <c r="C44" i="6279"/>
  <c r="H10" i="6279"/>
  <c r="H13" i="6279"/>
  <c r="C21" i="6279"/>
  <c r="B25" i="6279"/>
  <c r="H31" i="6279"/>
  <c r="C36" i="6279"/>
  <c r="C40" i="6279"/>
  <c r="C45" i="6279"/>
  <c r="C37" i="6279"/>
  <c r="C41" i="6279"/>
  <c r="H6" i="6278"/>
  <c r="H21" i="6278"/>
  <c r="H25" i="6278"/>
  <c r="H30" i="6278"/>
  <c r="H36" i="6278"/>
  <c r="H40" i="6278"/>
  <c r="C44" i="6278"/>
  <c r="C21" i="6278"/>
  <c r="B25" i="6278"/>
  <c r="H31" i="6278"/>
  <c r="C36" i="6278"/>
  <c r="C40" i="6278"/>
  <c r="C45" i="6278"/>
  <c r="H8" i="6278"/>
  <c r="H22" i="6278"/>
  <c r="H26" i="6278"/>
  <c r="H32" i="6278"/>
  <c r="H37" i="6278"/>
  <c r="H41" i="6278"/>
  <c r="H22" i="6277"/>
  <c r="C38" i="6277"/>
  <c r="H7" i="6277"/>
  <c r="H19" i="6277"/>
  <c r="H14" i="6277"/>
  <c r="C20" i="6277"/>
  <c r="H29" i="6277"/>
  <c r="H39" i="6277"/>
  <c r="H24" i="6277"/>
  <c r="H12" i="6277"/>
  <c r="H41" i="6277"/>
  <c r="H32" i="6277"/>
  <c r="H11" i="6277"/>
  <c r="H9" i="6277"/>
  <c r="H21" i="6277"/>
  <c r="C23" i="6277"/>
  <c r="H3" i="6277"/>
  <c r="C17" i="6277"/>
  <c r="C22" i="6277"/>
  <c r="C42" i="6277"/>
  <c r="H20" i="6277"/>
  <c r="H25" i="6277"/>
  <c r="H34" i="6277"/>
  <c r="C46" i="6277"/>
  <c r="H16" i="6277"/>
  <c r="H28" i="6277"/>
  <c r="H33" i="6277"/>
  <c r="H38" i="6277"/>
  <c r="H42" i="6277"/>
  <c r="C35" i="6277"/>
  <c r="C39" i="6277"/>
  <c r="C43" i="6277"/>
  <c r="H23" i="6277"/>
  <c r="H26" i="6277"/>
  <c r="H30" i="6277"/>
  <c r="H36" i="6277"/>
  <c r="H40" i="6277"/>
  <c r="C44" i="6277"/>
  <c r="H8" i="6277"/>
  <c r="H13" i="6277"/>
  <c r="C21" i="6277"/>
  <c r="B25" i="6277"/>
  <c r="H31" i="6277"/>
  <c r="C36" i="6277"/>
  <c r="C40" i="6277"/>
  <c r="C45" i="6277"/>
  <c r="C37" i="6277"/>
  <c r="C41" i="6277"/>
  <c r="O26" i="6276" l="1"/>
  <c r="O23" i="6276"/>
  <c r="O21" i="6276"/>
  <c r="C32" i="6276"/>
  <c r="B27" i="6276"/>
  <c r="C18" i="6276"/>
  <c r="B17" i="6276"/>
  <c r="C47" i="6276" s="1"/>
  <c r="B16" i="6276"/>
  <c r="B26" i="6276" s="1"/>
  <c r="O15" i="6276"/>
  <c r="B15" i="6276"/>
  <c r="C15" i="6276" s="1"/>
  <c r="O14" i="6276"/>
  <c r="C14" i="6276"/>
  <c r="O13" i="6276"/>
  <c r="C13" i="6276"/>
  <c r="O12" i="6276"/>
  <c r="C12" i="6276"/>
  <c r="B11" i="6276"/>
  <c r="C11" i="6276" s="1"/>
  <c r="C10" i="6276"/>
  <c r="O9" i="6276"/>
  <c r="C9" i="6276"/>
  <c r="O8" i="6276"/>
  <c r="C8" i="6276"/>
  <c r="O7" i="6276"/>
  <c r="C7" i="6276"/>
  <c r="O6" i="6276"/>
  <c r="B6" i="6276"/>
  <c r="O5" i="6276"/>
  <c r="B5" i="6276"/>
  <c r="O4" i="6276"/>
  <c r="O3" i="6276"/>
  <c r="O2" i="6276"/>
  <c r="O30" i="6275"/>
  <c r="O29" i="6275"/>
  <c r="O27" i="6275"/>
  <c r="C32" i="6275"/>
  <c r="B27" i="6275"/>
  <c r="C18" i="6275"/>
  <c r="B17" i="6275"/>
  <c r="C47" i="6275" s="1"/>
  <c r="B16" i="6275"/>
  <c r="B26" i="6275" s="1"/>
  <c r="O15" i="6275"/>
  <c r="B15" i="6275"/>
  <c r="C15" i="6275" s="1"/>
  <c r="O14" i="6275"/>
  <c r="C14" i="6275"/>
  <c r="O13" i="6275"/>
  <c r="C13" i="6275"/>
  <c r="O12" i="6275"/>
  <c r="C12" i="6275"/>
  <c r="B11" i="6275"/>
  <c r="C11" i="6275" s="1"/>
  <c r="C10" i="6275"/>
  <c r="O9" i="6275"/>
  <c r="C9" i="6275"/>
  <c r="O8" i="6275"/>
  <c r="C8" i="6275"/>
  <c r="O7" i="6275"/>
  <c r="C7" i="6275"/>
  <c r="O6" i="6275"/>
  <c r="B6" i="6275"/>
  <c r="O5" i="6275"/>
  <c r="B5" i="6275"/>
  <c r="O4" i="6275"/>
  <c r="O3" i="6275"/>
  <c r="O2" i="6275"/>
  <c r="O25" i="6274"/>
  <c r="O23" i="6274"/>
  <c r="O18" i="6274"/>
  <c r="C32" i="6274"/>
  <c r="B27" i="6274"/>
  <c r="C18" i="6274"/>
  <c r="B17" i="6274"/>
  <c r="C46" i="6274" s="1"/>
  <c r="B16" i="6274"/>
  <c r="B26" i="6274" s="1"/>
  <c r="O15" i="6274"/>
  <c r="B15" i="6274"/>
  <c r="C15" i="6274" s="1"/>
  <c r="O14" i="6274"/>
  <c r="C14" i="6274"/>
  <c r="O13" i="6274"/>
  <c r="C13" i="6274"/>
  <c r="O12" i="6274"/>
  <c r="C12" i="6274"/>
  <c r="B11" i="6274"/>
  <c r="C11" i="6274" s="1"/>
  <c r="C10" i="6274"/>
  <c r="O9" i="6274"/>
  <c r="C9" i="6274"/>
  <c r="O8" i="6274"/>
  <c r="C8" i="6274"/>
  <c r="O7" i="6274"/>
  <c r="C7" i="6274"/>
  <c r="O6" i="6274"/>
  <c r="B6" i="6274"/>
  <c r="O5" i="6274"/>
  <c r="B5" i="6274"/>
  <c r="O4" i="6274"/>
  <c r="O3" i="6274"/>
  <c r="O2" i="6274"/>
  <c r="O43" i="6272"/>
  <c r="O23" i="6273"/>
  <c r="O19" i="6273"/>
  <c r="O26" i="6273"/>
  <c r="C32" i="6273"/>
  <c r="B27" i="6273"/>
  <c r="C18" i="6273"/>
  <c r="B17" i="6273"/>
  <c r="C47" i="6273" s="1"/>
  <c r="B16" i="6273"/>
  <c r="B26" i="6273" s="1"/>
  <c r="O15" i="6273"/>
  <c r="B15" i="6273"/>
  <c r="C15" i="6273" s="1"/>
  <c r="O14" i="6273"/>
  <c r="C14" i="6273"/>
  <c r="O13" i="6273"/>
  <c r="C13" i="6273"/>
  <c r="O12" i="6273"/>
  <c r="C12" i="6273"/>
  <c r="B11" i="6273"/>
  <c r="C11" i="6273" s="1"/>
  <c r="C10" i="6273"/>
  <c r="O9" i="6273"/>
  <c r="C9" i="6273"/>
  <c r="O8" i="6273"/>
  <c r="C8" i="6273"/>
  <c r="O7" i="6273"/>
  <c r="C7" i="6273"/>
  <c r="O6" i="6273"/>
  <c r="B6" i="6273"/>
  <c r="O5" i="6273"/>
  <c r="B5" i="6273"/>
  <c r="O4" i="6273"/>
  <c r="O3" i="6273"/>
  <c r="O2" i="6273"/>
  <c r="O45" i="6272"/>
  <c r="O54" i="6272"/>
  <c r="O42" i="6272"/>
  <c r="C32" i="6272"/>
  <c r="B27" i="6272"/>
  <c r="C18" i="6272"/>
  <c r="B17" i="6272"/>
  <c r="C44" i="6272" s="1"/>
  <c r="B16" i="6272"/>
  <c r="B26" i="6272" s="1"/>
  <c r="O15" i="6272"/>
  <c r="B15" i="6272"/>
  <c r="C15" i="6272" s="1"/>
  <c r="O14" i="6272"/>
  <c r="C14" i="6272"/>
  <c r="O13" i="6272"/>
  <c r="C13" i="6272"/>
  <c r="O12" i="6272"/>
  <c r="C12" i="6272"/>
  <c r="B11" i="6272"/>
  <c r="C11" i="6272" s="1"/>
  <c r="C10" i="6272"/>
  <c r="O9" i="6272"/>
  <c r="C9" i="6272"/>
  <c r="O8" i="6272"/>
  <c r="C8" i="6272"/>
  <c r="O7" i="6272"/>
  <c r="C7" i="6272"/>
  <c r="O6" i="6272"/>
  <c r="B6" i="6272"/>
  <c r="O5" i="6272"/>
  <c r="B5" i="6272"/>
  <c r="O4" i="6272"/>
  <c r="O3" i="6272"/>
  <c r="O2" i="6272"/>
  <c r="C16" i="6273" l="1"/>
  <c r="H2" i="6275"/>
  <c r="C16" i="6274"/>
  <c r="H8" i="6276"/>
  <c r="H34" i="6276"/>
  <c r="C16" i="6276"/>
  <c r="H35" i="6276"/>
  <c r="C36" i="6276"/>
  <c r="H18" i="6276"/>
  <c r="H6" i="6276"/>
  <c r="H2" i="6276"/>
  <c r="C21" i="6276"/>
  <c r="H4" i="6276"/>
  <c r="C23" i="6276"/>
  <c r="H13" i="6276"/>
  <c r="C16" i="6275"/>
  <c r="H5" i="6273"/>
  <c r="H14" i="6273"/>
  <c r="H12" i="6273"/>
  <c r="H39" i="6273"/>
  <c r="H17" i="6273"/>
  <c r="C19" i="6273"/>
  <c r="H6" i="6273"/>
  <c r="H20" i="6273"/>
  <c r="C40" i="6273"/>
  <c r="B25" i="6273"/>
  <c r="H35" i="6273"/>
  <c r="H3" i="6273"/>
  <c r="H8" i="6273"/>
  <c r="H27" i="6273"/>
  <c r="C38" i="6273"/>
  <c r="H22" i="6273"/>
  <c r="H9" i="6273"/>
  <c r="C19" i="6275"/>
  <c r="H22" i="6275"/>
  <c r="H4" i="6275"/>
  <c r="C21" i="6275"/>
  <c r="H3" i="6275"/>
  <c r="H19" i="6275"/>
  <c r="H16" i="6275"/>
  <c r="H31" i="6275"/>
  <c r="H6" i="6275"/>
  <c r="H11" i="6275"/>
  <c r="H7" i="6275"/>
  <c r="H5" i="6275"/>
  <c r="H34" i="6275"/>
  <c r="H12" i="6275"/>
  <c r="H35" i="6275"/>
  <c r="H8" i="6275"/>
  <c r="H25" i="6275"/>
  <c r="C36" i="6275"/>
  <c r="H17" i="6275"/>
  <c r="H14" i="6275"/>
  <c r="C38" i="6275"/>
  <c r="H27" i="6275"/>
  <c r="H39" i="6275"/>
  <c r="C22" i="6275"/>
  <c r="H32" i="6275"/>
  <c r="C40" i="6275"/>
  <c r="H9" i="6275"/>
  <c r="C17" i="6275"/>
  <c r="H13" i="6275"/>
  <c r="H41" i="6275"/>
  <c r="H10" i="6275"/>
  <c r="H21" i="6275"/>
  <c r="C23" i="6275"/>
  <c r="H33" i="6275"/>
  <c r="C42" i="6275"/>
  <c r="H28" i="6273"/>
  <c r="H41" i="6273"/>
  <c r="H7" i="6273"/>
  <c r="C17" i="6273"/>
  <c r="H32" i="6273"/>
  <c r="C21" i="6273"/>
  <c r="C42" i="6273"/>
  <c r="H18" i="6273"/>
  <c r="H2" i="6273"/>
  <c r="C23" i="6273"/>
  <c r="H33" i="6273"/>
  <c r="H25" i="6273"/>
  <c r="H34" i="6273"/>
  <c r="C16" i="6272"/>
  <c r="H14" i="6276"/>
  <c r="H39" i="6276"/>
  <c r="C40" i="6276"/>
  <c r="H10" i="6276"/>
  <c r="H15" i="6276"/>
  <c r="H22" i="6276"/>
  <c r="H41" i="6276"/>
  <c r="C19" i="6276"/>
  <c r="H42" i="6276"/>
  <c r="H27" i="6276"/>
  <c r="H3" i="6276"/>
  <c r="H17" i="6276"/>
  <c r="H20" i="6276"/>
  <c r="H23" i="6276"/>
  <c r="H33" i="6276"/>
  <c r="C42" i="6276"/>
  <c r="H25" i="6276"/>
  <c r="H28" i="6276"/>
  <c r="H37" i="6276"/>
  <c r="H7" i="6276"/>
  <c r="H16" i="6276"/>
  <c r="C17" i="6276"/>
  <c r="C22" i="6276"/>
  <c r="H31" i="6276"/>
  <c r="H38" i="6276"/>
  <c r="C45" i="6276"/>
  <c r="H11" i="6276"/>
  <c r="H5" i="6276"/>
  <c r="H12" i="6276"/>
  <c r="H9" i="6276"/>
  <c r="H32" i="6276"/>
  <c r="C38" i="6276"/>
  <c r="C46" i="6276"/>
  <c r="H19" i="6276"/>
  <c r="H21" i="6276"/>
  <c r="C20" i="6276"/>
  <c r="B24" i="6276"/>
  <c r="H29" i="6276"/>
  <c r="C35" i="6276"/>
  <c r="C39" i="6276"/>
  <c r="C43" i="6276"/>
  <c r="H24" i="6276"/>
  <c r="H26" i="6276"/>
  <c r="H30" i="6276"/>
  <c r="H36" i="6276"/>
  <c r="H40" i="6276"/>
  <c r="C44" i="6276"/>
  <c r="B25" i="6276"/>
  <c r="C37" i="6276"/>
  <c r="C41" i="6276"/>
  <c r="C45" i="6275"/>
  <c r="H24" i="6275"/>
  <c r="H28" i="6275"/>
  <c r="H37" i="6275"/>
  <c r="C46" i="6275"/>
  <c r="H38" i="6275"/>
  <c r="H42" i="6275"/>
  <c r="H15" i="6275"/>
  <c r="H18" i="6275"/>
  <c r="H20" i="6275"/>
  <c r="C20" i="6275"/>
  <c r="B24" i="6275"/>
  <c r="H29" i="6275"/>
  <c r="C35" i="6275"/>
  <c r="C39" i="6275"/>
  <c r="C43" i="6275"/>
  <c r="H23" i="6275"/>
  <c r="H26" i="6275"/>
  <c r="H30" i="6275"/>
  <c r="H36" i="6275"/>
  <c r="H40" i="6275"/>
  <c r="C44" i="6275"/>
  <c r="B25" i="6275"/>
  <c r="C37" i="6275"/>
  <c r="C41" i="6275"/>
  <c r="H12" i="6274"/>
  <c r="H29" i="6274"/>
  <c r="H13" i="6274"/>
  <c r="H31" i="6274"/>
  <c r="H2" i="6274"/>
  <c r="C23" i="6274"/>
  <c r="C39" i="6274"/>
  <c r="H8" i="6274"/>
  <c r="H19" i="6274"/>
  <c r="H10" i="6274"/>
  <c r="H26" i="6274"/>
  <c r="H33" i="6274"/>
  <c r="C40" i="6274"/>
  <c r="H38" i="6274"/>
  <c r="C41" i="6274"/>
  <c r="C22" i="6274"/>
  <c r="H16" i="6274"/>
  <c r="H17" i="6274"/>
  <c r="H34" i="6274"/>
  <c r="H7" i="6274"/>
  <c r="H22" i="6274"/>
  <c r="H14" i="6274"/>
  <c r="C35" i="6274"/>
  <c r="H42" i="6274"/>
  <c r="H6" i="6274"/>
  <c r="C45" i="6274"/>
  <c r="H5" i="6274"/>
  <c r="C19" i="6274"/>
  <c r="B24" i="6274"/>
  <c r="H4" i="6274"/>
  <c r="H9" i="6274"/>
  <c r="C20" i="6274"/>
  <c r="C36" i="6274"/>
  <c r="C42" i="6274"/>
  <c r="H15" i="6274"/>
  <c r="H18" i="6274"/>
  <c r="H20" i="6274"/>
  <c r="C21" i="6274"/>
  <c r="H28" i="6274"/>
  <c r="C37" i="6274"/>
  <c r="C43" i="6274"/>
  <c r="C17" i="6274"/>
  <c r="H25" i="6274"/>
  <c r="C38" i="6274"/>
  <c r="C47" i="6274"/>
  <c r="H35" i="6274"/>
  <c r="H39" i="6274"/>
  <c r="H3" i="6274"/>
  <c r="H23" i="6274"/>
  <c r="H27" i="6274"/>
  <c r="H30" i="6274"/>
  <c r="H36" i="6274"/>
  <c r="H40" i="6274"/>
  <c r="C44" i="6274"/>
  <c r="B25" i="6274"/>
  <c r="H21" i="6274"/>
  <c r="H24" i="6274"/>
  <c r="H11" i="6274"/>
  <c r="H32" i="6274"/>
  <c r="H37" i="6274"/>
  <c r="H41" i="6274"/>
  <c r="H16" i="6272"/>
  <c r="C35" i="6272"/>
  <c r="H3" i="6272"/>
  <c r="C36" i="6272"/>
  <c r="H37" i="6272"/>
  <c r="C20" i="6272"/>
  <c r="H11" i="6272"/>
  <c r="H21" i="6272"/>
  <c r="H41" i="6272"/>
  <c r="C21" i="6272"/>
  <c r="H29" i="6272"/>
  <c r="C41" i="6272"/>
  <c r="H22" i="6272"/>
  <c r="H24" i="6273"/>
  <c r="C36" i="6273"/>
  <c r="H4" i="6273"/>
  <c r="H10" i="6273"/>
  <c r="C22" i="6273"/>
  <c r="H29" i="6273"/>
  <c r="H37" i="6273"/>
  <c r="C45" i="6273"/>
  <c r="H13" i="6273"/>
  <c r="H11" i="6273"/>
  <c r="H31" i="6273"/>
  <c r="H38" i="6273"/>
  <c r="C46" i="6273"/>
  <c r="H42" i="6273"/>
  <c r="H16" i="6273"/>
  <c r="H19" i="6273"/>
  <c r="H21" i="6273"/>
  <c r="C20" i="6273"/>
  <c r="B24" i="6273"/>
  <c r="H30" i="6273"/>
  <c r="C35" i="6273"/>
  <c r="C39" i="6273"/>
  <c r="C43" i="6273"/>
  <c r="H23" i="6273"/>
  <c r="H26" i="6273"/>
  <c r="H15" i="6273"/>
  <c r="H36" i="6273"/>
  <c r="H40" i="6273"/>
  <c r="C44" i="6273"/>
  <c r="C37" i="6273"/>
  <c r="C41" i="6273"/>
  <c r="H12" i="6272"/>
  <c r="H9" i="6272"/>
  <c r="H4" i="6272"/>
  <c r="C42" i="6272"/>
  <c r="H20" i="6272"/>
  <c r="C22" i="6272"/>
  <c r="H25" i="6272"/>
  <c r="C37" i="6272"/>
  <c r="H2" i="6272"/>
  <c r="H17" i="6272"/>
  <c r="H26" i="6272"/>
  <c r="C38" i="6272"/>
  <c r="H30" i="6272"/>
  <c r="H23" i="6272"/>
  <c r="H39" i="6272"/>
  <c r="C45" i="6272"/>
  <c r="H32" i="6272"/>
  <c r="C43" i="6272"/>
  <c r="H7" i="6272"/>
  <c r="H5" i="6272"/>
  <c r="C19" i="6272"/>
  <c r="H27" i="6272"/>
  <c r="C39" i="6272"/>
  <c r="C46" i="6272"/>
  <c r="H10" i="6272"/>
  <c r="H6" i="6272"/>
  <c r="C17" i="6272"/>
  <c r="C23" i="6272"/>
  <c r="H28" i="6272"/>
  <c r="B24" i="6272"/>
  <c r="H8" i="6272"/>
  <c r="H31" i="6272"/>
  <c r="H15" i="6272"/>
  <c r="H35" i="6272"/>
  <c r="C40" i="6272"/>
  <c r="C47" i="6272"/>
  <c r="B25" i="6272"/>
  <c r="H13" i="6272"/>
  <c r="H14" i="6272"/>
  <c r="H24" i="6272"/>
  <c r="H34" i="6272"/>
  <c r="H38" i="6272"/>
  <c r="H42" i="6272"/>
  <c r="H18" i="6272"/>
  <c r="H33" i="6272"/>
  <c r="H19" i="6272"/>
  <c r="H36" i="6272"/>
  <c r="H40" i="6272"/>
  <c r="B6" i="2228" l="1"/>
  <c r="O5" i="2228" l="1"/>
  <c r="O12" i="2228"/>
  <c r="O13" i="2228"/>
  <c r="O6" i="2228"/>
  <c r="C11" i="2228" l="1"/>
  <c r="B11" i="2228"/>
  <c r="C10" i="2228"/>
  <c r="C8" i="2228"/>
  <c r="C9" i="2228"/>
  <c r="B16" i="2228" l="1"/>
  <c r="B15" i="2228"/>
  <c r="B5" i="2228"/>
  <c r="C17" i="2228"/>
  <c r="C18" i="2228"/>
  <c r="B27" i="2228"/>
  <c r="B26" i="2228" l="1"/>
  <c r="C16" i="2228"/>
  <c r="C32" i="2228" l="1"/>
  <c r="B17" i="2228"/>
  <c r="C15" i="2228"/>
  <c r="C14" i="2228"/>
  <c r="C13" i="2228"/>
  <c r="O15" i="2228"/>
  <c r="O14" i="2228"/>
  <c r="C12" i="2228"/>
  <c r="O9" i="2228"/>
  <c r="C7" i="2228"/>
  <c r="O8" i="2228"/>
  <c r="O7" i="2228"/>
  <c r="O4" i="2228"/>
  <c r="O3" i="2228"/>
  <c r="O2" i="2228"/>
  <c r="C23" i="2228" l="1"/>
  <c r="H9" i="2228"/>
  <c r="C21" i="2228"/>
  <c r="C20" i="2228"/>
  <c r="C19" i="2228"/>
  <c r="C22" i="2228"/>
  <c r="H6" i="2228"/>
  <c r="B25" i="2228"/>
  <c r="B24" i="2228"/>
  <c r="C37" i="2228"/>
  <c r="C47" i="2228"/>
  <c r="C39" i="2228"/>
  <c r="C46" i="2228"/>
  <c r="C38" i="2228"/>
  <c r="C45" i="2228"/>
  <c r="C36" i="2228"/>
  <c r="C44" i="2228"/>
  <c r="C35" i="2228"/>
  <c r="C43" i="2228"/>
  <c r="C42" i="2228"/>
  <c r="C41" i="2228"/>
  <c r="C40" i="2228"/>
  <c r="H3" i="2228"/>
  <c r="H5" i="2228"/>
  <c r="H13" i="2228"/>
  <c r="H2" i="2228"/>
  <c r="H4" i="2228"/>
  <c r="H8" i="2228"/>
  <c r="H10" i="2228"/>
  <c r="H7" i="2228"/>
  <c r="H15" i="2228"/>
  <c r="H21" i="2228"/>
  <c r="H12" i="2228"/>
  <c r="H11" i="2228"/>
  <c r="H14" i="2228"/>
  <c r="H16" i="2228"/>
  <c r="H18" i="2228"/>
  <c r="H20" i="2228"/>
  <c r="H23" i="2228"/>
  <c r="H26" i="2228"/>
  <c r="H29" i="2228"/>
  <c r="H33" i="2228"/>
  <c r="H37" i="2228"/>
  <c r="H41" i="2228"/>
  <c r="H42" i="2228"/>
  <c r="H30" i="2228"/>
  <c r="H34" i="2228"/>
  <c r="H38" i="2228"/>
  <c r="H17" i="2228"/>
  <c r="H19" i="2228"/>
  <c r="H22" i="2228"/>
  <c r="H24" i="2228"/>
  <c r="H27" i="2228"/>
  <c r="H31" i="2228"/>
  <c r="H35" i="2228"/>
  <c r="H39" i="2228"/>
  <c r="H25" i="2228"/>
  <c r="H28" i="2228"/>
  <c r="H32" i="2228"/>
  <c r="H36" i="2228"/>
  <c r="H40" i="2228"/>
</calcChain>
</file>

<file path=xl/sharedStrings.xml><?xml version="1.0" encoding="utf-8"?>
<sst xmlns="http://schemas.openxmlformats.org/spreadsheetml/2006/main" count="8735" uniqueCount="290">
  <si>
    <t>名前</t>
    <rPh sb="0" eb="2">
      <t>ナマエ</t>
    </rPh>
    <phoneticPr fontId="2"/>
  </si>
  <si>
    <t>平均順位</t>
    <rPh sb="0" eb="4">
      <t>ヘイキンジュンイ</t>
    </rPh>
    <phoneticPr fontId="2"/>
  </si>
  <si>
    <t>1位</t>
    <rPh sb="1" eb="2">
      <t>イ</t>
    </rPh>
    <phoneticPr fontId="2"/>
  </si>
  <si>
    <t>2位</t>
    <rPh sb="1" eb="2">
      <t>イ</t>
    </rPh>
    <phoneticPr fontId="2"/>
  </si>
  <si>
    <t>3位</t>
    <rPh sb="1" eb="2">
      <t>イ</t>
    </rPh>
    <phoneticPr fontId="2"/>
  </si>
  <si>
    <t>平均アガリ点</t>
    <rPh sb="0" eb="2">
      <t>ヘイキン</t>
    </rPh>
    <rPh sb="5" eb="6">
      <t>テン</t>
    </rPh>
    <phoneticPr fontId="2"/>
  </si>
  <si>
    <t>通算スコア</t>
    <rPh sb="0" eb="2">
      <t>ツウサン</t>
    </rPh>
    <phoneticPr fontId="2"/>
  </si>
  <si>
    <t>平均スコア</t>
    <rPh sb="0" eb="2">
      <t>ヘイキン</t>
    </rPh>
    <phoneticPr fontId="2"/>
  </si>
  <si>
    <t>総局数</t>
    <rPh sb="0" eb="2">
      <t>ソウキョク</t>
    </rPh>
    <rPh sb="2" eb="3">
      <t>スウ</t>
    </rPh>
    <phoneticPr fontId="2"/>
  </si>
  <si>
    <t>対戦数</t>
    <rPh sb="0" eb="2">
      <t>タイセン</t>
    </rPh>
    <rPh sb="2" eb="3">
      <t>スウ</t>
    </rPh>
    <phoneticPr fontId="2"/>
  </si>
  <si>
    <t>アガリ</t>
    <phoneticPr fontId="2"/>
  </si>
  <si>
    <t>ロン</t>
    <phoneticPr fontId="2"/>
  </si>
  <si>
    <t>ツモ</t>
    <phoneticPr fontId="2"/>
  </si>
  <si>
    <t>放銃</t>
    <rPh sb="0" eb="2">
      <t>ホウジュウ</t>
    </rPh>
    <phoneticPr fontId="2"/>
  </si>
  <si>
    <t>トップ率</t>
    <rPh sb="3" eb="4">
      <t>リツ</t>
    </rPh>
    <phoneticPr fontId="2"/>
  </si>
  <si>
    <t>平均順位</t>
    <rPh sb="0" eb="4">
      <t>ヘイキン</t>
    </rPh>
    <phoneticPr fontId="2"/>
  </si>
  <si>
    <t>平均放銃点</t>
    <rPh sb="0" eb="2">
      <t>ヘイキン</t>
    </rPh>
    <rPh sb="2" eb="4">
      <t>ホウジュウ</t>
    </rPh>
    <rPh sb="4" eb="5">
      <t>テン</t>
    </rPh>
    <phoneticPr fontId="2"/>
  </si>
  <si>
    <t>ふっとび</t>
    <phoneticPr fontId="2"/>
  </si>
  <si>
    <t>回</t>
    <rPh sb="0" eb="1">
      <t>カイ</t>
    </rPh>
    <phoneticPr fontId="2"/>
  </si>
  <si>
    <t>一発</t>
  </si>
  <si>
    <t>ドラ</t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</si>
  <si>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</si>
  <si>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</si>
  <si>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</si>
  <si>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</si>
  <si>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</si>
  <si>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</si>
  <si>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</si>
  <si>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</si>
  <si>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</si>
  <si>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</si>
  <si>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</si>
  <si>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</si>
  <si>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</si>
  <si>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</si>
  <si>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</si>
  <si>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</si>
  <si>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</si>
  <si>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</si>
  <si>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</si>
  <si>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</si>
  <si>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</si>
  <si>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</si>
  <si>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</si>
  <si>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</si>
  <si>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</si>
  <si>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</si>
  <si>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</si>
  <si>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</si>
  <si>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</si>
  <si>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</si>
  <si>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</si>
  <si>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</si>
  <si>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</si>
  <si>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</si>
  <si>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</si>
  <si>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</si>
  <si>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</si>
  <si>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</si>
  <si>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</si>
  <si>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</si>
  <si>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</si>
  <si>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</si>
  <si>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</si>
  <si>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</si>
  <si>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</si>
  <si>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</si>
  <si>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</si>
  <si>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</si>
  <si>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</si>
  <si>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</si>
  <si>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</si>
  <si>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</si>
  <si>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</si>
  <si>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</si>
  <si>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</si>
  <si>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</si>
  <si>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</si>
  <si>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</si>
  <si>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</si>
  <si>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</si>
  <si>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</si>
  <si>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</si>
  <si>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</si>
  <si>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</si>
  <si>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</si>
  <si>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</si>
  <si>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</si>
  <si>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</si>
  <si>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</si>
  <si>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</si>
  <si>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役</t>
    <rPh sb="0" eb="1">
      <t>ヤク</t>
    </rPh>
    <phoneticPr fontId="2"/>
  </si>
  <si>
    <t>回数</t>
    <rPh sb="0" eb="2">
      <t>カイスウ</t>
    </rPh>
    <phoneticPr fontId="2"/>
  </si>
  <si>
    <t>割合</t>
    <rPh sb="0" eb="2">
      <t>ワリアイ</t>
    </rPh>
    <phoneticPr fontId="2"/>
  </si>
  <si>
    <t>副露</t>
    <rPh sb="0" eb="2">
      <t>フーロ</t>
    </rPh>
    <phoneticPr fontId="2"/>
  </si>
  <si>
    <t>副露率</t>
    <rPh sb="0" eb="2">
      <t>フーロ</t>
    </rPh>
    <rPh sb="2" eb="3">
      <t>リツ</t>
    </rPh>
    <phoneticPr fontId="2"/>
  </si>
  <si>
    <t>スコア</t>
    <phoneticPr fontId="2"/>
  </si>
  <si>
    <t>リーチ</t>
    <phoneticPr fontId="2"/>
  </si>
  <si>
    <t>リーチ率</t>
    <rPh sb="3" eb="4">
      <t>リツ</t>
    </rPh>
    <phoneticPr fontId="2"/>
  </si>
  <si>
    <t>リーチ成功</t>
    <rPh sb="3" eb="5">
      <t>セイコウ</t>
    </rPh>
    <phoneticPr fontId="2"/>
  </si>
  <si>
    <t>副露成功</t>
    <rPh sb="0" eb="2">
      <t>フーロ</t>
    </rPh>
    <rPh sb="2" eb="4">
      <t>セイコウ</t>
    </rPh>
    <phoneticPr fontId="2"/>
  </si>
  <si>
    <t>リーチ成功率</t>
    <rPh sb="3" eb="5">
      <t>セイコウ</t>
    </rPh>
    <rPh sb="5" eb="6">
      <t>リツ</t>
    </rPh>
    <phoneticPr fontId="2"/>
  </si>
  <si>
    <t>Sheet1</t>
  </si>
  <si>
    <t>東1局</t>
    <rPh sb="0" eb="1">
      <t>ヒガシ</t>
    </rPh>
    <rPh sb="2" eb="3">
      <t>キョク</t>
    </rPh>
    <phoneticPr fontId="2"/>
  </si>
  <si>
    <t>東2局</t>
    <rPh sb="0" eb="1">
      <t>ヒガシ</t>
    </rPh>
    <rPh sb="2" eb="3">
      <t>キョク</t>
    </rPh>
    <phoneticPr fontId="2"/>
  </si>
  <si>
    <t>東3局</t>
    <rPh sb="0" eb="1">
      <t>ヒガシ</t>
    </rPh>
    <rPh sb="2" eb="3">
      <t>キョク</t>
    </rPh>
    <phoneticPr fontId="2"/>
  </si>
  <si>
    <t>南1局</t>
    <rPh sb="0" eb="1">
      <t>ミナミ</t>
    </rPh>
    <rPh sb="2" eb="3">
      <t>キョク</t>
    </rPh>
    <phoneticPr fontId="2"/>
  </si>
  <si>
    <t>南2局</t>
    <rPh sb="0" eb="1">
      <t>ミナミ</t>
    </rPh>
    <rPh sb="2" eb="3">
      <t>キョク</t>
    </rPh>
    <phoneticPr fontId="2"/>
  </si>
  <si>
    <t>南3局</t>
    <rPh sb="0" eb="1">
      <t>ミナミ</t>
    </rPh>
    <rPh sb="2" eb="3">
      <t>キョク</t>
    </rPh>
    <phoneticPr fontId="2"/>
  </si>
  <si>
    <t>局</t>
    <rPh sb="0" eb="1">
      <t>キョク</t>
    </rPh>
    <phoneticPr fontId="2"/>
  </si>
  <si>
    <t>平均点数</t>
    <rPh sb="0" eb="2">
      <t>ヘイキン</t>
    </rPh>
    <rPh sb="2" eb="4">
      <t>テンスウ</t>
    </rPh>
    <phoneticPr fontId="2"/>
  </si>
  <si>
    <t>最大ドラ数</t>
    <rPh sb="0" eb="2">
      <t>サイダイ</t>
    </rPh>
    <rPh sb="4" eb="5">
      <t>スウ</t>
    </rPh>
    <phoneticPr fontId="2"/>
  </si>
  <si>
    <t>チョンボ</t>
    <phoneticPr fontId="2"/>
  </si>
  <si>
    <t>ツモ率</t>
    <rPh sb="2" eb="3">
      <t>リツ</t>
    </rPh>
    <phoneticPr fontId="2"/>
  </si>
  <si>
    <t>全体</t>
  </si>
  <si>
    <t>アガリ率</t>
    <rPh sb="3" eb="4">
      <t>リ</t>
    </rPh>
    <phoneticPr fontId="2"/>
  </si>
  <si>
    <t>放銃率</t>
    <rPh sb="0" eb="3">
      <t>ホウジュウリツ</t>
    </rPh>
    <phoneticPr fontId="2"/>
  </si>
  <si>
    <t>副露成功率</t>
    <rPh sb="0" eb="2">
      <t>フーロ</t>
    </rPh>
    <rPh sb="2" eb="5">
      <t>セイコウリツ</t>
    </rPh>
    <phoneticPr fontId="2"/>
  </si>
  <si>
    <t>順位</t>
    <rPh sb="0" eb="2">
      <t>ジュンイ</t>
    </rPh>
    <phoneticPr fontId="2"/>
  </si>
  <si>
    <t>相手</t>
    <rPh sb="0" eb="2">
      <t>アイテ</t>
    </rPh>
    <phoneticPr fontId="2"/>
  </si>
  <si>
    <t>スコア</t>
    <phoneticPr fontId="2"/>
  </si>
  <si>
    <t>回数</t>
    <rPh sb="0" eb="2">
      <t>カイスウ</t>
    </rPh>
    <phoneticPr fontId="2"/>
  </si>
  <si>
    <t>合計</t>
    <rPh sb="0" eb="2">
      <t>ゴウケイ</t>
    </rPh>
    <phoneticPr fontId="2"/>
  </si>
  <si>
    <t>合計</t>
    <rPh sb="0" eb="2">
      <t>ゴウケイ</t>
    </rPh>
    <phoneticPr fontId="2"/>
  </si>
  <si>
    <t>相関</t>
    <rPh sb="0" eb="2">
      <t>ソウカン</t>
    </rPh>
    <phoneticPr fontId="2"/>
  </si>
  <si>
    <t>ラス率</t>
    <rPh sb="2" eb="3">
      <t>リツ</t>
    </rPh>
    <phoneticPr fontId="2"/>
  </si>
  <si>
    <t>東家</t>
    <rPh sb="0" eb="2">
      <t>トンチャ</t>
    </rPh>
    <phoneticPr fontId="2"/>
  </si>
  <si>
    <t>南家</t>
    <rPh sb="0" eb="2">
      <t>ナンチャ</t>
    </rPh>
    <phoneticPr fontId="2"/>
  </si>
  <si>
    <t>西家</t>
    <rPh sb="0" eb="2">
      <t>シャーチャ</t>
    </rPh>
    <phoneticPr fontId="2"/>
  </si>
  <si>
    <t>コード</t>
    <phoneticPr fontId="2"/>
  </si>
  <si>
    <t>連続アガリ</t>
    <rPh sb="0" eb="2">
      <t>レンゾク</t>
    </rPh>
    <phoneticPr fontId="2"/>
  </si>
  <si>
    <t>連続無放銃</t>
    <rPh sb="0" eb="2">
      <t>レンゾク</t>
    </rPh>
    <rPh sb="2" eb="5">
      <t>ムホウジュウ</t>
    </rPh>
    <phoneticPr fontId="2"/>
  </si>
  <si>
    <t>平均放銃点</t>
  </si>
  <si>
    <t>門前アガリ点</t>
    <rPh sb="0" eb="2">
      <t>メンゼン</t>
    </rPh>
    <rPh sb="5" eb="6">
      <t>テン</t>
    </rPh>
    <phoneticPr fontId="2"/>
  </si>
  <si>
    <t>副露アガリ点</t>
    <rPh sb="0" eb="2">
      <t>フーロ</t>
    </rPh>
    <rPh sb="5" eb="6">
      <t>テン</t>
    </rPh>
    <phoneticPr fontId="2"/>
  </si>
  <si>
    <t>2翻</t>
    <phoneticPr fontId="2"/>
  </si>
  <si>
    <t>3翻</t>
    <rPh sb="1" eb="2">
      <t>ホン</t>
    </rPh>
    <phoneticPr fontId="2"/>
  </si>
  <si>
    <t>4翻</t>
    <phoneticPr fontId="2"/>
  </si>
  <si>
    <t>5翻</t>
    <rPh sb="1" eb="2">
      <t>ホン</t>
    </rPh>
    <phoneticPr fontId="2"/>
  </si>
  <si>
    <t>1翻</t>
    <rPh sb="1" eb="2">
      <t>ホン</t>
    </rPh>
    <phoneticPr fontId="2"/>
  </si>
  <si>
    <t>6翻</t>
    <phoneticPr fontId="2"/>
  </si>
  <si>
    <t>7翻</t>
    <rPh sb="1" eb="2">
      <t>ホン</t>
    </rPh>
    <phoneticPr fontId="2"/>
  </si>
  <si>
    <t>8翻</t>
    <phoneticPr fontId="2"/>
  </si>
  <si>
    <t>9翻</t>
    <rPh sb="1" eb="2">
      <t>ホン</t>
    </rPh>
    <phoneticPr fontId="2"/>
  </si>
  <si>
    <t>10翻</t>
    <phoneticPr fontId="2"/>
  </si>
  <si>
    <t>11翻</t>
    <rPh sb="2" eb="3">
      <t>ホン</t>
    </rPh>
    <phoneticPr fontId="2"/>
  </si>
  <si>
    <t>12翻</t>
    <phoneticPr fontId="2"/>
  </si>
  <si>
    <t>13翻～</t>
    <rPh sb="2" eb="3">
      <t>ホン</t>
    </rPh>
    <phoneticPr fontId="2"/>
  </si>
  <si>
    <t>最高点</t>
    <rPh sb="0" eb="3">
      <t>サイコウテン</t>
    </rPh>
    <phoneticPr fontId="2"/>
  </si>
  <si>
    <t>副露アガリ</t>
    <rPh sb="0" eb="2">
      <t>フーロ</t>
    </rPh>
    <phoneticPr fontId="2"/>
  </si>
  <si>
    <t>ダマアガリ</t>
    <phoneticPr fontId="2"/>
  </si>
  <si>
    <t>リーチアガリ</t>
    <phoneticPr fontId="2"/>
  </si>
  <si>
    <t>4位</t>
    <rPh sb="1" eb="2">
      <t>イ</t>
    </rPh>
    <phoneticPr fontId="2"/>
  </si>
  <si>
    <t>連対</t>
    <rPh sb="0" eb="2">
      <t>レンタイ</t>
    </rPh>
    <phoneticPr fontId="2"/>
  </si>
  <si>
    <t>連対率</t>
    <rPh sb="0" eb="3">
      <t>レンタイリ</t>
    </rPh>
    <phoneticPr fontId="2"/>
  </si>
  <si>
    <t>裏ドラ</t>
    <rPh sb="0" eb="1">
      <t>ウラ</t>
    </rPh>
    <phoneticPr fontId="1"/>
  </si>
  <si>
    <t>立直</t>
    <rPh sb="0" eb="2">
      <t>リーチ</t>
    </rPh>
    <phoneticPr fontId="1"/>
  </si>
  <si>
    <t>東4局</t>
    <rPh sb="0" eb="1">
      <t>ヒガシ</t>
    </rPh>
    <rPh sb="2" eb="3">
      <t>キョク</t>
    </rPh>
    <phoneticPr fontId="2"/>
  </si>
  <si>
    <t>南4局</t>
    <rPh sb="0" eb="1">
      <t>ミナミ</t>
    </rPh>
    <rPh sb="2" eb="3">
      <t>キョク</t>
    </rPh>
    <phoneticPr fontId="2"/>
  </si>
  <si>
    <t>北家</t>
    <rPh sb="0" eb="2">
      <t>ホッケ</t>
    </rPh>
    <phoneticPr fontId="2"/>
  </si>
  <si>
    <t>2019-11-15@A.xlsm</t>
  </si>
  <si>
    <t>滝沢悠人</t>
  </si>
  <si>
    <t>大池陸斗</t>
  </si>
  <si>
    <t>百瀬成空</t>
  </si>
  <si>
    <t>松澤亮太</t>
  </si>
  <si>
    <t>2019-11-15@B.xlsm</t>
  </si>
  <si>
    <t>依田幸憲</t>
  </si>
  <si>
    <t>保谷一貴</t>
  </si>
  <si>
    <t>高野源太</t>
  </si>
  <si>
    <t>佐藤成浩</t>
  </si>
  <si>
    <t>位置</t>
    <rPh sb="0" eb="2">
      <t>イチ</t>
    </rPh>
    <phoneticPr fontId="2"/>
  </si>
  <si>
    <t>翻数</t>
    <rPh sb="0" eb="1">
      <t>ファン</t>
    </rPh>
    <rPh sb="1" eb="2">
      <t>スウ</t>
    </rPh>
    <phoneticPr fontId="2"/>
  </si>
  <si>
    <t>回数</t>
    <rPh sb="0" eb="2">
      <t>カイスウ</t>
    </rPh>
    <phoneticPr fontId="2"/>
  </si>
  <si>
    <t>割合</t>
    <rPh sb="0" eb="2">
      <t>ワリアイ</t>
    </rPh>
    <phoneticPr fontId="2"/>
  </si>
  <si>
    <t>2019-12-06@A.xlsm</t>
  </si>
  <si>
    <t>矢ヶ崎健</t>
  </si>
  <si>
    <t>Sheet2</t>
  </si>
  <si>
    <t>小林郁斗</t>
  </si>
  <si>
    <t>2019-12-06@B.xlsm</t>
  </si>
  <si>
    <t>福澤大地</t>
  </si>
  <si>
    <t>木角有希</t>
  </si>
  <si>
    <t>01</t>
  </si>
  <si>
    <t>02</t>
  </si>
  <si>
    <t>18</t>
  </si>
  <si>
    <t>52</t>
  </si>
  <si>
    <t>門前清自摸和</t>
  </si>
  <si>
    <t>三色同順</t>
  </si>
  <si>
    <t>赤ドラ</t>
    <rPh sb="0" eb="1">
      <t>アカ</t>
    </rPh>
    <phoneticPr fontId="1"/>
  </si>
  <si>
    <t>2019-12-20@A.xlsm</t>
  </si>
  <si>
    <t>2019-12-20@B.xlsm</t>
  </si>
  <si>
    <t>2020-01-10@A.xlsm</t>
  </si>
  <si>
    <t>多田洋輔</t>
  </si>
  <si>
    <t>2020-01-10@B.xlsm</t>
  </si>
  <si>
    <t>2020-01-24@A.xlsm</t>
  </si>
  <si>
    <t>2020-01-24@B.xlsm</t>
  </si>
  <si>
    <t>柳澤颯吾</t>
  </si>
  <si>
    <t>石澤巧望</t>
  </si>
  <si>
    <t>2020-01-31@B.xlsm</t>
  </si>
  <si>
    <t>2020-02-21@A.xlsm</t>
  </si>
  <si>
    <t>髙橋桜</t>
  </si>
  <si>
    <t>地和</t>
    <phoneticPr fontId="2"/>
  </si>
  <si>
    <t>2020-10-23@A.xlsm</t>
  </si>
  <si>
    <t>北沢蓮太郎</t>
  </si>
  <si>
    <t>川上翔大</t>
  </si>
  <si>
    <t>2020-10-30@A.xlsm</t>
  </si>
  <si>
    <t>市川大智</t>
  </si>
  <si>
    <t>2020-10-30@B.xlsm</t>
  </si>
  <si>
    <t>2020-11-06@A.xlsm</t>
  </si>
  <si>
    <t>中川弘崇</t>
  </si>
  <si>
    <t>2020-11-06@B.xlsm</t>
  </si>
  <si>
    <t>2020-11-13@A.xlsm</t>
  </si>
  <si>
    <t>2020-11-13@B.xlsm</t>
  </si>
  <si>
    <t>2021-04-30@A.xlsm</t>
  </si>
  <si>
    <t>阿部圭太朗</t>
  </si>
  <si>
    <t>2021-05-21@A.xlsm</t>
  </si>
  <si>
    <t>山崎葵</t>
  </si>
  <si>
    <t>関谷洸佑</t>
  </si>
  <si>
    <t>2021-07-02@a.xlsm</t>
  </si>
  <si>
    <t>2021-07-02@b.xlsm</t>
  </si>
  <si>
    <t>2021-07-16@A.xlsm</t>
  </si>
  <si>
    <t>2021-10-21@A.xlsm</t>
  </si>
  <si>
    <t>Sheet3</t>
  </si>
  <si>
    <t>2021-12-02@a.xlsm</t>
  </si>
  <si>
    <t>巻島夢樹</t>
  </si>
  <si>
    <t>2021-12-09@A.xlsm</t>
  </si>
  <si>
    <t>2021-12-23@A.xlsm</t>
  </si>
  <si>
    <t>2022-06-23@a.xlsm</t>
  </si>
  <si>
    <t>西沢武留</t>
  </si>
  <si>
    <t>伊藤仁城</t>
  </si>
  <si>
    <t>2022-06-23@b.xlsm</t>
  </si>
  <si>
    <t>2022-06-30@A.xlsm</t>
  </si>
  <si>
    <t>両角慧太</t>
  </si>
  <si>
    <t>2022-07-07@A.xlsm</t>
  </si>
  <si>
    <t>2022-07-07@B.xlsm</t>
  </si>
  <si>
    <t>2022-07-14@A.xlsm</t>
  </si>
  <si>
    <t>中村花菜</t>
  </si>
  <si>
    <t>2022-07-14@B.xlsm</t>
  </si>
  <si>
    <t>2022-08-04@A.xlsm</t>
  </si>
  <si>
    <t>中村季暉</t>
  </si>
  <si>
    <t>2022-08-04@B.xlsm</t>
  </si>
  <si>
    <t>2022-10-06@A.xlsm</t>
  </si>
  <si>
    <t>吉澤諒</t>
  </si>
  <si>
    <t>2022-10-06@B.xlsm</t>
  </si>
  <si>
    <t>2022-11-01@A.xlsm</t>
  </si>
  <si>
    <t>塩入悠</t>
  </si>
  <si>
    <t>2022-11-01@B.xlsm</t>
  </si>
  <si>
    <t>2022-12-06@A.xlsm</t>
  </si>
  <si>
    <t>2022-12-06@B.xlsm</t>
  </si>
  <si>
    <t>2022-12-08@A.xlsm</t>
  </si>
  <si>
    <t>2022-12-08@B.xlsm</t>
  </si>
  <si>
    <t>2022-12-13@A.xlsm</t>
  </si>
  <si>
    <t>2022-12-13@B.xlsm</t>
  </si>
  <si>
    <t>2022-12-15@A.xlsm</t>
  </si>
  <si>
    <t>2022-12-15@B.xlsm</t>
  </si>
  <si>
    <t>2023-01-12@A.xlsm</t>
  </si>
  <si>
    <t>宮澤七星</t>
  </si>
  <si>
    <t>2023-01-12@B.xlsm</t>
  </si>
  <si>
    <t>2023-02-07@A.xlsm</t>
  </si>
  <si>
    <t>坂本羽弥斗</t>
  </si>
  <si>
    <t>2023-02-07@B.xlsm</t>
  </si>
  <si>
    <t>2023-02-09@A.xlsm</t>
  </si>
  <si>
    <t>2023-05-09@A.xlsm</t>
  </si>
  <si>
    <t>田名網新</t>
  </si>
  <si>
    <t>山本悠介</t>
  </si>
  <si>
    <t>石原凛人</t>
  </si>
  <si>
    <t>湯本咲蔵</t>
  </si>
  <si>
    <t>2023-05-09@B.xlsm</t>
  </si>
  <si>
    <t>2023-05-11@A.xlsm</t>
  </si>
  <si>
    <t>唐澤聖矢</t>
  </si>
  <si>
    <t>渡部陵瑛</t>
  </si>
  <si>
    <t>2023-05-18@A.xlsm</t>
  </si>
  <si>
    <t>2023-06-22@A.xlsm</t>
  </si>
  <si>
    <t>清水常緑</t>
  </si>
  <si>
    <t>2023-06-22@B.xlsm</t>
  </si>
  <si>
    <t>2023-06-27@A.xlsm</t>
  </si>
  <si>
    <t>2023-06-27@B.xlsm</t>
  </si>
  <si>
    <t>長野柊馬</t>
  </si>
  <si>
    <t>所附快和</t>
  </si>
  <si>
    <t>2023-06-29@A.xlsm</t>
  </si>
  <si>
    <t>2023-07-04@A.xlsm</t>
  </si>
  <si>
    <t>2023-07-04@B.xlsm</t>
  </si>
  <si>
    <t>2023-07-06@A.xlsm</t>
  </si>
  <si>
    <t>2023-07-11@A.xlsm</t>
  </si>
  <si>
    <t>2023-07-11@B.xlsm</t>
  </si>
  <si>
    <t>2023-07-13@A.xlsm</t>
  </si>
  <si>
    <t>2023-07-13@B.xlsm</t>
  </si>
  <si>
    <t>2023-08-08@A.xlsm</t>
  </si>
  <si>
    <t>2023-08-08@B.xlsm</t>
  </si>
  <si>
    <t>2023-08-10@A.xlsm</t>
  </si>
  <si>
    <t>2023-08-10@B.xlsm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</si>
</sst>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\ hh:mm"/>
    <numFmt numFmtId="181" formatCode="0\ &quot;個&quot;"/>
    <numFmt numFmtId="182" formatCode="0&quot;位&quot;"/>
    <numFmt numFmtId="183" formatCode="0\ &quot;位&quot;"/>
    <numFmt numFmtId="184" formatCode="\+0.00;\-0.00;\±0"/>
    <numFmt numFmtId="185" formatCode="\+0;\-0;\±0"/>
    <numFmt numFmtId="186" formatCode="0.0000"/>
    <numFmt numFmtId="187" formatCode="0.0"/>
  </numFmts>
  <fonts count="7">
    <font>
      <sz val="11"/>
      <color theme="1"/>
      <name val="游ゴシック"/>
      <family val="2"/>
      <charset val="128"/>
      <scheme val="minor"/>
    </font>
    <font>
      <sz val="11"/>
      <name val="Yu Gothic"/>
      <family val="3"/>
      <charset val="128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55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</borders>
  <cellStyleXfs count="1">
    <xf numFmtId="0" fontId="0" fillId="0" borderId="0">
      <alignment vertical="center"/>
    </xf>
  </cellStyleXfs>
  <cellXfs count="130">
    <xf numFmtId="0" fontId="0" fillId="0" borderId="0" xfId="0">
      <alignment vertical="center"/>
    </xf>
    <xf numFmtId="0" fontId="0" fillId="0" borderId="0" xfId="0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3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14" fontId="0" fillId="0" borderId="0" xfId="0" applyNumberFormat="1" applyAlignment="1">
      <alignment horizontal="left" vertical="center"/>
    </xf>
    <xf numFmtId="0" fontId="0" fillId="0" borderId="0" xfId="0" applyAlignment="1">
      <alignment horizontal="left" vertical="center"/>
    </xf>
    <xf numFmtId="180" fontId="0" fillId="0" borderId="0" xfId="0" applyNumberFormat="1" applyAlignment="1">
      <alignment horizontal="left" vertical="center"/>
    </xf>
    <xf numFmtId="176" fontId="0" fillId="0" borderId="4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4" fillId="0" borderId="1" xfId="0" applyNumberFormat="1" applyFont="1" applyBorder="1" applyAlignment="1">
      <alignment horizontal="center" vertical="center" shrinkToFit="1"/>
    </xf>
    <xf numFmtId="49" fontId="4" fillId="0" borderId="2" xfId="0" applyNumberFormat="1" applyFont="1" applyBorder="1" applyAlignment="1">
      <alignment horizontal="center" vertical="center" shrinkToFit="1"/>
    </xf>
    <xf numFmtId="49" fontId="4" fillId="0" borderId="4" xfId="0" applyNumberFormat="1" applyFont="1" applyBorder="1" applyAlignment="1">
      <alignment horizontal="center" vertical="center" shrinkToFit="1"/>
    </xf>
    <xf numFmtId="182" fontId="0" fillId="0" borderId="28" xfId="0" applyNumberFormat="1" applyBorder="1" applyAlignment="1">
      <alignment horizontal="center" vertical="center" shrinkToFit="1"/>
    </xf>
    <xf numFmtId="182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2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3" fontId="0" fillId="0" borderId="6" xfId="0" applyNumberFormat="1" applyBorder="1" applyAlignment="1">
      <alignment horizontal="center" vertical="center" shrinkToFit="1"/>
    </xf>
    <xf numFmtId="183" fontId="0" fillId="0" borderId="3" xfId="0" applyNumberFormat="1" applyBorder="1" applyAlignment="1">
      <alignment horizontal="center" vertical="center" shrinkToFit="1"/>
    </xf>
    <xf numFmtId="183" fontId="0" fillId="0" borderId="5" xfId="0" applyNumberFormat="1" applyBorder="1" applyAlignment="1">
      <alignment horizontal="center" vertical="center" shrinkToFit="1"/>
    </xf>
    <xf numFmtId="184" fontId="0" fillId="0" borderId="32" xfId="0" applyNumberFormat="1" applyBorder="1" applyAlignment="1">
      <alignment horizontal="center" vertical="center" shrinkToFit="1"/>
    </xf>
    <xf numFmtId="184" fontId="0" fillId="0" borderId="35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1" fontId="3" fillId="0" borderId="49" xfId="0" applyNumberFormat="1" applyFont="1" applyBorder="1" applyAlignment="1">
      <alignment horizontal="center" vertical="center" shrinkToFit="1"/>
    </xf>
    <xf numFmtId="1" fontId="3" fillId="0" borderId="50" xfId="0" applyNumberFormat="1" applyFont="1" applyBorder="1" applyAlignment="1">
      <alignment horizontal="center" vertical="center" shrinkToFit="1"/>
    </xf>
    <xf numFmtId="1" fontId="3" fillId="0" borderId="51" xfId="0" applyNumberFormat="1" applyFont="1" applyBorder="1" applyAlignment="1">
      <alignment horizontal="center" vertical="center" shrinkToFit="1"/>
    </xf>
    <xf numFmtId="0" fontId="4" fillId="0" borderId="48" xfId="0" applyFont="1" applyBorder="1" applyAlignment="1">
      <alignment horizontal="center" vertical="center" shrinkToFit="1"/>
    </xf>
    <xf numFmtId="0" fontId="4" fillId="0" borderId="49" xfId="0" applyFont="1" applyBorder="1" applyAlignment="1">
      <alignment horizontal="center" vertical="center" shrinkToFit="1"/>
    </xf>
    <xf numFmtId="0" fontId="4" fillId="0" borderId="50" xfId="0" applyFont="1" applyBorder="1" applyAlignment="1">
      <alignment horizontal="center" vertical="center" shrinkToFit="1"/>
    </xf>
    <xf numFmtId="0" fontId="4" fillId="0" borderId="51" xfId="0" applyFont="1" applyBorder="1" applyAlignment="1">
      <alignment horizontal="center" vertical="center" shrinkToFit="1"/>
    </xf>
    <xf numFmtId="1" fontId="3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176" fontId="5" fillId="0" borderId="0" xfId="0" applyNumberFormat="1" applyFont="1" applyAlignment="1">
      <alignment horizontal="center" vertical="center" shrinkToFit="1"/>
    </xf>
    <xf numFmtId="0" fontId="5" fillId="0" borderId="0" xfId="0" applyFont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0" fontId="5" fillId="0" borderId="40" xfId="0" applyFont="1" applyBorder="1" applyAlignment="1">
      <alignment horizontal="center" vertical="center" shrinkToFit="1"/>
    </xf>
    <xf numFmtId="176" fontId="5" fillId="0" borderId="41" xfId="0" applyNumberFormat="1" applyFont="1" applyBorder="1" applyAlignment="1">
      <alignment horizontal="center" vertical="center" shrinkToFit="1"/>
    </xf>
    <xf numFmtId="176" fontId="5" fillId="0" borderId="42" xfId="0" applyNumberFormat="1" applyFont="1" applyBorder="1" applyAlignment="1">
      <alignment horizontal="center" vertical="center" shrinkToFit="1"/>
    </xf>
    <xf numFmtId="176" fontId="5" fillId="0" borderId="43" xfId="0" applyNumberFormat="1" applyFon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4" fontId="0" fillId="0" borderId="1" xfId="0" applyNumberFormat="1" applyBorder="1" applyAlignment="1">
      <alignment horizontal="center" vertical="center" shrinkToFit="1"/>
    </xf>
    <xf numFmtId="184" fontId="0" fillId="0" borderId="2" xfId="0" applyNumberFormat="1" applyBorder="1" applyAlignment="1">
      <alignment horizontal="center" vertical="center" shrinkToFit="1"/>
    </xf>
    <xf numFmtId="184" fontId="0" fillId="0" borderId="4" xfId="0" applyNumberFormat="1" applyBorder="1" applyAlignment="1">
      <alignment horizontal="center" vertical="center" shrinkToFit="1"/>
    </xf>
    <xf numFmtId="185" fontId="0" fillId="0" borderId="40" xfId="0" applyNumberFormat="1" applyBorder="1" applyAlignment="1">
      <alignment horizontal="center" vertical="center" shrinkToFit="1"/>
    </xf>
    <xf numFmtId="49" fontId="5" fillId="0" borderId="0" xfId="0" applyNumberFormat="1" applyFont="1" applyAlignment="1">
      <alignment horizontal="center" vertical="center" shrinkToFit="1"/>
    </xf>
    <xf numFmtId="0" fontId="4" fillId="0" borderId="10" xfId="0" applyFon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87" fontId="0" fillId="0" borderId="0" xfId="0" applyNumberFormat="1" applyAlignment="1">
      <alignment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3" fillId="0" borderId="3" xfId="0" applyNumberFormat="1" applyFont="1" applyBorder="1" applyAlignment="1">
      <alignment horizontal="center" vertical="center" shrinkToFit="1"/>
    </xf>
    <xf numFmtId="1" fontId="0" fillId="0" borderId="16" xfId="0" applyNumberFormat="1" applyBorder="1" applyAlignment="1">
      <alignment horizontal="center" vertical="center" shrinkToFit="1"/>
    </xf>
    <xf numFmtId="1" fontId="3" fillId="0" borderId="7" xfId="0" applyNumberFormat="1" applyFont="1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9" fontId="0" fillId="0" borderId="54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54" xfId="0" applyBorder="1" applyAlignment="1">
      <alignment horizontal="center" vertical="center" shrinkToFit="1"/>
    </xf>
    <xf numFmtId="176" fontId="0" fillId="0" borderId="32" xfId="0" applyNumberFormat="1" applyBorder="1" applyAlignment="1">
      <alignment horizontal="center" vertical="center" shrinkToFit="1"/>
    </xf>
    <xf numFmtId="176" fontId="0" fillId="0" borderId="35" xfId="0" applyNumberFormat="1" applyBorder="1" applyAlignment="1">
      <alignment horizontal="center" vertical="center" shrinkToFit="1"/>
    </xf>
    <xf numFmtId="0" fontId="0" fillId="0" borderId="29" xfId="0" applyBorder="1" applyAlignment="1">
      <alignment horizontal="center" vertical="center" shrinkToFit="1"/>
    </xf>
    <xf numFmtId="0" fontId="0" fillId="0" borderId="30" xfId="0" applyBorder="1" applyAlignment="1">
      <alignment horizontal="center" vertical="center" shrinkToFit="1"/>
    </xf>
    <xf numFmtId="186" fontId="0" fillId="0" borderId="29" xfId="0" applyNumberFormat="1" applyBorder="1" applyAlignment="1">
      <alignment horizontal="center" vertical="center" shrinkToFit="1"/>
    </xf>
    <xf numFmtId="186" fontId="0" fillId="0" borderId="30" xfId="0" applyNumberFormat="1" applyBorder="1" applyAlignment="1">
      <alignment horizontal="center" vertical="center" shrinkToFit="1"/>
    </xf>
    <xf numFmtId="186" fontId="0" fillId="0" borderId="38" xfId="0" applyNumberFormat="1" applyBorder="1" applyAlignment="1">
      <alignment horizontal="center" vertical="center" shrinkToFit="1"/>
    </xf>
    <xf numFmtId="186" fontId="0" fillId="0" borderId="39" xfId="0" applyNumberFormat="1" applyBorder="1" applyAlignment="1">
      <alignment horizontal="center" vertical="center" shrinkToFit="1"/>
    </xf>
    <xf numFmtId="181" fontId="0" fillId="0" borderId="23" xfId="0" applyNumberFormat="1" applyBorder="1" applyAlignment="1">
      <alignment horizontal="center" vertical="center" shrinkToFit="1"/>
    </xf>
    <xf numFmtId="181" fontId="0" fillId="0" borderId="24" xfId="0" applyNumberFormat="1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84" fontId="0" fillId="0" borderId="25" xfId="0" applyNumberFormat="1" applyBorder="1" applyAlignment="1">
      <alignment horizontal="center" vertical="center" shrinkToFit="1"/>
    </xf>
    <xf numFmtId="184" fontId="0" fillId="0" borderId="26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styles" Target="style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8" Type="http://schemas.openxmlformats.org/officeDocument/2006/relationships/worksheet" Target="worksheets/sheet8.xml"/><Relationship Id="rId51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_rels/chart63.xml.rels><?xml version="1.0" encoding="UTF-8" standalone="yes"?>
<Relationships xmlns="http://schemas.openxmlformats.org/package/2006/relationships"><Relationship Id="rId2" Type="http://schemas.microsoft.com/office/2011/relationships/chartColorStyle" Target="colors63.xml"/><Relationship Id="rId1" Type="http://schemas.microsoft.com/office/2011/relationships/chartStyle" Target="style63.xml"/></Relationships>
</file>

<file path=xl/charts/_rels/chart64.xml.rels><?xml version="1.0" encoding="UTF-8" standalone="yes"?>
<Relationships xmlns="http://schemas.openxmlformats.org/package/2006/relationships"><Relationship Id="rId2" Type="http://schemas.microsoft.com/office/2011/relationships/chartColorStyle" Target="colors64.xml"/><Relationship Id="rId1" Type="http://schemas.microsoft.com/office/2011/relationships/chartStyle" Target="style64.xml"/></Relationships>
</file>

<file path=xl/charts/_rels/chart65.xml.rels><?xml version="1.0" encoding="UTF-8" standalone="yes"?>
<Relationships xmlns="http://schemas.openxmlformats.org/package/2006/relationships"><Relationship Id="rId2" Type="http://schemas.microsoft.com/office/2011/relationships/chartColorStyle" Target="colors65.xml"/><Relationship Id="rId1" Type="http://schemas.microsoft.com/office/2011/relationships/chartStyle" Target="style65.xml"/></Relationships>
</file>

<file path=xl/charts/_rels/chart66.xml.rels><?xml version="1.0" encoding="UTF-8" standalone="yes"?>
<Relationships xmlns="http://schemas.openxmlformats.org/package/2006/relationships"><Relationship Id="rId2" Type="http://schemas.microsoft.com/office/2011/relationships/chartColorStyle" Target="colors66.xml"/><Relationship Id="rId1" Type="http://schemas.microsoft.com/office/2011/relationships/chartStyle" Target="style66.xml"/></Relationships>
</file>

<file path=xl/charts/_rels/chart67.xml.rels><?xml version="1.0" encoding="UTF-8" standalone="yes"?>
<Relationships xmlns="http://schemas.openxmlformats.org/package/2006/relationships"><Relationship Id="rId2" Type="http://schemas.microsoft.com/office/2011/relationships/chartColorStyle" Target="colors67.xml"/><Relationship Id="rId1" Type="http://schemas.microsoft.com/office/2011/relationships/chartStyle" Target="style67.xml"/></Relationships>
</file>

<file path=xl/charts/_rels/chart68.xml.rels><?xml version="1.0" encoding="UTF-8" standalone="yes"?>
<Relationships xmlns="http://schemas.openxmlformats.org/package/2006/relationships"><Relationship Id="rId2" Type="http://schemas.microsoft.com/office/2011/relationships/chartColorStyle" Target="colors68.xml"/><Relationship Id="rId1" Type="http://schemas.microsoft.com/office/2011/relationships/chartStyle" Target="style68.xml"/></Relationships>
</file>

<file path=xl/charts/_rels/chart69.xml.rels><?xml version="1.0" encoding="UTF-8" standalone="yes"?>
<Relationships xmlns="http://schemas.openxmlformats.org/package/2006/relationships"><Relationship Id="rId2" Type="http://schemas.microsoft.com/office/2011/relationships/chartColorStyle" Target="colors69.xml"/><Relationship Id="rId1" Type="http://schemas.microsoft.com/office/2011/relationships/chartStyle" Target="style69.xml"/></Relationships>
</file>

<file path=xl/charts/_rels/chart70.xml.rels><?xml version="1.0" encoding="UTF-8" standalone="yes"?>
<Relationships xmlns="http://schemas.openxmlformats.org/package/2006/relationships"><Relationship Id="rId2" Type="http://schemas.microsoft.com/office/2011/relationships/chartColorStyle" Target="colors70.xml"/><Relationship Id="rId1" Type="http://schemas.microsoft.com/office/2011/relationships/chartStyle" Target="style70.xml"/></Relationships>
</file>

<file path=xl/charts/_rels/chart71.xml.rels><?xml version="1.0" encoding="UTF-8" standalone="yes"?>
<Relationships xmlns="http://schemas.openxmlformats.org/package/2006/relationships"><Relationship Id="rId2" Type="http://schemas.microsoft.com/office/2011/relationships/chartColorStyle" Target="colors71.xml"/><Relationship Id="rId1" Type="http://schemas.microsoft.com/office/2011/relationships/chartStyle" Target="style71.xml"/></Relationships>
</file>

<file path=xl/charts/_rels/chart72.xml.rels><?xml version="1.0" encoding="UTF-8" standalone="yes"?>
<Relationships xmlns="http://schemas.openxmlformats.org/package/2006/relationships"><Relationship Id="rId2" Type="http://schemas.microsoft.com/office/2011/relationships/chartColorStyle" Target="colors72.xml"/><Relationship Id="rId1" Type="http://schemas.microsoft.com/office/2011/relationships/chartStyle" Target="style72.xml"/></Relationships>
</file>

<file path=xl/charts/_rels/chart73.xml.rels><?xml version="1.0" encoding="UTF-8" standalone="yes"?>
<Relationships xmlns="http://schemas.openxmlformats.org/package/2006/relationships"><Relationship Id="rId2" Type="http://schemas.microsoft.com/office/2011/relationships/chartColorStyle" Target="colors73.xml"/><Relationship Id="rId1" Type="http://schemas.microsoft.com/office/2011/relationships/chartStyle" Target="style73.xml"/></Relationships>
</file>

<file path=xl/charts/_rels/chart74.xml.rels><?xml version="1.0" encoding="UTF-8" standalone="yes"?>
<Relationships xmlns="http://schemas.openxmlformats.org/package/2006/relationships"><Relationship Id="rId2" Type="http://schemas.microsoft.com/office/2011/relationships/chartColorStyle" Target="colors74.xml"/><Relationship Id="rId1" Type="http://schemas.microsoft.com/office/2011/relationships/chartStyle" Target="style74.xml"/></Relationships>
</file>

<file path=xl/charts/_rels/chart75.xml.rels><?xml version="1.0" encoding="UTF-8" standalone="yes"?>
<Relationships xmlns="http://schemas.openxmlformats.org/package/2006/relationships"><Relationship Id="rId2" Type="http://schemas.microsoft.com/office/2011/relationships/chartColorStyle" Target="colors75.xml"/><Relationship Id="rId1" Type="http://schemas.microsoft.com/office/2011/relationships/chartStyle" Target="style75.xml"/></Relationships>
</file>

<file path=xl/charts/_rels/chart76.xml.rels><?xml version="1.0" encoding="UTF-8" standalone="yes"?>
<Relationships xmlns="http://schemas.openxmlformats.org/package/2006/relationships"><Relationship Id="rId2" Type="http://schemas.microsoft.com/office/2011/relationships/chartColorStyle" Target="colors76.xml"/><Relationship Id="rId1" Type="http://schemas.microsoft.com/office/2011/relationships/chartStyle" Target="style76.xml"/></Relationships>
</file>

<file path=xl/charts/_rels/chart77.xml.rels><?xml version="1.0" encoding="UTF-8" standalone="yes"?>
<Relationships xmlns="http://schemas.openxmlformats.org/package/2006/relationships"><Relationship Id="rId2" Type="http://schemas.microsoft.com/office/2011/relationships/chartColorStyle" Target="colors77.xml"/><Relationship Id="rId1" Type="http://schemas.microsoft.com/office/2011/relationships/chartStyle" Target="style77.xml"/></Relationships>
</file>

<file path=xl/charts/_rels/chart78.xml.rels><?xml version="1.0" encoding="UTF-8" standalone="yes"?>
<Relationships xmlns="http://schemas.openxmlformats.org/package/2006/relationships"><Relationship Id="rId2" Type="http://schemas.microsoft.com/office/2011/relationships/chartColorStyle" Target="colors78.xml"/><Relationship Id="rId1" Type="http://schemas.microsoft.com/office/2011/relationships/chartStyle" Target="style78.xml"/></Relationships>
</file>

<file path=xl/charts/_rels/chart79.xml.rels><?xml version="1.0" encoding="UTF-8" standalone="yes"?>
<Relationships xmlns="http://schemas.openxmlformats.org/package/2006/relationships"><Relationship Id="rId2" Type="http://schemas.microsoft.com/office/2011/relationships/chartColorStyle" Target="colors79.xml"/><Relationship Id="rId1" Type="http://schemas.microsoft.com/office/2011/relationships/chartStyle" Target="style79.xml"/></Relationships>
</file>

<file path=xl/charts/_rels/chart80.xml.rels><?xml version="1.0" encoding="UTF-8" standalone="yes"?>
<Relationships xmlns="http://schemas.openxmlformats.org/package/2006/relationships"><Relationship Id="rId2" Type="http://schemas.microsoft.com/office/2011/relationships/chartColorStyle" Target="colors80.xml"/><Relationship Id="rId1" Type="http://schemas.microsoft.com/office/2011/relationships/chartStyle" Target="style80.xml"/></Relationships>
</file>

<file path=xl/charts/_rels/chart81.xml.rels><?xml version="1.0" encoding="UTF-8" standalone="yes"?>
<Relationships xmlns="http://schemas.openxmlformats.org/package/2006/relationships"><Relationship Id="rId2" Type="http://schemas.microsoft.com/office/2011/relationships/chartColorStyle" Target="colors81.xml"/><Relationship Id="rId1" Type="http://schemas.microsoft.com/office/2011/relationships/chartStyle" Target="style81.xml"/></Relationships>
</file>

<file path=xl/charts/_rels/chart82.xml.rels><?xml version="1.0" encoding="UTF-8" standalone="yes"?>
<Relationships xmlns="http://schemas.openxmlformats.org/package/2006/relationships"><Relationship Id="rId2" Type="http://schemas.microsoft.com/office/2011/relationships/chartColorStyle" Target="colors82.xml"/><Relationship Id="rId1" Type="http://schemas.microsoft.com/office/2011/relationships/chartStyle" Target="style82.xml"/></Relationships>
</file>

<file path=xl/charts/_rels/chart83.xml.rels><?xml version="1.0" encoding="UTF-8" standalone="yes"?>
<Relationships xmlns="http://schemas.openxmlformats.org/package/2006/relationships"><Relationship Id="rId2" Type="http://schemas.microsoft.com/office/2011/relationships/chartColorStyle" Target="colors83.xml"/><Relationship Id="rId1" Type="http://schemas.microsoft.com/office/2011/relationships/chartStyle" Target="style83.xml"/></Relationships>
</file>

<file path=xl/charts/_rels/chart84.xml.rels><?xml version="1.0" encoding="UTF-8" standalone="yes"?>
<Relationships xmlns="http://schemas.openxmlformats.org/package/2006/relationships"><Relationship Id="rId2" Type="http://schemas.microsoft.com/office/2011/relationships/chartColorStyle" Target="colors84.xml"/><Relationship Id="rId1" Type="http://schemas.microsoft.com/office/2011/relationships/chartStyle" Target="style84.xml"/></Relationships>
</file>

<file path=xl/charts/_rels/chart85.xml.rels><?xml version="1.0" encoding="UTF-8" standalone="yes"?>
<Relationships xmlns="http://schemas.openxmlformats.org/package/2006/relationships"><Relationship Id="rId2" Type="http://schemas.microsoft.com/office/2011/relationships/chartColorStyle" Target="colors85.xml"/><Relationship Id="rId1" Type="http://schemas.microsoft.com/office/2011/relationships/chartStyle" Target="style85.xml"/></Relationships>
</file>

<file path=xl/charts/_rels/chart86.xml.rels><?xml version="1.0" encoding="UTF-8" standalone="yes"?>
<Relationships xmlns="http://schemas.openxmlformats.org/package/2006/relationships"><Relationship Id="rId2" Type="http://schemas.microsoft.com/office/2011/relationships/chartColorStyle" Target="colors86.xml"/><Relationship Id="rId1" Type="http://schemas.microsoft.com/office/2011/relationships/chartStyle" Target="style86.xml"/></Relationships>
</file>

<file path=xl/charts/_rels/chart87.xml.rels><?xml version="1.0" encoding="UTF-8" standalone="yes"?>
<Relationships xmlns="http://schemas.openxmlformats.org/package/2006/relationships"><Relationship Id="rId2" Type="http://schemas.microsoft.com/office/2011/relationships/chartColorStyle" Target="colors87.xml"/><Relationship Id="rId1" Type="http://schemas.microsoft.com/office/2011/relationships/chartStyle" Target="style87.xml"/></Relationships>
</file>

<file path=xl/charts/_rels/chart88.xml.rels><?xml version="1.0" encoding="UTF-8" standalone="yes"?>
<Relationships xmlns="http://schemas.openxmlformats.org/package/2006/relationships"><Relationship Id="rId2" Type="http://schemas.microsoft.com/office/2011/relationships/chartColorStyle" Target="colors88.xml"/><Relationship Id="rId1" Type="http://schemas.microsoft.com/office/2011/relationships/chartStyle" Target="style88.xml"/></Relationships>
</file>

<file path=xl/charts/_rels/chart89.xml.rels><?xml version="1.0" encoding="UTF-8" standalone="yes"?>
<Relationships xmlns="http://schemas.openxmlformats.org/package/2006/relationships"><Relationship Id="rId2" Type="http://schemas.microsoft.com/office/2011/relationships/chartColorStyle" Target="colors89.xml"/><Relationship Id="rId1" Type="http://schemas.microsoft.com/office/2011/relationships/chartStyle" Target="style89.xml"/></Relationships>
</file>

<file path=xl/charts/_rels/chart90.xml.rels><?xml version="1.0" encoding="UTF-8" standalone="yes"?>
<Relationships xmlns="http://schemas.openxmlformats.org/package/2006/relationships"><Relationship Id="rId2" Type="http://schemas.microsoft.com/office/2011/relationships/chartColorStyle" Target="colors90.xml"/><Relationship Id="rId1" Type="http://schemas.microsoft.com/office/2011/relationships/chartStyle" Target="style90.xml"/></Relationships>
</file>

<file path=xl/charts/_rels/chart91.xml.rels><?xml version="1.0" encoding="UTF-8" standalone="yes"?>
<Relationships xmlns="http://schemas.openxmlformats.org/package/2006/relationships"><Relationship Id="rId2" Type="http://schemas.microsoft.com/office/2011/relationships/chartColorStyle" Target="colors91.xml"/><Relationship Id="rId1" Type="http://schemas.microsoft.com/office/2011/relationships/chartStyle" Target="style91.xml"/></Relationships>
</file>

<file path=xl/charts/_rels/chart92.xml.rels><?xml version="1.0" encoding="UTF-8" standalone="yes"?>
<Relationships xmlns="http://schemas.openxmlformats.org/package/2006/relationships"><Relationship Id="rId2" Type="http://schemas.microsoft.com/office/2011/relationships/chartColorStyle" Target="colors92.xml"/><Relationship Id="rId1" Type="http://schemas.microsoft.com/office/2011/relationships/chartStyle" Target="style92.xml"/></Relationships>
</file>

<file path=xl/charts/_rels/chart93.xml.rels><?xml version="1.0" encoding="UTF-8" standalone="yes"?>
<Relationships xmlns="http://schemas.openxmlformats.org/package/2006/relationships"><Relationship Id="rId2" Type="http://schemas.microsoft.com/office/2011/relationships/chartColorStyle" Target="colors93.xml"/><Relationship Id="rId1" Type="http://schemas.microsoft.com/office/2011/relationships/chartStyle" Target="style93.xml"/></Relationships>
</file>

<file path=xl/charts/_rels/chart94.xml.rels><?xml version="1.0" encoding="UTF-8" standalone="yes"?>
<Relationships xmlns="http://schemas.openxmlformats.org/package/2006/relationships"><Relationship Id="rId2" Type="http://schemas.microsoft.com/office/2011/relationships/chartColorStyle" Target="colors94.xml"/><Relationship Id="rId1" Type="http://schemas.microsoft.com/office/2011/relationships/chartStyle" Target="style94.xml"/></Relationships>
</file>

<file path=xl/charts/_rels/chart95.xml.rels><?xml version="1.0" encoding="UTF-8" standalone="yes"?>
<Relationships xmlns="http://schemas.openxmlformats.org/package/2006/relationships"><Relationship Id="rId2" Type="http://schemas.microsoft.com/office/2011/relationships/chartColorStyle" Target="colors95.xml"/><Relationship Id="rId1" Type="http://schemas.microsoft.com/office/2011/relationships/chartStyle" Target="style95.xml"/></Relationships>
</file>

<file path=xl/charts/_rels/chart96.xml.rels><?xml version="1.0" encoding="UTF-8" standalone="yes"?>
<Relationships xmlns="http://schemas.openxmlformats.org/package/2006/relationships"><Relationship Id="rId2" Type="http://schemas.microsoft.com/office/2011/relationships/chartColorStyle" Target="colors96.xml"/><Relationship Id="rId1" Type="http://schemas.microsoft.com/office/2011/relationships/chartStyle" Target="style96.xml"/></Relationships>
</file>

<file path=xl/charts/_rels/chart97.xml.rels><?xml version="1.0" encoding="UTF-8" standalone="yes"?>
<Relationships xmlns="http://schemas.openxmlformats.org/package/2006/relationships"><Relationship Id="rId2" Type="http://schemas.microsoft.com/office/2011/relationships/chartColorStyle" Target="colors97.xml"/><Relationship Id="rId1" Type="http://schemas.microsoft.com/office/2011/relationships/chartStyle" Target="style97.xml"/></Relationships>
</file>

<file path=xl/charts/_rels/chart98.xml.rels><?xml version="1.0" encoding="UTF-8" standalone="yes"?>
<Relationships xmlns="http://schemas.openxmlformats.org/package/2006/relationships"><Relationship Id="rId2" Type="http://schemas.microsoft.com/office/2011/relationships/chartColorStyle" Target="colors98.xml"/><Relationship Id="rId1" Type="http://schemas.microsoft.com/office/2011/relationships/chartStyle" Target="style98.xml"/></Relationships>
</file>

<file path=xl/charts/_rels/chart99.xml.rels><?xml version="1.0" encoding="UTF-8" standalone="yes"?>
<Relationships xmlns="http://schemas.openxmlformats.org/package/2006/relationships"><Relationship Id="rId2" Type="http://schemas.microsoft.com/office/2011/relationships/chartColorStyle" Target="colors99.xml"/><Relationship Id="rId1" Type="http://schemas.microsoft.com/office/2011/relationships/chartStyle" Target="style99.xml"/></Relationships>
</file>

<file path=xl/charts/_rels/chart100.xml.rels><?xml version="1.0" encoding="UTF-8" standalone="yes"?>
<Relationships xmlns="http://schemas.openxmlformats.org/package/2006/relationships"><Relationship Id="rId2" Type="http://schemas.microsoft.com/office/2011/relationships/chartColorStyle" Target="colors100.xml"/><Relationship Id="rId1" Type="http://schemas.microsoft.com/office/2011/relationships/chartStyle" Target="style100.xml"/></Relationships>
</file>

<file path=xl/charts/_rels/chart101.xml.rels><?xml version="1.0" encoding="UTF-8" standalone="yes"?>
<Relationships xmlns="http://schemas.openxmlformats.org/package/2006/relationships"><Relationship Id="rId2" Type="http://schemas.microsoft.com/office/2011/relationships/chartColorStyle" Target="colors101.xml"/><Relationship Id="rId1" Type="http://schemas.microsoft.com/office/2011/relationships/chartStyle" Target="style101.xml"/></Relationships>
</file>

<file path=xl/charts/_rels/chart102.xml.rels><?xml version="1.0" encoding="UTF-8" standalone="yes"?>
<Relationships xmlns="http://schemas.openxmlformats.org/package/2006/relationships"><Relationship Id="rId2" Type="http://schemas.microsoft.com/office/2011/relationships/chartColorStyle" Target="colors102.xml"/><Relationship Id="rId1" Type="http://schemas.microsoft.com/office/2011/relationships/chartStyle" Target="style102.xml"/></Relationships>
</file>

<file path=xl/charts/_rels/chart103.xml.rels><?xml version="1.0" encoding="UTF-8" standalone="yes"?>
<Relationships xmlns="http://schemas.openxmlformats.org/package/2006/relationships"><Relationship Id="rId2" Type="http://schemas.microsoft.com/office/2011/relationships/chartColorStyle" Target="colors103.xml"/><Relationship Id="rId1" Type="http://schemas.microsoft.com/office/2011/relationships/chartStyle" Target="style103.xml"/></Relationships>
</file>

<file path=xl/charts/_rels/chart104.xml.rels><?xml version="1.0" encoding="UTF-8" standalone="yes"?>
<Relationships xmlns="http://schemas.openxmlformats.org/package/2006/relationships"><Relationship Id="rId2" Type="http://schemas.microsoft.com/office/2011/relationships/chartColorStyle" Target="colors104.xml"/><Relationship Id="rId1" Type="http://schemas.microsoft.com/office/2011/relationships/chartStyle" Target="style104.xml"/></Relationships>
</file>

<file path=xl/charts/_rels/chart105.xml.rels><?xml version="1.0" encoding="UTF-8" standalone="yes"?>
<Relationships xmlns="http://schemas.openxmlformats.org/package/2006/relationships"><Relationship Id="rId2" Type="http://schemas.microsoft.com/office/2011/relationships/chartColorStyle" Target="colors105.xml"/><Relationship Id="rId1" Type="http://schemas.microsoft.com/office/2011/relationships/chartStyle" Target="style105.xml"/></Relationships>
</file>

<file path=xl/charts/_rels/chart106.xml.rels><?xml version="1.0" encoding="UTF-8" standalone="yes"?>
<Relationships xmlns="http://schemas.openxmlformats.org/package/2006/relationships"><Relationship Id="rId2" Type="http://schemas.microsoft.com/office/2011/relationships/chartColorStyle" Target="colors106.xml"/><Relationship Id="rId1" Type="http://schemas.microsoft.com/office/2011/relationships/chartStyle" Target="style106.xml"/></Relationships>
</file>

<file path=xl/charts/_rels/chart107.xml.rels><?xml version="1.0" encoding="UTF-8" standalone="yes"?>
<Relationships xmlns="http://schemas.openxmlformats.org/package/2006/relationships"><Relationship Id="rId2" Type="http://schemas.microsoft.com/office/2011/relationships/chartColorStyle" Target="colors107.xml"/><Relationship Id="rId1" Type="http://schemas.microsoft.com/office/2011/relationships/chartStyle" Target="style107.xml"/></Relationships>
</file>

<file path=xl/charts/_rels/chart108.xml.rels><?xml version="1.0" encoding="UTF-8" standalone="yes"?>
<Relationships xmlns="http://schemas.openxmlformats.org/package/2006/relationships"><Relationship Id="rId2" Type="http://schemas.microsoft.com/office/2011/relationships/chartColorStyle" Target="colors108.xml"/><Relationship Id="rId1" Type="http://schemas.microsoft.com/office/2011/relationships/chartStyle" Target="style108.xml"/></Relationships>
</file>

<file path=xl/charts/_rels/chart109.xml.rels><?xml version="1.0" encoding="UTF-8" standalone="yes"?>
<Relationships xmlns="http://schemas.openxmlformats.org/package/2006/relationships"><Relationship Id="rId2" Type="http://schemas.microsoft.com/office/2011/relationships/chartColorStyle" Target="colors109.xml"/><Relationship Id="rId1" Type="http://schemas.microsoft.com/office/2011/relationships/chartStyle" Target="style109.xml"/></Relationships>
</file>

<file path=xl/charts/_rels/chart110.xml.rels><?xml version="1.0" encoding="UTF-8" standalone="yes"?>
<Relationships xmlns="http://schemas.openxmlformats.org/package/2006/relationships"><Relationship Id="rId2" Type="http://schemas.microsoft.com/office/2011/relationships/chartColorStyle" Target="colors110.xml"/><Relationship Id="rId1" Type="http://schemas.microsoft.com/office/2011/relationships/chartStyle" Target="style110.xml"/></Relationships>
</file>

<file path=xl/charts/_rels/chart111.xml.rels><?xml version="1.0" encoding="UTF-8" standalone="yes"?>
<Relationships xmlns="http://schemas.openxmlformats.org/package/2006/relationships"><Relationship Id="rId2" Type="http://schemas.microsoft.com/office/2011/relationships/chartColorStyle" Target="colors111.xml"/><Relationship Id="rId1" Type="http://schemas.microsoft.com/office/2011/relationships/chartStyle" Target="style111.xml"/></Relationships>
</file>

<file path=xl/charts/_rels/chart112.xml.rels><?xml version="1.0" encoding="UTF-8" standalone="yes"?>
<Relationships xmlns="http://schemas.openxmlformats.org/package/2006/relationships"><Relationship Id="rId2" Type="http://schemas.microsoft.com/office/2011/relationships/chartColorStyle" Target="colors112.xml"/><Relationship Id="rId1" Type="http://schemas.microsoft.com/office/2011/relationships/chartStyle" Target="style112.xml"/></Relationships>
</file>

<file path=xl/charts/_rels/chart113.xml.rels><?xml version="1.0" encoding="UTF-8" standalone="yes"?>
<Relationships xmlns="http://schemas.openxmlformats.org/package/2006/relationships"><Relationship Id="rId2" Type="http://schemas.microsoft.com/office/2011/relationships/chartColorStyle" Target="colors113.xml"/><Relationship Id="rId1" Type="http://schemas.microsoft.com/office/2011/relationships/chartStyle" Target="style113.xml"/></Relationships>
</file>

<file path=xl/charts/_rels/chart114.xml.rels><?xml version="1.0" encoding="UTF-8" standalone="yes"?>
<Relationships xmlns="http://schemas.openxmlformats.org/package/2006/relationships"><Relationship Id="rId2" Type="http://schemas.microsoft.com/office/2011/relationships/chartColorStyle" Target="colors114.xml"/><Relationship Id="rId1" Type="http://schemas.microsoft.com/office/2011/relationships/chartStyle" Target="style114.xml"/></Relationships>
</file>

<file path=xl/charts/_rels/chart115.xml.rels><?xml version="1.0" encoding="UTF-8" standalone="yes"?>
<Relationships xmlns="http://schemas.openxmlformats.org/package/2006/relationships"><Relationship Id="rId2" Type="http://schemas.microsoft.com/office/2011/relationships/chartColorStyle" Target="colors115.xml"/><Relationship Id="rId1" Type="http://schemas.microsoft.com/office/2011/relationships/chartStyle" Target="style115.xml"/></Relationships>
</file>

<file path=xl/charts/_rels/chart116.xml.rels><?xml version="1.0" encoding="UTF-8" standalone="yes"?>
<Relationships xmlns="http://schemas.openxmlformats.org/package/2006/relationships"><Relationship Id="rId2" Type="http://schemas.microsoft.com/office/2011/relationships/chartColorStyle" Target="colors116.xml"/><Relationship Id="rId1" Type="http://schemas.microsoft.com/office/2011/relationships/chartStyle" Target="style116.xml"/></Relationships>
</file>

<file path=xl/charts/_rels/chart117.xml.rels><?xml version="1.0" encoding="UTF-8" standalone="yes"?>
<Relationships xmlns="http://schemas.openxmlformats.org/package/2006/relationships"><Relationship Id="rId2" Type="http://schemas.microsoft.com/office/2011/relationships/chartColorStyle" Target="colors117.xml"/><Relationship Id="rId1" Type="http://schemas.microsoft.com/office/2011/relationships/chartStyle" Target="style117.xml"/></Relationships>
</file>

<file path=xl/charts/_rels/chart118.xml.rels><?xml version="1.0" encoding="UTF-8" standalone="yes"?>
<Relationships xmlns="http://schemas.openxmlformats.org/package/2006/relationships"><Relationship Id="rId2" Type="http://schemas.microsoft.com/office/2011/relationships/chartColorStyle" Target="colors118.xml"/><Relationship Id="rId1" Type="http://schemas.microsoft.com/office/2011/relationships/chartStyle" Target="style118.xml"/></Relationships>
</file>

<file path=xl/charts/_rels/chart119.xml.rels><?xml version="1.0" encoding="UTF-8" standalone="yes"?>
<Relationships xmlns="http://schemas.openxmlformats.org/package/2006/relationships"><Relationship Id="rId2" Type="http://schemas.microsoft.com/office/2011/relationships/chartColorStyle" Target="colors119.xml"/><Relationship Id="rId1" Type="http://schemas.microsoft.com/office/2011/relationships/chartStyle" Target="style119.xml"/></Relationships>
</file>

<file path=xl/charts/_rels/chart120.xml.rels><?xml version="1.0" encoding="UTF-8" standalone="yes"?>
<Relationships xmlns="http://schemas.openxmlformats.org/package/2006/relationships"><Relationship Id="rId2" Type="http://schemas.microsoft.com/office/2011/relationships/chartColorStyle" Target="colors120.xml"/><Relationship Id="rId1" Type="http://schemas.microsoft.com/office/2011/relationships/chartStyle" Target="style120.xml"/></Relationships>
</file>

<file path=xl/charts/_rels/chart121.xml.rels><?xml version="1.0" encoding="UTF-8" standalone="yes"?>
<Relationships xmlns="http://schemas.openxmlformats.org/package/2006/relationships"><Relationship Id="rId2" Type="http://schemas.microsoft.com/office/2011/relationships/chartColorStyle" Target="colors121.xml"/><Relationship Id="rId1" Type="http://schemas.microsoft.com/office/2011/relationships/chartStyle" Target="style121.xml"/></Relationships>
</file>

<file path=xl/charts/_rels/chart122.xml.rels><?xml version="1.0" encoding="UTF-8" standalone="yes"?>
<Relationships xmlns="http://schemas.openxmlformats.org/package/2006/relationships"><Relationship Id="rId2" Type="http://schemas.microsoft.com/office/2011/relationships/chartColorStyle" Target="colors122.xml"/><Relationship Id="rId1" Type="http://schemas.microsoft.com/office/2011/relationships/chartStyle" Target="style122.xml"/></Relationships>
</file>

<file path=xl/charts/_rels/chart123.xml.rels><?xml version="1.0" encoding="UTF-8" standalone="yes"?>
<Relationships xmlns="http://schemas.openxmlformats.org/package/2006/relationships"><Relationship Id="rId2" Type="http://schemas.microsoft.com/office/2011/relationships/chartColorStyle" Target="colors123.xml"/><Relationship Id="rId1" Type="http://schemas.microsoft.com/office/2011/relationships/chartStyle" Target="style123.xml"/></Relationships>
</file>

<file path=xl/charts/_rels/chart124.xml.rels><?xml version="1.0" encoding="UTF-8" standalone="yes"?>
<Relationships xmlns="http://schemas.openxmlformats.org/package/2006/relationships"><Relationship Id="rId2" Type="http://schemas.microsoft.com/office/2011/relationships/chartColorStyle" Target="colors124.xml"/><Relationship Id="rId1" Type="http://schemas.microsoft.com/office/2011/relationships/chartStyle" Target="style124.xml"/></Relationships>
</file>

<file path=xl/charts/_rels/chart125.xml.rels><?xml version="1.0" encoding="UTF-8" standalone="yes"?>
<Relationships xmlns="http://schemas.openxmlformats.org/package/2006/relationships"><Relationship Id="rId2" Type="http://schemas.microsoft.com/office/2011/relationships/chartColorStyle" Target="colors125.xml"/><Relationship Id="rId1" Type="http://schemas.microsoft.com/office/2011/relationships/chartStyle" Target="style125.xml"/></Relationships>
</file>

<file path=xl/charts/_rels/chart126.xml.rels><?xml version="1.0" encoding="UTF-8" standalone="yes"?>
<Relationships xmlns="http://schemas.openxmlformats.org/package/2006/relationships"><Relationship Id="rId2" Type="http://schemas.microsoft.com/office/2011/relationships/chartColorStyle" Target="colors126.xml"/><Relationship Id="rId1" Type="http://schemas.microsoft.com/office/2011/relationships/chartStyle" Target="style126.xml"/></Relationships>
</file>

<file path=xl/charts/_rels/chart127.xml.rels><?xml version="1.0" encoding="UTF-8" standalone="yes"?>
<Relationships xmlns="http://schemas.openxmlformats.org/package/2006/relationships"><Relationship Id="rId2" Type="http://schemas.microsoft.com/office/2011/relationships/chartColorStyle" Target="colors127.xml"/><Relationship Id="rId1" Type="http://schemas.microsoft.com/office/2011/relationships/chartStyle" Target="style127.xml"/></Relationships>
</file>

<file path=xl/charts/_rels/chart128.xml.rels><?xml version="1.0" encoding="UTF-8" standalone="yes"?>
<Relationships xmlns="http://schemas.openxmlformats.org/package/2006/relationships"><Relationship Id="rId2" Type="http://schemas.microsoft.com/office/2011/relationships/chartColorStyle" Target="colors128.xml"/><Relationship Id="rId1" Type="http://schemas.microsoft.com/office/2011/relationships/chartStyle" Target="style128.xml"/></Relationships>
</file>

<file path=xl/charts/_rels/chart129.xml.rels><?xml version="1.0" encoding="UTF-8" standalone="yes"?>
<Relationships xmlns="http://schemas.openxmlformats.org/package/2006/relationships"><Relationship Id="rId2" Type="http://schemas.microsoft.com/office/2011/relationships/chartColorStyle" Target="colors129.xml"/><Relationship Id="rId1" Type="http://schemas.microsoft.com/office/2011/relationships/chartStyle" Target="style129.xml"/></Relationships>
</file>

<file path=xl/charts/_rels/chart130.xml.rels><?xml version="1.0" encoding="UTF-8" standalone="yes"?>
<Relationships xmlns="http://schemas.openxmlformats.org/package/2006/relationships"><Relationship Id="rId2" Type="http://schemas.microsoft.com/office/2011/relationships/chartColorStyle" Target="colors130.xml"/><Relationship Id="rId1" Type="http://schemas.microsoft.com/office/2011/relationships/chartStyle" Target="style130.xml"/></Relationships>
</file>

<file path=xl/charts/_rels/chart131.xml.rels><?xml version="1.0" encoding="UTF-8" standalone="yes"?>
<Relationships xmlns="http://schemas.openxmlformats.org/package/2006/relationships"><Relationship Id="rId2" Type="http://schemas.microsoft.com/office/2011/relationships/chartColorStyle" Target="colors131.xml"/><Relationship Id="rId1" Type="http://schemas.microsoft.com/office/2011/relationships/chartStyle" Target="style131.xml"/></Relationships>
</file>

<file path=xl/charts/_rels/chart132.xml.rels><?xml version="1.0" encoding="UTF-8" standalone="yes"?>
<Relationships xmlns="http://schemas.openxmlformats.org/package/2006/relationships"><Relationship Id="rId2" Type="http://schemas.microsoft.com/office/2011/relationships/chartColorStyle" Target="colors132.xml"/><Relationship Id="rId1" Type="http://schemas.microsoft.com/office/2011/relationships/chartStyle" Target="style132.xml"/></Relationships>
</file>

<file path=xl/charts/_rels/chart133.xml.rels><?xml version="1.0" encoding="UTF-8" standalone="yes"?>
<Relationships xmlns="http://schemas.openxmlformats.org/package/2006/relationships"><Relationship Id="rId2" Type="http://schemas.microsoft.com/office/2011/relationships/chartColorStyle" Target="colors133.xml"/><Relationship Id="rId1" Type="http://schemas.microsoft.com/office/2011/relationships/chartStyle" Target="style133.xml"/></Relationships>
</file>

<file path=xl/charts/_rels/chart134.xml.rels><?xml version="1.0" encoding="UTF-8" standalone="yes"?>
<Relationships xmlns="http://schemas.openxmlformats.org/package/2006/relationships"><Relationship Id="rId2" Type="http://schemas.microsoft.com/office/2011/relationships/chartColorStyle" Target="colors134.xml"/><Relationship Id="rId1" Type="http://schemas.microsoft.com/office/2011/relationships/chartStyle" Target="style134.xml"/></Relationships>
</file>

<file path=xl/charts/_rels/chart135.xml.rels><?xml version="1.0" encoding="UTF-8" standalone="yes"?>
<Relationships xmlns="http://schemas.openxmlformats.org/package/2006/relationships"><Relationship Id="rId2" Type="http://schemas.microsoft.com/office/2011/relationships/chartColorStyle" Target="colors135.xml"/><Relationship Id="rId1" Type="http://schemas.microsoft.com/office/2011/relationships/chartStyle" Target="style13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全体!$K$2:$K$407</c:f>
              <c:numCache>
                <c:formatCode>General</c:formatCode>
                <c:ptCount val="40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</c:numCache>
            </c:numRef>
          </c:xVal>
          <c:yVal>
            <c:numRef>
              <c:f>全体!$L$2:$L$407</c:f>
              <c:numCache>
                <c:formatCode>\+0.0;\-0.0;\±0</c:formatCode>
                <c:ptCount val="406"/>
                <c:pt idx="0">
                  <c:v>0</c:v>
                </c:pt>
                <c:pt idx="1">
                  <c:v>11.9</c:v>
                </c:pt>
                <c:pt idx="2">
                  <c:v>86.800000000000011</c:v>
                </c:pt>
                <c:pt idx="3">
                  <c:v>25.100000000000009</c:v>
                </c:pt>
                <c:pt idx="4">
                  <c:v>7.1054273576010019E-15</c:v>
                </c:pt>
                <c:pt idx="5">
                  <c:v>-14.199999999999992</c:v>
                </c:pt>
                <c:pt idx="6">
                  <c:v>-75.099999999999994</c:v>
                </c:pt>
                <c:pt idx="7">
                  <c:v>-61.099999999999994</c:v>
                </c:pt>
                <c:pt idx="8">
                  <c:v>7.1054273576010019E-15</c:v>
                </c:pt>
                <c:pt idx="9">
                  <c:v>-52.099999999999994</c:v>
                </c:pt>
                <c:pt idx="10">
                  <c:v>-38.499999999999993</c:v>
                </c:pt>
                <c:pt idx="11">
                  <c:v>18.100000000000009</c:v>
                </c:pt>
                <c:pt idx="12">
                  <c:v>7.1054273576010019E-15</c:v>
                </c:pt>
                <c:pt idx="13">
                  <c:v>62.500000000000007</c:v>
                </c:pt>
                <c:pt idx="14">
                  <c:v>77.300000000000011</c:v>
                </c:pt>
                <c:pt idx="15">
                  <c:v>13.000000000000014</c:v>
                </c:pt>
                <c:pt idx="16">
                  <c:v>1.4210854715202004E-14</c:v>
                </c:pt>
                <c:pt idx="17">
                  <c:v>-32.899999999999984</c:v>
                </c:pt>
                <c:pt idx="18">
                  <c:v>-91.499999999999986</c:v>
                </c:pt>
                <c:pt idx="19">
                  <c:v>-3.6999999999999886</c:v>
                </c:pt>
                <c:pt idx="20">
                  <c:v>1.1546319456101628E-14</c:v>
                </c:pt>
                <c:pt idx="21">
                  <c:v>-52.599999999999987</c:v>
                </c:pt>
                <c:pt idx="22">
                  <c:v>-68.399999999999991</c:v>
                </c:pt>
                <c:pt idx="23">
                  <c:v>-13.199999999999989</c:v>
                </c:pt>
                <c:pt idx="24">
                  <c:v>1.0658141036401503E-14</c:v>
                </c:pt>
                <c:pt idx="25">
                  <c:v>-45.899999999999991</c:v>
                </c:pt>
                <c:pt idx="26">
                  <c:v>-33.899999999999991</c:v>
                </c:pt>
                <c:pt idx="27">
                  <c:v>21.500000000000007</c:v>
                </c:pt>
                <c:pt idx="28">
                  <c:v>7.1054273576010019E-15</c:v>
                </c:pt>
                <c:pt idx="29">
                  <c:v>-50.599999999999994</c:v>
                </c:pt>
                <c:pt idx="30">
                  <c:v>7.7000000000000028</c:v>
                </c:pt>
                <c:pt idx="31">
                  <c:v>-8.2999999999999972</c:v>
                </c:pt>
                <c:pt idx="32">
                  <c:v>3.5527136788005009E-15</c:v>
                </c:pt>
                <c:pt idx="33">
                  <c:v>6.6000000000000032</c:v>
                </c:pt>
                <c:pt idx="34">
                  <c:v>68.300000000000011</c:v>
                </c:pt>
                <c:pt idx="35">
                  <c:v>53.300000000000011</c:v>
                </c:pt>
                <c:pt idx="36">
                  <c:v>-9.9999999999999858</c:v>
                </c:pt>
                <c:pt idx="37">
                  <c:v>-61.499999999999986</c:v>
                </c:pt>
                <c:pt idx="38">
                  <c:v>-52.699999999999989</c:v>
                </c:pt>
                <c:pt idx="39">
                  <c:v>7.6000000000000085</c:v>
                </c:pt>
                <c:pt idx="40">
                  <c:v>-19.999999999999993</c:v>
                </c:pt>
                <c:pt idx="41">
                  <c:v>-66.399999999999991</c:v>
                </c:pt>
                <c:pt idx="42">
                  <c:v>-59.29999999999999</c:v>
                </c:pt>
                <c:pt idx="43">
                  <c:v>-74.699999999999989</c:v>
                </c:pt>
                <c:pt idx="44">
                  <c:v>-19.999999999999986</c:v>
                </c:pt>
                <c:pt idx="45">
                  <c:v>-52.099999999999987</c:v>
                </c:pt>
                <c:pt idx="46">
                  <c:v>-44.199999999999989</c:v>
                </c:pt>
                <c:pt idx="47">
                  <c:v>-76.299999999999983</c:v>
                </c:pt>
                <c:pt idx="48">
                  <c:v>-19.999999999999986</c:v>
                </c:pt>
                <c:pt idx="49">
                  <c:v>-73.599999999999994</c:v>
                </c:pt>
                <c:pt idx="50">
                  <c:v>-72.8</c:v>
                </c:pt>
                <c:pt idx="51">
                  <c:v>10</c:v>
                </c:pt>
                <c:pt idx="52">
                  <c:v>-20</c:v>
                </c:pt>
                <c:pt idx="53">
                  <c:v>-10.1</c:v>
                </c:pt>
                <c:pt idx="54">
                  <c:v>-30.5</c:v>
                </c:pt>
                <c:pt idx="55">
                  <c:v>20.799999999999997</c:v>
                </c:pt>
                <c:pt idx="56">
                  <c:v>-20</c:v>
                </c:pt>
                <c:pt idx="57">
                  <c:v>-63.5</c:v>
                </c:pt>
                <c:pt idx="58">
                  <c:v>-32.9</c:v>
                </c:pt>
                <c:pt idx="59">
                  <c:v>-2.2999999999999972</c:v>
                </c:pt>
                <c:pt idx="60">
                  <c:v>-19.999999999999996</c:v>
                </c:pt>
                <c:pt idx="61">
                  <c:v>-66.8</c:v>
                </c:pt>
                <c:pt idx="62">
                  <c:v>-8.2999999999999972</c:v>
                </c:pt>
                <c:pt idx="63">
                  <c:v>-30.699999999999996</c:v>
                </c:pt>
                <c:pt idx="64">
                  <c:v>-19.999999999999996</c:v>
                </c:pt>
                <c:pt idx="65">
                  <c:v>37.799999999999997</c:v>
                </c:pt>
                <c:pt idx="66">
                  <c:v>-8.3000000000000043</c:v>
                </c:pt>
                <c:pt idx="67">
                  <c:v>1.2999999999999954</c:v>
                </c:pt>
                <c:pt idx="68">
                  <c:v>-20.000000000000007</c:v>
                </c:pt>
                <c:pt idx="69">
                  <c:v>-80.5</c:v>
                </c:pt>
                <c:pt idx="70">
                  <c:v>-17.600000000000001</c:v>
                </c:pt>
                <c:pt idx="71">
                  <c:v>-8.5000000000000018</c:v>
                </c:pt>
                <c:pt idx="72">
                  <c:v>-20</c:v>
                </c:pt>
                <c:pt idx="73">
                  <c:v>36</c:v>
                </c:pt>
                <c:pt idx="74">
                  <c:v>46.3</c:v>
                </c:pt>
                <c:pt idx="75">
                  <c:v>-9.9000000000000057</c:v>
                </c:pt>
                <c:pt idx="76">
                  <c:v>-20.000000000000007</c:v>
                </c:pt>
                <c:pt idx="77">
                  <c:v>2.5999999999999943</c:v>
                </c:pt>
                <c:pt idx="78">
                  <c:v>68.5</c:v>
                </c:pt>
                <c:pt idx="79">
                  <c:v>7.1000000000000014</c:v>
                </c:pt>
                <c:pt idx="80">
                  <c:v>-20</c:v>
                </c:pt>
                <c:pt idx="81">
                  <c:v>-39.6</c:v>
                </c:pt>
                <c:pt idx="82">
                  <c:v>-29.1</c:v>
                </c:pt>
                <c:pt idx="83">
                  <c:v>24.5</c:v>
                </c:pt>
                <c:pt idx="84">
                  <c:v>-20</c:v>
                </c:pt>
                <c:pt idx="85">
                  <c:v>-27.6</c:v>
                </c:pt>
                <c:pt idx="86">
                  <c:v>57.999999999999993</c:v>
                </c:pt>
                <c:pt idx="87">
                  <c:v>7.9999999999999929</c:v>
                </c:pt>
                <c:pt idx="88">
                  <c:v>-20.000000000000007</c:v>
                </c:pt>
                <c:pt idx="89">
                  <c:v>-35.000000000000007</c:v>
                </c:pt>
                <c:pt idx="90">
                  <c:v>18.899999999999991</c:v>
                </c:pt>
                <c:pt idx="91">
                  <c:v>-27.600000000000009</c:v>
                </c:pt>
                <c:pt idx="92">
                  <c:v>-20.000000000000007</c:v>
                </c:pt>
                <c:pt idx="93">
                  <c:v>-79.400000000000006</c:v>
                </c:pt>
                <c:pt idx="94">
                  <c:v>-62.100000000000009</c:v>
                </c:pt>
                <c:pt idx="95">
                  <c:v>-91</c:v>
                </c:pt>
                <c:pt idx="96">
                  <c:v>-20</c:v>
                </c:pt>
                <c:pt idx="97">
                  <c:v>-38</c:v>
                </c:pt>
                <c:pt idx="98">
                  <c:v>28.599999999999994</c:v>
                </c:pt>
                <c:pt idx="99">
                  <c:v>34.199999999999996</c:v>
                </c:pt>
                <c:pt idx="100">
                  <c:v>-30.000000000000007</c:v>
                </c:pt>
                <c:pt idx="101">
                  <c:v>-55.500000000000007</c:v>
                </c:pt>
                <c:pt idx="102">
                  <c:v>-43.000000000000007</c:v>
                </c:pt>
                <c:pt idx="103">
                  <c:v>28.999999999999993</c:v>
                </c:pt>
                <c:pt idx="104">
                  <c:v>-30.000000000000007</c:v>
                </c:pt>
                <c:pt idx="105">
                  <c:v>22.499999999999993</c:v>
                </c:pt>
                <c:pt idx="106">
                  <c:v>-18.800000000000004</c:v>
                </c:pt>
                <c:pt idx="107">
                  <c:v>-38.400000000000006</c:v>
                </c:pt>
                <c:pt idx="108">
                  <c:v>-30.000000000000007</c:v>
                </c:pt>
                <c:pt idx="109">
                  <c:v>-89</c:v>
                </c:pt>
                <c:pt idx="110">
                  <c:v>-64</c:v>
                </c:pt>
                <c:pt idx="111">
                  <c:v>-102.5</c:v>
                </c:pt>
                <c:pt idx="112">
                  <c:v>-30</c:v>
                </c:pt>
                <c:pt idx="113">
                  <c:v>27</c:v>
                </c:pt>
                <c:pt idx="114">
                  <c:v>42.6</c:v>
                </c:pt>
                <c:pt idx="115">
                  <c:v>-5.5</c:v>
                </c:pt>
                <c:pt idx="116">
                  <c:v>-30</c:v>
                </c:pt>
                <c:pt idx="117">
                  <c:v>43.2</c:v>
                </c:pt>
                <c:pt idx="118">
                  <c:v>19.000000000000004</c:v>
                </c:pt>
                <c:pt idx="119">
                  <c:v>-34.099999999999994</c:v>
                </c:pt>
                <c:pt idx="120">
                  <c:v>-29.999999999999993</c:v>
                </c:pt>
                <c:pt idx="121">
                  <c:v>-26.399999999999991</c:v>
                </c:pt>
                <c:pt idx="122">
                  <c:v>-43.599999999999994</c:v>
                </c:pt>
                <c:pt idx="123">
                  <c:v>-83.1</c:v>
                </c:pt>
                <c:pt idx="124">
                  <c:v>-29.999999999999993</c:v>
                </c:pt>
                <c:pt idx="125">
                  <c:v>-95.5</c:v>
                </c:pt>
                <c:pt idx="126">
                  <c:v>-83.6</c:v>
                </c:pt>
                <c:pt idx="127">
                  <c:v>-93.8</c:v>
                </c:pt>
                <c:pt idx="128">
                  <c:v>-30</c:v>
                </c:pt>
                <c:pt idx="129">
                  <c:v>26.9</c:v>
                </c:pt>
                <c:pt idx="130">
                  <c:v>-18.600000000000001</c:v>
                </c:pt>
                <c:pt idx="131">
                  <c:v>-5.1000000000000014</c:v>
                </c:pt>
                <c:pt idx="132">
                  <c:v>-30</c:v>
                </c:pt>
                <c:pt idx="133">
                  <c:v>47.2</c:v>
                </c:pt>
                <c:pt idx="134">
                  <c:v>-5.1999999999999957</c:v>
                </c:pt>
                <c:pt idx="135">
                  <c:v>-34.5</c:v>
                </c:pt>
                <c:pt idx="136">
                  <c:v>-30</c:v>
                </c:pt>
                <c:pt idx="137">
                  <c:v>-80.3</c:v>
                </c:pt>
                <c:pt idx="138">
                  <c:v>-103.9</c:v>
                </c:pt>
                <c:pt idx="139">
                  <c:v>-102.9</c:v>
                </c:pt>
                <c:pt idx="140">
                  <c:v>-30</c:v>
                </c:pt>
                <c:pt idx="141">
                  <c:v>38</c:v>
                </c:pt>
                <c:pt idx="142">
                  <c:v>-22.1</c:v>
                </c:pt>
                <c:pt idx="143">
                  <c:v>-10.500000000000002</c:v>
                </c:pt>
                <c:pt idx="144">
                  <c:v>-30</c:v>
                </c:pt>
                <c:pt idx="145">
                  <c:v>22</c:v>
                </c:pt>
                <c:pt idx="146">
                  <c:v>32</c:v>
                </c:pt>
                <c:pt idx="147">
                  <c:v>17.600000000000001</c:v>
                </c:pt>
                <c:pt idx="148">
                  <c:v>-30</c:v>
                </c:pt>
                <c:pt idx="149">
                  <c:v>-22.6</c:v>
                </c:pt>
                <c:pt idx="150">
                  <c:v>-70</c:v>
                </c:pt>
                <c:pt idx="151">
                  <c:v>-17.299999999999997</c:v>
                </c:pt>
                <c:pt idx="152">
                  <c:v>-29.999999999999996</c:v>
                </c:pt>
                <c:pt idx="153">
                  <c:v>30.400000000000002</c:v>
                </c:pt>
                <c:pt idx="154">
                  <c:v>39.900000000000006</c:v>
                </c:pt>
                <c:pt idx="155">
                  <c:v>-7.0999999999999943</c:v>
                </c:pt>
                <c:pt idx="156">
                  <c:v>-29.999999999999993</c:v>
                </c:pt>
                <c:pt idx="157">
                  <c:v>37.6</c:v>
                </c:pt>
                <c:pt idx="158">
                  <c:v>-16.799999999999997</c:v>
                </c:pt>
                <c:pt idx="159">
                  <c:v>-34.199999999999996</c:v>
                </c:pt>
                <c:pt idx="160">
                  <c:v>-29.999999999999996</c:v>
                </c:pt>
                <c:pt idx="161">
                  <c:v>-79.399999999999991</c:v>
                </c:pt>
                <c:pt idx="162">
                  <c:v>-102.69999999999999</c:v>
                </c:pt>
                <c:pt idx="163">
                  <c:v>-97.999999999999986</c:v>
                </c:pt>
                <c:pt idx="164">
                  <c:v>-29.999999999999986</c:v>
                </c:pt>
                <c:pt idx="165">
                  <c:v>-77.099999999999994</c:v>
                </c:pt>
                <c:pt idx="166">
                  <c:v>-9</c:v>
                </c:pt>
                <c:pt idx="167">
                  <c:v>-6.4</c:v>
                </c:pt>
                <c:pt idx="168">
                  <c:v>-30</c:v>
                </c:pt>
                <c:pt idx="169">
                  <c:v>-39.5</c:v>
                </c:pt>
                <c:pt idx="170">
                  <c:v>-94.4</c:v>
                </c:pt>
                <c:pt idx="171">
                  <c:v>-41.000000000000007</c:v>
                </c:pt>
                <c:pt idx="172">
                  <c:v>-30.000000000000007</c:v>
                </c:pt>
                <c:pt idx="173">
                  <c:v>-30.000000000000007</c:v>
                </c:pt>
                <c:pt idx="174">
                  <c:v>-47.2</c:v>
                </c:pt>
                <c:pt idx="175">
                  <c:v>-39.5</c:v>
                </c:pt>
                <c:pt idx="176">
                  <c:v>17</c:v>
                </c:pt>
                <c:pt idx="177">
                  <c:v>-30</c:v>
                </c:pt>
                <c:pt idx="178">
                  <c:v>-54.6</c:v>
                </c:pt>
                <c:pt idx="179">
                  <c:v>-52.5</c:v>
                </c:pt>
                <c:pt idx="180">
                  <c:v>14.799999999999997</c:v>
                </c:pt>
                <c:pt idx="181">
                  <c:v>-30</c:v>
                </c:pt>
                <c:pt idx="182">
                  <c:v>35.799999999999997</c:v>
                </c:pt>
                <c:pt idx="183">
                  <c:v>35.199999999999996</c:v>
                </c:pt>
                <c:pt idx="184">
                  <c:v>-7.9000000000000057</c:v>
                </c:pt>
                <c:pt idx="185">
                  <c:v>-30.000000000000007</c:v>
                </c:pt>
                <c:pt idx="186">
                  <c:v>-99.300000000000011</c:v>
                </c:pt>
                <c:pt idx="187">
                  <c:v>-94.300000000000011</c:v>
                </c:pt>
                <c:pt idx="188">
                  <c:v>-121.30000000000001</c:v>
                </c:pt>
                <c:pt idx="189">
                  <c:v>-30.000000000000014</c:v>
                </c:pt>
                <c:pt idx="190">
                  <c:v>30.399999999999984</c:v>
                </c:pt>
                <c:pt idx="191">
                  <c:v>-34.500000000000021</c:v>
                </c:pt>
                <c:pt idx="192">
                  <c:v>-44.800000000000026</c:v>
                </c:pt>
                <c:pt idx="193">
                  <c:v>-30.000000000000025</c:v>
                </c:pt>
                <c:pt idx="194">
                  <c:v>-74.200000000000031</c:v>
                </c:pt>
                <c:pt idx="195">
                  <c:v>-71.400000000000034</c:v>
                </c:pt>
                <c:pt idx="196">
                  <c:v>-8.9000000000000341</c:v>
                </c:pt>
                <c:pt idx="197">
                  <c:v>-30.000000000000036</c:v>
                </c:pt>
                <c:pt idx="198">
                  <c:v>31.299999999999962</c:v>
                </c:pt>
                <c:pt idx="199">
                  <c:v>43.69999999999996</c:v>
                </c:pt>
                <c:pt idx="200">
                  <c:v>-9.4000000000000412</c:v>
                </c:pt>
                <c:pt idx="201">
                  <c:v>-30.000000000000043</c:v>
                </c:pt>
                <c:pt idx="202">
                  <c:v>-44.80000000000004</c:v>
                </c:pt>
                <c:pt idx="203">
                  <c:v>-86.600000000000037</c:v>
                </c:pt>
                <c:pt idx="204">
                  <c:v>-81.200000000000031</c:v>
                </c:pt>
                <c:pt idx="205">
                  <c:v>-30.000000000000028</c:v>
                </c:pt>
                <c:pt idx="206">
                  <c:v>62.199999999999974</c:v>
                </c:pt>
                <c:pt idx="207">
                  <c:v>31.799999999999976</c:v>
                </c:pt>
                <c:pt idx="208">
                  <c:v>-25.200000000000024</c:v>
                </c:pt>
                <c:pt idx="209">
                  <c:v>-30.000000000000025</c:v>
                </c:pt>
                <c:pt idx="210">
                  <c:v>-18.300000000000026</c:v>
                </c:pt>
                <c:pt idx="211">
                  <c:v>65.899999999999977</c:v>
                </c:pt>
                <c:pt idx="212">
                  <c:v>7.4999999999999787</c:v>
                </c:pt>
                <c:pt idx="213">
                  <c:v>-30.000000000000021</c:v>
                </c:pt>
                <c:pt idx="214">
                  <c:v>-33.200000000000017</c:v>
                </c:pt>
                <c:pt idx="215">
                  <c:v>-86.90000000000002</c:v>
                </c:pt>
                <c:pt idx="216">
                  <c:v>-115.50000000000003</c:v>
                </c:pt>
                <c:pt idx="217">
                  <c:v>-30.000000000000028</c:v>
                </c:pt>
                <c:pt idx="218">
                  <c:v>-80.400000000000034</c:v>
                </c:pt>
                <c:pt idx="219">
                  <c:v>-19.200000000000031</c:v>
                </c:pt>
                <c:pt idx="220">
                  <c:v>-36.300000000000033</c:v>
                </c:pt>
                <c:pt idx="221">
                  <c:v>-30.000000000000032</c:v>
                </c:pt>
                <c:pt idx="222">
                  <c:v>-31.700000000000031</c:v>
                </c:pt>
                <c:pt idx="223">
                  <c:v>-62.700000000000031</c:v>
                </c:pt>
                <c:pt idx="224">
                  <c:v>22.399999999999963</c:v>
                </c:pt>
                <c:pt idx="225">
                  <c:v>-30.000000000000036</c:v>
                </c:pt>
                <c:pt idx="226">
                  <c:v>-11.700000000000035</c:v>
                </c:pt>
                <c:pt idx="227">
                  <c:v>-33.000000000000036</c:v>
                </c:pt>
                <c:pt idx="228">
                  <c:v>-91.30000000000004</c:v>
                </c:pt>
                <c:pt idx="229">
                  <c:v>-30.000000000000043</c:v>
                </c:pt>
                <c:pt idx="230">
                  <c:v>-44.400000000000041</c:v>
                </c:pt>
                <c:pt idx="231">
                  <c:v>-90.100000000000051</c:v>
                </c:pt>
                <c:pt idx="232">
                  <c:v>-37.400000000000048</c:v>
                </c:pt>
                <c:pt idx="233">
                  <c:v>-30.00000000000005</c:v>
                </c:pt>
                <c:pt idx="234">
                  <c:v>36.699999999999953</c:v>
                </c:pt>
                <c:pt idx="235">
                  <c:v>49.699999999999953</c:v>
                </c:pt>
                <c:pt idx="236">
                  <c:v>-12.100000000000044</c:v>
                </c:pt>
                <c:pt idx="237">
                  <c:v>-30.000000000000043</c:v>
                </c:pt>
                <c:pt idx="238">
                  <c:v>-102.80000000000004</c:v>
                </c:pt>
                <c:pt idx="239">
                  <c:v>-88.80000000000004</c:v>
                </c:pt>
                <c:pt idx="240">
                  <c:v>-4.3000000000000398</c:v>
                </c:pt>
                <c:pt idx="241">
                  <c:v>-30.000000000000039</c:v>
                </c:pt>
                <c:pt idx="242">
                  <c:v>-76.600000000000037</c:v>
                </c:pt>
                <c:pt idx="243">
                  <c:v>-67.200000000000031</c:v>
                </c:pt>
                <c:pt idx="244">
                  <c:v>-10.300000000000033</c:v>
                </c:pt>
                <c:pt idx="245">
                  <c:v>-30.000000000000032</c:v>
                </c:pt>
                <c:pt idx="246">
                  <c:v>-76.800000000000026</c:v>
                </c:pt>
                <c:pt idx="247">
                  <c:v>-66.500000000000028</c:v>
                </c:pt>
                <c:pt idx="248">
                  <c:v>-89.800000000000026</c:v>
                </c:pt>
                <c:pt idx="249">
                  <c:v>-30.000000000000028</c:v>
                </c:pt>
                <c:pt idx="250">
                  <c:v>-84.900000000000034</c:v>
                </c:pt>
                <c:pt idx="251">
                  <c:v>-85.80000000000004</c:v>
                </c:pt>
                <c:pt idx="252">
                  <c:v>-3.1000000000000369</c:v>
                </c:pt>
                <c:pt idx="253">
                  <c:v>-30.000000000000036</c:v>
                </c:pt>
                <c:pt idx="254">
                  <c:v>-3.6000000000000369</c:v>
                </c:pt>
                <c:pt idx="255">
                  <c:v>-65.100000000000037</c:v>
                </c:pt>
                <c:pt idx="256">
                  <c:v>-102.40000000000003</c:v>
                </c:pt>
                <c:pt idx="257">
                  <c:v>-30.000000000000028</c:v>
                </c:pt>
                <c:pt idx="258">
                  <c:v>-78.900000000000034</c:v>
                </c:pt>
                <c:pt idx="259">
                  <c:v>-74.000000000000028</c:v>
                </c:pt>
                <c:pt idx="260">
                  <c:v>-11.000000000000028</c:v>
                </c:pt>
                <c:pt idx="261">
                  <c:v>-30.000000000000028</c:v>
                </c:pt>
                <c:pt idx="262">
                  <c:v>51.099999999999966</c:v>
                </c:pt>
                <c:pt idx="263">
                  <c:v>-10.900000000000034</c:v>
                </c:pt>
                <c:pt idx="264">
                  <c:v>-3.4000000000000341</c:v>
                </c:pt>
                <c:pt idx="265">
                  <c:v>-30.000000000000036</c:v>
                </c:pt>
                <c:pt idx="266">
                  <c:v>-36.300000000000033</c:v>
                </c:pt>
                <c:pt idx="267">
                  <c:v>-21.500000000000032</c:v>
                </c:pt>
                <c:pt idx="268">
                  <c:v>-87.400000000000034</c:v>
                </c:pt>
                <c:pt idx="269">
                  <c:v>-30.000000000000036</c:v>
                </c:pt>
                <c:pt idx="270">
                  <c:v>23.199999999999967</c:v>
                </c:pt>
                <c:pt idx="271">
                  <c:v>-1.9000000000000341</c:v>
                </c:pt>
                <c:pt idx="272">
                  <c:v>10.499999999999966</c:v>
                </c:pt>
                <c:pt idx="273">
                  <c:v>-40.000000000000036</c:v>
                </c:pt>
                <c:pt idx="274">
                  <c:v>-89.700000000000045</c:v>
                </c:pt>
                <c:pt idx="275">
                  <c:v>-29.100000000000044</c:v>
                </c:pt>
                <c:pt idx="276">
                  <c:v>-49.500000000000043</c:v>
                </c:pt>
                <c:pt idx="277">
                  <c:v>-40.000000000000043</c:v>
                </c:pt>
                <c:pt idx="278">
                  <c:v>-94.200000000000045</c:v>
                </c:pt>
                <c:pt idx="279">
                  <c:v>-14.200000000000045</c:v>
                </c:pt>
                <c:pt idx="280">
                  <c:v>-10.600000000000046</c:v>
                </c:pt>
                <c:pt idx="281">
                  <c:v>-40.000000000000043</c:v>
                </c:pt>
                <c:pt idx="282">
                  <c:v>-101.50000000000004</c:v>
                </c:pt>
                <c:pt idx="283">
                  <c:v>-36.30000000000004</c:v>
                </c:pt>
                <c:pt idx="284">
                  <c:v>-27.30000000000004</c:v>
                </c:pt>
                <c:pt idx="285">
                  <c:v>-40.000000000000043</c:v>
                </c:pt>
                <c:pt idx="286">
                  <c:v>-31.400000000000041</c:v>
                </c:pt>
                <c:pt idx="287">
                  <c:v>19.299999999999962</c:v>
                </c:pt>
                <c:pt idx="288">
                  <c:v>0.19999999999996021</c:v>
                </c:pt>
                <c:pt idx="289">
                  <c:v>-40.000000000000043</c:v>
                </c:pt>
                <c:pt idx="290">
                  <c:v>-35.500000000000043</c:v>
                </c:pt>
                <c:pt idx="291">
                  <c:v>51.999999999999957</c:v>
                </c:pt>
                <c:pt idx="292">
                  <c:v>16.999999999999957</c:v>
                </c:pt>
                <c:pt idx="293">
                  <c:v>-40.000000000000043</c:v>
                </c:pt>
                <c:pt idx="294">
                  <c:v>-27.500000000000043</c:v>
                </c:pt>
                <c:pt idx="295">
                  <c:v>-75.30000000000004</c:v>
                </c:pt>
                <c:pt idx="296">
                  <c:v>-99.400000000000034</c:v>
                </c:pt>
                <c:pt idx="297">
                  <c:v>-40.000000000000036</c:v>
                </c:pt>
                <c:pt idx="298">
                  <c:v>-22.500000000000036</c:v>
                </c:pt>
                <c:pt idx="299">
                  <c:v>38.299999999999962</c:v>
                </c:pt>
                <c:pt idx="300">
                  <c:v>-16.900000000000041</c:v>
                </c:pt>
                <c:pt idx="301">
                  <c:v>-40.000000000000043</c:v>
                </c:pt>
                <c:pt idx="302">
                  <c:v>6.8999999999999559</c:v>
                </c:pt>
                <c:pt idx="303">
                  <c:v>-45.100000000000044</c:v>
                </c:pt>
                <c:pt idx="304">
                  <c:v>-64.80000000000004</c:v>
                </c:pt>
                <c:pt idx="305">
                  <c:v>-60.000000000000043</c:v>
                </c:pt>
                <c:pt idx="306">
                  <c:v>-86.700000000000045</c:v>
                </c:pt>
                <c:pt idx="307">
                  <c:v>-29.200000000000045</c:v>
                </c:pt>
                <c:pt idx="308">
                  <c:v>-79.600000000000051</c:v>
                </c:pt>
                <c:pt idx="309">
                  <c:v>-70.000000000000057</c:v>
                </c:pt>
                <c:pt idx="310">
                  <c:v>-115.80000000000005</c:v>
                </c:pt>
                <c:pt idx="311">
                  <c:v>-135.90000000000006</c:v>
                </c:pt>
                <c:pt idx="312">
                  <c:v>-125.60000000000007</c:v>
                </c:pt>
                <c:pt idx="313">
                  <c:v>-70.000000000000057</c:v>
                </c:pt>
                <c:pt idx="314">
                  <c:v>0.49999999999994316</c:v>
                </c:pt>
                <c:pt idx="315">
                  <c:v>-21.500000000000057</c:v>
                </c:pt>
                <c:pt idx="316">
                  <c:v>-78.000000000000057</c:v>
                </c:pt>
                <c:pt idx="317">
                  <c:v>-70.000000000000057</c:v>
                </c:pt>
                <c:pt idx="318">
                  <c:v>-117.40000000000006</c:v>
                </c:pt>
                <c:pt idx="319">
                  <c:v>-65.300000000000068</c:v>
                </c:pt>
                <c:pt idx="320">
                  <c:v>-62.600000000000065</c:v>
                </c:pt>
                <c:pt idx="321">
                  <c:v>-80.000000000000057</c:v>
                </c:pt>
                <c:pt idx="322">
                  <c:v>-73.20000000000006</c:v>
                </c:pt>
                <c:pt idx="323">
                  <c:v>-120.30000000000007</c:v>
                </c:pt>
                <c:pt idx="324">
                  <c:v>-142.40000000000006</c:v>
                </c:pt>
                <c:pt idx="325">
                  <c:v>-80.000000000000057</c:v>
                </c:pt>
                <c:pt idx="326">
                  <c:v>-31.900000000000055</c:v>
                </c:pt>
                <c:pt idx="327">
                  <c:v>-48.70000000000006</c:v>
                </c:pt>
                <c:pt idx="328">
                  <c:v>-86.300000000000068</c:v>
                </c:pt>
                <c:pt idx="329">
                  <c:v>-80.000000000000071</c:v>
                </c:pt>
                <c:pt idx="330">
                  <c:v>-96.300000000000068</c:v>
                </c:pt>
                <c:pt idx="331">
                  <c:v>-86.800000000000068</c:v>
                </c:pt>
                <c:pt idx="332">
                  <c:v>-134.10000000000008</c:v>
                </c:pt>
                <c:pt idx="333">
                  <c:v>-80.000000000000085</c:v>
                </c:pt>
                <c:pt idx="334">
                  <c:v>-29.200000000000088</c:v>
                </c:pt>
                <c:pt idx="335">
                  <c:v>-72.500000000000085</c:v>
                </c:pt>
                <c:pt idx="336">
                  <c:v>-64.800000000000082</c:v>
                </c:pt>
                <c:pt idx="337">
                  <c:v>-80.000000000000085</c:v>
                </c:pt>
                <c:pt idx="338">
                  <c:v>-127.00000000000009</c:v>
                </c:pt>
                <c:pt idx="339">
                  <c:v>-152.8000000000001</c:v>
                </c:pt>
                <c:pt idx="340">
                  <c:v>-90.600000000000094</c:v>
                </c:pt>
                <c:pt idx="341">
                  <c:v>-80.000000000000099</c:v>
                </c:pt>
                <c:pt idx="342">
                  <c:v>-125.2000000000001</c:v>
                </c:pt>
                <c:pt idx="343">
                  <c:v>-116.2000000000001</c:v>
                </c:pt>
                <c:pt idx="344">
                  <c:v>-63.100000000000101</c:v>
                </c:pt>
                <c:pt idx="345">
                  <c:v>-80.000000000000099</c:v>
                </c:pt>
                <c:pt idx="346">
                  <c:v>-62.400000000000098</c:v>
                </c:pt>
                <c:pt idx="347">
                  <c:v>-80.800000000000097</c:v>
                </c:pt>
                <c:pt idx="348">
                  <c:v>-160.8000000000001</c:v>
                </c:pt>
                <c:pt idx="349">
                  <c:v>-80.000000000000099</c:v>
                </c:pt>
                <c:pt idx="350">
                  <c:v>-13.800000000000097</c:v>
                </c:pt>
                <c:pt idx="351">
                  <c:v>-32.800000000000097</c:v>
                </c:pt>
                <c:pt idx="352">
                  <c:v>-22.000000000000096</c:v>
                </c:pt>
                <c:pt idx="353">
                  <c:v>-80.000000000000099</c:v>
                </c:pt>
                <c:pt idx="354">
                  <c:v>-68.200000000000102</c:v>
                </c:pt>
                <c:pt idx="355">
                  <c:v>-4.100000000000108</c:v>
                </c:pt>
                <c:pt idx="356">
                  <c:v>-54.600000000000108</c:v>
                </c:pt>
                <c:pt idx="357">
                  <c:v>-80.000000000000114</c:v>
                </c:pt>
                <c:pt idx="358">
                  <c:v>-72.000000000000114</c:v>
                </c:pt>
                <c:pt idx="359">
                  <c:v>1.899999999999892</c:v>
                </c:pt>
                <c:pt idx="360">
                  <c:v>-27.000000000000107</c:v>
                </c:pt>
                <c:pt idx="361">
                  <c:v>-80.000000000000114</c:v>
                </c:pt>
                <c:pt idx="362">
                  <c:v>-129.60000000000011</c:v>
                </c:pt>
                <c:pt idx="363">
                  <c:v>-68.700000000000102</c:v>
                </c:pt>
                <c:pt idx="364">
                  <c:v>-95.800000000000097</c:v>
                </c:pt>
                <c:pt idx="365">
                  <c:v>-80.000000000000099</c:v>
                </c:pt>
                <c:pt idx="366">
                  <c:v>-103.0000000000001</c:v>
                </c:pt>
                <c:pt idx="367">
                  <c:v>-37.100000000000094</c:v>
                </c:pt>
                <c:pt idx="368">
                  <c:v>-87.800000000000097</c:v>
                </c:pt>
                <c:pt idx="369">
                  <c:v>-80.000000000000099</c:v>
                </c:pt>
                <c:pt idx="370">
                  <c:v>-102.3000000000001</c:v>
                </c:pt>
                <c:pt idx="371">
                  <c:v>-102.7000000000001</c:v>
                </c:pt>
                <c:pt idx="372">
                  <c:v>-146.7000000000001</c:v>
                </c:pt>
                <c:pt idx="373">
                  <c:v>-80.000000000000099</c:v>
                </c:pt>
                <c:pt idx="374">
                  <c:v>-127.7000000000001</c:v>
                </c:pt>
                <c:pt idx="375">
                  <c:v>-72.400000000000105</c:v>
                </c:pt>
                <c:pt idx="376">
                  <c:v>-94.900000000000105</c:v>
                </c:pt>
                <c:pt idx="377">
                  <c:v>-80.000000000000099</c:v>
                </c:pt>
                <c:pt idx="378">
                  <c:v>-138.50000000000011</c:v>
                </c:pt>
                <c:pt idx="379">
                  <c:v>-71.300000000000111</c:v>
                </c:pt>
                <c:pt idx="380">
                  <c:v>-52.600000000000108</c:v>
                </c:pt>
                <c:pt idx="381">
                  <c:v>-80.000000000000114</c:v>
                </c:pt>
                <c:pt idx="382">
                  <c:v>-10.900000000000119</c:v>
                </c:pt>
                <c:pt idx="383">
                  <c:v>-59.600000000000122</c:v>
                </c:pt>
                <c:pt idx="384">
                  <c:v>-80.100000000000122</c:v>
                </c:pt>
                <c:pt idx="385">
                  <c:v>-80.000000000000128</c:v>
                </c:pt>
                <c:pt idx="386">
                  <c:v>-9.5000000000001279</c:v>
                </c:pt>
                <c:pt idx="387">
                  <c:v>-5.5000000000001279</c:v>
                </c:pt>
                <c:pt idx="388">
                  <c:v>-54.000000000000128</c:v>
                </c:pt>
                <c:pt idx="389">
                  <c:v>-80.000000000000128</c:v>
                </c:pt>
                <c:pt idx="390">
                  <c:v>-73.000000000000128</c:v>
                </c:pt>
                <c:pt idx="391">
                  <c:v>-90.600000000000136</c:v>
                </c:pt>
                <c:pt idx="392">
                  <c:v>-38.600000000000136</c:v>
                </c:pt>
                <c:pt idx="393">
                  <c:v>-80.000000000000142</c:v>
                </c:pt>
                <c:pt idx="394">
                  <c:v>-27.200000000000145</c:v>
                </c:pt>
                <c:pt idx="395">
                  <c:v>-70.000000000000142</c:v>
                </c:pt>
                <c:pt idx="396">
                  <c:v>-87.900000000000148</c:v>
                </c:pt>
                <c:pt idx="397">
                  <c:v>-80.000000000000142</c:v>
                </c:pt>
                <c:pt idx="398">
                  <c:v>-19.200000000000145</c:v>
                </c:pt>
                <c:pt idx="399">
                  <c:v>-8.3000000000001446</c:v>
                </c:pt>
                <c:pt idx="400">
                  <c:v>-33.000000000000142</c:v>
                </c:pt>
                <c:pt idx="401">
                  <c:v>-80.000000000000142</c:v>
                </c:pt>
                <c:pt idx="402">
                  <c:v>-116.60000000000014</c:v>
                </c:pt>
                <c:pt idx="403">
                  <c:v>-24.800000000000139</c:v>
                </c:pt>
                <c:pt idx="404">
                  <c:v>-32.800000000000139</c:v>
                </c:pt>
                <c:pt idx="405">
                  <c:v>-90.000000000000142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E2C-4AC1-A0A1-7D31A88108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全体!$O$2:$O$9</c:f>
              <c:numCache>
                <c:formatCode>\+0;\-0;\±0</c:formatCode>
                <c:ptCount val="8"/>
                <c:pt idx="0">
                  <c:v>-64.197530864197532</c:v>
                </c:pt>
                <c:pt idx="1">
                  <c:v>-22.222222222222221</c:v>
                </c:pt>
                <c:pt idx="2">
                  <c:v>-22.166246851385392</c:v>
                </c:pt>
                <c:pt idx="3">
                  <c:v>-54.794520547945204</c:v>
                </c:pt>
                <c:pt idx="4">
                  <c:v>-19.841269841269842</c:v>
                </c:pt>
                <c:pt idx="5">
                  <c:v>-46.511627906976742</c:v>
                </c:pt>
                <c:pt idx="6">
                  <c:v>0</c:v>
                </c:pt>
                <c:pt idx="7">
                  <c:v>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795-4F17-BE37-2500D77000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全体!$A$35:$A$47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全体!$B$35:$B$47</c:f>
              <c:numCache>
                <c:formatCode>0\ "回"</c:formatCode>
                <c:ptCount val="13"/>
                <c:pt idx="0">
                  <c:v>71</c:v>
                </c:pt>
                <c:pt idx="1">
                  <c:v>123</c:v>
                </c:pt>
                <c:pt idx="2">
                  <c:v>142</c:v>
                </c:pt>
                <c:pt idx="3">
                  <c:v>135</c:v>
                </c:pt>
                <c:pt idx="4">
                  <c:v>67</c:v>
                </c:pt>
                <c:pt idx="5">
                  <c:v>63</c:v>
                </c:pt>
                <c:pt idx="6">
                  <c:v>19</c:v>
                </c:pt>
                <c:pt idx="7">
                  <c:v>3</c:v>
                </c:pt>
                <c:pt idx="8">
                  <c:v>2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34E-42EA-B460-25ABCC3221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松澤亮太!$L$1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松澤亮太!$K$2:$K$17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松澤亮太!$L$2:$L$17</c:f>
              <c:numCache>
                <c:formatCode>\+0.0;\-0.0;\±0</c:formatCode>
                <c:ptCount val="16"/>
                <c:pt idx="0">
                  <c:v>0</c:v>
                </c:pt>
                <c:pt idx="1">
                  <c:v>11.9</c:v>
                </c:pt>
                <c:pt idx="2">
                  <c:v>-40.200000000000003</c:v>
                </c:pt>
                <c:pt idx="3">
                  <c:v>-53.2</c:v>
                </c:pt>
                <c:pt idx="4">
                  <c:v>-41.2</c:v>
                </c:pt>
                <c:pt idx="5">
                  <c:v>17.099999999999994</c:v>
                </c:pt>
                <c:pt idx="6">
                  <c:v>24.199999999999996</c:v>
                </c:pt>
                <c:pt idx="7">
                  <c:v>32.099999999999994</c:v>
                </c:pt>
                <c:pt idx="8">
                  <c:v>-11.400000000000006</c:v>
                </c:pt>
                <c:pt idx="9">
                  <c:v>-71.900000000000006</c:v>
                </c:pt>
                <c:pt idx="10">
                  <c:v>-91.5</c:v>
                </c:pt>
                <c:pt idx="11">
                  <c:v>-141.5</c:v>
                </c:pt>
                <c:pt idx="12">
                  <c:v>-74.900000000000006</c:v>
                </c:pt>
                <c:pt idx="13">
                  <c:v>-2.9000000000000057</c:v>
                </c:pt>
                <c:pt idx="14">
                  <c:v>8.9999999999999947</c:v>
                </c:pt>
                <c:pt idx="15">
                  <c:v>22.499999999999993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9C4-4BD2-984A-D26E85D63F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松澤亮太!$O$1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松澤亮太!$N$2:$N$9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松澤亮太!$O$2:$O$9</c:f>
              <c:numCache>
                <c:formatCode>\+0;\-0;\±0</c:formatCode>
                <c:ptCount val="8"/>
                <c:pt idx="0">
                  <c:v>2340</c:v>
                </c:pt>
                <c:pt idx="1">
                  <c:v>773.33333333333337</c:v>
                </c:pt>
                <c:pt idx="2">
                  <c:v>1693.3333333333333</c:v>
                </c:pt>
                <c:pt idx="3">
                  <c:v>-223.07692307692307</c:v>
                </c:pt>
                <c:pt idx="4">
                  <c:v>-369.23076923076923</c:v>
                </c:pt>
                <c:pt idx="5">
                  <c:v>-3244.4444444444443</c:v>
                </c:pt>
                <c:pt idx="6">
                  <c:v>-2183.3333333333335</c:v>
                </c:pt>
                <c:pt idx="7">
                  <c:v>1350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217-4323-807F-54B730FB86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松澤亮太!$A$35:$A$47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松澤亮太!$B$35:$B$47</c:f>
              <c:numCache>
                <c:formatCode>0\ "回"</c:formatCode>
                <c:ptCount val="13"/>
                <c:pt idx="0">
                  <c:v>2</c:v>
                </c:pt>
                <c:pt idx="1">
                  <c:v>2</c:v>
                </c:pt>
                <c:pt idx="2">
                  <c:v>6</c:v>
                </c:pt>
                <c:pt idx="3">
                  <c:v>4</c:v>
                </c:pt>
                <c:pt idx="4">
                  <c:v>1</c:v>
                </c:pt>
                <c:pt idx="5">
                  <c:v>5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6B-4F4D-AE27-FE3DB1E159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滝沢悠人!$L$1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滝沢悠人!$K$2:$K$12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滝沢悠人!$L$2:$L$12</c:f>
              <c:numCache>
                <c:formatCode>\+0.0;\-0.0;\±0</c:formatCode>
                <c:ptCount val="11"/>
                <c:pt idx="0">
                  <c:v>0</c:v>
                </c:pt>
                <c:pt idx="1">
                  <c:v>74.900000000000006</c:v>
                </c:pt>
                <c:pt idx="2">
                  <c:v>56.800000000000004</c:v>
                </c:pt>
                <c:pt idx="3">
                  <c:v>-7.4999999999999929</c:v>
                </c:pt>
                <c:pt idx="4">
                  <c:v>-0.89999999999999325</c:v>
                </c:pt>
                <c:pt idx="5">
                  <c:v>-28.499999999999993</c:v>
                </c:pt>
                <c:pt idx="6">
                  <c:v>-82.1</c:v>
                </c:pt>
                <c:pt idx="7">
                  <c:v>-72.199999999999989</c:v>
                </c:pt>
                <c:pt idx="8">
                  <c:v>-19.499999999999986</c:v>
                </c:pt>
                <c:pt idx="9">
                  <c:v>-66.499999999999986</c:v>
                </c:pt>
                <c:pt idx="10">
                  <c:v>-0.69999999999998863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2C0-4D47-BEE7-34BB1A6637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滝沢悠人!$O$1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滝沢悠人!$N$2:$N$9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滝沢悠人!$O$2:$O$9</c:f>
              <c:numCache>
                <c:formatCode>\+0;\-0;\±0</c:formatCode>
                <c:ptCount val="8"/>
                <c:pt idx="0">
                  <c:v>-950</c:v>
                </c:pt>
                <c:pt idx="1">
                  <c:v>1400</c:v>
                </c:pt>
                <c:pt idx="2">
                  <c:v>1840</c:v>
                </c:pt>
                <c:pt idx="3">
                  <c:v>-1220</c:v>
                </c:pt>
                <c:pt idx="4">
                  <c:v>655.55555555555554</c:v>
                </c:pt>
                <c:pt idx="5">
                  <c:v>-2028.5714285714287</c:v>
                </c:pt>
                <c:pt idx="6">
                  <c:v>-1750</c:v>
                </c:pt>
                <c:pt idx="7">
                  <c:v>4900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1AA-4A72-B48B-3BCD4C67FB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滝沢悠人!$A$35:$A$47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滝沢悠人!$B$35:$B$47</c:f>
              <c:numCache>
                <c:formatCode>0\ "回"</c:formatCode>
                <c:ptCount val="13"/>
                <c:pt idx="0">
                  <c:v>2</c:v>
                </c:pt>
                <c:pt idx="1">
                  <c:v>4</c:v>
                </c:pt>
                <c:pt idx="2">
                  <c:v>3</c:v>
                </c:pt>
                <c:pt idx="3">
                  <c:v>1</c:v>
                </c:pt>
                <c:pt idx="4">
                  <c:v>3</c:v>
                </c:pt>
                <c:pt idx="5">
                  <c:v>2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09-4DB7-AA11-9A03933240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大池陸斗!$L$1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大池陸斗!$K$2:$K$11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大池陸斗!$L$2:$L$11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-61.7</c:v>
                </c:pt>
                <c:pt idx="2">
                  <c:v>26.099999999999994</c:v>
                </c:pt>
                <c:pt idx="3">
                  <c:v>81.5</c:v>
                </c:pt>
                <c:pt idx="4">
                  <c:v>65.5</c:v>
                </c:pt>
                <c:pt idx="5">
                  <c:v>124</c:v>
                </c:pt>
                <c:pt idx="6">
                  <c:v>181.8</c:v>
                </c:pt>
                <c:pt idx="7">
                  <c:v>249.8</c:v>
                </c:pt>
                <c:pt idx="8">
                  <c:v>317.39999999999998</c:v>
                </c:pt>
                <c:pt idx="9">
                  <c:v>268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923-43EF-8262-768F79763D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大池陸斗!$O$1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大池陸斗!$N$2:$N$9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大池陸斗!$O$2:$O$9</c:f>
              <c:numCache>
                <c:formatCode>\+0;\-0;\±0</c:formatCode>
                <c:ptCount val="8"/>
                <c:pt idx="0">
                  <c:v>-822.22222222222217</c:v>
                </c:pt>
                <c:pt idx="1">
                  <c:v>2755.5555555555557</c:v>
                </c:pt>
                <c:pt idx="2">
                  <c:v>2855.5555555555557</c:v>
                </c:pt>
                <c:pt idx="3">
                  <c:v>1800</c:v>
                </c:pt>
                <c:pt idx="4">
                  <c:v>3788.8888888888887</c:v>
                </c:pt>
                <c:pt idx="5">
                  <c:v>466.66666666666669</c:v>
                </c:pt>
                <c:pt idx="6">
                  <c:v>-2140</c:v>
                </c:pt>
                <c:pt idx="7">
                  <c:v>-1250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F2D-44EF-9AB6-7D1C9B85CA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大池陸斗!$A$35:$A$47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大池陸斗!$B$35:$B$47</c:f>
              <c:numCache>
                <c:formatCode>0\ "回"</c:formatCode>
                <c:ptCount val="13"/>
                <c:pt idx="0">
                  <c:v>2</c:v>
                </c:pt>
                <c:pt idx="1">
                  <c:v>1</c:v>
                </c:pt>
                <c:pt idx="2">
                  <c:v>4</c:v>
                </c:pt>
                <c:pt idx="3">
                  <c:v>6</c:v>
                </c:pt>
                <c:pt idx="4">
                  <c:v>4</c:v>
                </c:pt>
                <c:pt idx="5">
                  <c:v>4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1B3-4839-96A2-7A305CB58C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百瀬成空!$L$1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百瀬成空!$K$2:$K$10</c:f>
              <c:numCache>
                <c:formatCode>General</c:formatCode>
                <c:ptCount val="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</c:numCache>
            </c:numRef>
          </c:xVal>
          <c:yVal>
            <c:numRef>
              <c:f>百瀬成空!$L$2:$L$10</c:f>
              <c:numCache>
                <c:formatCode>\+0.0;\-0.0;\±0</c:formatCode>
                <c:ptCount val="9"/>
                <c:pt idx="0">
                  <c:v>0</c:v>
                </c:pt>
                <c:pt idx="1">
                  <c:v>-25.1</c:v>
                </c:pt>
                <c:pt idx="2">
                  <c:v>-75.7</c:v>
                </c:pt>
                <c:pt idx="3">
                  <c:v>-14</c:v>
                </c:pt>
                <c:pt idx="4">
                  <c:v>40.700000000000003</c:v>
                </c:pt>
                <c:pt idx="5">
                  <c:v>97</c:v>
                </c:pt>
                <c:pt idx="6">
                  <c:v>50.2</c:v>
                </c:pt>
                <c:pt idx="7">
                  <c:v>59.800000000000004</c:v>
                </c:pt>
                <c:pt idx="8">
                  <c:v>20.300000000000004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41C-435E-8A10-7561074B32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百瀬成空!$O$1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百瀬成空!$N$2:$N$9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百瀬成空!$O$2:$O$9</c:f>
              <c:numCache>
                <c:formatCode>\+0;\-0;\±0</c:formatCode>
                <c:ptCount val="8"/>
                <c:pt idx="0">
                  <c:v>-762.5</c:v>
                </c:pt>
                <c:pt idx="1">
                  <c:v>-975</c:v>
                </c:pt>
                <c:pt idx="2">
                  <c:v>-312.5</c:v>
                </c:pt>
                <c:pt idx="3">
                  <c:v>-1387.5</c:v>
                </c:pt>
                <c:pt idx="4">
                  <c:v>25</c:v>
                </c:pt>
                <c:pt idx="5">
                  <c:v>2957.1428571428573</c:v>
                </c:pt>
                <c:pt idx="6">
                  <c:v>533.33333333333337</c:v>
                </c:pt>
                <c:pt idx="7">
                  <c:v>1233.3333333333333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638-4209-96A9-6D94EDEFD5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百瀬成空!$A$35:$A$47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百瀬成空!$B$35:$B$47</c:f>
              <c:numCache>
                <c:formatCode>0\ "回"</c:formatCode>
                <c:ptCount val="13"/>
                <c:pt idx="0">
                  <c:v>0</c:v>
                </c:pt>
                <c:pt idx="1">
                  <c:v>6</c:v>
                </c:pt>
                <c:pt idx="2">
                  <c:v>5</c:v>
                </c:pt>
                <c:pt idx="3">
                  <c:v>0</c:v>
                </c:pt>
                <c:pt idx="4">
                  <c:v>1</c:v>
                </c:pt>
                <c:pt idx="5">
                  <c:v>3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539-4D7C-9519-A9D0A33503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佐藤成浩!$L$1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佐藤成浩!$K$2:$K$43</c:f>
              <c:numCache>
                <c:formatCode>General</c:formatCode>
                <c:ptCount val="4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</c:numCache>
            </c:numRef>
          </c:xVal>
          <c:yVal>
            <c:numRef>
              <c:f>佐藤成浩!$L$2:$L$43</c:f>
              <c:numCache>
                <c:formatCode>\+0.0;\-0.0;\±0</c:formatCode>
                <c:ptCount val="42"/>
                <c:pt idx="0">
                  <c:v>0</c:v>
                </c:pt>
                <c:pt idx="1">
                  <c:v>-14.2</c:v>
                </c:pt>
                <c:pt idx="2">
                  <c:v>0.60000000000000142</c:v>
                </c:pt>
                <c:pt idx="3">
                  <c:v>-32.299999999999997</c:v>
                </c:pt>
                <c:pt idx="4">
                  <c:v>-23.999999999999996</c:v>
                </c:pt>
                <c:pt idx="5">
                  <c:v>-39</c:v>
                </c:pt>
                <c:pt idx="6">
                  <c:v>43.8</c:v>
                </c:pt>
                <c:pt idx="7">
                  <c:v>95.1</c:v>
                </c:pt>
                <c:pt idx="8">
                  <c:v>77.399999999999991</c:v>
                </c:pt>
                <c:pt idx="9">
                  <c:v>65.899999999999991</c:v>
                </c:pt>
                <c:pt idx="10">
                  <c:v>88.5</c:v>
                </c:pt>
                <c:pt idx="11">
                  <c:v>44</c:v>
                </c:pt>
                <c:pt idx="12">
                  <c:v>97.9</c:v>
                </c:pt>
                <c:pt idx="13">
                  <c:v>168.9</c:v>
                </c:pt>
                <c:pt idx="14">
                  <c:v>181.4</c:v>
                </c:pt>
                <c:pt idx="15">
                  <c:v>233.9</c:v>
                </c:pt>
                <c:pt idx="16">
                  <c:v>290.89999999999998</c:v>
                </c:pt>
                <c:pt idx="17">
                  <c:v>344</c:v>
                </c:pt>
                <c:pt idx="18">
                  <c:v>333.8</c:v>
                </c:pt>
                <c:pt idx="19">
                  <c:v>406.70000000000005</c:v>
                </c:pt>
                <c:pt idx="20">
                  <c:v>418.30000000000007</c:v>
                </c:pt>
                <c:pt idx="21">
                  <c:v>470.30000000000007</c:v>
                </c:pt>
                <c:pt idx="22">
                  <c:v>422.90000000000009</c:v>
                </c:pt>
                <c:pt idx="23">
                  <c:v>483.30000000000007</c:v>
                </c:pt>
                <c:pt idx="24">
                  <c:v>487.50000000000006</c:v>
                </c:pt>
                <c:pt idx="25">
                  <c:v>464.20000000000005</c:v>
                </c:pt>
                <c:pt idx="26">
                  <c:v>532.30000000000007</c:v>
                </c:pt>
                <c:pt idx="27">
                  <c:v>522.80000000000007</c:v>
                </c:pt>
                <c:pt idx="28">
                  <c:v>530.50000000000011</c:v>
                </c:pt>
                <c:pt idx="29">
                  <c:v>485.7000000000001</c:v>
                </c:pt>
                <c:pt idx="30">
                  <c:v>577.00000000000011</c:v>
                </c:pt>
                <c:pt idx="31">
                  <c:v>669.20000000000016</c:v>
                </c:pt>
                <c:pt idx="32">
                  <c:v>610.80000000000018</c:v>
                </c:pt>
                <c:pt idx="33">
                  <c:v>607.60000000000014</c:v>
                </c:pt>
                <c:pt idx="34">
                  <c:v>613.90000000000009</c:v>
                </c:pt>
                <c:pt idx="35">
                  <c:v>673.7</c:v>
                </c:pt>
                <c:pt idx="36">
                  <c:v>672.80000000000007</c:v>
                </c:pt>
                <c:pt idx="37">
                  <c:v>618.6</c:v>
                </c:pt>
                <c:pt idx="38">
                  <c:v>605.9</c:v>
                </c:pt>
                <c:pt idx="39">
                  <c:v>618.4</c:v>
                </c:pt>
                <c:pt idx="40">
                  <c:v>633.29999999999995</c:v>
                </c:pt>
                <c:pt idx="41">
                  <c:v>584.79999999999995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CAB-407A-9E56-B6DE9AC7FE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佐藤成浩!$O$1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佐藤成浩!$N$2:$N$9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佐藤成浩!$O$2:$O$9</c:f>
              <c:numCache>
                <c:formatCode>\+0;\-0;\±0</c:formatCode>
                <c:ptCount val="8"/>
                <c:pt idx="0">
                  <c:v>778.04878048780483</c:v>
                </c:pt>
                <c:pt idx="1">
                  <c:v>1487.8048780487804</c:v>
                </c:pt>
                <c:pt idx="2">
                  <c:v>1520</c:v>
                </c:pt>
                <c:pt idx="3">
                  <c:v>944.44444444444446</c:v>
                </c:pt>
                <c:pt idx="4">
                  <c:v>1212</c:v>
                </c:pt>
                <c:pt idx="5">
                  <c:v>1741.1764705882354</c:v>
                </c:pt>
                <c:pt idx="6">
                  <c:v>891.66666666666663</c:v>
                </c:pt>
                <c:pt idx="7">
                  <c:v>-1520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8F1-4E0E-B667-2FC0BC1A79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佐藤成浩!$A$35:$A$47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佐藤成浩!$B$35:$B$47</c:f>
              <c:numCache>
                <c:formatCode>0\ "回"</c:formatCode>
                <c:ptCount val="13"/>
                <c:pt idx="0">
                  <c:v>2</c:v>
                </c:pt>
                <c:pt idx="1">
                  <c:v>13</c:v>
                </c:pt>
                <c:pt idx="2">
                  <c:v>14</c:v>
                </c:pt>
                <c:pt idx="3">
                  <c:v>21</c:v>
                </c:pt>
                <c:pt idx="4">
                  <c:v>5</c:v>
                </c:pt>
                <c:pt idx="5">
                  <c:v>10</c:v>
                </c:pt>
                <c:pt idx="6">
                  <c:v>4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B20-4BF0-B862-6692958BF6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依田幸憲!$L$1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依田幸憲!$K$2:$K$6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依田幸憲!$L$2:$L$6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-60.9</c:v>
                </c:pt>
                <c:pt idx="2">
                  <c:v>-57.199999999999996</c:v>
                </c:pt>
                <c:pt idx="3">
                  <c:v>-87.199999999999989</c:v>
                </c:pt>
                <c:pt idx="4">
                  <c:v>-127.99999999999999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BB4-4CC8-AB09-1D6D57CF38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依田幸憲!$O$1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依田幸憲!$N$2:$N$9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依田幸憲!$O$2:$O$9</c:f>
              <c:numCache>
                <c:formatCode>\+0;\-0;\±0</c:formatCode>
                <c:ptCount val="8"/>
                <c:pt idx="0">
                  <c:v>-5325</c:v>
                </c:pt>
                <c:pt idx="1">
                  <c:v>0</c:v>
                </c:pt>
                <c:pt idx="2">
                  <c:v>-5825</c:v>
                </c:pt>
                <c:pt idx="3">
                  <c:v>-600</c:v>
                </c:pt>
                <c:pt idx="4">
                  <c:v>-3333.3333333333335</c:v>
                </c:pt>
                <c:pt idx="5">
                  <c:v>-2250</c:v>
                </c:pt>
                <c:pt idx="6">
                  <c:v>6000</c:v>
                </c:pt>
                <c:pt idx="7">
                  <c:v>1500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842-47A6-8947-5066B4BF47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依田幸憲!$A$35:$A$47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依田幸憲!$B$35:$B$47</c:f>
              <c:numCache>
                <c:formatCode>0\ "回"</c:formatCode>
                <c:ptCount val="13"/>
                <c:pt idx="0">
                  <c:v>2</c:v>
                </c:pt>
                <c:pt idx="1">
                  <c:v>3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577-430A-8F16-F2AB233806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保谷一貴!$L$1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保谷一貴!$K$2:$K$3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保谷一貴!$L$2:$L$3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850-4C61-B081-2485D035DD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保谷一貴!$O$1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保谷一貴!$N$2:$N$9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保谷一貴!$O$2:$O$9</c:f>
              <c:numCache>
                <c:formatCode>\+0;\-0;\±0</c:formatCode>
                <c:ptCount val="8"/>
                <c:pt idx="0">
                  <c:v>-2500</c:v>
                </c:pt>
                <c:pt idx="1">
                  <c:v>13000</c:v>
                </c:pt>
                <c:pt idx="2">
                  <c:v>-6000</c:v>
                </c:pt>
                <c:pt idx="3">
                  <c:v>4500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90C-4803-BE32-A7637D7239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保谷一貴!$A$35:$A$47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保谷一貴!$B$35:$B$47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A74-4948-BF35-111F72BF2C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高野源太!$L$1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高野源太!$K$2:$K$20</c:f>
              <c:numCache>
                <c:formatCode>General</c:formatCode>
                <c:ptCount val="1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</c:numCache>
            </c:numRef>
          </c:xVal>
          <c:yVal>
            <c:numRef>
              <c:f>高野源太!$L$2:$L$20</c:f>
              <c:numCache>
                <c:formatCode>\+0.0;\-0.0;\±0</c:formatCode>
                <c:ptCount val="19"/>
                <c:pt idx="0">
                  <c:v>0</c:v>
                </c:pt>
                <c:pt idx="1">
                  <c:v>61.1</c:v>
                </c:pt>
                <c:pt idx="2">
                  <c:v>117.7</c:v>
                </c:pt>
                <c:pt idx="3">
                  <c:v>130.9</c:v>
                </c:pt>
                <c:pt idx="4">
                  <c:v>67.600000000000009</c:v>
                </c:pt>
                <c:pt idx="5">
                  <c:v>127.9</c:v>
                </c:pt>
                <c:pt idx="6">
                  <c:v>81.5</c:v>
                </c:pt>
                <c:pt idx="7">
                  <c:v>49.4</c:v>
                </c:pt>
                <c:pt idx="8">
                  <c:v>3.2999999999999972</c:v>
                </c:pt>
                <c:pt idx="9">
                  <c:v>66.199999999999989</c:v>
                </c:pt>
                <c:pt idx="10">
                  <c:v>56.099999999999987</c:v>
                </c:pt>
                <c:pt idx="11">
                  <c:v>109.69999999999999</c:v>
                </c:pt>
                <c:pt idx="12">
                  <c:v>195.29999999999998</c:v>
                </c:pt>
                <c:pt idx="13">
                  <c:v>136.29999999999998</c:v>
                </c:pt>
                <c:pt idx="14">
                  <c:v>144.69999999999999</c:v>
                </c:pt>
                <c:pt idx="15">
                  <c:v>160.29999999999998</c:v>
                </c:pt>
                <c:pt idx="16">
                  <c:v>136.1</c:v>
                </c:pt>
                <c:pt idx="17">
                  <c:v>199.89999999999998</c:v>
                </c:pt>
                <c:pt idx="18">
                  <c:v>154.39999999999998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446-48C0-9216-D2F6D91862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高野源太!$O$1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高野源太!$N$2:$N$9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高野源太!$O$2:$O$9</c:f>
              <c:numCache>
                <c:formatCode>\+0;\-0;\±0</c:formatCode>
                <c:ptCount val="8"/>
                <c:pt idx="0">
                  <c:v>-38.888888888888886</c:v>
                </c:pt>
                <c:pt idx="1">
                  <c:v>-2133.3333333333335</c:v>
                </c:pt>
                <c:pt idx="2">
                  <c:v>855.55555555555554</c:v>
                </c:pt>
                <c:pt idx="3">
                  <c:v>2082.3529411764707</c:v>
                </c:pt>
                <c:pt idx="4">
                  <c:v>268.75</c:v>
                </c:pt>
                <c:pt idx="5">
                  <c:v>2930.7692307692309</c:v>
                </c:pt>
                <c:pt idx="6">
                  <c:v>-1033.3333333333333</c:v>
                </c:pt>
                <c:pt idx="7">
                  <c:v>-850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F25-41A0-95BE-769F81F6BD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高野源太!$A$35:$A$47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高野源太!$B$35:$B$47</c:f>
              <c:numCache>
                <c:formatCode>0\ "回"</c:formatCode>
                <c:ptCount val="13"/>
                <c:pt idx="0">
                  <c:v>8</c:v>
                </c:pt>
                <c:pt idx="1">
                  <c:v>7</c:v>
                </c:pt>
                <c:pt idx="2">
                  <c:v>10</c:v>
                </c:pt>
                <c:pt idx="3">
                  <c:v>10</c:v>
                </c:pt>
                <c:pt idx="4">
                  <c:v>3</c:v>
                </c:pt>
                <c:pt idx="5">
                  <c:v>4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049-4E3A-806C-2C9A3DC415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矢ヶ崎健!$L$1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矢ヶ崎健!$K$2:$K$4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矢ヶ崎健!$L$2:$L$4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13.6</c:v>
                </c:pt>
                <c:pt idx="2">
                  <c:v>-2.2000000000000011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5B2-42FD-BE6A-BC6729DF6B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矢ヶ崎健!$O$1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矢ヶ崎健!$N$2:$N$9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矢ヶ崎健!$O$2:$O$9</c:f>
              <c:numCache>
                <c:formatCode>\+0;\-0;\±0</c:formatCode>
                <c:ptCount val="8"/>
                <c:pt idx="0">
                  <c:v>-3750</c:v>
                </c:pt>
                <c:pt idx="1">
                  <c:v>-750</c:v>
                </c:pt>
                <c:pt idx="2">
                  <c:v>5150</c:v>
                </c:pt>
                <c:pt idx="3">
                  <c:v>2450</c:v>
                </c:pt>
                <c:pt idx="4">
                  <c:v>-500</c:v>
                </c:pt>
                <c:pt idx="5">
                  <c:v>-3250</c:v>
                </c:pt>
                <c:pt idx="6">
                  <c:v>13000</c:v>
                </c:pt>
                <c:pt idx="7">
                  <c:v>-3900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1AF-4D4C-884C-C11128BE7C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矢ヶ崎健!$A$35:$A$47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矢ヶ崎健!$B$35:$B$47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AE9-4FD6-8573-0A492C2BAA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小林郁斗!$L$1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小林郁斗!$K$2:$K$4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小林郁斗!$L$2:$L$4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62.5</c:v>
                </c:pt>
                <c:pt idx="2">
                  <c:v>3.8999999999999986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F86-42BC-9DAC-D0F2408C8D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小林郁斗!$O$1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小林郁斗!$N$2:$N$9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小林郁斗!$O$2:$O$9</c:f>
              <c:numCache>
                <c:formatCode>\+0;\-0;\±0</c:formatCode>
                <c:ptCount val="8"/>
                <c:pt idx="0">
                  <c:v>4450</c:v>
                </c:pt>
                <c:pt idx="1">
                  <c:v>-1300</c:v>
                </c:pt>
                <c:pt idx="2">
                  <c:v>-2450</c:v>
                </c:pt>
                <c:pt idx="3">
                  <c:v>-4500</c:v>
                </c:pt>
                <c:pt idx="4">
                  <c:v>0</c:v>
                </c:pt>
                <c:pt idx="5">
                  <c:v>-2500</c:v>
                </c:pt>
                <c:pt idx="6">
                  <c:v>3500</c:v>
                </c:pt>
                <c:pt idx="7">
                  <c:v>-500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0D7-4621-9B6E-39C462E8DB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小林郁斗!$A$35:$A$47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小林郁斗!$B$35:$B$47</c:f>
              <c:numCache>
                <c:formatCode>0\ "回"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1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32D-48C6-B991-6D07FEA763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木角有希!$L$1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木角有希!$K$2:$K$3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木角有希!$L$2:$L$3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-52.6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4FB-49BB-AD63-1051E2329F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木角有希!$O$1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木角有希!$N$2:$N$9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木角有希!$O$2:$O$9</c:f>
              <c:numCache>
                <c:formatCode>\+0;\-0;\±0</c:formatCode>
                <c:ptCount val="8"/>
                <c:pt idx="0">
                  <c:v>-1500</c:v>
                </c:pt>
                <c:pt idx="1">
                  <c:v>-8600</c:v>
                </c:pt>
                <c:pt idx="2">
                  <c:v>0</c:v>
                </c:pt>
                <c:pt idx="3">
                  <c:v>-5200</c:v>
                </c:pt>
                <c:pt idx="4">
                  <c:v>-2000</c:v>
                </c:pt>
                <c:pt idx="5">
                  <c:v>-300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747-42E4-8FAE-57ED252B56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木角有希!$A$35:$A$47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木角有希!$B$35:$B$47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A75-4CCF-A21F-50FC5BA3C7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福澤大地!$L$1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福澤大地!$K$2:$K$18</c:f>
              <c:numCache>
                <c:formatCode>General</c:formatCode>
                <c:ptCount val="1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</c:numCache>
            </c:numRef>
          </c:xVal>
          <c:yVal>
            <c:numRef>
              <c:f>福澤大地!$L$2:$L$18</c:f>
              <c:numCache>
                <c:formatCode>\+0.0;\-0.0;\±0</c:formatCode>
                <c:ptCount val="17"/>
                <c:pt idx="0">
                  <c:v>0</c:v>
                </c:pt>
                <c:pt idx="1">
                  <c:v>55.2</c:v>
                </c:pt>
                <c:pt idx="2">
                  <c:v>33.700000000000003</c:v>
                </c:pt>
                <c:pt idx="3">
                  <c:v>42.5</c:v>
                </c:pt>
                <c:pt idx="4">
                  <c:v>43.3</c:v>
                </c:pt>
                <c:pt idx="5">
                  <c:v>22.9</c:v>
                </c:pt>
                <c:pt idx="6">
                  <c:v>53.5</c:v>
                </c:pt>
                <c:pt idx="7">
                  <c:v>31.1</c:v>
                </c:pt>
                <c:pt idx="8">
                  <c:v>87.1</c:v>
                </c:pt>
                <c:pt idx="9">
                  <c:v>25.699999999999996</c:v>
                </c:pt>
                <c:pt idx="10">
                  <c:v>36.199999999999996</c:v>
                </c:pt>
                <c:pt idx="11">
                  <c:v>41.8</c:v>
                </c:pt>
                <c:pt idx="12">
                  <c:v>16.299999999999997</c:v>
                </c:pt>
                <c:pt idx="13">
                  <c:v>-31.800000000000004</c:v>
                </c:pt>
                <c:pt idx="14">
                  <c:v>41.4</c:v>
                </c:pt>
                <c:pt idx="15">
                  <c:v>-11</c:v>
                </c:pt>
                <c:pt idx="16">
                  <c:v>-34.6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DC3-4BE3-A4A3-2A9E893B46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福澤大地!$O$1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福澤大地!$N$2:$N$9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福澤大地!$O$2:$O$9</c:f>
              <c:numCache>
                <c:formatCode>\+0;\-0;\±0</c:formatCode>
                <c:ptCount val="8"/>
                <c:pt idx="0">
                  <c:v>475</c:v>
                </c:pt>
                <c:pt idx="1">
                  <c:v>887.5</c:v>
                </c:pt>
                <c:pt idx="2">
                  <c:v>-3662.5</c:v>
                </c:pt>
                <c:pt idx="3">
                  <c:v>650</c:v>
                </c:pt>
                <c:pt idx="4">
                  <c:v>1346.1538461538462</c:v>
                </c:pt>
                <c:pt idx="5">
                  <c:v>-2890</c:v>
                </c:pt>
                <c:pt idx="6">
                  <c:v>512.5</c:v>
                </c:pt>
                <c:pt idx="7">
                  <c:v>200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4BE-4818-9C21-D28A2BDEA1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福澤大地!$A$35:$A$47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福澤大地!$B$35:$B$47</c:f>
              <c:numCache>
                <c:formatCode>0\ "回"</c:formatCode>
                <c:ptCount val="13"/>
                <c:pt idx="0">
                  <c:v>6</c:v>
                </c:pt>
                <c:pt idx="1">
                  <c:v>7</c:v>
                </c:pt>
                <c:pt idx="2">
                  <c:v>8</c:v>
                </c:pt>
                <c:pt idx="3">
                  <c:v>5</c:v>
                </c:pt>
                <c:pt idx="4">
                  <c:v>4</c:v>
                </c:pt>
                <c:pt idx="5">
                  <c:v>0</c:v>
                </c:pt>
                <c:pt idx="6">
                  <c:v>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5FF-4C9F-92C3-EF97A244A7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髙橋桜!$L$1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髙橋桜!$K$2:$K$4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髙橋桜!$L$2:$L$4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-45.9</c:v>
                </c:pt>
                <c:pt idx="2">
                  <c:v>-97.4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DC8-43DD-81D6-2FF1FE0996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髙橋桜!$O$1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髙橋桜!$N$2:$N$9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髙橋桜!$O$2:$O$9</c:f>
              <c:numCache>
                <c:formatCode>\+0;\-0;\±0</c:formatCode>
                <c:ptCount val="8"/>
                <c:pt idx="0">
                  <c:v>-4400</c:v>
                </c:pt>
                <c:pt idx="1">
                  <c:v>-250</c:v>
                </c:pt>
                <c:pt idx="2">
                  <c:v>-550</c:v>
                </c:pt>
                <c:pt idx="3">
                  <c:v>-2000</c:v>
                </c:pt>
                <c:pt idx="4">
                  <c:v>0</c:v>
                </c:pt>
                <c:pt idx="5">
                  <c:v>-1000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780-4CEF-B4AD-9CC536E4EF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髙橋桜!$A$35:$A$47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髙橋桜!$B$35:$B$47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03-4E89-AD18-E88ADA76ED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多田洋輔!$L$1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多田洋輔!$K$2:$K$16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xVal>
          <c:yVal>
            <c:numRef>
              <c:f>多田洋輔!$L$2:$L$16</c:f>
              <c:numCache>
                <c:formatCode>\+0.0;\-0.0;\±0</c:formatCode>
                <c:ptCount val="15"/>
                <c:pt idx="0">
                  <c:v>0</c:v>
                </c:pt>
                <c:pt idx="1">
                  <c:v>-15.4</c:v>
                </c:pt>
                <c:pt idx="2">
                  <c:v>-47.5</c:v>
                </c:pt>
                <c:pt idx="3">
                  <c:v>-16.899999999999999</c:v>
                </c:pt>
                <c:pt idx="4">
                  <c:v>-6.1999999999999993</c:v>
                </c:pt>
                <c:pt idx="5">
                  <c:v>4.1000000000000014</c:v>
                </c:pt>
                <c:pt idx="6">
                  <c:v>70</c:v>
                </c:pt>
                <c:pt idx="7">
                  <c:v>62.4</c:v>
                </c:pt>
                <c:pt idx="8">
                  <c:v>70</c:v>
                </c:pt>
                <c:pt idx="9">
                  <c:v>87.3</c:v>
                </c:pt>
                <c:pt idx="10">
                  <c:v>67.699999999999989</c:v>
                </c:pt>
                <c:pt idx="11">
                  <c:v>140.19999999999999</c:v>
                </c:pt>
                <c:pt idx="12">
                  <c:v>143.79999999999998</c:v>
                </c:pt>
                <c:pt idx="13">
                  <c:v>78.299999999999983</c:v>
                </c:pt>
                <c:pt idx="14">
                  <c:v>79.299999999999983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B5B-4AE6-A296-61799946C9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多田洋輔!$O$1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多田洋輔!$N$2:$N$9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多田洋輔!$O$2:$O$9</c:f>
              <c:numCache>
                <c:formatCode>\+0;\-0;\±0</c:formatCode>
                <c:ptCount val="8"/>
                <c:pt idx="0">
                  <c:v>-814.28571428571433</c:v>
                </c:pt>
                <c:pt idx="1">
                  <c:v>-371.42857142857144</c:v>
                </c:pt>
                <c:pt idx="2">
                  <c:v>907.14285714285711</c:v>
                </c:pt>
                <c:pt idx="3">
                  <c:v>2528.5714285714284</c:v>
                </c:pt>
                <c:pt idx="4">
                  <c:v>-527.27272727272725</c:v>
                </c:pt>
                <c:pt idx="5">
                  <c:v>-842.85714285714289</c:v>
                </c:pt>
                <c:pt idx="6">
                  <c:v>250</c:v>
                </c:pt>
                <c:pt idx="7">
                  <c:v>-666.66666666666663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3C8-4EA0-B06D-43630094E7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多田洋輔!$A$35:$A$47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多田洋輔!$B$35:$B$47</c:f>
              <c:numCache>
                <c:formatCode>0\ "回"</c:formatCode>
                <c:ptCount val="13"/>
                <c:pt idx="0">
                  <c:v>3</c:v>
                </c:pt>
                <c:pt idx="1">
                  <c:v>5</c:v>
                </c:pt>
                <c:pt idx="2">
                  <c:v>4</c:v>
                </c:pt>
                <c:pt idx="3">
                  <c:v>5</c:v>
                </c:pt>
                <c:pt idx="4">
                  <c:v>2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C55-4B8F-B03D-2E9DC9FA26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柳澤颯吾!$L$1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柳澤颯吾!$K$2:$K$41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xVal>
          <c:yVal>
            <c:numRef>
              <c:f>柳澤颯吾!$L$2:$L$41</c:f>
              <c:numCache>
                <c:formatCode>\+0.0;\-0.0;\±0</c:formatCode>
                <c:ptCount val="40"/>
                <c:pt idx="0">
                  <c:v>0</c:v>
                </c:pt>
                <c:pt idx="1">
                  <c:v>-21.3</c:v>
                </c:pt>
                <c:pt idx="2">
                  <c:v>-12.200000000000001</c:v>
                </c:pt>
                <c:pt idx="3">
                  <c:v>-68.400000000000006</c:v>
                </c:pt>
                <c:pt idx="4">
                  <c:v>-96.4</c:v>
                </c:pt>
                <c:pt idx="5">
                  <c:v>-160.60000000000002</c:v>
                </c:pt>
                <c:pt idx="6">
                  <c:v>-199.10000000000002</c:v>
                </c:pt>
                <c:pt idx="7">
                  <c:v>-223.60000000000002</c:v>
                </c:pt>
                <c:pt idx="8">
                  <c:v>-219.50000000000003</c:v>
                </c:pt>
                <c:pt idx="9">
                  <c:v>-244.40000000000003</c:v>
                </c:pt>
                <c:pt idx="10">
                  <c:v>-239.90000000000003</c:v>
                </c:pt>
                <c:pt idx="11">
                  <c:v>-300.00000000000006</c:v>
                </c:pt>
                <c:pt idx="12">
                  <c:v>-290.00000000000006</c:v>
                </c:pt>
                <c:pt idx="13">
                  <c:v>-302.70000000000005</c:v>
                </c:pt>
                <c:pt idx="14">
                  <c:v>-325.60000000000002</c:v>
                </c:pt>
                <c:pt idx="15">
                  <c:v>-343</c:v>
                </c:pt>
                <c:pt idx="16">
                  <c:v>-275</c:v>
                </c:pt>
                <c:pt idx="17">
                  <c:v>-298.60000000000002</c:v>
                </c:pt>
                <c:pt idx="18">
                  <c:v>-245.20000000000002</c:v>
                </c:pt>
                <c:pt idx="19">
                  <c:v>-262.40000000000003</c:v>
                </c:pt>
                <c:pt idx="20">
                  <c:v>-195.10000000000002</c:v>
                </c:pt>
                <c:pt idx="21">
                  <c:v>-205.40000000000003</c:v>
                </c:pt>
                <c:pt idx="22">
                  <c:v>-249.60000000000002</c:v>
                </c:pt>
                <c:pt idx="23">
                  <c:v>-280</c:v>
                </c:pt>
                <c:pt idx="24">
                  <c:v>-195.8</c:v>
                </c:pt>
                <c:pt idx="25">
                  <c:v>-110.30000000000001</c:v>
                </c:pt>
                <c:pt idx="26">
                  <c:v>-49.100000000000009</c:v>
                </c:pt>
                <c:pt idx="27">
                  <c:v>35.999999999999986</c:v>
                </c:pt>
                <c:pt idx="28">
                  <c:v>97.299999999999983</c:v>
                </c:pt>
                <c:pt idx="29">
                  <c:v>82.899999999999977</c:v>
                </c:pt>
                <c:pt idx="30">
                  <c:v>64.999999999999972</c:v>
                </c:pt>
                <c:pt idx="31">
                  <c:v>91.399999999999977</c:v>
                </c:pt>
                <c:pt idx="32">
                  <c:v>154.39999999999998</c:v>
                </c:pt>
                <c:pt idx="33">
                  <c:v>92.399999999999977</c:v>
                </c:pt>
                <c:pt idx="34">
                  <c:v>107.19999999999997</c:v>
                </c:pt>
                <c:pt idx="35">
                  <c:v>157.89999999999998</c:v>
                </c:pt>
                <c:pt idx="36">
                  <c:v>175.39999999999998</c:v>
                </c:pt>
                <c:pt idx="37">
                  <c:v>237.79999999999998</c:v>
                </c:pt>
                <c:pt idx="38">
                  <c:v>256.5</c:v>
                </c:pt>
                <c:pt idx="39">
                  <c:v>236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4F4-4889-AB16-05787DAEB8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柳澤颯吾!$O$1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柳澤颯吾!$N$2:$N$9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柳澤颯吾!$O$2:$O$9</c:f>
              <c:numCache>
                <c:formatCode>\+0;\-0;\±0</c:formatCode>
                <c:ptCount val="8"/>
                <c:pt idx="0">
                  <c:v>1184.6153846153845</c:v>
                </c:pt>
                <c:pt idx="1">
                  <c:v>930.76923076923072</c:v>
                </c:pt>
                <c:pt idx="2">
                  <c:v>750</c:v>
                </c:pt>
                <c:pt idx="3">
                  <c:v>138.23529411764707</c:v>
                </c:pt>
                <c:pt idx="4">
                  <c:v>252.38095238095238</c:v>
                </c:pt>
                <c:pt idx="5">
                  <c:v>-1466.6666666666667</c:v>
                </c:pt>
                <c:pt idx="6">
                  <c:v>-437.5</c:v>
                </c:pt>
                <c:pt idx="7">
                  <c:v>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600-459F-BB27-18950C2369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柳澤颯吾!$A$35:$A$47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柳澤颯吾!$B$35:$B$47</c:f>
              <c:numCache>
                <c:formatCode>0\ "回"</c:formatCode>
                <c:ptCount val="13"/>
                <c:pt idx="0">
                  <c:v>6</c:v>
                </c:pt>
                <c:pt idx="1">
                  <c:v>19</c:v>
                </c:pt>
                <c:pt idx="2">
                  <c:v>23</c:v>
                </c:pt>
                <c:pt idx="3">
                  <c:v>6</c:v>
                </c:pt>
                <c:pt idx="4">
                  <c:v>11</c:v>
                </c:pt>
                <c:pt idx="5">
                  <c:v>8</c:v>
                </c:pt>
                <c:pt idx="6">
                  <c:v>4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791-4FD1-9F7C-593D98894A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石澤巧望!$L$1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石澤巧望!$K$2:$K$3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石澤巧望!$L$2:$L$3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-27.1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017-4560-8599-A0C4824942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石澤巧望!$O$1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石澤巧望!$N$2:$N$9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石澤巧望!$O$2:$O$9</c:f>
              <c:numCache>
                <c:formatCode>\+0;\-0;\±0</c:formatCode>
                <c:ptCount val="8"/>
                <c:pt idx="0">
                  <c:v>-6000</c:v>
                </c:pt>
                <c:pt idx="1">
                  <c:v>-4600</c:v>
                </c:pt>
                <c:pt idx="2">
                  <c:v>1000</c:v>
                </c:pt>
                <c:pt idx="3">
                  <c:v>-1000</c:v>
                </c:pt>
                <c:pt idx="4">
                  <c:v>-1500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653-4512-9290-AA06796EC1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石澤巧望!$A$35:$A$47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石澤巧望!$B$35:$B$47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02-47CB-80AF-DE57F956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川上翔大!$L$1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川上翔大!$K$2:$K$7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川上翔大!$L$2:$L$7</c:f>
              <c:numCache>
                <c:formatCode>\+0.0;\-0.0;\±0</c:formatCode>
                <c:ptCount val="6"/>
                <c:pt idx="0">
                  <c:v>0</c:v>
                </c:pt>
                <c:pt idx="1">
                  <c:v>-15</c:v>
                </c:pt>
                <c:pt idx="2">
                  <c:v>-43.9</c:v>
                </c:pt>
                <c:pt idx="3">
                  <c:v>-85.199999999999989</c:v>
                </c:pt>
                <c:pt idx="4">
                  <c:v>-144.19999999999999</c:v>
                </c:pt>
                <c:pt idx="5">
                  <c:v>-161.39999999999998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481-424A-8412-2317A39984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川上翔大!$O$1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川上翔大!$N$2:$N$9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川上翔大!$O$2:$O$9</c:f>
              <c:numCache>
                <c:formatCode>\+0;\-0;\±0</c:formatCode>
                <c:ptCount val="8"/>
                <c:pt idx="0">
                  <c:v>-1560</c:v>
                </c:pt>
                <c:pt idx="1">
                  <c:v>-2160</c:v>
                </c:pt>
                <c:pt idx="2">
                  <c:v>-3860</c:v>
                </c:pt>
                <c:pt idx="3">
                  <c:v>-1740</c:v>
                </c:pt>
                <c:pt idx="4">
                  <c:v>-866.66666666666663</c:v>
                </c:pt>
                <c:pt idx="5">
                  <c:v>-2600</c:v>
                </c:pt>
                <c:pt idx="6">
                  <c:v>0</c:v>
                </c:pt>
                <c:pt idx="7">
                  <c:v>8000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48-4432-AD19-357F19D5C3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川上翔大!$A$35:$A$47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川上翔大!$B$35:$B$47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548-4073-BBD4-81E1A27B1A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北沢蓮太郎!$L$1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北沢蓮太郎!$K$2:$K$4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北沢蓮太郎!$L$2:$L$4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-46.5</c:v>
                </c:pt>
                <c:pt idx="2">
                  <c:v>-105.9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F36-49A5-9331-D66FBDC594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北沢蓮太郎!$O$1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北沢蓮太郎!$N$2:$N$9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北沢蓮太郎!$O$2:$O$9</c:f>
              <c:numCache>
                <c:formatCode>\+0;\-0;\±0</c:formatCode>
                <c:ptCount val="8"/>
                <c:pt idx="0">
                  <c:v>1050</c:v>
                </c:pt>
                <c:pt idx="1">
                  <c:v>-3050</c:v>
                </c:pt>
                <c:pt idx="2">
                  <c:v>-3000</c:v>
                </c:pt>
                <c:pt idx="3">
                  <c:v>-12950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4EF-45ED-82A9-A15B164D69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北沢蓮太郎!$A$35:$A$47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北沢蓮太郎!$B$35:$B$47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FCC-41F4-9743-B1D1740B40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市川大智!$L$1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市川大智!$K$2:$K$6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市川大智!$L$2:$L$6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-18</c:v>
                </c:pt>
                <c:pt idx="2">
                  <c:v>7</c:v>
                </c:pt>
                <c:pt idx="3">
                  <c:v>63.9</c:v>
                </c:pt>
                <c:pt idx="4">
                  <c:v>141.1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AB5-4238-BB55-512C5EDED0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市川大智!$O$1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市川大智!$N$2:$N$9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市川大智!$O$2:$O$9</c:f>
              <c:numCache>
                <c:formatCode>\+0;\-0;\±0</c:formatCode>
                <c:ptCount val="8"/>
                <c:pt idx="0">
                  <c:v>125</c:v>
                </c:pt>
                <c:pt idx="1">
                  <c:v>950</c:v>
                </c:pt>
                <c:pt idx="2">
                  <c:v>3650</c:v>
                </c:pt>
                <c:pt idx="3">
                  <c:v>-700</c:v>
                </c:pt>
                <c:pt idx="4">
                  <c:v>3650</c:v>
                </c:pt>
                <c:pt idx="5">
                  <c:v>33000</c:v>
                </c:pt>
                <c:pt idx="6">
                  <c:v>4000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6E9-4D8C-B443-88BE5D398C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市川大智!$A$35:$A$47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市川大智!$B$35:$B$47</c:f>
              <c:numCache>
                <c:formatCode>0\ "回"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1</c:v>
                </c:pt>
                <c:pt idx="4">
                  <c:v>2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58E-4F5B-AF3B-6EFE3E1C38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中川弘崇!$L$1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中川弘崇!$K$2:$K$5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中川弘崇!$L$2:$L$5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-53.1</c:v>
                </c:pt>
                <c:pt idx="2">
                  <c:v>-82.4</c:v>
                </c:pt>
                <c:pt idx="3">
                  <c:v>-132.69999999999999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48A-444B-8E1C-7CB947B9A9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中川弘崇!$O$1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中川弘崇!$N$2:$N$9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中川弘崇!$O$2:$O$9</c:f>
              <c:numCache>
                <c:formatCode>\+0;\-0;\±0</c:formatCode>
                <c:ptCount val="8"/>
                <c:pt idx="0">
                  <c:v>-1833.3333333333333</c:v>
                </c:pt>
                <c:pt idx="1">
                  <c:v>166.66666666666666</c:v>
                </c:pt>
                <c:pt idx="2">
                  <c:v>-833.33333333333337</c:v>
                </c:pt>
                <c:pt idx="3">
                  <c:v>-7633.333333333333</c:v>
                </c:pt>
                <c:pt idx="4">
                  <c:v>-1700</c:v>
                </c:pt>
                <c:pt idx="5">
                  <c:v>-4000</c:v>
                </c:pt>
                <c:pt idx="6">
                  <c:v>-2950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9DC-457B-AC27-4F205141C9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中川弘崇!$A$35:$A$47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中川弘崇!$B$35:$B$47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323-4CA8-B3C9-D3989ABF94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阿部圭太朗!$L$1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阿部圭太朗!$K$2:$K$12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阿部圭太朗!$L$2:$L$12</c:f>
              <c:numCache>
                <c:formatCode>\+0.0;\-0.0;\±0</c:formatCode>
                <c:ptCount val="11"/>
                <c:pt idx="0">
                  <c:v>0</c:v>
                </c:pt>
                <c:pt idx="1">
                  <c:v>-19.5</c:v>
                </c:pt>
                <c:pt idx="2">
                  <c:v>-12.1</c:v>
                </c:pt>
                <c:pt idx="3">
                  <c:v>-2.5999999999999996</c:v>
                </c:pt>
                <c:pt idx="4">
                  <c:v>0</c:v>
                </c:pt>
                <c:pt idx="5">
                  <c:v>-54.9</c:v>
                </c:pt>
                <c:pt idx="6">
                  <c:v>-98</c:v>
                </c:pt>
                <c:pt idx="7">
                  <c:v>-93</c:v>
                </c:pt>
                <c:pt idx="8">
                  <c:v>-78.2</c:v>
                </c:pt>
                <c:pt idx="9">
                  <c:v>-99.300000000000011</c:v>
                </c:pt>
                <c:pt idx="10">
                  <c:v>-116.70000000000002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C7-4FA4-AE75-7039E69759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阿部圭太朗!$O$1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阿部圭太朗!$N$2:$N$9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阿部圭太朗!$O$2:$O$9</c:f>
              <c:numCache>
                <c:formatCode>\+0;\-0;\±0</c:formatCode>
                <c:ptCount val="8"/>
                <c:pt idx="0">
                  <c:v>1530</c:v>
                </c:pt>
                <c:pt idx="1">
                  <c:v>160</c:v>
                </c:pt>
                <c:pt idx="2">
                  <c:v>-1340</c:v>
                </c:pt>
                <c:pt idx="3">
                  <c:v>-3222.2222222222222</c:v>
                </c:pt>
                <c:pt idx="4">
                  <c:v>-300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243-4807-9507-D558B358EF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阿部圭太朗!$A$35:$A$47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阿部圭太朗!$B$35:$B$47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4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198-40E6-A51B-4D29808C20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山崎葵!$L$1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山崎葵!$K$2:$K$3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山崎葵!$L$2:$L$3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-14.4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C0F-4595-98FD-E0E8B43A8C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山崎葵!$O$1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山崎葵!$N$2:$N$9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山崎葵!$O$2:$O$9</c:f>
              <c:numCache>
                <c:formatCode>\+0;\-0;\±0</c:formatCode>
                <c:ptCount val="8"/>
                <c:pt idx="0">
                  <c:v>-3900</c:v>
                </c:pt>
                <c:pt idx="1">
                  <c:v>0</c:v>
                </c:pt>
                <c:pt idx="2">
                  <c:v>4500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935-4189-83B2-AC2A410803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山崎葵!$A$35:$A$47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山崎葵!$B$35:$B$47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9A-4452-816B-177ACFC0D8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関谷洸佑!$L$1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関谷洸佑!$K$2:$K$29</c:f>
              <c:numCache>
                <c:formatCode>General</c:formatCode>
                <c:ptCount val="2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</c:numCache>
            </c:numRef>
          </c:xVal>
          <c:yVal>
            <c:numRef>
              <c:f>関谷洸佑!$L$2:$L$29</c:f>
              <c:numCache>
                <c:formatCode>\+0.0;\-0.0;\±0</c:formatCode>
                <c:ptCount val="28"/>
                <c:pt idx="0">
                  <c:v>0</c:v>
                </c:pt>
                <c:pt idx="1">
                  <c:v>-47.6</c:v>
                </c:pt>
                <c:pt idx="2">
                  <c:v>-102</c:v>
                </c:pt>
                <c:pt idx="3">
                  <c:v>-97.3</c:v>
                </c:pt>
                <c:pt idx="4">
                  <c:v>-144.4</c:v>
                </c:pt>
                <c:pt idx="5">
                  <c:v>-133.4</c:v>
                </c:pt>
                <c:pt idx="6">
                  <c:v>-76.900000000000006</c:v>
                </c:pt>
                <c:pt idx="7">
                  <c:v>-101.5</c:v>
                </c:pt>
                <c:pt idx="8">
                  <c:v>-123.6</c:v>
                </c:pt>
                <c:pt idx="9">
                  <c:v>-192.89999999999998</c:v>
                </c:pt>
                <c:pt idx="10">
                  <c:v>-213.49999999999997</c:v>
                </c:pt>
                <c:pt idx="11">
                  <c:v>-208.09999999999997</c:v>
                </c:pt>
                <c:pt idx="12">
                  <c:v>-265.09999999999997</c:v>
                </c:pt>
                <c:pt idx="13">
                  <c:v>-253.39999999999998</c:v>
                </c:pt>
                <c:pt idx="14">
                  <c:v>-282</c:v>
                </c:pt>
                <c:pt idx="15">
                  <c:v>-332.4</c:v>
                </c:pt>
                <c:pt idx="16">
                  <c:v>-279.7</c:v>
                </c:pt>
                <c:pt idx="17">
                  <c:v>-213</c:v>
                </c:pt>
                <c:pt idx="18">
                  <c:v>-238.7</c:v>
                </c:pt>
                <c:pt idx="19">
                  <c:v>-181.79999999999998</c:v>
                </c:pt>
                <c:pt idx="20">
                  <c:v>-228.59999999999997</c:v>
                </c:pt>
                <c:pt idx="21">
                  <c:v>-145.89999999999998</c:v>
                </c:pt>
                <c:pt idx="22">
                  <c:v>-172.49999999999997</c:v>
                </c:pt>
                <c:pt idx="23">
                  <c:v>-178.79999999999998</c:v>
                </c:pt>
                <c:pt idx="24">
                  <c:v>-125.59999999999998</c:v>
                </c:pt>
                <c:pt idx="25">
                  <c:v>-175.29999999999998</c:v>
                </c:pt>
                <c:pt idx="26">
                  <c:v>-194.39999999999998</c:v>
                </c:pt>
                <c:pt idx="27">
                  <c:v>-133.59999999999997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3F5-48CB-9849-48A6E3056F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関谷洸佑!$O$1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関谷洸佑!$N$2:$N$9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関谷洸佑!$O$2:$O$9</c:f>
              <c:numCache>
                <c:formatCode>\+0;\-0;\±0</c:formatCode>
                <c:ptCount val="8"/>
                <c:pt idx="0">
                  <c:v>796.2962962962963</c:v>
                </c:pt>
                <c:pt idx="1">
                  <c:v>592.59259259259261</c:v>
                </c:pt>
                <c:pt idx="2">
                  <c:v>-3100</c:v>
                </c:pt>
                <c:pt idx="3">
                  <c:v>-523.80952380952385</c:v>
                </c:pt>
                <c:pt idx="4">
                  <c:v>-3018.181818181818</c:v>
                </c:pt>
                <c:pt idx="5">
                  <c:v>-3220</c:v>
                </c:pt>
                <c:pt idx="6">
                  <c:v>0</c:v>
                </c:pt>
                <c:pt idx="7">
                  <c:v>-1000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B03-4C9B-B938-467470E3F7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関谷洸佑!$A$35:$A$47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関谷洸佑!$B$35:$B$47</c:f>
              <c:numCache>
                <c:formatCode>0\ "回"</c:formatCode>
                <c:ptCount val="13"/>
                <c:pt idx="0">
                  <c:v>0</c:v>
                </c:pt>
                <c:pt idx="1">
                  <c:v>3</c:v>
                </c:pt>
                <c:pt idx="2">
                  <c:v>5</c:v>
                </c:pt>
                <c:pt idx="3">
                  <c:v>10</c:v>
                </c:pt>
                <c:pt idx="4">
                  <c:v>6</c:v>
                </c:pt>
                <c:pt idx="5">
                  <c:v>3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3F-4ABA-B7D5-7F669413EC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巻島夢樹!$L$1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巻島夢樹!$K$2:$K$6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巻島夢樹!$L$2:$L$6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-47</c:v>
                </c:pt>
                <c:pt idx="2">
                  <c:v>-44.9</c:v>
                </c:pt>
                <c:pt idx="3">
                  <c:v>-45.5</c:v>
                </c:pt>
                <c:pt idx="4">
                  <c:v>-72.5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6B7-43C1-BD2E-E6660A8F57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巻島夢樹!$O$1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巻島夢樹!$N$2:$N$9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巻島夢樹!$O$2:$O$9</c:f>
              <c:numCache>
                <c:formatCode>\+0;\-0;\±0</c:formatCode>
                <c:ptCount val="8"/>
                <c:pt idx="0">
                  <c:v>-3300</c:v>
                </c:pt>
                <c:pt idx="1">
                  <c:v>-2700</c:v>
                </c:pt>
                <c:pt idx="2">
                  <c:v>-100</c:v>
                </c:pt>
                <c:pt idx="3">
                  <c:v>-500</c:v>
                </c:pt>
                <c:pt idx="4">
                  <c:v>-7100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AAA-4048-A350-3389E9A0F6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巻島夢樹!$A$35:$A$47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巻島夢樹!$B$35:$B$47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92-4520-BD23-14DB66BA79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伊藤仁城!$L$1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伊藤仁城!$K$2:$K$19</c:f>
              <c:numCache>
                <c:formatCode>General</c:formatCode>
                <c:ptCount val="1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</c:numCache>
            </c:numRef>
          </c:xVal>
          <c:yVal>
            <c:numRef>
              <c:f>伊藤仁城!$L$2:$L$19</c:f>
              <c:numCache>
                <c:formatCode>\+0.0;\-0.0;\±0</c:formatCode>
                <c:ptCount val="18"/>
                <c:pt idx="0">
                  <c:v>0</c:v>
                </c:pt>
                <c:pt idx="1">
                  <c:v>60.4</c:v>
                </c:pt>
                <c:pt idx="2">
                  <c:v>122.9</c:v>
                </c:pt>
                <c:pt idx="3">
                  <c:v>69.800000000000011</c:v>
                </c:pt>
                <c:pt idx="4">
                  <c:v>28.000000000000014</c:v>
                </c:pt>
                <c:pt idx="5">
                  <c:v>23.200000000000014</c:v>
                </c:pt>
                <c:pt idx="6">
                  <c:v>-14.299999999999986</c:v>
                </c:pt>
                <c:pt idx="7">
                  <c:v>-66.699999999999989</c:v>
                </c:pt>
                <c:pt idx="8">
                  <c:v>-124.99999999999999</c:v>
                </c:pt>
                <c:pt idx="9">
                  <c:v>-186.5</c:v>
                </c:pt>
                <c:pt idx="10">
                  <c:v>-205.5</c:v>
                </c:pt>
                <c:pt idx="11">
                  <c:v>-198</c:v>
                </c:pt>
                <c:pt idx="12">
                  <c:v>-263.89999999999998</c:v>
                </c:pt>
                <c:pt idx="13">
                  <c:v>-176.39999999999998</c:v>
                </c:pt>
                <c:pt idx="14">
                  <c:v>-196.09999999999997</c:v>
                </c:pt>
                <c:pt idx="15">
                  <c:v>-186.49999999999997</c:v>
                </c:pt>
                <c:pt idx="16">
                  <c:v>-203.29999999999998</c:v>
                </c:pt>
                <c:pt idx="17">
                  <c:v>-149.19999999999999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2C0-43A0-8899-095C673563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伊藤仁城!$O$1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伊藤仁城!$N$2:$N$9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伊藤仁城!$O$2:$O$9</c:f>
              <c:numCache>
                <c:formatCode>\+0;\-0;\±0</c:formatCode>
                <c:ptCount val="8"/>
                <c:pt idx="0">
                  <c:v>5.882352941176471</c:v>
                </c:pt>
                <c:pt idx="1">
                  <c:v>-1670.5882352941176</c:v>
                </c:pt>
                <c:pt idx="2">
                  <c:v>-1358.8235294117646</c:v>
                </c:pt>
                <c:pt idx="3">
                  <c:v>164.70588235294119</c:v>
                </c:pt>
                <c:pt idx="4">
                  <c:v>-1627.2727272727273</c:v>
                </c:pt>
                <c:pt idx="5">
                  <c:v>-814.28571428571433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4F3-46D8-B315-16BD24F2C9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伊藤仁城!$A$35:$A$47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伊藤仁城!$B$35:$B$47</c:f>
              <c:numCache>
                <c:formatCode>0\ "回"</c:formatCode>
                <c:ptCount val="13"/>
                <c:pt idx="0">
                  <c:v>2</c:v>
                </c:pt>
                <c:pt idx="1">
                  <c:v>4</c:v>
                </c:pt>
                <c:pt idx="2">
                  <c:v>4</c:v>
                </c:pt>
                <c:pt idx="3">
                  <c:v>6</c:v>
                </c:pt>
                <c:pt idx="4">
                  <c:v>3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3E4-484F-8544-4FCBCB21BF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西沢武留!$L$1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西沢武留!$K$2:$K$16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xVal>
          <c:yVal>
            <c:numRef>
              <c:f>西沢武留!$L$2:$L$16</c:f>
              <c:numCache>
                <c:formatCode>\+0.0;\-0.0;\±0</c:formatCode>
                <c:ptCount val="15"/>
                <c:pt idx="0">
                  <c:v>0</c:v>
                </c:pt>
                <c:pt idx="1">
                  <c:v>-64.900000000000006</c:v>
                </c:pt>
                <c:pt idx="2">
                  <c:v>-62.100000000000009</c:v>
                </c:pt>
                <c:pt idx="3">
                  <c:v>-49.70000000000001</c:v>
                </c:pt>
                <c:pt idx="4">
                  <c:v>-64.500000000000014</c:v>
                </c:pt>
                <c:pt idx="5">
                  <c:v>-66.200000000000017</c:v>
                </c:pt>
                <c:pt idx="6">
                  <c:v>-47.90000000000002</c:v>
                </c:pt>
                <c:pt idx="7">
                  <c:v>36.59999999999998</c:v>
                </c:pt>
                <c:pt idx="8">
                  <c:v>-10.000000000000021</c:v>
                </c:pt>
                <c:pt idx="9">
                  <c:v>-33.300000000000026</c:v>
                </c:pt>
                <c:pt idx="10">
                  <c:v>-88.200000000000017</c:v>
                </c:pt>
                <c:pt idx="11">
                  <c:v>-15.800000000000011</c:v>
                </c:pt>
                <c:pt idx="12">
                  <c:v>-10.900000000000011</c:v>
                </c:pt>
                <c:pt idx="13">
                  <c:v>-61.400000000000013</c:v>
                </c:pt>
                <c:pt idx="14">
                  <c:v>-51.900000000000013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603-4F48-BF2A-6908D91F8C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西沢武留!$O$1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西沢武留!$N$2:$N$9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西沢武留!$O$2:$O$9</c:f>
              <c:numCache>
                <c:formatCode>\+0;\-0;\±0</c:formatCode>
                <c:ptCount val="8"/>
                <c:pt idx="0">
                  <c:v>-800</c:v>
                </c:pt>
                <c:pt idx="1">
                  <c:v>-985.71428571428567</c:v>
                </c:pt>
                <c:pt idx="2">
                  <c:v>1415.3846153846155</c:v>
                </c:pt>
                <c:pt idx="3">
                  <c:v>366.66666666666669</c:v>
                </c:pt>
                <c:pt idx="4">
                  <c:v>3150</c:v>
                </c:pt>
                <c:pt idx="5">
                  <c:v>866.66666666666663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341-4C42-8B4F-70994487B8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西沢武留!$A$35:$A$47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西沢武留!$B$35:$B$47</c:f>
              <c:numCache>
                <c:formatCode>0\ "回"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7</c:v>
                </c:pt>
                <c:pt idx="3">
                  <c:v>7</c:v>
                </c:pt>
                <c:pt idx="4">
                  <c:v>0</c:v>
                </c:pt>
                <c:pt idx="5">
                  <c:v>3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2F2-4993-A8B2-D6E33FCBF1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両角慧太!$L$1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両角慧太!$K$2:$K$4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両角慧太!$L$2:$L$4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61.3</c:v>
                </c:pt>
                <c:pt idx="2">
                  <c:v>112.5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F08-45F1-B037-02AAAA6BB8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両角慧太!$O$1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両角慧太!$N$2:$N$9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両角慧太!$O$2:$O$9</c:f>
              <c:numCache>
                <c:formatCode>\+0;\-0;\±0</c:formatCode>
                <c:ptCount val="8"/>
                <c:pt idx="0">
                  <c:v>3900</c:v>
                </c:pt>
                <c:pt idx="1">
                  <c:v>-2750</c:v>
                </c:pt>
                <c:pt idx="2">
                  <c:v>6000</c:v>
                </c:pt>
                <c:pt idx="3">
                  <c:v>1950</c:v>
                </c:pt>
                <c:pt idx="4">
                  <c:v>-4000</c:v>
                </c:pt>
                <c:pt idx="5">
                  <c:v>8300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190-48F2-8EAE-AE5BCFCE62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両角慧太!$A$35:$A$47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両角慧太!$B$35:$B$47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2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650-4E65-9E0A-25B84F8848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中村花菜!$L$1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中村花菜!$K$2:$K$16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xVal>
          <c:yVal>
            <c:numRef>
              <c:f>中村花菜!$L$2:$L$16</c:f>
              <c:numCache>
                <c:formatCode>\+0.0;\-0.0;\±0</c:formatCode>
                <c:ptCount val="15"/>
                <c:pt idx="0">
                  <c:v>0</c:v>
                </c:pt>
                <c:pt idx="1">
                  <c:v>-53.7</c:v>
                </c:pt>
                <c:pt idx="2">
                  <c:v>-70.800000000000011</c:v>
                </c:pt>
                <c:pt idx="3">
                  <c:v>-67.200000000000017</c:v>
                </c:pt>
                <c:pt idx="4">
                  <c:v>-128.70000000000002</c:v>
                </c:pt>
                <c:pt idx="5">
                  <c:v>-168.90000000000003</c:v>
                </c:pt>
                <c:pt idx="6">
                  <c:v>-225.90000000000003</c:v>
                </c:pt>
                <c:pt idx="7">
                  <c:v>-179.00000000000003</c:v>
                </c:pt>
                <c:pt idx="8">
                  <c:v>-229.40000000000003</c:v>
                </c:pt>
                <c:pt idx="9">
                  <c:v>-285.90000000000003</c:v>
                </c:pt>
                <c:pt idx="10">
                  <c:v>-333.20000000000005</c:v>
                </c:pt>
                <c:pt idx="11">
                  <c:v>-378.40000000000003</c:v>
                </c:pt>
                <c:pt idx="12">
                  <c:v>-403.8</c:v>
                </c:pt>
                <c:pt idx="13">
                  <c:v>-426.8</c:v>
                </c:pt>
                <c:pt idx="14">
                  <c:v>-366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002-4191-8C6F-D57FD4F8DC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中村花菜!$O$1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中村花菜!$N$2:$N$9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中村花菜!$O$2:$O$9</c:f>
              <c:numCache>
                <c:formatCode>\+0;\-0;\±0</c:formatCode>
                <c:ptCount val="8"/>
                <c:pt idx="0">
                  <c:v>-3271.4285714285716</c:v>
                </c:pt>
                <c:pt idx="1">
                  <c:v>-2785.7142857142858</c:v>
                </c:pt>
                <c:pt idx="2">
                  <c:v>-2492.8571428571427</c:v>
                </c:pt>
                <c:pt idx="3">
                  <c:v>-946.15384615384619</c:v>
                </c:pt>
                <c:pt idx="4">
                  <c:v>-1110</c:v>
                </c:pt>
                <c:pt idx="5">
                  <c:v>1800</c:v>
                </c:pt>
                <c:pt idx="6">
                  <c:v>-900</c:v>
                </c:pt>
                <c:pt idx="7">
                  <c:v>-1000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39B-4496-BE9B-45931E81E9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中村花菜!$A$35:$A$47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中村花菜!$B$35:$B$47</c:f>
              <c:numCache>
                <c:formatCode>0\ "回"</c:formatCode>
                <c:ptCount val="13"/>
                <c:pt idx="0">
                  <c:v>2</c:v>
                </c:pt>
                <c:pt idx="1">
                  <c:v>4</c:v>
                </c:pt>
                <c:pt idx="2">
                  <c:v>1</c:v>
                </c:pt>
                <c:pt idx="3">
                  <c:v>6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90B-41B9-8113-3E029247B1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中村季暉!$L$1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中村季暉!$K$2:$K$19</c:f>
              <c:numCache>
                <c:formatCode>General</c:formatCode>
                <c:ptCount val="1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</c:numCache>
            </c:numRef>
          </c:xVal>
          <c:yVal>
            <c:numRef>
              <c:f>中村季暉!$L$2:$L$19</c:f>
              <c:numCache>
                <c:formatCode>\+0.0;\-0.0;\±0</c:formatCode>
                <c:ptCount val="18"/>
                <c:pt idx="0">
                  <c:v>0</c:v>
                </c:pt>
                <c:pt idx="1">
                  <c:v>-31</c:v>
                </c:pt>
                <c:pt idx="2">
                  <c:v>-52.3</c:v>
                </c:pt>
                <c:pt idx="3">
                  <c:v>-44.9</c:v>
                </c:pt>
                <c:pt idx="4">
                  <c:v>-106.69999999999999</c:v>
                </c:pt>
                <c:pt idx="5">
                  <c:v>-96.399999999999991</c:v>
                </c:pt>
                <c:pt idx="6">
                  <c:v>-123.29999999999998</c:v>
                </c:pt>
                <c:pt idx="7">
                  <c:v>-160.59999999999997</c:v>
                </c:pt>
                <c:pt idx="8">
                  <c:v>-209.49999999999997</c:v>
                </c:pt>
                <c:pt idx="9">
                  <c:v>-197.09999999999997</c:v>
                </c:pt>
                <c:pt idx="10">
                  <c:v>-217.49999999999997</c:v>
                </c:pt>
                <c:pt idx="11">
                  <c:v>-246.89999999999998</c:v>
                </c:pt>
                <c:pt idx="12">
                  <c:v>-237.89999999999998</c:v>
                </c:pt>
                <c:pt idx="13">
                  <c:v>-227.09999999999997</c:v>
                </c:pt>
                <c:pt idx="14">
                  <c:v>-211.29999999999995</c:v>
                </c:pt>
                <c:pt idx="15">
                  <c:v>-203.49999999999994</c:v>
                </c:pt>
                <c:pt idx="16">
                  <c:v>-221.39999999999995</c:v>
                </c:pt>
                <c:pt idx="17">
                  <c:v>-210.49999999999994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528-45AF-BD4A-584686F771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中村季暉!$O$1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中村季暉!$N$2:$N$9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中村季暉!$O$2:$O$9</c:f>
              <c:numCache>
                <c:formatCode>\+0;\-0;\±0</c:formatCode>
                <c:ptCount val="8"/>
                <c:pt idx="0">
                  <c:v>-235.29411764705881</c:v>
                </c:pt>
                <c:pt idx="1">
                  <c:v>635.29411764705878</c:v>
                </c:pt>
                <c:pt idx="2">
                  <c:v>-943.75</c:v>
                </c:pt>
                <c:pt idx="3">
                  <c:v>-793.33333333333337</c:v>
                </c:pt>
                <c:pt idx="4">
                  <c:v>-2887.5</c:v>
                </c:pt>
                <c:pt idx="5">
                  <c:v>-3440</c:v>
                </c:pt>
                <c:pt idx="6">
                  <c:v>-2100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C2D-46CE-A354-DA3FDDC5A4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中村季暉!$A$35:$A$47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中村季暉!$B$35:$B$47</c:f>
              <c:numCache>
                <c:formatCode>0\ "回"</c:formatCode>
                <c:ptCount val="13"/>
                <c:pt idx="0">
                  <c:v>4</c:v>
                </c:pt>
                <c:pt idx="1">
                  <c:v>5</c:v>
                </c:pt>
                <c:pt idx="2">
                  <c:v>4</c:v>
                </c:pt>
                <c:pt idx="3">
                  <c:v>4</c:v>
                </c:pt>
                <c:pt idx="4">
                  <c:v>2</c:v>
                </c:pt>
                <c:pt idx="5">
                  <c:v>0</c:v>
                </c:pt>
                <c:pt idx="6">
                  <c:v>2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E6-4D39-8A7A-D5AABA6E12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吉澤諒!$L$1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吉澤諒!$K$2:$K$9</c:f>
              <c:numCache>
                <c:formatCode>General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吉澤諒!$L$2:$L$9</c:f>
              <c:numCache>
                <c:formatCode>\+0.0;\-0.0;\±0</c:formatCode>
                <c:ptCount val="8"/>
                <c:pt idx="0">
                  <c:v>0</c:v>
                </c:pt>
                <c:pt idx="1">
                  <c:v>-45.7</c:v>
                </c:pt>
                <c:pt idx="2">
                  <c:v>-32.700000000000003</c:v>
                </c:pt>
                <c:pt idx="3">
                  <c:v>-18.700000000000003</c:v>
                </c:pt>
                <c:pt idx="4">
                  <c:v>-9.3000000000000025</c:v>
                </c:pt>
                <c:pt idx="5">
                  <c:v>-0.70000000000000284</c:v>
                </c:pt>
                <c:pt idx="6">
                  <c:v>-35.700000000000003</c:v>
                </c:pt>
                <c:pt idx="7">
                  <c:v>-79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990-489E-9891-2D39CD0B0C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吉澤諒!$O$1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吉澤諒!$N$2:$N$9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吉澤諒!$O$2:$O$9</c:f>
              <c:numCache>
                <c:formatCode>\+0;\-0;\±0</c:formatCode>
                <c:ptCount val="8"/>
                <c:pt idx="0">
                  <c:v>785.71428571428567</c:v>
                </c:pt>
                <c:pt idx="1">
                  <c:v>-1485.7142857142858</c:v>
                </c:pt>
                <c:pt idx="2">
                  <c:v>3228.5714285714284</c:v>
                </c:pt>
                <c:pt idx="3">
                  <c:v>-4242.8571428571431</c:v>
                </c:pt>
                <c:pt idx="4">
                  <c:v>450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6C5-4351-AE96-A9A3B663EB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吉澤諒!$A$35:$A$47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吉澤諒!$B$35:$B$47</c:f>
              <c:numCache>
                <c:formatCode>0\ "回"</c:formatCode>
                <c:ptCount val="13"/>
                <c:pt idx="0">
                  <c:v>1</c:v>
                </c:pt>
                <c:pt idx="1">
                  <c:v>5</c:v>
                </c:pt>
                <c:pt idx="2">
                  <c:v>1</c:v>
                </c:pt>
                <c:pt idx="3">
                  <c:v>2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326-4A3D-9B00-005893172D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塩入悠!$L$1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塩入悠!$K$2:$K$13</c:f>
              <c:numCache>
                <c:formatCode>General</c:formatCod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</c:numCache>
            </c:numRef>
          </c:xVal>
          <c:yVal>
            <c:numRef>
              <c:f>塩入悠!$L$2:$L$13</c:f>
              <c:numCache>
                <c:formatCode>\+0.0;\-0.0;\±0</c:formatCode>
                <c:ptCount val="12"/>
                <c:pt idx="0">
                  <c:v>0</c:v>
                </c:pt>
                <c:pt idx="1">
                  <c:v>-72.8</c:v>
                </c:pt>
                <c:pt idx="2">
                  <c:v>-92.5</c:v>
                </c:pt>
                <c:pt idx="3">
                  <c:v>-11.400000000000006</c:v>
                </c:pt>
                <c:pt idx="4">
                  <c:v>45.999999999999993</c:v>
                </c:pt>
                <c:pt idx="5">
                  <c:v>20.899999999999991</c:v>
                </c:pt>
                <c:pt idx="6">
                  <c:v>81.5</c:v>
                </c:pt>
                <c:pt idx="7">
                  <c:v>33.700000000000003</c:v>
                </c:pt>
                <c:pt idx="8">
                  <c:v>10.600000000000001</c:v>
                </c:pt>
                <c:pt idx="9">
                  <c:v>-69.400000000000006</c:v>
                </c:pt>
                <c:pt idx="10">
                  <c:v>-94.100000000000009</c:v>
                </c:pt>
                <c:pt idx="11">
                  <c:v>-2.3000000000000114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091-4685-9511-10B3EBB34E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塩入悠!$O$1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塩入悠!$N$2:$N$9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塩入悠!$O$2:$O$9</c:f>
              <c:numCache>
                <c:formatCode>\+0;\-0;\±0</c:formatCode>
                <c:ptCount val="8"/>
                <c:pt idx="0">
                  <c:v>-3145.4545454545455</c:v>
                </c:pt>
                <c:pt idx="1">
                  <c:v>-1963.6363636363637</c:v>
                </c:pt>
                <c:pt idx="2">
                  <c:v>990</c:v>
                </c:pt>
                <c:pt idx="3">
                  <c:v>2150</c:v>
                </c:pt>
                <c:pt idx="4">
                  <c:v>-125</c:v>
                </c:pt>
                <c:pt idx="5">
                  <c:v>4500</c:v>
                </c:pt>
                <c:pt idx="6">
                  <c:v>7900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21B-426A-8718-93639BB4C7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塩入悠!$A$35:$A$47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塩入悠!$B$35:$B$47</c:f>
              <c:numCache>
                <c:formatCode>0\ "回"</c:formatCode>
                <c:ptCount val="13"/>
                <c:pt idx="0">
                  <c:v>2</c:v>
                </c:pt>
                <c:pt idx="1">
                  <c:v>2</c:v>
                </c:pt>
                <c:pt idx="2">
                  <c:v>0</c:v>
                </c:pt>
                <c:pt idx="3">
                  <c:v>4</c:v>
                </c:pt>
                <c:pt idx="4">
                  <c:v>3</c:v>
                </c:pt>
                <c:pt idx="5">
                  <c:v>3</c:v>
                </c:pt>
                <c:pt idx="6">
                  <c:v>1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4C-417C-A691-61999181F1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宮澤七星!$L$1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宮澤七星!$K$2:$K$12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宮澤七星!$L$2:$L$12</c:f>
              <c:numCache>
                <c:formatCode>\+0.0;\-0.0;\±0</c:formatCode>
                <c:ptCount val="11"/>
                <c:pt idx="0">
                  <c:v>0</c:v>
                </c:pt>
                <c:pt idx="1">
                  <c:v>80</c:v>
                </c:pt>
                <c:pt idx="2">
                  <c:v>145.19999999999999</c:v>
                </c:pt>
                <c:pt idx="3">
                  <c:v>204.6</c:v>
                </c:pt>
                <c:pt idx="4">
                  <c:v>149.39999999999998</c:v>
                </c:pt>
                <c:pt idx="5">
                  <c:v>154.19999999999999</c:v>
                </c:pt>
                <c:pt idx="6">
                  <c:v>127.49999999999999</c:v>
                </c:pt>
                <c:pt idx="7">
                  <c:v>135.5</c:v>
                </c:pt>
                <c:pt idx="8">
                  <c:v>91.5</c:v>
                </c:pt>
                <c:pt idx="9">
                  <c:v>98.5</c:v>
                </c:pt>
                <c:pt idx="10">
                  <c:v>106.4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A7E-4D7A-960F-025BFD46B2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宮澤七星!$O$1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宮澤七星!$N$2:$N$9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宮澤七星!$O$2:$O$9</c:f>
              <c:numCache>
                <c:formatCode>\+0;\-0;\±0</c:formatCode>
                <c:ptCount val="8"/>
                <c:pt idx="0">
                  <c:v>-2270</c:v>
                </c:pt>
                <c:pt idx="1">
                  <c:v>1080</c:v>
                </c:pt>
                <c:pt idx="2">
                  <c:v>422.22222222222223</c:v>
                </c:pt>
                <c:pt idx="3">
                  <c:v>1455.5555555555557</c:v>
                </c:pt>
                <c:pt idx="4">
                  <c:v>1742.8571428571429</c:v>
                </c:pt>
                <c:pt idx="5">
                  <c:v>840</c:v>
                </c:pt>
                <c:pt idx="6">
                  <c:v>0</c:v>
                </c:pt>
                <c:pt idx="7">
                  <c:v>9000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17-4D26-8334-D7250D9F0C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宮澤七星!$A$35:$A$47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宮澤七星!$B$35:$B$47</c:f>
              <c:numCache>
                <c:formatCode>0\ "回"</c:formatCode>
                <c:ptCount val="13"/>
                <c:pt idx="0">
                  <c:v>0</c:v>
                </c:pt>
                <c:pt idx="1">
                  <c:v>3</c:v>
                </c:pt>
                <c:pt idx="2">
                  <c:v>6</c:v>
                </c:pt>
                <c:pt idx="3">
                  <c:v>4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1EF-4FCD-8B84-6F5E407D35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坂本羽弥斗!$L$1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坂本羽弥斗!$K$2:$K$9</c:f>
              <c:numCache>
                <c:formatCode>General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坂本羽弥斗!$L$2:$L$9</c:f>
              <c:numCache>
                <c:formatCode>\+0.0;\-0.0;\±0</c:formatCode>
                <c:ptCount val="8"/>
                <c:pt idx="0">
                  <c:v>0</c:v>
                </c:pt>
                <c:pt idx="1">
                  <c:v>4.5</c:v>
                </c:pt>
                <c:pt idx="2">
                  <c:v>-19.600000000000001</c:v>
                </c:pt>
                <c:pt idx="3">
                  <c:v>-71.599999999999994</c:v>
                </c:pt>
                <c:pt idx="4">
                  <c:v>-14.099999999999994</c:v>
                </c:pt>
                <c:pt idx="5">
                  <c:v>-36.199999999999996</c:v>
                </c:pt>
                <c:pt idx="6">
                  <c:v>-73.8</c:v>
                </c:pt>
                <c:pt idx="7">
                  <c:v>-74.2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BA1-4C14-8FFD-27BC8F0A4E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坂本羽弥斗!$O$1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坂本羽弥斗!$N$2:$N$9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坂本羽弥斗!$O$2:$O$9</c:f>
              <c:numCache>
                <c:formatCode>\+0;\-0;\±0</c:formatCode>
                <c:ptCount val="8"/>
                <c:pt idx="0">
                  <c:v>1342.8571428571429</c:v>
                </c:pt>
                <c:pt idx="1">
                  <c:v>-1414.2857142857142</c:v>
                </c:pt>
                <c:pt idx="2">
                  <c:v>-1200</c:v>
                </c:pt>
                <c:pt idx="3">
                  <c:v>-871.42857142857144</c:v>
                </c:pt>
                <c:pt idx="4">
                  <c:v>-3940</c:v>
                </c:pt>
                <c:pt idx="5">
                  <c:v>5200</c:v>
                </c:pt>
                <c:pt idx="6">
                  <c:v>-2200</c:v>
                </c:pt>
                <c:pt idx="7">
                  <c:v>-1750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7AE-4851-A456-C8D9E6FC9D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坂本羽弥斗!$A$35:$A$47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坂本羽弥斗!$B$35:$B$47</c:f>
              <c:numCache>
                <c:formatCode>0\ "回"</c:formatCode>
                <c:ptCount val="13"/>
                <c:pt idx="0">
                  <c:v>1</c:v>
                </c:pt>
                <c:pt idx="1">
                  <c:v>3</c:v>
                </c:pt>
                <c:pt idx="2">
                  <c:v>2</c:v>
                </c:pt>
                <c:pt idx="3">
                  <c:v>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A10-4B5E-85D3-E96C022DB6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湯本咲蔵!$L$1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湯本咲蔵!$K$2:$K$12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湯本咲蔵!$L$2:$L$12</c:f>
              <c:numCache>
                <c:formatCode>\+0.0;\-0.0;\±0</c:formatCode>
                <c:ptCount val="11"/>
                <c:pt idx="0">
                  <c:v>0</c:v>
                </c:pt>
                <c:pt idx="1">
                  <c:v>-45.8</c:v>
                </c:pt>
                <c:pt idx="2">
                  <c:v>24.700000000000003</c:v>
                </c:pt>
                <c:pt idx="3">
                  <c:v>27.400000000000002</c:v>
                </c:pt>
                <c:pt idx="4">
                  <c:v>78.2</c:v>
                </c:pt>
                <c:pt idx="5">
                  <c:v>20.200000000000003</c:v>
                </c:pt>
                <c:pt idx="6">
                  <c:v>94.100000000000009</c:v>
                </c:pt>
                <c:pt idx="7">
                  <c:v>66.700000000000017</c:v>
                </c:pt>
                <c:pt idx="8">
                  <c:v>135.80000000000001</c:v>
                </c:pt>
                <c:pt idx="9">
                  <c:v>187.8</c:v>
                </c:pt>
                <c:pt idx="10">
                  <c:v>179.8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196-434F-9A06-B000039F3F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湯本咲蔵!$O$1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湯本咲蔵!$N$2:$N$9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湯本咲蔵!$O$2:$O$9</c:f>
              <c:numCache>
                <c:formatCode>\+0;\-0;\±0</c:formatCode>
                <c:ptCount val="8"/>
                <c:pt idx="0">
                  <c:v>2070</c:v>
                </c:pt>
                <c:pt idx="1">
                  <c:v>10</c:v>
                </c:pt>
                <c:pt idx="2">
                  <c:v>730</c:v>
                </c:pt>
                <c:pt idx="3">
                  <c:v>-1710</c:v>
                </c:pt>
                <c:pt idx="4">
                  <c:v>483.33333333333331</c:v>
                </c:pt>
                <c:pt idx="5">
                  <c:v>3666.6666666666665</c:v>
                </c:pt>
                <c:pt idx="6">
                  <c:v>1000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CB0-448F-B393-B15B241651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湯本咲蔵!$A$35:$A$47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湯本咲蔵!$B$35:$B$47</c:f>
              <c:numCache>
                <c:formatCode>0\ "回"</c:formatCode>
                <c:ptCount val="13"/>
                <c:pt idx="0">
                  <c:v>4</c:v>
                </c:pt>
                <c:pt idx="1">
                  <c:v>4</c:v>
                </c:pt>
                <c:pt idx="2">
                  <c:v>4</c:v>
                </c:pt>
                <c:pt idx="3">
                  <c:v>2</c:v>
                </c:pt>
                <c:pt idx="4">
                  <c:v>4</c:v>
                </c:pt>
                <c:pt idx="5">
                  <c:v>1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82D-4C6B-BD07-2D56197749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田名網新!$L$1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田名網新!$K$2:$K$5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田名網新!$L$2:$L$5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-20.100000000000001</c:v>
                </c:pt>
                <c:pt idx="2">
                  <c:v>-12.100000000000001</c:v>
                </c:pt>
                <c:pt idx="3">
                  <c:v>-59.2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ACD-4510-8EC8-F400580B58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田名網新!$O$1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田名網新!$N$2:$N$9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田名網新!$O$2:$O$9</c:f>
              <c:numCache>
                <c:formatCode>\+0;\-0;\±0</c:formatCode>
                <c:ptCount val="8"/>
                <c:pt idx="0">
                  <c:v>900</c:v>
                </c:pt>
                <c:pt idx="1">
                  <c:v>-300</c:v>
                </c:pt>
                <c:pt idx="2">
                  <c:v>266.66666666666669</c:v>
                </c:pt>
                <c:pt idx="3">
                  <c:v>-4400</c:v>
                </c:pt>
                <c:pt idx="4">
                  <c:v>1966.6666666666667</c:v>
                </c:pt>
                <c:pt idx="5">
                  <c:v>-9500</c:v>
                </c:pt>
                <c:pt idx="6">
                  <c:v>4500</c:v>
                </c:pt>
                <c:pt idx="7">
                  <c:v>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88D-4655-8FE8-EA93900FAF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田名網新!$A$35:$A$47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田名網新!$B$35:$B$47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2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9E5-4B1D-9BB1-07DDF12DD7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山本悠介!$L$1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山本悠介!$K$2:$K$14</c:f>
              <c:numCache>
                <c:formatCode>General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山本悠介!$L$2:$L$14</c:f>
              <c:numCache>
                <c:formatCode>\+0.0;\-0.0;\±0</c:formatCode>
                <c:ptCount val="13"/>
                <c:pt idx="0">
                  <c:v>0</c:v>
                </c:pt>
                <c:pt idx="1">
                  <c:v>10.3</c:v>
                </c:pt>
                <c:pt idx="2">
                  <c:v>-11.7</c:v>
                </c:pt>
                <c:pt idx="3">
                  <c:v>-4.8999999999999995</c:v>
                </c:pt>
                <c:pt idx="4">
                  <c:v>43.2</c:v>
                </c:pt>
                <c:pt idx="5">
                  <c:v>26.900000000000002</c:v>
                </c:pt>
                <c:pt idx="6">
                  <c:v>44.5</c:v>
                </c:pt>
                <c:pt idx="7">
                  <c:v>108.6</c:v>
                </c:pt>
                <c:pt idx="8">
                  <c:v>79.699999999999989</c:v>
                </c:pt>
                <c:pt idx="9">
                  <c:v>57.399999999999991</c:v>
                </c:pt>
                <c:pt idx="10">
                  <c:v>9.6999999999999886</c:v>
                </c:pt>
                <c:pt idx="11">
                  <c:v>13.699999999999989</c:v>
                </c:pt>
                <c:pt idx="12">
                  <c:v>-33.300000000000011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7F-471A-94DC-C622DDC862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山本悠介!$O$1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山本悠介!$N$2:$N$9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山本悠介!$O$2:$O$9</c:f>
              <c:numCache>
                <c:formatCode>\+0;\-0;\±0</c:formatCode>
                <c:ptCount val="8"/>
                <c:pt idx="0">
                  <c:v>-408.33333333333331</c:v>
                </c:pt>
                <c:pt idx="1">
                  <c:v>1583.3333333333333</c:v>
                </c:pt>
                <c:pt idx="2">
                  <c:v>-158.33333333333334</c:v>
                </c:pt>
                <c:pt idx="3">
                  <c:v>-10</c:v>
                </c:pt>
                <c:pt idx="4">
                  <c:v>-44.444444444444443</c:v>
                </c:pt>
                <c:pt idx="5">
                  <c:v>-187.5</c:v>
                </c:pt>
                <c:pt idx="6">
                  <c:v>-3280</c:v>
                </c:pt>
                <c:pt idx="7">
                  <c:v>-2250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185-4C09-9685-50DA7CB3BA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山本悠介!$A$35:$A$47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山本悠介!$B$35:$B$47</c:f>
              <c:numCache>
                <c:formatCode>0\ "回"</c:formatCode>
                <c:ptCount val="13"/>
                <c:pt idx="0">
                  <c:v>7</c:v>
                </c:pt>
                <c:pt idx="1">
                  <c:v>3</c:v>
                </c:pt>
                <c:pt idx="2">
                  <c:v>8</c:v>
                </c:pt>
                <c:pt idx="3">
                  <c:v>1</c:v>
                </c:pt>
                <c:pt idx="4">
                  <c:v>3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D04-42F3-B808-1F7E8E3D43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石原凛人!$L$1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石原凛人!$K$2:$K$4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石原凛人!$L$2:$L$4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55.6</c:v>
                </c:pt>
                <c:pt idx="2">
                  <c:v>63.300000000000004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43D-430F-977D-5C3A392EBB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石原凛人!$O$1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石原凛人!$N$2:$N$9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石原凛人!$O$2:$O$9</c:f>
              <c:numCache>
                <c:formatCode>\+0;\-0;\±0</c:formatCode>
                <c:ptCount val="8"/>
                <c:pt idx="0">
                  <c:v>1500</c:v>
                </c:pt>
                <c:pt idx="1">
                  <c:v>0</c:v>
                </c:pt>
                <c:pt idx="2">
                  <c:v>400</c:v>
                </c:pt>
                <c:pt idx="3">
                  <c:v>4750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373-4158-9C98-7AEA7FACC0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石原凛人!$A$35:$A$47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石原凛人!$B$35:$B$47</c:f>
              <c:numCache>
                <c:formatCode>0\ "回"</c:formatCode>
                <c:ptCount val="13"/>
                <c:pt idx="0">
                  <c:v>0</c:v>
                </c:pt>
                <c:pt idx="1">
                  <c:v>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19-41F9-999F-8EE583FFDC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渡部陵瑛!$L$1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渡部陵瑛!$K$2:$K$9</c:f>
              <c:numCache>
                <c:formatCode>General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渡部陵瑛!$L$2:$L$9</c:f>
              <c:numCache>
                <c:formatCode>\+0.0;\-0.0;\±0</c:formatCode>
                <c:ptCount val="8"/>
                <c:pt idx="0">
                  <c:v>0</c:v>
                </c:pt>
                <c:pt idx="1">
                  <c:v>-47.4</c:v>
                </c:pt>
                <c:pt idx="2">
                  <c:v>-73.2</c:v>
                </c:pt>
                <c:pt idx="3">
                  <c:v>-90.1</c:v>
                </c:pt>
                <c:pt idx="4">
                  <c:v>-138.80000000000001</c:v>
                </c:pt>
                <c:pt idx="5">
                  <c:v>-164.8</c:v>
                </c:pt>
                <c:pt idx="6">
                  <c:v>-206.20000000000002</c:v>
                </c:pt>
                <c:pt idx="7">
                  <c:v>-263.40000000000003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018-44FC-92D4-4DBA88503C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渡部陵瑛!$O$1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渡部陵瑛!$N$2:$N$9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渡部陵瑛!$O$2:$O$9</c:f>
              <c:numCache>
                <c:formatCode>\+0;\-0;\±0</c:formatCode>
                <c:ptCount val="8"/>
                <c:pt idx="0">
                  <c:v>-1828.5714285714287</c:v>
                </c:pt>
                <c:pt idx="1">
                  <c:v>-1500</c:v>
                </c:pt>
                <c:pt idx="2">
                  <c:v>-7200</c:v>
                </c:pt>
                <c:pt idx="3">
                  <c:v>-1014.2857142857143</c:v>
                </c:pt>
                <c:pt idx="4">
                  <c:v>750</c:v>
                </c:pt>
                <c:pt idx="5">
                  <c:v>-200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CC9-44EA-BB49-9BD4A04D4B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渡部陵瑛!$A$35:$A$47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渡部陵瑛!$B$35:$B$47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635-4747-B14D-727F92765A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唐澤聖矢!$L$1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唐澤聖矢!$K$2:$K$3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唐澤聖矢!$L$2:$L$3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52.1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C5D-4DCD-AD61-131A1CD63B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唐澤聖矢!$O$1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唐澤聖矢!$N$2:$N$9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唐澤聖矢!$O$2:$O$9</c:f>
              <c:numCache>
                <c:formatCode>\+0;\-0;\±0</c:formatCode>
                <c:ptCount val="8"/>
                <c:pt idx="0">
                  <c:v>0</c:v>
                </c:pt>
                <c:pt idx="1">
                  <c:v>-8000</c:v>
                </c:pt>
                <c:pt idx="2">
                  <c:v>16000</c:v>
                </c:pt>
                <c:pt idx="3">
                  <c:v>-2000</c:v>
                </c:pt>
                <c:pt idx="4">
                  <c:v>1100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AD8-429A-9C13-BF9FBBC346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唐澤聖矢!$A$35:$A$47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唐澤聖矢!$B$35:$B$47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A51-4CE5-968F-6975916E8B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清水常緑!$L$1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清水常緑!$K$2:$K$13</c:f>
              <c:numCache>
                <c:formatCode>General</c:formatCod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</c:numCache>
            </c:numRef>
          </c:xVal>
          <c:yVal>
            <c:numRef>
              <c:f>清水常緑!$L$2:$L$13</c:f>
              <c:numCache>
                <c:formatCode>\+0.0;\-0.0;\±0</c:formatCode>
                <c:ptCount val="12"/>
                <c:pt idx="0">
                  <c:v>0</c:v>
                </c:pt>
                <c:pt idx="1">
                  <c:v>6.3</c:v>
                </c:pt>
                <c:pt idx="2">
                  <c:v>15.8</c:v>
                </c:pt>
                <c:pt idx="3">
                  <c:v>0.60000000000000142</c:v>
                </c:pt>
                <c:pt idx="4">
                  <c:v>62.800000000000004</c:v>
                </c:pt>
                <c:pt idx="5">
                  <c:v>129</c:v>
                </c:pt>
                <c:pt idx="6">
                  <c:v>189.9</c:v>
                </c:pt>
                <c:pt idx="7">
                  <c:v>255.8</c:v>
                </c:pt>
                <c:pt idx="8">
                  <c:v>311.10000000000002</c:v>
                </c:pt>
                <c:pt idx="9">
                  <c:v>381.6</c:v>
                </c:pt>
                <c:pt idx="10">
                  <c:v>364</c:v>
                </c:pt>
                <c:pt idx="11">
                  <c:v>416.8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E1-438D-A8DF-3359A27785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清水常緑!$O$1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清水常緑!$N$2:$N$9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清水常緑!$O$2:$O$9</c:f>
              <c:numCache>
                <c:formatCode>\+0;\-0;\±0</c:formatCode>
                <c:ptCount val="8"/>
                <c:pt idx="0">
                  <c:v>1600</c:v>
                </c:pt>
                <c:pt idx="1">
                  <c:v>3363.6363636363635</c:v>
                </c:pt>
                <c:pt idx="2">
                  <c:v>3390.909090909091</c:v>
                </c:pt>
                <c:pt idx="3">
                  <c:v>2727.2727272727275</c:v>
                </c:pt>
                <c:pt idx="4">
                  <c:v>385.71428571428572</c:v>
                </c:pt>
                <c:pt idx="5">
                  <c:v>-516.66666666666663</c:v>
                </c:pt>
                <c:pt idx="6">
                  <c:v>1300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509-4FD9-84DA-3D1A51EBBF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清水常緑!$A$35:$A$47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清水常緑!$B$35:$B$47</c:f>
              <c:numCache>
                <c:formatCode>0\ "回"</c:formatCode>
                <c:ptCount val="13"/>
                <c:pt idx="0">
                  <c:v>6</c:v>
                </c:pt>
                <c:pt idx="1">
                  <c:v>5</c:v>
                </c:pt>
                <c:pt idx="2">
                  <c:v>5</c:v>
                </c:pt>
                <c:pt idx="3">
                  <c:v>5</c:v>
                </c:pt>
                <c:pt idx="4">
                  <c:v>3</c:v>
                </c:pt>
                <c:pt idx="5">
                  <c:v>3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A78-4D8C-A826-5C2B58A1BC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所附快和!$L$1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所附快和!$K$2:$K$13</c:f>
              <c:numCache>
                <c:formatCode>General</c:formatCod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</c:numCache>
            </c:numRef>
          </c:xVal>
          <c:yVal>
            <c:numRef>
              <c:f>所附快和!$L$2:$L$13</c:f>
              <c:numCache>
                <c:formatCode>\+0.0;\-0.0;\±0</c:formatCode>
                <c:ptCount val="12"/>
                <c:pt idx="0">
                  <c:v>0</c:v>
                </c:pt>
                <c:pt idx="1">
                  <c:v>-47</c:v>
                </c:pt>
                <c:pt idx="2">
                  <c:v>-38</c:v>
                </c:pt>
                <c:pt idx="3">
                  <c:v>-56.4</c:v>
                </c:pt>
                <c:pt idx="4">
                  <c:v>-75.400000000000006</c:v>
                </c:pt>
                <c:pt idx="5">
                  <c:v>-125.9</c:v>
                </c:pt>
                <c:pt idx="6">
                  <c:v>-178.9</c:v>
                </c:pt>
                <c:pt idx="7">
                  <c:v>-206</c:v>
                </c:pt>
                <c:pt idx="8">
                  <c:v>-256.7</c:v>
                </c:pt>
                <c:pt idx="9">
                  <c:v>-315.2</c:v>
                </c:pt>
                <c:pt idx="10">
                  <c:v>-315.09999999999997</c:v>
                </c:pt>
                <c:pt idx="11">
                  <c:v>-357.9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A74-47BA-82A9-1FE82E0353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所附快和!$O$1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所附快和!$N$2:$N$9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所附快和!$O$2:$O$9</c:f>
              <c:numCache>
                <c:formatCode>\+0;\-0;\±0</c:formatCode>
                <c:ptCount val="8"/>
                <c:pt idx="0">
                  <c:v>-3390.909090909091</c:v>
                </c:pt>
                <c:pt idx="1">
                  <c:v>-2981.818181818182</c:v>
                </c:pt>
                <c:pt idx="2">
                  <c:v>-2809.090909090909</c:v>
                </c:pt>
                <c:pt idx="3">
                  <c:v>-311.11111111111109</c:v>
                </c:pt>
                <c:pt idx="4">
                  <c:v>-300</c:v>
                </c:pt>
                <c:pt idx="5">
                  <c:v>-1250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EAF-4450-9C61-84EE05404D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所附快和!$A$35:$A$47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所附快和!$B$35:$B$47</c:f>
              <c:numCache>
                <c:formatCode>0\ "回"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3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6B-49A4-9E5F-A90C1C0CA0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長野柊馬!$L$1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長野柊馬!$K$2:$K$11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長野柊馬!$L$2:$L$11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10.6</c:v>
                </c:pt>
                <c:pt idx="2">
                  <c:v>63.7</c:v>
                </c:pt>
                <c:pt idx="3">
                  <c:v>144.5</c:v>
                </c:pt>
                <c:pt idx="4">
                  <c:v>156.30000000000001</c:v>
                </c:pt>
                <c:pt idx="5">
                  <c:v>106.70000000000002</c:v>
                </c:pt>
                <c:pt idx="6">
                  <c:v>173.40000000000003</c:v>
                </c:pt>
                <c:pt idx="7">
                  <c:v>150.90000000000003</c:v>
                </c:pt>
                <c:pt idx="8">
                  <c:v>218.10000000000002</c:v>
                </c:pt>
                <c:pt idx="9">
                  <c:v>181.50000000000003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C1B-454B-937D-1B1351AB53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長野柊馬!$O$1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長野柊馬!$N$2:$N$9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長野柊馬!$O$2:$O$9</c:f>
              <c:numCache>
                <c:formatCode>\+0;\-0;\±0</c:formatCode>
                <c:ptCount val="8"/>
                <c:pt idx="0">
                  <c:v>3277.7777777777778</c:v>
                </c:pt>
                <c:pt idx="1">
                  <c:v>-533.33333333333337</c:v>
                </c:pt>
                <c:pt idx="2">
                  <c:v>2111.1111111111113</c:v>
                </c:pt>
                <c:pt idx="3">
                  <c:v>228.57142857142858</c:v>
                </c:pt>
                <c:pt idx="4">
                  <c:v>-100</c:v>
                </c:pt>
                <c:pt idx="5">
                  <c:v>1300</c:v>
                </c:pt>
                <c:pt idx="6">
                  <c:v>2600</c:v>
                </c:pt>
                <c:pt idx="7">
                  <c:v>-4000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407-4BC3-9B56-B14832830E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長野柊馬!$A$35:$A$47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長野柊馬!$B$35:$B$47</c:f>
              <c:numCache>
                <c:formatCode>0\ "回"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2</c:v>
                </c:pt>
                <c:pt idx="3">
                  <c:v>6</c:v>
                </c:pt>
                <c:pt idx="4">
                  <c:v>1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7CC-457F-8414-35F6B74FB9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'Template (3)'!$L$1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'Template (3)'!$K$2:$K$9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'Template (3)'!$L$2:$L$9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5F-4986-AE2C-C9EC15E4C2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'Template (3)'!$O$1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'Template (3)'!$N$2:$N$9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'Template (3)'!$O$2:$O$9</c:f>
              <c:numCache>
                <c:formatCode>\+0;\-0;\±0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D69-4E17-AB85-D388A8D79B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'Template (3)'!$A$35:$A$47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'Template (3)'!$B$35:$B$47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11-42BD-9696-BA9DDA6F33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Template!$O$2:$O$9</c:f>
              <c:numCache>
                <c:formatCode>\+0;\-0;\±0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Template!$A$35:$A$47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Template!$B$35:$B$47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3E-4473-B72B-408AC7A242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1.xml"/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4.xml"/><Relationship Id="rId2" Type="http://schemas.openxmlformats.org/officeDocument/2006/relationships/chart" Target="../charts/chart23.xml"/><Relationship Id="rId1" Type="http://schemas.openxmlformats.org/officeDocument/2006/relationships/chart" Target="../charts/chart22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3.xml"/><Relationship Id="rId2" Type="http://schemas.openxmlformats.org/officeDocument/2006/relationships/chart" Target="../charts/chart32.xml"/><Relationship Id="rId1" Type="http://schemas.openxmlformats.org/officeDocument/2006/relationships/chart" Target="../charts/chart31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6.xml"/><Relationship Id="rId2" Type="http://schemas.openxmlformats.org/officeDocument/2006/relationships/chart" Target="../charts/chart35.xml"/><Relationship Id="rId1" Type="http://schemas.openxmlformats.org/officeDocument/2006/relationships/chart" Target="../charts/chart34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9.xml"/><Relationship Id="rId2" Type="http://schemas.openxmlformats.org/officeDocument/2006/relationships/chart" Target="../charts/chart38.xml"/><Relationship Id="rId1" Type="http://schemas.openxmlformats.org/officeDocument/2006/relationships/chart" Target="../charts/chart37.xml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2.xml"/><Relationship Id="rId2" Type="http://schemas.openxmlformats.org/officeDocument/2006/relationships/chart" Target="../charts/chart41.xml"/><Relationship Id="rId1" Type="http://schemas.openxmlformats.org/officeDocument/2006/relationships/chart" Target="../charts/chart40.xml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5.xml"/><Relationship Id="rId2" Type="http://schemas.openxmlformats.org/officeDocument/2006/relationships/chart" Target="../charts/chart44.xml"/><Relationship Id="rId1" Type="http://schemas.openxmlformats.org/officeDocument/2006/relationships/chart" Target="../charts/chart43.xml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8.xml"/><Relationship Id="rId2" Type="http://schemas.openxmlformats.org/officeDocument/2006/relationships/chart" Target="../charts/chart47.xml"/><Relationship Id="rId1" Type="http://schemas.openxmlformats.org/officeDocument/2006/relationships/chart" Target="../charts/chart46.xml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1.xml"/><Relationship Id="rId2" Type="http://schemas.openxmlformats.org/officeDocument/2006/relationships/chart" Target="../charts/chart50.xml"/><Relationship Id="rId1" Type="http://schemas.openxmlformats.org/officeDocument/2006/relationships/chart" Target="../charts/chart49.xml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4.xml"/><Relationship Id="rId2" Type="http://schemas.openxmlformats.org/officeDocument/2006/relationships/chart" Target="../charts/chart53.xml"/><Relationship Id="rId1" Type="http://schemas.openxmlformats.org/officeDocument/2006/relationships/chart" Target="../charts/chart52.xml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7.xml"/><Relationship Id="rId2" Type="http://schemas.openxmlformats.org/officeDocument/2006/relationships/chart" Target="../charts/chart56.xml"/><Relationship Id="rId1" Type="http://schemas.openxmlformats.org/officeDocument/2006/relationships/chart" Target="../charts/chart55.xml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0.xml"/><Relationship Id="rId2" Type="http://schemas.openxmlformats.org/officeDocument/2006/relationships/chart" Target="../charts/chart59.xml"/><Relationship Id="rId1" Type="http://schemas.openxmlformats.org/officeDocument/2006/relationships/chart" Target="../charts/chart58.xml"/></Relationships>
</file>

<file path=xl/drawings/_rels/drawing2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3.xml"/><Relationship Id="rId2" Type="http://schemas.openxmlformats.org/officeDocument/2006/relationships/chart" Target="../charts/chart62.xml"/><Relationship Id="rId1" Type="http://schemas.openxmlformats.org/officeDocument/2006/relationships/chart" Target="../charts/chart61.xml"/></Relationships>
</file>

<file path=xl/drawings/_rels/drawing2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6.xml"/><Relationship Id="rId2" Type="http://schemas.openxmlformats.org/officeDocument/2006/relationships/chart" Target="../charts/chart65.xml"/><Relationship Id="rId1" Type="http://schemas.openxmlformats.org/officeDocument/2006/relationships/chart" Target="../charts/chart64.xml"/></Relationships>
</file>

<file path=xl/drawings/_rels/drawing2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9.xml"/><Relationship Id="rId2" Type="http://schemas.openxmlformats.org/officeDocument/2006/relationships/chart" Target="../charts/chart68.xml"/><Relationship Id="rId1" Type="http://schemas.openxmlformats.org/officeDocument/2006/relationships/chart" Target="../charts/chart67.xml"/></Relationships>
</file>

<file path=xl/drawings/_rels/drawing2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2.xml"/><Relationship Id="rId2" Type="http://schemas.openxmlformats.org/officeDocument/2006/relationships/chart" Target="../charts/chart71.xml"/><Relationship Id="rId1" Type="http://schemas.openxmlformats.org/officeDocument/2006/relationships/chart" Target="../charts/chart70.xml"/></Relationships>
</file>

<file path=xl/drawings/_rels/drawing2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5.xml"/><Relationship Id="rId2" Type="http://schemas.openxmlformats.org/officeDocument/2006/relationships/chart" Target="../charts/chart74.xml"/><Relationship Id="rId1" Type="http://schemas.openxmlformats.org/officeDocument/2006/relationships/chart" Target="../charts/chart73.xml"/></Relationships>
</file>

<file path=xl/drawings/_rels/drawing2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8.xml"/><Relationship Id="rId2" Type="http://schemas.openxmlformats.org/officeDocument/2006/relationships/chart" Target="../charts/chart77.xml"/><Relationship Id="rId1" Type="http://schemas.openxmlformats.org/officeDocument/2006/relationships/chart" Target="../charts/chart76.xml"/></Relationships>
</file>

<file path=xl/drawings/_rels/drawing2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1.xml"/><Relationship Id="rId2" Type="http://schemas.openxmlformats.org/officeDocument/2006/relationships/chart" Target="../charts/chart80.xml"/><Relationship Id="rId1" Type="http://schemas.openxmlformats.org/officeDocument/2006/relationships/chart" Target="../charts/chart79.xml"/></Relationships>
</file>

<file path=xl/drawings/_rels/drawing2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4.xml"/><Relationship Id="rId2" Type="http://schemas.openxmlformats.org/officeDocument/2006/relationships/chart" Target="../charts/chart83.xml"/><Relationship Id="rId1" Type="http://schemas.openxmlformats.org/officeDocument/2006/relationships/chart" Target="../charts/chart82.xml"/></Relationships>
</file>

<file path=xl/drawings/_rels/drawing3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7.xml"/><Relationship Id="rId2" Type="http://schemas.openxmlformats.org/officeDocument/2006/relationships/chart" Target="../charts/chart86.xml"/><Relationship Id="rId1" Type="http://schemas.openxmlformats.org/officeDocument/2006/relationships/chart" Target="../charts/chart85.xml"/></Relationships>
</file>

<file path=xl/drawings/_rels/drawing3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0.xml"/><Relationship Id="rId2" Type="http://schemas.openxmlformats.org/officeDocument/2006/relationships/chart" Target="../charts/chart89.xml"/><Relationship Id="rId1" Type="http://schemas.openxmlformats.org/officeDocument/2006/relationships/chart" Target="../charts/chart88.xml"/></Relationships>
</file>

<file path=xl/drawings/_rels/drawing3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3.xml"/><Relationship Id="rId2" Type="http://schemas.openxmlformats.org/officeDocument/2006/relationships/chart" Target="../charts/chart92.xml"/><Relationship Id="rId1" Type="http://schemas.openxmlformats.org/officeDocument/2006/relationships/chart" Target="../charts/chart91.xml"/></Relationships>
</file>

<file path=xl/drawings/_rels/drawing3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6.xml"/><Relationship Id="rId2" Type="http://schemas.openxmlformats.org/officeDocument/2006/relationships/chart" Target="../charts/chart95.xml"/><Relationship Id="rId1" Type="http://schemas.openxmlformats.org/officeDocument/2006/relationships/chart" Target="../charts/chart94.xml"/></Relationships>
</file>

<file path=xl/drawings/_rels/drawing3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9.xml"/><Relationship Id="rId2" Type="http://schemas.openxmlformats.org/officeDocument/2006/relationships/chart" Target="../charts/chart98.xml"/><Relationship Id="rId1" Type="http://schemas.openxmlformats.org/officeDocument/2006/relationships/chart" Target="../charts/chart97.xml"/></Relationships>
</file>

<file path=xl/drawings/_rels/drawing3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2.xml"/><Relationship Id="rId2" Type="http://schemas.openxmlformats.org/officeDocument/2006/relationships/chart" Target="../charts/chart101.xml"/><Relationship Id="rId1" Type="http://schemas.openxmlformats.org/officeDocument/2006/relationships/chart" Target="../charts/chart100.xml"/></Relationships>
</file>

<file path=xl/drawings/_rels/drawing3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5.xml"/><Relationship Id="rId2" Type="http://schemas.openxmlformats.org/officeDocument/2006/relationships/chart" Target="../charts/chart104.xml"/><Relationship Id="rId1" Type="http://schemas.openxmlformats.org/officeDocument/2006/relationships/chart" Target="../charts/chart103.xml"/></Relationships>
</file>

<file path=xl/drawings/_rels/drawing3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8.xml"/><Relationship Id="rId2" Type="http://schemas.openxmlformats.org/officeDocument/2006/relationships/chart" Target="../charts/chart107.xml"/><Relationship Id="rId1" Type="http://schemas.openxmlformats.org/officeDocument/2006/relationships/chart" Target="../charts/chart106.xml"/></Relationships>
</file>

<file path=xl/drawings/_rels/drawing3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1.xml"/><Relationship Id="rId2" Type="http://schemas.openxmlformats.org/officeDocument/2006/relationships/chart" Target="../charts/chart110.xml"/><Relationship Id="rId1" Type="http://schemas.openxmlformats.org/officeDocument/2006/relationships/chart" Target="../charts/chart109.xml"/></Relationships>
</file>

<file path=xl/drawings/_rels/drawing3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4.xml"/><Relationship Id="rId2" Type="http://schemas.openxmlformats.org/officeDocument/2006/relationships/chart" Target="../charts/chart113.xml"/><Relationship Id="rId1" Type="http://schemas.openxmlformats.org/officeDocument/2006/relationships/chart" Target="../charts/chart112.xml"/></Relationships>
</file>

<file path=xl/drawings/_rels/drawing4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7.xml"/><Relationship Id="rId2" Type="http://schemas.openxmlformats.org/officeDocument/2006/relationships/chart" Target="../charts/chart116.xml"/><Relationship Id="rId1" Type="http://schemas.openxmlformats.org/officeDocument/2006/relationships/chart" Target="../charts/chart115.xml"/></Relationships>
</file>

<file path=xl/drawings/_rels/drawing4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0.xml"/><Relationship Id="rId2" Type="http://schemas.openxmlformats.org/officeDocument/2006/relationships/chart" Target="../charts/chart119.xml"/><Relationship Id="rId1" Type="http://schemas.openxmlformats.org/officeDocument/2006/relationships/chart" Target="../charts/chart118.xml"/></Relationships>
</file>

<file path=xl/drawings/_rels/drawing4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3.xml"/><Relationship Id="rId2" Type="http://schemas.openxmlformats.org/officeDocument/2006/relationships/chart" Target="../charts/chart122.xml"/><Relationship Id="rId1" Type="http://schemas.openxmlformats.org/officeDocument/2006/relationships/chart" Target="../charts/chart121.xml"/></Relationships>
</file>

<file path=xl/drawings/_rels/drawing4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6.xml"/><Relationship Id="rId2" Type="http://schemas.openxmlformats.org/officeDocument/2006/relationships/chart" Target="../charts/chart125.xml"/><Relationship Id="rId1" Type="http://schemas.openxmlformats.org/officeDocument/2006/relationships/chart" Target="../charts/chart124.xml"/></Relationships>
</file>

<file path=xl/drawings/_rels/drawing4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9.xml"/><Relationship Id="rId2" Type="http://schemas.openxmlformats.org/officeDocument/2006/relationships/chart" Target="../charts/chart128.xml"/><Relationship Id="rId1" Type="http://schemas.openxmlformats.org/officeDocument/2006/relationships/chart" Target="../charts/chart127.xml"/></Relationships>
</file>

<file path=xl/drawings/_rels/drawing4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2.xml"/><Relationship Id="rId2" Type="http://schemas.openxmlformats.org/officeDocument/2006/relationships/chart" Target="../charts/chart131.xml"/><Relationship Id="rId1" Type="http://schemas.openxmlformats.org/officeDocument/2006/relationships/chart" Target="../charts/chart130.xml"/></Relationships>
</file>

<file path=xl/drawings/_rels/drawing4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5.xml"/><Relationship Id="rId2" Type="http://schemas.openxmlformats.org/officeDocument/2006/relationships/chart" Target="../charts/chart134.xml"/><Relationship Id="rId1" Type="http://schemas.openxmlformats.org/officeDocument/2006/relationships/chart" Target="../charts/chart133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30480</xdr:colOff>
          <xdr:row>0</xdr:row>
          <xdr:rowOff>22860</xdr:rowOff>
        </xdr:from>
        <xdr:to>
          <xdr:col>0</xdr:col>
          <xdr:colOff>426720</xdr:colOff>
          <xdr:row>0</xdr:row>
          <xdr:rowOff>220980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2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F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F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4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5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6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7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8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9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0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1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2.bin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3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4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5.bin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6.bin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37.bin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38.bin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39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40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41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42.bin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43.bin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44.bin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5.xml"/><Relationship Id="rId1" Type="http://schemas.openxmlformats.org/officeDocument/2006/relationships/printerSettings" Target="../printerSettings/printerSettings45.bin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6.xml"/><Relationship Id="rId1" Type="http://schemas.openxmlformats.org/officeDocument/2006/relationships/printerSettings" Target="../printerSettings/printerSettings4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E75"/>
  <sheetViews>
    <sheetView workbookViewId="0"/>
  </sheetViews>
  <sheetFormatPr defaultColWidth="9" defaultRowHeight="18"/>
  <cols>
    <col min="1" max="1" width="19.19921875" style="24" customWidth="1"/>
    <col min="2" max="2" width="19.19921875" style="25" customWidth="1"/>
    <col min="3" max="16384" width="9" style="24"/>
  </cols>
  <sheetData>
    <row r="1" spans="1:4">
      <c r="A1" s="23">
        <v>32874</v>
      </c>
      <c r="B1" s="23">
        <v>2958465</v>
      </c>
    </row>
    <row r="2" spans="1:4">
      <c r="A2" s="24" t="s">
        <v>160</v>
      </c>
      <c r="B2" s="25">
        <v>45026.424027777779</v>
      </c>
      <c r="C2" s="24" t="s">
        <v>102</v>
      </c>
    </row>
    <row r="3" spans="1:4">
      <c r="A3" s="24" t="s">
        <v>165</v>
      </c>
      <c r="B3" s="25">
        <v>45026.424027777779</v>
      </c>
      <c r="C3" s="24" t="s">
        <v>102</v>
      </c>
    </row>
    <row r="4" spans="1:4">
      <c r="A4" s="24" t="s">
        <v>174</v>
      </c>
      <c r="B4" s="25">
        <v>45026.424027777779</v>
      </c>
      <c r="C4" s="24" t="s">
        <v>102</v>
      </c>
      <c r="D4" s="24" t="s">
        <v>176</v>
      </c>
    </row>
    <row r="5" spans="1:4">
      <c r="A5" s="24" t="s">
        <v>178</v>
      </c>
      <c r="B5" s="25">
        <v>45026.424039351848</v>
      </c>
      <c r="C5" s="24" t="s">
        <v>102</v>
      </c>
      <c r="D5" s="24" t="s">
        <v>176</v>
      </c>
    </row>
    <row r="6" spans="1:4">
      <c r="A6" s="24" t="s">
        <v>188</v>
      </c>
      <c r="B6" s="25">
        <v>45026.424039351848</v>
      </c>
      <c r="C6" s="24" t="s">
        <v>102</v>
      </c>
      <c r="D6" s="24" t="s">
        <v>176</v>
      </c>
    </row>
    <row r="7" spans="1:4">
      <c r="A7" s="24" t="s">
        <v>189</v>
      </c>
      <c r="B7" s="25">
        <v>45026.424039351848</v>
      </c>
      <c r="C7" s="24" t="s">
        <v>102</v>
      </c>
      <c r="D7" s="24" t="s">
        <v>176</v>
      </c>
    </row>
    <row r="8" spans="1:4">
      <c r="A8" s="24" t="s">
        <v>190</v>
      </c>
      <c r="B8" s="25">
        <v>45026.424039351848</v>
      </c>
      <c r="C8" s="24" t="s">
        <v>102</v>
      </c>
      <c r="D8" s="24" t="s">
        <v>176</v>
      </c>
    </row>
    <row r="9" spans="1:4">
      <c r="A9" s="24" t="s">
        <v>192</v>
      </c>
      <c r="B9" s="25">
        <v>45026.424050925925</v>
      </c>
      <c r="C9" s="24" t="s">
        <v>102</v>
      </c>
      <c r="D9" s="24" t="s">
        <v>176</v>
      </c>
    </row>
    <row r="10" spans="1:4">
      <c r="A10" s="24" t="s">
        <v>193</v>
      </c>
      <c r="B10" s="25">
        <v>45026.424050925925</v>
      </c>
      <c r="C10" s="24" t="s">
        <v>102</v>
      </c>
      <c r="D10" s="24" t="s">
        <v>176</v>
      </c>
    </row>
    <row r="11" spans="1:4">
      <c r="A11" s="24" t="s">
        <v>194</v>
      </c>
      <c r="B11" s="25">
        <v>45026.424050925925</v>
      </c>
      <c r="C11" s="24" t="s">
        <v>102</v>
      </c>
      <c r="D11" s="24" t="s">
        <v>176</v>
      </c>
    </row>
    <row r="12" spans="1:4">
      <c r="A12" s="24" t="s">
        <v>197</v>
      </c>
      <c r="B12" s="25">
        <v>45026.424062500002</v>
      </c>
      <c r="C12" s="24" t="s">
        <v>102</v>
      </c>
      <c r="D12" s="24" t="s">
        <v>176</v>
      </c>
    </row>
    <row r="13" spans="1:4">
      <c r="A13" s="24" t="s">
        <v>198</v>
      </c>
      <c r="B13" s="25">
        <v>45026.424062500002</v>
      </c>
      <c r="C13" s="24" t="s">
        <v>102</v>
      </c>
      <c r="D13" s="24" t="s">
        <v>176</v>
      </c>
    </row>
    <row r="14" spans="1:4">
      <c r="A14" s="24" t="s">
        <v>201</v>
      </c>
      <c r="B14" s="25">
        <v>45026.424062500002</v>
      </c>
      <c r="C14" s="24" t="s">
        <v>102</v>
      </c>
      <c r="D14" s="24" t="s">
        <v>176</v>
      </c>
    </row>
    <row r="15" spans="1:4">
      <c r="A15" s="24" t="s">
        <v>204</v>
      </c>
      <c r="B15" s="25">
        <v>45026.424062500002</v>
      </c>
      <c r="C15" s="24" t="s">
        <v>102</v>
      </c>
      <c r="D15" s="24" t="s">
        <v>176</v>
      </c>
    </row>
    <row r="16" spans="1:4">
      <c r="A16" s="24" t="s">
        <v>206</v>
      </c>
      <c r="B16" s="25">
        <v>45026.424074074072</v>
      </c>
      <c r="C16" s="24" t="s">
        <v>102</v>
      </c>
      <c r="D16" s="24" t="s">
        <v>176</v>
      </c>
    </row>
    <row r="17" spans="1:5">
      <c r="A17" s="24" t="s">
        <v>207</v>
      </c>
      <c r="B17" s="25">
        <v>45026.424074074072</v>
      </c>
      <c r="C17" s="24" t="s">
        <v>102</v>
      </c>
      <c r="D17" s="24" t="s">
        <v>176</v>
      </c>
    </row>
    <row r="18" spans="1:5">
      <c r="A18" s="24" t="s">
        <v>209</v>
      </c>
      <c r="B18" s="25">
        <v>45026.424074074072</v>
      </c>
      <c r="C18" s="24" t="s">
        <v>102</v>
      </c>
    </row>
    <row r="19" spans="1:5">
      <c r="A19" s="24" t="s">
        <v>210</v>
      </c>
      <c r="B19" s="25">
        <v>45026.424074074072</v>
      </c>
      <c r="C19" s="24" t="s">
        <v>102</v>
      </c>
      <c r="D19" s="24" t="s">
        <v>176</v>
      </c>
    </row>
    <row r="20" spans="1:5">
      <c r="A20" s="24" t="s">
        <v>211</v>
      </c>
      <c r="B20" s="25">
        <v>45026.424085648148</v>
      </c>
      <c r="C20" s="24" t="s">
        <v>102</v>
      </c>
      <c r="D20" s="24" t="s">
        <v>176</v>
      </c>
    </row>
    <row r="21" spans="1:5">
      <c r="A21" s="24" t="s">
        <v>212</v>
      </c>
      <c r="B21" s="25">
        <v>45026.424085648148</v>
      </c>
      <c r="C21" s="24" t="s">
        <v>102</v>
      </c>
    </row>
    <row r="22" spans="1:5">
      <c r="A22" s="24" t="s">
        <v>214</v>
      </c>
      <c r="B22" s="25">
        <v>45026.424085648148</v>
      </c>
      <c r="C22" s="24" t="s">
        <v>102</v>
      </c>
    </row>
    <row r="23" spans="1:5">
      <c r="A23" s="24" t="s">
        <v>217</v>
      </c>
      <c r="B23" s="25">
        <v>45026.424085648148</v>
      </c>
      <c r="C23" s="24" t="s">
        <v>102</v>
      </c>
    </row>
    <row r="24" spans="1:5">
      <c r="A24" s="24" t="s">
        <v>218</v>
      </c>
      <c r="B24" s="25">
        <v>45026.424097222225</v>
      </c>
      <c r="C24" s="24" t="s">
        <v>102</v>
      </c>
    </row>
    <row r="25" spans="1:5">
      <c r="A25" s="24" t="s">
        <v>219</v>
      </c>
      <c r="B25" s="25">
        <v>45026.424097222225</v>
      </c>
      <c r="C25" s="24" t="s">
        <v>102</v>
      </c>
      <c r="D25" s="24" t="s">
        <v>176</v>
      </c>
    </row>
    <row r="26" spans="1:5">
      <c r="A26" s="24" t="s">
        <v>220</v>
      </c>
      <c r="B26" s="25">
        <v>45026.424097222225</v>
      </c>
      <c r="C26" s="24" t="s">
        <v>102</v>
      </c>
      <c r="D26" s="24" t="s">
        <v>176</v>
      </c>
      <c r="E26" s="24" t="s">
        <v>221</v>
      </c>
    </row>
    <row r="27" spans="1:5">
      <c r="A27" s="24" t="s">
        <v>222</v>
      </c>
      <c r="B27" s="25">
        <v>45026.424108796295</v>
      </c>
      <c r="C27" s="24" t="s">
        <v>102</v>
      </c>
      <c r="D27" s="24" t="s">
        <v>176</v>
      </c>
    </row>
    <row r="28" spans="1:5">
      <c r="A28" s="24" t="s">
        <v>224</v>
      </c>
      <c r="B28" s="25">
        <v>45026.424108796295</v>
      </c>
      <c r="C28" s="24" t="s">
        <v>102</v>
      </c>
    </row>
    <row r="29" spans="1:5">
      <c r="A29" s="24" t="s">
        <v>225</v>
      </c>
      <c r="B29" s="25">
        <v>45026.424108796295</v>
      </c>
      <c r="C29" s="24" t="s">
        <v>102</v>
      </c>
      <c r="D29" s="24" t="s">
        <v>176</v>
      </c>
    </row>
    <row r="30" spans="1:5">
      <c r="A30" s="24" t="s">
        <v>226</v>
      </c>
      <c r="B30" s="25">
        <v>45026.424108796295</v>
      </c>
      <c r="C30" s="24" t="s">
        <v>102</v>
      </c>
    </row>
    <row r="31" spans="1:5">
      <c r="A31" s="24" t="s">
        <v>229</v>
      </c>
      <c r="B31" s="25">
        <v>45026.424108796295</v>
      </c>
      <c r="C31" s="24" t="s">
        <v>102</v>
      </c>
    </row>
    <row r="32" spans="1:5">
      <c r="A32" s="24" t="s">
        <v>230</v>
      </c>
      <c r="B32" s="25">
        <v>44742.77925925926</v>
      </c>
      <c r="C32" s="24" t="s">
        <v>102</v>
      </c>
      <c r="D32" s="24" t="s">
        <v>176</v>
      </c>
    </row>
    <row r="33" spans="1:3">
      <c r="A33" s="24" t="s">
        <v>232</v>
      </c>
      <c r="B33" s="25">
        <v>45026.424120370371</v>
      </c>
      <c r="C33" s="24" t="s">
        <v>102</v>
      </c>
    </row>
    <row r="34" spans="1:3">
      <c r="A34" s="24" t="s">
        <v>233</v>
      </c>
      <c r="B34" s="25">
        <v>45026.424120370371</v>
      </c>
      <c r="C34" s="24" t="s">
        <v>102</v>
      </c>
    </row>
    <row r="35" spans="1:3">
      <c r="A35" s="24" t="s">
        <v>234</v>
      </c>
      <c r="B35" s="25">
        <v>45026.424120370371</v>
      </c>
      <c r="C35" s="24" t="s">
        <v>102</v>
      </c>
    </row>
    <row r="36" spans="1:3">
      <c r="A36" s="24" t="s">
        <v>236</v>
      </c>
      <c r="B36" s="25">
        <v>45026.424120370371</v>
      </c>
      <c r="C36" s="24" t="s">
        <v>102</v>
      </c>
    </row>
    <row r="37" spans="1:3">
      <c r="A37" s="24" t="s">
        <v>237</v>
      </c>
      <c r="B37" s="25">
        <v>44777.72625</v>
      </c>
      <c r="C37" s="24" t="s">
        <v>102</v>
      </c>
    </row>
    <row r="38" spans="1:3">
      <c r="A38" s="24" t="s">
        <v>239</v>
      </c>
      <c r="B38" s="25">
        <v>44777.772175925929</v>
      </c>
      <c r="C38" s="24" t="s">
        <v>102</v>
      </c>
    </row>
    <row r="39" spans="1:3">
      <c r="A39" s="24" t="s">
        <v>240</v>
      </c>
      <c r="B39" s="25">
        <v>44840.725868055553</v>
      </c>
      <c r="C39" s="24" t="s">
        <v>102</v>
      </c>
    </row>
    <row r="40" spans="1:3">
      <c r="A40" s="24" t="s">
        <v>242</v>
      </c>
      <c r="B40" s="25">
        <v>44840.773032407407</v>
      </c>
      <c r="C40" s="24" t="s">
        <v>102</v>
      </c>
    </row>
    <row r="41" spans="1:3">
      <c r="A41" s="24" t="s">
        <v>243</v>
      </c>
      <c r="B41" s="25">
        <v>44866.736504629633</v>
      </c>
      <c r="C41" s="24" t="s">
        <v>102</v>
      </c>
    </row>
    <row r="42" spans="1:3">
      <c r="A42" s="24" t="s">
        <v>245</v>
      </c>
      <c r="B42" s="25">
        <v>44866.778969907406</v>
      </c>
      <c r="C42" s="24" t="s">
        <v>102</v>
      </c>
    </row>
    <row r="43" spans="1:3">
      <c r="A43" s="24" t="s">
        <v>246</v>
      </c>
      <c r="B43" s="25">
        <v>44901.726504629631</v>
      </c>
      <c r="C43" s="24" t="s">
        <v>102</v>
      </c>
    </row>
    <row r="44" spans="1:3">
      <c r="A44" s="24" t="s">
        <v>247</v>
      </c>
      <c r="B44" s="25">
        <v>44903.385300925926</v>
      </c>
      <c r="C44" s="24" t="s">
        <v>102</v>
      </c>
    </row>
    <row r="45" spans="1:3">
      <c r="A45" s="24" t="s">
        <v>248</v>
      </c>
      <c r="B45" s="25">
        <v>44903.731898148151</v>
      </c>
      <c r="C45" s="24" t="s">
        <v>102</v>
      </c>
    </row>
    <row r="46" spans="1:3">
      <c r="A46" s="24" t="s">
        <v>249</v>
      </c>
      <c r="B46" s="25">
        <v>44903.777106481481</v>
      </c>
      <c r="C46" s="24" t="s">
        <v>102</v>
      </c>
    </row>
    <row r="47" spans="1:3">
      <c r="A47" s="24" t="s">
        <v>250</v>
      </c>
      <c r="B47" s="25">
        <v>44908.727673611109</v>
      </c>
      <c r="C47" s="24" t="s">
        <v>102</v>
      </c>
    </row>
    <row r="48" spans="1:3">
      <c r="A48" s="24" t="s">
        <v>251</v>
      </c>
      <c r="B48" s="25">
        <v>44908.776250000003</v>
      </c>
      <c r="C48" s="24" t="s">
        <v>102</v>
      </c>
    </row>
    <row r="49" spans="1:4">
      <c r="A49" s="24" t="s">
        <v>252</v>
      </c>
      <c r="B49" s="25">
        <v>44910.734027777777</v>
      </c>
      <c r="C49" s="24" t="s">
        <v>102</v>
      </c>
    </row>
    <row r="50" spans="1:4">
      <c r="A50" s="24" t="s">
        <v>253</v>
      </c>
      <c r="B50" s="25">
        <v>44910.779895833337</v>
      </c>
      <c r="C50" s="24" t="s">
        <v>102</v>
      </c>
    </row>
    <row r="51" spans="1:4">
      <c r="A51" s="24" t="s">
        <v>254</v>
      </c>
      <c r="B51" s="25">
        <v>44938.73945601852</v>
      </c>
      <c r="C51" s="24" t="s">
        <v>102</v>
      </c>
    </row>
    <row r="52" spans="1:4">
      <c r="A52" s="24" t="s">
        <v>256</v>
      </c>
      <c r="B52" s="25">
        <v>44938.78019675926</v>
      </c>
      <c r="C52" s="24" t="s">
        <v>102</v>
      </c>
    </row>
    <row r="53" spans="1:4">
      <c r="A53" s="24" t="s">
        <v>257</v>
      </c>
      <c r="B53" s="25">
        <v>44964.779722222222</v>
      </c>
      <c r="C53" s="24" t="s">
        <v>102</v>
      </c>
      <c r="D53" s="24" t="s">
        <v>176</v>
      </c>
    </row>
    <row r="54" spans="1:4">
      <c r="A54" s="24" t="s">
        <v>259</v>
      </c>
      <c r="B54" s="25">
        <v>44964.777222222219</v>
      </c>
      <c r="C54" s="24" t="s">
        <v>102</v>
      </c>
      <c r="D54" s="24" t="s">
        <v>176</v>
      </c>
    </row>
    <row r="55" spans="1:4">
      <c r="A55" s="24" t="s">
        <v>260</v>
      </c>
      <c r="B55" s="25">
        <v>44966.774502314816</v>
      </c>
      <c r="C55" s="24" t="s">
        <v>102</v>
      </c>
      <c r="D55" s="24" t="s">
        <v>176</v>
      </c>
    </row>
    <row r="56" spans="1:4">
      <c r="A56" s="24" t="s">
        <v>261</v>
      </c>
      <c r="B56" s="25">
        <v>45055.781886574077</v>
      </c>
      <c r="C56" s="24" t="s">
        <v>102</v>
      </c>
    </row>
    <row r="57" spans="1:4">
      <c r="A57" s="24" t="s">
        <v>266</v>
      </c>
      <c r="B57" s="25">
        <v>45055.782314814816</v>
      </c>
      <c r="C57" s="24" t="s">
        <v>102</v>
      </c>
    </row>
    <row r="58" spans="1:4">
      <c r="A58" s="24" t="s">
        <v>267</v>
      </c>
      <c r="B58" s="25">
        <v>45057.761631944442</v>
      </c>
      <c r="C58" s="24" t="s">
        <v>102</v>
      </c>
    </row>
    <row r="59" spans="1:4">
      <c r="A59" s="24" t="s">
        <v>270</v>
      </c>
      <c r="B59" s="25">
        <v>45064.761631944442</v>
      </c>
      <c r="C59" s="24" t="s">
        <v>102</v>
      </c>
    </row>
    <row r="60" spans="1:4">
      <c r="A60" s="24" t="s">
        <v>271</v>
      </c>
      <c r="B60" s="25">
        <v>45099.731053240743</v>
      </c>
      <c r="C60" s="24" t="s">
        <v>102</v>
      </c>
    </row>
    <row r="61" spans="1:4">
      <c r="A61" s="24" t="s">
        <v>273</v>
      </c>
      <c r="B61" s="25">
        <v>45099.769166666665</v>
      </c>
      <c r="C61" s="24" t="s">
        <v>102</v>
      </c>
    </row>
    <row r="62" spans="1:4">
      <c r="A62" s="24" t="s">
        <v>274</v>
      </c>
      <c r="B62" s="25">
        <v>45104.715636574074</v>
      </c>
      <c r="C62" s="24" t="s">
        <v>102</v>
      </c>
    </row>
    <row r="63" spans="1:4">
      <c r="A63" s="24" t="s">
        <v>275</v>
      </c>
      <c r="B63" s="25">
        <v>45104.758761574078</v>
      </c>
      <c r="C63" s="24" t="s">
        <v>102</v>
      </c>
    </row>
    <row r="64" spans="1:4">
      <c r="A64" s="24" t="s">
        <v>278</v>
      </c>
      <c r="B64" s="25">
        <v>45106.757928240739</v>
      </c>
      <c r="C64" s="24" t="s">
        <v>102</v>
      </c>
    </row>
    <row r="65" spans="1:4">
      <c r="A65" s="24" t="s">
        <v>279</v>
      </c>
      <c r="B65" s="25">
        <v>45111.7262962963</v>
      </c>
      <c r="C65" s="24" t="s">
        <v>102</v>
      </c>
    </row>
    <row r="66" spans="1:4">
      <c r="A66" s="24" t="s">
        <v>280</v>
      </c>
      <c r="B66" s="25">
        <v>45111.766608796293</v>
      </c>
      <c r="C66" s="24" t="s">
        <v>102</v>
      </c>
    </row>
    <row r="67" spans="1:4">
      <c r="A67" s="24" t="s">
        <v>281</v>
      </c>
      <c r="B67" s="25">
        <v>45113.762731481482</v>
      </c>
      <c r="C67" s="24" t="s">
        <v>102</v>
      </c>
    </row>
    <row r="68" spans="1:4">
      <c r="A68" s="24" t="s">
        <v>282</v>
      </c>
      <c r="B68" s="25">
        <v>45118.73510416667</v>
      </c>
      <c r="C68" s="24" t="s">
        <v>102</v>
      </c>
    </row>
    <row r="69" spans="1:4">
      <c r="A69" s="24" t="s">
        <v>283</v>
      </c>
      <c r="B69" s="25">
        <v>45118.775081018517</v>
      </c>
      <c r="C69" s="24" t="s">
        <v>102</v>
      </c>
    </row>
    <row r="70" spans="1:4">
      <c r="A70" s="24" t="s">
        <v>284</v>
      </c>
      <c r="B70" s="25">
        <v>45120.762870370374</v>
      </c>
      <c r="C70" s="24" t="s">
        <v>102</v>
      </c>
    </row>
    <row r="71" spans="1:4">
      <c r="A71" s="24" t="s">
        <v>285</v>
      </c>
      <c r="B71" s="25">
        <v>45120.762499999997</v>
      </c>
      <c r="C71" s="24" t="s">
        <v>102</v>
      </c>
    </row>
    <row r="72" spans="1:4">
      <c r="A72" s="24" t="s">
        <v>286</v>
      </c>
      <c r="B72" s="25">
        <v>45146.781944444447</v>
      </c>
      <c r="C72" s="24" t="s">
        <v>102</v>
      </c>
      <c r="D72" s="24" t="s">
        <v>176</v>
      </c>
    </row>
    <row r="73" spans="1:4">
      <c r="A73" s="24" t="s">
        <v>287</v>
      </c>
      <c r="B73" s="25">
        <v>45146.781875000001</v>
      </c>
      <c r="C73" s="24" t="s">
        <v>102</v>
      </c>
      <c r="D73" s="24" t="s">
        <v>176</v>
      </c>
    </row>
    <row r="74" spans="1:4">
      <c r="A74" s="24" t="s">
        <v>288</v>
      </c>
      <c r="B74" s="25">
        <v>45148.774525462963</v>
      </c>
      <c r="C74" s="24" t="s">
        <v>102</v>
      </c>
      <c r="D74" s="24" t="s">
        <v>176</v>
      </c>
    </row>
    <row r="75" spans="1:4">
      <c r="A75" s="24" t="s">
        <v>289</v>
      </c>
      <c r="B75" s="25">
        <v>45148.774930555555</v>
      </c>
      <c r="C75" s="24" t="s">
        <v>102</v>
      </c>
      <c r="D75" s="24" t="s">
        <v>176</v>
      </c>
    </row>
  </sheetData>
  <phoneticPr fontId="2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B43"/>
  <sheetViews>
    <sheetView workbookViewId="0"/>
  </sheetViews>
  <sheetFormatPr defaultRowHeight="18"/>
  <cols>
    <col min="1" max="1" width="11" customWidth="1"/>
    <col min="2" max="2" width="9" customWidth="1"/>
  </cols>
  <sheetData>
    <row r="1" spans="1:2">
      <c r="A1" t="s">
        <v>114</v>
      </c>
      <c r="B1">
        <v>405</v>
      </c>
    </row>
    <row r="2" spans="1:2">
      <c r="A2" t="s">
        <v>164</v>
      </c>
      <c r="B2">
        <v>15</v>
      </c>
    </row>
    <row r="3" spans="1:2">
      <c r="A3" t="s">
        <v>161</v>
      </c>
      <c r="B3">
        <v>10</v>
      </c>
    </row>
    <row r="4" spans="1:2">
      <c r="A4" t="s">
        <v>162</v>
      </c>
      <c r="B4">
        <v>9</v>
      </c>
    </row>
    <row r="5" spans="1:2">
      <c r="A5" t="s">
        <v>163</v>
      </c>
      <c r="B5">
        <v>8</v>
      </c>
    </row>
    <row r="6" spans="1:2">
      <c r="A6" t="s">
        <v>169</v>
      </c>
      <c r="B6">
        <v>41</v>
      </c>
    </row>
    <row r="7" spans="1:2">
      <c r="A7" t="s">
        <v>166</v>
      </c>
      <c r="B7">
        <v>4</v>
      </c>
    </row>
    <row r="8" spans="1:2">
      <c r="A8" t="s">
        <v>167</v>
      </c>
      <c r="B8">
        <v>1</v>
      </c>
    </row>
    <row r="9" spans="1:2">
      <c r="A9" t="s">
        <v>168</v>
      </c>
      <c r="B9">
        <v>18</v>
      </c>
    </row>
    <row r="10" spans="1:2">
      <c r="A10" t="s">
        <v>175</v>
      </c>
      <c r="B10">
        <v>2</v>
      </c>
    </row>
    <row r="11" spans="1:2">
      <c r="A11" t="s">
        <v>177</v>
      </c>
      <c r="B11">
        <v>2</v>
      </c>
    </row>
    <row r="12" spans="1:2">
      <c r="A12" t="s">
        <v>180</v>
      </c>
      <c r="B12">
        <v>1</v>
      </c>
    </row>
    <row r="13" spans="1:2">
      <c r="A13" t="s">
        <v>179</v>
      </c>
      <c r="B13">
        <v>16</v>
      </c>
    </row>
    <row r="14" spans="1:2">
      <c r="A14" t="s">
        <v>199</v>
      </c>
      <c r="B14">
        <v>2</v>
      </c>
    </row>
    <row r="15" spans="1:2">
      <c r="A15" t="s">
        <v>191</v>
      </c>
      <c r="B15">
        <v>14</v>
      </c>
    </row>
    <row r="16" spans="1:2">
      <c r="A16" t="s">
        <v>195</v>
      </c>
      <c r="B16">
        <v>39</v>
      </c>
    </row>
    <row r="17" spans="1:2">
      <c r="A17" t="s">
        <v>196</v>
      </c>
      <c r="B17">
        <v>1</v>
      </c>
    </row>
    <row r="18" spans="1:2">
      <c r="A18" t="s">
        <v>203</v>
      </c>
      <c r="B18">
        <v>5</v>
      </c>
    </row>
    <row r="19" spans="1:2">
      <c r="A19" t="s">
        <v>202</v>
      </c>
      <c r="B19">
        <v>2</v>
      </c>
    </row>
    <row r="20" spans="1:2">
      <c r="A20" t="s">
        <v>205</v>
      </c>
      <c r="B20">
        <v>4</v>
      </c>
    </row>
    <row r="21" spans="1:2">
      <c r="A21" t="s">
        <v>208</v>
      </c>
      <c r="B21">
        <v>3</v>
      </c>
    </row>
    <row r="22" spans="1:2">
      <c r="A22" t="s">
        <v>213</v>
      </c>
      <c r="B22">
        <v>10</v>
      </c>
    </row>
    <row r="23" spans="1:2">
      <c r="A23" t="s">
        <v>215</v>
      </c>
      <c r="B23">
        <v>1</v>
      </c>
    </row>
    <row r="24" spans="1:2">
      <c r="A24" t="s">
        <v>216</v>
      </c>
      <c r="B24">
        <v>27</v>
      </c>
    </row>
    <row r="25" spans="1:2">
      <c r="A25" t="s">
        <v>223</v>
      </c>
      <c r="B25">
        <v>4</v>
      </c>
    </row>
    <row r="26" spans="1:2">
      <c r="A26" t="s">
        <v>228</v>
      </c>
      <c r="B26">
        <v>17</v>
      </c>
    </row>
    <row r="27" spans="1:2">
      <c r="A27" t="s">
        <v>227</v>
      </c>
      <c r="B27">
        <v>14</v>
      </c>
    </row>
    <row r="28" spans="1:2">
      <c r="A28" t="s">
        <v>231</v>
      </c>
      <c r="B28">
        <v>2</v>
      </c>
    </row>
    <row r="29" spans="1:2">
      <c r="A29" t="s">
        <v>235</v>
      </c>
      <c r="B29">
        <v>14</v>
      </c>
    </row>
    <row r="30" spans="1:2">
      <c r="A30" t="s">
        <v>238</v>
      </c>
      <c r="B30">
        <v>17</v>
      </c>
    </row>
    <row r="31" spans="1:2">
      <c r="A31" t="s">
        <v>241</v>
      </c>
      <c r="B31">
        <v>7</v>
      </c>
    </row>
    <row r="32" spans="1:2">
      <c r="A32" t="s">
        <v>244</v>
      </c>
      <c r="B32">
        <v>11</v>
      </c>
    </row>
    <row r="33" spans="1:2">
      <c r="A33" t="s">
        <v>255</v>
      </c>
      <c r="B33">
        <v>10</v>
      </c>
    </row>
    <row r="34" spans="1:2">
      <c r="A34" t="s">
        <v>258</v>
      </c>
      <c r="B34">
        <v>7</v>
      </c>
    </row>
    <row r="35" spans="1:2">
      <c r="A35" t="s">
        <v>265</v>
      </c>
      <c r="B35">
        <v>10</v>
      </c>
    </row>
    <row r="36" spans="1:2">
      <c r="A36" t="s">
        <v>262</v>
      </c>
      <c r="B36">
        <v>3</v>
      </c>
    </row>
    <row r="37" spans="1:2">
      <c r="A37" t="s">
        <v>263</v>
      </c>
      <c r="B37">
        <v>12</v>
      </c>
    </row>
    <row r="38" spans="1:2">
      <c r="A38" t="s">
        <v>264</v>
      </c>
      <c r="B38">
        <v>2</v>
      </c>
    </row>
    <row r="39" spans="1:2">
      <c r="A39" t="s">
        <v>269</v>
      </c>
      <c r="B39">
        <v>7</v>
      </c>
    </row>
    <row r="40" spans="1:2">
      <c r="A40" t="s">
        <v>268</v>
      </c>
      <c r="B40">
        <v>1</v>
      </c>
    </row>
    <row r="41" spans="1:2">
      <c r="A41" t="s">
        <v>272</v>
      </c>
      <c r="B41">
        <v>11</v>
      </c>
    </row>
    <row r="42" spans="1:2">
      <c r="A42" t="s">
        <v>277</v>
      </c>
      <c r="B42">
        <v>11</v>
      </c>
    </row>
    <row r="43" spans="1:2">
      <c r="A43" t="s">
        <v>276</v>
      </c>
      <c r="B43">
        <v>9</v>
      </c>
    </row>
  </sheetData>
  <phoneticPr fontId="2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I45"/>
  <sheetViews>
    <sheetView showGridLines="0" tabSelected="1" zoomScale="130" zoomScaleNormal="130" workbookViewId="0">
      <selection activeCell="E11" sqref="E11"/>
    </sheetView>
  </sheetViews>
  <sheetFormatPr defaultColWidth="9" defaultRowHeight="18"/>
  <cols>
    <col min="1" max="1" width="6" style="44" customWidth="1"/>
    <col min="2" max="2" width="10.69921875" style="45" customWidth="1"/>
    <col min="3" max="3" width="10.69921875" style="107" customWidth="1"/>
    <col min="4" max="4" width="10.69921875" style="45" customWidth="1"/>
    <col min="5" max="5" width="10.69921875" style="46" customWidth="1"/>
    <col min="6" max="6" width="10.69921875" style="47" customWidth="1"/>
    <col min="7" max="7" width="10.69921875" style="59" customWidth="1"/>
    <col min="8" max="8" width="10.69921875" style="47" customWidth="1"/>
    <col min="9" max="9" width="10.69921875" style="48" customWidth="1"/>
    <col min="10" max="10" width="10.69921875" style="47" customWidth="1"/>
    <col min="11" max="11" width="10.69921875" style="49" customWidth="1"/>
    <col min="12" max="12" width="10.69921875" style="47" customWidth="1"/>
    <col min="13" max="13" width="10.69921875" style="49" customWidth="1"/>
    <col min="14" max="14" width="10.69921875" style="47" customWidth="1"/>
    <col min="15" max="15" width="10.69921875" style="49" customWidth="1"/>
    <col min="16" max="16" width="10.69921875" style="47" customWidth="1"/>
    <col min="17" max="17" width="10.69921875" style="50" customWidth="1"/>
    <col min="18" max="18" width="10.69921875" style="47" customWidth="1"/>
    <col min="19" max="19" width="10.69921875" style="50" customWidth="1"/>
    <col min="20" max="20" width="10.69921875" style="47" customWidth="1"/>
    <col min="21" max="21" width="10.69921875" style="51" customWidth="1"/>
    <col min="22" max="22" width="10.69921875" style="47" customWidth="1"/>
    <col min="23" max="23" width="10.69921875" style="51" customWidth="1"/>
    <col min="24" max="24" width="10.69921875" style="47" customWidth="1"/>
    <col min="25" max="25" width="10.69921875" style="50" customWidth="1"/>
    <col min="26" max="26" width="10.69921875" style="47" customWidth="1"/>
    <col min="27" max="27" width="10.69921875" style="50" customWidth="1"/>
    <col min="28" max="28" width="10.69921875" style="47" customWidth="1"/>
    <col min="29" max="29" width="10.69921875" style="50" customWidth="1"/>
    <col min="30" max="30" width="10.69921875" style="47" customWidth="1"/>
    <col min="31" max="31" width="10.69921875" style="50" customWidth="1"/>
    <col min="32" max="32" width="10.69921875" style="47" customWidth="1"/>
    <col min="33" max="33" width="10.69921875" style="50" customWidth="1"/>
    <col min="34" max="34" width="10.69921875" style="47" customWidth="1"/>
    <col min="35" max="35" width="10.69921875" style="54" customWidth="1"/>
  </cols>
  <sheetData>
    <row r="1" spans="1:35">
      <c r="A1" s="35"/>
      <c r="B1" s="108" t="s">
        <v>9</v>
      </c>
      <c r="C1" s="109"/>
      <c r="D1" s="108" t="s">
        <v>6</v>
      </c>
      <c r="E1" s="109"/>
      <c r="F1" s="108" t="s">
        <v>7</v>
      </c>
      <c r="G1" s="109"/>
      <c r="H1" s="108" t="s">
        <v>15</v>
      </c>
      <c r="I1" s="109"/>
      <c r="J1" s="108" t="s">
        <v>14</v>
      </c>
      <c r="K1" s="109"/>
      <c r="L1" s="108" t="s">
        <v>125</v>
      </c>
      <c r="M1" s="109"/>
      <c r="N1" s="108" t="s">
        <v>154</v>
      </c>
      <c r="O1" s="109"/>
      <c r="P1" s="108" t="s">
        <v>115</v>
      </c>
      <c r="Q1" s="109"/>
      <c r="R1" s="108" t="s">
        <v>116</v>
      </c>
      <c r="S1" s="109"/>
      <c r="T1" s="108" t="s">
        <v>5</v>
      </c>
      <c r="U1" s="109"/>
      <c r="V1" s="108" t="s">
        <v>16</v>
      </c>
      <c r="W1" s="109"/>
      <c r="X1" s="108" t="s">
        <v>98</v>
      </c>
      <c r="Y1" s="109"/>
      <c r="Z1" s="108" t="s">
        <v>95</v>
      </c>
      <c r="AA1" s="109"/>
      <c r="AB1" s="108" t="s">
        <v>101</v>
      </c>
      <c r="AC1" s="109"/>
      <c r="AD1" s="108" t="s">
        <v>117</v>
      </c>
      <c r="AE1" s="109"/>
      <c r="AF1" s="108" t="s">
        <v>113</v>
      </c>
      <c r="AG1" s="109"/>
      <c r="AH1" s="108" t="s">
        <v>148</v>
      </c>
      <c r="AI1" s="109"/>
    </row>
    <row r="2" spans="1:35">
      <c r="A2" s="35" t="s">
        <v>124</v>
      </c>
      <c r="B2" s="110">
        <v>0.4553021158809642</v>
      </c>
      <c r="C2" s="111"/>
      <c r="D2" s="112"/>
      <c r="E2" s="113"/>
      <c r="F2" s="112"/>
      <c r="G2" s="113"/>
      <c r="H2" s="110">
        <v>0.857283337422166</v>
      </c>
      <c r="I2" s="111"/>
      <c r="J2" s="110">
        <v>0.73400746343333945</v>
      </c>
      <c r="K2" s="111"/>
      <c r="L2" s="110">
        <v>0.69983359388888555</v>
      </c>
      <c r="M2" s="111"/>
      <c r="N2" s="110">
        <v>0.77196867641834033</v>
      </c>
      <c r="O2" s="111"/>
      <c r="P2" s="110">
        <v>0.73623069015358733</v>
      </c>
      <c r="Q2" s="111"/>
      <c r="R2" s="110">
        <v>0.53688455816728109</v>
      </c>
      <c r="S2" s="111"/>
      <c r="T2" s="110">
        <v>-1.9235451973341838E-2</v>
      </c>
      <c r="U2" s="111"/>
      <c r="V2" s="110">
        <v>0.2386681670628612</v>
      </c>
      <c r="W2" s="111"/>
      <c r="X2" s="110">
        <v>0.31030051649743462</v>
      </c>
      <c r="Y2" s="111"/>
      <c r="Z2" s="110">
        <v>0.35491818378255707</v>
      </c>
      <c r="AA2" s="111"/>
      <c r="AB2" s="110">
        <v>0.28003634600003885</v>
      </c>
      <c r="AC2" s="111"/>
      <c r="AD2" s="110">
        <v>0.58635678174522943</v>
      </c>
      <c r="AE2" s="111"/>
      <c r="AF2" s="110">
        <v>-0.26284918865455981</v>
      </c>
      <c r="AG2" s="111"/>
      <c r="AH2" s="110">
        <v>0.56154340674094105</v>
      </c>
      <c r="AI2" s="111"/>
    </row>
    <row r="3" spans="1:35">
      <c r="A3" s="36">
        <v>1</v>
      </c>
      <c r="B3" s="37" t="s">
        <v>114</v>
      </c>
      <c r="C3" s="106">
        <v>101.25</v>
      </c>
      <c r="D3" s="37" t="s">
        <v>169</v>
      </c>
      <c r="E3" s="38">
        <v>584.79999999999995</v>
      </c>
      <c r="F3" s="39" t="s">
        <v>231</v>
      </c>
      <c r="G3" s="58">
        <v>56.25</v>
      </c>
      <c r="H3" s="39" t="s">
        <v>231</v>
      </c>
      <c r="I3" s="40">
        <v>1</v>
      </c>
      <c r="J3" s="39" t="s">
        <v>231</v>
      </c>
      <c r="K3" s="41">
        <v>1</v>
      </c>
      <c r="L3" s="39" t="s">
        <v>272</v>
      </c>
      <c r="M3" s="41">
        <v>0</v>
      </c>
      <c r="N3" s="39" t="s">
        <v>167</v>
      </c>
      <c r="O3" s="41">
        <v>1</v>
      </c>
      <c r="P3" s="39" t="s">
        <v>205</v>
      </c>
      <c r="Q3" s="42">
        <v>0.42857142857142855</v>
      </c>
      <c r="R3" s="39" t="s">
        <v>167</v>
      </c>
      <c r="S3" s="42">
        <v>0</v>
      </c>
      <c r="T3" s="39" t="s">
        <v>244</v>
      </c>
      <c r="U3" s="43">
        <v>9175</v>
      </c>
      <c r="V3" s="39" t="s">
        <v>167</v>
      </c>
      <c r="W3" s="43">
        <v>0</v>
      </c>
      <c r="X3" s="39" t="s">
        <v>227</v>
      </c>
      <c r="Y3" s="42">
        <v>0.34408602150537637</v>
      </c>
      <c r="Z3" s="39" t="s">
        <v>231</v>
      </c>
      <c r="AA3" s="42">
        <v>0.38461538461538464</v>
      </c>
      <c r="AB3" s="39" t="s">
        <v>231</v>
      </c>
      <c r="AC3" s="42">
        <v>1</v>
      </c>
      <c r="AD3" s="39" t="s">
        <v>215</v>
      </c>
      <c r="AE3" s="42">
        <v>1</v>
      </c>
      <c r="AF3" s="39" t="s">
        <v>264</v>
      </c>
      <c r="AG3" s="42">
        <v>1</v>
      </c>
      <c r="AH3" s="39" t="s">
        <v>169</v>
      </c>
      <c r="AI3" s="53">
        <v>72200</v>
      </c>
    </row>
    <row r="4" spans="1:35">
      <c r="A4" s="44">
        <v>2</v>
      </c>
      <c r="B4" s="45" t="s">
        <v>169</v>
      </c>
      <c r="C4" s="107">
        <v>41</v>
      </c>
      <c r="D4" s="45" t="s">
        <v>272</v>
      </c>
      <c r="E4" s="46">
        <v>416.8</v>
      </c>
      <c r="F4" s="47" t="s">
        <v>268</v>
      </c>
      <c r="G4" s="59">
        <v>52.1</v>
      </c>
      <c r="H4" s="47" t="s">
        <v>268</v>
      </c>
      <c r="I4" s="48">
        <v>1</v>
      </c>
      <c r="J4" s="47" t="s">
        <v>268</v>
      </c>
      <c r="K4" s="49">
        <v>1</v>
      </c>
      <c r="L4" s="47" t="s">
        <v>167</v>
      </c>
      <c r="M4" s="49">
        <v>0</v>
      </c>
      <c r="N4" s="47" t="s">
        <v>231</v>
      </c>
      <c r="O4" s="49">
        <v>1</v>
      </c>
      <c r="P4" s="47" t="s">
        <v>268</v>
      </c>
      <c r="Q4" s="50">
        <v>0.4</v>
      </c>
      <c r="R4" s="47" t="s">
        <v>196</v>
      </c>
      <c r="S4" s="50">
        <v>0</v>
      </c>
      <c r="T4" s="47" t="s">
        <v>276</v>
      </c>
      <c r="U4" s="51">
        <v>9100</v>
      </c>
      <c r="V4" s="47" t="s">
        <v>196</v>
      </c>
      <c r="W4" s="51">
        <v>0</v>
      </c>
      <c r="X4" s="47" t="s">
        <v>215</v>
      </c>
      <c r="Y4" s="50">
        <v>0.33333333333333331</v>
      </c>
      <c r="Z4" s="47" t="s">
        <v>199</v>
      </c>
      <c r="AA4" s="50">
        <v>0.33333333333333331</v>
      </c>
      <c r="AB4" s="47" t="s">
        <v>268</v>
      </c>
      <c r="AC4" s="50">
        <v>1</v>
      </c>
      <c r="AD4" s="47" t="s">
        <v>265</v>
      </c>
      <c r="AE4" s="50">
        <v>0.66666666666666663</v>
      </c>
      <c r="AF4" s="47" t="s">
        <v>163</v>
      </c>
      <c r="AG4" s="50">
        <v>0.6</v>
      </c>
      <c r="AH4" s="47" t="s">
        <v>114</v>
      </c>
      <c r="AI4" s="54">
        <v>72200</v>
      </c>
    </row>
    <row r="5" spans="1:35">
      <c r="A5" s="44">
        <v>3</v>
      </c>
      <c r="B5" s="45" t="s">
        <v>195</v>
      </c>
      <c r="C5" s="107">
        <v>39</v>
      </c>
      <c r="D5" s="45" t="s">
        <v>162</v>
      </c>
      <c r="E5" s="46">
        <v>268</v>
      </c>
      <c r="F5" s="47" t="s">
        <v>272</v>
      </c>
      <c r="G5" s="59">
        <v>37.890909090909091</v>
      </c>
      <c r="H5" s="47" t="s">
        <v>264</v>
      </c>
      <c r="I5" s="48">
        <v>1.5</v>
      </c>
      <c r="J5" s="47" t="s">
        <v>162</v>
      </c>
      <c r="K5" s="49">
        <v>0.66666666666666663</v>
      </c>
      <c r="L5" s="47" t="s">
        <v>175</v>
      </c>
      <c r="M5" s="49">
        <v>0</v>
      </c>
      <c r="N5" s="47" t="s">
        <v>264</v>
      </c>
      <c r="O5" s="49">
        <v>1</v>
      </c>
      <c r="P5" s="47" t="s">
        <v>272</v>
      </c>
      <c r="Q5" s="50">
        <v>0.35064935064935066</v>
      </c>
      <c r="R5" s="47" t="s">
        <v>231</v>
      </c>
      <c r="S5" s="50">
        <v>7.6923076923076927E-2</v>
      </c>
      <c r="T5" s="47" t="s">
        <v>167</v>
      </c>
      <c r="U5" s="51">
        <v>8600</v>
      </c>
      <c r="V5" s="47" t="s">
        <v>264</v>
      </c>
      <c r="W5" s="51">
        <v>-1950</v>
      </c>
      <c r="X5" s="47" t="s">
        <v>272</v>
      </c>
      <c r="Y5" s="50">
        <v>0.32467532467532467</v>
      </c>
      <c r="Z5" s="47" t="s">
        <v>168</v>
      </c>
      <c r="AA5" s="50">
        <v>0.33098591549295775</v>
      </c>
      <c r="AB5" s="47" t="s">
        <v>205</v>
      </c>
      <c r="AC5" s="50">
        <v>0.8571428571428571</v>
      </c>
      <c r="AD5" s="47" t="s">
        <v>166</v>
      </c>
      <c r="AE5" s="50">
        <v>0.66666666666666663</v>
      </c>
      <c r="AF5" s="47" t="s">
        <v>235</v>
      </c>
      <c r="AG5" s="50">
        <v>0.5714285714285714</v>
      </c>
      <c r="AH5" s="47" t="s">
        <v>244</v>
      </c>
      <c r="AI5" s="54">
        <v>71800</v>
      </c>
    </row>
    <row r="6" spans="1:35">
      <c r="A6" s="44">
        <v>4</v>
      </c>
      <c r="B6" s="45" t="s">
        <v>216</v>
      </c>
      <c r="C6" s="107">
        <v>27</v>
      </c>
      <c r="D6" s="45" t="s">
        <v>195</v>
      </c>
      <c r="E6" s="46">
        <v>236</v>
      </c>
      <c r="F6" s="47" t="s">
        <v>205</v>
      </c>
      <c r="G6" s="59">
        <v>35.274999999999999</v>
      </c>
      <c r="H6" s="47" t="s">
        <v>272</v>
      </c>
      <c r="I6" s="48">
        <v>1.5454545454545454</v>
      </c>
      <c r="J6" s="47" t="s">
        <v>272</v>
      </c>
      <c r="K6" s="49">
        <v>0.63636363636363635</v>
      </c>
      <c r="L6" s="47" t="s">
        <v>196</v>
      </c>
      <c r="M6" s="49">
        <v>0</v>
      </c>
      <c r="N6" s="47" t="s">
        <v>268</v>
      </c>
      <c r="O6" s="49">
        <v>1</v>
      </c>
      <c r="P6" s="47" t="s">
        <v>231</v>
      </c>
      <c r="Q6" s="50">
        <v>0.30769230769230771</v>
      </c>
      <c r="R6" s="47" t="s">
        <v>276</v>
      </c>
      <c r="S6" s="50">
        <v>7.8125E-2</v>
      </c>
      <c r="T6" s="47" t="s">
        <v>268</v>
      </c>
      <c r="U6" s="51">
        <v>8550</v>
      </c>
      <c r="V6" s="47" t="s">
        <v>175</v>
      </c>
      <c r="W6" s="51">
        <v>-2950</v>
      </c>
      <c r="X6" s="47" t="s">
        <v>258</v>
      </c>
      <c r="Y6" s="50">
        <v>0.32</v>
      </c>
      <c r="Z6" s="47" t="s">
        <v>163</v>
      </c>
      <c r="AA6" s="50">
        <v>0.3188405797101449</v>
      </c>
      <c r="AB6" s="47" t="s">
        <v>162</v>
      </c>
      <c r="AC6" s="50">
        <v>0.75</v>
      </c>
      <c r="AD6" s="47" t="s">
        <v>264</v>
      </c>
      <c r="AE6" s="50">
        <v>0.66666666666666663</v>
      </c>
      <c r="AF6" s="47" t="s">
        <v>166</v>
      </c>
      <c r="AG6" s="50">
        <v>0.5714285714285714</v>
      </c>
      <c r="AH6" s="47" t="s">
        <v>162</v>
      </c>
      <c r="AI6" s="54">
        <v>67800</v>
      </c>
    </row>
    <row r="7" spans="1:35">
      <c r="A7" s="44">
        <v>5</v>
      </c>
      <c r="B7" s="45" t="s">
        <v>168</v>
      </c>
      <c r="C7" s="107">
        <v>18</v>
      </c>
      <c r="D7" s="45" t="s">
        <v>276</v>
      </c>
      <c r="E7" s="46">
        <v>181.50000000000003</v>
      </c>
      <c r="F7" s="47" t="s">
        <v>264</v>
      </c>
      <c r="G7" s="59">
        <v>31.650000000000002</v>
      </c>
      <c r="H7" s="47" t="s">
        <v>205</v>
      </c>
      <c r="I7" s="48">
        <v>1.75</v>
      </c>
      <c r="J7" s="47" t="s">
        <v>265</v>
      </c>
      <c r="K7" s="49">
        <v>0.5</v>
      </c>
      <c r="L7" s="47" t="s">
        <v>205</v>
      </c>
      <c r="M7" s="49">
        <v>0</v>
      </c>
      <c r="N7" s="47" t="s">
        <v>272</v>
      </c>
      <c r="O7" s="49">
        <v>0.81818181818181823</v>
      </c>
      <c r="P7" s="47" t="s">
        <v>265</v>
      </c>
      <c r="Q7" s="50">
        <v>0.30303030303030304</v>
      </c>
      <c r="R7" s="47" t="s">
        <v>255</v>
      </c>
      <c r="S7" s="50">
        <v>8.6956521739130432E-2</v>
      </c>
      <c r="T7" s="47" t="s">
        <v>216</v>
      </c>
      <c r="U7" s="51">
        <v>8496.2962962962956</v>
      </c>
      <c r="V7" s="47" t="s">
        <v>191</v>
      </c>
      <c r="W7" s="51">
        <v>-3740</v>
      </c>
      <c r="X7" s="47" t="s">
        <v>167</v>
      </c>
      <c r="Y7" s="50">
        <v>0.2857142857142857</v>
      </c>
      <c r="Z7" s="47" t="s">
        <v>276</v>
      </c>
      <c r="AA7" s="50">
        <v>0.3125</v>
      </c>
      <c r="AB7" s="47" t="s">
        <v>166</v>
      </c>
      <c r="AC7" s="50">
        <v>0.75</v>
      </c>
      <c r="AD7" s="47" t="s">
        <v>162</v>
      </c>
      <c r="AE7" s="50">
        <v>0.55555555555555558</v>
      </c>
      <c r="AF7" s="47" t="s">
        <v>167</v>
      </c>
      <c r="AG7" s="50">
        <v>0.5</v>
      </c>
      <c r="AH7" s="47" t="s">
        <v>228</v>
      </c>
      <c r="AI7" s="54">
        <v>67500</v>
      </c>
    </row>
    <row r="8" spans="1:35">
      <c r="A8" s="44">
        <v>6</v>
      </c>
      <c r="B8" s="45" t="s">
        <v>228</v>
      </c>
      <c r="C8" s="107">
        <v>17</v>
      </c>
      <c r="D8" s="45" t="s">
        <v>265</v>
      </c>
      <c r="E8" s="46">
        <v>179.8</v>
      </c>
      <c r="F8" s="47" t="s">
        <v>162</v>
      </c>
      <c r="G8" s="59">
        <v>29.777777777777779</v>
      </c>
      <c r="H8" s="47" t="s">
        <v>162</v>
      </c>
      <c r="I8" s="48">
        <v>1.8888888888888888</v>
      </c>
      <c r="J8" s="47" t="s">
        <v>177</v>
      </c>
      <c r="K8" s="49">
        <v>0.5</v>
      </c>
      <c r="L8" s="47" t="s">
        <v>215</v>
      </c>
      <c r="M8" s="49">
        <v>0</v>
      </c>
      <c r="N8" s="47" t="s">
        <v>205</v>
      </c>
      <c r="O8" s="49">
        <v>0.75</v>
      </c>
      <c r="P8" s="47" t="s">
        <v>168</v>
      </c>
      <c r="Q8" s="50">
        <v>0.30281690140845069</v>
      </c>
      <c r="R8" s="47" t="s">
        <v>169</v>
      </c>
      <c r="S8" s="50">
        <v>8.8235294117647065E-2</v>
      </c>
      <c r="T8" s="47" t="s">
        <v>175</v>
      </c>
      <c r="U8" s="51">
        <v>8400</v>
      </c>
      <c r="V8" s="47" t="s">
        <v>272</v>
      </c>
      <c r="W8" s="51">
        <v>-3811.1111111111113</v>
      </c>
      <c r="X8" s="47" t="s">
        <v>223</v>
      </c>
      <c r="Y8" s="50">
        <v>0.2857142857142857</v>
      </c>
      <c r="Z8" s="47" t="s">
        <v>195</v>
      </c>
      <c r="AA8" s="50">
        <v>0.31046931407942241</v>
      </c>
      <c r="AB8" s="47" t="s">
        <v>175</v>
      </c>
      <c r="AC8" s="50">
        <v>0.75</v>
      </c>
      <c r="AD8" s="47" t="s">
        <v>241</v>
      </c>
      <c r="AE8" s="50">
        <v>0.53846153846153844</v>
      </c>
      <c r="AF8" s="47" t="s">
        <v>203</v>
      </c>
      <c r="AG8" s="50">
        <v>0.5</v>
      </c>
      <c r="AH8" s="47" t="s">
        <v>168</v>
      </c>
      <c r="AI8" s="54">
        <v>65600</v>
      </c>
    </row>
    <row r="9" spans="1:35">
      <c r="A9" s="44">
        <v>7</v>
      </c>
      <c r="B9" s="45" t="s">
        <v>238</v>
      </c>
      <c r="C9" s="107">
        <v>17</v>
      </c>
      <c r="D9" s="45" t="s">
        <v>168</v>
      </c>
      <c r="E9" s="46">
        <v>154.39999999999998</v>
      </c>
      <c r="F9" s="47" t="s">
        <v>276</v>
      </c>
      <c r="G9" s="59">
        <v>20.166666666666671</v>
      </c>
      <c r="H9" s="47" t="s">
        <v>265</v>
      </c>
      <c r="I9" s="48">
        <v>2</v>
      </c>
      <c r="J9" s="47" t="s">
        <v>205</v>
      </c>
      <c r="K9" s="49">
        <v>0.5</v>
      </c>
      <c r="L9" s="47" t="s">
        <v>231</v>
      </c>
      <c r="M9" s="49">
        <v>0</v>
      </c>
      <c r="N9" s="47" t="s">
        <v>191</v>
      </c>
      <c r="O9" s="49">
        <v>0.7142857142857143</v>
      </c>
      <c r="P9" s="47" t="s">
        <v>167</v>
      </c>
      <c r="Q9" s="50">
        <v>0.2857142857142857</v>
      </c>
      <c r="R9" s="47" t="s">
        <v>164</v>
      </c>
      <c r="S9" s="50">
        <v>9.0909090909090912E-2</v>
      </c>
      <c r="T9" s="47" t="s">
        <v>205</v>
      </c>
      <c r="U9" s="51">
        <v>8333.3333333333339</v>
      </c>
      <c r="V9" s="47" t="s">
        <v>258</v>
      </c>
      <c r="W9" s="51">
        <v>-3880</v>
      </c>
      <c r="X9" s="47" t="s">
        <v>175</v>
      </c>
      <c r="Y9" s="50">
        <v>0.26666666666666666</v>
      </c>
      <c r="Z9" s="47" t="s">
        <v>180</v>
      </c>
      <c r="AA9" s="50">
        <v>0.2857142857142857</v>
      </c>
      <c r="AB9" s="47" t="s">
        <v>177</v>
      </c>
      <c r="AC9" s="50">
        <v>0.75</v>
      </c>
      <c r="AD9" s="47" t="s">
        <v>196</v>
      </c>
      <c r="AE9" s="50">
        <v>0.5</v>
      </c>
      <c r="AF9" s="47" t="s">
        <v>223</v>
      </c>
      <c r="AG9" s="50">
        <v>0.5</v>
      </c>
      <c r="AH9" s="47" t="s">
        <v>195</v>
      </c>
      <c r="AI9" s="54">
        <v>65500</v>
      </c>
    </row>
    <row r="10" spans="1:35">
      <c r="A10" s="44">
        <v>8</v>
      </c>
      <c r="B10" s="45" t="s">
        <v>179</v>
      </c>
      <c r="C10" s="107">
        <v>16</v>
      </c>
      <c r="D10" s="45" t="s">
        <v>205</v>
      </c>
      <c r="E10" s="46">
        <v>141.1</v>
      </c>
      <c r="F10" s="47" t="s">
        <v>265</v>
      </c>
      <c r="G10" s="59">
        <v>17.98</v>
      </c>
      <c r="H10" s="47" t="s">
        <v>167</v>
      </c>
      <c r="I10" s="48">
        <v>2</v>
      </c>
      <c r="J10" s="47" t="s">
        <v>264</v>
      </c>
      <c r="K10" s="49">
        <v>0.5</v>
      </c>
      <c r="L10" s="47" t="s">
        <v>264</v>
      </c>
      <c r="M10" s="49">
        <v>0</v>
      </c>
      <c r="N10" s="47" t="s">
        <v>255</v>
      </c>
      <c r="O10" s="49">
        <v>0.7</v>
      </c>
      <c r="P10" s="47" t="s">
        <v>195</v>
      </c>
      <c r="Q10" s="50">
        <v>0.27797833935018051</v>
      </c>
      <c r="R10" s="47" t="s">
        <v>265</v>
      </c>
      <c r="S10" s="50">
        <v>9.0909090909090912E-2</v>
      </c>
      <c r="T10" s="47" t="s">
        <v>228</v>
      </c>
      <c r="U10" s="51">
        <v>8213.636363636364</v>
      </c>
      <c r="V10" s="47" t="s">
        <v>215</v>
      </c>
      <c r="W10" s="51">
        <v>-3900</v>
      </c>
      <c r="X10" s="47" t="s">
        <v>164</v>
      </c>
      <c r="Y10" s="50">
        <v>0.26446280991735538</v>
      </c>
      <c r="Z10" s="47" t="s">
        <v>241</v>
      </c>
      <c r="AA10" s="50">
        <v>0.27083333333333331</v>
      </c>
      <c r="AB10" s="47" t="s">
        <v>168</v>
      </c>
      <c r="AC10" s="50">
        <v>0.7142857142857143</v>
      </c>
      <c r="AD10" s="47" t="s">
        <v>272</v>
      </c>
      <c r="AE10" s="50">
        <v>0.47368421052631576</v>
      </c>
      <c r="AF10" s="47" t="s">
        <v>269</v>
      </c>
      <c r="AG10" s="50">
        <v>0.5</v>
      </c>
      <c r="AH10" s="47" t="s">
        <v>227</v>
      </c>
      <c r="AI10" s="54">
        <v>64500</v>
      </c>
    </row>
    <row r="11" spans="1:35">
      <c r="A11" s="44">
        <v>9</v>
      </c>
      <c r="B11" s="45" t="s">
        <v>164</v>
      </c>
      <c r="C11" s="107">
        <v>15</v>
      </c>
      <c r="D11" s="45" t="s">
        <v>231</v>
      </c>
      <c r="E11" s="46">
        <v>112.5</v>
      </c>
      <c r="F11" s="47" t="s">
        <v>169</v>
      </c>
      <c r="G11" s="59">
        <v>14.26341463414634</v>
      </c>
      <c r="H11" s="47" t="s">
        <v>276</v>
      </c>
      <c r="I11" s="48">
        <v>2</v>
      </c>
      <c r="J11" s="47" t="s">
        <v>276</v>
      </c>
      <c r="K11" s="49">
        <v>0.44444444444444442</v>
      </c>
      <c r="L11" s="47" t="s">
        <v>268</v>
      </c>
      <c r="M11" s="49">
        <v>0</v>
      </c>
      <c r="N11" s="47" t="s">
        <v>265</v>
      </c>
      <c r="O11" s="49">
        <v>0.7</v>
      </c>
      <c r="P11" s="47" t="s">
        <v>162</v>
      </c>
      <c r="Q11" s="50">
        <v>0.26923076923076922</v>
      </c>
      <c r="R11" s="47" t="s">
        <v>263</v>
      </c>
      <c r="S11" s="50">
        <v>9.6774193548387094E-2</v>
      </c>
      <c r="T11" s="47" t="s">
        <v>231</v>
      </c>
      <c r="U11" s="51">
        <v>7975</v>
      </c>
      <c r="V11" s="47" t="s">
        <v>231</v>
      </c>
      <c r="W11" s="51">
        <v>-3900</v>
      </c>
      <c r="X11" s="47" t="s">
        <v>162</v>
      </c>
      <c r="Y11" s="50">
        <v>0.25641025641025639</v>
      </c>
      <c r="Z11" s="47" t="s">
        <v>263</v>
      </c>
      <c r="AA11" s="50">
        <v>0.25806451612903225</v>
      </c>
      <c r="AB11" s="47" t="s">
        <v>272</v>
      </c>
      <c r="AC11" s="50">
        <v>0.68</v>
      </c>
      <c r="AD11" s="47" t="s">
        <v>179</v>
      </c>
      <c r="AE11" s="50">
        <v>0.45454545454545453</v>
      </c>
      <c r="AF11" s="47" t="s">
        <v>268</v>
      </c>
      <c r="AG11" s="50">
        <v>0.5</v>
      </c>
      <c r="AH11" s="47" t="s">
        <v>216</v>
      </c>
      <c r="AI11" s="54">
        <v>62700</v>
      </c>
    </row>
    <row r="12" spans="1:35">
      <c r="A12" s="44">
        <v>10</v>
      </c>
      <c r="B12" s="45" t="s">
        <v>191</v>
      </c>
      <c r="C12" s="107">
        <v>14</v>
      </c>
      <c r="D12" s="45" t="s">
        <v>255</v>
      </c>
      <c r="E12" s="46">
        <v>106.4</v>
      </c>
      <c r="F12" s="47" t="s">
        <v>167</v>
      </c>
      <c r="G12" s="59">
        <v>14</v>
      </c>
      <c r="H12" s="47" t="s">
        <v>191</v>
      </c>
      <c r="I12" s="48">
        <v>2.1428571428571428</v>
      </c>
      <c r="J12" s="47" t="s">
        <v>168</v>
      </c>
      <c r="K12" s="49">
        <v>0.3888888888888889</v>
      </c>
      <c r="L12" s="47" t="s">
        <v>191</v>
      </c>
      <c r="M12" s="49">
        <v>7.1428571428571425E-2</v>
      </c>
      <c r="N12" s="47" t="s">
        <v>162</v>
      </c>
      <c r="O12" s="49">
        <v>0.66666666666666663</v>
      </c>
      <c r="P12" s="47" t="s">
        <v>263</v>
      </c>
      <c r="Q12" s="50">
        <v>0.25806451612903225</v>
      </c>
      <c r="R12" s="47" t="s">
        <v>177</v>
      </c>
      <c r="S12" s="50">
        <v>0.10526315789473684</v>
      </c>
      <c r="T12" s="47" t="s">
        <v>264</v>
      </c>
      <c r="U12" s="51">
        <v>7966.666666666667</v>
      </c>
      <c r="V12" s="47" t="s">
        <v>277</v>
      </c>
      <c r="W12" s="51">
        <v>-4220</v>
      </c>
      <c r="X12" s="47" t="s">
        <v>195</v>
      </c>
      <c r="Y12" s="50">
        <v>0.25270758122743681</v>
      </c>
      <c r="Z12" s="47" t="s">
        <v>164</v>
      </c>
      <c r="AA12" s="50">
        <v>0.256198347107438</v>
      </c>
      <c r="AB12" s="47" t="s">
        <v>263</v>
      </c>
      <c r="AC12" s="50">
        <v>0.66666666666666663</v>
      </c>
      <c r="AD12" s="47" t="s">
        <v>263</v>
      </c>
      <c r="AE12" s="50">
        <v>0.41666666666666669</v>
      </c>
      <c r="AF12" s="47" t="s">
        <v>276</v>
      </c>
      <c r="AG12" s="50">
        <v>0.46666666666666667</v>
      </c>
      <c r="AH12" s="47" t="s">
        <v>276</v>
      </c>
      <c r="AI12" s="54">
        <v>60800</v>
      </c>
    </row>
    <row r="13" spans="1:35">
      <c r="A13" s="44">
        <v>11</v>
      </c>
      <c r="B13" s="45" t="s">
        <v>227</v>
      </c>
      <c r="C13" s="107">
        <v>14</v>
      </c>
      <c r="D13" s="45" t="s">
        <v>191</v>
      </c>
      <c r="E13" s="46">
        <v>79.299999999999983</v>
      </c>
      <c r="F13" s="47" t="s">
        <v>255</v>
      </c>
      <c r="G13" s="59">
        <v>10.64</v>
      </c>
      <c r="H13" s="47" t="s">
        <v>169</v>
      </c>
      <c r="I13" s="48">
        <v>2.1707317073170733</v>
      </c>
      <c r="J13" s="47" t="s">
        <v>163</v>
      </c>
      <c r="K13" s="49">
        <v>0.375</v>
      </c>
      <c r="L13" s="47" t="s">
        <v>276</v>
      </c>
      <c r="M13" s="49">
        <v>0.1111111111111111</v>
      </c>
      <c r="N13" s="47" t="s">
        <v>276</v>
      </c>
      <c r="O13" s="49">
        <v>0.66666666666666663</v>
      </c>
      <c r="P13" s="47" t="s">
        <v>179</v>
      </c>
      <c r="Q13" s="50">
        <v>0.24427480916030533</v>
      </c>
      <c r="R13" s="47" t="s">
        <v>179</v>
      </c>
      <c r="S13" s="50">
        <v>0.10687022900763359</v>
      </c>
      <c r="T13" s="47" t="s">
        <v>162</v>
      </c>
      <c r="U13" s="51">
        <v>7942.8571428571431</v>
      </c>
      <c r="V13" s="47" t="s">
        <v>202</v>
      </c>
      <c r="W13" s="51">
        <v>-4800</v>
      </c>
      <c r="X13" s="47" t="s">
        <v>196</v>
      </c>
      <c r="Y13" s="50">
        <v>0.25</v>
      </c>
      <c r="Z13" s="47" t="s">
        <v>179</v>
      </c>
      <c r="AA13" s="50">
        <v>0.25190839694656486</v>
      </c>
      <c r="AB13" s="47" t="s">
        <v>276</v>
      </c>
      <c r="AC13" s="50">
        <v>0.66666666666666663</v>
      </c>
      <c r="AD13" s="47" t="s">
        <v>161</v>
      </c>
      <c r="AE13" s="50">
        <v>0.3888888888888889</v>
      </c>
      <c r="AF13" s="47" t="s">
        <v>216</v>
      </c>
      <c r="AG13" s="50">
        <v>0.44444444444444442</v>
      </c>
      <c r="AH13" s="47" t="s">
        <v>255</v>
      </c>
      <c r="AI13" s="54">
        <v>60000</v>
      </c>
    </row>
    <row r="14" spans="1:35">
      <c r="A14" s="44">
        <v>12</v>
      </c>
      <c r="B14" s="45" t="s">
        <v>235</v>
      </c>
      <c r="C14" s="107">
        <v>14</v>
      </c>
      <c r="D14" s="45" t="s">
        <v>264</v>
      </c>
      <c r="E14" s="46">
        <v>63.300000000000004</v>
      </c>
      <c r="F14" s="47" t="s">
        <v>168</v>
      </c>
      <c r="G14" s="59">
        <v>8.5777777777777757</v>
      </c>
      <c r="H14" s="47" t="s">
        <v>255</v>
      </c>
      <c r="I14" s="48">
        <v>2.2000000000000002</v>
      </c>
      <c r="J14" s="47" t="s">
        <v>244</v>
      </c>
      <c r="K14" s="49">
        <v>0.36363636363636365</v>
      </c>
      <c r="L14" s="47" t="s">
        <v>238</v>
      </c>
      <c r="M14" s="49">
        <v>0.11764705882352941</v>
      </c>
      <c r="N14" s="47" t="s">
        <v>169</v>
      </c>
      <c r="O14" s="49">
        <v>0.63414634146341464</v>
      </c>
      <c r="P14" s="47" t="s">
        <v>276</v>
      </c>
      <c r="Q14" s="50">
        <v>0.234375</v>
      </c>
      <c r="R14" s="47" t="s">
        <v>205</v>
      </c>
      <c r="S14" s="50">
        <v>0.10714285714285714</v>
      </c>
      <c r="T14" s="47" t="s">
        <v>169</v>
      </c>
      <c r="U14" s="51">
        <v>7679.710144927536</v>
      </c>
      <c r="V14" s="47" t="s">
        <v>162</v>
      </c>
      <c r="W14" s="51">
        <v>-5000</v>
      </c>
      <c r="X14" s="47" t="s">
        <v>205</v>
      </c>
      <c r="Y14" s="50">
        <v>0.25</v>
      </c>
      <c r="Z14" s="47" t="s">
        <v>196</v>
      </c>
      <c r="AA14" s="50">
        <v>0.25</v>
      </c>
      <c r="AB14" s="47" t="s">
        <v>169</v>
      </c>
      <c r="AC14" s="50">
        <v>0.64150943396226412</v>
      </c>
      <c r="AD14" s="47" t="s">
        <v>195</v>
      </c>
      <c r="AE14" s="50">
        <v>0.38372093023255816</v>
      </c>
      <c r="AF14" s="47" t="s">
        <v>161</v>
      </c>
      <c r="AG14" s="50">
        <v>0.4375</v>
      </c>
      <c r="AH14" s="47" t="s">
        <v>205</v>
      </c>
      <c r="AI14" s="54">
        <v>57200</v>
      </c>
    </row>
    <row r="15" spans="1:35">
      <c r="A15" s="44">
        <v>13</v>
      </c>
      <c r="B15" s="45" t="s">
        <v>263</v>
      </c>
      <c r="C15" s="107">
        <v>12</v>
      </c>
      <c r="D15" s="45" t="s">
        <v>268</v>
      </c>
      <c r="E15" s="46">
        <v>52.1</v>
      </c>
      <c r="F15" s="47" t="s">
        <v>195</v>
      </c>
      <c r="G15" s="59">
        <v>6.0512820512820511</v>
      </c>
      <c r="H15" s="47" t="s">
        <v>168</v>
      </c>
      <c r="I15" s="48">
        <v>2.3333333333333335</v>
      </c>
      <c r="J15" s="47" t="s">
        <v>169</v>
      </c>
      <c r="K15" s="49">
        <v>0.34146341463414637</v>
      </c>
      <c r="L15" s="47" t="s">
        <v>195</v>
      </c>
      <c r="M15" s="49">
        <v>0.12820512820512819</v>
      </c>
      <c r="N15" s="47" t="s">
        <v>164</v>
      </c>
      <c r="O15" s="49">
        <v>0.6</v>
      </c>
      <c r="P15" s="47" t="s">
        <v>255</v>
      </c>
      <c r="Q15" s="50">
        <v>0.2318840579710145</v>
      </c>
      <c r="R15" s="47" t="s">
        <v>213</v>
      </c>
      <c r="S15" s="50">
        <v>0.1111111111111111</v>
      </c>
      <c r="T15" s="47" t="s">
        <v>164</v>
      </c>
      <c r="U15" s="51">
        <v>7355</v>
      </c>
      <c r="V15" s="47" t="s">
        <v>203</v>
      </c>
      <c r="W15" s="51">
        <v>-5080</v>
      </c>
      <c r="X15" s="47" t="s">
        <v>265</v>
      </c>
      <c r="Y15" s="50">
        <v>0.24242424242424243</v>
      </c>
      <c r="Z15" s="47" t="s">
        <v>272</v>
      </c>
      <c r="AA15" s="50">
        <v>0.24675324675324675</v>
      </c>
      <c r="AB15" s="47" t="s">
        <v>235</v>
      </c>
      <c r="AC15" s="50">
        <v>0.63636363636363635</v>
      </c>
      <c r="AD15" s="47" t="s">
        <v>168</v>
      </c>
      <c r="AE15" s="50">
        <v>0.38297872340425532</v>
      </c>
      <c r="AF15" s="47" t="s">
        <v>244</v>
      </c>
      <c r="AG15" s="50">
        <v>0.4375</v>
      </c>
      <c r="AH15" s="47" t="s">
        <v>161</v>
      </c>
      <c r="AI15" s="54">
        <v>54900</v>
      </c>
    </row>
    <row r="16" spans="1:35">
      <c r="A16" s="44">
        <v>14</v>
      </c>
      <c r="B16" s="45" t="s">
        <v>244</v>
      </c>
      <c r="C16" s="107">
        <v>11</v>
      </c>
      <c r="D16" s="45" t="s">
        <v>164</v>
      </c>
      <c r="E16" s="46">
        <v>22.499999999999993</v>
      </c>
      <c r="F16" s="47" t="s">
        <v>191</v>
      </c>
      <c r="G16" s="59">
        <v>5.6642857142857128</v>
      </c>
      <c r="H16" s="47" t="s">
        <v>195</v>
      </c>
      <c r="I16" s="48">
        <v>2.358974358974359</v>
      </c>
      <c r="J16" s="47" t="s">
        <v>161</v>
      </c>
      <c r="K16" s="49">
        <v>0.3</v>
      </c>
      <c r="L16" s="47" t="s">
        <v>169</v>
      </c>
      <c r="M16" s="49">
        <v>0.14634146341463414</v>
      </c>
      <c r="N16" s="47" t="s">
        <v>227</v>
      </c>
      <c r="O16" s="49">
        <v>0.5714285714285714</v>
      </c>
      <c r="P16" s="47" t="s">
        <v>264</v>
      </c>
      <c r="Q16" s="50">
        <v>0.23076923076923078</v>
      </c>
      <c r="R16" s="47" t="s">
        <v>166</v>
      </c>
      <c r="S16" s="50">
        <v>0.11428571428571428</v>
      </c>
      <c r="T16" s="47" t="s">
        <v>277</v>
      </c>
      <c r="U16" s="51">
        <v>7285.7142857142853</v>
      </c>
      <c r="V16" s="47" t="s">
        <v>169</v>
      </c>
      <c r="W16" s="51">
        <v>-5129.6296296296296</v>
      </c>
      <c r="X16" s="47" t="s">
        <v>276</v>
      </c>
      <c r="Y16" s="50">
        <v>0.234375</v>
      </c>
      <c r="Z16" s="47" t="s">
        <v>191</v>
      </c>
      <c r="AA16" s="50">
        <v>0.24347826086956523</v>
      </c>
      <c r="AB16" s="47" t="s">
        <v>238</v>
      </c>
      <c r="AC16" s="50">
        <v>0.63157894736842102</v>
      </c>
      <c r="AD16" s="47" t="s">
        <v>191</v>
      </c>
      <c r="AE16" s="50">
        <v>0.35714285714285715</v>
      </c>
      <c r="AF16" s="47" t="s">
        <v>255</v>
      </c>
      <c r="AG16" s="50">
        <v>0.4375</v>
      </c>
      <c r="AH16" s="47" t="s">
        <v>265</v>
      </c>
      <c r="AI16" s="54">
        <v>53900</v>
      </c>
    </row>
    <row r="17" spans="1:35">
      <c r="A17" s="44">
        <v>15</v>
      </c>
      <c r="B17" s="45" t="s">
        <v>272</v>
      </c>
      <c r="C17" s="107">
        <v>11</v>
      </c>
      <c r="D17" s="45" t="s">
        <v>163</v>
      </c>
      <c r="E17" s="46">
        <v>20.300000000000004</v>
      </c>
      <c r="F17" s="47" t="s">
        <v>163</v>
      </c>
      <c r="G17" s="59">
        <v>2.5375000000000005</v>
      </c>
      <c r="H17" s="47" t="s">
        <v>179</v>
      </c>
      <c r="I17" s="48">
        <v>2.4375</v>
      </c>
      <c r="J17" s="47" t="s">
        <v>255</v>
      </c>
      <c r="K17" s="49">
        <v>0.3</v>
      </c>
      <c r="L17" s="47" t="s">
        <v>263</v>
      </c>
      <c r="M17" s="49">
        <v>0.16666666666666666</v>
      </c>
      <c r="N17" s="47" t="s">
        <v>241</v>
      </c>
      <c r="O17" s="49">
        <v>0.5714285714285714</v>
      </c>
      <c r="P17" s="47" t="s">
        <v>241</v>
      </c>
      <c r="Q17" s="50">
        <v>0.22916666666666666</v>
      </c>
      <c r="R17" s="47" t="s">
        <v>163</v>
      </c>
      <c r="S17" s="50">
        <v>0.11594202898550725</v>
      </c>
      <c r="T17" s="47" t="s">
        <v>255</v>
      </c>
      <c r="U17" s="51">
        <v>7212.5</v>
      </c>
      <c r="V17" s="47" t="s">
        <v>276</v>
      </c>
      <c r="W17" s="51">
        <v>-5220</v>
      </c>
      <c r="X17" s="47" t="s">
        <v>255</v>
      </c>
      <c r="Y17" s="50">
        <v>0.2318840579710145</v>
      </c>
      <c r="Z17" s="47" t="s">
        <v>161</v>
      </c>
      <c r="AA17" s="50">
        <v>0.23376623376623376</v>
      </c>
      <c r="AB17" s="47" t="s">
        <v>265</v>
      </c>
      <c r="AC17" s="50">
        <v>0.625</v>
      </c>
      <c r="AD17" s="47" t="s">
        <v>169</v>
      </c>
      <c r="AE17" s="50">
        <v>0.3559322033898305</v>
      </c>
      <c r="AF17" s="47" t="s">
        <v>162</v>
      </c>
      <c r="AG17" s="50">
        <v>0.42857142857142855</v>
      </c>
      <c r="AH17" s="47" t="s">
        <v>179</v>
      </c>
      <c r="AI17" s="54">
        <v>53200</v>
      </c>
    </row>
    <row r="18" spans="1:35">
      <c r="A18" s="44">
        <v>16</v>
      </c>
      <c r="B18" s="45" t="s">
        <v>277</v>
      </c>
      <c r="C18" s="107">
        <v>11</v>
      </c>
      <c r="D18" s="45" t="s">
        <v>167</v>
      </c>
      <c r="E18" s="46">
        <v>14</v>
      </c>
      <c r="F18" s="47" t="s">
        <v>177</v>
      </c>
      <c r="G18" s="59">
        <v>1.9499999999999993</v>
      </c>
      <c r="H18" s="47" t="s">
        <v>164</v>
      </c>
      <c r="I18" s="48">
        <v>2.4666666666666668</v>
      </c>
      <c r="J18" s="47" t="s">
        <v>195</v>
      </c>
      <c r="K18" s="49">
        <v>0.28205128205128205</v>
      </c>
      <c r="L18" s="47" t="s">
        <v>179</v>
      </c>
      <c r="M18" s="49">
        <v>0.1875</v>
      </c>
      <c r="N18" s="47" t="s">
        <v>168</v>
      </c>
      <c r="O18" s="49">
        <v>0.55555555555555558</v>
      </c>
      <c r="P18" s="47" t="s">
        <v>227</v>
      </c>
      <c r="Q18" s="50">
        <v>0.22580645161290322</v>
      </c>
      <c r="R18" s="47" t="s">
        <v>272</v>
      </c>
      <c r="S18" s="50">
        <v>0.11688311688311688</v>
      </c>
      <c r="T18" s="47" t="s">
        <v>223</v>
      </c>
      <c r="U18" s="51">
        <v>7200</v>
      </c>
      <c r="V18" s="47" t="s">
        <v>262</v>
      </c>
      <c r="W18" s="51">
        <v>-5320</v>
      </c>
      <c r="X18" s="47" t="s">
        <v>263</v>
      </c>
      <c r="Y18" s="50">
        <v>0.22580645161290322</v>
      </c>
      <c r="Z18" s="47" t="s">
        <v>255</v>
      </c>
      <c r="AA18" s="50">
        <v>0.2318840579710145</v>
      </c>
      <c r="AB18" s="47" t="s">
        <v>228</v>
      </c>
      <c r="AC18" s="50">
        <v>0.61904761904761907</v>
      </c>
      <c r="AD18" s="47" t="s">
        <v>216</v>
      </c>
      <c r="AE18" s="50">
        <v>0.34615384615384615</v>
      </c>
      <c r="AF18" s="47" t="s">
        <v>205</v>
      </c>
      <c r="AG18" s="50">
        <v>0.41666666666666669</v>
      </c>
      <c r="AH18" s="47" t="s">
        <v>191</v>
      </c>
      <c r="AI18" s="54">
        <v>52500</v>
      </c>
    </row>
    <row r="19" spans="1:35">
      <c r="A19" s="44">
        <v>17</v>
      </c>
      <c r="B19" s="45" t="s">
        <v>161</v>
      </c>
      <c r="C19" s="107">
        <v>10</v>
      </c>
      <c r="D19" s="45" t="s">
        <v>177</v>
      </c>
      <c r="E19" s="46">
        <v>3.8999999999999986</v>
      </c>
      <c r="F19" s="47" t="s">
        <v>164</v>
      </c>
      <c r="G19" s="59">
        <v>1.4999999999999996</v>
      </c>
      <c r="H19" s="47" t="s">
        <v>114</v>
      </c>
      <c r="I19" s="48">
        <v>2.4913580246913578</v>
      </c>
      <c r="J19" s="47" t="s">
        <v>216</v>
      </c>
      <c r="K19" s="49">
        <v>0.25925925925925924</v>
      </c>
      <c r="L19" s="47" t="s">
        <v>213</v>
      </c>
      <c r="M19" s="49">
        <v>0.2</v>
      </c>
      <c r="N19" s="47" t="s">
        <v>114</v>
      </c>
      <c r="O19" s="49">
        <v>0.50123456790123455</v>
      </c>
      <c r="P19" s="47" t="s">
        <v>169</v>
      </c>
      <c r="Q19" s="50">
        <v>0.22549019607843138</v>
      </c>
      <c r="R19" s="47" t="s">
        <v>195</v>
      </c>
      <c r="S19" s="50">
        <v>0.11913357400722022</v>
      </c>
      <c r="T19" s="47" t="s">
        <v>227</v>
      </c>
      <c r="U19" s="51">
        <v>7161.9047619047615</v>
      </c>
      <c r="V19" s="47" t="s">
        <v>223</v>
      </c>
      <c r="W19" s="51">
        <v>-5450</v>
      </c>
      <c r="X19" s="47" t="s">
        <v>213</v>
      </c>
      <c r="Y19" s="50">
        <v>0.22222222222222221</v>
      </c>
      <c r="Z19" s="47" t="s">
        <v>264</v>
      </c>
      <c r="AA19" s="50">
        <v>0.23076923076923078</v>
      </c>
      <c r="AB19" s="47" t="s">
        <v>244</v>
      </c>
      <c r="AC19" s="50">
        <v>0.61538461538461542</v>
      </c>
      <c r="AD19" s="47" t="s">
        <v>114</v>
      </c>
      <c r="AE19" s="50">
        <v>0.33798449612403103</v>
      </c>
      <c r="AF19" s="47" t="s">
        <v>238</v>
      </c>
      <c r="AG19" s="50">
        <v>0.40909090909090912</v>
      </c>
      <c r="AH19" s="47" t="s">
        <v>164</v>
      </c>
      <c r="AI19" s="54">
        <v>52000</v>
      </c>
    </row>
    <row r="20" spans="1:35">
      <c r="A20" s="44">
        <v>18</v>
      </c>
      <c r="B20" s="45" t="s">
        <v>213</v>
      </c>
      <c r="C20" s="107">
        <v>10</v>
      </c>
      <c r="D20" s="45" t="s">
        <v>161</v>
      </c>
      <c r="E20" s="46">
        <v>-0.69999999999998863</v>
      </c>
      <c r="F20" s="47" t="s">
        <v>161</v>
      </c>
      <c r="G20" s="59">
        <v>-6.9999999999998869E-2</v>
      </c>
      <c r="H20" s="47" t="s">
        <v>161</v>
      </c>
      <c r="I20" s="48">
        <v>2.5</v>
      </c>
      <c r="J20" s="47" t="s">
        <v>114</v>
      </c>
      <c r="K20" s="49">
        <v>0.25432098765432098</v>
      </c>
      <c r="L20" s="47" t="s">
        <v>255</v>
      </c>
      <c r="M20" s="49">
        <v>0.2</v>
      </c>
      <c r="N20" s="47" t="s">
        <v>161</v>
      </c>
      <c r="O20" s="49">
        <v>0.5</v>
      </c>
      <c r="P20" s="47" t="s">
        <v>163</v>
      </c>
      <c r="Q20" s="50">
        <v>0.21739130434782608</v>
      </c>
      <c r="R20" s="47" t="s">
        <v>162</v>
      </c>
      <c r="S20" s="50">
        <v>0.12820512820512819</v>
      </c>
      <c r="T20" s="47" t="s">
        <v>161</v>
      </c>
      <c r="U20" s="51">
        <v>7025</v>
      </c>
      <c r="V20" s="47" t="s">
        <v>164</v>
      </c>
      <c r="W20" s="51">
        <v>-5500</v>
      </c>
      <c r="X20" s="47" t="s">
        <v>277</v>
      </c>
      <c r="Y20" s="50">
        <v>0.22222222222222221</v>
      </c>
      <c r="Z20" s="47" t="s">
        <v>265</v>
      </c>
      <c r="AA20" s="50">
        <v>0.22727272727272727</v>
      </c>
      <c r="AB20" s="47" t="s">
        <v>114</v>
      </c>
      <c r="AC20" s="50">
        <v>0.54470198675496684</v>
      </c>
      <c r="AD20" s="47" t="s">
        <v>177</v>
      </c>
      <c r="AE20" s="50">
        <v>0.33333333333333331</v>
      </c>
      <c r="AF20" s="47" t="s">
        <v>168</v>
      </c>
      <c r="AG20" s="50">
        <v>0.39534883720930231</v>
      </c>
      <c r="AH20" s="47" t="s">
        <v>272</v>
      </c>
      <c r="AI20" s="54">
        <v>50500</v>
      </c>
    </row>
    <row r="21" spans="1:35">
      <c r="A21" s="44">
        <v>19</v>
      </c>
      <c r="B21" s="45" t="s">
        <v>255</v>
      </c>
      <c r="C21" s="107">
        <v>10</v>
      </c>
      <c r="D21" s="45" t="s">
        <v>175</v>
      </c>
      <c r="E21" s="46">
        <v>-2.2000000000000011</v>
      </c>
      <c r="F21" s="47" t="s">
        <v>244</v>
      </c>
      <c r="G21" s="59">
        <v>-0.20909090909091013</v>
      </c>
      <c r="H21" s="47" t="s">
        <v>263</v>
      </c>
      <c r="I21" s="48">
        <v>2.5</v>
      </c>
      <c r="J21" s="47" t="s">
        <v>179</v>
      </c>
      <c r="K21" s="49">
        <v>0.25</v>
      </c>
      <c r="L21" s="47" t="s">
        <v>265</v>
      </c>
      <c r="M21" s="49">
        <v>0.2</v>
      </c>
      <c r="N21" s="47" t="s">
        <v>179</v>
      </c>
      <c r="O21" s="49">
        <v>0.5</v>
      </c>
      <c r="P21" s="47" t="s">
        <v>114</v>
      </c>
      <c r="Q21" s="50">
        <v>0.212141652613828</v>
      </c>
      <c r="R21" s="47" t="s">
        <v>191</v>
      </c>
      <c r="S21" s="50">
        <v>0.13043478260869565</v>
      </c>
      <c r="T21" s="47" t="s">
        <v>213</v>
      </c>
      <c r="U21" s="51">
        <v>6962.5</v>
      </c>
      <c r="V21" s="47" t="s">
        <v>168</v>
      </c>
      <c r="W21" s="51">
        <v>-5835.7142857142853</v>
      </c>
      <c r="X21" s="47" t="s">
        <v>177</v>
      </c>
      <c r="Y21" s="50">
        <v>0.21052631578947367</v>
      </c>
      <c r="Z21" s="47" t="s">
        <v>235</v>
      </c>
      <c r="AA21" s="50">
        <v>0.22641509433962265</v>
      </c>
      <c r="AB21" s="47" t="s">
        <v>161</v>
      </c>
      <c r="AC21" s="50">
        <v>0.53846153846153844</v>
      </c>
      <c r="AD21" s="47" t="s">
        <v>205</v>
      </c>
      <c r="AE21" s="50">
        <v>0.33333333333333331</v>
      </c>
      <c r="AF21" s="47" t="s">
        <v>195</v>
      </c>
      <c r="AG21" s="50">
        <v>0.37662337662337664</v>
      </c>
      <c r="AH21" s="47" t="s">
        <v>263</v>
      </c>
      <c r="AI21" s="54">
        <v>44100</v>
      </c>
    </row>
    <row r="22" spans="1:35">
      <c r="A22" s="44">
        <v>20</v>
      </c>
      <c r="B22" s="45" t="s">
        <v>265</v>
      </c>
      <c r="C22" s="107">
        <v>10</v>
      </c>
      <c r="D22" s="45" t="s">
        <v>244</v>
      </c>
      <c r="E22" s="46">
        <v>-2.3000000000000114</v>
      </c>
      <c r="F22" s="47" t="s">
        <v>114</v>
      </c>
      <c r="G22" s="59">
        <v>-0.22222222222222257</v>
      </c>
      <c r="H22" s="47" t="s">
        <v>163</v>
      </c>
      <c r="I22" s="48">
        <v>2.5</v>
      </c>
      <c r="J22" s="47" t="s">
        <v>228</v>
      </c>
      <c r="K22" s="49">
        <v>0.23529411764705882</v>
      </c>
      <c r="L22" s="47" t="s">
        <v>162</v>
      </c>
      <c r="M22" s="49">
        <v>0.22222222222222221</v>
      </c>
      <c r="N22" s="47" t="s">
        <v>213</v>
      </c>
      <c r="O22" s="49">
        <v>0.5</v>
      </c>
      <c r="P22" s="47" t="s">
        <v>177</v>
      </c>
      <c r="Q22" s="50">
        <v>0.21052631578947367</v>
      </c>
      <c r="R22" s="47" t="s">
        <v>175</v>
      </c>
      <c r="S22" s="50">
        <v>0.13333333333333333</v>
      </c>
      <c r="T22" s="47" t="s">
        <v>114</v>
      </c>
      <c r="U22" s="51">
        <v>6742.7662957074717</v>
      </c>
      <c r="V22" s="47" t="s">
        <v>177</v>
      </c>
      <c r="W22" s="51">
        <v>-5950</v>
      </c>
      <c r="X22" s="47" t="s">
        <v>203</v>
      </c>
      <c r="Y22" s="50">
        <v>0.20930232558139536</v>
      </c>
      <c r="Z22" s="47" t="s">
        <v>114</v>
      </c>
      <c r="AA22" s="50">
        <v>0.2175379426644182</v>
      </c>
      <c r="AB22" s="47" t="s">
        <v>227</v>
      </c>
      <c r="AC22" s="50">
        <v>0.53125</v>
      </c>
      <c r="AD22" s="47" t="s">
        <v>163</v>
      </c>
      <c r="AE22" s="50">
        <v>0.31818181818181818</v>
      </c>
      <c r="AF22" s="47" t="s">
        <v>179</v>
      </c>
      <c r="AG22" s="50">
        <v>0.375</v>
      </c>
      <c r="AH22" s="47" t="s">
        <v>177</v>
      </c>
      <c r="AI22" s="54">
        <v>42500</v>
      </c>
    </row>
    <row r="23" spans="1:35">
      <c r="A23" s="44">
        <v>21</v>
      </c>
      <c r="B23" s="45" t="s">
        <v>162</v>
      </c>
      <c r="C23" s="107">
        <v>9</v>
      </c>
      <c r="D23" s="45" t="s">
        <v>215</v>
      </c>
      <c r="E23" s="46">
        <v>-14.4</v>
      </c>
      <c r="F23" s="47" t="s">
        <v>175</v>
      </c>
      <c r="G23" s="59">
        <v>-1.1000000000000005</v>
      </c>
      <c r="H23" s="47" t="s">
        <v>175</v>
      </c>
      <c r="I23" s="48">
        <v>2.5</v>
      </c>
      <c r="J23" s="47" t="s">
        <v>191</v>
      </c>
      <c r="K23" s="49">
        <v>0.21428571428571427</v>
      </c>
      <c r="L23" s="47" t="s">
        <v>114</v>
      </c>
      <c r="M23" s="49">
        <v>0.24691358024691357</v>
      </c>
      <c r="N23" s="47" t="s">
        <v>263</v>
      </c>
      <c r="O23" s="49">
        <v>0.5</v>
      </c>
      <c r="P23" s="47" t="s">
        <v>161</v>
      </c>
      <c r="Q23" s="50">
        <v>0.20779220779220781</v>
      </c>
      <c r="R23" s="47" t="s">
        <v>199</v>
      </c>
      <c r="S23" s="50">
        <v>0.13333333333333333</v>
      </c>
      <c r="T23" s="47" t="s">
        <v>191</v>
      </c>
      <c r="U23" s="51">
        <v>6733.333333333333</v>
      </c>
      <c r="V23" s="47" t="s">
        <v>213</v>
      </c>
      <c r="W23" s="51">
        <v>-5966.666666666667</v>
      </c>
      <c r="X23" s="47" t="s">
        <v>114</v>
      </c>
      <c r="Y23" s="50">
        <v>0.20370994940978077</v>
      </c>
      <c r="Z23" s="47" t="s">
        <v>205</v>
      </c>
      <c r="AA23" s="50">
        <v>0.21428571428571427</v>
      </c>
      <c r="AB23" s="47" t="s">
        <v>195</v>
      </c>
      <c r="AC23" s="50">
        <v>0.52857142857142858</v>
      </c>
      <c r="AD23" s="47" t="s">
        <v>244</v>
      </c>
      <c r="AE23" s="50">
        <v>0.3125</v>
      </c>
      <c r="AF23" s="47" t="s">
        <v>213</v>
      </c>
      <c r="AG23" s="50">
        <v>0.375</v>
      </c>
      <c r="AH23" s="47" t="s">
        <v>163</v>
      </c>
      <c r="AI23" s="54">
        <v>41700</v>
      </c>
    </row>
    <row r="24" spans="1:35">
      <c r="A24" s="44">
        <v>22</v>
      </c>
      <c r="B24" s="45" t="s">
        <v>276</v>
      </c>
      <c r="C24" s="107">
        <v>9</v>
      </c>
      <c r="D24" s="45" t="s">
        <v>196</v>
      </c>
      <c r="E24" s="46">
        <v>-27.1</v>
      </c>
      <c r="F24" s="47" t="s">
        <v>179</v>
      </c>
      <c r="G24" s="59">
        <v>-2.1625000000000001</v>
      </c>
      <c r="H24" s="47" t="s">
        <v>177</v>
      </c>
      <c r="I24" s="48">
        <v>2.5</v>
      </c>
      <c r="J24" s="47" t="s">
        <v>164</v>
      </c>
      <c r="K24" s="49">
        <v>0.2</v>
      </c>
      <c r="L24" s="47" t="s">
        <v>223</v>
      </c>
      <c r="M24" s="49">
        <v>0.25</v>
      </c>
      <c r="N24" s="47" t="s">
        <v>163</v>
      </c>
      <c r="O24" s="49">
        <v>0.5</v>
      </c>
      <c r="P24" s="47" t="s">
        <v>244</v>
      </c>
      <c r="Q24" s="50">
        <v>0.20512820512820512</v>
      </c>
      <c r="R24" s="47" t="s">
        <v>216</v>
      </c>
      <c r="S24" s="50">
        <v>0.13407821229050279</v>
      </c>
      <c r="T24" s="47" t="s">
        <v>195</v>
      </c>
      <c r="U24" s="51">
        <v>6490.909090909091</v>
      </c>
      <c r="V24" s="47" t="s">
        <v>227</v>
      </c>
      <c r="W24" s="51">
        <v>-5992.8571428571431</v>
      </c>
      <c r="X24" s="47" t="s">
        <v>163</v>
      </c>
      <c r="Y24" s="50">
        <v>0.20289855072463769</v>
      </c>
      <c r="Z24" s="47" t="s">
        <v>244</v>
      </c>
      <c r="AA24" s="50">
        <v>0.20512820512820512</v>
      </c>
      <c r="AB24" s="47" t="s">
        <v>216</v>
      </c>
      <c r="AC24" s="50">
        <v>0.51515151515151514</v>
      </c>
      <c r="AD24" s="47" t="s">
        <v>255</v>
      </c>
      <c r="AE24" s="50">
        <v>0.3125</v>
      </c>
      <c r="AF24" s="47" t="s">
        <v>272</v>
      </c>
      <c r="AG24" s="50">
        <v>0.37037037037037035</v>
      </c>
      <c r="AH24" s="47" t="s">
        <v>231</v>
      </c>
      <c r="AI24" s="54">
        <v>41300</v>
      </c>
    </row>
    <row r="25" spans="1:35">
      <c r="A25" s="44">
        <v>23</v>
      </c>
      <c r="B25" s="45" t="s">
        <v>163</v>
      </c>
      <c r="C25" s="107">
        <v>8</v>
      </c>
      <c r="D25" s="45" t="s">
        <v>263</v>
      </c>
      <c r="E25" s="46">
        <v>-33.300000000000011</v>
      </c>
      <c r="F25" s="47" t="s">
        <v>263</v>
      </c>
      <c r="G25" s="59">
        <v>-2.7750000000000008</v>
      </c>
      <c r="H25" s="47" t="s">
        <v>244</v>
      </c>
      <c r="I25" s="48">
        <v>2.5454545454545454</v>
      </c>
      <c r="J25" s="47" t="s">
        <v>263</v>
      </c>
      <c r="K25" s="49">
        <v>0.16666666666666666</v>
      </c>
      <c r="L25" s="47" t="s">
        <v>164</v>
      </c>
      <c r="M25" s="49">
        <v>0.26666666666666666</v>
      </c>
      <c r="N25" s="47" t="s">
        <v>175</v>
      </c>
      <c r="O25" s="49">
        <v>0.5</v>
      </c>
      <c r="P25" s="47" t="s">
        <v>166</v>
      </c>
      <c r="Q25" s="50">
        <v>0.2</v>
      </c>
      <c r="R25" s="47" t="s">
        <v>114</v>
      </c>
      <c r="S25" s="50">
        <v>0.13625632377740304</v>
      </c>
      <c r="T25" s="47" t="s">
        <v>238</v>
      </c>
      <c r="U25" s="51">
        <v>6386.363636363636</v>
      </c>
      <c r="V25" s="47" t="s">
        <v>235</v>
      </c>
      <c r="W25" s="51">
        <v>-6118.181818181818</v>
      </c>
      <c r="X25" s="47" t="s">
        <v>268</v>
      </c>
      <c r="Y25" s="50">
        <v>0.2</v>
      </c>
      <c r="Z25" s="47" t="s">
        <v>228</v>
      </c>
      <c r="AA25" s="50">
        <v>0.19834710743801653</v>
      </c>
      <c r="AB25" s="47" t="s">
        <v>213</v>
      </c>
      <c r="AC25" s="50">
        <v>0.5</v>
      </c>
      <c r="AD25" s="47" t="s">
        <v>238</v>
      </c>
      <c r="AE25" s="50">
        <v>0.30434782608695654</v>
      </c>
      <c r="AF25" s="47" t="s">
        <v>241</v>
      </c>
      <c r="AG25" s="50">
        <v>0.36363636363636365</v>
      </c>
      <c r="AH25" s="47" t="s">
        <v>235</v>
      </c>
      <c r="AI25" s="54">
        <v>40800</v>
      </c>
    </row>
    <row r="26" spans="1:35">
      <c r="A26" s="44">
        <v>24</v>
      </c>
      <c r="B26" s="45" t="s">
        <v>241</v>
      </c>
      <c r="C26" s="107">
        <v>7</v>
      </c>
      <c r="D26" s="45" t="s">
        <v>179</v>
      </c>
      <c r="E26" s="46">
        <v>-34.6</v>
      </c>
      <c r="F26" s="47" t="s">
        <v>227</v>
      </c>
      <c r="G26" s="59">
        <v>-3.7071428571428582</v>
      </c>
      <c r="H26" s="47" t="s">
        <v>227</v>
      </c>
      <c r="I26" s="48">
        <v>2.5714285714285716</v>
      </c>
      <c r="J26" s="47" t="s">
        <v>227</v>
      </c>
      <c r="K26" s="49">
        <v>0.14285714285714285</v>
      </c>
      <c r="L26" s="47" t="s">
        <v>244</v>
      </c>
      <c r="M26" s="49">
        <v>0.27272727272727271</v>
      </c>
      <c r="N26" s="47" t="s">
        <v>177</v>
      </c>
      <c r="O26" s="49">
        <v>0.5</v>
      </c>
      <c r="P26" s="47" t="s">
        <v>175</v>
      </c>
      <c r="Q26" s="50">
        <v>0.2</v>
      </c>
      <c r="R26" s="47" t="s">
        <v>238</v>
      </c>
      <c r="S26" s="50">
        <v>0.13934426229508196</v>
      </c>
      <c r="T26" s="47" t="s">
        <v>203</v>
      </c>
      <c r="U26" s="51">
        <v>6275</v>
      </c>
      <c r="V26" s="47" t="s">
        <v>114</v>
      </c>
      <c r="W26" s="51">
        <v>-6193.3168316831679</v>
      </c>
      <c r="X26" s="47" t="s">
        <v>168</v>
      </c>
      <c r="Y26" s="50">
        <v>0.19718309859154928</v>
      </c>
      <c r="Z26" s="47" t="s">
        <v>169</v>
      </c>
      <c r="AA26" s="50">
        <v>0.19281045751633988</v>
      </c>
      <c r="AB26" s="47" t="s">
        <v>255</v>
      </c>
      <c r="AC26" s="50">
        <v>0.5</v>
      </c>
      <c r="AD26" s="47" t="s">
        <v>228</v>
      </c>
      <c r="AE26" s="50">
        <v>0.25</v>
      </c>
      <c r="AF26" s="47" t="s">
        <v>114</v>
      </c>
      <c r="AG26" s="50">
        <v>0.35771065182829886</v>
      </c>
      <c r="AH26" s="47" t="s">
        <v>258</v>
      </c>
      <c r="AI26" s="54">
        <v>37500</v>
      </c>
    </row>
    <row r="27" spans="1:35">
      <c r="A27" s="44">
        <v>25</v>
      </c>
      <c r="B27" s="45" t="s">
        <v>258</v>
      </c>
      <c r="C27" s="107">
        <v>7</v>
      </c>
      <c r="D27" s="45" t="s">
        <v>227</v>
      </c>
      <c r="E27" s="46">
        <v>-51.900000000000013</v>
      </c>
      <c r="F27" s="47" t="s">
        <v>216</v>
      </c>
      <c r="G27" s="59">
        <v>-4.9481481481481469</v>
      </c>
      <c r="H27" s="47" t="s">
        <v>216</v>
      </c>
      <c r="I27" s="48">
        <v>2.6296296296296298</v>
      </c>
      <c r="J27" s="47" t="s">
        <v>235</v>
      </c>
      <c r="K27" s="49">
        <v>0.14285714285714285</v>
      </c>
      <c r="L27" s="47" t="s">
        <v>168</v>
      </c>
      <c r="M27" s="49">
        <v>0.27777777777777779</v>
      </c>
      <c r="N27" s="47" t="s">
        <v>223</v>
      </c>
      <c r="O27" s="49">
        <v>0.5</v>
      </c>
      <c r="P27" s="47" t="s">
        <v>191</v>
      </c>
      <c r="Q27" s="50">
        <v>0.18260869565217391</v>
      </c>
      <c r="R27" s="47" t="s">
        <v>227</v>
      </c>
      <c r="S27" s="50">
        <v>0.15053763440860216</v>
      </c>
      <c r="T27" s="47" t="s">
        <v>163</v>
      </c>
      <c r="U27" s="51">
        <v>5993.333333333333</v>
      </c>
      <c r="V27" s="47" t="s">
        <v>208</v>
      </c>
      <c r="W27" s="51">
        <v>-6340</v>
      </c>
      <c r="X27" s="47" t="s">
        <v>179</v>
      </c>
      <c r="Y27" s="50">
        <v>0.19083969465648856</v>
      </c>
      <c r="Z27" s="47" t="s">
        <v>238</v>
      </c>
      <c r="AA27" s="50">
        <v>0.18852459016393441</v>
      </c>
      <c r="AB27" s="47" t="s">
        <v>163</v>
      </c>
      <c r="AC27" s="50">
        <v>0.5</v>
      </c>
      <c r="AD27" s="47" t="s">
        <v>262</v>
      </c>
      <c r="AE27" s="50">
        <v>0.25</v>
      </c>
      <c r="AF27" s="47" t="s">
        <v>265</v>
      </c>
      <c r="AG27" s="50">
        <v>0.35</v>
      </c>
      <c r="AH27" s="47" t="s">
        <v>238</v>
      </c>
      <c r="AI27" s="54">
        <v>35800</v>
      </c>
    </row>
    <row r="28" spans="1:35">
      <c r="A28" s="44">
        <v>26</v>
      </c>
      <c r="B28" s="45" t="s">
        <v>269</v>
      </c>
      <c r="C28" s="107">
        <v>7</v>
      </c>
      <c r="D28" s="45" t="s">
        <v>180</v>
      </c>
      <c r="E28" s="46">
        <v>-52.6</v>
      </c>
      <c r="F28" s="47" t="s">
        <v>228</v>
      </c>
      <c r="G28" s="59">
        <v>-8.7764705882352931</v>
      </c>
      <c r="H28" s="47" t="s">
        <v>238</v>
      </c>
      <c r="I28" s="48">
        <v>2.6470588235294117</v>
      </c>
      <c r="J28" s="47" t="s">
        <v>258</v>
      </c>
      <c r="K28" s="49">
        <v>0.14285714285714285</v>
      </c>
      <c r="L28" s="47" t="s">
        <v>227</v>
      </c>
      <c r="M28" s="49">
        <v>0.2857142857142857</v>
      </c>
      <c r="N28" s="47" t="s">
        <v>195</v>
      </c>
      <c r="O28" s="49">
        <v>0.48717948717948717</v>
      </c>
      <c r="P28" s="47" t="s">
        <v>228</v>
      </c>
      <c r="Q28" s="50">
        <v>0.18181818181818182</v>
      </c>
      <c r="R28" s="47" t="s">
        <v>244</v>
      </c>
      <c r="S28" s="50">
        <v>0.15384615384615385</v>
      </c>
      <c r="T28" s="47" t="s">
        <v>168</v>
      </c>
      <c r="U28" s="51">
        <v>5988.3720930232557</v>
      </c>
      <c r="V28" s="47" t="s">
        <v>263</v>
      </c>
      <c r="W28" s="51">
        <v>-6455.5555555555557</v>
      </c>
      <c r="X28" s="47" t="s">
        <v>216</v>
      </c>
      <c r="Y28" s="50">
        <v>0.18435754189944134</v>
      </c>
      <c r="Z28" s="47" t="s">
        <v>202</v>
      </c>
      <c r="AA28" s="50">
        <v>0.17647058823529413</v>
      </c>
      <c r="AB28" s="47" t="s">
        <v>167</v>
      </c>
      <c r="AC28" s="50">
        <v>0.5</v>
      </c>
      <c r="AD28" s="47" t="s">
        <v>227</v>
      </c>
      <c r="AE28" s="50">
        <v>0.23076923076923078</v>
      </c>
      <c r="AF28" s="47" t="s">
        <v>175</v>
      </c>
      <c r="AG28" s="50">
        <v>0.33333333333333331</v>
      </c>
      <c r="AH28" s="47" t="s">
        <v>264</v>
      </c>
      <c r="AI28" s="54">
        <v>35600</v>
      </c>
    </row>
    <row r="29" spans="1:35">
      <c r="A29" s="44">
        <v>27</v>
      </c>
      <c r="B29" s="45" t="s">
        <v>203</v>
      </c>
      <c r="C29" s="107">
        <v>5</v>
      </c>
      <c r="D29" s="45" t="s">
        <v>262</v>
      </c>
      <c r="E29" s="46">
        <v>-59.2</v>
      </c>
      <c r="F29" s="47" t="s">
        <v>258</v>
      </c>
      <c r="G29" s="59">
        <v>-10.6</v>
      </c>
      <c r="H29" s="47" t="s">
        <v>213</v>
      </c>
      <c r="I29" s="48">
        <v>2.7</v>
      </c>
      <c r="J29" s="47" t="s">
        <v>213</v>
      </c>
      <c r="K29" s="49">
        <v>0</v>
      </c>
      <c r="L29" s="47" t="s">
        <v>241</v>
      </c>
      <c r="M29" s="49">
        <v>0.2857142857142857</v>
      </c>
      <c r="N29" s="47" t="s">
        <v>238</v>
      </c>
      <c r="O29" s="49">
        <v>0.47058823529411764</v>
      </c>
      <c r="P29" s="47" t="s">
        <v>238</v>
      </c>
      <c r="Q29" s="50">
        <v>0.18032786885245902</v>
      </c>
      <c r="R29" s="47" t="s">
        <v>264</v>
      </c>
      <c r="S29" s="50">
        <v>0.15384615384615385</v>
      </c>
      <c r="T29" s="47" t="s">
        <v>272</v>
      </c>
      <c r="U29" s="51">
        <v>5911.1111111111113</v>
      </c>
      <c r="V29" s="47" t="s">
        <v>161</v>
      </c>
      <c r="W29" s="51">
        <v>-6514.2857142857147</v>
      </c>
      <c r="X29" s="47" t="s">
        <v>262</v>
      </c>
      <c r="Y29" s="50">
        <v>0.17391304347826086</v>
      </c>
      <c r="Z29" s="47" t="s">
        <v>262</v>
      </c>
      <c r="AA29" s="50">
        <v>0.17391304347826086</v>
      </c>
      <c r="AB29" s="47" t="s">
        <v>258</v>
      </c>
      <c r="AC29" s="50">
        <v>0.5</v>
      </c>
      <c r="AD29" s="47" t="s">
        <v>164</v>
      </c>
      <c r="AE29" s="50">
        <v>0.22580645161290322</v>
      </c>
      <c r="AF29" s="47" t="s">
        <v>228</v>
      </c>
      <c r="AG29" s="50">
        <v>0.31818181818181818</v>
      </c>
      <c r="AH29" s="47" t="s">
        <v>213</v>
      </c>
      <c r="AI29" s="54">
        <v>34800</v>
      </c>
    </row>
    <row r="30" spans="1:35">
      <c r="A30" s="44">
        <v>28</v>
      </c>
      <c r="B30" s="45" t="s">
        <v>166</v>
      </c>
      <c r="C30" s="107">
        <v>4</v>
      </c>
      <c r="D30" s="45" t="s">
        <v>223</v>
      </c>
      <c r="E30" s="46">
        <v>-72.5</v>
      </c>
      <c r="F30" s="47" t="s">
        <v>241</v>
      </c>
      <c r="G30" s="59">
        <v>-11.285714285714286</v>
      </c>
      <c r="H30" s="47" t="s">
        <v>228</v>
      </c>
      <c r="I30" s="48">
        <v>2.7058823529411766</v>
      </c>
      <c r="J30" s="47" t="s">
        <v>238</v>
      </c>
      <c r="K30" s="49">
        <v>0</v>
      </c>
      <c r="L30" s="47" t="s">
        <v>258</v>
      </c>
      <c r="M30" s="49">
        <v>0.2857142857142857</v>
      </c>
      <c r="N30" s="47" t="s">
        <v>258</v>
      </c>
      <c r="O30" s="49">
        <v>0.42857142857142855</v>
      </c>
      <c r="P30" s="47" t="s">
        <v>258</v>
      </c>
      <c r="Q30" s="50">
        <v>0.18</v>
      </c>
      <c r="R30" s="47" t="s">
        <v>215</v>
      </c>
      <c r="S30" s="50">
        <v>0.16666666666666666</v>
      </c>
      <c r="T30" s="47" t="s">
        <v>177</v>
      </c>
      <c r="U30" s="51">
        <v>5900</v>
      </c>
      <c r="V30" s="47" t="s">
        <v>180</v>
      </c>
      <c r="W30" s="51">
        <v>-6600</v>
      </c>
      <c r="X30" s="47" t="s">
        <v>228</v>
      </c>
      <c r="Y30" s="50">
        <v>0.17355371900826447</v>
      </c>
      <c r="Z30" s="47" t="s">
        <v>277</v>
      </c>
      <c r="AA30" s="50">
        <v>0.1728395061728395</v>
      </c>
      <c r="AB30" s="47" t="s">
        <v>262</v>
      </c>
      <c r="AC30" s="50">
        <v>0.5</v>
      </c>
      <c r="AD30" s="47" t="s">
        <v>231</v>
      </c>
      <c r="AE30" s="50">
        <v>0.2</v>
      </c>
      <c r="AF30" s="47" t="s">
        <v>277</v>
      </c>
      <c r="AG30" s="50">
        <v>0.2857142857142857</v>
      </c>
      <c r="AH30" s="47" t="s">
        <v>167</v>
      </c>
      <c r="AI30" s="54">
        <v>34000</v>
      </c>
    </row>
    <row r="31" spans="1:35">
      <c r="A31" s="44">
        <v>29</v>
      </c>
      <c r="B31" s="45" t="s">
        <v>205</v>
      </c>
      <c r="C31" s="107">
        <v>4</v>
      </c>
      <c r="D31" s="45" t="s">
        <v>258</v>
      </c>
      <c r="E31" s="46">
        <v>-74.2</v>
      </c>
      <c r="F31" s="47" t="s">
        <v>213</v>
      </c>
      <c r="G31" s="59">
        <v>-11.670000000000002</v>
      </c>
      <c r="H31" s="47" t="s">
        <v>241</v>
      </c>
      <c r="I31" s="48">
        <v>2.7142857142857144</v>
      </c>
      <c r="J31" s="47" t="s">
        <v>277</v>
      </c>
      <c r="K31" s="49">
        <v>0</v>
      </c>
      <c r="L31" s="47" t="s">
        <v>216</v>
      </c>
      <c r="M31" s="49">
        <v>0.29629629629629628</v>
      </c>
      <c r="N31" s="47" t="s">
        <v>228</v>
      </c>
      <c r="O31" s="49">
        <v>0.41176470588235292</v>
      </c>
      <c r="P31" s="47" t="s">
        <v>262</v>
      </c>
      <c r="Q31" s="50">
        <v>0.17391304347826086</v>
      </c>
      <c r="R31" s="47" t="s">
        <v>241</v>
      </c>
      <c r="S31" s="50">
        <v>0.16666666666666666</v>
      </c>
      <c r="T31" s="47" t="s">
        <v>258</v>
      </c>
      <c r="U31" s="51">
        <v>5766.666666666667</v>
      </c>
      <c r="V31" s="47" t="s">
        <v>265</v>
      </c>
      <c r="W31" s="51">
        <v>-6850</v>
      </c>
      <c r="X31" s="47" t="s">
        <v>169</v>
      </c>
      <c r="Y31" s="50">
        <v>0.17320261437908496</v>
      </c>
      <c r="Z31" s="47" t="s">
        <v>166</v>
      </c>
      <c r="AA31" s="50">
        <v>0.17142857142857143</v>
      </c>
      <c r="AB31" s="47" t="s">
        <v>269</v>
      </c>
      <c r="AC31" s="50">
        <v>0.42857142857142855</v>
      </c>
      <c r="AD31" s="47" t="s">
        <v>203</v>
      </c>
      <c r="AE31" s="50">
        <v>0.16666666666666666</v>
      </c>
      <c r="AF31" s="47" t="s">
        <v>263</v>
      </c>
      <c r="AG31" s="50">
        <v>0.25</v>
      </c>
      <c r="AH31" s="47" t="s">
        <v>241</v>
      </c>
      <c r="AI31" s="54">
        <v>34000</v>
      </c>
    </row>
    <row r="32" spans="1:35">
      <c r="A32" s="44">
        <v>30</v>
      </c>
      <c r="B32" s="45" t="s">
        <v>223</v>
      </c>
      <c r="C32" s="107">
        <v>4</v>
      </c>
      <c r="D32" s="45" t="s">
        <v>241</v>
      </c>
      <c r="E32" s="46">
        <v>-79</v>
      </c>
      <c r="F32" s="47" t="s">
        <v>238</v>
      </c>
      <c r="G32" s="59">
        <v>-12.382352941176467</v>
      </c>
      <c r="H32" s="47" t="s">
        <v>258</v>
      </c>
      <c r="I32" s="48">
        <v>2.7142857142857144</v>
      </c>
      <c r="J32" s="47" t="s">
        <v>166</v>
      </c>
      <c r="K32" s="49">
        <v>0</v>
      </c>
      <c r="L32" s="47" t="s">
        <v>161</v>
      </c>
      <c r="M32" s="49">
        <v>0.3</v>
      </c>
      <c r="N32" s="47" t="s">
        <v>216</v>
      </c>
      <c r="O32" s="49">
        <v>0.40740740740740738</v>
      </c>
      <c r="P32" s="47" t="s">
        <v>215</v>
      </c>
      <c r="Q32" s="50">
        <v>0.16666666666666666</v>
      </c>
      <c r="R32" s="47" t="s">
        <v>202</v>
      </c>
      <c r="S32" s="50">
        <v>0.17647058823529413</v>
      </c>
      <c r="T32" s="47" t="s">
        <v>265</v>
      </c>
      <c r="U32" s="51">
        <v>5705</v>
      </c>
      <c r="V32" s="47" t="s">
        <v>195</v>
      </c>
      <c r="W32" s="51">
        <v>-6900</v>
      </c>
      <c r="X32" s="47" t="s">
        <v>161</v>
      </c>
      <c r="Y32" s="50">
        <v>0.16883116883116883</v>
      </c>
      <c r="Z32" s="47" t="s">
        <v>215</v>
      </c>
      <c r="AA32" s="50">
        <v>0.16666666666666666</v>
      </c>
      <c r="AB32" s="47" t="s">
        <v>179</v>
      </c>
      <c r="AC32" s="50">
        <v>0.4</v>
      </c>
      <c r="AD32" s="47" t="s">
        <v>276</v>
      </c>
      <c r="AE32" s="50">
        <v>0.15</v>
      </c>
      <c r="AF32" s="47" t="s">
        <v>177</v>
      </c>
      <c r="AG32" s="50">
        <v>0.25</v>
      </c>
      <c r="AH32" s="47" t="s">
        <v>175</v>
      </c>
      <c r="AI32" s="54">
        <v>33600</v>
      </c>
    </row>
    <row r="33" spans="1:35">
      <c r="A33" s="44">
        <v>31</v>
      </c>
      <c r="B33" s="45" t="s">
        <v>208</v>
      </c>
      <c r="C33" s="107">
        <v>3</v>
      </c>
      <c r="D33" s="45" t="s">
        <v>114</v>
      </c>
      <c r="E33" s="46">
        <v>-90.000000000000142</v>
      </c>
      <c r="F33" s="47" t="s">
        <v>215</v>
      </c>
      <c r="G33" s="59">
        <v>-14.4</v>
      </c>
      <c r="H33" s="47" t="s">
        <v>223</v>
      </c>
      <c r="I33" s="48">
        <v>2.75</v>
      </c>
      <c r="J33" s="47" t="s">
        <v>167</v>
      </c>
      <c r="K33" s="49">
        <v>0</v>
      </c>
      <c r="L33" s="47" t="s">
        <v>262</v>
      </c>
      <c r="M33" s="49">
        <v>0.33333333333333331</v>
      </c>
      <c r="N33" s="47" t="s">
        <v>244</v>
      </c>
      <c r="O33" s="49">
        <v>0.36363636363636365</v>
      </c>
      <c r="P33" s="47" t="s">
        <v>164</v>
      </c>
      <c r="Q33" s="50">
        <v>0.16528925619834711</v>
      </c>
      <c r="R33" s="47" t="s">
        <v>269</v>
      </c>
      <c r="S33" s="50">
        <v>0.17777777777777778</v>
      </c>
      <c r="T33" s="47" t="s">
        <v>269</v>
      </c>
      <c r="U33" s="51">
        <v>5650</v>
      </c>
      <c r="V33" s="47" t="s">
        <v>228</v>
      </c>
      <c r="W33" s="51">
        <v>-6926.9230769230771</v>
      </c>
      <c r="X33" s="47" t="s">
        <v>244</v>
      </c>
      <c r="Y33" s="50">
        <v>0.16666666666666666</v>
      </c>
      <c r="Z33" s="47" t="s">
        <v>258</v>
      </c>
      <c r="AA33" s="50">
        <v>0.16</v>
      </c>
      <c r="AB33" s="47" t="s">
        <v>241</v>
      </c>
      <c r="AC33" s="50">
        <v>0.375</v>
      </c>
      <c r="AD33" s="47" t="s">
        <v>235</v>
      </c>
      <c r="AE33" s="50">
        <v>0.125</v>
      </c>
      <c r="AF33" s="47" t="s">
        <v>231</v>
      </c>
      <c r="AG33" s="50">
        <v>0.25</v>
      </c>
      <c r="AH33" s="47" t="s">
        <v>268</v>
      </c>
      <c r="AI33" s="54">
        <v>32100</v>
      </c>
    </row>
    <row r="34" spans="1:35">
      <c r="A34" s="44">
        <v>32</v>
      </c>
      <c r="B34" s="45" t="s">
        <v>262</v>
      </c>
      <c r="C34" s="107">
        <v>3</v>
      </c>
      <c r="D34" s="45" t="s">
        <v>199</v>
      </c>
      <c r="E34" s="46">
        <v>-97.4</v>
      </c>
      <c r="F34" s="47" t="s">
        <v>223</v>
      </c>
      <c r="G34" s="59">
        <v>-18.125</v>
      </c>
      <c r="H34" s="47" t="s">
        <v>196</v>
      </c>
      <c r="I34" s="48">
        <v>3</v>
      </c>
      <c r="J34" s="47" t="s">
        <v>175</v>
      </c>
      <c r="K34" s="49">
        <v>0</v>
      </c>
      <c r="L34" s="47" t="s">
        <v>228</v>
      </c>
      <c r="M34" s="49">
        <v>0.35294117647058826</v>
      </c>
      <c r="N34" s="47" t="s">
        <v>262</v>
      </c>
      <c r="O34" s="49">
        <v>0.33333333333333331</v>
      </c>
      <c r="P34" s="47" t="s">
        <v>216</v>
      </c>
      <c r="Q34" s="50">
        <v>0.15083798882681565</v>
      </c>
      <c r="R34" s="47" t="s">
        <v>161</v>
      </c>
      <c r="S34" s="50">
        <v>0.18181818181818182</v>
      </c>
      <c r="T34" s="47" t="s">
        <v>235</v>
      </c>
      <c r="U34" s="51">
        <v>5300</v>
      </c>
      <c r="V34" s="47" t="s">
        <v>269</v>
      </c>
      <c r="W34" s="51">
        <v>-7112.5</v>
      </c>
      <c r="X34" s="47" t="s">
        <v>241</v>
      </c>
      <c r="Y34" s="50">
        <v>0.16666666666666666</v>
      </c>
      <c r="Z34" s="47" t="s">
        <v>177</v>
      </c>
      <c r="AA34" s="50">
        <v>0.15789473684210525</v>
      </c>
      <c r="AB34" s="47" t="s">
        <v>191</v>
      </c>
      <c r="AC34" s="50">
        <v>0.33333333333333331</v>
      </c>
      <c r="AD34" s="47" t="s">
        <v>258</v>
      </c>
      <c r="AE34" s="50">
        <v>0.125</v>
      </c>
      <c r="AF34" s="47" t="s">
        <v>262</v>
      </c>
      <c r="AG34" s="50">
        <v>0.25</v>
      </c>
      <c r="AH34" s="47" t="s">
        <v>277</v>
      </c>
      <c r="AI34" s="54">
        <v>29000</v>
      </c>
    </row>
    <row r="35" spans="1:35">
      <c r="A35" s="44">
        <v>33</v>
      </c>
      <c r="B35" s="45" t="s">
        <v>175</v>
      </c>
      <c r="C35" s="107">
        <v>2</v>
      </c>
      <c r="D35" s="45" t="s">
        <v>202</v>
      </c>
      <c r="E35" s="46">
        <v>-105.9</v>
      </c>
      <c r="F35" s="47" t="s">
        <v>262</v>
      </c>
      <c r="G35" s="59">
        <v>-19.733333333333334</v>
      </c>
      <c r="H35" s="47" t="s">
        <v>215</v>
      </c>
      <c r="I35" s="48">
        <v>3</v>
      </c>
      <c r="J35" s="47" t="s">
        <v>180</v>
      </c>
      <c r="K35" s="49">
        <v>0</v>
      </c>
      <c r="L35" s="47" t="s">
        <v>163</v>
      </c>
      <c r="M35" s="49">
        <v>0.375</v>
      </c>
      <c r="N35" s="47" t="s">
        <v>166</v>
      </c>
      <c r="O35" s="49">
        <v>0.25</v>
      </c>
      <c r="P35" s="47" t="s">
        <v>213</v>
      </c>
      <c r="Q35" s="50">
        <v>0.14814814814814814</v>
      </c>
      <c r="R35" s="47" t="s">
        <v>277</v>
      </c>
      <c r="S35" s="50">
        <v>0.18518518518518517</v>
      </c>
      <c r="T35" s="47" t="s">
        <v>241</v>
      </c>
      <c r="U35" s="51">
        <v>5090.909090909091</v>
      </c>
      <c r="V35" s="47" t="s">
        <v>163</v>
      </c>
      <c r="W35" s="51">
        <v>-7212.5</v>
      </c>
      <c r="X35" s="47" t="s">
        <v>238</v>
      </c>
      <c r="Y35" s="50">
        <v>0.15573770491803279</v>
      </c>
      <c r="Z35" s="47" t="s">
        <v>216</v>
      </c>
      <c r="AA35" s="50">
        <v>0.14525139664804471</v>
      </c>
      <c r="AB35" s="47" t="s">
        <v>277</v>
      </c>
      <c r="AC35" s="50">
        <v>0.33333333333333331</v>
      </c>
      <c r="AD35" s="47" t="s">
        <v>277</v>
      </c>
      <c r="AE35" s="50">
        <v>7.1428571428571425E-2</v>
      </c>
      <c r="AF35" s="47" t="s">
        <v>169</v>
      </c>
      <c r="AG35" s="50">
        <v>0.24637681159420291</v>
      </c>
      <c r="AH35" s="47" t="s">
        <v>262</v>
      </c>
      <c r="AI35" s="54">
        <v>28000</v>
      </c>
    </row>
    <row r="36" spans="1:35">
      <c r="A36" s="44">
        <v>34</v>
      </c>
      <c r="B36" s="45" t="s">
        <v>177</v>
      </c>
      <c r="C36" s="107">
        <v>2</v>
      </c>
      <c r="D36" s="45" t="s">
        <v>213</v>
      </c>
      <c r="E36" s="46">
        <v>-116.70000000000002</v>
      </c>
      <c r="F36" s="47" t="s">
        <v>235</v>
      </c>
      <c r="G36" s="59">
        <v>-26.142857142857142</v>
      </c>
      <c r="H36" s="47" t="s">
        <v>262</v>
      </c>
      <c r="I36" s="48">
        <v>3</v>
      </c>
      <c r="J36" s="47" t="s">
        <v>199</v>
      </c>
      <c r="K36" s="49">
        <v>0</v>
      </c>
      <c r="L36" s="47" t="s">
        <v>203</v>
      </c>
      <c r="M36" s="49">
        <v>0.4</v>
      </c>
      <c r="N36" s="47" t="s">
        <v>235</v>
      </c>
      <c r="O36" s="49">
        <v>0.21428571428571427</v>
      </c>
      <c r="P36" s="47" t="s">
        <v>235</v>
      </c>
      <c r="Q36" s="50">
        <v>0.13207547169811321</v>
      </c>
      <c r="R36" s="47" t="s">
        <v>223</v>
      </c>
      <c r="S36" s="50">
        <v>0.19047619047619047</v>
      </c>
      <c r="T36" s="47" t="s">
        <v>263</v>
      </c>
      <c r="U36" s="51">
        <v>5087.5</v>
      </c>
      <c r="V36" s="47" t="s">
        <v>216</v>
      </c>
      <c r="W36" s="51">
        <v>-7266.666666666667</v>
      </c>
      <c r="X36" s="47" t="s">
        <v>269</v>
      </c>
      <c r="Y36" s="50">
        <v>0.15555555555555556</v>
      </c>
      <c r="Z36" s="47" t="s">
        <v>167</v>
      </c>
      <c r="AA36" s="50">
        <v>0.14285714285714285</v>
      </c>
      <c r="AB36" s="47" t="s">
        <v>203</v>
      </c>
      <c r="AC36" s="50">
        <v>0.33333333333333331</v>
      </c>
      <c r="AD36" s="47" t="s">
        <v>213</v>
      </c>
      <c r="AE36" s="50">
        <v>0</v>
      </c>
      <c r="AF36" s="47" t="s">
        <v>164</v>
      </c>
      <c r="AG36" s="50">
        <v>0.2</v>
      </c>
      <c r="AH36" s="47" t="s">
        <v>215</v>
      </c>
      <c r="AI36" s="54">
        <v>25600</v>
      </c>
    </row>
    <row r="37" spans="1:35">
      <c r="A37" s="44">
        <v>35</v>
      </c>
      <c r="B37" s="45" t="s">
        <v>199</v>
      </c>
      <c r="C37" s="107">
        <v>2</v>
      </c>
      <c r="D37" s="45" t="s">
        <v>166</v>
      </c>
      <c r="E37" s="46">
        <v>-127.99999999999999</v>
      </c>
      <c r="F37" s="47" t="s">
        <v>196</v>
      </c>
      <c r="G37" s="59">
        <v>-27.1</v>
      </c>
      <c r="H37" s="47" t="s">
        <v>235</v>
      </c>
      <c r="I37" s="48">
        <v>3.2142857142857144</v>
      </c>
      <c r="J37" s="47" t="s">
        <v>196</v>
      </c>
      <c r="K37" s="49">
        <v>0</v>
      </c>
      <c r="L37" s="47" t="s">
        <v>166</v>
      </c>
      <c r="M37" s="49">
        <v>0.5</v>
      </c>
      <c r="N37" s="47" t="s">
        <v>277</v>
      </c>
      <c r="O37" s="49">
        <v>0.18181818181818182</v>
      </c>
      <c r="P37" s="47" t="s">
        <v>196</v>
      </c>
      <c r="Q37" s="50">
        <v>0.125</v>
      </c>
      <c r="R37" s="47" t="s">
        <v>168</v>
      </c>
      <c r="S37" s="50">
        <v>0.19718309859154928</v>
      </c>
      <c r="T37" s="47" t="s">
        <v>179</v>
      </c>
      <c r="U37" s="51">
        <v>4909.375</v>
      </c>
      <c r="V37" s="47" t="s">
        <v>244</v>
      </c>
      <c r="W37" s="51">
        <v>-7483.333333333333</v>
      </c>
      <c r="X37" s="47" t="s">
        <v>231</v>
      </c>
      <c r="Y37" s="50">
        <v>0.15384615384615385</v>
      </c>
      <c r="Z37" s="47" t="s">
        <v>227</v>
      </c>
      <c r="AA37" s="50">
        <v>0.13978494623655913</v>
      </c>
      <c r="AB37" s="47" t="s">
        <v>223</v>
      </c>
      <c r="AC37" s="50">
        <v>0.33333333333333331</v>
      </c>
      <c r="AD37" s="47" t="s">
        <v>167</v>
      </c>
      <c r="AE37" s="50">
        <v>0</v>
      </c>
      <c r="AF37" s="47" t="s">
        <v>227</v>
      </c>
      <c r="AG37" s="50">
        <v>0.19047619047619047</v>
      </c>
      <c r="AH37" s="47" t="s">
        <v>203</v>
      </c>
      <c r="AI37" s="54">
        <v>25000</v>
      </c>
    </row>
    <row r="38" spans="1:35">
      <c r="A38" s="44">
        <v>36</v>
      </c>
      <c r="B38" s="45" t="s">
        <v>202</v>
      </c>
      <c r="C38" s="107">
        <v>2</v>
      </c>
      <c r="D38" s="45" t="s">
        <v>208</v>
      </c>
      <c r="E38" s="46">
        <v>-132.69999999999999</v>
      </c>
      <c r="F38" s="47" t="s">
        <v>166</v>
      </c>
      <c r="G38" s="59">
        <v>-31.999999999999996</v>
      </c>
      <c r="H38" s="47" t="s">
        <v>166</v>
      </c>
      <c r="I38" s="48">
        <v>3.25</v>
      </c>
      <c r="J38" s="47" t="s">
        <v>203</v>
      </c>
      <c r="K38" s="49">
        <v>0</v>
      </c>
      <c r="L38" s="47" t="s">
        <v>177</v>
      </c>
      <c r="M38" s="49">
        <v>0.5</v>
      </c>
      <c r="N38" s="47" t="s">
        <v>180</v>
      </c>
      <c r="O38" s="49">
        <v>0</v>
      </c>
      <c r="P38" s="47" t="s">
        <v>223</v>
      </c>
      <c r="Q38" s="50">
        <v>9.5238095238095233E-2</v>
      </c>
      <c r="R38" s="47" t="s">
        <v>258</v>
      </c>
      <c r="S38" s="50">
        <v>0.2</v>
      </c>
      <c r="T38" s="47" t="s">
        <v>262</v>
      </c>
      <c r="U38" s="51">
        <v>4525</v>
      </c>
      <c r="V38" s="47" t="s">
        <v>238</v>
      </c>
      <c r="W38" s="51">
        <v>-7558.8235294117649</v>
      </c>
      <c r="X38" s="47" t="s">
        <v>180</v>
      </c>
      <c r="Y38" s="50">
        <v>0.14285714285714285</v>
      </c>
      <c r="Z38" s="47" t="s">
        <v>203</v>
      </c>
      <c r="AA38" s="50">
        <v>0.13953488372093023</v>
      </c>
      <c r="AB38" s="47" t="s">
        <v>164</v>
      </c>
      <c r="AC38" s="50">
        <v>0.3125</v>
      </c>
      <c r="AD38" s="47" t="s">
        <v>175</v>
      </c>
      <c r="AE38" s="50">
        <v>0</v>
      </c>
      <c r="AF38" s="47" t="s">
        <v>191</v>
      </c>
      <c r="AG38" s="50">
        <v>0.14285714285714285</v>
      </c>
      <c r="AH38" s="47" t="s">
        <v>166</v>
      </c>
      <c r="AI38" s="54">
        <v>23700</v>
      </c>
    </row>
    <row r="39" spans="1:35">
      <c r="A39" s="44">
        <v>37</v>
      </c>
      <c r="B39" s="45" t="s">
        <v>231</v>
      </c>
      <c r="C39" s="107">
        <v>2</v>
      </c>
      <c r="D39" s="45" t="s">
        <v>216</v>
      </c>
      <c r="E39" s="46">
        <v>-133.59999999999997</v>
      </c>
      <c r="F39" s="47" t="s">
        <v>203</v>
      </c>
      <c r="G39" s="59">
        <v>-32.279999999999994</v>
      </c>
      <c r="H39" s="47" t="s">
        <v>277</v>
      </c>
      <c r="I39" s="48">
        <v>3.3636363636363638</v>
      </c>
      <c r="J39" s="47" t="s">
        <v>202</v>
      </c>
      <c r="K39" s="49">
        <v>0</v>
      </c>
      <c r="L39" s="47" t="s">
        <v>277</v>
      </c>
      <c r="M39" s="49">
        <v>0.54545454545454541</v>
      </c>
      <c r="N39" s="47" t="s">
        <v>199</v>
      </c>
      <c r="O39" s="49">
        <v>0</v>
      </c>
      <c r="P39" s="47" t="s">
        <v>203</v>
      </c>
      <c r="Q39" s="50">
        <v>9.3023255813953487E-2</v>
      </c>
      <c r="R39" s="47" t="s">
        <v>268</v>
      </c>
      <c r="S39" s="50">
        <v>0.2</v>
      </c>
      <c r="T39" s="47" t="s">
        <v>215</v>
      </c>
      <c r="U39" s="51">
        <v>3900</v>
      </c>
      <c r="V39" s="47" t="s">
        <v>255</v>
      </c>
      <c r="W39" s="51">
        <v>-7600</v>
      </c>
      <c r="X39" s="47" t="s">
        <v>202</v>
      </c>
      <c r="Y39" s="50">
        <v>0.11764705882352941</v>
      </c>
      <c r="Z39" s="47" t="s">
        <v>269</v>
      </c>
      <c r="AA39" s="50">
        <v>0.13333333333333333</v>
      </c>
      <c r="AB39" s="47" t="s">
        <v>180</v>
      </c>
      <c r="AC39" s="50">
        <v>0</v>
      </c>
      <c r="AD39" s="47" t="s">
        <v>180</v>
      </c>
      <c r="AE39" s="50">
        <v>0</v>
      </c>
      <c r="AF39" s="47" t="s">
        <v>180</v>
      </c>
      <c r="AG39" s="50">
        <v>0</v>
      </c>
      <c r="AH39" s="47" t="s">
        <v>269</v>
      </c>
      <c r="AI39" s="54">
        <v>23100</v>
      </c>
    </row>
    <row r="40" spans="1:35">
      <c r="A40" s="44">
        <v>38</v>
      </c>
      <c r="B40" s="45" t="s">
        <v>264</v>
      </c>
      <c r="C40" s="107">
        <v>2</v>
      </c>
      <c r="D40" s="45" t="s">
        <v>228</v>
      </c>
      <c r="E40" s="46">
        <v>-149.19999999999999</v>
      </c>
      <c r="F40" s="47" t="s">
        <v>277</v>
      </c>
      <c r="G40" s="59">
        <v>-32.536363636363632</v>
      </c>
      <c r="H40" s="47" t="s">
        <v>203</v>
      </c>
      <c r="I40" s="48">
        <v>3.4</v>
      </c>
      <c r="J40" s="47" t="s">
        <v>208</v>
      </c>
      <c r="K40" s="49">
        <v>0</v>
      </c>
      <c r="L40" s="47" t="s">
        <v>235</v>
      </c>
      <c r="M40" s="49">
        <v>0.5714285714285714</v>
      </c>
      <c r="N40" s="47" t="s">
        <v>196</v>
      </c>
      <c r="O40" s="49">
        <v>0</v>
      </c>
      <c r="P40" s="47" t="s">
        <v>269</v>
      </c>
      <c r="Q40" s="50">
        <v>8.8888888888888892E-2</v>
      </c>
      <c r="R40" s="47" t="s">
        <v>235</v>
      </c>
      <c r="S40" s="50">
        <v>0.20754716981132076</v>
      </c>
      <c r="T40" s="47" t="s">
        <v>166</v>
      </c>
      <c r="U40" s="51">
        <v>2928.5714285714284</v>
      </c>
      <c r="V40" s="47" t="s">
        <v>241</v>
      </c>
      <c r="W40" s="51">
        <v>-7687.5</v>
      </c>
      <c r="X40" s="47" t="s">
        <v>166</v>
      </c>
      <c r="Y40" s="50">
        <v>0.11428571428571428</v>
      </c>
      <c r="Z40" s="47" t="s">
        <v>162</v>
      </c>
      <c r="AA40" s="50">
        <v>0.11538461538461539</v>
      </c>
      <c r="AB40" s="47" t="s">
        <v>199</v>
      </c>
      <c r="AC40" s="50">
        <v>0</v>
      </c>
      <c r="AD40" s="47" t="s">
        <v>199</v>
      </c>
      <c r="AE40" s="50">
        <v>0</v>
      </c>
      <c r="AF40" s="47" t="s">
        <v>199</v>
      </c>
      <c r="AG40" s="50">
        <v>0</v>
      </c>
      <c r="AH40" s="47" t="s">
        <v>223</v>
      </c>
      <c r="AI40" s="54">
        <v>22100</v>
      </c>
    </row>
    <row r="41" spans="1:35">
      <c r="A41" s="44">
        <v>39</v>
      </c>
      <c r="B41" s="45" t="s">
        <v>167</v>
      </c>
      <c r="C41" s="107">
        <v>1</v>
      </c>
      <c r="D41" s="45" t="s">
        <v>203</v>
      </c>
      <c r="E41" s="46">
        <v>-161.39999999999998</v>
      </c>
      <c r="F41" s="47" t="s">
        <v>269</v>
      </c>
      <c r="G41" s="59">
        <v>-37.628571428571433</v>
      </c>
      <c r="H41" s="47" t="s">
        <v>269</v>
      </c>
      <c r="I41" s="48">
        <v>3.5714285714285716</v>
      </c>
      <c r="J41" s="47" t="s">
        <v>215</v>
      </c>
      <c r="K41" s="49">
        <v>0</v>
      </c>
      <c r="L41" s="47" t="s">
        <v>269</v>
      </c>
      <c r="M41" s="49">
        <v>0.5714285714285714</v>
      </c>
      <c r="N41" s="47" t="s">
        <v>203</v>
      </c>
      <c r="O41" s="49">
        <v>0</v>
      </c>
      <c r="P41" s="47" t="s">
        <v>277</v>
      </c>
      <c r="Q41" s="50">
        <v>8.6419753086419748E-2</v>
      </c>
      <c r="R41" s="47" t="s">
        <v>228</v>
      </c>
      <c r="S41" s="50">
        <v>0.21487603305785125</v>
      </c>
      <c r="T41" s="47" t="s">
        <v>202</v>
      </c>
      <c r="U41" s="51">
        <v>1300</v>
      </c>
      <c r="V41" s="47" t="s">
        <v>268</v>
      </c>
      <c r="W41" s="51">
        <v>-8000</v>
      </c>
      <c r="X41" s="47" t="s">
        <v>191</v>
      </c>
      <c r="Y41" s="50">
        <v>0.10434782608695652</v>
      </c>
      <c r="Z41" s="47" t="s">
        <v>213</v>
      </c>
      <c r="AA41" s="50">
        <v>3.7037037037037035E-2</v>
      </c>
      <c r="AB41" s="47" t="s">
        <v>196</v>
      </c>
      <c r="AC41" s="50">
        <v>0</v>
      </c>
      <c r="AD41" s="47" t="s">
        <v>202</v>
      </c>
      <c r="AE41" s="50">
        <v>0</v>
      </c>
      <c r="AF41" s="47" t="s">
        <v>196</v>
      </c>
      <c r="AG41" s="50">
        <v>0</v>
      </c>
      <c r="AH41" s="47" t="s">
        <v>199</v>
      </c>
      <c r="AI41" s="54">
        <v>14100</v>
      </c>
    </row>
    <row r="42" spans="1:35">
      <c r="A42" s="44">
        <v>40</v>
      </c>
      <c r="B42" s="45" t="s">
        <v>180</v>
      </c>
      <c r="C42" s="107">
        <v>1</v>
      </c>
      <c r="D42" s="45" t="s">
        <v>238</v>
      </c>
      <c r="E42" s="46">
        <v>-210.49999999999994</v>
      </c>
      <c r="F42" s="47" t="s">
        <v>208</v>
      </c>
      <c r="G42" s="59">
        <v>-44.233333333333327</v>
      </c>
      <c r="H42" s="47" t="s">
        <v>208</v>
      </c>
      <c r="I42" s="48">
        <v>3.6666666666666665</v>
      </c>
      <c r="J42" s="47" t="s">
        <v>223</v>
      </c>
      <c r="K42" s="49">
        <v>0</v>
      </c>
      <c r="L42" s="47" t="s">
        <v>208</v>
      </c>
      <c r="M42" s="49">
        <v>0.66666666666666663</v>
      </c>
      <c r="N42" s="47" t="s">
        <v>202</v>
      </c>
      <c r="O42" s="49">
        <v>0</v>
      </c>
      <c r="P42" s="47" t="s">
        <v>202</v>
      </c>
      <c r="Q42" s="50">
        <v>5.8823529411764705E-2</v>
      </c>
      <c r="R42" s="47" t="s">
        <v>208</v>
      </c>
      <c r="S42" s="50">
        <v>0.21739130434782608</v>
      </c>
      <c r="T42" s="47" t="s">
        <v>196</v>
      </c>
      <c r="U42" s="51">
        <v>1000</v>
      </c>
      <c r="V42" s="47" t="s">
        <v>179</v>
      </c>
      <c r="W42" s="51">
        <v>-8157.1428571428569</v>
      </c>
      <c r="X42" s="47" t="s">
        <v>235</v>
      </c>
      <c r="Y42" s="50">
        <v>0.10377358490566038</v>
      </c>
      <c r="Z42" s="47" t="s">
        <v>175</v>
      </c>
      <c r="AA42" s="50">
        <v>0</v>
      </c>
      <c r="AB42" s="47" t="s">
        <v>202</v>
      </c>
      <c r="AC42" s="50">
        <v>0</v>
      </c>
      <c r="AD42" s="47" t="s">
        <v>208</v>
      </c>
      <c r="AE42" s="50">
        <v>0</v>
      </c>
      <c r="AF42" s="47" t="s">
        <v>202</v>
      </c>
      <c r="AG42" s="50">
        <v>0</v>
      </c>
      <c r="AH42" s="47" t="s">
        <v>202</v>
      </c>
      <c r="AI42" s="54">
        <v>13500</v>
      </c>
    </row>
    <row r="43" spans="1:35">
      <c r="A43" s="44">
        <v>41</v>
      </c>
      <c r="B43" s="45" t="s">
        <v>196</v>
      </c>
      <c r="C43" s="107">
        <v>1</v>
      </c>
      <c r="D43" s="45" t="s">
        <v>269</v>
      </c>
      <c r="E43" s="46">
        <v>-263.40000000000003</v>
      </c>
      <c r="F43" s="47" t="s">
        <v>199</v>
      </c>
      <c r="G43" s="59">
        <v>-48.7</v>
      </c>
      <c r="H43" s="47" t="s">
        <v>180</v>
      </c>
      <c r="I43" s="48">
        <v>4</v>
      </c>
      <c r="J43" s="47" t="s">
        <v>241</v>
      </c>
      <c r="K43" s="49">
        <v>0</v>
      </c>
      <c r="L43" s="47" t="s">
        <v>180</v>
      </c>
      <c r="M43" s="49">
        <v>1</v>
      </c>
      <c r="N43" s="47" t="s">
        <v>208</v>
      </c>
      <c r="O43" s="49">
        <v>0</v>
      </c>
      <c r="P43" s="47" t="s">
        <v>180</v>
      </c>
      <c r="Q43" s="50">
        <v>0</v>
      </c>
      <c r="R43" s="47" t="s">
        <v>262</v>
      </c>
      <c r="S43" s="50">
        <v>0.21739130434782608</v>
      </c>
      <c r="T43" s="47" t="s">
        <v>180</v>
      </c>
      <c r="U43" s="51">
        <v>0</v>
      </c>
      <c r="V43" s="47" t="s">
        <v>205</v>
      </c>
      <c r="W43" s="51">
        <v>-9466.6666666666661</v>
      </c>
      <c r="X43" s="47" t="s">
        <v>199</v>
      </c>
      <c r="Y43" s="50">
        <v>6.6666666666666666E-2</v>
      </c>
      <c r="Z43" s="47" t="s">
        <v>208</v>
      </c>
      <c r="AA43" s="50">
        <v>0</v>
      </c>
      <c r="AB43" s="47" t="s">
        <v>208</v>
      </c>
      <c r="AC43" s="50">
        <v>0</v>
      </c>
      <c r="AD43" s="47" t="s">
        <v>223</v>
      </c>
      <c r="AE43" s="50">
        <v>0</v>
      </c>
      <c r="AF43" s="47" t="s">
        <v>208</v>
      </c>
      <c r="AG43" s="50">
        <v>0</v>
      </c>
      <c r="AH43" s="47" t="s">
        <v>196</v>
      </c>
      <c r="AI43" s="54">
        <v>12900</v>
      </c>
    </row>
    <row r="44" spans="1:35">
      <c r="A44" s="44">
        <v>42</v>
      </c>
      <c r="B44" s="45" t="s">
        <v>215</v>
      </c>
      <c r="C44" s="107">
        <v>1</v>
      </c>
      <c r="D44" s="45" t="s">
        <v>277</v>
      </c>
      <c r="E44" s="46">
        <v>-357.9</v>
      </c>
      <c r="F44" s="47" t="s">
        <v>180</v>
      </c>
      <c r="G44" s="59">
        <v>-52.6</v>
      </c>
      <c r="H44" s="47" t="s">
        <v>199</v>
      </c>
      <c r="I44" s="48">
        <v>4</v>
      </c>
      <c r="J44" s="47" t="s">
        <v>262</v>
      </c>
      <c r="K44" s="49">
        <v>0</v>
      </c>
      <c r="L44" s="47" t="s">
        <v>199</v>
      </c>
      <c r="M44" s="49">
        <v>1</v>
      </c>
      <c r="N44" s="47" t="s">
        <v>215</v>
      </c>
      <c r="O44" s="49">
        <v>0</v>
      </c>
      <c r="P44" s="47" t="s">
        <v>199</v>
      </c>
      <c r="Q44" s="50">
        <v>0</v>
      </c>
      <c r="R44" s="47" t="s">
        <v>203</v>
      </c>
      <c r="S44" s="50">
        <v>0.23255813953488372</v>
      </c>
      <c r="T44" s="47" t="s">
        <v>199</v>
      </c>
      <c r="U44" s="51">
        <v>0</v>
      </c>
      <c r="V44" s="47" t="s">
        <v>199</v>
      </c>
      <c r="W44" s="51">
        <v>-10000</v>
      </c>
      <c r="X44" s="47" t="s">
        <v>208</v>
      </c>
      <c r="Y44" s="50">
        <v>4.3478260869565216E-2</v>
      </c>
      <c r="Z44" s="47" t="s">
        <v>223</v>
      </c>
      <c r="AA44" s="50">
        <v>0</v>
      </c>
      <c r="AB44" s="47" t="s">
        <v>215</v>
      </c>
      <c r="AC44" s="50">
        <v>0</v>
      </c>
      <c r="AD44" s="47" t="s">
        <v>269</v>
      </c>
      <c r="AE44" s="50">
        <v>0</v>
      </c>
      <c r="AF44" s="47" t="s">
        <v>215</v>
      </c>
      <c r="AG44" s="50">
        <v>0</v>
      </c>
      <c r="AH44" s="47" t="s">
        <v>208</v>
      </c>
      <c r="AI44" s="54">
        <v>10700</v>
      </c>
    </row>
    <row r="45" spans="1:35">
      <c r="A45" s="44">
        <v>43</v>
      </c>
      <c r="B45" s="45" t="s">
        <v>268</v>
      </c>
      <c r="C45" s="107">
        <v>1</v>
      </c>
      <c r="D45" s="45" t="s">
        <v>235</v>
      </c>
      <c r="E45" s="46">
        <v>-366</v>
      </c>
      <c r="F45" s="47" t="s">
        <v>202</v>
      </c>
      <c r="G45" s="59">
        <v>-52.95</v>
      </c>
      <c r="H45" s="47" t="s">
        <v>202</v>
      </c>
      <c r="I45" s="48">
        <v>4</v>
      </c>
      <c r="J45" s="47" t="s">
        <v>269</v>
      </c>
      <c r="K45" s="49">
        <v>0</v>
      </c>
      <c r="L45" s="47" t="s">
        <v>202</v>
      </c>
      <c r="M45" s="49">
        <v>1</v>
      </c>
      <c r="N45" s="47" t="s">
        <v>269</v>
      </c>
      <c r="O45" s="49">
        <v>0</v>
      </c>
      <c r="P45" s="47" t="s">
        <v>208</v>
      </c>
      <c r="Q45" s="50">
        <v>0</v>
      </c>
      <c r="R45" s="47" t="s">
        <v>180</v>
      </c>
      <c r="S45" s="50">
        <v>0.2857142857142857</v>
      </c>
      <c r="T45" s="47" t="s">
        <v>208</v>
      </c>
      <c r="U45" s="51">
        <v>0</v>
      </c>
      <c r="V45" s="47" t="s">
        <v>166</v>
      </c>
      <c r="W45" s="51">
        <v>-11400</v>
      </c>
      <c r="X45" s="47" t="s">
        <v>264</v>
      </c>
      <c r="Y45" s="50">
        <v>0</v>
      </c>
      <c r="Z45" s="47" t="s">
        <v>268</v>
      </c>
      <c r="AA45" s="50">
        <v>0</v>
      </c>
      <c r="AB45" s="47" t="s">
        <v>264</v>
      </c>
      <c r="AC45" s="50">
        <v>0</v>
      </c>
      <c r="AD45" s="47" t="s">
        <v>268</v>
      </c>
      <c r="AE45" s="50">
        <v>0</v>
      </c>
      <c r="AF45" s="47" t="s">
        <v>258</v>
      </c>
      <c r="AG45" s="50">
        <v>0</v>
      </c>
      <c r="AH45" s="47" t="s">
        <v>180</v>
      </c>
      <c r="AI45" s="54">
        <v>7400</v>
      </c>
    </row>
  </sheetData>
  <sortState xmlns:xlrd2="http://schemas.microsoft.com/office/spreadsheetml/2017/richdata2" ref="AH3:AI105">
    <sortCondition descending="1" ref="AI1"/>
  </sortState>
  <mergeCells count="34">
    <mergeCell ref="AB1:AC1"/>
    <mergeCell ref="AD1:AE1"/>
    <mergeCell ref="D1:E1"/>
    <mergeCell ref="F1:G1"/>
    <mergeCell ref="H1:I1"/>
    <mergeCell ref="J1:K1"/>
    <mergeCell ref="P1:Q1"/>
    <mergeCell ref="L1:M1"/>
    <mergeCell ref="N1:O1"/>
    <mergeCell ref="X1:Y1"/>
    <mergeCell ref="Z1:AA1"/>
    <mergeCell ref="D2:E2"/>
    <mergeCell ref="F2:G2"/>
    <mergeCell ref="H2:I2"/>
    <mergeCell ref="J2:K2"/>
    <mergeCell ref="P2:Q2"/>
    <mergeCell ref="L2:M2"/>
    <mergeCell ref="N2:O2"/>
    <mergeCell ref="B1:C1"/>
    <mergeCell ref="B2:C2"/>
    <mergeCell ref="AF2:AG2"/>
    <mergeCell ref="R1:S1"/>
    <mergeCell ref="AH2:AI2"/>
    <mergeCell ref="X2:Y2"/>
    <mergeCell ref="Z2:AA2"/>
    <mergeCell ref="AB2:AC2"/>
    <mergeCell ref="AD2:AE2"/>
    <mergeCell ref="R2:S2"/>
    <mergeCell ref="T2:U2"/>
    <mergeCell ref="V2:W2"/>
    <mergeCell ref="AH1:AI1"/>
    <mergeCell ref="T1:U1"/>
    <mergeCell ref="V1:W1"/>
    <mergeCell ref="AF1:AG1"/>
  </mergeCells>
  <phoneticPr fontId="2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30480</xdr:colOff>
                    <xdr:row>0</xdr:row>
                    <xdr:rowOff>22860</xdr:rowOff>
                  </from>
                  <to>
                    <xdr:col>0</xdr:col>
                    <xdr:colOff>426720</xdr:colOff>
                    <xdr:row>0</xdr:row>
                    <xdr:rowOff>220980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943EF3-A710-4384-9306-CD7485B79CF2}">
  <sheetPr codeName="Sheet4"/>
  <dimension ref="A1:Q40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114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405</v>
      </c>
      <c r="C2" s="121"/>
      <c r="E2" s="32" t="s">
        <v>54</v>
      </c>
      <c r="F2" s="29" t="s">
        <v>20</v>
      </c>
      <c r="G2" s="12">
        <v>360</v>
      </c>
      <c r="H2" s="93">
        <f>IF(B$17=0,0,G2/B$17)</f>
        <v>0.57233704292527821</v>
      </c>
      <c r="I2" s="55">
        <v>11</v>
      </c>
      <c r="K2" s="3">
        <v>0</v>
      </c>
      <c r="L2" s="60">
        <v>0</v>
      </c>
      <c r="N2" s="75" t="s">
        <v>103</v>
      </c>
      <c r="O2" s="82">
        <f t="shared" ref="O2:O9" si="0">IF(P2=0,0,Q2/P2)</f>
        <v>-64.197530864197532</v>
      </c>
      <c r="P2" s="79">
        <v>405</v>
      </c>
      <c r="Q2" s="63">
        <v>-26000</v>
      </c>
    </row>
    <row r="3" spans="1:17">
      <c r="A3" s="19" t="s">
        <v>8</v>
      </c>
      <c r="B3" s="122">
        <v>2965</v>
      </c>
      <c r="C3" s="123"/>
      <c r="E3" s="33" t="s">
        <v>181</v>
      </c>
      <c r="F3" s="30" t="s">
        <v>156</v>
      </c>
      <c r="G3" s="13">
        <v>326</v>
      </c>
      <c r="H3" s="94">
        <f>IF(B$17=0,0,G3/B$17)</f>
        <v>0.51828298887122415</v>
      </c>
      <c r="I3" s="56">
        <v>17</v>
      </c>
      <c r="K3" s="5">
        <v>1</v>
      </c>
      <c r="L3" s="61">
        <v>11.9</v>
      </c>
      <c r="N3" s="76" t="s">
        <v>104</v>
      </c>
      <c r="O3" s="83">
        <f t="shared" si="0"/>
        <v>-22.222222222222221</v>
      </c>
      <c r="P3" s="80">
        <v>405</v>
      </c>
      <c r="Q3" s="64">
        <v>-9000</v>
      </c>
    </row>
    <row r="4" spans="1:17">
      <c r="A4" s="19" t="s">
        <v>6</v>
      </c>
      <c r="B4" s="124">
        <v>-90.000000000000142</v>
      </c>
      <c r="C4" s="125"/>
      <c r="E4" s="33" t="s">
        <v>184</v>
      </c>
      <c r="F4" s="30" t="s">
        <v>187</v>
      </c>
      <c r="G4" s="13">
        <v>300</v>
      </c>
      <c r="H4" s="94">
        <f>IF(B$17=0,0,G4/B$17)</f>
        <v>0.47694753577106519</v>
      </c>
      <c r="I4" s="56">
        <v>18</v>
      </c>
      <c r="K4" s="5">
        <v>2</v>
      </c>
      <c r="L4" s="61">
        <v>86.800000000000011</v>
      </c>
      <c r="N4" s="76" t="s">
        <v>105</v>
      </c>
      <c r="O4" s="83">
        <f t="shared" si="0"/>
        <v>-22.166246851385392</v>
      </c>
      <c r="P4" s="80">
        <v>397</v>
      </c>
      <c r="Q4" s="64">
        <v>-8800</v>
      </c>
    </row>
    <row r="5" spans="1:17">
      <c r="A5" s="19" t="s">
        <v>7</v>
      </c>
      <c r="B5" s="126">
        <f>IF(B$2=0,0,B$4/B$2)</f>
        <v>-0.22222222222222257</v>
      </c>
      <c r="C5" s="127"/>
      <c r="E5" s="33" t="s">
        <v>60</v>
      </c>
      <c r="F5" s="30" t="s">
        <v>24</v>
      </c>
      <c r="G5" s="13">
        <v>255</v>
      </c>
      <c r="H5" s="94">
        <f>IF(B$17=0,0,G5/B$17)</f>
        <v>0.40540540540540543</v>
      </c>
      <c r="I5" s="56">
        <v>19</v>
      </c>
      <c r="K5" s="5">
        <v>3</v>
      </c>
      <c r="L5" s="61">
        <v>25.100000000000009</v>
      </c>
      <c r="N5" s="76" t="s">
        <v>157</v>
      </c>
      <c r="O5" s="83">
        <f>IF(P5=0,0,Q5/P5)</f>
        <v>-54.794520547945204</v>
      </c>
      <c r="P5" s="80">
        <v>365</v>
      </c>
      <c r="Q5" s="64">
        <v>-20000</v>
      </c>
    </row>
    <row r="6" spans="1:17">
      <c r="A6" s="19" t="s">
        <v>1</v>
      </c>
      <c r="B6" s="128">
        <f>IF(B$2=0,0,(B$7*1+B$8*2+B$9*3+B$10*4)/B$2)</f>
        <v>2.4913580246913578</v>
      </c>
      <c r="C6" s="129"/>
      <c r="E6" s="33" t="s">
        <v>56</v>
      </c>
      <c r="F6" s="30" t="s">
        <v>185</v>
      </c>
      <c r="G6" s="13">
        <v>155</v>
      </c>
      <c r="H6" s="94">
        <f>IF(B$17=0,0,G6/B$17)</f>
        <v>0.246422893481717</v>
      </c>
      <c r="I6" s="56">
        <v>27</v>
      </c>
      <c r="K6" s="5">
        <v>4</v>
      </c>
      <c r="L6" s="61">
        <v>7.1054273576010019E-15</v>
      </c>
      <c r="N6" s="76" t="s">
        <v>106</v>
      </c>
      <c r="O6" s="83">
        <f t="shared" ref="O6" si="1">IF(P6=0,0,Q6/P6)</f>
        <v>-19.841269841269842</v>
      </c>
      <c r="P6" s="80">
        <v>252</v>
      </c>
      <c r="Q6" s="64">
        <v>-5000</v>
      </c>
    </row>
    <row r="7" spans="1:17">
      <c r="A7" s="19" t="s">
        <v>2</v>
      </c>
      <c r="B7" s="13">
        <v>103</v>
      </c>
      <c r="C7" s="6">
        <f t="shared" ref="C7:C12" si="2">IF(B$2=0,0,B7/B$2)</f>
        <v>0.25432098765432098</v>
      </c>
      <c r="E7" s="33" t="s">
        <v>57</v>
      </c>
      <c r="F7" s="30" t="s">
        <v>21</v>
      </c>
      <c r="G7" s="13">
        <v>152</v>
      </c>
      <c r="H7" s="94">
        <f>IF(B$17=0,0,G7/B$17)</f>
        <v>0.24165341812400637</v>
      </c>
      <c r="I7" s="56">
        <v>20</v>
      </c>
      <c r="K7" s="5">
        <v>5</v>
      </c>
      <c r="L7" s="61">
        <v>-14.199999999999992</v>
      </c>
      <c r="N7" s="76" t="s">
        <v>107</v>
      </c>
      <c r="O7" s="83">
        <f t="shared" si="0"/>
        <v>-46.511627906976742</v>
      </c>
      <c r="P7" s="80">
        <v>172</v>
      </c>
      <c r="Q7" s="64">
        <v>-8000</v>
      </c>
    </row>
    <row r="8" spans="1:17">
      <c r="A8" s="19" t="s">
        <v>3</v>
      </c>
      <c r="B8" s="13">
        <v>100</v>
      </c>
      <c r="C8" s="6">
        <f>IF(B$2=0,0,B8/B$2)</f>
        <v>0.24691358024691357</v>
      </c>
      <c r="E8" s="33" t="s">
        <v>55</v>
      </c>
      <c r="F8" s="30" t="s">
        <v>155</v>
      </c>
      <c r="G8" s="13">
        <v>148</v>
      </c>
      <c r="H8" s="94">
        <f>IF(B$17=0,0,G8/B$17)</f>
        <v>0.23529411764705882</v>
      </c>
      <c r="I8" s="56">
        <v>17</v>
      </c>
      <c r="K8" s="5">
        <v>6</v>
      </c>
      <c r="L8" s="61">
        <v>-75.099999999999994</v>
      </c>
      <c r="N8" s="76" t="s">
        <v>108</v>
      </c>
      <c r="O8" s="83">
        <f t="shared" si="0"/>
        <v>0</v>
      </c>
      <c r="P8" s="80">
        <v>96</v>
      </c>
      <c r="Q8" s="64">
        <v>0</v>
      </c>
    </row>
    <row r="9" spans="1:17">
      <c r="A9" s="20" t="s">
        <v>4</v>
      </c>
      <c r="B9" s="14">
        <v>102</v>
      </c>
      <c r="C9" s="7">
        <f>IF(B$2=0,0,B9/B$2)</f>
        <v>0.25185185185185183</v>
      </c>
      <c r="E9" s="33" t="s">
        <v>59</v>
      </c>
      <c r="F9" s="30" t="s">
        <v>23</v>
      </c>
      <c r="G9" s="13">
        <v>99</v>
      </c>
      <c r="H9" s="94">
        <f>IF(B$17=0,0,G9/B$17)</f>
        <v>0.15739268680445151</v>
      </c>
      <c r="I9" s="56">
        <v>17</v>
      </c>
      <c r="K9" s="5">
        <v>7</v>
      </c>
      <c r="L9" s="61">
        <v>-61.099999999999994</v>
      </c>
      <c r="N9" s="77" t="s">
        <v>158</v>
      </c>
      <c r="O9" s="84">
        <f t="shared" si="0"/>
        <v>25</v>
      </c>
      <c r="P9" s="81">
        <v>40</v>
      </c>
      <c r="Q9" s="65">
        <v>1000</v>
      </c>
    </row>
    <row r="10" spans="1:17">
      <c r="A10" s="20" t="s">
        <v>152</v>
      </c>
      <c r="B10" s="14">
        <v>100</v>
      </c>
      <c r="C10" s="7">
        <f>IF(B$2=0,0,B10/B$2)</f>
        <v>0.24691358024691357</v>
      </c>
      <c r="E10" s="33" t="s">
        <v>182</v>
      </c>
      <c r="F10" s="30" t="s">
        <v>19</v>
      </c>
      <c r="G10" s="13">
        <v>70</v>
      </c>
      <c r="H10" s="94">
        <f>IF(B$17=0,0,G10/B$17)</f>
        <v>0.11128775834658187</v>
      </c>
      <c r="I10" s="56">
        <v>17</v>
      </c>
      <c r="K10" s="5">
        <v>8</v>
      </c>
      <c r="L10" s="61">
        <v>7.1054273576010019E-15</v>
      </c>
      <c r="N10" s="10"/>
      <c r="O10" s="88"/>
      <c r="P10" s="72">
        <v>3</v>
      </c>
      <c r="Q10" s="70">
        <v>0</v>
      </c>
    </row>
    <row r="11" spans="1:17">
      <c r="A11" s="20" t="s">
        <v>153</v>
      </c>
      <c r="B11" s="14">
        <f>B7+B8</f>
        <v>203</v>
      </c>
      <c r="C11" s="7">
        <f>IF(B$2=0,0,B11/B$2)</f>
        <v>0.50123456790123455</v>
      </c>
      <c r="E11" s="33" t="s">
        <v>58</v>
      </c>
      <c r="F11" s="30" t="s">
        <v>22</v>
      </c>
      <c r="G11" s="13">
        <v>46</v>
      </c>
      <c r="H11" s="94">
        <f>IF(B$17=0,0,G11/B$17)</f>
        <v>7.3131955484896663E-2</v>
      </c>
      <c r="I11" s="56">
        <v>16</v>
      </c>
      <c r="K11" s="5">
        <v>9</v>
      </c>
      <c r="L11" s="61">
        <v>-52.099999999999994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18</v>
      </c>
      <c r="C12" s="9">
        <f t="shared" si="2"/>
        <v>4.4444444444444446E-2</v>
      </c>
      <c r="E12" s="33" t="s">
        <v>77</v>
      </c>
      <c r="F12" s="30" t="s">
        <v>41</v>
      </c>
      <c r="G12" s="13">
        <v>29</v>
      </c>
      <c r="H12" s="94">
        <f>IF(B$17=0,0,G12/B$17)</f>
        <v>4.6104928457869634E-2</v>
      </c>
      <c r="I12" s="56">
        <v>12</v>
      </c>
      <c r="K12" s="5">
        <v>10</v>
      </c>
      <c r="L12" s="61">
        <v>-38.499999999999993</v>
      </c>
      <c r="N12" s="75" t="s">
        <v>126</v>
      </c>
      <c r="O12" s="85">
        <f>IF(P12=0,0,Q12/P12)</f>
        <v>-1.8235294117647045</v>
      </c>
      <c r="P12" s="79">
        <v>102</v>
      </c>
      <c r="Q12" s="67">
        <v>-185.99999999999986</v>
      </c>
    </row>
    <row r="13" spans="1:17">
      <c r="A13" s="22" t="s">
        <v>97</v>
      </c>
      <c r="B13" s="15">
        <v>604</v>
      </c>
      <c r="C13" s="11">
        <f>IF(B$3=0,0,B13/B$3)</f>
        <v>0.20370994940978077</v>
      </c>
      <c r="E13" s="33" t="s">
        <v>183</v>
      </c>
      <c r="F13" s="30" t="s">
        <v>186</v>
      </c>
      <c r="G13" s="13">
        <v>24</v>
      </c>
      <c r="H13" s="94">
        <f>IF(B$17=0,0,G13/B$17)</f>
        <v>3.8155802861685212E-2</v>
      </c>
      <c r="I13" s="56">
        <v>12</v>
      </c>
      <c r="K13" s="5">
        <v>11</v>
      </c>
      <c r="L13" s="61">
        <v>18.100000000000009</v>
      </c>
      <c r="N13" s="76" t="s">
        <v>127</v>
      </c>
      <c r="O13" s="86">
        <f>IF(P13=0,0,Q13/P13)</f>
        <v>6.240196078431369</v>
      </c>
      <c r="P13" s="80">
        <v>102</v>
      </c>
      <c r="Q13" s="68">
        <v>636.49999999999966</v>
      </c>
    </row>
    <row r="14" spans="1:17">
      <c r="A14" s="19" t="s">
        <v>94</v>
      </c>
      <c r="B14" s="13">
        <v>645</v>
      </c>
      <c r="C14" s="6">
        <f>IF(B$3=0,0,B14/B$3)</f>
        <v>0.2175379426644182</v>
      </c>
      <c r="E14" s="33" t="s">
        <v>71</v>
      </c>
      <c r="F14" s="30" t="s">
        <v>35</v>
      </c>
      <c r="G14" s="13">
        <v>22</v>
      </c>
      <c r="H14" s="94">
        <f>IF(B$17=0,0,G14/B$17)</f>
        <v>3.4976152623211444E-2</v>
      </c>
      <c r="I14" s="56">
        <v>12</v>
      </c>
      <c r="K14" s="5">
        <v>12</v>
      </c>
      <c r="L14" s="61">
        <v>7.1054273576010019E-15</v>
      </c>
      <c r="N14" s="76" t="s">
        <v>128</v>
      </c>
      <c r="O14" s="86">
        <f>IF(P14=0,0,Q14/P14)</f>
        <v>-4.7931372549019589</v>
      </c>
      <c r="P14" s="80">
        <v>102</v>
      </c>
      <c r="Q14" s="68">
        <v>-488.89999999999981</v>
      </c>
    </row>
    <row r="15" spans="1:17">
      <c r="A15" s="18" t="s">
        <v>99</v>
      </c>
      <c r="B15" s="12">
        <f>B21</f>
        <v>329</v>
      </c>
      <c r="C15" s="4">
        <f>IF(B$13=0,0,B15/B$13)</f>
        <v>0.54470198675496684</v>
      </c>
      <c r="E15" s="33" t="s">
        <v>74</v>
      </c>
      <c r="F15" s="30" t="s">
        <v>38</v>
      </c>
      <c r="G15" s="13">
        <v>14</v>
      </c>
      <c r="H15" s="94">
        <f>IF(B$17=0,0,G15/B$17)</f>
        <v>2.2257551669316374E-2</v>
      </c>
      <c r="I15" s="56">
        <v>11</v>
      </c>
      <c r="K15" s="5">
        <v>13</v>
      </c>
      <c r="L15" s="61">
        <v>62.500000000000007</v>
      </c>
      <c r="N15" s="77" t="s">
        <v>159</v>
      </c>
      <c r="O15" s="87">
        <f>IF(P15=0,0,Q15/P15)</f>
        <v>-0.50588235294117656</v>
      </c>
      <c r="P15" s="81">
        <v>102</v>
      </c>
      <c r="Q15" s="69">
        <v>-51.600000000000009</v>
      </c>
    </row>
    <row r="16" spans="1:17">
      <c r="A16" s="18" t="s">
        <v>100</v>
      </c>
      <c r="B16" s="12">
        <f>B22</f>
        <v>218</v>
      </c>
      <c r="C16" s="4">
        <f>IF(B$14=0,0,B16/B$14)</f>
        <v>0.33798449612403103</v>
      </c>
      <c r="E16" s="33" t="s">
        <v>66</v>
      </c>
      <c r="F16" s="30" t="s">
        <v>30</v>
      </c>
      <c r="G16" s="13">
        <v>7</v>
      </c>
      <c r="H16" s="94">
        <f>IF(B$17=0,0,G16/B$17)</f>
        <v>1.1128775834658187E-2</v>
      </c>
      <c r="I16" s="56">
        <v>8</v>
      </c>
      <c r="K16" s="5">
        <v>14</v>
      </c>
      <c r="L16" s="61">
        <v>77.300000000000011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629</v>
      </c>
      <c r="C17" s="4">
        <f>IF(B$3=0,0,B17/B$3)</f>
        <v>0.212141652613828</v>
      </c>
      <c r="E17" s="33" t="s">
        <v>67</v>
      </c>
      <c r="F17" s="30" t="s">
        <v>31</v>
      </c>
      <c r="G17" s="13">
        <v>7</v>
      </c>
      <c r="H17" s="94">
        <f>IF(B$17=0,0,G17/B$17)</f>
        <v>1.1128775834658187E-2</v>
      </c>
      <c r="I17" s="56">
        <v>7</v>
      </c>
      <c r="K17" s="5">
        <v>15</v>
      </c>
      <c r="L17" s="61">
        <v>13.000000000000014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404</v>
      </c>
      <c r="C18" s="6">
        <f>IF(B$3=0,0,B18/B$3)</f>
        <v>0.13625632377740304</v>
      </c>
      <c r="E18" s="33" t="s">
        <v>69</v>
      </c>
      <c r="F18" s="30" t="s">
        <v>33</v>
      </c>
      <c r="G18" s="13">
        <v>6</v>
      </c>
      <c r="H18" s="94">
        <f>IF(B$17=0,0,G18/B$17)</f>
        <v>9.538950715421303E-3</v>
      </c>
      <c r="I18" s="56">
        <v>7</v>
      </c>
      <c r="K18" s="5">
        <v>16</v>
      </c>
      <c r="L18" s="61">
        <v>1.4210854715202004E-14</v>
      </c>
      <c r="N18" s="75" t="s">
        <v>202</v>
      </c>
      <c r="O18" s="85">
        <f>IF(P18=0,0,Q18/P18)</f>
        <v>70.599999999999994</v>
      </c>
      <c r="P18" s="79">
        <v>6</v>
      </c>
      <c r="Q18" s="67">
        <v>423.59999999999997</v>
      </c>
    </row>
    <row r="19" spans="1:17">
      <c r="A19" s="19" t="s">
        <v>12</v>
      </c>
      <c r="B19" s="13">
        <v>225</v>
      </c>
      <c r="C19" s="6">
        <f>IF(B$17=0,0,B19/B$17)</f>
        <v>0.35771065182829886</v>
      </c>
      <c r="E19" s="33" t="s">
        <v>78</v>
      </c>
      <c r="F19" s="30" t="s">
        <v>42</v>
      </c>
      <c r="G19" s="13">
        <v>6</v>
      </c>
      <c r="H19" s="94">
        <f>IF(B$17=0,0,G19/B$17)</f>
        <v>9.538950715421303E-3</v>
      </c>
      <c r="I19" s="56">
        <v>6</v>
      </c>
      <c r="K19" s="5">
        <v>17</v>
      </c>
      <c r="L19" s="61">
        <v>-32.899999999999984</v>
      </c>
      <c r="N19" s="76" t="s">
        <v>180</v>
      </c>
      <c r="O19" s="86">
        <f>IF(P19=0,0,Q19/P19)</f>
        <v>70.133333333333326</v>
      </c>
      <c r="P19" s="80">
        <v>3</v>
      </c>
      <c r="Q19" s="68">
        <v>210.39999999999998</v>
      </c>
    </row>
    <row r="20" spans="1:17">
      <c r="A20" s="19" t="s">
        <v>11</v>
      </c>
      <c r="B20" s="13">
        <v>404</v>
      </c>
      <c r="C20" s="6">
        <f>IF(B$17=0,0,B20/B$17)</f>
        <v>0.64228934817170114</v>
      </c>
      <c r="E20" s="33" t="s">
        <v>62</v>
      </c>
      <c r="F20" s="30" t="s">
        <v>26</v>
      </c>
      <c r="G20" s="13">
        <v>4</v>
      </c>
      <c r="H20" s="94">
        <f>IF(B$17=0,0,G20/B$17)</f>
        <v>6.3593004769475362E-3</v>
      </c>
      <c r="I20" s="56">
        <v>5</v>
      </c>
      <c r="K20" s="5">
        <v>18</v>
      </c>
      <c r="L20" s="61">
        <v>-91.499999999999986</v>
      </c>
      <c r="N20" s="76" t="s">
        <v>199</v>
      </c>
      <c r="O20" s="86">
        <f>IF(P20=0,0,Q20/P20)</f>
        <v>63.266666666666659</v>
      </c>
      <c r="P20" s="80">
        <v>6</v>
      </c>
      <c r="Q20" s="68">
        <v>379.59999999999997</v>
      </c>
    </row>
    <row r="21" spans="1:17">
      <c r="A21" s="19" t="s">
        <v>151</v>
      </c>
      <c r="B21" s="13">
        <v>329</v>
      </c>
      <c r="C21" s="6">
        <f>IF(B$17=0,0,B21/B$17)</f>
        <v>0.52305246422893481</v>
      </c>
      <c r="E21" s="33" t="s">
        <v>61</v>
      </c>
      <c r="F21" s="30" t="s">
        <v>25</v>
      </c>
      <c r="G21" s="13">
        <v>3</v>
      </c>
      <c r="H21" s="94">
        <f>IF(B$17=0,0,G21/B$17)</f>
        <v>4.7694753577106515E-3</v>
      </c>
      <c r="I21" s="56">
        <v>4</v>
      </c>
      <c r="K21" s="5">
        <v>19</v>
      </c>
      <c r="L21" s="61">
        <v>-3.6999999999999886</v>
      </c>
      <c r="N21" s="76" t="s">
        <v>208</v>
      </c>
      <c r="O21" s="86">
        <f>IF(P21=0,0,Q21/P21)</f>
        <v>58.977777777777789</v>
      </c>
      <c r="P21" s="80">
        <v>9</v>
      </c>
      <c r="Q21" s="68">
        <v>530.80000000000007</v>
      </c>
    </row>
    <row r="22" spans="1:17">
      <c r="A22" s="19" t="s">
        <v>149</v>
      </c>
      <c r="B22" s="13">
        <v>218</v>
      </c>
      <c r="C22" s="6">
        <f>IF(B$17=0,0,B22/B$17)</f>
        <v>0.34658187599364071</v>
      </c>
      <c r="E22" s="33" t="s">
        <v>76</v>
      </c>
      <c r="F22" s="30" t="s">
        <v>40</v>
      </c>
      <c r="G22" s="13">
        <v>3</v>
      </c>
      <c r="H22" s="94">
        <f>IF(B$17=0,0,G22/B$17)</f>
        <v>4.7694753577106515E-3</v>
      </c>
      <c r="I22" s="56">
        <v>4</v>
      </c>
      <c r="K22" s="5">
        <v>20</v>
      </c>
      <c r="L22" s="61">
        <v>1.1546319456101628E-14</v>
      </c>
      <c r="N22" s="76" t="s">
        <v>269</v>
      </c>
      <c r="O22" s="86">
        <f>IF(P22=0,0,Q22/P22)</f>
        <v>49.219047619047629</v>
      </c>
      <c r="P22" s="80">
        <v>21</v>
      </c>
      <c r="Q22" s="68">
        <v>1033.6000000000001</v>
      </c>
    </row>
    <row r="23" spans="1:17">
      <c r="A23" s="19" t="s">
        <v>150</v>
      </c>
      <c r="B23" s="13">
        <v>82</v>
      </c>
      <c r="C23" s="6">
        <f>IF(B$17=0,0,B23/B$17)</f>
        <v>0.13036565977742448</v>
      </c>
      <c r="E23" s="33" t="s">
        <v>72</v>
      </c>
      <c r="F23" s="30" t="s">
        <v>36</v>
      </c>
      <c r="G23" s="13">
        <v>2</v>
      </c>
      <c r="H23" s="94">
        <f>IF(B$17=0,0,G23/B$17)</f>
        <v>3.1796502384737681E-3</v>
      </c>
      <c r="I23" s="56">
        <v>3</v>
      </c>
      <c r="K23" s="5">
        <v>21</v>
      </c>
      <c r="L23" s="61">
        <v>-52.599999999999987</v>
      </c>
      <c r="N23" s="76" t="s">
        <v>277</v>
      </c>
      <c r="O23" s="86">
        <f>IF(P23=0,0,Q23/P23)</f>
        <v>43.381818181818176</v>
      </c>
      <c r="P23" s="80">
        <v>33</v>
      </c>
      <c r="Q23" s="68">
        <v>1431.6</v>
      </c>
    </row>
    <row r="24" spans="1:17">
      <c r="A24" s="19" t="s">
        <v>5</v>
      </c>
      <c r="B24" s="16">
        <f>IF(B$17=0,0,C24/B$17)</f>
        <v>6742.7662957074717</v>
      </c>
      <c r="C24" s="8">
        <v>4241200</v>
      </c>
      <c r="E24" s="33" t="s">
        <v>75</v>
      </c>
      <c r="F24" s="30" t="s">
        <v>39</v>
      </c>
      <c r="G24" s="13">
        <v>2</v>
      </c>
      <c r="H24" s="94">
        <f>IF(B$17=0,0,G24/B$17)</f>
        <v>3.1796502384737681E-3</v>
      </c>
      <c r="I24" s="56">
        <v>3</v>
      </c>
      <c r="K24" s="5">
        <v>22</v>
      </c>
      <c r="L24" s="61">
        <v>-68.399999999999991</v>
      </c>
      <c r="N24" s="76" t="s">
        <v>203</v>
      </c>
      <c r="O24" s="86">
        <f>IF(P24=0,0,Q24/P24)</f>
        <v>43.040000000000006</v>
      </c>
      <c r="P24" s="80">
        <v>15</v>
      </c>
      <c r="Q24" s="68">
        <v>645.60000000000014</v>
      </c>
    </row>
    <row r="25" spans="1:17">
      <c r="A25" s="20" t="s">
        <v>133</v>
      </c>
      <c r="B25" s="97">
        <f>IF($B$17-B$16=0,0,C25/($B$17-B$16))</f>
        <v>7778.5888077858881</v>
      </c>
      <c r="C25" s="98">
        <v>3197000</v>
      </c>
      <c r="E25" s="33" t="s">
        <v>79</v>
      </c>
      <c r="F25" s="30" t="s">
        <v>43</v>
      </c>
      <c r="G25" s="13">
        <v>1</v>
      </c>
      <c r="H25" s="94">
        <f>IF(B$17=0,0,G25/B$17)</f>
        <v>1.589825119236884E-3</v>
      </c>
      <c r="I25" s="56">
        <v>2</v>
      </c>
      <c r="K25" s="5">
        <v>23</v>
      </c>
      <c r="L25" s="61">
        <v>-13.199999999999989</v>
      </c>
      <c r="N25" s="76" t="s">
        <v>166</v>
      </c>
      <c r="O25" s="86">
        <f>IF(P25=0,0,Q25/P25)</f>
        <v>42.666666666666664</v>
      </c>
      <c r="P25" s="80">
        <v>12</v>
      </c>
      <c r="Q25" s="68">
        <v>512</v>
      </c>
    </row>
    <row r="26" spans="1:17">
      <c r="A26" s="20" t="s">
        <v>134</v>
      </c>
      <c r="B26" s="97">
        <f>IF(B$16=0,0,C26/B$16)</f>
        <v>4789.9082568807344</v>
      </c>
      <c r="C26" s="98">
        <v>1044200</v>
      </c>
      <c r="E26" s="33" t="s">
        <v>80</v>
      </c>
      <c r="F26" s="30" t="s">
        <v>44</v>
      </c>
      <c r="G26" s="13">
        <v>1</v>
      </c>
      <c r="H26" s="94">
        <f>IF(B$17=0,0,G26/B$17)</f>
        <v>1.589825119236884E-3</v>
      </c>
      <c r="I26" s="56">
        <v>2</v>
      </c>
      <c r="K26" s="5">
        <v>24</v>
      </c>
      <c r="L26" s="61">
        <v>1.0658141036401503E-14</v>
      </c>
      <c r="N26" s="76" t="s">
        <v>196</v>
      </c>
      <c r="O26" s="86">
        <f>IF(P26=0,0,Q26/P26)</f>
        <v>36.133333333333333</v>
      </c>
      <c r="P26" s="80">
        <v>3</v>
      </c>
      <c r="Q26" s="68">
        <v>108.4</v>
      </c>
    </row>
    <row r="27" spans="1:17">
      <c r="A27" s="20" t="s">
        <v>132</v>
      </c>
      <c r="B27" s="97">
        <f>IF(B$18=0,0,C27/B$18)</f>
        <v>-6193.3168316831679</v>
      </c>
      <c r="C27" s="98">
        <v>-2502100</v>
      </c>
      <c r="E27" s="33" t="s">
        <v>82</v>
      </c>
      <c r="F27" s="30" t="s">
        <v>46</v>
      </c>
      <c r="G27" s="13">
        <v>1</v>
      </c>
      <c r="H27" s="94">
        <f>IF(B$17=0,0,G27/B$17)</f>
        <v>1.589825119236884E-3</v>
      </c>
      <c r="I27" s="56">
        <v>2</v>
      </c>
      <c r="K27" s="5">
        <v>25</v>
      </c>
      <c r="L27" s="61">
        <v>-45.899999999999991</v>
      </c>
      <c r="N27" s="76" t="s">
        <v>235</v>
      </c>
      <c r="O27" s="86">
        <f>IF(P27=0,0,Q27/P27)</f>
        <v>34.142857142857146</v>
      </c>
      <c r="P27" s="80">
        <v>42</v>
      </c>
      <c r="Q27" s="68">
        <v>1434.0000000000002</v>
      </c>
    </row>
    <row r="28" spans="1:17">
      <c r="A28" s="19" t="s">
        <v>130</v>
      </c>
      <c r="B28" s="13">
        <v>5</v>
      </c>
      <c r="C28" s="96">
        <v>0</v>
      </c>
      <c r="E28" s="33" t="s">
        <v>63</v>
      </c>
      <c r="F28" s="30" t="s">
        <v>27</v>
      </c>
      <c r="G28" s="13">
        <v>0</v>
      </c>
      <c r="H28" s="94">
        <f>IF(B$17=0,0,G28/B$17)</f>
        <v>0</v>
      </c>
      <c r="I28" s="56">
        <v>1</v>
      </c>
      <c r="K28" s="5">
        <v>26</v>
      </c>
      <c r="L28" s="61">
        <v>-33.899999999999991</v>
      </c>
      <c r="N28" s="76" t="s">
        <v>262</v>
      </c>
      <c r="O28" s="86">
        <f>IF(P28=0,0,Q28/P28)</f>
        <v>26.311111111111114</v>
      </c>
      <c r="P28" s="80">
        <v>9</v>
      </c>
      <c r="Q28" s="68">
        <v>236.8</v>
      </c>
    </row>
    <row r="29" spans="1:17">
      <c r="A29" s="19" t="s">
        <v>131</v>
      </c>
      <c r="B29" s="13">
        <v>37</v>
      </c>
      <c r="C29" s="96">
        <v>1</v>
      </c>
      <c r="E29" s="33" t="s">
        <v>64</v>
      </c>
      <c r="F29" s="30" t="s">
        <v>28</v>
      </c>
      <c r="G29" s="13">
        <v>0</v>
      </c>
      <c r="H29" s="94">
        <f>IF(B$17=0,0,G29/B$17)</f>
        <v>0</v>
      </c>
      <c r="I29" s="56">
        <v>1</v>
      </c>
      <c r="K29" s="5">
        <v>27</v>
      </c>
      <c r="L29" s="61">
        <v>21.500000000000007</v>
      </c>
      <c r="N29" s="76" t="s">
        <v>223</v>
      </c>
      <c r="O29" s="86">
        <f>IF(P29=0,0,Q29/P29)</f>
        <v>24.166666666666671</v>
      </c>
      <c r="P29" s="80">
        <v>12</v>
      </c>
      <c r="Q29" s="68">
        <v>290.00000000000006</v>
      </c>
    </row>
    <row r="30" spans="1:17">
      <c r="A30" s="52" t="s">
        <v>111</v>
      </c>
      <c r="B30" s="114">
        <v>5</v>
      </c>
      <c r="C30" s="115"/>
      <c r="E30" s="33" t="s">
        <v>65</v>
      </c>
      <c r="F30" s="30" t="s">
        <v>29</v>
      </c>
      <c r="G30" s="13">
        <v>0</v>
      </c>
      <c r="H30" s="94">
        <f>IF(B$17=0,0,G30/B$17)</f>
        <v>0</v>
      </c>
      <c r="I30" s="56">
        <v>1</v>
      </c>
      <c r="K30" s="5">
        <v>28</v>
      </c>
      <c r="L30" s="61">
        <v>7.1054273576010019E-15</v>
      </c>
      <c r="N30" s="76" t="s">
        <v>215</v>
      </c>
      <c r="O30" s="86">
        <f>IF(P30=0,0,Q30/P30)</f>
        <v>19.200000000000003</v>
      </c>
      <c r="P30" s="80">
        <v>3</v>
      </c>
      <c r="Q30" s="68">
        <v>57.600000000000009</v>
      </c>
    </row>
    <row r="31" spans="1:17">
      <c r="A31" s="22" t="s">
        <v>148</v>
      </c>
      <c r="B31" s="116">
        <v>72200</v>
      </c>
      <c r="C31" s="117"/>
      <c r="E31" s="33" t="s">
        <v>68</v>
      </c>
      <c r="F31" s="30" t="s">
        <v>32</v>
      </c>
      <c r="G31" s="13">
        <v>0</v>
      </c>
      <c r="H31" s="94">
        <f>IF(B$17=0,0,G31/B$17)</f>
        <v>0</v>
      </c>
      <c r="I31" s="56">
        <v>1</v>
      </c>
      <c r="K31" s="5">
        <v>29</v>
      </c>
      <c r="L31" s="61">
        <v>-50.599999999999994</v>
      </c>
      <c r="N31" s="76" t="s">
        <v>238</v>
      </c>
      <c r="O31" s="86">
        <f>IF(P31=0,0,Q31/P31)</f>
        <v>16.313725490196077</v>
      </c>
      <c r="P31" s="80">
        <v>51</v>
      </c>
      <c r="Q31" s="68">
        <v>831.99999999999989</v>
      </c>
    </row>
    <row r="32" spans="1:17">
      <c r="A32" s="21" t="s">
        <v>112</v>
      </c>
      <c r="B32" s="26">
        <v>9</v>
      </c>
      <c r="C32" s="9">
        <f>IF(B$3=0,0,B32/B$3)</f>
        <v>3.0354131534569982E-3</v>
      </c>
      <c r="E32" s="33" t="s">
        <v>70</v>
      </c>
      <c r="F32" s="30" t="s">
        <v>34</v>
      </c>
      <c r="G32" s="13">
        <v>0</v>
      </c>
      <c r="H32" s="94">
        <f>IF(B$17=0,0,G32/B$17)</f>
        <v>0</v>
      </c>
      <c r="I32" s="56">
        <v>1</v>
      </c>
      <c r="K32" s="5">
        <v>30</v>
      </c>
      <c r="L32" s="61">
        <v>7.7000000000000028</v>
      </c>
      <c r="N32" s="76" t="s">
        <v>213</v>
      </c>
      <c r="O32" s="86">
        <f>IF(P32=0,0,Q32/P32)</f>
        <v>15.226666666666665</v>
      </c>
      <c r="P32" s="80">
        <v>30</v>
      </c>
      <c r="Q32" s="68">
        <v>456.79999999999995</v>
      </c>
    </row>
    <row r="33" spans="1:17">
      <c r="E33" s="33" t="s">
        <v>73</v>
      </c>
      <c r="F33" s="30" t="s">
        <v>37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-8.2999999999999972</v>
      </c>
      <c r="N33" s="76" t="s">
        <v>241</v>
      </c>
      <c r="O33" s="86">
        <f>IF(P33=0,0,Q33/P33)</f>
        <v>15.047619047619047</v>
      </c>
      <c r="P33" s="80">
        <v>21</v>
      </c>
      <c r="Q33" s="68">
        <v>316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81</v>
      </c>
      <c r="F34" s="30" t="s">
        <v>45</v>
      </c>
      <c r="G34" s="13">
        <v>0</v>
      </c>
      <c r="H34" s="94">
        <f>IF(B$17=0,0,G34/B$17)</f>
        <v>0</v>
      </c>
      <c r="I34" s="56">
        <v>1</v>
      </c>
      <c r="K34" s="5">
        <v>32</v>
      </c>
      <c r="L34" s="61">
        <v>3.5527136788005009E-15</v>
      </c>
      <c r="N34" s="76" t="s">
        <v>258</v>
      </c>
      <c r="O34" s="86">
        <f>IF(P34=0,0,Q34/P34)</f>
        <v>12.704761904761906</v>
      </c>
      <c r="P34" s="80">
        <v>21</v>
      </c>
      <c r="Q34" s="68">
        <v>266.8</v>
      </c>
    </row>
    <row r="35" spans="1:17">
      <c r="A35" s="52" t="s">
        <v>139</v>
      </c>
      <c r="B35" s="99">
        <v>71</v>
      </c>
      <c r="C35" s="102">
        <f t="shared" ref="C35:C47" si="3">IF(B$17=0,0,B35/B$17)</f>
        <v>0.11287758346581876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6.6000000000000032</v>
      </c>
      <c r="N35" s="76" t="s">
        <v>228</v>
      </c>
      <c r="O35" s="86">
        <f>IF(P35=0,0,Q35/P35)</f>
        <v>11.113725490196078</v>
      </c>
      <c r="P35" s="80">
        <v>51</v>
      </c>
      <c r="Q35" s="68">
        <v>566.79999999999995</v>
      </c>
    </row>
    <row r="36" spans="1:17">
      <c r="A36" s="19" t="s">
        <v>135</v>
      </c>
      <c r="B36" s="13">
        <v>123</v>
      </c>
      <c r="C36" s="6">
        <f t="shared" si="3"/>
        <v>0.19554848966613672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68.300000000000011</v>
      </c>
      <c r="N36" s="76" t="s">
        <v>216</v>
      </c>
      <c r="O36" s="86">
        <f>IF(P36=0,0,Q36/P36)</f>
        <v>6.4740740740740694</v>
      </c>
      <c r="P36" s="80">
        <v>81</v>
      </c>
      <c r="Q36" s="68">
        <v>524.39999999999964</v>
      </c>
    </row>
    <row r="37" spans="1:17">
      <c r="A37" s="19" t="s">
        <v>136</v>
      </c>
      <c r="B37" s="100">
        <v>142</v>
      </c>
      <c r="C37" s="6">
        <f t="shared" si="3"/>
        <v>0.22575516693163752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53.300000000000011</v>
      </c>
      <c r="N37" s="76" t="s">
        <v>227</v>
      </c>
      <c r="O37" s="86">
        <f>IF(P37=0,0,Q37/P37)</f>
        <v>4.704761904761904</v>
      </c>
      <c r="P37" s="80">
        <v>42</v>
      </c>
      <c r="Q37" s="68">
        <v>197.59999999999997</v>
      </c>
    </row>
    <row r="38" spans="1:17">
      <c r="A38" s="19" t="s">
        <v>137</v>
      </c>
      <c r="B38" s="100">
        <v>135</v>
      </c>
      <c r="C38" s="6">
        <f t="shared" si="3"/>
        <v>0.21462639109697934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-9.9999999999999858</v>
      </c>
      <c r="N38" s="76" t="s">
        <v>263</v>
      </c>
      <c r="O38" s="86">
        <f>IF(P38=0,0,Q38/P38)</f>
        <v>3.6999999999999997</v>
      </c>
      <c r="P38" s="80">
        <v>36</v>
      </c>
      <c r="Q38" s="68">
        <v>133.19999999999999</v>
      </c>
    </row>
    <row r="39" spans="1:17">
      <c r="A39" s="19" t="s">
        <v>138</v>
      </c>
      <c r="B39" s="100">
        <v>67</v>
      </c>
      <c r="C39" s="6">
        <f t="shared" si="3"/>
        <v>0.10651828298887123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-61.499999999999986</v>
      </c>
      <c r="N39" s="76" t="s">
        <v>179</v>
      </c>
      <c r="O39" s="86">
        <f>IF(P39=0,0,Q39/P39)</f>
        <v>2.4666666666666663</v>
      </c>
      <c r="P39" s="80">
        <v>48</v>
      </c>
      <c r="Q39" s="68">
        <v>118.39999999999998</v>
      </c>
    </row>
    <row r="40" spans="1:17">
      <c r="A40" s="19" t="s">
        <v>140</v>
      </c>
      <c r="B40" s="100">
        <v>63</v>
      </c>
      <c r="C40" s="6">
        <f t="shared" si="3"/>
        <v>0.10015898251192369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-52.699999999999989</v>
      </c>
      <c r="N40" s="76" t="s">
        <v>175</v>
      </c>
      <c r="O40" s="86">
        <f>IF(P40=0,0,Q40/P40)</f>
        <v>1.4666666666666668</v>
      </c>
      <c r="P40" s="80">
        <v>6</v>
      </c>
      <c r="Q40" s="68">
        <v>8.8000000000000007</v>
      </c>
    </row>
    <row r="41" spans="1:17">
      <c r="A41" s="19" t="s">
        <v>141</v>
      </c>
      <c r="B41" s="100">
        <v>19</v>
      </c>
      <c r="C41" s="6">
        <f t="shared" si="3"/>
        <v>3.0206677265500796E-2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7.6000000000000085</v>
      </c>
      <c r="N41" s="76" t="s">
        <v>244</v>
      </c>
      <c r="O41" s="86">
        <f>IF(P41=0,0,Q41/P41)</f>
        <v>-0.32727272727273105</v>
      </c>
      <c r="P41" s="80">
        <v>33</v>
      </c>
      <c r="Q41" s="68">
        <v>-10.800000000000125</v>
      </c>
    </row>
    <row r="42" spans="1:17">
      <c r="A42" s="19" t="s">
        <v>142</v>
      </c>
      <c r="B42" s="100">
        <v>3</v>
      </c>
      <c r="C42" s="6">
        <f t="shared" si="3"/>
        <v>4.7694753577106515E-3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-19.999999999999993</v>
      </c>
      <c r="N42" s="76" t="s">
        <v>161</v>
      </c>
      <c r="O42" s="86">
        <f>IF(P42=0,0,Q42/P42)</f>
        <v>-0.57333333333333036</v>
      </c>
      <c r="P42" s="80">
        <v>30</v>
      </c>
      <c r="Q42" s="68">
        <v>-17.19999999999991</v>
      </c>
    </row>
    <row r="43" spans="1:17">
      <c r="A43" s="19" t="s">
        <v>143</v>
      </c>
      <c r="B43" s="100">
        <v>2</v>
      </c>
      <c r="C43" s="6">
        <f t="shared" si="3"/>
        <v>3.1796502384737681E-3</v>
      </c>
      <c r="K43" s="5">
        <v>41</v>
      </c>
      <c r="L43" s="61">
        <v>-66.399999999999991</v>
      </c>
      <c r="N43" s="76" t="s">
        <v>164</v>
      </c>
      <c r="O43" s="86">
        <f>IF(P43=0,0,Q43/P43)</f>
        <v>-2.2222222222222197</v>
      </c>
      <c r="P43" s="80">
        <v>45</v>
      </c>
      <c r="Q43" s="68">
        <v>-99.999999999999886</v>
      </c>
    </row>
    <row r="44" spans="1:17">
      <c r="A44" s="19" t="s">
        <v>144</v>
      </c>
      <c r="B44" s="100">
        <v>1</v>
      </c>
      <c r="C44" s="6">
        <f t="shared" si="3"/>
        <v>1.589825119236884E-3</v>
      </c>
      <c r="K44" s="5">
        <v>42</v>
      </c>
      <c r="L44" s="61">
        <v>-59.29999999999999</v>
      </c>
      <c r="N44" s="76" t="s">
        <v>177</v>
      </c>
      <c r="O44" s="86">
        <f>IF(P44=0,0,Q44/P44)</f>
        <v>-2.6</v>
      </c>
      <c r="P44" s="80">
        <v>6</v>
      </c>
      <c r="Q44" s="68">
        <v>-15.600000000000001</v>
      </c>
    </row>
    <row r="45" spans="1:17">
      <c r="A45" s="19" t="s">
        <v>145</v>
      </c>
      <c r="B45" s="100">
        <v>0</v>
      </c>
      <c r="C45" s="6">
        <f t="shared" si="3"/>
        <v>0</v>
      </c>
      <c r="K45" s="5">
        <v>43</v>
      </c>
      <c r="L45" s="61">
        <v>-74.699999999999989</v>
      </c>
      <c r="N45" s="76" t="s">
        <v>163</v>
      </c>
      <c r="O45" s="86">
        <f>IF(P45=0,0,Q45/P45)</f>
        <v>-3.7999999999999949</v>
      </c>
      <c r="P45" s="80">
        <v>24</v>
      </c>
      <c r="Q45" s="68">
        <v>-91.199999999999875</v>
      </c>
    </row>
    <row r="46" spans="1:17">
      <c r="A46" s="19" t="s">
        <v>146</v>
      </c>
      <c r="B46" s="100">
        <v>0</v>
      </c>
      <c r="C46" s="6">
        <f t="shared" si="3"/>
        <v>0</v>
      </c>
      <c r="K46" s="5">
        <v>44</v>
      </c>
      <c r="L46" s="61">
        <v>-19.999999999999986</v>
      </c>
      <c r="N46" s="76" t="s">
        <v>191</v>
      </c>
      <c r="O46" s="86">
        <f>IF(P46=0,0,Q46/P46)</f>
        <v>-7.5523809523809531</v>
      </c>
      <c r="P46" s="80">
        <v>42</v>
      </c>
      <c r="Q46" s="68">
        <v>-317.20000000000005</v>
      </c>
    </row>
    <row r="47" spans="1:17">
      <c r="A47" s="21" t="s">
        <v>147</v>
      </c>
      <c r="B47" s="101">
        <v>3</v>
      </c>
      <c r="C47" s="9">
        <f t="shared" si="3"/>
        <v>4.7694753577106515E-3</v>
      </c>
      <c r="K47" s="5">
        <v>45</v>
      </c>
      <c r="L47" s="61">
        <v>-52.099999999999987</v>
      </c>
      <c r="N47" s="76" t="s">
        <v>195</v>
      </c>
      <c r="O47" s="86">
        <f>IF(P47=0,0,Q47/P47)</f>
        <v>-8.1538461538461551</v>
      </c>
      <c r="P47" s="80">
        <v>117</v>
      </c>
      <c r="Q47" s="68">
        <v>-954.00000000000023</v>
      </c>
    </row>
    <row r="48" spans="1:17">
      <c r="K48" s="5">
        <v>46</v>
      </c>
      <c r="L48" s="61">
        <v>-44.199999999999989</v>
      </c>
      <c r="N48" s="76" t="s">
        <v>168</v>
      </c>
      <c r="O48" s="86">
        <f>IF(P48=0,0,Q48/P48)</f>
        <v>-11.807407407407409</v>
      </c>
      <c r="P48" s="80">
        <v>54</v>
      </c>
      <c r="Q48" s="68">
        <v>-637.6</v>
      </c>
    </row>
    <row r="49" spans="11:17">
      <c r="K49" s="5">
        <v>47</v>
      </c>
      <c r="L49" s="61">
        <v>-76.299999999999983</v>
      </c>
      <c r="N49" s="76" t="s">
        <v>255</v>
      </c>
      <c r="O49" s="86">
        <f>IF(P49=0,0,Q49/P49)</f>
        <v>-15.18666666666665</v>
      </c>
      <c r="P49" s="80">
        <v>30</v>
      </c>
      <c r="Q49" s="68">
        <v>-455.59999999999951</v>
      </c>
    </row>
    <row r="50" spans="11:17">
      <c r="K50" s="5">
        <v>48</v>
      </c>
      <c r="L50" s="61">
        <v>-19.999999999999986</v>
      </c>
      <c r="N50" s="76" t="s">
        <v>167</v>
      </c>
      <c r="O50" s="86">
        <f>IF(P50=0,0,Q50/P50)</f>
        <v>-18.666666666666664</v>
      </c>
      <c r="P50" s="80">
        <v>3</v>
      </c>
      <c r="Q50" s="68">
        <v>-55.999999999999993</v>
      </c>
    </row>
    <row r="51" spans="11:17">
      <c r="K51" s="5">
        <v>49</v>
      </c>
      <c r="L51" s="61">
        <v>-73.599999999999994</v>
      </c>
      <c r="N51" s="76" t="s">
        <v>169</v>
      </c>
      <c r="O51" s="86">
        <f>IF(P51=0,0,Q51/P51)</f>
        <v>-19.099186991869935</v>
      </c>
      <c r="P51" s="80">
        <v>123</v>
      </c>
      <c r="Q51" s="68">
        <v>-2349.2000000000021</v>
      </c>
    </row>
    <row r="52" spans="11:17">
      <c r="K52" s="5">
        <v>50</v>
      </c>
      <c r="L52" s="61">
        <v>-72.8</v>
      </c>
      <c r="N52" s="76" t="s">
        <v>265</v>
      </c>
      <c r="O52" s="86">
        <f>IF(P52=0,0,Q52/P52)</f>
        <v>-24.640000000000004</v>
      </c>
      <c r="P52" s="80">
        <v>30</v>
      </c>
      <c r="Q52" s="68">
        <v>-739.20000000000016</v>
      </c>
    </row>
    <row r="53" spans="11:17">
      <c r="K53" s="5">
        <v>51</v>
      </c>
      <c r="L53" s="61">
        <v>10</v>
      </c>
      <c r="N53" s="76" t="s">
        <v>276</v>
      </c>
      <c r="O53" s="86">
        <f>IF(P53=0,0,Q53/P53)</f>
        <v>-27.259259259259263</v>
      </c>
      <c r="P53" s="80">
        <v>27</v>
      </c>
      <c r="Q53" s="68">
        <v>-736.00000000000011</v>
      </c>
    </row>
    <row r="54" spans="11:17">
      <c r="K54" s="5">
        <v>52</v>
      </c>
      <c r="L54" s="61">
        <v>-20</v>
      </c>
      <c r="N54" s="76" t="s">
        <v>162</v>
      </c>
      <c r="O54" s="86">
        <f>IF(P54=0,0,Q54/P54)</f>
        <v>-39.703703703703681</v>
      </c>
      <c r="P54" s="80">
        <v>27</v>
      </c>
      <c r="Q54" s="68">
        <v>-1071.9999999999993</v>
      </c>
    </row>
    <row r="55" spans="11:17">
      <c r="K55" s="5">
        <v>53</v>
      </c>
      <c r="L55" s="61">
        <v>-10.1</v>
      </c>
      <c r="N55" s="76" t="s">
        <v>264</v>
      </c>
      <c r="O55" s="86">
        <f>IF(P55=0,0,Q55/P55)</f>
        <v>-42.199999999999989</v>
      </c>
      <c r="P55" s="80">
        <v>6</v>
      </c>
      <c r="Q55" s="68">
        <v>-253.19999999999993</v>
      </c>
    </row>
    <row r="56" spans="11:17">
      <c r="K56" s="5">
        <v>54</v>
      </c>
      <c r="L56" s="61">
        <v>-30.5</v>
      </c>
      <c r="N56" s="76" t="s">
        <v>205</v>
      </c>
      <c r="O56" s="86">
        <f>IF(P56=0,0,Q56/P56)</f>
        <v>-47.866666666666667</v>
      </c>
      <c r="P56" s="80">
        <v>12</v>
      </c>
      <c r="Q56" s="68">
        <v>-574.4</v>
      </c>
    </row>
    <row r="57" spans="11:17">
      <c r="K57" s="5">
        <v>55</v>
      </c>
      <c r="L57" s="61">
        <v>20.799999999999997</v>
      </c>
      <c r="N57" s="76" t="s">
        <v>272</v>
      </c>
      <c r="O57" s="86">
        <f>IF(P57=0,0,Q57/P57)</f>
        <v>-50.521212121212123</v>
      </c>
      <c r="P57" s="80">
        <v>33</v>
      </c>
      <c r="Q57" s="68">
        <v>-1667.2</v>
      </c>
    </row>
    <row r="58" spans="11:17">
      <c r="K58" s="5">
        <v>56</v>
      </c>
      <c r="L58" s="61">
        <v>-20</v>
      </c>
      <c r="N58" s="76" t="s">
        <v>268</v>
      </c>
      <c r="O58" s="86">
        <f>IF(P58=0,0,Q58/P58)</f>
        <v>-72.8</v>
      </c>
      <c r="P58" s="80">
        <v>3</v>
      </c>
      <c r="Q58" s="68">
        <v>-218.4</v>
      </c>
    </row>
    <row r="59" spans="11:17">
      <c r="K59" s="5">
        <v>57</v>
      </c>
      <c r="L59" s="61">
        <v>-63.5</v>
      </c>
      <c r="N59" s="76" t="s">
        <v>231</v>
      </c>
      <c r="O59" s="86">
        <f>IF(P59=0,0,Q59/P59)</f>
        <v>-75</v>
      </c>
      <c r="P59" s="80">
        <v>6</v>
      </c>
      <c r="Q59" s="68">
        <v>-450</v>
      </c>
    </row>
    <row r="60" spans="11:17">
      <c r="K60" s="5">
        <v>58</v>
      </c>
      <c r="L60" s="61">
        <v>-32.9</v>
      </c>
    </row>
    <row r="61" spans="11:17">
      <c r="K61" s="5">
        <v>59</v>
      </c>
      <c r="L61" s="61">
        <v>-2.2999999999999972</v>
      </c>
    </row>
    <row r="62" spans="11:17">
      <c r="K62" s="5">
        <v>60</v>
      </c>
      <c r="L62" s="61">
        <v>-19.999999999999996</v>
      </c>
    </row>
    <row r="63" spans="11:17">
      <c r="K63" s="5">
        <v>61</v>
      </c>
      <c r="L63" s="61">
        <v>-66.8</v>
      </c>
    </row>
    <row r="64" spans="11:17">
      <c r="K64" s="5">
        <v>62</v>
      </c>
      <c r="L64" s="61">
        <v>-8.2999999999999972</v>
      </c>
    </row>
    <row r="65" spans="11:12">
      <c r="K65" s="5">
        <v>63</v>
      </c>
      <c r="L65" s="61">
        <v>-30.699999999999996</v>
      </c>
    </row>
    <row r="66" spans="11:12">
      <c r="K66" s="5">
        <v>64</v>
      </c>
      <c r="L66" s="61">
        <v>-19.999999999999996</v>
      </c>
    </row>
    <row r="67" spans="11:12">
      <c r="K67" s="5">
        <v>65</v>
      </c>
      <c r="L67" s="61">
        <v>37.799999999999997</v>
      </c>
    </row>
    <row r="68" spans="11:12">
      <c r="K68" s="5">
        <v>66</v>
      </c>
      <c r="L68" s="61">
        <v>-8.3000000000000043</v>
      </c>
    </row>
    <row r="69" spans="11:12">
      <c r="K69" s="5">
        <v>67</v>
      </c>
      <c r="L69" s="61">
        <v>1.2999999999999954</v>
      </c>
    </row>
    <row r="70" spans="11:12">
      <c r="K70" s="5">
        <v>68</v>
      </c>
      <c r="L70" s="61">
        <v>-20.000000000000007</v>
      </c>
    </row>
    <row r="71" spans="11:12">
      <c r="K71" s="5">
        <v>69</v>
      </c>
      <c r="L71" s="61">
        <v>-80.5</v>
      </c>
    </row>
    <row r="72" spans="11:12">
      <c r="K72" s="5">
        <v>70</v>
      </c>
      <c r="L72" s="61">
        <v>-17.600000000000001</v>
      </c>
    </row>
    <row r="73" spans="11:12">
      <c r="K73" s="5">
        <v>71</v>
      </c>
      <c r="L73" s="61">
        <v>-8.5000000000000018</v>
      </c>
    </row>
    <row r="74" spans="11:12">
      <c r="K74" s="5">
        <v>72</v>
      </c>
      <c r="L74" s="61">
        <v>-20</v>
      </c>
    </row>
    <row r="75" spans="11:12">
      <c r="K75" s="5">
        <v>73</v>
      </c>
      <c r="L75" s="61">
        <v>36</v>
      </c>
    </row>
    <row r="76" spans="11:12">
      <c r="K76" s="5">
        <v>74</v>
      </c>
      <c r="L76" s="61">
        <v>46.3</v>
      </c>
    </row>
    <row r="77" spans="11:12">
      <c r="K77" s="5">
        <v>75</v>
      </c>
      <c r="L77" s="61">
        <v>-9.9000000000000057</v>
      </c>
    </row>
    <row r="78" spans="11:12">
      <c r="K78" s="5">
        <v>76</v>
      </c>
      <c r="L78" s="61">
        <v>-20.000000000000007</v>
      </c>
    </row>
    <row r="79" spans="11:12">
      <c r="K79" s="5">
        <v>77</v>
      </c>
      <c r="L79" s="61">
        <v>2.5999999999999943</v>
      </c>
    </row>
    <row r="80" spans="11:12">
      <c r="K80" s="5">
        <v>78</v>
      </c>
      <c r="L80" s="61">
        <v>68.5</v>
      </c>
    </row>
    <row r="81" spans="11:12">
      <c r="K81" s="5">
        <v>79</v>
      </c>
      <c r="L81" s="61">
        <v>7.1000000000000014</v>
      </c>
    </row>
    <row r="82" spans="11:12">
      <c r="K82" s="5">
        <v>80</v>
      </c>
      <c r="L82" s="61">
        <v>-20</v>
      </c>
    </row>
    <row r="83" spans="11:12">
      <c r="K83" s="5">
        <v>81</v>
      </c>
      <c r="L83" s="61">
        <v>-39.6</v>
      </c>
    </row>
    <row r="84" spans="11:12">
      <c r="K84" s="5">
        <v>82</v>
      </c>
      <c r="L84" s="61">
        <v>-29.1</v>
      </c>
    </row>
    <row r="85" spans="11:12">
      <c r="K85" s="5">
        <v>83</v>
      </c>
      <c r="L85" s="61">
        <v>24.5</v>
      </c>
    </row>
    <row r="86" spans="11:12">
      <c r="K86" s="5">
        <v>84</v>
      </c>
      <c r="L86" s="61">
        <v>-20</v>
      </c>
    </row>
    <row r="87" spans="11:12">
      <c r="K87" s="5">
        <v>85</v>
      </c>
      <c r="L87" s="61">
        <v>-27.6</v>
      </c>
    </row>
    <row r="88" spans="11:12">
      <c r="K88" s="5">
        <v>86</v>
      </c>
      <c r="L88" s="61">
        <v>57.999999999999993</v>
      </c>
    </row>
    <row r="89" spans="11:12">
      <c r="K89" s="5">
        <v>87</v>
      </c>
      <c r="L89" s="61">
        <v>7.9999999999999929</v>
      </c>
    </row>
    <row r="90" spans="11:12">
      <c r="K90" s="5">
        <v>88</v>
      </c>
      <c r="L90" s="61">
        <v>-20.000000000000007</v>
      </c>
    </row>
    <row r="91" spans="11:12">
      <c r="K91" s="5">
        <v>89</v>
      </c>
      <c r="L91" s="61">
        <v>-35.000000000000007</v>
      </c>
    </row>
    <row r="92" spans="11:12">
      <c r="K92" s="5">
        <v>90</v>
      </c>
      <c r="L92" s="61">
        <v>18.899999999999991</v>
      </c>
    </row>
    <row r="93" spans="11:12">
      <c r="K93" s="5">
        <v>91</v>
      </c>
      <c r="L93" s="61">
        <v>-27.600000000000009</v>
      </c>
    </row>
    <row r="94" spans="11:12">
      <c r="K94" s="5">
        <v>92</v>
      </c>
      <c r="L94" s="61">
        <v>-20.000000000000007</v>
      </c>
    </row>
    <row r="95" spans="11:12">
      <c r="K95" s="5">
        <v>93</v>
      </c>
      <c r="L95" s="61">
        <v>-79.400000000000006</v>
      </c>
    </row>
    <row r="96" spans="11:12">
      <c r="K96" s="5">
        <v>94</v>
      </c>
      <c r="L96" s="61">
        <v>-62.100000000000009</v>
      </c>
    </row>
    <row r="97" spans="11:12">
      <c r="K97" s="5">
        <v>95</v>
      </c>
      <c r="L97" s="61">
        <v>-91</v>
      </c>
    </row>
    <row r="98" spans="11:12">
      <c r="K98" s="5">
        <v>96</v>
      </c>
      <c r="L98" s="61">
        <v>-20</v>
      </c>
    </row>
    <row r="99" spans="11:12">
      <c r="K99" s="5">
        <v>97</v>
      </c>
      <c r="L99" s="61">
        <v>-38</v>
      </c>
    </row>
    <row r="100" spans="11:12">
      <c r="K100" s="5">
        <v>98</v>
      </c>
      <c r="L100" s="61">
        <v>28.599999999999994</v>
      </c>
    </row>
    <row r="101" spans="11:12">
      <c r="K101" s="5">
        <v>99</v>
      </c>
      <c r="L101" s="61">
        <v>34.199999999999996</v>
      </c>
    </row>
    <row r="102" spans="11:12">
      <c r="K102" s="5">
        <v>100</v>
      </c>
      <c r="L102" s="61">
        <v>-30.000000000000007</v>
      </c>
    </row>
    <row r="103" spans="11:12">
      <c r="K103" s="5">
        <v>101</v>
      </c>
      <c r="L103" s="61">
        <v>-55.500000000000007</v>
      </c>
    </row>
    <row r="104" spans="11:12">
      <c r="K104" s="5">
        <v>102</v>
      </c>
      <c r="L104" s="61">
        <v>-43.000000000000007</v>
      </c>
    </row>
    <row r="105" spans="11:12">
      <c r="K105" s="5">
        <v>103</v>
      </c>
      <c r="L105" s="61">
        <v>28.999999999999993</v>
      </c>
    </row>
    <row r="106" spans="11:12">
      <c r="K106" s="5">
        <v>104</v>
      </c>
      <c r="L106" s="61">
        <v>-30.000000000000007</v>
      </c>
    </row>
    <row r="107" spans="11:12">
      <c r="K107" s="5">
        <v>105</v>
      </c>
      <c r="L107" s="61">
        <v>22.499999999999993</v>
      </c>
    </row>
    <row r="108" spans="11:12">
      <c r="K108" s="5">
        <v>106</v>
      </c>
      <c r="L108" s="61">
        <v>-18.800000000000004</v>
      </c>
    </row>
    <row r="109" spans="11:12">
      <c r="K109" s="5">
        <v>107</v>
      </c>
      <c r="L109" s="61">
        <v>-38.400000000000006</v>
      </c>
    </row>
    <row r="110" spans="11:12">
      <c r="K110" s="5">
        <v>108</v>
      </c>
      <c r="L110" s="61">
        <v>-30.000000000000007</v>
      </c>
    </row>
    <row r="111" spans="11:12">
      <c r="K111" s="5">
        <v>109</v>
      </c>
      <c r="L111" s="61">
        <v>-89</v>
      </c>
    </row>
    <row r="112" spans="11:12">
      <c r="K112" s="5">
        <v>110</v>
      </c>
      <c r="L112" s="61">
        <v>-64</v>
      </c>
    </row>
    <row r="113" spans="11:12">
      <c r="K113" s="5">
        <v>111</v>
      </c>
      <c r="L113" s="61">
        <v>-102.5</v>
      </c>
    </row>
    <row r="114" spans="11:12">
      <c r="K114" s="5">
        <v>112</v>
      </c>
      <c r="L114" s="61">
        <v>-30</v>
      </c>
    </row>
    <row r="115" spans="11:12">
      <c r="K115" s="5">
        <v>113</v>
      </c>
      <c r="L115" s="61">
        <v>27</v>
      </c>
    </row>
    <row r="116" spans="11:12">
      <c r="K116" s="5">
        <v>114</v>
      </c>
      <c r="L116" s="61">
        <v>42.6</v>
      </c>
    </row>
    <row r="117" spans="11:12">
      <c r="K117" s="5">
        <v>115</v>
      </c>
      <c r="L117" s="61">
        <v>-5.5</v>
      </c>
    </row>
    <row r="118" spans="11:12">
      <c r="K118" s="5">
        <v>116</v>
      </c>
      <c r="L118" s="61">
        <v>-30</v>
      </c>
    </row>
    <row r="119" spans="11:12">
      <c r="K119" s="5">
        <v>117</v>
      </c>
      <c r="L119" s="61">
        <v>43.2</v>
      </c>
    </row>
    <row r="120" spans="11:12">
      <c r="K120" s="5">
        <v>118</v>
      </c>
      <c r="L120" s="61">
        <v>19.000000000000004</v>
      </c>
    </row>
    <row r="121" spans="11:12">
      <c r="K121" s="5">
        <v>119</v>
      </c>
      <c r="L121" s="61">
        <v>-34.099999999999994</v>
      </c>
    </row>
    <row r="122" spans="11:12">
      <c r="K122" s="5">
        <v>120</v>
      </c>
      <c r="L122" s="61">
        <v>-29.999999999999993</v>
      </c>
    </row>
    <row r="123" spans="11:12">
      <c r="K123" s="5">
        <v>121</v>
      </c>
      <c r="L123" s="61">
        <v>-26.399999999999991</v>
      </c>
    </row>
    <row r="124" spans="11:12">
      <c r="K124" s="5">
        <v>122</v>
      </c>
      <c r="L124" s="61">
        <v>-43.599999999999994</v>
      </c>
    </row>
    <row r="125" spans="11:12">
      <c r="K125" s="5">
        <v>123</v>
      </c>
      <c r="L125" s="61">
        <v>-83.1</v>
      </c>
    </row>
    <row r="126" spans="11:12">
      <c r="K126" s="5">
        <v>124</v>
      </c>
      <c r="L126" s="61">
        <v>-29.999999999999993</v>
      </c>
    </row>
    <row r="127" spans="11:12">
      <c r="K127" s="5">
        <v>125</v>
      </c>
      <c r="L127" s="61">
        <v>-95.5</v>
      </c>
    </row>
    <row r="128" spans="11:12">
      <c r="K128" s="5">
        <v>126</v>
      </c>
      <c r="L128" s="61">
        <v>-83.6</v>
      </c>
    </row>
    <row r="129" spans="11:12">
      <c r="K129" s="5">
        <v>127</v>
      </c>
      <c r="L129" s="61">
        <v>-93.8</v>
      </c>
    </row>
    <row r="130" spans="11:12">
      <c r="K130" s="5">
        <v>128</v>
      </c>
      <c r="L130" s="61">
        <v>-30</v>
      </c>
    </row>
    <row r="131" spans="11:12">
      <c r="K131" s="5">
        <v>129</v>
      </c>
      <c r="L131" s="61">
        <v>26.9</v>
      </c>
    </row>
    <row r="132" spans="11:12">
      <c r="K132" s="5">
        <v>130</v>
      </c>
      <c r="L132" s="61">
        <v>-18.600000000000001</v>
      </c>
    </row>
    <row r="133" spans="11:12">
      <c r="K133" s="5">
        <v>131</v>
      </c>
      <c r="L133" s="61">
        <v>-5.1000000000000014</v>
      </c>
    </row>
    <row r="134" spans="11:12">
      <c r="K134" s="5">
        <v>132</v>
      </c>
      <c r="L134" s="61">
        <v>-30</v>
      </c>
    </row>
    <row r="135" spans="11:12">
      <c r="K135" s="5">
        <v>133</v>
      </c>
      <c r="L135" s="61">
        <v>47.2</v>
      </c>
    </row>
    <row r="136" spans="11:12">
      <c r="K136" s="5">
        <v>134</v>
      </c>
      <c r="L136" s="61">
        <v>-5.1999999999999957</v>
      </c>
    </row>
    <row r="137" spans="11:12">
      <c r="K137" s="5">
        <v>135</v>
      </c>
      <c r="L137" s="61">
        <v>-34.5</v>
      </c>
    </row>
    <row r="138" spans="11:12">
      <c r="K138" s="5">
        <v>136</v>
      </c>
      <c r="L138" s="61">
        <v>-30</v>
      </c>
    </row>
    <row r="139" spans="11:12">
      <c r="K139" s="5">
        <v>137</v>
      </c>
      <c r="L139" s="61">
        <v>-80.3</v>
      </c>
    </row>
    <row r="140" spans="11:12">
      <c r="K140" s="5">
        <v>138</v>
      </c>
      <c r="L140" s="61">
        <v>-103.9</v>
      </c>
    </row>
    <row r="141" spans="11:12">
      <c r="K141" s="5">
        <v>139</v>
      </c>
      <c r="L141" s="61">
        <v>-102.9</v>
      </c>
    </row>
    <row r="142" spans="11:12">
      <c r="K142" s="5">
        <v>140</v>
      </c>
      <c r="L142" s="61">
        <v>-30</v>
      </c>
    </row>
    <row r="143" spans="11:12">
      <c r="K143" s="5">
        <v>141</v>
      </c>
      <c r="L143" s="61">
        <v>38</v>
      </c>
    </row>
    <row r="144" spans="11:12">
      <c r="K144" s="5">
        <v>142</v>
      </c>
      <c r="L144" s="61">
        <v>-22.1</v>
      </c>
    </row>
    <row r="145" spans="11:12">
      <c r="K145" s="5">
        <v>143</v>
      </c>
      <c r="L145" s="61">
        <v>-10.500000000000002</v>
      </c>
    </row>
    <row r="146" spans="11:12">
      <c r="K146" s="5">
        <v>144</v>
      </c>
      <c r="L146" s="61">
        <v>-30</v>
      </c>
    </row>
    <row r="147" spans="11:12">
      <c r="K147" s="5">
        <v>145</v>
      </c>
      <c r="L147" s="61">
        <v>22</v>
      </c>
    </row>
    <row r="148" spans="11:12">
      <c r="K148" s="5">
        <v>146</v>
      </c>
      <c r="L148" s="61">
        <v>32</v>
      </c>
    </row>
    <row r="149" spans="11:12">
      <c r="K149" s="5">
        <v>147</v>
      </c>
      <c r="L149" s="61">
        <v>17.600000000000001</v>
      </c>
    </row>
    <row r="150" spans="11:12">
      <c r="K150" s="5">
        <v>148</v>
      </c>
      <c r="L150" s="61">
        <v>-30</v>
      </c>
    </row>
    <row r="151" spans="11:12">
      <c r="K151" s="5">
        <v>149</v>
      </c>
      <c r="L151" s="61">
        <v>-22.6</v>
      </c>
    </row>
    <row r="152" spans="11:12">
      <c r="K152" s="5">
        <v>150</v>
      </c>
      <c r="L152" s="61">
        <v>-70</v>
      </c>
    </row>
    <row r="153" spans="11:12">
      <c r="K153" s="5">
        <v>151</v>
      </c>
      <c r="L153" s="61">
        <v>-17.299999999999997</v>
      </c>
    </row>
    <row r="154" spans="11:12">
      <c r="K154" s="5">
        <v>152</v>
      </c>
      <c r="L154" s="61">
        <v>-29.999999999999996</v>
      </c>
    </row>
    <row r="155" spans="11:12">
      <c r="K155" s="5">
        <v>153</v>
      </c>
      <c r="L155" s="61">
        <v>30.400000000000002</v>
      </c>
    </row>
    <row r="156" spans="11:12">
      <c r="K156" s="5">
        <v>154</v>
      </c>
      <c r="L156" s="61">
        <v>39.900000000000006</v>
      </c>
    </row>
    <row r="157" spans="11:12">
      <c r="K157" s="5">
        <v>155</v>
      </c>
      <c r="L157" s="61">
        <v>-7.0999999999999943</v>
      </c>
    </row>
    <row r="158" spans="11:12">
      <c r="K158" s="5">
        <v>156</v>
      </c>
      <c r="L158" s="61">
        <v>-29.999999999999993</v>
      </c>
    </row>
    <row r="159" spans="11:12">
      <c r="K159" s="5">
        <v>157</v>
      </c>
      <c r="L159" s="61">
        <v>37.6</v>
      </c>
    </row>
    <row r="160" spans="11:12">
      <c r="K160" s="5">
        <v>158</v>
      </c>
      <c r="L160" s="61">
        <v>-16.799999999999997</v>
      </c>
    </row>
    <row r="161" spans="11:12">
      <c r="K161" s="5">
        <v>159</v>
      </c>
      <c r="L161" s="61">
        <v>-34.199999999999996</v>
      </c>
    </row>
    <row r="162" spans="11:12">
      <c r="K162" s="5">
        <v>160</v>
      </c>
      <c r="L162" s="61">
        <v>-29.999999999999996</v>
      </c>
    </row>
    <row r="163" spans="11:12">
      <c r="K163" s="5">
        <v>161</v>
      </c>
      <c r="L163" s="61">
        <v>-79.399999999999991</v>
      </c>
    </row>
    <row r="164" spans="11:12">
      <c r="K164" s="5">
        <v>162</v>
      </c>
      <c r="L164" s="61">
        <v>-102.69999999999999</v>
      </c>
    </row>
    <row r="165" spans="11:12">
      <c r="K165" s="5">
        <v>163</v>
      </c>
      <c r="L165" s="61">
        <v>-97.999999999999986</v>
      </c>
    </row>
    <row r="166" spans="11:12">
      <c r="K166" s="5">
        <v>164</v>
      </c>
      <c r="L166" s="61">
        <v>-29.999999999999986</v>
      </c>
    </row>
    <row r="167" spans="11:12">
      <c r="K167" s="5">
        <v>165</v>
      </c>
      <c r="L167" s="61">
        <v>-77.099999999999994</v>
      </c>
    </row>
    <row r="168" spans="11:12">
      <c r="K168" s="5">
        <v>166</v>
      </c>
      <c r="L168" s="61">
        <v>-9</v>
      </c>
    </row>
    <row r="169" spans="11:12">
      <c r="K169" s="5">
        <v>167</v>
      </c>
      <c r="L169" s="61">
        <v>-6.4</v>
      </c>
    </row>
    <row r="170" spans="11:12">
      <c r="K170" s="5">
        <v>168</v>
      </c>
      <c r="L170" s="61">
        <v>-30</v>
      </c>
    </row>
    <row r="171" spans="11:12">
      <c r="K171" s="5">
        <v>169</v>
      </c>
      <c r="L171" s="61">
        <v>-39.5</v>
      </c>
    </row>
    <row r="172" spans="11:12">
      <c r="K172" s="5">
        <v>170</v>
      </c>
      <c r="L172" s="61">
        <v>-94.4</v>
      </c>
    </row>
    <row r="173" spans="11:12">
      <c r="K173" s="5">
        <v>171</v>
      </c>
      <c r="L173" s="61">
        <v>-41.000000000000007</v>
      </c>
    </row>
    <row r="174" spans="11:12">
      <c r="K174" s="5">
        <v>172</v>
      </c>
      <c r="L174" s="61">
        <v>-30.000000000000007</v>
      </c>
    </row>
    <row r="175" spans="11:12">
      <c r="K175" s="5">
        <v>173</v>
      </c>
      <c r="L175" s="61">
        <v>-30.000000000000007</v>
      </c>
    </row>
    <row r="176" spans="11:12">
      <c r="K176" s="5">
        <v>174</v>
      </c>
      <c r="L176" s="61">
        <v>-47.2</v>
      </c>
    </row>
    <row r="177" spans="11:12">
      <c r="K177" s="5">
        <v>175</v>
      </c>
      <c r="L177" s="61">
        <v>-39.5</v>
      </c>
    </row>
    <row r="178" spans="11:12">
      <c r="K178" s="5">
        <v>176</v>
      </c>
      <c r="L178" s="61">
        <v>17</v>
      </c>
    </row>
    <row r="179" spans="11:12">
      <c r="K179" s="5">
        <v>177</v>
      </c>
      <c r="L179" s="61">
        <v>-30</v>
      </c>
    </row>
    <row r="180" spans="11:12">
      <c r="K180" s="5">
        <v>178</v>
      </c>
      <c r="L180" s="61">
        <v>-54.6</v>
      </c>
    </row>
    <row r="181" spans="11:12">
      <c r="K181" s="5">
        <v>179</v>
      </c>
      <c r="L181" s="61">
        <v>-52.5</v>
      </c>
    </row>
    <row r="182" spans="11:12">
      <c r="K182" s="5">
        <v>180</v>
      </c>
      <c r="L182" s="61">
        <v>14.799999999999997</v>
      </c>
    </row>
    <row r="183" spans="11:12">
      <c r="K183" s="5">
        <v>181</v>
      </c>
      <c r="L183" s="61">
        <v>-30</v>
      </c>
    </row>
    <row r="184" spans="11:12">
      <c r="K184" s="5">
        <v>182</v>
      </c>
      <c r="L184" s="61">
        <v>35.799999999999997</v>
      </c>
    </row>
    <row r="185" spans="11:12">
      <c r="K185" s="5">
        <v>183</v>
      </c>
      <c r="L185" s="61">
        <v>35.199999999999996</v>
      </c>
    </row>
    <row r="186" spans="11:12">
      <c r="K186" s="5">
        <v>184</v>
      </c>
      <c r="L186" s="61">
        <v>-7.9000000000000057</v>
      </c>
    </row>
    <row r="187" spans="11:12">
      <c r="K187" s="5">
        <v>185</v>
      </c>
      <c r="L187" s="61">
        <v>-30.000000000000007</v>
      </c>
    </row>
    <row r="188" spans="11:12">
      <c r="K188" s="5">
        <v>186</v>
      </c>
      <c r="L188" s="61">
        <v>-99.300000000000011</v>
      </c>
    </row>
    <row r="189" spans="11:12">
      <c r="K189" s="5">
        <v>187</v>
      </c>
      <c r="L189" s="61">
        <v>-94.300000000000011</v>
      </c>
    </row>
    <row r="190" spans="11:12">
      <c r="K190" s="5">
        <v>188</v>
      </c>
      <c r="L190" s="61">
        <v>-121.30000000000001</v>
      </c>
    </row>
    <row r="191" spans="11:12">
      <c r="K191" s="5">
        <v>189</v>
      </c>
      <c r="L191" s="61">
        <v>-30.000000000000014</v>
      </c>
    </row>
    <row r="192" spans="11:12">
      <c r="K192" s="5">
        <v>190</v>
      </c>
      <c r="L192" s="61">
        <v>30.399999999999984</v>
      </c>
    </row>
    <row r="193" spans="11:12">
      <c r="K193" s="5">
        <v>191</v>
      </c>
      <c r="L193" s="61">
        <v>-34.500000000000021</v>
      </c>
    </row>
    <row r="194" spans="11:12">
      <c r="K194" s="5">
        <v>192</v>
      </c>
      <c r="L194" s="61">
        <v>-44.800000000000026</v>
      </c>
    </row>
    <row r="195" spans="11:12">
      <c r="K195" s="5">
        <v>193</v>
      </c>
      <c r="L195" s="61">
        <v>-30.000000000000025</v>
      </c>
    </row>
    <row r="196" spans="11:12">
      <c r="K196" s="5">
        <v>194</v>
      </c>
      <c r="L196" s="61">
        <v>-74.200000000000031</v>
      </c>
    </row>
    <row r="197" spans="11:12">
      <c r="K197" s="5">
        <v>195</v>
      </c>
      <c r="L197" s="61">
        <v>-71.400000000000034</v>
      </c>
    </row>
    <row r="198" spans="11:12">
      <c r="K198" s="5">
        <v>196</v>
      </c>
      <c r="L198" s="61">
        <v>-8.9000000000000341</v>
      </c>
    </row>
    <row r="199" spans="11:12">
      <c r="K199" s="5">
        <v>197</v>
      </c>
      <c r="L199" s="61">
        <v>-30.000000000000036</v>
      </c>
    </row>
    <row r="200" spans="11:12">
      <c r="K200" s="5">
        <v>198</v>
      </c>
      <c r="L200" s="61">
        <v>31.299999999999962</v>
      </c>
    </row>
    <row r="201" spans="11:12">
      <c r="K201" s="5">
        <v>199</v>
      </c>
      <c r="L201" s="61">
        <v>43.69999999999996</v>
      </c>
    </row>
    <row r="202" spans="11:12">
      <c r="K202" s="5">
        <v>200</v>
      </c>
      <c r="L202" s="61">
        <v>-9.4000000000000412</v>
      </c>
    </row>
    <row r="203" spans="11:12">
      <c r="K203" s="5">
        <v>201</v>
      </c>
      <c r="L203" s="61">
        <v>-30.000000000000043</v>
      </c>
    </row>
    <row r="204" spans="11:12">
      <c r="K204" s="5">
        <v>202</v>
      </c>
      <c r="L204" s="61">
        <v>-44.80000000000004</v>
      </c>
    </row>
    <row r="205" spans="11:12">
      <c r="K205" s="5">
        <v>203</v>
      </c>
      <c r="L205" s="61">
        <v>-86.600000000000037</v>
      </c>
    </row>
    <row r="206" spans="11:12">
      <c r="K206" s="5">
        <v>204</v>
      </c>
      <c r="L206" s="61">
        <v>-81.200000000000031</v>
      </c>
    </row>
    <row r="207" spans="11:12">
      <c r="K207" s="5">
        <v>205</v>
      </c>
      <c r="L207" s="61">
        <v>-30.000000000000028</v>
      </c>
    </row>
    <row r="208" spans="11:12">
      <c r="K208" s="5">
        <v>206</v>
      </c>
      <c r="L208" s="61">
        <v>62.199999999999974</v>
      </c>
    </row>
    <row r="209" spans="11:12">
      <c r="K209" s="5">
        <v>207</v>
      </c>
      <c r="L209" s="61">
        <v>31.799999999999976</v>
      </c>
    </row>
    <row r="210" spans="11:12">
      <c r="K210" s="5">
        <v>208</v>
      </c>
      <c r="L210" s="61">
        <v>-25.200000000000024</v>
      </c>
    </row>
    <row r="211" spans="11:12">
      <c r="K211" s="5">
        <v>209</v>
      </c>
      <c r="L211" s="61">
        <v>-30.000000000000025</v>
      </c>
    </row>
    <row r="212" spans="11:12">
      <c r="K212" s="5">
        <v>210</v>
      </c>
      <c r="L212" s="61">
        <v>-18.300000000000026</v>
      </c>
    </row>
    <row r="213" spans="11:12">
      <c r="K213" s="5">
        <v>211</v>
      </c>
      <c r="L213" s="61">
        <v>65.899999999999977</v>
      </c>
    </row>
    <row r="214" spans="11:12">
      <c r="K214" s="5">
        <v>212</v>
      </c>
      <c r="L214" s="61">
        <v>7.4999999999999787</v>
      </c>
    </row>
    <row r="215" spans="11:12">
      <c r="K215" s="5">
        <v>213</v>
      </c>
      <c r="L215" s="61">
        <v>-30.000000000000021</v>
      </c>
    </row>
    <row r="216" spans="11:12">
      <c r="K216" s="5">
        <v>214</v>
      </c>
      <c r="L216" s="61">
        <v>-33.200000000000017</v>
      </c>
    </row>
    <row r="217" spans="11:12">
      <c r="K217" s="5">
        <v>215</v>
      </c>
      <c r="L217" s="61">
        <v>-86.90000000000002</v>
      </c>
    </row>
    <row r="218" spans="11:12">
      <c r="K218" s="5">
        <v>216</v>
      </c>
      <c r="L218" s="61">
        <v>-115.50000000000003</v>
      </c>
    </row>
    <row r="219" spans="11:12">
      <c r="K219" s="5">
        <v>217</v>
      </c>
      <c r="L219" s="61">
        <v>-30.000000000000028</v>
      </c>
    </row>
    <row r="220" spans="11:12">
      <c r="K220" s="5">
        <v>218</v>
      </c>
      <c r="L220" s="61">
        <v>-80.400000000000034</v>
      </c>
    </row>
    <row r="221" spans="11:12">
      <c r="K221" s="5">
        <v>219</v>
      </c>
      <c r="L221" s="61">
        <v>-19.200000000000031</v>
      </c>
    </row>
    <row r="222" spans="11:12">
      <c r="K222" s="5">
        <v>220</v>
      </c>
      <c r="L222" s="61">
        <v>-36.300000000000033</v>
      </c>
    </row>
    <row r="223" spans="11:12">
      <c r="K223" s="5">
        <v>221</v>
      </c>
      <c r="L223" s="61">
        <v>-30.000000000000032</v>
      </c>
    </row>
    <row r="224" spans="11:12">
      <c r="K224" s="5">
        <v>222</v>
      </c>
      <c r="L224" s="61">
        <v>-31.700000000000031</v>
      </c>
    </row>
    <row r="225" spans="11:12">
      <c r="K225" s="5">
        <v>223</v>
      </c>
      <c r="L225" s="61">
        <v>-62.700000000000031</v>
      </c>
    </row>
    <row r="226" spans="11:12">
      <c r="K226" s="5">
        <v>224</v>
      </c>
      <c r="L226" s="61">
        <v>22.399999999999963</v>
      </c>
    </row>
    <row r="227" spans="11:12">
      <c r="K227" s="5">
        <v>225</v>
      </c>
      <c r="L227" s="61">
        <v>-30.000000000000036</v>
      </c>
    </row>
    <row r="228" spans="11:12">
      <c r="K228" s="5">
        <v>226</v>
      </c>
      <c r="L228" s="61">
        <v>-11.700000000000035</v>
      </c>
    </row>
    <row r="229" spans="11:12">
      <c r="K229" s="5">
        <v>227</v>
      </c>
      <c r="L229" s="61">
        <v>-33.000000000000036</v>
      </c>
    </row>
    <row r="230" spans="11:12">
      <c r="K230" s="5">
        <v>228</v>
      </c>
      <c r="L230" s="61">
        <v>-91.30000000000004</v>
      </c>
    </row>
    <row r="231" spans="11:12">
      <c r="K231" s="5">
        <v>229</v>
      </c>
      <c r="L231" s="61">
        <v>-30.000000000000043</v>
      </c>
    </row>
    <row r="232" spans="11:12">
      <c r="K232" s="5">
        <v>230</v>
      </c>
      <c r="L232" s="61">
        <v>-44.400000000000041</v>
      </c>
    </row>
    <row r="233" spans="11:12">
      <c r="K233" s="5">
        <v>231</v>
      </c>
      <c r="L233" s="61">
        <v>-90.100000000000051</v>
      </c>
    </row>
    <row r="234" spans="11:12">
      <c r="K234" s="5">
        <v>232</v>
      </c>
      <c r="L234" s="61">
        <v>-37.400000000000048</v>
      </c>
    </row>
    <row r="235" spans="11:12">
      <c r="K235" s="5">
        <v>233</v>
      </c>
      <c r="L235" s="61">
        <v>-30.00000000000005</v>
      </c>
    </row>
    <row r="236" spans="11:12">
      <c r="K236" s="5">
        <v>234</v>
      </c>
      <c r="L236" s="61">
        <v>36.699999999999953</v>
      </c>
    </row>
    <row r="237" spans="11:12">
      <c r="K237" s="5">
        <v>235</v>
      </c>
      <c r="L237" s="61">
        <v>49.699999999999953</v>
      </c>
    </row>
    <row r="238" spans="11:12">
      <c r="K238" s="5">
        <v>236</v>
      </c>
      <c r="L238" s="61">
        <v>-12.100000000000044</v>
      </c>
    </row>
    <row r="239" spans="11:12">
      <c r="K239" s="5">
        <v>237</v>
      </c>
      <c r="L239" s="61">
        <v>-30.000000000000043</v>
      </c>
    </row>
    <row r="240" spans="11:12">
      <c r="K240" s="5">
        <v>238</v>
      </c>
      <c r="L240" s="61">
        <v>-102.80000000000004</v>
      </c>
    </row>
    <row r="241" spans="11:12">
      <c r="K241" s="5">
        <v>239</v>
      </c>
      <c r="L241" s="61">
        <v>-88.80000000000004</v>
      </c>
    </row>
    <row r="242" spans="11:12">
      <c r="K242" s="5">
        <v>240</v>
      </c>
      <c r="L242" s="61">
        <v>-4.3000000000000398</v>
      </c>
    </row>
    <row r="243" spans="11:12">
      <c r="K243" s="5">
        <v>241</v>
      </c>
      <c r="L243" s="61">
        <v>-30.000000000000039</v>
      </c>
    </row>
    <row r="244" spans="11:12">
      <c r="K244" s="5">
        <v>242</v>
      </c>
      <c r="L244" s="61">
        <v>-76.600000000000037</v>
      </c>
    </row>
    <row r="245" spans="11:12">
      <c r="K245" s="5">
        <v>243</v>
      </c>
      <c r="L245" s="61">
        <v>-67.200000000000031</v>
      </c>
    </row>
    <row r="246" spans="11:12">
      <c r="K246" s="5">
        <v>244</v>
      </c>
      <c r="L246" s="61">
        <v>-10.300000000000033</v>
      </c>
    </row>
    <row r="247" spans="11:12">
      <c r="K247" s="5">
        <v>245</v>
      </c>
      <c r="L247" s="61">
        <v>-30.000000000000032</v>
      </c>
    </row>
    <row r="248" spans="11:12">
      <c r="K248" s="5">
        <v>246</v>
      </c>
      <c r="L248" s="61">
        <v>-76.800000000000026</v>
      </c>
    </row>
    <row r="249" spans="11:12">
      <c r="K249" s="5">
        <v>247</v>
      </c>
      <c r="L249" s="61">
        <v>-66.500000000000028</v>
      </c>
    </row>
    <row r="250" spans="11:12">
      <c r="K250" s="5">
        <v>248</v>
      </c>
      <c r="L250" s="61">
        <v>-89.800000000000026</v>
      </c>
    </row>
    <row r="251" spans="11:12">
      <c r="K251" s="5">
        <v>249</v>
      </c>
      <c r="L251" s="61">
        <v>-30.000000000000028</v>
      </c>
    </row>
    <row r="252" spans="11:12">
      <c r="K252" s="5">
        <v>250</v>
      </c>
      <c r="L252" s="61">
        <v>-84.900000000000034</v>
      </c>
    </row>
    <row r="253" spans="11:12">
      <c r="K253" s="5">
        <v>251</v>
      </c>
      <c r="L253" s="61">
        <v>-85.80000000000004</v>
      </c>
    </row>
    <row r="254" spans="11:12">
      <c r="K254" s="5">
        <v>252</v>
      </c>
      <c r="L254" s="61">
        <v>-3.1000000000000369</v>
      </c>
    </row>
    <row r="255" spans="11:12">
      <c r="K255" s="5">
        <v>253</v>
      </c>
      <c r="L255" s="61">
        <v>-30.000000000000036</v>
      </c>
    </row>
    <row r="256" spans="11:12">
      <c r="K256" s="5">
        <v>254</v>
      </c>
      <c r="L256" s="61">
        <v>-3.6000000000000369</v>
      </c>
    </row>
    <row r="257" spans="11:12">
      <c r="K257" s="5">
        <v>255</v>
      </c>
      <c r="L257" s="61">
        <v>-65.100000000000037</v>
      </c>
    </row>
    <row r="258" spans="11:12">
      <c r="K258" s="5">
        <v>256</v>
      </c>
      <c r="L258" s="61">
        <v>-102.40000000000003</v>
      </c>
    </row>
    <row r="259" spans="11:12">
      <c r="K259" s="5">
        <v>257</v>
      </c>
      <c r="L259" s="61">
        <v>-30.000000000000028</v>
      </c>
    </row>
    <row r="260" spans="11:12">
      <c r="K260" s="5">
        <v>258</v>
      </c>
      <c r="L260" s="61">
        <v>-78.900000000000034</v>
      </c>
    </row>
    <row r="261" spans="11:12">
      <c r="K261" s="5">
        <v>259</v>
      </c>
      <c r="L261" s="61">
        <v>-74.000000000000028</v>
      </c>
    </row>
    <row r="262" spans="11:12">
      <c r="K262" s="5">
        <v>260</v>
      </c>
      <c r="L262" s="61">
        <v>-11.000000000000028</v>
      </c>
    </row>
    <row r="263" spans="11:12">
      <c r="K263" s="5">
        <v>261</v>
      </c>
      <c r="L263" s="61">
        <v>-30.000000000000028</v>
      </c>
    </row>
    <row r="264" spans="11:12">
      <c r="K264" s="5">
        <v>262</v>
      </c>
      <c r="L264" s="61">
        <v>51.099999999999966</v>
      </c>
    </row>
    <row r="265" spans="11:12">
      <c r="K265" s="5">
        <v>263</v>
      </c>
      <c r="L265" s="61">
        <v>-10.900000000000034</v>
      </c>
    </row>
    <row r="266" spans="11:12">
      <c r="K266" s="5">
        <v>264</v>
      </c>
      <c r="L266" s="61">
        <v>-3.4000000000000341</v>
      </c>
    </row>
    <row r="267" spans="11:12">
      <c r="K267" s="5">
        <v>265</v>
      </c>
      <c r="L267" s="61">
        <v>-30.000000000000036</v>
      </c>
    </row>
    <row r="268" spans="11:12">
      <c r="K268" s="5">
        <v>266</v>
      </c>
      <c r="L268" s="61">
        <v>-36.300000000000033</v>
      </c>
    </row>
    <row r="269" spans="11:12">
      <c r="K269" s="5">
        <v>267</v>
      </c>
      <c r="L269" s="61">
        <v>-21.500000000000032</v>
      </c>
    </row>
    <row r="270" spans="11:12">
      <c r="K270" s="5">
        <v>268</v>
      </c>
      <c r="L270" s="61">
        <v>-87.400000000000034</v>
      </c>
    </row>
    <row r="271" spans="11:12">
      <c r="K271" s="5">
        <v>269</v>
      </c>
      <c r="L271" s="61">
        <v>-30.000000000000036</v>
      </c>
    </row>
    <row r="272" spans="11:12">
      <c r="K272" s="5">
        <v>270</v>
      </c>
      <c r="L272" s="61">
        <v>23.199999999999967</v>
      </c>
    </row>
    <row r="273" spans="11:12">
      <c r="K273" s="5">
        <v>271</v>
      </c>
      <c r="L273" s="61">
        <v>-1.9000000000000341</v>
      </c>
    </row>
    <row r="274" spans="11:12">
      <c r="K274" s="5">
        <v>272</v>
      </c>
      <c r="L274" s="61">
        <v>10.499999999999966</v>
      </c>
    </row>
    <row r="275" spans="11:12">
      <c r="K275" s="5">
        <v>273</v>
      </c>
      <c r="L275" s="61">
        <v>-40.000000000000036</v>
      </c>
    </row>
    <row r="276" spans="11:12">
      <c r="K276" s="5">
        <v>274</v>
      </c>
      <c r="L276" s="61">
        <v>-89.700000000000045</v>
      </c>
    </row>
    <row r="277" spans="11:12">
      <c r="K277" s="5">
        <v>275</v>
      </c>
      <c r="L277" s="61">
        <v>-29.100000000000044</v>
      </c>
    </row>
    <row r="278" spans="11:12">
      <c r="K278" s="5">
        <v>276</v>
      </c>
      <c r="L278" s="61">
        <v>-49.500000000000043</v>
      </c>
    </row>
    <row r="279" spans="11:12">
      <c r="K279" s="5">
        <v>277</v>
      </c>
      <c r="L279" s="61">
        <v>-40.000000000000043</v>
      </c>
    </row>
    <row r="280" spans="11:12">
      <c r="K280" s="5">
        <v>278</v>
      </c>
      <c r="L280" s="61">
        <v>-94.200000000000045</v>
      </c>
    </row>
    <row r="281" spans="11:12">
      <c r="K281" s="5">
        <v>279</v>
      </c>
      <c r="L281" s="61">
        <v>-14.200000000000045</v>
      </c>
    </row>
    <row r="282" spans="11:12">
      <c r="K282" s="5">
        <v>280</v>
      </c>
      <c r="L282" s="61">
        <v>-10.600000000000046</v>
      </c>
    </row>
    <row r="283" spans="11:12">
      <c r="K283" s="5">
        <v>281</v>
      </c>
      <c r="L283" s="61">
        <v>-40.000000000000043</v>
      </c>
    </row>
    <row r="284" spans="11:12">
      <c r="K284" s="5">
        <v>282</v>
      </c>
      <c r="L284" s="61">
        <v>-101.50000000000004</v>
      </c>
    </row>
    <row r="285" spans="11:12">
      <c r="K285" s="5">
        <v>283</v>
      </c>
      <c r="L285" s="61">
        <v>-36.30000000000004</v>
      </c>
    </row>
    <row r="286" spans="11:12">
      <c r="K286" s="5">
        <v>284</v>
      </c>
      <c r="L286" s="61">
        <v>-27.30000000000004</v>
      </c>
    </row>
    <row r="287" spans="11:12">
      <c r="K287" s="5">
        <v>285</v>
      </c>
      <c r="L287" s="61">
        <v>-40.000000000000043</v>
      </c>
    </row>
    <row r="288" spans="11:12">
      <c r="K288" s="5">
        <v>286</v>
      </c>
      <c r="L288" s="61">
        <v>-31.400000000000041</v>
      </c>
    </row>
    <row r="289" spans="11:12">
      <c r="K289" s="5">
        <v>287</v>
      </c>
      <c r="L289" s="61">
        <v>19.299999999999962</v>
      </c>
    </row>
    <row r="290" spans="11:12">
      <c r="K290" s="5">
        <v>288</v>
      </c>
      <c r="L290" s="61">
        <v>0.19999999999996021</v>
      </c>
    </row>
    <row r="291" spans="11:12">
      <c r="K291" s="5">
        <v>289</v>
      </c>
      <c r="L291" s="61">
        <v>-40.000000000000043</v>
      </c>
    </row>
    <row r="292" spans="11:12">
      <c r="K292" s="5">
        <v>290</v>
      </c>
      <c r="L292" s="61">
        <v>-35.500000000000043</v>
      </c>
    </row>
    <row r="293" spans="11:12">
      <c r="K293" s="5">
        <v>291</v>
      </c>
      <c r="L293" s="61">
        <v>51.999999999999957</v>
      </c>
    </row>
    <row r="294" spans="11:12">
      <c r="K294" s="5">
        <v>292</v>
      </c>
      <c r="L294" s="61">
        <v>16.999999999999957</v>
      </c>
    </row>
    <row r="295" spans="11:12">
      <c r="K295" s="5">
        <v>293</v>
      </c>
      <c r="L295" s="61">
        <v>-40.000000000000043</v>
      </c>
    </row>
    <row r="296" spans="11:12">
      <c r="K296" s="5">
        <v>294</v>
      </c>
      <c r="L296" s="61">
        <v>-27.500000000000043</v>
      </c>
    </row>
    <row r="297" spans="11:12">
      <c r="K297" s="5">
        <v>295</v>
      </c>
      <c r="L297" s="61">
        <v>-75.30000000000004</v>
      </c>
    </row>
    <row r="298" spans="11:12">
      <c r="K298" s="5">
        <v>296</v>
      </c>
      <c r="L298" s="61">
        <v>-99.400000000000034</v>
      </c>
    </row>
    <row r="299" spans="11:12">
      <c r="K299" s="5">
        <v>297</v>
      </c>
      <c r="L299" s="61">
        <v>-40.000000000000036</v>
      </c>
    </row>
    <row r="300" spans="11:12">
      <c r="K300" s="5">
        <v>298</v>
      </c>
      <c r="L300" s="61">
        <v>-22.500000000000036</v>
      </c>
    </row>
    <row r="301" spans="11:12">
      <c r="K301" s="5">
        <v>299</v>
      </c>
      <c r="L301" s="61">
        <v>38.299999999999962</v>
      </c>
    </row>
    <row r="302" spans="11:12">
      <c r="K302" s="5">
        <v>300</v>
      </c>
      <c r="L302" s="61">
        <v>-16.900000000000041</v>
      </c>
    </row>
    <row r="303" spans="11:12">
      <c r="K303" s="5">
        <v>301</v>
      </c>
      <c r="L303" s="61">
        <v>-40.000000000000043</v>
      </c>
    </row>
    <row r="304" spans="11:12">
      <c r="K304" s="5">
        <v>302</v>
      </c>
      <c r="L304" s="61">
        <v>6.8999999999999559</v>
      </c>
    </row>
    <row r="305" spans="11:12">
      <c r="K305" s="5">
        <v>303</v>
      </c>
      <c r="L305" s="61">
        <v>-45.100000000000044</v>
      </c>
    </row>
    <row r="306" spans="11:12">
      <c r="K306" s="5">
        <v>304</v>
      </c>
      <c r="L306" s="61">
        <v>-64.80000000000004</v>
      </c>
    </row>
    <row r="307" spans="11:12">
      <c r="K307" s="5">
        <v>305</v>
      </c>
      <c r="L307" s="61">
        <v>-60.000000000000043</v>
      </c>
    </row>
    <row r="308" spans="11:12">
      <c r="K308" s="5">
        <v>306</v>
      </c>
      <c r="L308" s="61">
        <v>-86.700000000000045</v>
      </c>
    </row>
    <row r="309" spans="11:12">
      <c r="K309" s="5">
        <v>307</v>
      </c>
      <c r="L309" s="61">
        <v>-29.200000000000045</v>
      </c>
    </row>
    <row r="310" spans="11:12">
      <c r="K310" s="5">
        <v>308</v>
      </c>
      <c r="L310" s="61">
        <v>-79.600000000000051</v>
      </c>
    </row>
    <row r="311" spans="11:12">
      <c r="K311" s="5">
        <v>309</v>
      </c>
      <c r="L311" s="61">
        <v>-70.000000000000057</v>
      </c>
    </row>
    <row r="312" spans="11:12">
      <c r="K312" s="5">
        <v>310</v>
      </c>
      <c r="L312" s="61">
        <v>-115.80000000000005</v>
      </c>
    </row>
    <row r="313" spans="11:12">
      <c r="K313" s="5">
        <v>311</v>
      </c>
      <c r="L313" s="61">
        <v>-135.90000000000006</v>
      </c>
    </row>
    <row r="314" spans="11:12">
      <c r="K314" s="5">
        <v>312</v>
      </c>
      <c r="L314" s="61">
        <v>-125.60000000000007</v>
      </c>
    </row>
    <row r="315" spans="11:12">
      <c r="K315" s="5">
        <v>313</v>
      </c>
      <c r="L315" s="61">
        <v>-70.000000000000057</v>
      </c>
    </row>
    <row r="316" spans="11:12">
      <c r="K316" s="5">
        <v>314</v>
      </c>
      <c r="L316" s="61">
        <v>0.49999999999994316</v>
      </c>
    </row>
    <row r="317" spans="11:12">
      <c r="K317" s="5">
        <v>315</v>
      </c>
      <c r="L317" s="61">
        <v>-21.500000000000057</v>
      </c>
    </row>
    <row r="318" spans="11:12">
      <c r="K318" s="5">
        <v>316</v>
      </c>
      <c r="L318" s="61">
        <v>-78.000000000000057</v>
      </c>
    </row>
    <row r="319" spans="11:12">
      <c r="K319" s="5">
        <v>317</v>
      </c>
      <c r="L319" s="61">
        <v>-70.000000000000057</v>
      </c>
    </row>
    <row r="320" spans="11:12">
      <c r="K320" s="5">
        <v>318</v>
      </c>
      <c r="L320" s="61">
        <v>-117.40000000000006</v>
      </c>
    </row>
    <row r="321" spans="11:12">
      <c r="K321" s="5">
        <v>319</v>
      </c>
      <c r="L321" s="61">
        <v>-65.300000000000068</v>
      </c>
    </row>
    <row r="322" spans="11:12">
      <c r="K322" s="5">
        <v>320</v>
      </c>
      <c r="L322" s="61">
        <v>-62.600000000000065</v>
      </c>
    </row>
    <row r="323" spans="11:12">
      <c r="K323" s="5">
        <v>321</v>
      </c>
      <c r="L323" s="61">
        <v>-80.000000000000057</v>
      </c>
    </row>
    <row r="324" spans="11:12">
      <c r="K324" s="5">
        <v>322</v>
      </c>
      <c r="L324" s="61">
        <v>-73.20000000000006</v>
      </c>
    </row>
    <row r="325" spans="11:12">
      <c r="K325" s="5">
        <v>323</v>
      </c>
      <c r="L325" s="61">
        <v>-120.30000000000007</v>
      </c>
    </row>
    <row r="326" spans="11:12">
      <c r="K326" s="5">
        <v>324</v>
      </c>
      <c r="L326" s="61">
        <v>-142.40000000000006</v>
      </c>
    </row>
    <row r="327" spans="11:12">
      <c r="K327" s="5">
        <v>325</v>
      </c>
      <c r="L327" s="61">
        <v>-80.000000000000057</v>
      </c>
    </row>
    <row r="328" spans="11:12">
      <c r="K328" s="5">
        <v>326</v>
      </c>
      <c r="L328" s="61">
        <v>-31.900000000000055</v>
      </c>
    </row>
    <row r="329" spans="11:12">
      <c r="K329" s="5">
        <v>327</v>
      </c>
      <c r="L329" s="61">
        <v>-48.70000000000006</v>
      </c>
    </row>
    <row r="330" spans="11:12">
      <c r="K330" s="5">
        <v>328</v>
      </c>
      <c r="L330" s="61">
        <v>-86.300000000000068</v>
      </c>
    </row>
    <row r="331" spans="11:12">
      <c r="K331" s="5">
        <v>329</v>
      </c>
      <c r="L331" s="61">
        <v>-80.000000000000071</v>
      </c>
    </row>
    <row r="332" spans="11:12">
      <c r="K332" s="5">
        <v>330</v>
      </c>
      <c r="L332" s="61">
        <v>-96.300000000000068</v>
      </c>
    </row>
    <row r="333" spans="11:12">
      <c r="K333" s="5">
        <v>331</v>
      </c>
      <c r="L333" s="61">
        <v>-86.800000000000068</v>
      </c>
    </row>
    <row r="334" spans="11:12">
      <c r="K334" s="5">
        <v>332</v>
      </c>
      <c r="L334" s="61">
        <v>-134.10000000000008</v>
      </c>
    </row>
    <row r="335" spans="11:12">
      <c r="K335" s="5">
        <v>333</v>
      </c>
      <c r="L335" s="61">
        <v>-80.000000000000085</v>
      </c>
    </row>
    <row r="336" spans="11:12">
      <c r="K336" s="5">
        <v>334</v>
      </c>
      <c r="L336" s="61">
        <v>-29.200000000000088</v>
      </c>
    </row>
    <row r="337" spans="11:12">
      <c r="K337" s="5">
        <v>335</v>
      </c>
      <c r="L337" s="61">
        <v>-72.500000000000085</v>
      </c>
    </row>
    <row r="338" spans="11:12">
      <c r="K338" s="5">
        <v>336</v>
      </c>
      <c r="L338" s="61">
        <v>-64.800000000000082</v>
      </c>
    </row>
    <row r="339" spans="11:12">
      <c r="K339" s="5">
        <v>337</v>
      </c>
      <c r="L339" s="61">
        <v>-80.000000000000085</v>
      </c>
    </row>
    <row r="340" spans="11:12">
      <c r="K340" s="5">
        <v>338</v>
      </c>
      <c r="L340" s="61">
        <v>-127.00000000000009</v>
      </c>
    </row>
    <row r="341" spans="11:12">
      <c r="K341" s="5">
        <v>339</v>
      </c>
      <c r="L341" s="61">
        <v>-152.8000000000001</v>
      </c>
    </row>
    <row r="342" spans="11:12">
      <c r="K342" s="5">
        <v>340</v>
      </c>
      <c r="L342" s="61">
        <v>-90.600000000000094</v>
      </c>
    </row>
    <row r="343" spans="11:12">
      <c r="K343" s="5">
        <v>341</v>
      </c>
      <c r="L343" s="61">
        <v>-80.000000000000099</v>
      </c>
    </row>
    <row r="344" spans="11:12">
      <c r="K344" s="5">
        <v>342</v>
      </c>
      <c r="L344" s="61">
        <v>-125.2000000000001</v>
      </c>
    </row>
    <row r="345" spans="11:12">
      <c r="K345" s="5">
        <v>343</v>
      </c>
      <c r="L345" s="61">
        <v>-116.2000000000001</v>
      </c>
    </row>
    <row r="346" spans="11:12">
      <c r="K346" s="5">
        <v>344</v>
      </c>
      <c r="L346" s="61">
        <v>-63.100000000000101</v>
      </c>
    </row>
    <row r="347" spans="11:12">
      <c r="K347" s="5">
        <v>345</v>
      </c>
      <c r="L347" s="61">
        <v>-80.000000000000099</v>
      </c>
    </row>
    <row r="348" spans="11:12">
      <c r="K348" s="5">
        <v>346</v>
      </c>
      <c r="L348" s="61">
        <v>-62.400000000000098</v>
      </c>
    </row>
    <row r="349" spans="11:12">
      <c r="K349" s="5">
        <v>347</v>
      </c>
      <c r="L349" s="61">
        <v>-80.800000000000097</v>
      </c>
    </row>
    <row r="350" spans="11:12">
      <c r="K350" s="5">
        <v>348</v>
      </c>
      <c r="L350" s="61">
        <v>-160.8000000000001</v>
      </c>
    </row>
    <row r="351" spans="11:12">
      <c r="K351" s="5">
        <v>349</v>
      </c>
      <c r="L351" s="61">
        <v>-80.000000000000099</v>
      </c>
    </row>
    <row r="352" spans="11:12">
      <c r="K352" s="5">
        <v>350</v>
      </c>
      <c r="L352" s="61">
        <v>-13.800000000000097</v>
      </c>
    </row>
    <row r="353" spans="11:12">
      <c r="K353" s="5">
        <v>351</v>
      </c>
      <c r="L353" s="61">
        <v>-32.800000000000097</v>
      </c>
    </row>
    <row r="354" spans="11:12">
      <c r="K354" s="5">
        <v>352</v>
      </c>
      <c r="L354" s="61">
        <v>-22.000000000000096</v>
      </c>
    </row>
    <row r="355" spans="11:12">
      <c r="K355" s="5">
        <v>353</v>
      </c>
      <c r="L355" s="61">
        <v>-80.000000000000099</v>
      </c>
    </row>
    <row r="356" spans="11:12">
      <c r="K356" s="5">
        <v>354</v>
      </c>
      <c r="L356" s="61">
        <v>-68.200000000000102</v>
      </c>
    </row>
    <row r="357" spans="11:12">
      <c r="K357" s="5">
        <v>355</v>
      </c>
      <c r="L357" s="61">
        <v>-4.100000000000108</v>
      </c>
    </row>
    <row r="358" spans="11:12">
      <c r="K358" s="5">
        <v>356</v>
      </c>
      <c r="L358" s="61">
        <v>-54.600000000000108</v>
      </c>
    </row>
    <row r="359" spans="11:12">
      <c r="K359" s="5">
        <v>357</v>
      </c>
      <c r="L359" s="61">
        <v>-80.000000000000114</v>
      </c>
    </row>
    <row r="360" spans="11:12">
      <c r="K360" s="5">
        <v>358</v>
      </c>
      <c r="L360" s="61">
        <v>-72.000000000000114</v>
      </c>
    </row>
    <row r="361" spans="11:12">
      <c r="K361" s="5">
        <v>359</v>
      </c>
      <c r="L361" s="61">
        <v>1.899999999999892</v>
      </c>
    </row>
    <row r="362" spans="11:12">
      <c r="K362" s="5">
        <v>360</v>
      </c>
      <c r="L362" s="61">
        <v>-27.000000000000107</v>
      </c>
    </row>
    <row r="363" spans="11:12">
      <c r="K363" s="5">
        <v>361</v>
      </c>
      <c r="L363" s="61">
        <v>-80.000000000000114</v>
      </c>
    </row>
    <row r="364" spans="11:12">
      <c r="K364" s="5">
        <v>362</v>
      </c>
      <c r="L364" s="61">
        <v>-129.60000000000011</v>
      </c>
    </row>
    <row r="365" spans="11:12">
      <c r="K365" s="5">
        <v>363</v>
      </c>
      <c r="L365" s="61">
        <v>-68.700000000000102</v>
      </c>
    </row>
    <row r="366" spans="11:12">
      <c r="K366" s="5">
        <v>364</v>
      </c>
      <c r="L366" s="61">
        <v>-95.800000000000097</v>
      </c>
    </row>
    <row r="367" spans="11:12">
      <c r="K367" s="5">
        <v>365</v>
      </c>
      <c r="L367" s="61">
        <v>-80.000000000000099</v>
      </c>
    </row>
    <row r="368" spans="11:12">
      <c r="K368" s="5">
        <v>366</v>
      </c>
      <c r="L368" s="61">
        <v>-103.0000000000001</v>
      </c>
    </row>
    <row r="369" spans="11:12">
      <c r="K369" s="5">
        <v>367</v>
      </c>
      <c r="L369" s="61">
        <v>-37.100000000000094</v>
      </c>
    </row>
    <row r="370" spans="11:12">
      <c r="K370" s="5">
        <v>368</v>
      </c>
      <c r="L370" s="61">
        <v>-87.800000000000097</v>
      </c>
    </row>
    <row r="371" spans="11:12">
      <c r="K371" s="5">
        <v>369</v>
      </c>
      <c r="L371" s="61">
        <v>-80.000000000000099</v>
      </c>
    </row>
    <row r="372" spans="11:12">
      <c r="K372" s="5">
        <v>370</v>
      </c>
      <c r="L372" s="61">
        <v>-102.3000000000001</v>
      </c>
    </row>
    <row r="373" spans="11:12">
      <c r="K373" s="5">
        <v>371</v>
      </c>
      <c r="L373" s="61">
        <v>-102.7000000000001</v>
      </c>
    </row>
    <row r="374" spans="11:12">
      <c r="K374" s="5">
        <v>372</v>
      </c>
      <c r="L374" s="61">
        <v>-146.7000000000001</v>
      </c>
    </row>
    <row r="375" spans="11:12">
      <c r="K375" s="5">
        <v>373</v>
      </c>
      <c r="L375" s="61">
        <v>-80.000000000000099</v>
      </c>
    </row>
    <row r="376" spans="11:12">
      <c r="K376" s="5">
        <v>374</v>
      </c>
      <c r="L376" s="61">
        <v>-127.7000000000001</v>
      </c>
    </row>
    <row r="377" spans="11:12">
      <c r="K377" s="5">
        <v>375</v>
      </c>
      <c r="L377" s="61">
        <v>-72.400000000000105</v>
      </c>
    </row>
    <row r="378" spans="11:12">
      <c r="K378" s="5">
        <v>376</v>
      </c>
      <c r="L378" s="61">
        <v>-94.900000000000105</v>
      </c>
    </row>
    <row r="379" spans="11:12">
      <c r="K379" s="5">
        <v>377</v>
      </c>
      <c r="L379" s="61">
        <v>-80.000000000000099</v>
      </c>
    </row>
    <row r="380" spans="11:12">
      <c r="K380" s="5">
        <v>378</v>
      </c>
      <c r="L380" s="61">
        <v>-138.50000000000011</v>
      </c>
    </row>
    <row r="381" spans="11:12">
      <c r="K381" s="5">
        <v>379</v>
      </c>
      <c r="L381" s="61">
        <v>-71.300000000000111</v>
      </c>
    </row>
    <row r="382" spans="11:12">
      <c r="K382" s="5">
        <v>380</v>
      </c>
      <c r="L382" s="61">
        <v>-52.600000000000108</v>
      </c>
    </row>
    <row r="383" spans="11:12">
      <c r="K383" s="5">
        <v>381</v>
      </c>
      <c r="L383" s="61">
        <v>-80.000000000000114</v>
      </c>
    </row>
    <row r="384" spans="11:12">
      <c r="K384" s="5">
        <v>382</v>
      </c>
      <c r="L384" s="61">
        <v>-10.900000000000119</v>
      </c>
    </row>
    <row r="385" spans="11:12">
      <c r="K385" s="5">
        <v>383</v>
      </c>
      <c r="L385" s="61">
        <v>-59.600000000000122</v>
      </c>
    </row>
    <row r="386" spans="11:12">
      <c r="K386" s="5">
        <v>384</v>
      </c>
      <c r="L386" s="61">
        <v>-80.100000000000122</v>
      </c>
    </row>
    <row r="387" spans="11:12">
      <c r="K387" s="5">
        <v>385</v>
      </c>
      <c r="L387" s="61">
        <v>-80.000000000000128</v>
      </c>
    </row>
    <row r="388" spans="11:12">
      <c r="K388" s="5">
        <v>386</v>
      </c>
      <c r="L388" s="61">
        <v>-9.5000000000001279</v>
      </c>
    </row>
    <row r="389" spans="11:12">
      <c r="K389" s="5">
        <v>387</v>
      </c>
      <c r="L389" s="61">
        <v>-5.5000000000001279</v>
      </c>
    </row>
    <row r="390" spans="11:12">
      <c r="K390" s="5">
        <v>388</v>
      </c>
      <c r="L390" s="61">
        <v>-54.000000000000128</v>
      </c>
    </row>
    <row r="391" spans="11:12">
      <c r="K391" s="5">
        <v>389</v>
      </c>
      <c r="L391" s="61">
        <v>-80.000000000000128</v>
      </c>
    </row>
    <row r="392" spans="11:12">
      <c r="K392" s="5">
        <v>390</v>
      </c>
      <c r="L392" s="61">
        <v>-73.000000000000128</v>
      </c>
    </row>
    <row r="393" spans="11:12">
      <c r="K393" s="5">
        <v>391</v>
      </c>
      <c r="L393" s="61">
        <v>-90.600000000000136</v>
      </c>
    </row>
    <row r="394" spans="11:12">
      <c r="K394" s="5">
        <v>392</v>
      </c>
      <c r="L394" s="61">
        <v>-38.600000000000136</v>
      </c>
    </row>
    <row r="395" spans="11:12">
      <c r="K395" s="5">
        <v>393</v>
      </c>
      <c r="L395" s="61">
        <v>-80.000000000000142</v>
      </c>
    </row>
    <row r="396" spans="11:12">
      <c r="K396" s="5">
        <v>394</v>
      </c>
      <c r="L396" s="61">
        <v>-27.200000000000145</v>
      </c>
    </row>
    <row r="397" spans="11:12">
      <c r="K397" s="5">
        <v>395</v>
      </c>
      <c r="L397" s="61">
        <v>-70.000000000000142</v>
      </c>
    </row>
    <row r="398" spans="11:12">
      <c r="K398" s="5">
        <v>396</v>
      </c>
      <c r="L398" s="61">
        <v>-87.900000000000148</v>
      </c>
    </row>
    <row r="399" spans="11:12">
      <c r="K399" s="5">
        <v>397</v>
      </c>
      <c r="L399" s="61">
        <v>-80.000000000000142</v>
      </c>
    </row>
    <row r="400" spans="11:12">
      <c r="K400" s="5">
        <v>398</v>
      </c>
      <c r="L400" s="61">
        <v>-19.200000000000145</v>
      </c>
    </row>
    <row r="401" spans="11:12">
      <c r="K401" s="5">
        <v>399</v>
      </c>
      <c r="L401" s="61">
        <v>-8.3000000000001446</v>
      </c>
    </row>
    <row r="402" spans="11:12">
      <c r="K402" s="5">
        <v>400</v>
      </c>
      <c r="L402" s="61">
        <v>-33.000000000000142</v>
      </c>
    </row>
    <row r="403" spans="11:12">
      <c r="K403" s="5">
        <v>401</v>
      </c>
      <c r="L403" s="61">
        <v>-80.000000000000142</v>
      </c>
    </row>
    <row r="404" spans="11:12">
      <c r="K404" s="5">
        <v>402</v>
      </c>
      <c r="L404" s="61">
        <v>-116.60000000000014</v>
      </c>
    </row>
    <row r="405" spans="11:12">
      <c r="K405" s="5">
        <v>403</v>
      </c>
      <c r="L405" s="61">
        <v>-24.800000000000139</v>
      </c>
    </row>
    <row r="406" spans="11:12">
      <c r="K406" s="5">
        <v>404</v>
      </c>
      <c r="L406" s="61">
        <v>-32.800000000000139</v>
      </c>
    </row>
    <row r="407" spans="11:12">
      <c r="K407" s="5">
        <v>405</v>
      </c>
      <c r="L407" s="61">
        <v>-90.000000000000142</v>
      </c>
    </row>
  </sheetData>
  <sortState xmlns:xlrd2="http://schemas.microsoft.com/office/spreadsheetml/2017/richdata2" ref="N18:Q59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24118D-A79D-45FD-8B3E-73149092AC1A}">
  <sheetPr codeName="Sheet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164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15</v>
      </c>
      <c r="C2" s="121"/>
      <c r="E2" s="32" t="s">
        <v>54</v>
      </c>
      <c r="F2" s="29" t="s">
        <v>20</v>
      </c>
      <c r="G2" s="12">
        <v>11</v>
      </c>
      <c r="H2" s="93">
        <f>IF(B$17=0,0,G2/B$17)</f>
        <v>0.55000000000000004</v>
      </c>
      <c r="I2" s="55">
        <v>16</v>
      </c>
      <c r="K2" s="3">
        <v>0</v>
      </c>
      <c r="L2" s="60">
        <v>0</v>
      </c>
      <c r="N2" s="75" t="s">
        <v>103</v>
      </c>
      <c r="O2" s="82">
        <f t="shared" ref="O2:O9" si="0">IF(P2=0,0,Q2/P2)</f>
        <v>2340</v>
      </c>
      <c r="P2" s="79">
        <v>15</v>
      </c>
      <c r="Q2" s="63">
        <v>35100</v>
      </c>
    </row>
    <row r="3" spans="1:17">
      <c r="A3" s="19" t="s">
        <v>8</v>
      </c>
      <c r="B3" s="122">
        <v>121</v>
      </c>
      <c r="C3" s="123"/>
      <c r="E3" s="33" t="s">
        <v>181</v>
      </c>
      <c r="F3" s="30" t="s">
        <v>156</v>
      </c>
      <c r="G3" s="13">
        <v>10</v>
      </c>
      <c r="H3" s="94">
        <f>IF(B$17=0,0,G3/B$17)</f>
        <v>0.5</v>
      </c>
      <c r="I3" s="56">
        <v>18</v>
      </c>
      <c r="K3" s="5">
        <v>1</v>
      </c>
      <c r="L3" s="61">
        <v>11.9</v>
      </c>
      <c r="N3" s="76" t="s">
        <v>104</v>
      </c>
      <c r="O3" s="83">
        <f t="shared" si="0"/>
        <v>773.33333333333337</v>
      </c>
      <c r="P3" s="80">
        <v>15</v>
      </c>
      <c r="Q3" s="64">
        <v>11600</v>
      </c>
    </row>
    <row r="4" spans="1:17">
      <c r="A4" s="19" t="s">
        <v>6</v>
      </c>
      <c r="B4" s="124">
        <v>22.499999999999993</v>
      </c>
      <c r="C4" s="125"/>
      <c r="E4" s="33" t="s">
        <v>184</v>
      </c>
      <c r="F4" s="30" t="s">
        <v>187</v>
      </c>
      <c r="G4" s="13">
        <v>9</v>
      </c>
      <c r="H4" s="94">
        <f>IF(B$17=0,0,G4/B$17)</f>
        <v>0.45</v>
      </c>
      <c r="I4" s="56">
        <v>22</v>
      </c>
      <c r="K4" s="5">
        <v>2</v>
      </c>
      <c r="L4" s="61">
        <v>-40.200000000000003</v>
      </c>
      <c r="N4" s="76" t="s">
        <v>105</v>
      </c>
      <c r="O4" s="83">
        <f t="shared" si="0"/>
        <v>1693.3333333333333</v>
      </c>
      <c r="P4" s="80">
        <v>15</v>
      </c>
      <c r="Q4" s="64">
        <v>25400</v>
      </c>
    </row>
    <row r="5" spans="1:17">
      <c r="A5" s="19" t="s">
        <v>7</v>
      </c>
      <c r="B5" s="126">
        <f>IF(B$2=0,0,B$4/B$2)</f>
        <v>1.4999999999999996</v>
      </c>
      <c r="C5" s="127"/>
      <c r="E5" s="33" t="s">
        <v>60</v>
      </c>
      <c r="F5" s="30" t="s">
        <v>24</v>
      </c>
      <c r="G5" s="13">
        <v>7</v>
      </c>
      <c r="H5" s="94">
        <f>IF(B$17=0,0,G5/B$17)</f>
        <v>0.35</v>
      </c>
      <c r="I5" s="56">
        <v>23</v>
      </c>
      <c r="K5" s="5">
        <v>3</v>
      </c>
      <c r="L5" s="61">
        <v>-53.2</v>
      </c>
      <c r="N5" s="76" t="s">
        <v>157</v>
      </c>
      <c r="O5" s="83">
        <f>IF(P5=0,0,Q5/P5)</f>
        <v>-223.07692307692307</v>
      </c>
      <c r="P5" s="80">
        <v>13</v>
      </c>
      <c r="Q5" s="64">
        <v>-2900</v>
      </c>
    </row>
    <row r="6" spans="1:17">
      <c r="A6" s="19" t="s">
        <v>1</v>
      </c>
      <c r="B6" s="128">
        <f>IF(B$2=0,0,(B$7*1+B$8*2+B$9*3+B$10*4)/B$2)</f>
        <v>2.4666666666666668</v>
      </c>
      <c r="C6" s="129"/>
      <c r="E6" s="33" t="s">
        <v>55</v>
      </c>
      <c r="F6" s="30" t="s">
        <v>155</v>
      </c>
      <c r="G6" s="13">
        <v>6</v>
      </c>
      <c r="H6" s="94">
        <f>IF(B$17=0,0,G6/B$17)</f>
        <v>0.3</v>
      </c>
      <c r="I6" s="56">
        <v>10</v>
      </c>
      <c r="K6" s="5">
        <v>4</v>
      </c>
      <c r="L6" s="61">
        <v>-41.2</v>
      </c>
      <c r="N6" s="76" t="s">
        <v>106</v>
      </c>
      <c r="O6" s="83">
        <f t="shared" ref="O6" si="1">IF(P6=0,0,Q6/P6)</f>
        <v>-369.23076923076923</v>
      </c>
      <c r="P6" s="80">
        <v>13</v>
      </c>
      <c r="Q6" s="64">
        <v>-4800</v>
      </c>
    </row>
    <row r="7" spans="1:17">
      <c r="A7" s="19" t="s">
        <v>2</v>
      </c>
      <c r="B7" s="13">
        <v>3</v>
      </c>
      <c r="C7" s="6">
        <f t="shared" ref="C7:C12" si="2">IF(B$2=0,0,B7/B$2)</f>
        <v>0.2</v>
      </c>
      <c r="E7" s="33" t="s">
        <v>57</v>
      </c>
      <c r="F7" s="30" t="s">
        <v>21</v>
      </c>
      <c r="G7" s="13">
        <v>6</v>
      </c>
      <c r="H7" s="94">
        <f>IF(B$17=0,0,G7/B$17)</f>
        <v>0.3</v>
      </c>
      <c r="I7" s="56">
        <v>11</v>
      </c>
      <c r="K7" s="5">
        <v>5</v>
      </c>
      <c r="L7" s="61">
        <v>17.099999999999994</v>
      </c>
      <c r="N7" s="76" t="s">
        <v>107</v>
      </c>
      <c r="O7" s="83">
        <f t="shared" si="0"/>
        <v>-3244.4444444444443</v>
      </c>
      <c r="P7" s="80">
        <v>9</v>
      </c>
      <c r="Q7" s="64">
        <v>-29200</v>
      </c>
    </row>
    <row r="8" spans="1:17">
      <c r="A8" s="19" t="s">
        <v>3</v>
      </c>
      <c r="B8" s="13">
        <v>6</v>
      </c>
      <c r="C8" s="6">
        <f>IF(B$2=0,0,B8/B$2)</f>
        <v>0.4</v>
      </c>
      <c r="E8" s="33" t="s">
        <v>59</v>
      </c>
      <c r="F8" s="30" t="s">
        <v>23</v>
      </c>
      <c r="G8" s="13">
        <v>5</v>
      </c>
      <c r="H8" s="94">
        <f>IF(B$17=0,0,G8/B$17)</f>
        <v>0.25</v>
      </c>
      <c r="I8" s="56">
        <v>6</v>
      </c>
      <c r="K8" s="5">
        <v>6</v>
      </c>
      <c r="L8" s="61">
        <v>24.199999999999996</v>
      </c>
      <c r="N8" s="76" t="s">
        <v>108</v>
      </c>
      <c r="O8" s="83">
        <f t="shared" si="0"/>
        <v>-2183.3333333333335</v>
      </c>
      <c r="P8" s="80">
        <v>6</v>
      </c>
      <c r="Q8" s="64">
        <v>-13100</v>
      </c>
    </row>
    <row r="9" spans="1:17">
      <c r="A9" s="20" t="s">
        <v>4</v>
      </c>
      <c r="B9" s="14">
        <v>2</v>
      </c>
      <c r="C9" s="7">
        <f>IF(B$2=0,0,B9/B$2)</f>
        <v>0.13333333333333333</v>
      </c>
      <c r="E9" s="33" t="s">
        <v>56</v>
      </c>
      <c r="F9" s="30" t="s">
        <v>185</v>
      </c>
      <c r="G9" s="13">
        <v>4</v>
      </c>
      <c r="H9" s="94">
        <f>IF(B$17=0,0,G9/B$17)</f>
        <v>0.2</v>
      </c>
      <c r="I9" s="56">
        <v>30</v>
      </c>
      <c r="K9" s="5">
        <v>7</v>
      </c>
      <c r="L9" s="61">
        <v>32.099999999999994</v>
      </c>
      <c r="N9" s="77" t="s">
        <v>158</v>
      </c>
      <c r="O9" s="84">
        <f t="shared" si="0"/>
        <v>1350</v>
      </c>
      <c r="P9" s="81">
        <v>4</v>
      </c>
      <c r="Q9" s="65">
        <v>5400</v>
      </c>
    </row>
    <row r="10" spans="1:17">
      <c r="A10" s="20" t="s">
        <v>152</v>
      </c>
      <c r="B10" s="14">
        <v>4</v>
      </c>
      <c r="C10" s="7">
        <f>IF(B$2=0,0,B10/B$2)</f>
        <v>0.26666666666666666</v>
      </c>
      <c r="E10" s="33" t="s">
        <v>58</v>
      </c>
      <c r="F10" s="30" t="s">
        <v>22</v>
      </c>
      <c r="G10" s="13">
        <v>2</v>
      </c>
      <c r="H10" s="94">
        <f>IF(B$17=0,0,G10/B$17)</f>
        <v>0.1</v>
      </c>
      <c r="I10" s="56">
        <v>10</v>
      </c>
      <c r="K10" s="5">
        <v>8</v>
      </c>
      <c r="L10" s="61">
        <v>-11.400000000000006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9</v>
      </c>
      <c r="C11" s="7">
        <f>IF(B$2=0,0,B11/B$2)</f>
        <v>0.6</v>
      </c>
      <c r="E11" s="33" t="s">
        <v>71</v>
      </c>
      <c r="F11" s="30" t="s">
        <v>35</v>
      </c>
      <c r="G11" s="13">
        <v>2</v>
      </c>
      <c r="H11" s="94">
        <f>IF(B$17=0,0,G11/B$17)</f>
        <v>0.1</v>
      </c>
      <c r="I11" s="56">
        <v>6</v>
      </c>
      <c r="K11" s="5">
        <v>9</v>
      </c>
      <c r="L11" s="61">
        <v>-71.900000000000006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6.6666666666666666E-2</v>
      </c>
      <c r="E12" s="33" t="s">
        <v>182</v>
      </c>
      <c r="F12" s="30" t="s">
        <v>19</v>
      </c>
      <c r="G12" s="13">
        <v>1</v>
      </c>
      <c r="H12" s="94">
        <f>IF(B$17=0,0,G12/B$17)</f>
        <v>0.05</v>
      </c>
      <c r="I12" s="56">
        <v>25</v>
      </c>
      <c r="K12" s="5">
        <v>10</v>
      </c>
      <c r="L12" s="61">
        <v>-91.5</v>
      </c>
      <c r="N12" s="75" t="s">
        <v>126</v>
      </c>
      <c r="O12" s="85">
        <f>IF(P12=0,0,Q12/P12)</f>
        <v>-32.76</v>
      </c>
      <c r="P12" s="79">
        <v>5</v>
      </c>
      <c r="Q12" s="67">
        <v>-163.79999999999998</v>
      </c>
    </row>
    <row r="13" spans="1:17">
      <c r="A13" s="22" t="s">
        <v>97</v>
      </c>
      <c r="B13" s="15">
        <v>32</v>
      </c>
      <c r="C13" s="11">
        <f>IF(B$3=0,0,B13/B$3)</f>
        <v>0.26446280991735538</v>
      </c>
      <c r="E13" s="33" t="s">
        <v>67</v>
      </c>
      <c r="F13" s="30" t="s">
        <v>31</v>
      </c>
      <c r="G13" s="13">
        <v>1</v>
      </c>
      <c r="H13" s="94">
        <f>IF(B$17=0,0,G13/B$17)</f>
        <v>0.05</v>
      </c>
      <c r="I13" s="56">
        <v>5</v>
      </c>
      <c r="K13" s="5">
        <v>11</v>
      </c>
      <c r="L13" s="61">
        <v>-141.5</v>
      </c>
      <c r="N13" s="76" t="s">
        <v>127</v>
      </c>
      <c r="O13" s="86">
        <f>IF(P13=0,0,Q13/P13)</f>
        <v>27.299999999999997</v>
      </c>
      <c r="P13" s="80">
        <v>6</v>
      </c>
      <c r="Q13" s="68">
        <v>163.79999999999998</v>
      </c>
    </row>
    <row r="14" spans="1:17">
      <c r="A14" s="19" t="s">
        <v>94</v>
      </c>
      <c r="B14" s="13">
        <v>31</v>
      </c>
      <c r="C14" s="6">
        <f>IF(B$3=0,0,B14/B$3)</f>
        <v>0.256198347107438</v>
      </c>
      <c r="E14" s="33" t="s">
        <v>183</v>
      </c>
      <c r="F14" s="30" t="s">
        <v>186</v>
      </c>
      <c r="G14" s="13">
        <v>1</v>
      </c>
      <c r="H14" s="94">
        <f>IF(B$17=0,0,G14/B$17)</f>
        <v>0.05</v>
      </c>
      <c r="I14" s="56">
        <v>7</v>
      </c>
      <c r="K14" s="5">
        <v>12</v>
      </c>
      <c r="L14" s="61">
        <v>-74.900000000000006</v>
      </c>
      <c r="N14" s="76" t="s">
        <v>128</v>
      </c>
      <c r="O14" s="86">
        <f>IF(P14=0,0,Q14/P14)</f>
        <v>11.833333333333334</v>
      </c>
      <c r="P14" s="80">
        <v>3</v>
      </c>
      <c r="Q14" s="68">
        <v>35.5</v>
      </c>
    </row>
    <row r="15" spans="1:17">
      <c r="A15" s="18" t="s">
        <v>99</v>
      </c>
      <c r="B15" s="12">
        <f>B21</f>
        <v>10</v>
      </c>
      <c r="C15" s="4">
        <f>IF(B$13=0,0,B15/B$13)</f>
        <v>0.3125</v>
      </c>
      <c r="E15" s="33" t="s">
        <v>78</v>
      </c>
      <c r="F15" s="30" t="s">
        <v>42</v>
      </c>
      <c r="G15" s="13">
        <v>1</v>
      </c>
      <c r="H15" s="94">
        <f>IF(B$17=0,0,G15/B$17)</f>
        <v>0.05</v>
      </c>
      <c r="I15" s="56">
        <v>3</v>
      </c>
      <c r="K15" s="5">
        <v>13</v>
      </c>
      <c r="L15" s="61">
        <v>-2.9000000000000057</v>
      </c>
      <c r="N15" s="77" t="s">
        <v>159</v>
      </c>
      <c r="O15" s="87">
        <f>IF(P15=0,0,Q15/P15)</f>
        <v>-13</v>
      </c>
      <c r="P15" s="81">
        <v>1</v>
      </c>
      <c r="Q15" s="69">
        <v>-13</v>
      </c>
    </row>
    <row r="16" spans="1:17">
      <c r="A16" s="18" t="s">
        <v>100</v>
      </c>
      <c r="B16" s="12">
        <f>B22</f>
        <v>7</v>
      </c>
      <c r="C16" s="4">
        <f>IF(B$14=0,0,B16/B$14)</f>
        <v>0.22580645161290322</v>
      </c>
      <c r="E16" s="33" t="s">
        <v>61</v>
      </c>
      <c r="F16" s="30" t="s">
        <v>25</v>
      </c>
      <c r="G16" s="13">
        <v>0</v>
      </c>
      <c r="H16" s="94">
        <f>IF(B$17=0,0,G16/B$17)</f>
        <v>0</v>
      </c>
      <c r="I16" s="56">
        <v>5</v>
      </c>
      <c r="K16" s="5">
        <v>14</v>
      </c>
      <c r="L16" s="61">
        <v>8.9999999999999947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20</v>
      </c>
      <c r="C17" s="4">
        <f>IF(B$3=0,0,B17/B$3)</f>
        <v>0.16528925619834711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6</v>
      </c>
      <c r="K17" s="5">
        <v>15</v>
      </c>
      <c r="L17" s="61">
        <v>22.499999999999993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11</v>
      </c>
      <c r="C18" s="6">
        <f>IF(B$3=0,0,B18/B$3)</f>
        <v>9.0909090909090912E-2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1</v>
      </c>
      <c r="N18" s="75" t="s">
        <v>199</v>
      </c>
      <c r="O18" s="85">
        <f t="shared" ref="O18:O29" si="3">IF(P18=0,0,Q18/P18)</f>
        <v>57.9</v>
      </c>
      <c r="P18" s="79">
        <v>1</v>
      </c>
      <c r="Q18" s="67">
        <v>57.9</v>
      </c>
    </row>
    <row r="19" spans="1:17">
      <c r="A19" s="19" t="s">
        <v>12</v>
      </c>
      <c r="B19" s="13">
        <v>4</v>
      </c>
      <c r="C19" s="6">
        <f>IF(B$17=0,0,B19/B$17)</f>
        <v>0.2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N19" s="76" t="s">
        <v>162</v>
      </c>
      <c r="O19" s="86">
        <f t="shared" si="3"/>
        <v>34.833333333333336</v>
      </c>
      <c r="P19" s="80">
        <v>3</v>
      </c>
      <c r="Q19" s="68">
        <v>104.5</v>
      </c>
    </row>
    <row r="20" spans="1:17">
      <c r="A20" s="19" t="s">
        <v>11</v>
      </c>
      <c r="B20" s="13">
        <v>16</v>
      </c>
      <c r="C20" s="6">
        <f>IF(B$17=0,0,B20/B$17)</f>
        <v>0.8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N20" s="76" t="s">
        <v>205</v>
      </c>
      <c r="O20" s="86">
        <f t="shared" si="3"/>
        <v>20.599999999999998</v>
      </c>
      <c r="P20" s="80">
        <v>2</v>
      </c>
      <c r="Q20" s="68">
        <v>41.199999999999996</v>
      </c>
    </row>
    <row r="21" spans="1:17">
      <c r="A21" s="19" t="s">
        <v>151</v>
      </c>
      <c r="B21" s="13">
        <v>10</v>
      </c>
      <c r="C21" s="6">
        <f>IF(B$17=0,0,B21/B$17)</f>
        <v>0.5</v>
      </c>
      <c r="E21" s="33" t="s">
        <v>66</v>
      </c>
      <c r="F21" s="30" t="s">
        <v>30</v>
      </c>
      <c r="G21" s="13">
        <v>0</v>
      </c>
      <c r="H21" s="94">
        <f>IF(B$17=0,0,G21/B$17)</f>
        <v>0</v>
      </c>
      <c r="I21" s="56">
        <v>9</v>
      </c>
      <c r="N21" s="76" t="s">
        <v>195</v>
      </c>
      <c r="O21" s="86">
        <f t="shared" si="3"/>
        <v>19.399999999999999</v>
      </c>
      <c r="P21" s="80">
        <v>4</v>
      </c>
      <c r="Q21" s="68">
        <v>77.599999999999994</v>
      </c>
    </row>
    <row r="22" spans="1:17">
      <c r="A22" s="19" t="s">
        <v>149</v>
      </c>
      <c r="B22" s="13">
        <v>7</v>
      </c>
      <c r="C22" s="6">
        <f>IF(B$17=0,0,B22/B$17)</f>
        <v>0.35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1</v>
      </c>
      <c r="N22" s="76" t="s">
        <v>179</v>
      </c>
      <c r="O22" s="86">
        <f t="shared" si="3"/>
        <v>17.559999999999995</v>
      </c>
      <c r="P22" s="80">
        <v>5</v>
      </c>
      <c r="Q22" s="68">
        <v>87.799999999999983</v>
      </c>
    </row>
    <row r="23" spans="1:17">
      <c r="A23" s="19" t="s">
        <v>150</v>
      </c>
      <c r="B23" s="13">
        <v>3</v>
      </c>
      <c r="C23" s="6">
        <f>IF(B$17=0,0,B23/B$17)</f>
        <v>0.15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8</v>
      </c>
      <c r="N23" s="76" t="s">
        <v>163</v>
      </c>
      <c r="O23" s="86">
        <f t="shared" si="3"/>
        <v>12.475000000000001</v>
      </c>
      <c r="P23" s="80">
        <v>4</v>
      </c>
      <c r="Q23" s="68">
        <v>49.900000000000006</v>
      </c>
    </row>
    <row r="24" spans="1:17">
      <c r="A24" s="19" t="s">
        <v>5</v>
      </c>
      <c r="B24" s="16">
        <f>IF(B$17=0,0,C24/B$17)</f>
        <v>7355</v>
      </c>
      <c r="C24" s="8">
        <v>147100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169</v>
      </c>
      <c r="O24" s="86">
        <f t="shared" si="3"/>
        <v>7.6999999999999966</v>
      </c>
      <c r="P24" s="80">
        <v>7</v>
      </c>
      <c r="Q24" s="68">
        <v>53.899999999999977</v>
      </c>
    </row>
    <row r="25" spans="1:17">
      <c r="A25" s="20" t="s">
        <v>133</v>
      </c>
      <c r="B25" s="97">
        <f>IF($B$17-B$16=0,0,C25/($B$17-B$16))</f>
        <v>8707.6923076923085</v>
      </c>
      <c r="C25" s="98">
        <v>113200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191</v>
      </c>
      <c r="O25" s="86">
        <f t="shared" si="3"/>
        <v>4.68</v>
      </c>
      <c r="P25" s="80">
        <v>5</v>
      </c>
      <c r="Q25" s="68">
        <v>23.4</v>
      </c>
    </row>
    <row r="26" spans="1:17">
      <c r="A26" s="20" t="s">
        <v>134</v>
      </c>
      <c r="B26" s="97">
        <f>IF(B$16=0,0,C26/B$16)</f>
        <v>4842.8571428571431</v>
      </c>
      <c r="C26" s="98">
        <v>33900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161</v>
      </c>
      <c r="O26" s="86">
        <f t="shared" si="3"/>
        <v>-15.233333333333334</v>
      </c>
      <c r="P26" s="80">
        <v>3</v>
      </c>
      <c r="Q26" s="68">
        <v>-45.7</v>
      </c>
    </row>
    <row r="27" spans="1:17">
      <c r="A27" s="20" t="s">
        <v>132</v>
      </c>
      <c r="B27" s="97">
        <f>IF(B$18=0,0,C27/B$18)</f>
        <v>-5500</v>
      </c>
      <c r="C27" s="98">
        <v>-60500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12</v>
      </c>
      <c r="N27" s="76" t="s">
        <v>168</v>
      </c>
      <c r="O27" s="86">
        <f t="shared" si="3"/>
        <v>-23.255555555555549</v>
      </c>
      <c r="P27" s="80">
        <v>9</v>
      </c>
      <c r="Q27" s="68">
        <v>-209.29999999999995</v>
      </c>
    </row>
    <row r="28" spans="1:17">
      <c r="A28" s="19" t="s">
        <v>130</v>
      </c>
      <c r="B28" s="13">
        <v>2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175</v>
      </c>
      <c r="O28" s="86">
        <f t="shared" si="3"/>
        <v>-65.7</v>
      </c>
      <c r="P28" s="80">
        <v>1</v>
      </c>
      <c r="Q28" s="68">
        <v>-65.7</v>
      </c>
    </row>
    <row r="29" spans="1:17">
      <c r="A29" s="19" t="s">
        <v>131</v>
      </c>
      <c r="B29" s="13">
        <v>25</v>
      </c>
      <c r="C29" s="96">
        <v>4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5</v>
      </c>
      <c r="N29" s="76" t="s">
        <v>177</v>
      </c>
      <c r="O29" s="86">
        <f t="shared" si="3"/>
        <v>-75.5</v>
      </c>
      <c r="P29" s="80">
        <v>1</v>
      </c>
      <c r="Q29" s="68">
        <v>-75.5</v>
      </c>
    </row>
    <row r="30" spans="1:17">
      <c r="A30" s="52" t="s">
        <v>111</v>
      </c>
      <c r="B30" s="114">
        <v>4</v>
      </c>
      <c r="C30" s="115"/>
      <c r="E30" s="33" t="s">
        <v>77</v>
      </c>
      <c r="F30" s="30" t="s">
        <v>41</v>
      </c>
      <c r="G30" s="13">
        <v>0</v>
      </c>
      <c r="H30" s="94">
        <f>IF(B$17=0,0,G30/B$17)</f>
        <v>0</v>
      </c>
      <c r="I30" s="56">
        <v>16</v>
      </c>
    </row>
    <row r="31" spans="1:17">
      <c r="A31" s="22" t="s">
        <v>148</v>
      </c>
      <c r="B31" s="116">
        <v>52000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0.1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4"/>
        <v>0.1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6</v>
      </c>
      <c r="C37" s="6">
        <f t="shared" si="4"/>
        <v>0.3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4</v>
      </c>
      <c r="C38" s="6">
        <f t="shared" si="4"/>
        <v>0.2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4"/>
        <v>0.05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5</v>
      </c>
      <c r="C40" s="6">
        <f t="shared" si="4"/>
        <v>0.25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0C8980-CAF5-4585-A01E-3341A0AAF16B}">
  <sheetPr codeName="Sheet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161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10</v>
      </c>
      <c r="C2" s="121"/>
      <c r="E2" s="32" t="s">
        <v>54</v>
      </c>
      <c r="F2" s="29" t="s">
        <v>20</v>
      </c>
      <c r="G2" s="12">
        <v>11</v>
      </c>
      <c r="H2" s="93">
        <f>IF(B$17=0,0,G2/B$17)</f>
        <v>0.6875</v>
      </c>
      <c r="I2" s="55">
        <v>8</v>
      </c>
      <c r="K2" s="3">
        <v>0</v>
      </c>
      <c r="L2" s="60">
        <v>0</v>
      </c>
      <c r="N2" s="75" t="s">
        <v>103</v>
      </c>
      <c r="O2" s="82">
        <f t="shared" ref="O2:O9" si="0">IF(P2=0,0,Q2/P2)</f>
        <v>-950</v>
      </c>
      <c r="P2" s="79">
        <v>10</v>
      </c>
      <c r="Q2" s="63">
        <v>-9500</v>
      </c>
    </row>
    <row r="3" spans="1:17">
      <c r="A3" s="19" t="s">
        <v>8</v>
      </c>
      <c r="B3" s="122">
        <v>77</v>
      </c>
      <c r="C3" s="123"/>
      <c r="E3" s="33" t="s">
        <v>184</v>
      </c>
      <c r="F3" s="30" t="s">
        <v>187</v>
      </c>
      <c r="G3" s="13">
        <v>9</v>
      </c>
      <c r="H3" s="94">
        <f>IF(B$17=0,0,G3/B$17)</f>
        <v>0.5625</v>
      </c>
      <c r="I3" s="56">
        <v>9</v>
      </c>
      <c r="K3" s="5">
        <v>1</v>
      </c>
      <c r="L3" s="61">
        <v>74.900000000000006</v>
      </c>
      <c r="N3" s="76" t="s">
        <v>104</v>
      </c>
      <c r="O3" s="83">
        <f t="shared" si="0"/>
        <v>1400</v>
      </c>
      <c r="P3" s="80">
        <v>10</v>
      </c>
      <c r="Q3" s="64">
        <v>14000</v>
      </c>
    </row>
    <row r="4" spans="1:17">
      <c r="A4" s="19" t="s">
        <v>6</v>
      </c>
      <c r="B4" s="124">
        <v>-0.69999999999998863</v>
      </c>
      <c r="C4" s="125"/>
      <c r="E4" s="33" t="s">
        <v>181</v>
      </c>
      <c r="F4" s="30" t="s">
        <v>156</v>
      </c>
      <c r="G4" s="13">
        <v>7</v>
      </c>
      <c r="H4" s="94">
        <f>IF(B$17=0,0,G4/B$17)</f>
        <v>0.4375</v>
      </c>
      <c r="I4" s="56">
        <v>31</v>
      </c>
      <c r="K4" s="5">
        <v>2</v>
      </c>
      <c r="L4" s="61">
        <v>56.800000000000004</v>
      </c>
      <c r="N4" s="76" t="s">
        <v>105</v>
      </c>
      <c r="O4" s="83">
        <f t="shared" si="0"/>
        <v>1840</v>
      </c>
      <c r="P4" s="80">
        <v>10</v>
      </c>
      <c r="Q4" s="64">
        <v>18400</v>
      </c>
    </row>
    <row r="5" spans="1:17">
      <c r="A5" s="19" t="s">
        <v>7</v>
      </c>
      <c r="B5" s="126">
        <f>IF(B$2=0,0,B$4/B$2)</f>
        <v>-6.9999999999998869E-2</v>
      </c>
      <c r="C5" s="127"/>
      <c r="E5" s="33" t="s">
        <v>60</v>
      </c>
      <c r="F5" s="30" t="s">
        <v>24</v>
      </c>
      <c r="G5" s="13">
        <v>7</v>
      </c>
      <c r="H5" s="94">
        <f>IF(B$17=0,0,G5/B$17)</f>
        <v>0.4375</v>
      </c>
      <c r="I5" s="56">
        <v>14</v>
      </c>
      <c r="K5" s="5">
        <v>3</v>
      </c>
      <c r="L5" s="61">
        <v>-7.4999999999999929</v>
      </c>
      <c r="N5" s="76" t="s">
        <v>157</v>
      </c>
      <c r="O5" s="83">
        <f>IF(P5=0,0,Q5/P5)</f>
        <v>-1220</v>
      </c>
      <c r="P5" s="80">
        <v>10</v>
      </c>
      <c r="Q5" s="64">
        <v>-12200</v>
      </c>
    </row>
    <row r="6" spans="1:17">
      <c r="A6" s="19" t="s">
        <v>1</v>
      </c>
      <c r="B6" s="128">
        <f>IF(B$2=0,0,(B$7*1+B$8*2+B$9*3+B$10*4)/B$2)</f>
        <v>2.5</v>
      </c>
      <c r="C6" s="129"/>
      <c r="E6" s="33" t="s">
        <v>56</v>
      </c>
      <c r="F6" s="30" t="s">
        <v>185</v>
      </c>
      <c r="G6" s="13">
        <v>4</v>
      </c>
      <c r="H6" s="94">
        <f>IF(B$17=0,0,G6/B$17)</f>
        <v>0.25</v>
      </c>
      <c r="I6" s="56">
        <v>22</v>
      </c>
      <c r="K6" s="5">
        <v>4</v>
      </c>
      <c r="L6" s="61">
        <v>-0.89999999999999325</v>
      </c>
      <c r="N6" s="76" t="s">
        <v>106</v>
      </c>
      <c r="O6" s="83">
        <f t="shared" ref="O6" si="1">IF(P6=0,0,Q6/P6)</f>
        <v>655.55555555555554</v>
      </c>
      <c r="P6" s="80">
        <v>9</v>
      </c>
      <c r="Q6" s="64">
        <v>5900</v>
      </c>
    </row>
    <row r="7" spans="1:17">
      <c r="A7" s="19" t="s">
        <v>2</v>
      </c>
      <c r="B7" s="13">
        <v>3</v>
      </c>
      <c r="C7" s="6">
        <f t="shared" ref="C7:C12" si="2">IF(B$2=0,0,B7/B$2)</f>
        <v>0.3</v>
      </c>
      <c r="E7" s="33" t="s">
        <v>55</v>
      </c>
      <c r="F7" s="30" t="s">
        <v>155</v>
      </c>
      <c r="G7" s="13">
        <v>3</v>
      </c>
      <c r="H7" s="94">
        <f>IF(B$17=0,0,G7/B$17)</f>
        <v>0.1875</v>
      </c>
      <c r="I7" s="56">
        <v>24</v>
      </c>
      <c r="K7" s="5">
        <v>5</v>
      </c>
      <c r="L7" s="61">
        <v>-28.499999999999993</v>
      </c>
      <c r="N7" s="76" t="s">
        <v>107</v>
      </c>
      <c r="O7" s="83">
        <f t="shared" si="0"/>
        <v>-2028.5714285714287</v>
      </c>
      <c r="P7" s="80">
        <v>7</v>
      </c>
      <c r="Q7" s="64">
        <v>-14200</v>
      </c>
    </row>
    <row r="8" spans="1:17">
      <c r="A8" s="19" t="s">
        <v>3</v>
      </c>
      <c r="B8" s="13">
        <v>2</v>
      </c>
      <c r="C8" s="6">
        <f>IF(B$2=0,0,B8/B$2)</f>
        <v>0.2</v>
      </c>
      <c r="E8" s="33" t="s">
        <v>57</v>
      </c>
      <c r="F8" s="30" t="s">
        <v>21</v>
      </c>
      <c r="G8" s="13">
        <v>3</v>
      </c>
      <c r="H8" s="94">
        <f>IF(B$17=0,0,G8/B$17)</f>
        <v>0.1875</v>
      </c>
      <c r="I8" s="56">
        <v>22</v>
      </c>
      <c r="K8" s="5">
        <v>6</v>
      </c>
      <c r="L8" s="61">
        <v>-82.1</v>
      </c>
      <c r="N8" s="76" t="s">
        <v>108</v>
      </c>
      <c r="O8" s="83">
        <f t="shared" si="0"/>
        <v>-1750</v>
      </c>
      <c r="P8" s="80">
        <v>4</v>
      </c>
      <c r="Q8" s="64">
        <v>-7000</v>
      </c>
    </row>
    <row r="9" spans="1:17">
      <c r="A9" s="20" t="s">
        <v>4</v>
      </c>
      <c r="B9" s="14">
        <v>2</v>
      </c>
      <c r="C9" s="7">
        <f>IF(B$2=0,0,B9/B$2)</f>
        <v>0.2</v>
      </c>
      <c r="E9" s="33" t="s">
        <v>58</v>
      </c>
      <c r="F9" s="30" t="s">
        <v>22</v>
      </c>
      <c r="G9" s="13">
        <v>2</v>
      </c>
      <c r="H9" s="94">
        <f>IF(B$17=0,0,G9/B$17)</f>
        <v>0.125</v>
      </c>
      <c r="I9" s="56">
        <v>6</v>
      </c>
      <c r="K9" s="5">
        <v>7</v>
      </c>
      <c r="L9" s="61">
        <v>-72.199999999999989</v>
      </c>
      <c r="N9" s="77" t="s">
        <v>158</v>
      </c>
      <c r="O9" s="84">
        <f t="shared" si="0"/>
        <v>4900</v>
      </c>
      <c r="P9" s="81">
        <v>1</v>
      </c>
      <c r="Q9" s="65">
        <v>4900</v>
      </c>
    </row>
    <row r="10" spans="1:17">
      <c r="A10" s="20" t="s">
        <v>152</v>
      </c>
      <c r="B10" s="14">
        <v>3</v>
      </c>
      <c r="C10" s="7">
        <f>IF(B$2=0,0,B10/B$2)</f>
        <v>0.3</v>
      </c>
      <c r="E10" s="33" t="s">
        <v>183</v>
      </c>
      <c r="F10" s="30" t="s">
        <v>186</v>
      </c>
      <c r="G10" s="13">
        <v>2</v>
      </c>
      <c r="H10" s="94">
        <f>IF(B$17=0,0,G10/B$17)</f>
        <v>0.125</v>
      </c>
      <c r="I10" s="56">
        <v>2</v>
      </c>
      <c r="K10" s="5">
        <v>8</v>
      </c>
      <c r="L10" s="61">
        <v>-19.499999999999986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</v>
      </c>
      <c r="C11" s="7">
        <f>IF(B$2=0,0,B11/B$2)</f>
        <v>0.5</v>
      </c>
      <c r="E11" s="33" t="s">
        <v>74</v>
      </c>
      <c r="F11" s="30" t="s">
        <v>38</v>
      </c>
      <c r="G11" s="13">
        <v>2</v>
      </c>
      <c r="H11" s="94">
        <f>IF(B$17=0,0,G11/B$17)</f>
        <v>0.125</v>
      </c>
      <c r="I11" s="56">
        <v>2</v>
      </c>
      <c r="K11" s="5">
        <v>9</v>
      </c>
      <c r="L11" s="61">
        <v>-66.499999999999986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0.1</v>
      </c>
      <c r="E12" s="33" t="s">
        <v>182</v>
      </c>
      <c r="F12" s="30" t="s">
        <v>19</v>
      </c>
      <c r="G12" s="13">
        <v>1</v>
      </c>
      <c r="H12" s="94">
        <f>IF(B$17=0,0,G12/B$17)</f>
        <v>6.25E-2</v>
      </c>
      <c r="I12" s="56">
        <v>23</v>
      </c>
      <c r="K12" s="5">
        <v>10</v>
      </c>
      <c r="L12" s="61">
        <v>-0.69999999999998863</v>
      </c>
      <c r="N12" s="75" t="s">
        <v>126</v>
      </c>
      <c r="O12" s="85">
        <f>IF(P12=0,0,Q12/P12)</f>
        <v>7.1749999999999989</v>
      </c>
      <c r="P12" s="79">
        <v>4</v>
      </c>
      <c r="Q12" s="67">
        <v>28.699999999999996</v>
      </c>
    </row>
    <row r="13" spans="1:17">
      <c r="A13" s="22" t="s">
        <v>97</v>
      </c>
      <c r="B13" s="15">
        <v>13</v>
      </c>
      <c r="C13" s="11">
        <f>IF(B$3=0,0,B13/B$3)</f>
        <v>0.16883116883116883</v>
      </c>
      <c r="E13" s="33" t="s">
        <v>59</v>
      </c>
      <c r="F13" s="30" t="s">
        <v>23</v>
      </c>
      <c r="G13" s="13">
        <v>1</v>
      </c>
      <c r="H13" s="94">
        <f>IF(B$17=0,0,G13/B$17)</f>
        <v>6.25E-2</v>
      </c>
      <c r="I13" s="56">
        <v>24</v>
      </c>
      <c r="N13" s="76" t="s">
        <v>127</v>
      </c>
      <c r="O13" s="86">
        <f>IF(P13=0,0,Q13/P13)</f>
        <v>74.900000000000006</v>
      </c>
      <c r="P13" s="80">
        <v>1</v>
      </c>
      <c r="Q13" s="68">
        <v>74.900000000000006</v>
      </c>
    </row>
    <row r="14" spans="1:17">
      <c r="A14" s="19" t="s">
        <v>94</v>
      </c>
      <c r="B14" s="13">
        <v>18</v>
      </c>
      <c r="C14" s="6">
        <f>IF(B$3=0,0,B14/B$3)</f>
        <v>0.23376623376623376</v>
      </c>
      <c r="E14" s="33" t="s">
        <v>75</v>
      </c>
      <c r="F14" s="30" t="s">
        <v>39</v>
      </c>
      <c r="G14" s="13">
        <v>1</v>
      </c>
      <c r="H14" s="94">
        <f>IF(B$17=0,0,G14/B$17)</f>
        <v>6.25E-2</v>
      </c>
      <c r="I14" s="56">
        <v>1</v>
      </c>
      <c r="N14" s="76" t="s">
        <v>128</v>
      </c>
      <c r="O14" s="86">
        <f>IF(P14=0,0,Q14/P14)</f>
        <v>-19.533333333333331</v>
      </c>
      <c r="P14" s="80">
        <v>3</v>
      </c>
      <c r="Q14" s="68">
        <v>-58.599999999999994</v>
      </c>
    </row>
    <row r="15" spans="1:17">
      <c r="A15" s="18" t="s">
        <v>99</v>
      </c>
      <c r="B15" s="12">
        <f>B21</f>
        <v>7</v>
      </c>
      <c r="C15" s="4">
        <f>IF(B$13=0,0,B15/B$13)</f>
        <v>0.53846153846153844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5</v>
      </c>
      <c r="N15" s="77" t="s">
        <v>159</v>
      </c>
      <c r="O15" s="87">
        <f>IF(P15=0,0,Q15/P15)</f>
        <v>-22.85</v>
      </c>
      <c r="P15" s="81">
        <v>2</v>
      </c>
      <c r="Q15" s="69">
        <v>-45.7</v>
      </c>
    </row>
    <row r="16" spans="1:17">
      <c r="A16" s="18" t="s">
        <v>100</v>
      </c>
      <c r="B16" s="12">
        <f>B22</f>
        <v>7</v>
      </c>
      <c r="C16" s="4">
        <f>IF(B$14=0,0,B16/B$14)</f>
        <v>0.3888888888888889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16</v>
      </c>
      <c r="C17" s="4">
        <f>IF(B$3=0,0,B17/B$3)</f>
        <v>0.20779220779220781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14</v>
      </c>
      <c r="C18" s="6">
        <f>IF(B$3=0,0,B18/B$3)</f>
        <v>0.18181818181818182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N18" s="75" t="s">
        <v>162</v>
      </c>
      <c r="O18" s="85">
        <f t="shared" ref="O18:O31" si="3">IF(P18=0,0,Q18/P18)</f>
        <v>136.60000000000002</v>
      </c>
      <c r="P18" s="79">
        <v>1</v>
      </c>
      <c r="Q18" s="67">
        <v>136.60000000000002</v>
      </c>
    </row>
    <row r="19" spans="1:17">
      <c r="A19" s="19" t="s">
        <v>12</v>
      </c>
      <c r="B19" s="13">
        <v>7</v>
      </c>
      <c r="C19" s="6">
        <f>IF(B$17=0,0,B19/B$17)</f>
        <v>0.4375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N19" s="76" t="s">
        <v>216</v>
      </c>
      <c r="O19" s="86">
        <f t="shared" si="3"/>
        <v>87.9</v>
      </c>
      <c r="P19" s="80">
        <v>1</v>
      </c>
      <c r="Q19" s="68">
        <v>87.9</v>
      </c>
    </row>
    <row r="20" spans="1:17">
      <c r="A20" s="19" t="s">
        <v>11</v>
      </c>
      <c r="B20" s="13">
        <v>9</v>
      </c>
      <c r="C20" s="6">
        <f>IF(B$17=0,0,B20/B$17)</f>
        <v>0.5625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9</v>
      </c>
      <c r="N20" s="76" t="s">
        <v>223</v>
      </c>
      <c r="O20" s="86">
        <f t="shared" si="3"/>
        <v>66.399999999999991</v>
      </c>
      <c r="P20" s="80">
        <v>1</v>
      </c>
      <c r="Q20" s="68">
        <v>66.399999999999991</v>
      </c>
    </row>
    <row r="21" spans="1:17">
      <c r="A21" s="19" t="s">
        <v>151</v>
      </c>
      <c r="B21" s="13">
        <v>7</v>
      </c>
      <c r="C21" s="6">
        <f>IF(B$17=0,0,B21/B$17)</f>
        <v>0.4375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8</v>
      </c>
      <c r="N21" s="76" t="s">
        <v>213</v>
      </c>
      <c r="O21" s="86">
        <f t="shared" si="3"/>
        <v>32.56666666666667</v>
      </c>
      <c r="P21" s="80">
        <v>3</v>
      </c>
      <c r="Q21" s="68">
        <v>97.7</v>
      </c>
    </row>
    <row r="22" spans="1:17">
      <c r="A22" s="19" t="s">
        <v>149</v>
      </c>
      <c r="B22" s="13">
        <v>7</v>
      </c>
      <c r="C22" s="6">
        <f>IF(B$17=0,0,B22/B$17)</f>
        <v>0.4375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1</v>
      </c>
      <c r="N22" s="76" t="s">
        <v>199</v>
      </c>
      <c r="O22" s="86">
        <f t="shared" si="3"/>
        <v>23.9</v>
      </c>
      <c r="P22" s="80">
        <v>1</v>
      </c>
      <c r="Q22" s="68">
        <v>23.9</v>
      </c>
    </row>
    <row r="23" spans="1:17">
      <c r="A23" s="19" t="s">
        <v>150</v>
      </c>
      <c r="B23" s="13">
        <v>2</v>
      </c>
      <c r="C23" s="6">
        <f>IF(B$17=0,0,B23/B$17)</f>
        <v>0.125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8</v>
      </c>
      <c r="N23" s="76" t="s">
        <v>163</v>
      </c>
      <c r="O23" s="86">
        <f t="shared" si="3"/>
        <v>22.449999999999996</v>
      </c>
      <c r="P23" s="80">
        <v>2</v>
      </c>
      <c r="Q23" s="68">
        <v>44.899999999999991</v>
      </c>
    </row>
    <row r="24" spans="1:17">
      <c r="A24" s="19" t="s">
        <v>5</v>
      </c>
      <c r="B24" s="16">
        <f>IF(B$17=0,0,C24/B$17)</f>
        <v>7025</v>
      </c>
      <c r="C24" s="8">
        <v>112400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195</v>
      </c>
      <c r="O24" s="86">
        <f t="shared" si="3"/>
        <v>20.650000000000002</v>
      </c>
      <c r="P24" s="80">
        <v>2</v>
      </c>
      <c r="Q24" s="68">
        <v>41.300000000000004</v>
      </c>
    </row>
    <row r="25" spans="1:17">
      <c r="A25" s="20" t="s">
        <v>133</v>
      </c>
      <c r="B25" s="97">
        <f>IF($B$17-B$16=0,0,C25/($B$17-B$16))</f>
        <v>10222.222222222223</v>
      </c>
      <c r="C25" s="98">
        <v>92000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14</v>
      </c>
      <c r="N25" s="76" t="s">
        <v>164</v>
      </c>
      <c r="O25" s="86">
        <f t="shared" si="3"/>
        <v>15.233333333333334</v>
      </c>
      <c r="P25" s="80">
        <v>3</v>
      </c>
      <c r="Q25" s="68">
        <v>45.7</v>
      </c>
    </row>
    <row r="26" spans="1:17">
      <c r="A26" s="20" t="s">
        <v>134</v>
      </c>
      <c r="B26" s="97">
        <f>IF(B$16=0,0,C26/B$16)</f>
        <v>2914.2857142857142</v>
      </c>
      <c r="C26" s="98">
        <v>20400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N26" s="76" t="s">
        <v>166</v>
      </c>
      <c r="O26" s="86">
        <f t="shared" si="3"/>
        <v>13.549999999999997</v>
      </c>
      <c r="P26" s="80">
        <v>2</v>
      </c>
      <c r="Q26" s="68">
        <v>27.099999999999994</v>
      </c>
    </row>
    <row r="27" spans="1:17">
      <c r="A27" s="20" t="s">
        <v>132</v>
      </c>
      <c r="B27" s="97">
        <f>IF(B$18=0,0,C27/B$18)</f>
        <v>-6514.2857142857147</v>
      </c>
      <c r="C27" s="98">
        <v>-91200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N27" s="76" t="s">
        <v>179</v>
      </c>
      <c r="O27" s="86">
        <f t="shared" si="3"/>
        <v>-20.166666666666664</v>
      </c>
      <c r="P27" s="80">
        <v>3</v>
      </c>
      <c r="Q27" s="68">
        <v>-60.499999999999993</v>
      </c>
    </row>
    <row r="28" spans="1:17">
      <c r="A28" s="19" t="s">
        <v>130</v>
      </c>
      <c r="B28" s="13">
        <v>2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5</v>
      </c>
      <c r="N28" s="76" t="s">
        <v>168</v>
      </c>
      <c r="O28" s="86">
        <f t="shared" si="3"/>
        <v>-30.900000000000006</v>
      </c>
      <c r="P28" s="80">
        <v>3</v>
      </c>
      <c r="Q28" s="68">
        <v>-92.700000000000017</v>
      </c>
    </row>
    <row r="29" spans="1:17">
      <c r="A29" s="19" t="s">
        <v>131</v>
      </c>
      <c r="B29" s="13">
        <v>17</v>
      </c>
      <c r="C29" s="96">
        <v>4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16</v>
      </c>
      <c r="N29" s="76" t="s">
        <v>175</v>
      </c>
      <c r="O29" s="86">
        <f t="shared" si="3"/>
        <v>-31.700000000000003</v>
      </c>
      <c r="P29" s="80">
        <v>1</v>
      </c>
      <c r="Q29" s="68">
        <v>-31.700000000000003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7</v>
      </c>
      <c r="N30" s="76" t="s">
        <v>169</v>
      </c>
      <c r="O30" s="86">
        <f t="shared" si="3"/>
        <v>-40.43333333333333</v>
      </c>
      <c r="P30" s="80">
        <v>6</v>
      </c>
      <c r="Q30" s="68">
        <v>-242.59999999999997</v>
      </c>
    </row>
    <row r="31" spans="1:17">
      <c r="A31" s="22" t="s">
        <v>148</v>
      </c>
      <c r="B31" s="116">
        <v>54900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177</v>
      </c>
      <c r="O31" s="86">
        <f t="shared" si="3"/>
        <v>-126.8</v>
      </c>
      <c r="P31" s="80">
        <v>1</v>
      </c>
      <c r="Q31" s="68">
        <v>-126.8</v>
      </c>
    </row>
    <row r="32" spans="1:17">
      <c r="A32" s="21" t="s">
        <v>112</v>
      </c>
      <c r="B32" s="26">
        <v>1</v>
      </c>
      <c r="C32" s="9">
        <f>IF(B$3=0,0,B32/B$3)</f>
        <v>1.2987012987012988E-2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0.125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4</v>
      </c>
      <c r="C36" s="6">
        <f t="shared" si="4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3</v>
      </c>
      <c r="C37" s="6">
        <f t="shared" si="4"/>
        <v>0.1875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6.25E-2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3</v>
      </c>
      <c r="C39" s="6">
        <f t="shared" si="4"/>
        <v>0.1875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2</v>
      </c>
      <c r="C40" s="6">
        <f t="shared" si="4"/>
        <v>0.125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4"/>
        <v>6.25E-2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DCBBC9-AE5D-4CE1-A224-231A0A086177}">
  <sheetPr codeName="Sheet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162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</v>
      </c>
      <c r="C2" s="121"/>
      <c r="E2" s="32" t="s">
        <v>181</v>
      </c>
      <c r="F2" s="29" t="s">
        <v>156</v>
      </c>
      <c r="G2" s="12">
        <v>14</v>
      </c>
      <c r="H2" s="93">
        <f>IF(B$17=0,0,G2/B$17)</f>
        <v>0.66666666666666663</v>
      </c>
      <c r="I2" s="55">
        <v>10</v>
      </c>
      <c r="K2" s="3">
        <v>0</v>
      </c>
      <c r="L2" s="60">
        <v>0</v>
      </c>
      <c r="N2" s="75" t="s">
        <v>103</v>
      </c>
      <c r="O2" s="82">
        <f t="shared" ref="O2:O9" si="0">IF(P2=0,0,Q2/P2)</f>
        <v>-822.22222222222217</v>
      </c>
      <c r="P2" s="79">
        <v>9</v>
      </c>
      <c r="Q2" s="63">
        <v>-7400</v>
      </c>
    </row>
    <row r="3" spans="1:17">
      <c r="A3" s="19" t="s">
        <v>8</v>
      </c>
      <c r="B3" s="122">
        <v>78</v>
      </c>
      <c r="C3" s="123"/>
      <c r="E3" s="33" t="s">
        <v>54</v>
      </c>
      <c r="F3" s="30" t="s">
        <v>20</v>
      </c>
      <c r="G3" s="13">
        <v>14</v>
      </c>
      <c r="H3" s="94">
        <f>IF(B$17=0,0,G3/B$17)</f>
        <v>0.66666666666666663</v>
      </c>
      <c r="I3" s="56">
        <v>9</v>
      </c>
      <c r="K3" s="5">
        <v>1</v>
      </c>
      <c r="L3" s="61">
        <v>-61.7</v>
      </c>
      <c r="N3" s="76" t="s">
        <v>104</v>
      </c>
      <c r="O3" s="83">
        <f t="shared" si="0"/>
        <v>2755.5555555555557</v>
      </c>
      <c r="P3" s="80">
        <v>9</v>
      </c>
      <c r="Q3" s="64">
        <v>24800</v>
      </c>
    </row>
    <row r="4" spans="1:17">
      <c r="A4" s="19" t="s">
        <v>6</v>
      </c>
      <c r="B4" s="124">
        <v>268</v>
      </c>
      <c r="C4" s="125"/>
      <c r="E4" s="33" t="s">
        <v>184</v>
      </c>
      <c r="F4" s="30" t="s">
        <v>187</v>
      </c>
      <c r="G4" s="13">
        <v>13</v>
      </c>
      <c r="H4" s="94">
        <f>IF(B$17=0,0,G4/B$17)</f>
        <v>0.61904761904761907</v>
      </c>
      <c r="I4" s="56">
        <v>5</v>
      </c>
      <c r="K4" s="5">
        <v>2</v>
      </c>
      <c r="L4" s="61">
        <v>26.099999999999994</v>
      </c>
      <c r="N4" s="76" t="s">
        <v>105</v>
      </c>
      <c r="O4" s="83">
        <f t="shared" si="0"/>
        <v>2855.5555555555557</v>
      </c>
      <c r="P4" s="80">
        <v>9</v>
      </c>
      <c r="Q4" s="64">
        <v>25700</v>
      </c>
    </row>
    <row r="5" spans="1:17">
      <c r="A5" s="19" t="s">
        <v>7</v>
      </c>
      <c r="B5" s="126">
        <f>IF(B$2=0,0,B$4/B$2)</f>
        <v>29.777777777777779</v>
      </c>
      <c r="C5" s="127"/>
      <c r="E5" s="33" t="s">
        <v>60</v>
      </c>
      <c r="F5" s="30" t="s">
        <v>24</v>
      </c>
      <c r="G5" s="13">
        <v>9</v>
      </c>
      <c r="H5" s="94">
        <f>IF(B$17=0,0,G5/B$17)</f>
        <v>0.42857142857142855</v>
      </c>
      <c r="I5" s="56">
        <v>15</v>
      </c>
      <c r="K5" s="5">
        <v>3</v>
      </c>
      <c r="L5" s="61">
        <v>81.5</v>
      </c>
      <c r="N5" s="76" t="s">
        <v>157</v>
      </c>
      <c r="O5" s="83">
        <f>IF(P5=0,0,Q5/P5)</f>
        <v>1800</v>
      </c>
      <c r="P5" s="80">
        <v>9</v>
      </c>
      <c r="Q5" s="64">
        <v>16200</v>
      </c>
    </row>
    <row r="6" spans="1:17">
      <c r="A6" s="19" t="s">
        <v>1</v>
      </c>
      <c r="B6" s="128">
        <f>IF(B$2=0,0,(B$7*1+B$8*2+B$9*3+B$10*4)/B$2)</f>
        <v>1.8888888888888888</v>
      </c>
      <c r="C6" s="129"/>
      <c r="E6" s="33" t="s">
        <v>56</v>
      </c>
      <c r="F6" s="30" t="s">
        <v>185</v>
      </c>
      <c r="G6" s="13">
        <v>8</v>
      </c>
      <c r="H6" s="94">
        <f>IF(B$17=0,0,G6/B$17)</f>
        <v>0.38095238095238093</v>
      </c>
      <c r="I6" s="56">
        <v>9</v>
      </c>
      <c r="K6" s="5">
        <v>4</v>
      </c>
      <c r="L6" s="61">
        <v>65.5</v>
      </c>
      <c r="N6" s="76" t="s">
        <v>106</v>
      </c>
      <c r="O6" s="83">
        <f t="shared" ref="O6" si="1">IF(P6=0,0,Q6/P6)</f>
        <v>3788.8888888888887</v>
      </c>
      <c r="P6" s="80">
        <v>9</v>
      </c>
      <c r="Q6" s="64">
        <v>34100</v>
      </c>
    </row>
    <row r="7" spans="1:17">
      <c r="A7" s="19" t="s">
        <v>2</v>
      </c>
      <c r="B7" s="13">
        <v>6</v>
      </c>
      <c r="C7" s="6">
        <f t="shared" ref="C7:C12" si="2">IF(B$2=0,0,B7/B$2)</f>
        <v>0.66666666666666663</v>
      </c>
      <c r="E7" s="33" t="s">
        <v>57</v>
      </c>
      <c r="F7" s="30" t="s">
        <v>21</v>
      </c>
      <c r="G7" s="13">
        <v>8</v>
      </c>
      <c r="H7" s="94">
        <f>IF(B$17=0,0,G7/B$17)</f>
        <v>0.38095238095238093</v>
      </c>
      <c r="I7" s="56">
        <v>5</v>
      </c>
      <c r="K7" s="5">
        <v>5</v>
      </c>
      <c r="L7" s="61">
        <v>124</v>
      </c>
      <c r="N7" s="76" t="s">
        <v>107</v>
      </c>
      <c r="O7" s="83">
        <f t="shared" si="0"/>
        <v>466.66666666666669</v>
      </c>
      <c r="P7" s="80">
        <v>6</v>
      </c>
      <c r="Q7" s="64">
        <v>2800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182</v>
      </c>
      <c r="F8" s="30" t="s">
        <v>19</v>
      </c>
      <c r="G8" s="13">
        <v>6</v>
      </c>
      <c r="H8" s="94">
        <f>IF(B$17=0,0,G8/B$17)</f>
        <v>0.2857142857142857</v>
      </c>
      <c r="I8" s="56">
        <v>3</v>
      </c>
      <c r="K8" s="5">
        <v>6</v>
      </c>
      <c r="L8" s="61">
        <v>181.8</v>
      </c>
      <c r="N8" s="76" t="s">
        <v>108</v>
      </c>
      <c r="O8" s="83">
        <f t="shared" si="0"/>
        <v>-2140</v>
      </c>
      <c r="P8" s="80">
        <v>5</v>
      </c>
      <c r="Q8" s="64">
        <v>-10700</v>
      </c>
    </row>
    <row r="9" spans="1:17">
      <c r="A9" s="20" t="s">
        <v>4</v>
      </c>
      <c r="B9" s="14">
        <v>1</v>
      </c>
      <c r="C9" s="7">
        <f>IF(B$2=0,0,B9/B$2)</f>
        <v>0.1111111111111111</v>
      </c>
      <c r="E9" s="33" t="s">
        <v>55</v>
      </c>
      <c r="F9" s="30" t="s">
        <v>155</v>
      </c>
      <c r="G9" s="13">
        <v>3</v>
      </c>
      <c r="H9" s="94">
        <f>IF(B$17=0,0,G9/B$17)</f>
        <v>0.14285714285714285</v>
      </c>
      <c r="I9" s="56">
        <v>29</v>
      </c>
      <c r="K9" s="5">
        <v>7</v>
      </c>
      <c r="L9" s="61">
        <v>249.8</v>
      </c>
      <c r="N9" s="77" t="s">
        <v>158</v>
      </c>
      <c r="O9" s="84">
        <f t="shared" si="0"/>
        <v>-1250</v>
      </c>
      <c r="P9" s="81">
        <v>2</v>
      </c>
      <c r="Q9" s="65">
        <v>-2500</v>
      </c>
    </row>
    <row r="10" spans="1:17">
      <c r="A10" s="20" t="s">
        <v>152</v>
      </c>
      <c r="B10" s="14">
        <v>2</v>
      </c>
      <c r="C10" s="7">
        <f>IF(B$2=0,0,B10/B$2)</f>
        <v>0.22222222222222221</v>
      </c>
      <c r="E10" s="33" t="s">
        <v>58</v>
      </c>
      <c r="F10" s="30" t="s">
        <v>22</v>
      </c>
      <c r="G10" s="13">
        <v>2</v>
      </c>
      <c r="H10" s="94">
        <f>IF(B$17=0,0,G10/B$17)</f>
        <v>9.5238095238095233E-2</v>
      </c>
      <c r="I10" s="56">
        <v>11</v>
      </c>
      <c r="K10" s="5">
        <v>8</v>
      </c>
      <c r="L10" s="61">
        <v>317.39999999999998</v>
      </c>
      <c r="N10" s="10"/>
      <c r="O10" s="88"/>
      <c r="P10" s="72"/>
      <c r="Q10" s="70"/>
    </row>
    <row r="11" spans="1:17">
      <c r="A11" s="20" t="s">
        <v>153</v>
      </c>
      <c r="B11" s="14">
        <f>B7+B8</f>
        <v>6</v>
      </c>
      <c r="C11" s="7">
        <f>IF(B$2=0,0,B11/B$2)</f>
        <v>0.66666666666666663</v>
      </c>
      <c r="E11" s="33" t="s">
        <v>59</v>
      </c>
      <c r="F11" s="30" t="s">
        <v>23</v>
      </c>
      <c r="G11" s="13">
        <v>2</v>
      </c>
      <c r="H11" s="94">
        <f>IF(B$17=0,0,G11/B$17)</f>
        <v>9.5238095238095233E-2</v>
      </c>
      <c r="I11" s="56">
        <v>19</v>
      </c>
      <c r="K11" s="5">
        <v>9</v>
      </c>
      <c r="L11" s="61">
        <v>268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0.1111111111111111</v>
      </c>
      <c r="E12" s="33" t="s">
        <v>183</v>
      </c>
      <c r="F12" s="30" t="s">
        <v>186</v>
      </c>
      <c r="G12" s="13">
        <v>1</v>
      </c>
      <c r="H12" s="94">
        <f>IF(B$17=0,0,G12/B$17)</f>
        <v>4.7619047619047616E-2</v>
      </c>
      <c r="I12" s="56">
        <v>9</v>
      </c>
      <c r="N12" s="75" t="s">
        <v>126</v>
      </c>
      <c r="O12" s="85">
        <f>IF(P12=0,0,Q12/P12)</f>
        <v>35.999999999999993</v>
      </c>
      <c r="P12" s="79">
        <v>4</v>
      </c>
      <c r="Q12" s="67">
        <v>143.99999999999997</v>
      </c>
    </row>
    <row r="13" spans="1:17">
      <c r="A13" s="22" t="s">
        <v>97</v>
      </c>
      <c r="B13" s="15">
        <v>20</v>
      </c>
      <c r="C13" s="11">
        <f>IF(B$3=0,0,B13/B$3)</f>
        <v>0.25641025641025639</v>
      </c>
      <c r="E13" s="33" t="s">
        <v>71</v>
      </c>
      <c r="F13" s="30" t="s">
        <v>35</v>
      </c>
      <c r="G13" s="13">
        <v>1</v>
      </c>
      <c r="H13" s="94">
        <f>IF(B$17=0,0,G13/B$17)</f>
        <v>4.7619047619047616E-2</v>
      </c>
      <c r="I13" s="56">
        <v>10</v>
      </c>
      <c r="N13" s="76" t="s">
        <v>127</v>
      </c>
      <c r="O13" s="86">
        <f>IF(P13=0,0,Q13/P13)</f>
        <v>58.5</v>
      </c>
      <c r="P13" s="80">
        <v>1</v>
      </c>
      <c r="Q13" s="68">
        <v>58.5</v>
      </c>
    </row>
    <row r="14" spans="1:17">
      <c r="A14" s="19" t="s">
        <v>94</v>
      </c>
      <c r="B14" s="13">
        <v>9</v>
      </c>
      <c r="C14" s="6">
        <f>IF(B$3=0,0,B14/B$3)</f>
        <v>0.11538461538461539</v>
      </c>
      <c r="E14" s="33" t="s">
        <v>74</v>
      </c>
      <c r="F14" s="30" t="s">
        <v>38</v>
      </c>
      <c r="G14" s="13">
        <v>1</v>
      </c>
      <c r="H14" s="94">
        <f>IF(B$17=0,0,G14/B$17)</f>
        <v>4.7619047619047616E-2</v>
      </c>
      <c r="I14" s="56">
        <v>8</v>
      </c>
      <c r="N14" s="76" t="s">
        <v>128</v>
      </c>
      <c r="O14" s="86">
        <f>IF(P14=0,0,Q14/P14)</f>
        <v>16.375</v>
      </c>
      <c r="P14" s="80">
        <v>4</v>
      </c>
      <c r="Q14" s="68">
        <v>65.5</v>
      </c>
    </row>
    <row r="15" spans="1:17">
      <c r="A15" s="18" t="s">
        <v>99</v>
      </c>
      <c r="B15" s="12">
        <f>B21</f>
        <v>15</v>
      </c>
      <c r="C15" s="4">
        <f>IF(B$13=0,0,B15/B$13)</f>
        <v>0.75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5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5</v>
      </c>
      <c r="C16" s="4">
        <f>IF(B$14=0,0,B16/B$14)</f>
        <v>0.55555555555555558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21</v>
      </c>
      <c r="C17" s="4">
        <f>IF(B$3=0,0,B17/B$3)</f>
        <v>0.26923076923076922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10</v>
      </c>
      <c r="C18" s="6">
        <f>IF(B$3=0,0,B18/B$3)</f>
        <v>0.12820512820512819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N18" s="75" t="s">
        <v>177</v>
      </c>
      <c r="O18" s="85">
        <f t="shared" ref="O18:O30" si="3">IF(P18=0,0,Q18/P18)</f>
        <v>146.4</v>
      </c>
      <c r="P18" s="79">
        <v>1</v>
      </c>
      <c r="Q18" s="67">
        <v>146.4</v>
      </c>
    </row>
    <row r="19" spans="1:17">
      <c r="A19" s="19" t="s">
        <v>12</v>
      </c>
      <c r="B19" s="13">
        <v>9</v>
      </c>
      <c r="C19" s="6">
        <f>IF(B$17=0,0,B19/B$17)</f>
        <v>0.42857142857142855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N19" s="76" t="s">
        <v>168</v>
      </c>
      <c r="O19" s="86">
        <f t="shared" si="3"/>
        <v>103.9</v>
      </c>
      <c r="P19" s="80">
        <v>1</v>
      </c>
      <c r="Q19" s="68">
        <v>103.9</v>
      </c>
    </row>
    <row r="20" spans="1:17">
      <c r="A20" s="19" t="s">
        <v>11</v>
      </c>
      <c r="B20" s="13">
        <v>12</v>
      </c>
      <c r="C20" s="6">
        <f>IF(B$17=0,0,B20/B$17)</f>
        <v>0.5714285714285714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9</v>
      </c>
      <c r="N20" s="76" t="s">
        <v>199</v>
      </c>
      <c r="O20" s="86">
        <f t="shared" si="3"/>
        <v>101.3</v>
      </c>
      <c r="P20" s="80">
        <v>1</v>
      </c>
      <c r="Q20" s="68">
        <v>101.3</v>
      </c>
    </row>
    <row r="21" spans="1:17">
      <c r="A21" s="19" t="s">
        <v>151</v>
      </c>
      <c r="B21" s="13">
        <v>15</v>
      </c>
      <c r="C21" s="6">
        <f>IF(B$17=0,0,B21/B$17)</f>
        <v>0.7142857142857143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8</v>
      </c>
      <c r="N21" s="76" t="s">
        <v>213</v>
      </c>
      <c r="O21" s="86">
        <f t="shared" si="3"/>
        <v>87.5</v>
      </c>
      <c r="P21" s="80">
        <v>1</v>
      </c>
      <c r="Q21" s="68">
        <v>87.5</v>
      </c>
    </row>
    <row r="22" spans="1:17">
      <c r="A22" s="19" t="s">
        <v>149</v>
      </c>
      <c r="B22" s="13">
        <v>5</v>
      </c>
      <c r="C22" s="6">
        <f>IF(B$17=0,0,B22/B$17)</f>
        <v>0.23809523809523808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1</v>
      </c>
      <c r="N22" s="76" t="s">
        <v>166</v>
      </c>
      <c r="O22" s="86">
        <f t="shared" si="3"/>
        <v>84.1</v>
      </c>
      <c r="P22" s="80">
        <v>1</v>
      </c>
      <c r="Q22" s="68">
        <v>84.1</v>
      </c>
    </row>
    <row r="23" spans="1:17">
      <c r="A23" s="19" t="s">
        <v>150</v>
      </c>
      <c r="B23" s="13">
        <v>1</v>
      </c>
      <c r="C23" s="6">
        <f>IF(B$17=0,0,B23/B$17)</f>
        <v>4.7619047619047616E-2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8</v>
      </c>
      <c r="N23" s="76" t="s">
        <v>179</v>
      </c>
      <c r="O23" s="86">
        <f t="shared" si="3"/>
        <v>78.900000000000006</v>
      </c>
      <c r="P23" s="80">
        <v>2</v>
      </c>
      <c r="Q23" s="68">
        <v>157.80000000000001</v>
      </c>
    </row>
    <row r="24" spans="1:17">
      <c r="A24" s="19" t="s">
        <v>5</v>
      </c>
      <c r="B24" s="16">
        <f>IF(B$17=0,0,C24/B$17)</f>
        <v>7942.8571428571431</v>
      </c>
      <c r="C24" s="8">
        <v>166800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191</v>
      </c>
      <c r="O24" s="86">
        <f t="shared" si="3"/>
        <v>47.8</v>
      </c>
      <c r="P24" s="80">
        <v>1</v>
      </c>
      <c r="Q24" s="68">
        <v>47.8</v>
      </c>
    </row>
    <row r="25" spans="1:17">
      <c r="A25" s="20" t="s">
        <v>133</v>
      </c>
      <c r="B25" s="97">
        <f>IF($B$17-B$16=0,0,C25/($B$17-B$16))</f>
        <v>8118.75</v>
      </c>
      <c r="C25" s="98">
        <v>129900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195</v>
      </c>
      <c r="O25" s="86">
        <f t="shared" si="3"/>
        <v>43.699999999999982</v>
      </c>
      <c r="P25" s="80">
        <v>4</v>
      </c>
      <c r="Q25" s="68">
        <v>174.79999999999993</v>
      </c>
    </row>
    <row r="26" spans="1:17">
      <c r="A26" s="20" t="s">
        <v>134</v>
      </c>
      <c r="B26" s="97">
        <f>IF(B$16=0,0,C26/B$16)</f>
        <v>7380</v>
      </c>
      <c r="C26" s="98">
        <v>36900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169</v>
      </c>
      <c r="O26" s="86">
        <f t="shared" si="3"/>
        <v>38.019999999999996</v>
      </c>
      <c r="P26" s="80">
        <v>5</v>
      </c>
      <c r="Q26" s="68">
        <v>190.1</v>
      </c>
    </row>
    <row r="27" spans="1:17">
      <c r="A27" s="20" t="s">
        <v>132</v>
      </c>
      <c r="B27" s="97">
        <f>IF(B$18=0,0,C27/B$18)</f>
        <v>-5000</v>
      </c>
      <c r="C27" s="98">
        <v>-50000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163</v>
      </c>
      <c r="O27" s="86">
        <f t="shared" si="3"/>
        <v>37.875</v>
      </c>
      <c r="P27" s="80">
        <v>4</v>
      </c>
      <c r="Q27" s="68">
        <v>151.5</v>
      </c>
    </row>
    <row r="28" spans="1:17">
      <c r="A28" s="19" t="s">
        <v>130</v>
      </c>
      <c r="B28" s="13">
        <v>3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5</v>
      </c>
      <c r="N28" s="76" t="s">
        <v>216</v>
      </c>
      <c r="O28" s="86">
        <f t="shared" si="3"/>
        <v>33.949999999999996</v>
      </c>
      <c r="P28" s="80">
        <v>2</v>
      </c>
      <c r="Q28" s="68">
        <v>67.899999999999991</v>
      </c>
    </row>
    <row r="29" spans="1:17">
      <c r="A29" s="19" t="s">
        <v>131</v>
      </c>
      <c r="B29" s="13">
        <v>26</v>
      </c>
      <c r="C29" s="96">
        <v>0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16</v>
      </c>
      <c r="N29" s="76" t="s">
        <v>164</v>
      </c>
      <c r="O29" s="86">
        <f t="shared" si="3"/>
        <v>-34.833333333333336</v>
      </c>
      <c r="P29" s="80">
        <v>3</v>
      </c>
      <c r="Q29" s="68">
        <v>-104.5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7</v>
      </c>
      <c r="N30" s="76" t="s">
        <v>161</v>
      </c>
      <c r="O30" s="86">
        <f t="shared" si="3"/>
        <v>-136.60000000000002</v>
      </c>
      <c r="P30" s="80">
        <v>1</v>
      </c>
      <c r="Q30" s="68">
        <v>-136.60000000000002</v>
      </c>
    </row>
    <row r="31" spans="1:17">
      <c r="A31" s="22" t="s">
        <v>148</v>
      </c>
      <c r="B31" s="116">
        <v>67800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9.5238095238095233E-2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4"/>
        <v>4.7619047619047616E-2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4</v>
      </c>
      <c r="C37" s="6">
        <f t="shared" si="4"/>
        <v>0.19047619047619047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6</v>
      </c>
      <c r="C38" s="6">
        <f t="shared" si="4"/>
        <v>0.2857142857142857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4</v>
      </c>
      <c r="C39" s="6">
        <f t="shared" si="4"/>
        <v>0.19047619047619047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4</v>
      </c>
      <c r="C40" s="6">
        <f t="shared" si="4"/>
        <v>0.19047619047619047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1DD3C-6E4C-4D6C-A53E-79D3270E1A67}">
  <sheetPr codeName="Sheet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163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8</v>
      </c>
      <c r="C2" s="121"/>
      <c r="E2" s="32" t="s">
        <v>60</v>
      </c>
      <c r="F2" s="29" t="s">
        <v>24</v>
      </c>
      <c r="G2" s="12">
        <v>9</v>
      </c>
      <c r="H2" s="93">
        <f>IF(B$17=0,0,G2/B$17)</f>
        <v>0.6</v>
      </c>
      <c r="I2" s="55">
        <v>9</v>
      </c>
      <c r="K2" s="3">
        <v>0</v>
      </c>
      <c r="L2" s="60">
        <v>0</v>
      </c>
      <c r="N2" s="75" t="s">
        <v>103</v>
      </c>
      <c r="O2" s="82">
        <f t="shared" ref="O2:O9" si="0">IF(P2=0,0,Q2/P2)</f>
        <v>-762.5</v>
      </c>
      <c r="P2" s="79">
        <v>8</v>
      </c>
      <c r="Q2" s="63">
        <v>-6100</v>
      </c>
    </row>
    <row r="3" spans="1:17">
      <c r="A3" s="19" t="s">
        <v>8</v>
      </c>
      <c r="B3" s="122">
        <v>69</v>
      </c>
      <c r="C3" s="123"/>
      <c r="E3" s="33" t="s">
        <v>181</v>
      </c>
      <c r="F3" s="30" t="s">
        <v>156</v>
      </c>
      <c r="G3" s="13">
        <v>6</v>
      </c>
      <c r="H3" s="94">
        <f>IF(B$17=0,0,G3/B$17)</f>
        <v>0.4</v>
      </c>
      <c r="I3" s="56">
        <v>33</v>
      </c>
      <c r="K3" s="5">
        <v>1</v>
      </c>
      <c r="L3" s="61">
        <v>-25.1</v>
      </c>
      <c r="N3" s="76" t="s">
        <v>104</v>
      </c>
      <c r="O3" s="83">
        <f t="shared" si="0"/>
        <v>-975</v>
      </c>
      <c r="P3" s="80">
        <v>8</v>
      </c>
      <c r="Q3" s="64">
        <v>-7800</v>
      </c>
    </row>
    <row r="4" spans="1:17">
      <c r="A4" s="19" t="s">
        <v>6</v>
      </c>
      <c r="B4" s="124">
        <v>20.300000000000004</v>
      </c>
      <c r="C4" s="125"/>
      <c r="E4" s="33" t="s">
        <v>54</v>
      </c>
      <c r="F4" s="30" t="s">
        <v>20</v>
      </c>
      <c r="G4" s="13">
        <v>6</v>
      </c>
      <c r="H4" s="94">
        <f>IF(B$17=0,0,G4/B$17)</f>
        <v>0.4</v>
      </c>
      <c r="I4" s="56">
        <v>26</v>
      </c>
      <c r="K4" s="5">
        <v>2</v>
      </c>
      <c r="L4" s="61">
        <v>-75.7</v>
      </c>
      <c r="N4" s="76" t="s">
        <v>105</v>
      </c>
      <c r="O4" s="83">
        <f t="shared" si="0"/>
        <v>-312.5</v>
      </c>
      <c r="P4" s="80">
        <v>8</v>
      </c>
      <c r="Q4" s="64">
        <v>-2500</v>
      </c>
    </row>
    <row r="5" spans="1:17">
      <c r="A5" s="19" t="s">
        <v>7</v>
      </c>
      <c r="B5" s="126">
        <f>IF(B$2=0,0,B$4/B$2)</f>
        <v>2.5375000000000005</v>
      </c>
      <c r="C5" s="127"/>
      <c r="E5" s="33" t="s">
        <v>56</v>
      </c>
      <c r="F5" s="30" t="s">
        <v>185</v>
      </c>
      <c r="G5" s="13">
        <v>4</v>
      </c>
      <c r="H5" s="94">
        <f>IF(B$17=0,0,G5/B$17)</f>
        <v>0.26666666666666666</v>
      </c>
      <c r="I5" s="56">
        <v>19</v>
      </c>
      <c r="K5" s="5">
        <v>3</v>
      </c>
      <c r="L5" s="61">
        <v>-14</v>
      </c>
      <c r="N5" s="76" t="s">
        <v>157</v>
      </c>
      <c r="O5" s="83">
        <f>IF(P5=0,0,Q5/P5)</f>
        <v>-1387.5</v>
      </c>
      <c r="P5" s="80">
        <v>8</v>
      </c>
      <c r="Q5" s="64">
        <v>-11100</v>
      </c>
    </row>
    <row r="6" spans="1:17">
      <c r="A6" s="19" t="s">
        <v>1</v>
      </c>
      <c r="B6" s="128">
        <f>IF(B$2=0,0,(B$7*1+B$8*2+B$9*3+B$10*4)/B$2)</f>
        <v>2.5</v>
      </c>
      <c r="C6" s="129"/>
      <c r="E6" s="33" t="s">
        <v>57</v>
      </c>
      <c r="F6" s="30" t="s">
        <v>21</v>
      </c>
      <c r="G6" s="13">
        <v>4</v>
      </c>
      <c r="H6" s="94">
        <f>IF(B$17=0,0,G6/B$17)</f>
        <v>0.26666666666666666</v>
      </c>
      <c r="I6" s="56">
        <v>12</v>
      </c>
      <c r="K6" s="5">
        <v>4</v>
      </c>
      <c r="L6" s="61">
        <v>40.700000000000003</v>
      </c>
      <c r="N6" s="76" t="s">
        <v>106</v>
      </c>
      <c r="O6" s="83">
        <f t="shared" ref="O6" si="1">IF(P6=0,0,Q6/P6)</f>
        <v>25</v>
      </c>
      <c r="P6" s="80">
        <v>8</v>
      </c>
      <c r="Q6" s="64">
        <v>200</v>
      </c>
    </row>
    <row r="7" spans="1:17">
      <c r="A7" s="19" t="s">
        <v>2</v>
      </c>
      <c r="B7" s="13">
        <v>3</v>
      </c>
      <c r="C7" s="6">
        <f t="shared" ref="C7:C12" si="2">IF(B$2=0,0,B7/B$2)</f>
        <v>0.375</v>
      </c>
      <c r="E7" s="33" t="s">
        <v>184</v>
      </c>
      <c r="F7" s="30" t="s">
        <v>187</v>
      </c>
      <c r="G7" s="13">
        <v>4</v>
      </c>
      <c r="H7" s="94">
        <f>IF(B$17=0,0,G7/B$17)</f>
        <v>0.26666666666666666</v>
      </c>
      <c r="I7" s="56">
        <v>34</v>
      </c>
      <c r="K7" s="5">
        <v>5</v>
      </c>
      <c r="L7" s="61">
        <v>97</v>
      </c>
      <c r="N7" s="76" t="s">
        <v>107</v>
      </c>
      <c r="O7" s="83">
        <f t="shared" si="0"/>
        <v>2957.1428571428573</v>
      </c>
      <c r="P7" s="80">
        <v>7</v>
      </c>
      <c r="Q7" s="64">
        <v>20700</v>
      </c>
    </row>
    <row r="8" spans="1:17">
      <c r="A8" s="19" t="s">
        <v>3</v>
      </c>
      <c r="B8" s="13">
        <v>1</v>
      </c>
      <c r="C8" s="6">
        <f>IF(B$2=0,0,B8/B$2)</f>
        <v>0.125</v>
      </c>
      <c r="E8" s="33" t="s">
        <v>59</v>
      </c>
      <c r="F8" s="30" t="s">
        <v>23</v>
      </c>
      <c r="G8" s="13">
        <v>3</v>
      </c>
      <c r="H8" s="94">
        <f>IF(B$17=0,0,G8/B$17)</f>
        <v>0.2</v>
      </c>
      <c r="I8" s="56">
        <v>13</v>
      </c>
      <c r="K8" s="5">
        <v>6</v>
      </c>
      <c r="L8" s="61">
        <v>50.2</v>
      </c>
      <c r="N8" s="76" t="s">
        <v>108</v>
      </c>
      <c r="O8" s="83">
        <f t="shared" si="0"/>
        <v>533.33333333333337</v>
      </c>
      <c r="P8" s="80">
        <v>6</v>
      </c>
      <c r="Q8" s="64">
        <v>3200</v>
      </c>
    </row>
    <row r="9" spans="1:17">
      <c r="A9" s="20" t="s">
        <v>4</v>
      </c>
      <c r="B9" s="14">
        <v>1</v>
      </c>
      <c r="C9" s="7">
        <f>IF(B$2=0,0,B9/B$2)</f>
        <v>0.125</v>
      </c>
      <c r="E9" s="33" t="s">
        <v>71</v>
      </c>
      <c r="F9" s="30" t="s">
        <v>35</v>
      </c>
      <c r="G9" s="13">
        <v>3</v>
      </c>
      <c r="H9" s="94">
        <f>IF(B$17=0,0,G9/B$17)</f>
        <v>0.2</v>
      </c>
      <c r="I9" s="56">
        <v>3</v>
      </c>
      <c r="K9" s="5">
        <v>7</v>
      </c>
      <c r="L9" s="61">
        <v>59.800000000000004</v>
      </c>
      <c r="N9" s="77" t="s">
        <v>158</v>
      </c>
      <c r="O9" s="84">
        <f t="shared" si="0"/>
        <v>1233.3333333333333</v>
      </c>
      <c r="P9" s="81">
        <v>3</v>
      </c>
      <c r="Q9" s="65">
        <v>3700</v>
      </c>
    </row>
    <row r="10" spans="1:17">
      <c r="A10" s="20" t="s">
        <v>152</v>
      </c>
      <c r="B10" s="14">
        <v>3</v>
      </c>
      <c r="C10" s="7">
        <f>IF(B$2=0,0,B10/B$2)</f>
        <v>0.375</v>
      </c>
      <c r="E10" s="33" t="s">
        <v>55</v>
      </c>
      <c r="F10" s="30" t="s">
        <v>155</v>
      </c>
      <c r="G10" s="13">
        <v>2</v>
      </c>
      <c r="H10" s="94">
        <f>IF(B$17=0,0,G10/B$17)</f>
        <v>0.13333333333333333</v>
      </c>
      <c r="I10" s="56">
        <v>31</v>
      </c>
      <c r="K10" s="5">
        <v>8</v>
      </c>
      <c r="L10" s="61">
        <v>20.300000000000004</v>
      </c>
      <c r="N10" s="10"/>
      <c r="O10" s="88"/>
      <c r="P10" s="72"/>
      <c r="Q10" s="70"/>
    </row>
    <row r="11" spans="1:17">
      <c r="A11" s="20" t="s">
        <v>153</v>
      </c>
      <c r="B11" s="14">
        <f>B7+B8</f>
        <v>4</v>
      </c>
      <c r="C11" s="7">
        <f>IF(B$2=0,0,B11/B$2)</f>
        <v>0.5</v>
      </c>
      <c r="E11" s="33" t="s">
        <v>182</v>
      </c>
      <c r="F11" s="30" t="s">
        <v>19</v>
      </c>
      <c r="G11" s="13">
        <v>1</v>
      </c>
      <c r="H11" s="94">
        <f>IF(B$17=0,0,G11/B$17)</f>
        <v>6.6666666666666666E-2</v>
      </c>
      <c r="I11" s="56">
        <v>22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67</v>
      </c>
      <c r="F12" s="30" t="s">
        <v>31</v>
      </c>
      <c r="G12" s="13">
        <v>1</v>
      </c>
      <c r="H12" s="94">
        <f>IF(B$17=0,0,G12/B$17)</f>
        <v>6.6666666666666666E-2</v>
      </c>
      <c r="I12" s="56">
        <v>3</v>
      </c>
      <c r="N12" s="75" t="s">
        <v>126</v>
      </c>
      <c r="O12" s="85">
        <f>IF(P12=0,0,Q12/P12)</f>
        <v>-48.7</v>
      </c>
      <c r="P12" s="79">
        <v>2</v>
      </c>
      <c r="Q12" s="67">
        <v>-97.4</v>
      </c>
    </row>
    <row r="13" spans="1:17">
      <c r="A13" s="22" t="s">
        <v>97</v>
      </c>
      <c r="B13" s="15">
        <v>14</v>
      </c>
      <c r="C13" s="11">
        <f>IF(B$3=0,0,B13/B$3)</f>
        <v>0.20289855072463769</v>
      </c>
      <c r="E13" s="33" t="s">
        <v>72</v>
      </c>
      <c r="F13" s="30" t="s">
        <v>36</v>
      </c>
      <c r="G13" s="13">
        <v>1</v>
      </c>
      <c r="H13" s="94">
        <f>IF(B$17=0,0,G13/B$17)</f>
        <v>6.6666666666666666E-2</v>
      </c>
      <c r="I13" s="56">
        <v>1</v>
      </c>
      <c r="N13" s="76" t="s">
        <v>127</v>
      </c>
      <c r="O13" s="86">
        <f>IF(P13=0,0,Q13/P13)</f>
        <v>61.7</v>
      </c>
      <c r="P13" s="80">
        <v>1</v>
      </c>
      <c r="Q13" s="68">
        <v>61.7</v>
      </c>
    </row>
    <row r="14" spans="1:17">
      <c r="A14" s="19" t="s">
        <v>94</v>
      </c>
      <c r="B14" s="13">
        <v>22</v>
      </c>
      <c r="C14" s="6">
        <f>IF(B$3=0,0,B14/B$3)</f>
        <v>0.3188405797101449</v>
      </c>
      <c r="E14" s="33" t="s">
        <v>74</v>
      </c>
      <c r="F14" s="30" t="s">
        <v>38</v>
      </c>
      <c r="G14" s="13">
        <v>1</v>
      </c>
      <c r="H14" s="94">
        <f>IF(B$17=0,0,G14/B$17)</f>
        <v>6.6666666666666666E-2</v>
      </c>
      <c r="I14" s="56">
        <v>6</v>
      </c>
      <c r="N14" s="76" t="s">
        <v>128</v>
      </c>
      <c r="O14" s="86">
        <f>IF(P14=0,0,Q14/P14)</f>
        <v>-14.95</v>
      </c>
      <c r="P14" s="80">
        <v>2</v>
      </c>
      <c r="Q14" s="68">
        <v>-29.9</v>
      </c>
    </row>
    <row r="15" spans="1:17">
      <c r="A15" s="18" t="s">
        <v>99</v>
      </c>
      <c r="B15" s="12">
        <f>B21</f>
        <v>7</v>
      </c>
      <c r="C15" s="4">
        <f>IF(B$13=0,0,B15/B$13)</f>
        <v>0.5</v>
      </c>
      <c r="E15" s="33" t="s">
        <v>58</v>
      </c>
      <c r="F15" s="30" t="s">
        <v>22</v>
      </c>
      <c r="G15" s="13">
        <v>0</v>
      </c>
      <c r="H15" s="94">
        <f>IF(B$17=0,0,G15/B$17)</f>
        <v>0</v>
      </c>
      <c r="I15" s="56">
        <v>24</v>
      </c>
      <c r="N15" s="77" t="s">
        <v>159</v>
      </c>
      <c r="O15" s="87">
        <f>IF(P15=0,0,Q15/P15)</f>
        <v>28.633333333333336</v>
      </c>
      <c r="P15" s="81">
        <v>3</v>
      </c>
      <c r="Q15" s="69">
        <v>85.9</v>
      </c>
    </row>
    <row r="16" spans="1:17">
      <c r="A16" s="18" t="s">
        <v>100</v>
      </c>
      <c r="B16" s="12">
        <f>B22</f>
        <v>7</v>
      </c>
      <c r="C16" s="4">
        <f>IF(B$14=0,0,B16/B$14)</f>
        <v>0.31818181818181818</v>
      </c>
      <c r="E16" s="33" t="s">
        <v>61</v>
      </c>
      <c r="F16" s="30" t="s">
        <v>25</v>
      </c>
      <c r="G16" s="13">
        <v>0</v>
      </c>
      <c r="H16" s="94">
        <f>IF(B$17=0,0,G16/B$17)</f>
        <v>0</v>
      </c>
      <c r="I16" s="56">
        <v>5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15</v>
      </c>
      <c r="C17" s="4">
        <f>IF(B$3=0,0,B17/B$3)</f>
        <v>0.21739130434782608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6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8</v>
      </c>
      <c r="C18" s="6">
        <f>IF(B$3=0,0,B18/B$3)</f>
        <v>0.11594202898550725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1</v>
      </c>
      <c r="N18" s="75" t="s">
        <v>168</v>
      </c>
      <c r="O18" s="85">
        <f t="shared" ref="O18:O26" si="3">IF(P18=0,0,Q18/P18)</f>
        <v>92.550000000000011</v>
      </c>
      <c r="P18" s="79">
        <v>4</v>
      </c>
      <c r="Q18" s="67">
        <v>370.20000000000005</v>
      </c>
    </row>
    <row r="19" spans="1:17">
      <c r="A19" s="19" t="s">
        <v>12</v>
      </c>
      <c r="B19" s="13">
        <v>9</v>
      </c>
      <c r="C19" s="6">
        <f>IF(B$17=0,0,B19/B$17)</f>
        <v>0.6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N19" s="76" t="s">
        <v>195</v>
      </c>
      <c r="O19" s="86">
        <f t="shared" si="3"/>
        <v>30.9</v>
      </c>
      <c r="P19" s="80">
        <v>1</v>
      </c>
      <c r="Q19" s="68">
        <v>30.9</v>
      </c>
    </row>
    <row r="20" spans="1:17">
      <c r="A20" s="19" t="s">
        <v>11</v>
      </c>
      <c r="B20" s="13">
        <v>6</v>
      </c>
      <c r="C20" s="6">
        <f>IF(B$17=0,0,B20/B$17)</f>
        <v>0.4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N20" s="76" t="s">
        <v>191</v>
      </c>
      <c r="O20" s="86">
        <f t="shared" si="3"/>
        <v>14.475</v>
      </c>
      <c r="P20" s="80">
        <v>4</v>
      </c>
      <c r="Q20" s="68">
        <v>57.9</v>
      </c>
    </row>
    <row r="21" spans="1:17">
      <c r="A21" s="19" t="s">
        <v>151</v>
      </c>
      <c r="B21" s="13">
        <v>7</v>
      </c>
      <c r="C21" s="6">
        <f>IF(B$17=0,0,B21/B$17)</f>
        <v>0.46666666666666667</v>
      </c>
      <c r="E21" s="33" t="s">
        <v>66</v>
      </c>
      <c r="F21" s="30" t="s">
        <v>30</v>
      </c>
      <c r="G21" s="13">
        <v>0</v>
      </c>
      <c r="H21" s="94">
        <f>IF(B$17=0,0,G21/B$17)</f>
        <v>0</v>
      </c>
      <c r="I21" s="56">
        <v>9</v>
      </c>
      <c r="N21" s="76" t="s">
        <v>164</v>
      </c>
      <c r="O21" s="86">
        <f t="shared" si="3"/>
        <v>-12.474999999999993</v>
      </c>
      <c r="P21" s="80">
        <v>4</v>
      </c>
      <c r="Q21" s="68">
        <v>-49.89999999999997</v>
      </c>
    </row>
    <row r="22" spans="1:17">
      <c r="A22" s="19" t="s">
        <v>149</v>
      </c>
      <c r="B22" s="13">
        <v>7</v>
      </c>
      <c r="C22" s="6">
        <f>IF(B$17=0,0,B22/B$17)</f>
        <v>0.46666666666666667</v>
      </c>
      <c r="E22" s="33" t="s">
        <v>183</v>
      </c>
      <c r="F22" s="30" t="s">
        <v>186</v>
      </c>
      <c r="G22" s="13">
        <v>0</v>
      </c>
      <c r="H22" s="94">
        <f>IF(B$17=0,0,G22/B$17)</f>
        <v>0</v>
      </c>
      <c r="I22" s="56">
        <v>16</v>
      </c>
      <c r="N22" s="76" t="s">
        <v>203</v>
      </c>
      <c r="O22" s="86">
        <f t="shared" si="3"/>
        <v>-22.3</v>
      </c>
      <c r="P22" s="80">
        <v>1</v>
      </c>
      <c r="Q22" s="68">
        <v>-22.3</v>
      </c>
    </row>
    <row r="23" spans="1:17">
      <c r="A23" s="19" t="s">
        <v>150</v>
      </c>
      <c r="B23" s="13">
        <v>1</v>
      </c>
      <c r="C23" s="6">
        <f>IF(B$17=0,0,B23/B$17)</f>
        <v>6.6666666666666666E-2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1</v>
      </c>
      <c r="N23" s="76" t="s">
        <v>161</v>
      </c>
      <c r="O23" s="86">
        <f t="shared" si="3"/>
        <v>-22.45</v>
      </c>
      <c r="P23" s="80">
        <v>2</v>
      </c>
      <c r="Q23" s="68">
        <v>-44.9</v>
      </c>
    </row>
    <row r="24" spans="1:17">
      <c r="A24" s="19" t="s">
        <v>5</v>
      </c>
      <c r="B24" s="16">
        <f>IF(B$17=0,0,C24/B$17)</f>
        <v>5993.333333333333</v>
      </c>
      <c r="C24" s="8">
        <v>89900</v>
      </c>
      <c r="E24" s="33" t="s">
        <v>69</v>
      </c>
      <c r="F24" s="30" t="s">
        <v>33</v>
      </c>
      <c r="G24" s="13">
        <v>0</v>
      </c>
      <c r="H24" s="94">
        <f>IF(B$17=0,0,G24/B$17)</f>
        <v>0</v>
      </c>
      <c r="I24" s="56">
        <v>8</v>
      </c>
      <c r="N24" s="76" t="s">
        <v>179</v>
      </c>
      <c r="O24" s="86">
        <f t="shared" si="3"/>
        <v>-24.4</v>
      </c>
      <c r="P24" s="80">
        <v>1</v>
      </c>
      <c r="Q24" s="68">
        <v>-24.4</v>
      </c>
    </row>
    <row r="25" spans="1:17">
      <c r="A25" s="20" t="s">
        <v>133</v>
      </c>
      <c r="B25" s="97">
        <f>IF($B$17-B$16=0,0,C25/($B$17-B$16))</f>
        <v>6562.5</v>
      </c>
      <c r="C25" s="98">
        <v>52500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N25" s="76" t="s">
        <v>169</v>
      </c>
      <c r="O25" s="86">
        <f t="shared" si="3"/>
        <v>-24.933333333333337</v>
      </c>
      <c r="P25" s="80">
        <v>3</v>
      </c>
      <c r="Q25" s="68">
        <v>-74.800000000000011</v>
      </c>
    </row>
    <row r="26" spans="1:17">
      <c r="A26" s="20" t="s">
        <v>134</v>
      </c>
      <c r="B26" s="97">
        <f>IF(B$16=0,0,C26/B$16)</f>
        <v>5342.8571428571431</v>
      </c>
      <c r="C26" s="98">
        <v>37400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162</v>
      </c>
      <c r="O26" s="86">
        <f t="shared" si="3"/>
        <v>-37.875</v>
      </c>
      <c r="P26" s="80">
        <v>4</v>
      </c>
      <c r="Q26" s="68">
        <v>-151.5</v>
      </c>
    </row>
    <row r="27" spans="1:17">
      <c r="A27" s="20" t="s">
        <v>132</v>
      </c>
      <c r="B27" s="97">
        <f>IF(B$18=0,0,C27/B$18)</f>
        <v>-7212.5</v>
      </c>
      <c r="C27" s="98">
        <v>-57700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5</v>
      </c>
    </row>
    <row r="29" spans="1:17">
      <c r="A29" s="19" t="s">
        <v>131</v>
      </c>
      <c r="B29" s="13">
        <v>16</v>
      </c>
      <c r="C29" s="96">
        <v>1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16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7</v>
      </c>
    </row>
    <row r="31" spans="1:17">
      <c r="A31" s="22" t="s">
        <v>148</v>
      </c>
      <c r="B31" s="116">
        <v>41700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6</v>
      </c>
      <c r="C36" s="6">
        <f t="shared" si="4"/>
        <v>0.4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5</v>
      </c>
      <c r="C37" s="6">
        <f t="shared" si="4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4"/>
        <v>6.6666666666666666E-2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3</v>
      </c>
      <c r="C40" s="6">
        <f t="shared" si="4"/>
        <v>0.2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ED37CC-9555-4D05-8816-9DA6086DD36E}">
  <sheetPr codeName="Sheet9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169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41</v>
      </c>
      <c r="C2" s="121"/>
      <c r="E2" s="32" t="s">
        <v>54</v>
      </c>
      <c r="F2" s="29" t="s">
        <v>20</v>
      </c>
      <c r="G2" s="12">
        <v>56</v>
      </c>
      <c r="H2" s="93">
        <f>IF(B$17=0,0,G2/B$17)</f>
        <v>0.81159420289855078</v>
      </c>
      <c r="I2" s="55">
        <v>5</v>
      </c>
      <c r="K2" s="3">
        <v>0</v>
      </c>
      <c r="L2" s="60">
        <v>0</v>
      </c>
      <c r="N2" s="75" t="s">
        <v>103</v>
      </c>
      <c r="O2" s="82">
        <f t="shared" ref="O2:O9" si="0">IF(P2=0,0,Q2/P2)</f>
        <v>778.04878048780483</v>
      </c>
      <c r="P2" s="79">
        <v>41</v>
      </c>
      <c r="Q2" s="63">
        <v>31900</v>
      </c>
    </row>
    <row r="3" spans="1:17">
      <c r="A3" s="19" t="s">
        <v>8</v>
      </c>
      <c r="B3" s="122">
        <v>306</v>
      </c>
      <c r="C3" s="123"/>
      <c r="E3" s="33" t="s">
        <v>184</v>
      </c>
      <c r="F3" s="30" t="s">
        <v>187</v>
      </c>
      <c r="G3" s="13">
        <v>47</v>
      </c>
      <c r="H3" s="94">
        <f>IF(B$17=0,0,G3/B$17)</f>
        <v>0.6811594202898551</v>
      </c>
      <c r="I3" s="56">
        <v>3</v>
      </c>
      <c r="K3" s="5">
        <v>1</v>
      </c>
      <c r="L3" s="61">
        <v>-14.2</v>
      </c>
      <c r="N3" s="76" t="s">
        <v>104</v>
      </c>
      <c r="O3" s="83">
        <f t="shared" si="0"/>
        <v>1487.8048780487804</v>
      </c>
      <c r="P3" s="80">
        <v>41</v>
      </c>
      <c r="Q3" s="64">
        <v>61000</v>
      </c>
    </row>
    <row r="4" spans="1:17">
      <c r="A4" s="19" t="s">
        <v>6</v>
      </c>
      <c r="B4" s="124">
        <v>584.79999999999995</v>
      </c>
      <c r="C4" s="125"/>
      <c r="E4" s="33" t="s">
        <v>181</v>
      </c>
      <c r="F4" s="30" t="s">
        <v>156</v>
      </c>
      <c r="G4" s="13">
        <v>34</v>
      </c>
      <c r="H4" s="94">
        <f>IF(B$17=0,0,G4/B$17)</f>
        <v>0.49275362318840582</v>
      </c>
      <c r="I4" s="56">
        <v>28</v>
      </c>
      <c r="K4" s="5">
        <v>2</v>
      </c>
      <c r="L4" s="61">
        <v>0.60000000000000142</v>
      </c>
      <c r="N4" s="76" t="s">
        <v>105</v>
      </c>
      <c r="O4" s="83">
        <f t="shared" si="0"/>
        <v>1520</v>
      </c>
      <c r="P4" s="80">
        <v>40</v>
      </c>
      <c r="Q4" s="64">
        <v>60800</v>
      </c>
    </row>
    <row r="5" spans="1:17">
      <c r="A5" s="19" t="s">
        <v>7</v>
      </c>
      <c r="B5" s="126">
        <f>IF(B$2=0,0,B$4/B$2)</f>
        <v>14.26341463414634</v>
      </c>
      <c r="C5" s="127"/>
      <c r="E5" s="33" t="s">
        <v>60</v>
      </c>
      <c r="F5" s="30" t="s">
        <v>24</v>
      </c>
      <c r="G5" s="13">
        <v>25</v>
      </c>
      <c r="H5" s="94">
        <f>IF(B$17=0,0,G5/B$17)</f>
        <v>0.36231884057971014</v>
      </c>
      <c r="I5" s="56">
        <v>22</v>
      </c>
      <c r="K5" s="5">
        <v>3</v>
      </c>
      <c r="L5" s="61">
        <v>-32.299999999999997</v>
      </c>
      <c r="N5" s="76" t="s">
        <v>157</v>
      </c>
      <c r="O5" s="83">
        <f>IF(P5=0,0,Q5/P5)</f>
        <v>944.44444444444446</v>
      </c>
      <c r="P5" s="80">
        <v>36</v>
      </c>
      <c r="Q5" s="64">
        <v>34000</v>
      </c>
    </row>
    <row r="6" spans="1:17">
      <c r="A6" s="19" t="s">
        <v>1</v>
      </c>
      <c r="B6" s="128">
        <f>IF(B$2=0,0,(B$7*1+B$8*2+B$9*3+B$10*4)/B$2)</f>
        <v>2.1707317073170733</v>
      </c>
      <c r="C6" s="129"/>
      <c r="E6" s="33" t="s">
        <v>57</v>
      </c>
      <c r="F6" s="30" t="s">
        <v>21</v>
      </c>
      <c r="G6" s="13">
        <v>23</v>
      </c>
      <c r="H6" s="94">
        <f>IF(B$17=0,0,G6/B$17)</f>
        <v>0.33333333333333331</v>
      </c>
      <c r="I6" s="56">
        <v>6</v>
      </c>
      <c r="K6" s="5">
        <v>4</v>
      </c>
      <c r="L6" s="61">
        <v>-23.999999999999996</v>
      </c>
      <c r="N6" s="76" t="s">
        <v>106</v>
      </c>
      <c r="O6" s="83">
        <f t="shared" ref="O6" si="1">IF(P6=0,0,Q6/P6)</f>
        <v>1212</v>
      </c>
      <c r="P6" s="80">
        <v>25</v>
      </c>
      <c r="Q6" s="64">
        <v>30300</v>
      </c>
    </row>
    <row r="7" spans="1:17">
      <c r="A7" s="19" t="s">
        <v>2</v>
      </c>
      <c r="B7" s="13">
        <v>14</v>
      </c>
      <c r="C7" s="6">
        <f t="shared" ref="C7:C12" si="2">IF(B$2=0,0,B7/B$2)</f>
        <v>0.34146341463414637</v>
      </c>
      <c r="E7" s="33" t="s">
        <v>55</v>
      </c>
      <c r="F7" s="30" t="s">
        <v>155</v>
      </c>
      <c r="G7" s="13">
        <v>18</v>
      </c>
      <c r="H7" s="94">
        <f>IF(B$17=0,0,G7/B$17)</f>
        <v>0.2608695652173913</v>
      </c>
      <c r="I7" s="56">
        <v>12</v>
      </c>
      <c r="K7" s="5">
        <v>5</v>
      </c>
      <c r="L7" s="61">
        <v>-39</v>
      </c>
      <c r="N7" s="76" t="s">
        <v>107</v>
      </c>
      <c r="O7" s="83">
        <f t="shared" si="0"/>
        <v>1741.1764705882354</v>
      </c>
      <c r="P7" s="80">
        <v>17</v>
      </c>
      <c r="Q7" s="64">
        <v>29600</v>
      </c>
    </row>
    <row r="8" spans="1:17">
      <c r="A8" s="19" t="s">
        <v>3</v>
      </c>
      <c r="B8" s="13">
        <v>12</v>
      </c>
      <c r="C8" s="6">
        <f>IF(B$2=0,0,B8/B$2)</f>
        <v>0.29268292682926828</v>
      </c>
      <c r="E8" s="33" t="s">
        <v>59</v>
      </c>
      <c r="F8" s="30" t="s">
        <v>23</v>
      </c>
      <c r="G8" s="13">
        <v>15</v>
      </c>
      <c r="H8" s="94">
        <f>IF(B$17=0,0,G8/B$17)</f>
        <v>0.21739130434782608</v>
      </c>
      <c r="I8" s="56">
        <v>11</v>
      </c>
      <c r="K8" s="5">
        <v>6</v>
      </c>
      <c r="L8" s="61">
        <v>43.8</v>
      </c>
      <c r="N8" s="76" t="s">
        <v>108</v>
      </c>
      <c r="O8" s="83">
        <f t="shared" si="0"/>
        <v>891.66666666666663</v>
      </c>
      <c r="P8" s="80">
        <v>12</v>
      </c>
      <c r="Q8" s="64">
        <v>10700</v>
      </c>
    </row>
    <row r="9" spans="1:17">
      <c r="A9" s="20" t="s">
        <v>4</v>
      </c>
      <c r="B9" s="14">
        <v>9</v>
      </c>
      <c r="C9" s="7">
        <f>IF(B$2=0,0,B9/B$2)</f>
        <v>0.21951219512195122</v>
      </c>
      <c r="E9" s="33" t="s">
        <v>56</v>
      </c>
      <c r="F9" s="30" t="s">
        <v>185</v>
      </c>
      <c r="G9" s="13">
        <v>12</v>
      </c>
      <c r="H9" s="94">
        <f>IF(B$17=0,0,G9/B$17)</f>
        <v>0.17391304347826086</v>
      </c>
      <c r="I9" s="56">
        <v>33</v>
      </c>
      <c r="K9" s="5">
        <v>7</v>
      </c>
      <c r="L9" s="61">
        <v>95.1</v>
      </c>
      <c r="N9" s="77" t="s">
        <v>158</v>
      </c>
      <c r="O9" s="84">
        <f t="shared" si="0"/>
        <v>-1520</v>
      </c>
      <c r="P9" s="81">
        <v>5</v>
      </c>
      <c r="Q9" s="65">
        <v>-7600</v>
      </c>
    </row>
    <row r="10" spans="1:17">
      <c r="A10" s="20" t="s">
        <v>152</v>
      </c>
      <c r="B10" s="14">
        <v>6</v>
      </c>
      <c r="C10" s="7">
        <f>IF(B$2=0,0,B10/B$2)</f>
        <v>0.14634146341463414</v>
      </c>
      <c r="E10" s="33" t="s">
        <v>58</v>
      </c>
      <c r="F10" s="30" t="s">
        <v>22</v>
      </c>
      <c r="G10" s="13">
        <v>8</v>
      </c>
      <c r="H10" s="94">
        <f>IF(B$17=0,0,G10/B$17)</f>
        <v>0.11594202898550725</v>
      </c>
      <c r="I10" s="56">
        <v>9</v>
      </c>
      <c r="K10" s="5">
        <v>8</v>
      </c>
      <c r="L10" s="61">
        <v>77.399999999999991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26</v>
      </c>
      <c r="C11" s="7">
        <f>IF(B$2=0,0,B11/B$2)</f>
        <v>0.63414634146341464</v>
      </c>
      <c r="E11" s="33" t="s">
        <v>182</v>
      </c>
      <c r="F11" s="30" t="s">
        <v>19</v>
      </c>
      <c r="G11" s="13">
        <v>6</v>
      </c>
      <c r="H11" s="94">
        <f>IF(B$17=0,0,G11/B$17)</f>
        <v>8.6956521739130432E-2</v>
      </c>
      <c r="I11" s="56">
        <v>19</v>
      </c>
      <c r="K11" s="5">
        <v>9</v>
      </c>
      <c r="L11" s="61">
        <v>65.899999999999991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77</v>
      </c>
      <c r="F12" s="30" t="s">
        <v>41</v>
      </c>
      <c r="G12" s="13">
        <v>6</v>
      </c>
      <c r="H12" s="94">
        <f>IF(B$17=0,0,G12/B$17)</f>
        <v>8.6956521739130432E-2</v>
      </c>
      <c r="I12" s="56">
        <v>9</v>
      </c>
      <c r="K12" s="5">
        <v>10</v>
      </c>
      <c r="L12" s="61">
        <v>88.5</v>
      </c>
      <c r="N12" s="75" t="s">
        <v>126</v>
      </c>
      <c r="O12" s="85">
        <f>IF(P12=0,0,Q12/P12)</f>
        <v>19.600000000000005</v>
      </c>
      <c r="P12" s="79">
        <v>12</v>
      </c>
      <c r="Q12" s="67">
        <v>235.20000000000005</v>
      </c>
    </row>
    <row r="13" spans="1:17">
      <c r="A13" s="22" t="s">
        <v>97</v>
      </c>
      <c r="B13" s="15">
        <v>53</v>
      </c>
      <c r="C13" s="11">
        <f>IF(B$3=0,0,B13/B$3)</f>
        <v>0.17320261437908496</v>
      </c>
      <c r="E13" s="33" t="s">
        <v>62</v>
      </c>
      <c r="F13" s="30" t="s">
        <v>26</v>
      </c>
      <c r="G13" s="13">
        <v>1</v>
      </c>
      <c r="H13" s="94">
        <f>IF(B$17=0,0,G13/B$17)</f>
        <v>1.4492753623188406E-2</v>
      </c>
      <c r="I13" s="56">
        <v>3</v>
      </c>
      <c r="K13" s="5">
        <v>11</v>
      </c>
      <c r="L13" s="61">
        <v>44</v>
      </c>
      <c r="N13" s="76" t="s">
        <v>127</v>
      </c>
      <c r="O13" s="86">
        <f>IF(P13=0,0,Q13/P13)</f>
        <v>10.674999999999999</v>
      </c>
      <c r="P13" s="80">
        <v>8</v>
      </c>
      <c r="Q13" s="68">
        <v>85.399999999999991</v>
      </c>
    </row>
    <row r="14" spans="1:17">
      <c r="A14" s="19" t="s">
        <v>94</v>
      </c>
      <c r="B14" s="13">
        <v>59</v>
      </c>
      <c r="C14" s="6">
        <f>IF(B$3=0,0,B14/B$3)</f>
        <v>0.19281045751633988</v>
      </c>
      <c r="E14" s="33" t="s">
        <v>66</v>
      </c>
      <c r="F14" s="30" t="s">
        <v>30</v>
      </c>
      <c r="G14" s="13">
        <v>1</v>
      </c>
      <c r="H14" s="94">
        <f>IF(B$17=0,0,G14/B$17)</f>
        <v>1.4492753623188406E-2</v>
      </c>
      <c r="I14" s="56">
        <v>6</v>
      </c>
      <c r="K14" s="5">
        <v>12</v>
      </c>
      <c r="L14" s="61">
        <v>97.9</v>
      </c>
      <c r="N14" s="76" t="s">
        <v>128</v>
      </c>
      <c r="O14" s="86">
        <f>IF(P14=0,0,Q14/P14)</f>
        <v>1.9428571428571411</v>
      </c>
      <c r="P14" s="80">
        <v>7</v>
      </c>
      <c r="Q14" s="68">
        <v>13.599999999999987</v>
      </c>
    </row>
    <row r="15" spans="1:17">
      <c r="A15" s="18" t="s">
        <v>99</v>
      </c>
      <c r="B15" s="12">
        <f>B21</f>
        <v>34</v>
      </c>
      <c r="C15" s="4">
        <f>IF(B$13=0,0,B15/B$13)</f>
        <v>0.64150943396226412</v>
      </c>
      <c r="E15" s="33" t="s">
        <v>183</v>
      </c>
      <c r="F15" s="30" t="s">
        <v>186</v>
      </c>
      <c r="G15" s="13">
        <v>1</v>
      </c>
      <c r="H15" s="94">
        <f>IF(B$17=0,0,G15/B$17)</f>
        <v>1.4492753623188406E-2</v>
      </c>
      <c r="I15" s="56">
        <v>15</v>
      </c>
      <c r="K15" s="5">
        <v>13</v>
      </c>
      <c r="L15" s="61">
        <v>168.9</v>
      </c>
      <c r="N15" s="77" t="s">
        <v>159</v>
      </c>
      <c r="O15" s="87">
        <f>IF(P15=0,0,Q15/P15)</f>
        <v>17.899999999999999</v>
      </c>
      <c r="P15" s="81">
        <v>14</v>
      </c>
      <c r="Q15" s="69">
        <v>250.6</v>
      </c>
    </row>
    <row r="16" spans="1:17">
      <c r="A16" s="18" t="s">
        <v>100</v>
      </c>
      <c r="B16" s="12">
        <f>B22</f>
        <v>21</v>
      </c>
      <c r="C16" s="4">
        <f>IF(B$14=0,0,B16/B$14)</f>
        <v>0.3559322033898305</v>
      </c>
      <c r="E16" s="33" t="s">
        <v>71</v>
      </c>
      <c r="F16" s="30" t="s">
        <v>35</v>
      </c>
      <c r="G16" s="13">
        <v>1</v>
      </c>
      <c r="H16" s="94">
        <f>IF(B$17=0,0,G16/B$17)</f>
        <v>1.4492753623188406E-2</v>
      </c>
      <c r="I16" s="56">
        <v>13</v>
      </c>
      <c r="K16" s="5">
        <v>14</v>
      </c>
      <c r="L16" s="61">
        <v>181.4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69</v>
      </c>
      <c r="C17" s="4">
        <f>IF(B$3=0,0,B17/B$3)</f>
        <v>0.22549019607843138</v>
      </c>
      <c r="E17" s="33" t="s">
        <v>61</v>
      </c>
      <c r="F17" s="30" t="s">
        <v>25</v>
      </c>
      <c r="G17" s="13">
        <v>0</v>
      </c>
      <c r="H17" s="94">
        <f>IF(B$17=0,0,G17/B$17)</f>
        <v>0</v>
      </c>
      <c r="I17" s="56">
        <v>5</v>
      </c>
      <c r="K17" s="5">
        <v>15</v>
      </c>
      <c r="L17" s="61">
        <v>233.9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27</v>
      </c>
      <c r="C18" s="6">
        <f>IF(B$3=0,0,B18/B$3)</f>
        <v>8.8235294117647065E-2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1</v>
      </c>
      <c r="K18" s="5">
        <v>16</v>
      </c>
      <c r="L18" s="61">
        <v>290.89999999999998</v>
      </c>
      <c r="N18" s="75" t="s">
        <v>208</v>
      </c>
      <c r="O18" s="85">
        <f t="shared" ref="O18:O47" si="3">IF(P18=0,0,Q18/P18)</f>
        <v>123.2</v>
      </c>
      <c r="P18" s="79">
        <v>1</v>
      </c>
      <c r="Q18" s="67">
        <v>123.2</v>
      </c>
    </row>
    <row r="19" spans="1:17">
      <c r="A19" s="19" t="s">
        <v>12</v>
      </c>
      <c r="B19" s="13">
        <v>17</v>
      </c>
      <c r="C19" s="6">
        <f>IF(B$17=0,0,B19/B$17)</f>
        <v>0.24637681159420291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344</v>
      </c>
      <c r="N19" s="76" t="s">
        <v>202</v>
      </c>
      <c r="O19" s="86">
        <f t="shared" si="3"/>
        <v>115.4</v>
      </c>
      <c r="P19" s="80">
        <v>2</v>
      </c>
      <c r="Q19" s="68">
        <v>230.8</v>
      </c>
    </row>
    <row r="20" spans="1:17">
      <c r="A20" s="19" t="s">
        <v>11</v>
      </c>
      <c r="B20" s="13">
        <v>52</v>
      </c>
      <c r="C20" s="6">
        <f>IF(B$17=0,0,B20/B$17)</f>
        <v>0.75362318840579712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333.8</v>
      </c>
      <c r="N20" s="76" t="s">
        <v>203</v>
      </c>
      <c r="O20" s="86">
        <f t="shared" si="3"/>
        <v>83.225000000000009</v>
      </c>
      <c r="P20" s="80">
        <v>4</v>
      </c>
      <c r="Q20" s="68">
        <v>332.90000000000003</v>
      </c>
    </row>
    <row r="21" spans="1:17">
      <c r="A21" s="19" t="s">
        <v>151</v>
      </c>
      <c r="B21" s="13">
        <v>34</v>
      </c>
      <c r="C21" s="6">
        <f>IF(B$17=0,0,B21/B$17)</f>
        <v>0.49275362318840582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8</v>
      </c>
      <c r="K21" s="5">
        <v>19</v>
      </c>
      <c r="L21" s="61">
        <v>406.70000000000005</v>
      </c>
      <c r="N21" s="76" t="s">
        <v>227</v>
      </c>
      <c r="O21" s="86">
        <f t="shared" si="3"/>
        <v>68.55</v>
      </c>
      <c r="P21" s="80">
        <v>2</v>
      </c>
      <c r="Q21" s="68">
        <v>137.1</v>
      </c>
    </row>
    <row r="22" spans="1:17">
      <c r="A22" s="19" t="s">
        <v>149</v>
      </c>
      <c r="B22" s="13">
        <v>21</v>
      </c>
      <c r="C22" s="6">
        <f>IF(B$17=0,0,B22/B$17)</f>
        <v>0.30434782608695654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1</v>
      </c>
      <c r="K22" s="5">
        <v>20</v>
      </c>
      <c r="L22" s="61">
        <v>418.30000000000007</v>
      </c>
      <c r="N22" s="76" t="s">
        <v>215</v>
      </c>
      <c r="O22" s="86">
        <f t="shared" si="3"/>
        <v>66.400000000000006</v>
      </c>
      <c r="P22" s="80">
        <v>1</v>
      </c>
      <c r="Q22" s="68">
        <v>66.400000000000006</v>
      </c>
    </row>
    <row r="23" spans="1:17">
      <c r="A23" s="19" t="s">
        <v>150</v>
      </c>
      <c r="B23" s="13">
        <v>14</v>
      </c>
      <c r="C23" s="6">
        <f>IF(B$17=0,0,B23/B$17)</f>
        <v>0.20289855072463769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8</v>
      </c>
      <c r="K23" s="5">
        <v>21</v>
      </c>
      <c r="L23" s="61">
        <v>470.30000000000007</v>
      </c>
      <c r="N23" s="76" t="s">
        <v>244</v>
      </c>
      <c r="O23" s="86">
        <f t="shared" si="3"/>
        <v>60.3</v>
      </c>
      <c r="P23" s="80">
        <v>1</v>
      </c>
      <c r="Q23" s="68">
        <v>60.3</v>
      </c>
    </row>
    <row r="24" spans="1:17">
      <c r="A24" s="19" t="s">
        <v>5</v>
      </c>
      <c r="B24" s="16">
        <f>IF(B$17=0,0,C24/B$17)</f>
        <v>7679.710144927536</v>
      </c>
      <c r="C24" s="8">
        <v>529900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422.90000000000009</v>
      </c>
      <c r="N24" s="76" t="s">
        <v>166</v>
      </c>
      <c r="O24" s="86">
        <f t="shared" si="3"/>
        <v>53.75</v>
      </c>
      <c r="P24" s="80">
        <v>4</v>
      </c>
      <c r="Q24" s="68">
        <v>215</v>
      </c>
    </row>
    <row r="25" spans="1:17">
      <c r="A25" s="20" t="s">
        <v>133</v>
      </c>
      <c r="B25" s="97">
        <f>IF($B$17-B$16=0,0,C25/($B$17-B$16))</f>
        <v>8427.0833333333339</v>
      </c>
      <c r="C25" s="98">
        <v>404500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K25" s="5">
        <v>23</v>
      </c>
      <c r="L25" s="61">
        <v>483.30000000000007</v>
      </c>
      <c r="N25" s="76" t="s">
        <v>196</v>
      </c>
      <c r="O25" s="86">
        <f t="shared" si="3"/>
        <v>49.7</v>
      </c>
      <c r="P25" s="80">
        <v>1</v>
      </c>
      <c r="Q25" s="68">
        <v>49.7</v>
      </c>
    </row>
    <row r="26" spans="1:17">
      <c r="A26" s="20" t="s">
        <v>134</v>
      </c>
      <c r="B26" s="97">
        <f>IF(B$16=0,0,C26/B$16)</f>
        <v>5971.4285714285716</v>
      </c>
      <c r="C26" s="98">
        <v>125400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487.50000000000006</v>
      </c>
      <c r="N26" s="76" t="s">
        <v>179</v>
      </c>
      <c r="O26" s="86">
        <f t="shared" si="3"/>
        <v>46.750000000000014</v>
      </c>
      <c r="P26" s="80">
        <v>8</v>
      </c>
      <c r="Q26" s="68">
        <v>374.00000000000011</v>
      </c>
    </row>
    <row r="27" spans="1:17">
      <c r="A27" s="20" t="s">
        <v>132</v>
      </c>
      <c r="B27" s="97">
        <f>IF(B$18=0,0,C27/B$18)</f>
        <v>-5129.6296296296296</v>
      </c>
      <c r="C27" s="98">
        <v>-138500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12</v>
      </c>
      <c r="K27" s="5">
        <v>25</v>
      </c>
      <c r="L27" s="61">
        <v>464.20000000000005</v>
      </c>
      <c r="N27" s="76" t="s">
        <v>223</v>
      </c>
      <c r="O27" s="86">
        <f t="shared" si="3"/>
        <v>42.033333333333339</v>
      </c>
      <c r="P27" s="80">
        <v>3</v>
      </c>
      <c r="Q27" s="68">
        <v>126.10000000000001</v>
      </c>
    </row>
    <row r="28" spans="1:17">
      <c r="A28" s="19" t="s">
        <v>130</v>
      </c>
      <c r="B28" s="13">
        <v>5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532.30000000000007</v>
      </c>
      <c r="N28" s="76" t="s">
        <v>161</v>
      </c>
      <c r="O28" s="86">
        <f t="shared" si="3"/>
        <v>40.43333333333333</v>
      </c>
      <c r="P28" s="80">
        <v>6</v>
      </c>
      <c r="Q28" s="68">
        <v>242.6</v>
      </c>
    </row>
    <row r="29" spans="1:17">
      <c r="A29" s="19" t="s">
        <v>131</v>
      </c>
      <c r="B29" s="13">
        <v>42</v>
      </c>
      <c r="C29" s="96">
        <v>2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5</v>
      </c>
      <c r="K29" s="5">
        <v>27</v>
      </c>
      <c r="L29" s="61">
        <v>522.80000000000007</v>
      </c>
      <c r="N29" s="76" t="s">
        <v>228</v>
      </c>
      <c r="O29" s="86">
        <f t="shared" si="3"/>
        <v>38.049999999999997</v>
      </c>
      <c r="P29" s="80">
        <v>2</v>
      </c>
      <c r="Q29" s="68">
        <v>76.099999999999994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7</v>
      </c>
      <c r="K30" s="5">
        <v>28</v>
      </c>
      <c r="L30" s="61">
        <v>530.50000000000011</v>
      </c>
      <c r="N30" s="76" t="s">
        <v>213</v>
      </c>
      <c r="O30" s="86">
        <f t="shared" si="3"/>
        <v>37.4</v>
      </c>
      <c r="P30" s="80">
        <v>6</v>
      </c>
      <c r="Q30" s="68">
        <v>224.39999999999998</v>
      </c>
    </row>
    <row r="31" spans="1:17">
      <c r="A31" s="22" t="s">
        <v>148</v>
      </c>
      <c r="B31" s="116">
        <v>72200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485.7000000000001</v>
      </c>
      <c r="N31" s="76" t="s">
        <v>276</v>
      </c>
      <c r="O31" s="86">
        <f t="shared" si="3"/>
        <v>37.4</v>
      </c>
      <c r="P31" s="80">
        <v>1</v>
      </c>
      <c r="Q31" s="68">
        <v>37.4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577.00000000000011</v>
      </c>
      <c r="N32" s="76" t="s">
        <v>258</v>
      </c>
      <c r="O32" s="86">
        <f t="shared" si="3"/>
        <v>36.6</v>
      </c>
      <c r="P32" s="80">
        <v>1</v>
      </c>
      <c r="Q32" s="68">
        <v>36.6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669.20000000000016</v>
      </c>
      <c r="N33" s="76" t="s">
        <v>216</v>
      </c>
      <c r="O33" s="86">
        <f t="shared" si="3"/>
        <v>35.764285714285712</v>
      </c>
      <c r="P33" s="80">
        <v>14</v>
      </c>
      <c r="Q33" s="68">
        <v>500.7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610.80000000000018</v>
      </c>
      <c r="N34" s="76" t="s">
        <v>191</v>
      </c>
      <c r="O34" s="86">
        <f t="shared" si="3"/>
        <v>32.150000000000006</v>
      </c>
      <c r="P34" s="80">
        <v>8</v>
      </c>
      <c r="Q34" s="68">
        <v>257.20000000000005</v>
      </c>
    </row>
    <row r="35" spans="1:17">
      <c r="A35" s="52" t="s">
        <v>139</v>
      </c>
      <c r="B35" s="99">
        <v>2</v>
      </c>
      <c r="C35" s="102">
        <f t="shared" ref="C35:C47" si="4">IF(B$17=0,0,B35/B$17)</f>
        <v>2.8985507246376812E-2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607.60000000000014</v>
      </c>
      <c r="N35" s="76" t="s">
        <v>163</v>
      </c>
      <c r="O35" s="86">
        <f t="shared" si="3"/>
        <v>24.933333333333337</v>
      </c>
      <c r="P35" s="80">
        <v>3</v>
      </c>
      <c r="Q35" s="68">
        <v>74.800000000000011</v>
      </c>
    </row>
    <row r="36" spans="1:17">
      <c r="A36" s="19" t="s">
        <v>135</v>
      </c>
      <c r="B36" s="13">
        <v>13</v>
      </c>
      <c r="C36" s="6">
        <f t="shared" si="4"/>
        <v>0.18840579710144928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613.90000000000009</v>
      </c>
      <c r="N36" s="76" t="s">
        <v>235</v>
      </c>
      <c r="O36" s="86">
        <f t="shared" si="3"/>
        <v>16.225000000000001</v>
      </c>
      <c r="P36" s="80">
        <v>4</v>
      </c>
      <c r="Q36" s="68">
        <v>64.900000000000006</v>
      </c>
    </row>
    <row r="37" spans="1:17">
      <c r="A37" s="19" t="s">
        <v>136</v>
      </c>
      <c r="B37" s="100">
        <v>14</v>
      </c>
      <c r="C37" s="6">
        <f t="shared" si="4"/>
        <v>0.20289855072463769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673.7</v>
      </c>
      <c r="N37" s="76" t="s">
        <v>238</v>
      </c>
      <c r="O37" s="86">
        <f t="shared" si="3"/>
        <v>7.25</v>
      </c>
      <c r="P37" s="80">
        <v>4</v>
      </c>
      <c r="Q37" s="68">
        <v>29</v>
      </c>
    </row>
    <row r="38" spans="1:17">
      <c r="A38" s="19" t="s">
        <v>137</v>
      </c>
      <c r="B38" s="100">
        <v>21</v>
      </c>
      <c r="C38" s="6">
        <f t="shared" si="4"/>
        <v>0.30434782608695654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672.80000000000007</v>
      </c>
      <c r="N38" s="76" t="s">
        <v>263</v>
      </c>
      <c r="O38" s="86">
        <f t="shared" si="3"/>
        <v>5.0500000000000007</v>
      </c>
      <c r="P38" s="80">
        <v>2</v>
      </c>
      <c r="Q38" s="68">
        <v>10.100000000000001</v>
      </c>
    </row>
    <row r="39" spans="1:17">
      <c r="A39" s="19" t="s">
        <v>138</v>
      </c>
      <c r="B39" s="100">
        <v>5</v>
      </c>
      <c r="C39" s="6">
        <f t="shared" si="4"/>
        <v>7.2463768115942032E-2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618.6</v>
      </c>
      <c r="N39" s="76" t="s">
        <v>195</v>
      </c>
      <c r="O39" s="86">
        <f t="shared" si="3"/>
        <v>-4.2812500000000053</v>
      </c>
      <c r="P39" s="80">
        <v>16</v>
      </c>
      <c r="Q39" s="68">
        <v>-68.500000000000085</v>
      </c>
    </row>
    <row r="40" spans="1:17">
      <c r="A40" s="19" t="s">
        <v>140</v>
      </c>
      <c r="B40" s="100">
        <v>10</v>
      </c>
      <c r="C40" s="6">
        <f t="shared" si="4"/>
        <v>0.14492753623188406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605.9</v>
      </c>
      <c r="N40" s="76" t="s">
        <v>164</v>
      </c>
      <c r="O40" s="86">
        <f t="shared" si="3"/>
        <v>-7.6999999999999975</v>
      </c>
      <c r="P40" s="80">
        <v>7</v>
      </c>
      <c r="Q40" s="68">
        <v>-53.899999999999984</v>
      </c>
    </row>
    <row r="41" spans="1:17">
      <c r="A41" s="19" t="s">
        <v>141</v>
      </c>
      <c r="B41" s="100">
        <v>4</v>
      </c>
      <c r="C41" s="6">
        <f t="shared" si="4"/>
        <v>5.7971014492753624E-2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618.4</v>
      </c>
      <c r="N41" s="76" t="s">
        <v>177</v>
      </c>
      <c r="O41" s="86">
        <f t="shared" si="3"/>
        <v>-10.999999999999996</v>
      </c>
      <c r="P41" s="80">
        <v>2</v>
      </c>
      <c r="Q41" s="68">
        <v>-21.999999999999993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633.29999999999995</v>
      </c>
      <c r="N42" s="76" t="s">
        <v>168</v>
      </c>
      <c r="O42" s="86">
        <f t="shared" si="3"/>
        <v>-14.5625</v>
      </c>
      <c r="P42" s="80">
        <v>8</v>
      </c>
      <c r="Q42" s="68">
        <v>-116.5</v>
      </c>
    </row>
    <row r="43" spans="1:17">
      <c r="A43" s="19" t="s">
        <v>143</v>
      </c>
      <c r="B43" s="100">
        <v>0</v>
      </c>
      <c r="C43" s="6">
        <f t="shared" si="4"/>
        <v>0</v>
      </c>
      <c r="K43" s="5">
        <v>41</v>
      </c>
      <c r="L43" s="61">
        <v>584.79999999999995</v>
      </c>
      <c r="N43" s="76" t="s">
        <v>269</v>
      </c>
      <c r="O43" s="86">
        <f t="shared" si="3"/>
        <v>-22.5</v>
      </c>
      <c r="P43" s="80">
        <v>1</v>
      </c>
      <c r="Q43" s="68">
        <v>-22.5</v>
      </c>
    </row>
    <row r="44" spans="1:17">
      <c r="A44" s="19" t="s">
        <v>144</v>
      </c>
      <c r="B44" s="100">
        <v>0</v>
      </c>
      <c r="C44" s="6">
        <f t="shared" si="4"/>
        <v>0</v>
      </c>
      <c r="N44" s="76" t="s">
        <v>167</v>
      </c>
      <c r="O44" s="86">
        <f t="shared" si="3"/>
        <v>-28.2</v>
      </c>
      <c r="P44" s="80">
        <v>1</v>
      </c>
      <c r="Q44" s="68">
        <v>-28.2</v>
      </c>
    </row>
    <row r="45" spans="1:17">
      <c r="A45" s="19" t="s">
        <v>145</v>
      </c>
      <c r="B45" s="100">
        <v>0</v>
      </c>
      <c r="C45" s="6">
        <f t="shared" si="4"/>
        <v>0</v>
      </c>
      <c r="N45" s="76" t="s">
        <v>162</v>
      </c>
      <c r="O45" s="86">
        <f t="shared" si="3"/>
        <v>-38.020000000000003</v>
      </c>
      <c r="P45" s="80">
        <v>5</v>
      </c>
      <c r="Q45" s="68">
        <v>-190.10000000000002</v>
      </c>
    </row>
    <row r="46" spans="1:17">
      <c r="A46" s="19" t="s">
        <v>146</v>
      </c>
      <c r="B46" s="100">
        <v>0</v>
      </c>
      <c r="C46" s="6">
        <f t="shared" si="4"/>
        <v>0</v>
      </c>
      <c r="N46" s="76" t="s">
        <v>272</v>
      </c>
      <c r="O46" s="86">
        <f t="shared" si="3"/>
        <v>-79.7</v>
      </c>
      <c r="P46" s="80">
        <v>2</v>
      </c>
      <c r="Q46" s="68">
        <v>-159.4</v>
      </c>
    </row>
    <row r="47" spans="1:17">
      <c r="A47" s="21" t="s">
        <v>147</v>
      </c>
      <c r="B47" s="101">
        <v>0</v>
      </c>
      <c r="C47" s="9">
        <f t="shared" si="4"/>
        <v>0</v>
      </c>
      <c r="N47" s="76" t="s">
        <v>255</v>
      </c>
      <c r="O47" s="86">
        <f t="shared" si="3"/>
        <v>-86.333333333333314</v>
      </c>
      <c r="P47" s="80">
        <v>3</v>
      </c>
      <c r="Q47" s="68">
        <v>-258.99999999999994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F80DC6-6675-40DB-A8FA-593367A2D31C}">
  <sheetPr codeName="Sheet1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166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</v>
      </c>
      <c r="C2" s="121"/>
      <c r="E2" s="32" t="s">
        <v>181</v>
      </c>
      <c r="F2" s="29" t="s">
        <v>156</v>
      </c>
      <c r="G2" s="12">
        <v>3</v>
      </c>
      <c r="H2" s="93">
        <f>IF(B$17=0,0,G2/B$17)</f>
        <v>0.42857142857142855</v>
      </c>
      <c r="I2" s="55">
        <v>32</v>
      </c>
      <c r="K2" s="3">
        <v>0</v>
      </c>
      <c r="L2" s="60">
        <v>0</v>
      </c>
      <c r="N2" s="75" t="s">
        <v>103</v>
      </c>
      <c r="O2" s="82">
        <f t="shared" ref="O2:O9" si="0">IF(P2=0,0,Q2/P2)</f>
        <v>-5325</v>
      </c>
      <c r="P2" s="79">
        <v>4</v>
      </c>
      <c r="Q2" s="63">
        <v>-21300</v>
      </c>
    </row>
    <row r="3" spans="1:17">
      <c r="A3" s="19" t="s">
        <v>8</v>
      </c>
      <c r="B3" s="122">
        <v>35</v>
      </c>
      <c r="C3" s="123"/>
      <c r="E3" s="33" t="s">
        <v>56</v>
      </c>
      <c r="F3" s="30" t="s">
        <v>185</v>
      </c>
      <c r="G3" s="13">
        <v>3</v>
      </c>
      <c r="H3" s="94">
        <f>IF(B$17=0,0,G3/B$17)</f>
        <v>0.42857142857142855</v>
      </c>
      <c r="I3" s="56">
        <v>6</v>
      </c>
      <c r="K3" s="5">
        <v>1</v>
      </c>
      <c r="L3" s="61">
        <v>-60.9</v>
      </c>
      <c r="N3" s="76" t="s">
        <v>104</v>
      </c>
      <c r="O3" s="83">
        <f t="shared" si="0"/>
        <v>0</v>
      </c>
      <c r="P3" s="80">
        <v>4</v>
      </c>
      <c r="Q3" s="64">
        <v>0</v>
      </c>
    </row>
    <row r="4" spans="1:17">
      <c r="A4" s="19" t="s">
        <v>6</v>
      </c>
      <c r="B4" s="124">
        <v>-127.99999999999999</v>
      </c>
      <c r="C4" s="125"/>
      <c r="E4" s="33" t="s">
        <v>60</v>
      </c>
      <c r="F4" s="30" t="s">
        <v>24</v>
      </c>
      <c r="G4" s="13">
        <v>3</v>
      </c>
      <c r="H4" s="94">
        <f>IF(B$17=0,0,G4/B$17)</f>
        <v>0.42857142857142855</v>
      </c>
      <c r="I4" s="56">
        <v>15</v>
      </c>
      <c r="K4" s="5">
        <v>2</v>
      </c>
      <c r="L4" s="61">
        <v>-57.199999999999996</v>
      </c>
      <c r="N4" s="76" t="s">
        <v>105</v>
      </c>
      <c r="O4" s="83">
        <f t="shared" si="0"/>
        <v>-5825</v>
      </c>
      <c r="P4" s="80">
        <v>4</v>
      </c>
      <c r="Q4" s="64">
        <v>-23300</v>
      </c>
    </row>
    <row r="5" spans="1:17">
      <c r="A5" s="19" t="s">
        <v>7</v>
      </c>
      <c r="B5" s="126">
        <f>IF(B$2=0,0,B$4/B$2)</f>
        <v>-31.999999999999996</v>
      </c>
      <c r="C5" s="127"/>
      <c r="E5" s="33" t="s">
        <v>54</v>
      </c>
      <c r="F5" s="30" t="s">
        <v>20</v>
      </c>
      <c r="G5" s="13">
        <v>2</v>
      </c>
      <c r="H5" s="94">
        <f>IF(B$17=0,0,G5/B$17)</f>
        <v>0.2857142857142857</v>
      </c>
      <c r="I5" s="56">
        <v>27</v>
      </c>
      <c r="K5" s="5">
        <v>3</v>
      </c>
      <c r="L5" s="61">
        <v>-87.199999999999989</v>
      </c>
      <c r="N5" s="76" t="s">
        <v>157</v>
      </c>
      <c r="O5" s="83">
        <f>IF(P5=0,0,Q5/P5)</f>
        <v>-600</v>
      </c>
      <c r="P5" s="80">
        <v>4</v>
      </c>
      <c r="Q5" s="64">
        <v>-2400</v>
      </c>
    </row>
    <row r="6" spans="1:17">
      <c r="A6" s="19" t="s">
        <v>1</v>
      </c>
      <c r="B6" s="128">
        <f>IF(B$2=0,0,(B$7*1+B$8*2+B$9*3+B$10*4)/B$2)</f>
        <v>3.25</v>
      </c>
      <c r="C6" s="129"/>
      <c r="E6" s="33" t="s">
        <v>184</v>
      </c>
      <c r="F6" s="30" t="s">
        <v>187</v>
      </c>
      <c r="G6" s="13">
        <v>2</v>
      </c>
      <c r="H6" s="94">
        <f>IF(B$17=0,0,G6/B$17)</f>
        <v>0.2857142857142857</v>
      </c>
      <c r="I6" s="56">
        <v>32</v>
      </c>
      <c r="K6" s="5">
        <v>4</v>
      </c>
      <c r="L6" s="61">
        <v>-127.99999999999999</v>
      </c>
      <c r="N6" s="76" t="s">
        <v>106</v>
      </c>
      <c r="O6" s="83">
        <f t="shared" ref="O6" si="1">IF(P6=0,0,Q6/P6)</f>
        <v>-3333.3333333333335</v>
      </c>
      <c r="P6" s="80">
        <v>3</v>
      </c>
      <c r="Q6" s="64">
        <v>-10000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58</v>
      </c>
      <c r="F7" s="30" t="s">
        <v>22</v>
      </c>
      <c r="G7" s="13">
        <v>1</v>
      </c>
      <c r="H7" s="94">
        <f>IF(B$17=0,0,G7/B$17)</f>
        <v>0.14285714285714285</v>
      </c>
      <c r="I7" s="56">
        <v>5</v>
      </c>
      <c r="N7" s="76" t="s">
        <v>107</v>
      </c>
      <c r="O7" s="83">
        <f t="shared" si="0"/>
        <v>-2250</v>
      </c>
      <c r="P7" s="80">
        <v>2</v>
      </c>
      <c r="Q7" s="64">
        <v>-4500</v>
      </c>
    </row>
    <row r="8" spans="1:17">
      <c r="A8" s="19" t="s">
        <v>3</v>
      </c>
      <c r="B8" s="13">
        <v>1</v>
      </c>
      <c r="C8" s="6">
        <f>IF(B$2=0,0,B8/B$2)</f>
        <v>0.25</v>
      </c>
      <c r="E8" s="33" t="s">
        <v>67</v>
      </c>
      <c r="F8" s="30" t="s">
        <v>31</v>
      </c>
      <c r="G8" s="13">
        <v>1</v>
      </c>
      <c r="H8" s="94">
        <f>IF(B$17=0,0,G8/B$17)</f>
        <v>0.14285714285714285</v>
      </c>
      <c r="I8" s="56">
        <v>1</v>
      </c>
      <c r="N8" s="76" t="s">
        <v>108</v>
      </c>
      <c r="O8" s="83">
        <f t="shared" si="0"/>
        <v>6000</v>
      </c>
      <c r="P8" s="80">
        <v>2</v>
      </c>
      <c r="Q8" s="64">
        <v>12000</v>
      </c>
    </row>
    <row r="9" spans="1:17">
      <c r="A9" s="20" t="s">
        <v>4</v>
      </c>
      <c r="B9" s="14">
        <v>1</v>
      </c>
      <c r="C9" s="7">
        <f>IF(B$2=0,0,B9/B$2)</f>
        <v>0.25</v>
      </c>
      <c r="E9" s="33" t="s">
        <v>182</v>
      </c>
      <c r="F9" s="30" t="s">
        <v>19</v>
      </c>
      <c r="G9" s="13">
        <v>0</v>
      </c>
      <c r="H9" s="94">
        <f>IF(B$17=0,0,G9/B$17)</f>
        <v>0</v>
      </c>
      <c r="I9" s="56">
        <v>27</v>
      </c>
      <c r="N9" s="77" t="s">
        <v>158</v>
      </c>
      <c r="O9" s="84">
        <f t="shared" si="0"/>
        <v>1500</v>
      </c>
      <c r="P9" s="81">
        <v>1</v>
      </c>
      <c r="Q9" s="65">
        <v>1500</v>
      </c>
    </row>
    <row r="10" spans="1:17">
      <c r="A10" s="20" t="s">
        <v>152</v>
      </c>
      <c r="B10" s="14">
        <v>2</v>
      </c>
      <c r="C10" s="7">
        <f>IF(B$2=0,0,B10/B$2)</f>
        <v>0.5</v>
      </c>
      <c r="E10" s="33" t="s">
        <v>55</v>
      </c>
      <c r="F10" s="30" t="s">
        <v>155</v>
      </c>
      <c r="G10" s="13">
        <v>0</v>
      </c>
      <c r="H10" s="94">
        <f>IF(B$17=0,0,G10/B$17)</f>
        <v>0</v>
      </c>
      <c r="I10" s="56">
        <v>35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0.25</v>
      </c>
      <c r="E11" s="33" t="s">
        <v>57</v>
      </c>
      <c r="F11" s="30" t="s">
        <v>21</v>
      </c>
      <c r="G11" s="13">
        <v>0</v>
      </c>
      <c r="H11" s="94">
        <f>IF(B$17=0,0,G11/B$17)</f>
        <v>0</v>
      </c>
      <c r="I11" s="56">
        <v>32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0.25</v>
      </c>
      <c r="E12" s="33" t="s">
        <v>59</v>
      </c>
      <c r="F12" s="30" t="s">
        <v>23</v>
      </c>
      <c r="G12" s="13">
        <v>0</v>
      </c>
      <c r="H12" s="94">
        <f>IF(B$17=0,0,G12/B$17)</f>
        <v>0</v>
      </c>
      <c r="I12" s="56">
        <v>26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4</v>
      </c>
      <c r="C13" s="11">
        <f>IF(B$3=0,0,B13/B$3)</f>
        <v>0.11428571428571428</v>
      </c>
      <c r="E13" s="33" t="s">
        <v>61</v>
      </c>
      <c r="F13" s="30" t="s">
        <v>25</v>
      </c>
      <c r="G13" s="13">
        <v>0</v>
      </c>
      <c r="H13" s="94">
        <f>IF(B$17=0,0,G13/B$17)</f>
        <v>0</v>
      </c>
      <c r="I13" s="56">
        <v>5</v>
      </c>
      <c r="N13" s="76" t="s">
        <v>127</v>
      </c>
      <c r="O13" s="86">
        <f>IF(P13=0,0,Q13/P13)</f>
        <v>-60.9</v>
      </c>
      <c r="P13" s="80">
        <v>1</v>
      </c>
      <c r="Q13" s="68">
        <v>-60.9</v>
      </c>
    </row>
    <row r="14" spans="1:17">
      <c r="A14" s="19" t="s">
        <v>94</v>
      </c>
      <c r="B14" s="13">
        <v>6</v>
      </c>
      <c r="C14" s="6">
        <f>IF(B$3=0,0,B14/B$3)</f>
        <v>0.17142857142857143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6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3</v>
      </c>
      <c r="C15" s="4">
        <f>IF(B$13=0,0,B15/B$13)</f>
        <v>0.75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-22.366666666666664</v>
      </c>
      <c r="P15" s="81">
        <v>3</v>
      </c>
      <c r="Q15" s="69">
        <v>-67.099999999999994</v>
      </c>
    </row>
    <row r="16" spans="1:17">
      <c r="A16" s="18" t="s">
        <v>100</v>
      </c>
      <c r="B16" s="12">
        <f>B22</f>
        <v>4</v>
      </c>
      <c r="C16" s="4">
        <f>IF(B$14=0,0,B16/B$14)</f>
        <v>0.66666666666666663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7</v>
      </c>
      <c r="C17" s="4">
        <f>IF(B$3=0,0,B17/B$3)</f>
        <v>0.2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4</v>
      </c>
      <c r="C18" s="6">
        <f>IF(B$3=0,0,B18/B$3)</f>
        <v>0.11428571428571428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9</v>
      </c>
      <c r="N18" s="75" t="s">
        <v>177</v>
      </c>
      <c r="O18" s="85">
        <f t="shared" ref="O18:O24" si="3">IF(P18=0,0,Q18/P18)</f>
        <v>62.300000000000004</v>
      </c>
      <c r="P18" s="79">
        <v>1</v>
      </c>
      <c r="Q18" s="67">
        <v>62.300000000000004</v>
      </c>
    </row>
    <row r="19" spans="1:17">
      <c r="A19" s="19" t="s">
        <v>12</v>
      </c>
      <c r="B19" s="13">
        <v>4</v>
      </c>
      <c r="C19" s="6">
        <f>IF(B$17=0,0,B19/B$17)</f>
        <v>0.5714285714285714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16</v>
      </c>
      <c r="N19" s="76" t="s">
        <v>161</v>
      </c>
      <c r="O19" s="86">
        <f t="shared" si="3"/>
        <v>-13.549999999999997</v>
      </c>
      <c r="P19" s="80">
        <v>2</v>
      </c>
      <c r="Q19" s="68">
        <v>-27.099999999999994</v>
      </c>
    </row>
    <row r="20" spans="1:17">
      <c r="A20" s="19" t="s">
        <v>11</v>
      </c>
      <c r="B20" s="13">
        <v>3</v>
      </c>
      <c r="C20" s="6">
        <f>IF(B$17=0,0,B20/B$17)</f>
        <v>0.42857142857142855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1</v>
      </c>
      <c r="N20" s="76" t="s">
        <v>179</v>
      </c>
      <c r="O20" s="86">
        <f t="shared" si="3"/>
        <v>-25.599999999999998</v>
      </c>
      <c r="P20" s="80">
        <v>2</v>
      </c>
      <c r="Q20" s="68">
        <v>-51.199999999999996</v>
      </c>
    </row>
    <row r="21" spans="1:17">
      <c r="A21" s="19" t="s">
        <v>151</v>
      </c>
      <c r="B21" s="13">
        <v>3</v>
      </c>
      <c r="C21" s="6">
        <f>IF(B$17=0,0,B21/B$17)</f>
        <v>0.42857142857142855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8</v>
      </c>
      <c r="N21" s="76" t="s">
        <v>169</v>
      </c>
      <c r="O21" s="86">
        <f t="shared" si="3"/>
        <v>-53.75</v>
      </c>
      <c r="P21" s="80">
        <v>4</v>
      </c>
      <c r="Q21" s="68">
        <v>-215</v>
      </c>
    </row>
    <row r="22" spans="1:17">
      <c r="A22" s="19" t="s">
        <v>149</v>
      </c>
      <c r="B22" s="13">
        <v>4</v>
      </c>
      <c r="C22" s="6">
        <f>IF(B$17=0,0,B22/B$17)</f>
        <v>0.5714285714285714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167</v>
      </c>
      <c r="O22" s="86">
        <f t="shared" si="3"/>
        <v>-74.900000000000006</v>
      </c>
      <c r="P22" s="80">
        <v>1</v>
      </c>
      <c r="Q22" s="68">
        <v>-74.900000000000006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14</v>
      </c>
      <c r="N23" s="76" t="s">
        <v>162</v>
      </c>
      <c r="O23" s="86">
        <f t="shared" si="3"/>
        <v>-84.1</v>
      </c>
      <c r="P23" s="80">
        <v>1</v>
      </c>
      <c r="Q23" s="68">
        <v>-84.1</v>
      </c>
    </row>
    <row r="24" spans="1:17">
      <c r="A24" s="19" t="s">
        <v>5</v>
      </c>
      <c r="B24" s="16">
        <f>IF(B$17=0,0,C24/B$17)</f>
        <v>2928.5714285714284</v>
      </c>
      <c r="C24" s="8">
        <v>20500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168</v>
      </c>
      <c r="O24" s="86">
        <f t="shared" si="3"/>
        <v>-122</v>
      </c>
      <c r="P24" s="80">
        <v>1</v>
      </c>
      <c r="Q24" s="68">
        <v>-122</v>
      </c>
    </row>
    <row r="25" spans="1:17">
      <c r="A25" s="20" t="s">
        <v>133</v>
      </c>
      <c r="B25" s="97">
        <f>IF($B$17-B$16=0,0,C25/($B$17-B$16))</f>
        <v>4666.666666666667</v>
      </c>
      <c r="C25" s="98">
        <v>14000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1625</v>
      </c>
      <c r="C26" s="98">
        <v>6500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12</v>
      </c>
    </row>
    <row r="27" spans="1:17">
      <c r="A27" s="20" t="s">
        <v>132</v>
      </c>
      <c r="B27" s="97">
        <f>IF(B$18=0,0,C27/B$18)</f>
        <v>-11400</v>
      </c>
      <c r="C27" s="98">
        <v>-45600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4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5</v>
      </c>
    </row>
    <row r="29" spans="1:17">
      <c r="A29" s="19" t="s">
        <v>131</v>
      </c>
      <c r="B29" s="13">
        <v>18</v>
      </c>
      <c r="C29" s="96">
        <v>3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16</v>
      </c>
    </row>
    <row r="30" spans="1:17">
      <c r="A30" s="52" t="s">
        <v>111</v>
      </c>
      <c r="B30" s="114">
        <v>1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7</v>
      </c>
    </row>
    <row r="31" spans="1:17">
      <c r="A31" s="22" t="s">
        <v>148</v>
      </c>
      <c r="B31" s="116">
        <v>23700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0.2857142857142857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3</v>
      </c>
      <c r="C36" s="6">
        <f t="shared" si="4"/>
        <v>0.42857142857142855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4"/>
        <v>0.14285714285714285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0.14285714285714285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1527AE-0C2A-4C31-964E-CDDF90FC7C51}">
  <sheetPr codeName="Sheet11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167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184</v>
      </c>
      <c r="F2" s="29" t="s">
        <v>187</v>
      </c>
      <c r="G2" s="12">
        <v>3</v>
      </c>
      <c r="H2" s="93">
        <f>IF(B$17=0,0,G2/B$17)</f>
        <v>1.5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-2500</v>
      </c>
      <c r="P2" s="79">
        <v>1</v>
      </c>
      <c r="Q2" s="63">
        <v>-2500</v>
      </c>
    </row>
    <row r="3" spans="1:17">
      <c r="A3" s="19" t="s">
        <v>8</v>
      </c>
      <c r="B3" s="122">
        <v>7</v>
      </c>
      <c r="C3" s="123"/>
      <c r="E3" s="33" t="s">
        <v>55</v>
      </c>
      <c r="F3" s="30" t="s">
        <v>155</v>
      </c>
      <c r="G3" s="13">
        <v>2</v>
      </c>
      <c r="H3" s="94">
        <f>IF(B$17=0,0,G3/B$17)</f>
        <v>1</v>
      </c>
      <c r="I3" s="56">
        <v>1</v>
      </c>
      <c r="K3" s="5">
        <v>1</v>
      </c>
      <c r="L3" s="61">
        <v>14</v>
      </c>
      <c r="N3" s="76" t="s">
        <v>104</v>
      </c>
      <c r="O3" s="83">
        <f t="shared" si="0"/>
        <v>13000</v>
      </c>
      <c r="P3" s="80">
        <v>1</v>
      </c>
      <c r="Q3" s="64">
        <v>13000</v>
      </c>
    </row>
    <row r="4" spans="1:17">
      <c r="A4" s="19" t="s">
        <v>6</v>
      </c>
      <c r="B4" s="124">
        <v>14</v>
      </c>
      <c r="C4" s="125"/>
      <c r="E4" s="33" t="s">
        <v>181</v>
      </c>
      <c r="F4" s="30" t="s">
        <v>156</v>
      </c>
      <c r="G4" s="13">
        <v>1</v>
      </c>
      <c r="H4" s="94">
        <f>IF(B$17=0,0,G4/B$17)</f>
        <v>0.5</v>
      </c>
      <c r="I4" s="56">
        <v>18</v>
      </c>
      <c r="N4" s="76" t="s">
        <v>105</v>
      </c>
      <c r="O4" s="83">
        <f t="shared" si="0"/>
        <v>-6000</v>
      </c>
      <c r="P4" s="80">
        <v>1</v>
      </c>
      <c r="Q4" s="64">
        <v>-6000</v>
      </c>
    </row>
    <row r="5" spans="1:17">
      <c r="A5" s="19" t="s">
        <v>7</v>
      </c>
      <c r="B5" s="126">
        <f>IF(B$2=0,0,B$4/B$2)</f>
        <v>14</v>
      </c>
      <c r="C5" s="127"/>
      <c r="E5" s="33" t="s">
        <v>54</v>
      </c>
      <c r="F5" s="30" t="s">
        <v>20</v>
      </c>
      <c r="G5" s="13">
        <v>1</v>
      </c>
      <c r="H5" s="94">
        <f>IF(B$17=0,0,G5/B$17)</f>
        <v>0.5</v>
      </c>
      <c r="I5" s="56">
        <v>20</v>
      </c>
      <c r="N5" s="76" t="s">
        <v>157</v>
      </c>
      <c r="O5" s="83">
        <f>IF(P5=0,0,Q5/P5)</f>
        <v>4500</v>
      </c>
      <c r="P5" s="80">
        <v>1</v>
      </c>
      <c r="Q5" s="64">
        <v>4500</v>
      </c>
    </row>
    <row r="6" spans="1:17">
      <c r="A6" s="19" t="s">
        <v>1</v>
      </c>
      <c r="B6" s="128">
        <f>IF(B$2=0,0,(B$7*1+B$8*2+B$9*3+B$10*4)/B$2)</f>
        <v>2</v>
      </c>
      <c r="C6" s="129"/>
      <c r="E6" s="33" t="s">
        <v>56</v>
      </c>
      <c r="F6" s="30" t="s">
        <v>185</v>
      </c>
      <c r="G6" s="13">
        <v>1</v>
      </c>
      <c r="H6" s="94">
        <f>IF(B$17=0,0,G6/B$17)</f>
        <v>0.5</v>
      </c>
      <c r="I6" s="56">
        <v>1</v>
      </c>
      <c r="N6" s="76" t="s">
        <v>106</v>
      </c>
      <c r="O6" s="83">
        <f t="shared" ref="O6" si="1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1</v>
      </c>
      <c r="H7" s="94">
        <f>IF(B$17=0,0,G7/B$17)</f>
        <v>0.5</v>
      </c>
      <c r="I7" s="56">
        <v>3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1</v>
      </c>
      <c r="C8" s="6">
        <f>IF(B$2=0,0,B8/B$2)</f>
        <v>1</v>
      </c>
      <c r="E8" s="33" t="s">
        <v>182</v>
      </c>
      <c r="F8" s="30" t="s">
        <v>19</v>
      </c>
      <c r="G8" s="13">
        <v>0</v>
      </c>
      <c r="H8" s="94">
        <f>IF(B$17=0,0,G8/B$17)</f>
        <v>0</v>
      </c>
      <c r="I8" s="56">
        <v>27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24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26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1</v>
      </c>
      <c r="E11" s="33" t="s">
        <v>60</v>
      </c>
      <c r="F11" s="30" t="s">
        <v>24</v>
      </c>
      <c r="G11" s="13">
        <v>0</v>
      </c>
      <c r="H11" s="94">
        <f>IF(B$17=0,0,G11/B$17)</f>
        <v>0</v>
      </c>
      <c r="I11" s="56">
        <v>37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5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2</v>
      </c>
      <c r="C13" s="11">
        <f>IF(B$3=0,0,B13/B$3)</f>
        <v>0.2857142857142857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6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1</v>
      </c>
      <c r="C14" s="6">
        <f>IF(B$3=0,0,B14/B$3)</f>
        <v>0.14285714285714285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14</v>
      </c>
      <c r="P14" s="80">
        <v>1</v>
      </c>
      <c r="Q14" s="68">
        <v>14</v>
      </c>
    </row>
    <row r="15" spans="1:17">
      <c r="A15" s="18" t="s">
        <v>99</v>
      </c>
      <c r="B15" s="12">
        <f>B21</f>
        <v>1</v>
      </c>
      <c r="C15" s="4">
        <f>IF(B$13=0,0,B15/B$13)</f>
        <v>0.5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</v>
      </c>
      <c r="C17" s="4">
        <f>IF(B$3=0,0,B17/B$3)</f>
        <v>0.2857142857142857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8</v>
      </c>
      <c r="N18" s="75" t="s">
        <v>166</v>
      </c>
      <c r="O18" s="85">
        <f>IF(P18=0,0,Q18/P18)</f>
        <v>74.900000000000006</v>
      </c>
      <c r="P18" s="79">
        <v>1</v>
      </c>
      <c r="Q18" s="67">
        <v>74.900000000000006</v>
      </c>
    </row>
    <row r="19" spans="1:17">
      <c r="A19" s="19" t="s">
        <v>12</v>
      </c>
      <c r="B19" s="13">
        <v>1</v>
      </c>
      <c r="C19" s="6">
        <f>IF(B$17=0,0,B19/B$17)</f>
        <v>0.5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16</v>
      </c>
      <c r="N19" s="76" t="s">
        <v>169</v>
      </c>
      <c r="O19" s="86">
        <f>IF(P19=0,0,Q19/P19)</f>
        <v>28.2</v>
      </c>
      <c r="P19" s="80">
        <v>1</v>
      </c>
      <c r="Q19" s="68">
        <v>28.2</v>
      </c>
    </row>
    <row r="20" spans="1:17">
      <c r="A20" s="19" t="s">
        <v>11</v>
      </c>
      <c r="B20" s="13">
        <v>1</v>
      </c>
      <c r="C20" s="6">
        <f>IF(B$17=0,0,B20/B$17)</f>
        <v>0.5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1</v>
      </c>
      <c r="N20" s="76" t="s">
        <v>168</v>
      </c>
      <c r="O20" s="86">
        <f>IF(P20=0,0,Q20/P20)</f>
        <v>-47.1</v>
      </c>
      <c r="P20" s="80">
        <v>1</v>
      </c>
      <c r="Q20" s="68">
        <v>-47.1</v>
      </c>
    </row>
    <row r="21" spans="1:17">
      <c r="A21" s="19" t="s">
        <v>151</v>
      </c>
      <c r="B21" s="13">
        <v>1</v>
      </c>
      <c r="C21" s="6">
        <f>IF(B$17=0,0,B21/B$17)</f>
        <v>0.5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8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</row>
    <row r="23" spans="1:17">
      <c r="A23" s="19" t="s">
        <v>150</v>
      </c>
      <c r="B23" s="13">
        <v>1</v>
      </c>
      <c r="C23" s="6">
        <f>IF(B$17=0,0,B23/B$17)</f>
        <v>0.5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14</v>
      </c>
    </row>
    <row r="24" spans="1:17">
      <c r="A24" s="19" t="s">
        <v>5</v>
      </c>
      <c r="B24" s="16">
        <f>IF(B$17=0,0,C24/B$17)</f>
        <v>8600</v>
      </c>
      <c r="C24" s="8">
        <v>17200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8600</v>
      </c>
      <c r="C25" s="98">
        <v>17200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12</v>
      </c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5</v>
      </c>
    </row>
    <row r="29" spans="1:17">
      <c r="A29" s="19" t="s">
        <v>131</v>
      </c>
      <c r="B29" s="13">
        <v>7</v>
      </c>
      <c r="C29" s="96">
        <v>7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16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7</v>
      </c>
    </row>
    <row r="31" spans="1:17">
      <c r="A31" s="22" t="s">
        <v>148</v>
      </c>
      <c r="B31" s="116">
        <v>34000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3"/>
        <v>0.5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3"/>
        <v>0.5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554A5B-02BB-40EF-B4EC-7F48CED13480}">
  <sheetPr codeName="Sheet1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168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18</v>
      </c>
      <c r="C2" s="121"/>
      <c r="E2" s="32" t="s">
        <v>54</v>
      </c>
      <c r="F2" s="29" t="s">
        <v>20</v>
      </c>
      <c r="G2" s="12">
        <v>24</v>
      </c>
      <c r="H2" s="93">
        <f>IF(B$17=0,0,G2/B$17)</f>
        <v>0.55813953488372092</v>
      </c>
      <c r="I2" s="55">
        <v>15</v>
      </c>
      <c r="K2" s="3">
        <v>0</v>
      </c>
      <c r="L2" s="60">
        <v>0</v>
      </c>
      <c r="N2" s="75" t="s">
        <v>103</v>
      </c>
      <c r="O2" s="82">
        <f t="shared" ref="O2:O9" si="0">IF(P2=0,0,Q2/P2)</f>
        <v>-38.888888888888886</v>
      </c>
      <c r="P2" s="79">
        <v>18</v>
      </c>
      <c r="Q2" s="63">
        <v>-700</v>
      </c>
    </row>
    <row r="3" spans="1:17">
      <c r="A3" s="19" t="s">
        <v>8</v>
      </c>
      <c r="B3" s="122">
        <v>142</v>
      </c>
      <c r="C3" s="123"/>
      <c r="E3" s="33" t="s">
        <v>181</v>
      </c>
      <c r="F3" s="30" t="s">
        <v>156</v>
      </c>
      <c r="G3" s="13">
        <v>20</v>
      </c>
      <c r="H3" s="94">
        <f>IF(B$17=0,0,G3/B$17)</f>
        <v>0.46511627906976744</v>
      </c>
      <c r="I3" s="56">
        <v>30</v>
      </c>
      <c r="K3" s="5">
        <v>1</v>
      </c>
      <c r="L3" s="61">
        <v>61.1</v>
      </c>
      <c r="N3" s="76" t="s">
        <v>104</v>
      </c>
      <c r="O3" s="83">
        <f t="shared" si="0"/>
        <v>-2133.3333333333335</v>
      </c>
      <c r="P3" s="80">
        <v>18</v>
      </c>
      <c r="Q3" s="64">
        <v>-38400</v>
      </c>
    </row>
    <row r="4" spans="1:17">
      <c r="A4" s="19" t="s">
        <v>6</v>
      </c>
      <c r="B4" s="124">
        <v>154.39999999999998</v>
      </c>
      <c r="C4" s="125"/>
      <c r="E4" s="33" t="s">
        <v>184</v>
      </c>
      <c r="F4" s="30" t="s">
        <v>187</v>
      </c>
      <c r="G4" s="13">
        <v>15</v>
      </c>
      <c r="H4" s="94">
        <f>IF(B$17=0,0,G4/B$17)</f>
        <v>0.34883720930232559</v>
      </c>
      <c r="I4" s="56">
        <v>27</v>
      </c>
      <c r="K4" s="5">
        <v>2</v>
      </c>
      <c r="L4" s="61">
        <v>117.7</v>
      </c>
      <c r="N4" s="76" t="s">
        <v>105</v>
      </c>
      <c r="O4" s="83">
        <f t="shared" si="0"/>
        <v>855.55555555555554</v>
      </c>
      <c r="P4" s="80">
        <v>18</v>
      </c>
      <c r="Q4" s="64">
        <v>15400</v>
      </c>
    </row>
    <row r="5" spans="1:17">
      <c r="A5" s="19" t="s">
        <v>7</v>
      </c>
      <c r="B5" s="126">
        <f>IF(B$2=0,0,B$4/B$2)</f>
        <v>8.5777777777777757</v>
      </c>
      <c r="C5" s="127"/>
      <c r="E5" s="33" t="s">
        <v>55</v>
      </c>
      <c r="F5" s="30" t="s">
        <v>155</v>
      </c>
      <c r="G5" s="13">
        <v>14</v>
      </c>
      <c r="H5" s="94">
        <f>IF(B$17=0,0,G5/B$17)</f>
        <v>0.32558139534883723</v>
      </c>
      <c r="I5" s="56">
        <v>8</v>
      </c>
      <c r="K5" s="5">
        <v>3</v>
      </c>
      <c r="L5" s="61">
        <v>130.9</v>
      </c>
      <c r="N5" s="76" t="s">
        <v>157</v>
      </c>
      <c r="O5" s="83">
        <f>IF(P5=0,0,Q5/P5)</f>
        <v>2082.3529411764707</v>
      </c>
      <c r="P5" s="80">
        <v>17</v>
      </c>
      <c r="Q5" s="64">
        <v>35400</v>
      </c>
    </row>
    <row r="6" spans="1:17">
      <c r="A6" s="19" t="s">
        <v>1</v>
      </c>
      <c r="B6" s="128">
        <f>IF(B$2=0,0,(B$7*1+B$8*2+B$9*3+B$10*4)/B$2)</f>
        <v>2.3333333333333335</v>
      </c>
      <c r="C6" s="129"/>
      <c r="E6" s="33" t="s">
        <v>60</v>
      </c>
      <c r="F6" s="30" t="s">
        <v>24</v>
      </c>
      <c r="G6" s="13">
        <v>13</v>
      </c>
      <c r="H6" s="94">
        <f>IF(B$17=0,0,G6/B$17)</f>
        <v>0.30232558139534882</v>
      </c>
      <c r="I6" s="56">
        <v>28</v>
      </c>
      <c r="K6" s="5">
        <v>4</v>
      </c>
      <c r="L6" s="61">
        <v>67.600000000000009</v>
      </c>
      <c r="N6" s="76" t="s">
        <v>106</v>
      </c>
      <c r="O6" s="83">
        <f t="shared" ref="O6" si="1">IF(P6=0,0,Q6/P6)</f>
        <v>268.75</v>
      </c>
      <c r="P6" s="80">
        <v>16</v>
      </c>
      <c r="Q6" s="64">
        <v>4300</v>
      </c>
    </row>
    <row r="7" spans="1:17">
      <c r="A7" s="19" t="s">
        <v>2</v>
      </c>
      <c r="B7" s="13">
        <v>7</v>
      </c>
      <c r="C7" s="6">
        <f t="shared" ref="C7:C12" si="2">IF(B$2=0,0,B7/B$2)</f>
        <v>0.3888888888888889</v>
      </c>
      <c r="E7" s="33" t="s">
        <v>56</v>
      </c>
      <c r="F7" s="30" t="s">
        <v>185</v>
      </c>
      <c r="G7" s="13">
        <v>11</v>
      </c>
      <c r="H7" s="94">
        <f>IF(B$17=0,0,G7/B$17)</f>
        <v>0.2558139534883721</v>
      </c>
      <c r="I7" s="56">
        <v>21</v>
      </c>
      <c r="K7" s="5">
        <v>5</v>
      </c>
      <c r="L7" s="61">
        <v>127.9</v>
      </c>
      <c r="N7" s="76" t="s">
        <v>107</v>
      </c>
      <c r="O7" s="83">
        <f t="shared" si="0"/>
        <v>2930.7692307692309</v>
      </c>
      <c r="P7" s="80">
        <v>13</v>
      </c>
      <c r="Q7" s="64">
        <v>38100</v>
      </c>
    </row>
    <row r="8" spans="1:17">
      <c r="A8" s="19" t="s">
        <v>3</v>
      </c>
      <c r="B8" s="13">
        <v>3</v>
      </c>
      <c r="C8" s="6">
        <f>IF(B$2=0,0,B8/B$2)</f>
        <v>0.16666666666666666</v>
      </c>
      <c r="E8" s="33" t="s">
        <v>59</v>
      </c>
      <c r="F8" s="30" t="s">
        <v>23</v>
      </c>
      <c r="G8" s="13">
        <v>8</v>
      </c>
      <c r="H8" s="94">
        <f>IF(B$17=0,0,G8/B$17)</f>
        <v>0.18604651162790697</v>
      </c>
      <c r="I8" s="56">
        <v>14</v>
      </c>
      <c r="K8" s="5">
        <v>6</v>
      </c>
      <c r="L8" s="61">
        <v>81.5</v>
      </c>
      <c r="N8" s="76" t="s">
        <v>108</v>
      </c>
      <c r="O8" s="83">
        <f t="shared" si="0"/>
        <v>-1033.3333333333333</v>
      </c>
      <c r="P8" s="80">
        <v>9</v>
      </c>
      <c r="Q8" s="64">
        <v>-9300</v>
      </c>
    </row>
    <row r="9" spans="1:17">
      <c r="A9" s="20" t="s">
        <v>4</v>
      </c>
      <c r="B9" s="14">
        <v>3</v>
      </c>
      <c r="C9" s="7">
        <f>IF(B$2=0,0,B9/B$2)</f>
        <v>0.16666666666666666</v>
      </c>
      <c r="E9" s="33" t="s">
        <v>182</v>
      </c>
      <c r="F9" s="30" t="s">
        <v>19</v>
      </c>
      <c r="G9" s="13">
        <v>7</v>
      </c>
      <c r="H9" s="94">
        <f>IF(B$17=0,0,G9/B$17)</f>
        <v>0.16279069767441862</v>
      </c>
      <c r="I9" s="56">
        <v>13</v>
      </c>
      <c r="K9" s="5">
        <v>7</v>
      </c>
      <c r="L9" s="61">
        <v>49.4</v>
      </c>
      <c r="N9" s="77" t="s">
        <v>158</v>
      </c>
      <c r="O9" s="84">
        <f t="shared" si="0"/>
        <v>-850</v>
      </c>
      <c r="P9" s="81">
        <v>4</v>
      </c>
      <c r="Q9" s="65">
        <v>-3400</v>
      </c>
    </row>
    <row r="10" spans="1:17">
      <c r="A10" s="20" t="s">
        <v>152</v>
      </c>
      <c r="B10" s="14">
        <v>5</v>
      </c>
      <c r="C10" s="7">
        <f>IF(B$2=0,0,B10/B$2)</f>
        <v>0.27777777777777779</v>
      </c>
      <c r="E10" s="33" t="s">
        <v>57</v>
      </c>
      <c r="F10" s="30" t="s">
        <v>21</v>
      </c>
      <c r="G10" s="13">
        <v>7</v>
      </c>
      <c r="H10" s="94">
        <f>IF(B$17=0,0,G10/B$17)</f>
        <v>0.16279069767441862</v>
      </c>
      <c r="I10" s="56">
        <v>25</v>
      </c>
      <c r="K10" s="5">
        <v>8</v>
      </c>
      <c r="L10" s="61">
        <v>3.2999999999999972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10</v>
      </c>
      <c r="C11" s="7">
        <f>IF(B$2=0,0,B11/B$2)</f>
        <v>0.55555555555555558</v>
      </c>
      <c r="E11" s="33" t="s">
        <v>183</v>
      </c>
      <c r="F11" s="30" t="s">
        <v>186</v>
      </c>
      <c r="G11" s="13">
        <v>5</v>
      </c>
      <c r="H11" s="94">
        <f>IF(B$17=0,0,G11/B$17)</f>
        <v>0.11627906976744186</v>
      </c>
      <c r="I11" s="56">
        <v>3</v>
      </c>
      <c r="K11" s="5">
        <v>9</v>
      </c>
      <c r="L11" s="61">
        <v>66.199999999999989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5.5555555555555552E-2</v>
      </c>
      <c r="E12" s="33" t="s">
        <v>71</v>
      </c>
      <c r="F12" s="30" t="s">
        <v>35</v>
      </c>
      <c r="G12" s="13">
        <v>2</v>
      </c>
      <c r="H12" s="94">
        <f>IF(B$17=0,0,G12/B$17)</f>
        <v>4.6511627906976744E-2</v>
      </c>
      <c r="I12" s="56">
        <v>11</v>
      </c>
      <c r="K12" s="5">
        <v>10</v>
      </c>
      <c r="L12" s="61">
        <v>56.099999999999987</v>
      </c>
      <c r="N12" s="75" t="s">
        <v>126</v>
      </c>
      <c r="O12" s="85">
        <f>IF(P12=0,0,Q12/P12)</f>
        <v>-46.4</v>
      </c>
      <c r="P12" s="79">
        <v>1</v>
      </c>
      <c r="Q12" s="67">
        <v>-46.4</v>
      </c>
    </row>
    <row r="13" spans="1:17">
      <c r="A13" s="22" t="s">
        <v>97</v>
      </c>
      <c r="B13" s="15">
        <v>28</v>
      </c>
      <c r="C13" s="11">
        <f>IF(B$3=0,0,B13/B$3)</f>
        <v>0.19718309859154928</v>
      </c>
      <c r="E13" s="33" t="s">
        <v>58</v>
      </c>
      <c r="F13" s="30" t="s">
        <v>22</v>
      </c>
      <c r="G13" s="13">
        <v>1</v>
      </c>
      <c r="H13" s="94">
        <f>IF(B$17=0,0,G13/B$17)</f>
        <v>2.3255813953488372E-2</v>
      </c>
      <c r="I13" s="56">
        <v>23</v>
      </c>
      <c r="K13" s="5">
        <v>11</v>
      </c>
      <c r="L13" s="61">
        <v>109.69999999999999</v>
      </c>
      <c r="N13" s="76" t="s">
        <v>127</v>
      </c>
      <c r="O13" s="86">
        <f>IF(P13=0,0,Q13/P13)</f>
        <v>8.0499999999999972</v>
      </c>
      <c r="P13" s="80">
        <v>6</v>
      </c>
      <c r="Q13" s="68">
        <v>48.299999999999983</v>
      </c>
    </row>
    <row r="14" spans="1:17">
      <c r="A14" s="19" t="s">
        <v>94</v>
      </c>
      <c r="B14" s="13">
        <v>47</v>
      </c>
      <c r="C14" s="6">
        <f>IF(B$3=0,0,B14/B$3)</f>
        <v>0.33098591549295775</v>
      </c>
      <c r="E14" s="33" t="s">
        <v>67</v>
      </c>
      <c r="F14" s="30" t="s">
        <v>31</v>
      </c>
      <c r="G14" s="13">
        <v>1</v>
      </c>
      <c r="H14" s="94">
        <f>IF(B$17=0,0,G14/B$17)</f>
        <v>2.3255813953488372E-2</v>
      </c>
      <c r="I14" s="56">
        <v>6</v>
      </c>
      <c r="K14" s="5">
        <v>12</v>
      </c>
      <c r="L14" s="61">
        <v>195.29999999999998</v>
      </c>
      <c r="N14" s="76" t="s">
        <v>128</v>
      </c>
      <c r="O14" s="86">
        <f>IF(P14=0,0,Q14/P14)</f>
        <v>34.6</v>
      </c>
      <c r="P14" s="80">
        <v>4</v>
      </c>
      <c r="Q14" s="68">
        <v>138.4</v>
      </c>
    </row>
    <row r="15" spans="1:17">
      <c r="A15" s="18" t="s">
        <v>99</v>
      </c>
      <c r="B15" s="12">
        <f>B21</f>
        <v>20</v>
      </c>
      <c r="C15" s="4">
        <f>IF(B$13=0,0,B15/B$13)</f>
        <v>0.7142857142857143</v>
      </c>
      <c r="E15" s="33" t="s">
        <v>69</v>
      </c>
      <c r="F15" s="30" t="s">
        <v>33</v>
      </c>
      <c r="G15" s="13">
        <v>1</v>
      </c>
      <c r="H15" s="94">
        <f>IF(B$17=0,0,G15/B$17)</f>
        <v>2.3255813953488372E-2</v>
      </c>
      <c r="I15" s="56">
        <v>6</v>
      </c>
      <c r="K15" s="5">
        <v>13</v>
      </c>
      <c r="L15" s="61">
        <v>136.29999999999998</v>
      </c>
      <c r="N15" s="77" t="s">
        <v>159</v>
      </c>
      <c r="O15" s="87">
        <f>IF(P15=0,0,Q15/P15)</f>
        <v>2.0142857142857133</v>
      </c>
      <c r="P15" s="81">
        <v>7</v>
      </c>
      <c r="Q15" s="69">
        <v>14.099999999999994</v>
      </c>
    </row>
    <row r="16" spans="1:17">
      <c r="A16" s="18" t="s">
        <v>100</v>
      </c>
      <c r="B16" s="12">
        <f>B22</f>
        <v>18</v>
      </c>
      <c r="C16" s="4">
        <f>IF(B$14=0,0,B16/B$14)</f>
        <v>0.38297872340425532</v>
      </c>
      <c r="E16" s="33" t="s">
        <v>77</v>
      </c>
      <c r="F16" s="30" t="s">
        <v>41</v>
      </c>
      <c r="G16" s="13">
        <v>1</v>
      </c>
      <c r="H16" s="94">
        <f>IF(B$17=0,0,G16/B$17)</f>
        <v>2.3255813953488372E-2</v>
      </c>
      <c r="I16" s="56">
        <v>15</v>
      </c>
      <c r="K16" s="5">
        <v>14</v>
      </c>
      <c r="L16" s="61">
        <v>144.69999999999999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43</v>
      </c>
      <c r="C17" s="4">
        <f>IF(B$3=0,0,B17/B$3)</f>
        <v>0.30281690140845069</v>
      </c>
      <c r="E17" s="33" t="s">
        <v>61</v>
      </c>
      <c r="F17" s="30" t="s">
        <v>25</v>
      </c>
      <c r="G17" s="13">
        <v>0</v>
      </c>
      <c r="H17" s="94">
        <f>IF(B$17=0,0,G17/B$17)</f>
        <v>0</v>
      </c>
      <c r="I17" s="56">
        <v>5</v>
      </c>
      <c r="K17" s="5">
        <v>15</v>
      </c>
      <c r="L17" s="61">
        <v>160.29999999999998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28</v>
      </c>
      <c r="C18" s="6">
        <f>IF(B$3=0,0,B18/B$3)</f>
        <v>0.19718309859154928</v>
      </c>
      <c r="E18" s="33" t="s">
        <v>62</v>
      </c>
      <c r="F18" s="30" t="s">
        <v>26</v>
      </c>
      <c r="G18" s="13">
        <v>0</v>
      </c>
      <c r="H18" s="94">
        <f>IF(B$17=0,0,G18/B$17)</f>
        <v>0</v>
      </c>
      <c r="I18" s="56">
        <v>6</v>
      </c>
      <c r="K18" s="5">
        <v>16</v>
      </c>
      <c r="L18" s="61">
        <v>136.1</v>
      </c>
      <c r="N18" s="75" t="s">
        <v>166</v>
      </c>
      <c r="O18" s="85">
        <f t="shared" ref="O18:O33" si="3">IF(P18=0,0,Q18/P18)</f>
        <v>122</v>
      </c>
      <c r="P18" s="79">
        <v>1</v>
      </c>
      <c r="Q18" s="67">
        <v>122</v>
      </c>
    </row>
    <row r="19" spans="1:17">
      <c r="A19" s="19" t="s">
        <v>12</v>
      </c>
      <c r="B19" s="13">
        <v>17</v>
      </c>
      <c r="C19" s="6">
        <f>IF(B$17=0,0,B19/B$17)</f>
        <v>0.39534883720930231</v>
      </c>
      <c r="E19" s="33" t="s">
        <v>63</v>
      </c>
      <c r="F19" s="30" t="s">
        <v>27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199.89999999999998</v>
      </c>
      <c r="N19" s="76" t="s">
        <v>199</v>
      </c>
      <c r="O19" s="86">
        <f t="shared" si="3"/>
        <v>111.8</v>
      </c>
      <c r="P19" s="80">
        <v>1</v>
      </c>
      <c r="Q19" s="68">
        <v>111.8</v>
      </c>
    </row>
    <row r="20" spans="1:17">
      <c r="A20" s="19" t="s">
        <v>11</v>
      </c>
      <c r="B20" s="13">
        <v>26</v>
      </c>
      <c r="C20" s="6">
        <f>IF(B$17=0,0,B20/B$17)</f>
        <v>0.60465116279069764</v>
      </c>
      <c r="E20" s="33" t="s">
        <v>64</v>
      </c>
      <c r="F20" s="30" t="s">
        <v>28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154.39999999999998</v>
      </c>
      <c r="N20" s="76" t="s">
        <v>180</v>
      </c>
      <c r="O20" s="86">
        <f t="shared" si="3"/>
        <v>65.8</v>
      </c>
      <c r="P20" s="80">
        <v>1</v>
      </c>
      <c r="Q20" s="68">
        <v>65.8</v>
      </c>
    </row>
    <row r="21" spans="1:17">
      <c r="A21" s="19" t="s">
        <v>151</v>
      </c>
      <c r="B21" s="13">
        <v>20</v>
      </c>
      <c r="C21" s="6">
        <f>IF(B$17=0,0,B21/B$17)</f>
        <v>0.46511627906976744</v>
      </c>
      <c r="E21" s="33" t="s">
        <v>65</v>
      </c>
      <c r="F21" s="30" t="s">
        <v>29</v>
      </c>
      <c r="G21" s="13">
        <v>0</v>
      </c>
      <c r="H21" s="94">
        <f>IF(B$17=0,0,G21/B$17)</f>
        <v>0</v>
      </c>
      <c r="I21" s="56">
        <v>1</v>
      </c>
      <c r="N21" s="76" t="s">
        <v>203</v>
      </c>
      <c r="O21" s="86">
        <f t="shared" si="3"/>
        <v>49.699999999999996</v>
      </c>
      <c r="P21" s="80">
        <v>1</v>
      </c>
      <c r="Q21" s="68">
        <v>49.699999999999996</v>
      </c>
    </row>
    <row r="22" spans="1:17">
      <c r="A22" s="19" t="s">
        <v>149</v>
      </c>
      <c r="B22" s="13">
        <v>18</v>
      </c>
      <c r="C22" s="6">
        <f>IF(B$17=0,0,B22/B$17)</f>
        <v>0.41860465116279072</v>
      </c>
      <c r="E22" s="33" t="s">
        <v>66</v>
      </c>
      <c r="F22" s="30" t="s">
        <v>30</v>
      </c>
      <c r="G22" s="13">
        <v>0</v>
      </c>
      <c r="H22" s="94">
        <f>IF(B$17=0,0,G22/B$17)</f>
        <v>0</v>
      </c>
      <c r="I22" s="56">
        <v>9</v>
      </c>
      <c r="N22" s="76" t="s">
        <v>167</v>
      </c>
      <c r="O22" s="86">
        <f t="shared" si="3"/>
        <v>47.1</v>
      </c>
      <c r="P22" s="80">
        <v>1</v>
      </c>
      <c r="Q22" s="68">
        <v>47.1</v>
      </c>
    </row>
    <row r="23" spans="1:17">
      <c r="A23" s="19" t="s">
        <v>150</v>
      </c>
      <c r="B23" s="13">
        <v>5</v>
      </c>
      <c r="C23" s="6">
        <f>IF(B$17=0,0,B23/B$17)</f>
        <v>0.11627906976744186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1</v>
      </c>
      <c r="N23" s="76" t="s">
        <v>175</v>
      </c>
      <c r="O23" s="86">
        <f t="shared" si="3"/>
        <v>36</v>
      </c>
      <c r="P23" s="80">
        <v>2</v>
      </c>
      <c r="Q23" s="68">
        <v>72</v>
      </c>
    </row>
    <row r="24" spans="1:17">
      <c r="A24" s="19" t="s">
        <v>5</v>
      </c>
      <c r="B24" s="16">
        <f>IF(B$17=0,0,C24/B$17)</f>
        <v>5988.3720930232557</v>
      </c>
      <c r="C24" s="8">
        <v>257500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191</v>
      </c>
      <c r="O24" s="86">
        <f t="shared" si="3"/>
        <v>33.18333333333333</v>
      </c>
      <c r="P24" s="80">
        <v>6</v>
      </c>
      <c r="Q24" s="68">
        <v>199.09999999999997</v>
      </c>
    </row>
    <row r="25" spans="1:17">
      <c r="A25" s="20" t="s">
        <v>133</v>
      </c>
      <c r="B25" s="97">
        <f>IF($B$17-B$16=0,0,C25/($B$17-B$16))</f>
        <v>7592</v>
      </c>
      <c r="C25" s="98">
        <v>189800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161</v>
      </c>
      <c r="O25" s="86">
        <f t="shared" si="3"/>
        <v>30.900000000000006</v>
      </c>
      <c r="P25" s="80">
        <v>3</v>
      </c>
      <c r="Q25" s="68">
        <v>92.700000000000017</v>
      </c>
    </row>
    <row r="26" spans="1:17">
      <c r="A26" s="20" t="s">
        <v>134</v>
      </c>
      <c r="B26" s="97">
        <f>IF(B$16=0,0,C26/B$16)</f>
        <v>3761.1111111111113</v>
      </c>
      <c r="C26" s="98">
        <v>67700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208</v>
      </c>
      <c r="O26" s="86">
        <f t="shared" si="3"/>
        <v>28.900000000000002</v>
      </c>
      <c r="P26" s="80">
        <v>1</v>
      </c>
      <c r="Q26" s="68">
        <v>28.900000000000002</v>
      </c>
    </row>
    <row r="27" spans="1:17">
      <c r="A27" s="20" t="s">
        <v>132</v>
      </c>
      <c r="B27" s="97">
        <f>IF(B$18=0,0,C27/B$18)</f>
        <v>-5835.7142857142853</v>
      </c>
      <c r="C27" s="98">
        <v>-163400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12</v>
      </c>
      <c r="N27" s="76" t="s">
        <v>195</v>
      </c>
      <c r="O27" s="86">
        <f t="shared" si="3"/>
        <v>25.7</v>
      </c>
      <c r="P27" s="80">
        <v>7</v>
      </c>
      <c r="Q27" s="68">
        <v>179.9</v>
      </c>
    </row>
    <row r="28" spans="1:17">
      <c r="A28" s="19" t="s">
        <v>130</v>
      </c>
      <c r="B28" s="13">
        <v>4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164</v>
      </c>
      <c r="O28" s="86">
        <f t="shared" si="3"/>
        <v>23.255555555555556</v>
      </c>
      <c r="P28" s="80">
        <v>9</v>
      </c>
      <c r="Q28" s="68">
        <v>209.3</v>
      </c>
    </row>
    <row r="29" spans="1:17">
      <c r="A29" s="19" t="s">
        <v>131</v>
      </c>
      <c r="B29" s="13">
        <v>22</v>
      </c>
      <c r="C29" s="96">
        <v>5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5</v>
      </c>
      <c r="N29" s="76" t="s">
        <v>169</v>
      </c>
      <c r="O29" s="86">
        <f t="shared" si="3"/>
        <v>14.5625</v>
      </c>
      <c r="P29" s="80">
        <v>8</v>
      </c>
      <c r="Q29" s="68">
        <v>116.5</v>
      </c>
    </row>
    <row r="30" spans="1:17">
      <c r="A30" s="52" t="s">
        <v>111</v>
      </c>
      <c r="B30" s="114">
        <v>5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7</v>
      </c>
      <c r="N30" s="76" t="s">
        <v>179</v>
      </c>
      <c r="O30" s="86">
        <f t="shared" si="3"/>
        <v>-11.528571428571428</v>
      </c>
      <c r="P30" s="80">
        <v>7</v>
      </c>
      <c r="Q30" s="68">
        <v>-80.7</v>
      </c>
    </row>
    <row r="31" spans="1:17">
      <c r="A31" s="22" t="s">
        <v>148</v>
      </c>
      <c r="B31" s="116">
        <v>65600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163</v>
      </c>
      <c r="O31" s="86">
        <f t="shared" si="3"/>
        <v>-92.550000000000026</v>
      </c>
      <c r="P31" s="80">
        <v>4</v>
      </c>
      <c r="Q31" s="68">
        <v>-370.2000000000001</v>
      </c>
    </row>
    <row r="32" spans="1:17">
      <c r="A32" s="21" t="s">
        <v>112</v>
      </c>
      <c r="B32" s="26">
        <v>1</v>
      </c>
      <c r="C32" s="9">
        <f>IF(B$3=0,0,B32/B$3)</f>
        <v>7.0422535211267607E-3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205</v>
      </c>
      <c r="O32" s="86">
        <f t="shared" si="3"/>
        <v>-102.4</v>
      </c>
      <c r="P32" s="80">
        <v>1</v>
      </c>
      <c r="Q32" s="68">
        <v>-102.4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162</v>
      </c>
      <c r="O33" s="86">
        <f t="shared" si="3"/>
        <v>-103.9</v>
      </c>
      <c r="P33" s="80">
        <v>1</v>
      </c>
      <c r="Q33" s="68">
        <v>-103.9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17">
      <c r="A35" s="52" t="s">
        <v>139</v>
      </c>
      <c r="B35" s="99">
        <v>8</v>
      </c>
      <c r="C35" s="102">
        <f t="shared" ref="C35:C47" si="4">IF(B$17=0,0,B35/B$17)</f>
        <v>0.18604651162790697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17">
      <c r="A36" s="19" t="s">
        <v>135</v>
      </c>
      <c r="B36" s="13">
        <v>7</v>
      </c>
      <c r="C36" s="6">
        <f t="shared" si="4"/>
        <v>0.16279069767441862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10</v>
      </c>
      <c r="C37" s="6">
        <f t="shared" si="4"/>
        <v>0.23255813953488372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10</v>
      </c>
      <c r="C38" s="6">
        <f t="shared" si="4"/>
        <v>0.23255813953488372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3</v>
      </c>
      <c r="C39" s="6">
        <f t="shared" si="4"/>
        <v>6.9767441860465115E-2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4</v>
      </c>
      <c r="C40" s="6">
        <f t="shared" si="4"/>
        <v>9.3023255813953487E-2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1</v>
      </c>
      <c r="C41" s="6">
        <f t="shared" si="4"/>
        <v>2.3255813953488372E-2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FB45FF-A702-4222-A05F-30B8FBA22FBB}">
  <sheetPr codeName="Sheet1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175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54</v>
      </c>
      <c r="F2" s="29" t="s">
        <v>20</v>
      </c>
      <c r="G2" s="12">
        <v>4</v>
      </c>
      <c r="H2" s="93">
        <f>IF(B$17=0,0,G2/B$17)</f>
        <v>1.3333333333333333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-3750</v>
      </c>
      <c r="P2" s="79">
        <v>2</v>
      </c>
      <c r="Q2" s="63">
        <v>-7500</v>
      </c>
    </row>
    <row r="3" spans="1:17">
      <c r="A3" s="19" t="s">
        <v>8</v>
      </c>
      <c r="B3" s="122">
        <v>15</v>
      </c>
      <c r="C3" s="123"/>
      <c r="E3" s="33" t="s">
        <v>181</v>
      </c>
      <c r="F3" s="30" t="s">
        <v>156</v>
      </c>
      <c r="G3" s="13">
        <v>3</v>
      </c>
      <c r="H3" s="94">
        <f>IF(B$17=0,0,G3/B$17)</f>
        <v>1</v>
      </c>
      <c r="I3" s="56">
        <v>1</v>
      </c>
      <c r="K3" s="5">
        <v>1</v>
      </c>
      <c r="L3" s="61">
        <v>13.6</v>
      </c>
      <c r="N3" s="76" t="s">
        <v>104</v>
      </c>
      <c r="O3" s="83">
        <f t="shared" si="0"/>
        <v>-750</v>
      </c>
      <c r="P3" s="80">
        <v>2</v>
      </c>
      <c r="Q3" s="64">
        <v>-1500</v>
      </c>
    </row>
    <row r="4" spans="1:17">
      <c r="A4" s="19" t="s">
        <v>6</v>
      </c>
      <c r="B4" s="124">
        <v>-2.2000000000000011</v>
      </c>
      <c r="C4" s="125"/>
      <c r="E4" s="33" t="s">
        <v>182</v>
      </c>
      <c r="F4" s="30" t="s">
        <v>19</v>
      </c>
      <c r="G4" s="13">
        <v>1</v>
      </c>
      <c r="H4" s="94">
        <f>IF(B$17=0,0,G4/B$17)</f>
        <v>0.33333333333333331</v>
      </c>
      <c r="I4" s="56">
        <v>2</v>
      </c>
      <c r="K4" s="5">
        <v>2</v>
      </c>
      <c r="L4" s="61">
        <v>-2.2000000000000011</v>
      </c>
      <c r="N4" s="76" t="s">
        <v>105</v>
      </c>
      <c r="O4" s="83">
        <f t="shared" si="0"/>
        <v>5150</v>
      </c>
      <c r="P4" s="80">
        <v>2</v>
      </c>
      <c r="Q4" s="64">
        <v>10300</v>
      </c>
    </row>
    <row r="5" spans="1:17">
      <c r="A5" s="19" t="s">
        <v>7</v>
      </c>
      <c r="B5" s="126">
        <f>IF(B$2=0,0,B$4/B$2)</f>
        <v>-1.1000000000000005</v>
      </c>
      <c r="C5" s="127"/>
      <c r="E5" s="33" t="s">
        <v>55</v>
      </c>
      <c r="F5" s="30" t="s">
        <v>155</v>
      </c>
      <c r="G5" s="13">
        <v>1</v>
      </c>
      <c r="H5" s="94">
        <f>IF(B$17=0,0,G5/B$17)</f>
        <v>0.33333333333333331</v>
      </c>
      <c r="I5" s="56">
        <v>7</v>
      </c>
      <c r="N5" s="76" t="s">
        <v>157</v>
      </c>
      <c r="O5" s="83">
        <f>IF(P5=0,0,Q5/P5)</f>
        <v>2450</v>
      </c>
      <c r="P5" s="80">
        <v>2</v>
      </c>
      <c r="Q5" s="64">
        <v>4900</v>
      </c>
    </row>
    <row r="6" spans="1:17">
      <c r="A6" s="19" t="s">
        <v>1</v>
      </c>
      <c r="B6" s="128">
        <f>IF(B$2=0,0,(B$7*1+B$8*2+B$9*3+B$10*4)/B$2)</f>
        <v>2.5</v>
      </c>
      <c r="C6" s="129"/>
      <c r="E6" s="33" t="s">
        <v>56</v>
      </c>
      <c r="F6" s="30" t="s">
        <v>185</v>
      </c>
      <c r="G6" s="13">
        <v>1</v>
      </c>
      <c r="H6" s="94">
        <f>IF(B$17=0,0,G6/B$17)</f>
        <v>0.33333333333333331</v>
      </c>
      <c r="I6" s="56">
        <v>13</v>
      </c>
      <c r="N6" s="76" t="s">
        <v>106</v>
      </c>
      <c r="O6" s="83">
        <f t="shared" ref="O6" si="1">IF(P6=0,0,Q6/P6)</f>
        <v>-500</v>
      </c>
      <c r="P6" s="80">
        <v>2</v>
      </c>
      <c r="Q6" s="64">
        <v>-1000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1</v>
      </c>
      <c r="H7" s="94">
        <f>IF(B$17=0,0,G7/B$17)</f>
        <v>0.33333333333333331</v>
      </c>
      <c r="I7" s="56">
        <v>6</v>
      </c>
      <c r="N7" s="76" t="s">
        <v>107</v>
      </c>
      <c r="O7" s="83">
        <f t="shared" si="0"/>
        <v>-3250</v>
      </c>
      <c r="P7" s="80">
        <v>2</v>
      </c>
      <c r="Q7" s="64">
        <v>-6500</v>
      </c>
    </row>
    <row r="8" spans="1:17">
      <c r="A8" s="19" t="s">
        <v>3</v>
      </c>
      <c r="B8" s="13">
        <v>1</v>
      </c>
      <c r="C8" s="6">
        <f>IF(B$2=0,0,B8/B$2)</f>
        <v>0.5</v>
      </c>
      <c r="E8" s="33" t="s">
        <v>60</v>
      </c>
      <c r="F8" s="30" t="s">
        <v>24</v>
      </c>
      <c r="G8" s="13">
        <v>1</v>
      </c>
      <c r="H8" s="94">
        <f>IF(B$17=0,0,G8/B$17)</f>
        <v>0.33333333333333331</v>
      </c>
      <c r="I8" s="56">
        <v>24</v>
      </c>
      <c r="N8" s="76" t="s">
        <v>108</v>
      </c>
      <c r="O8" s="83">
        <f t="shared" si="0"/>
        <v>13000</v>
      </c>
      <c r="P8" s="80">
        <v>1</v>
      </c>
      <c r="Q8" s="64">
        <v>13000</v>
      </c>
    </row>
    <row r="9" spans="1:17">
      <c r="A9" s="20" t="s">
        <v>4</v>
      </c>
      <c r="B9" s="14">
        <v>1</v>
      </c>
      <c r="C9" s="7">
        <f>IF(B$2=0,0,B9/B$2)</f>
        <v>0.5</v>
      </c>
      <c r="E9" s="33" t="s">
        <v>184</v>
      </c>
      <c r="F9" s="30" t="s">
        <v>187</v>
      </c>
      <c r="G9" s="13">
        <v>1</v>
      </c>
      <c r="H9" s="94">
        <f>IF(B$17=0,0,G9/B$17)</f>
        <v>0.33333333333333331</v>
      </c>
      <c r="I9" s="56">
        <v>28</v>
      </c>
      <c r="N9" s="77" t="s">
        <v>158</v>
      </c>
      <c r="O9" s="84">
        <f t="shared" si="0"/>
        <v>-3900</v>
      </c>
      <c r="P9" s="81">
        <v>1</v>
      </c>
      <c r="Q9" s="65">
        <v>-3900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58</v>
      </c>
      <c r="F10" s="30" t="s">
        <v>22</v>
      </c>
      <c r="G10" s="13">
        <v>0</v>
      </c>
      <c r="H10" s="94">
        <f>IF(B$17=0,0,G10/B$17)</f>
        <v>0</v>
      </c>
      <c r="I10" s="56">
        <v>24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0.5</v>
      </c>
      <c r="E11" s="33" t="s">
        <v>59</v>
      </c>
      <c r="F11" s="30" t="s">
        <v>23</v>
      </c>
      <c r="G11" s="13">
        <v>0</v>
      </c>
      <c r="H11" s="94">
        <f>IF(B$17=0,0,G11/B$17)</f>
        <v>0</v>
      </c>
      <c r="I11" s="56">
        <v>26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5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4</v>
      </c>
      <c r="C13" s="11">
        <f>IF(B$3=0,0,B13/B$3)</f>
        <v>0.26666666666666666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6</v>
      </c>
      <c r="N13" s="76" t="s">
        <v>127</v>
      </c>
      <c r="O13" s="86">
        <f>IF(P13=0,0,Q13/P13)</f>
        <v>-1.1000000000000005</v>
      </c>
      <c r="P13" s="80">
        <v>2</v>
      </c>
      <c r="Q13" s="68">
        <v>-2.2000000000000011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3</v>
      </c>
      <c r="C15" s="4">
        <f>IF(B$13=0,0,B15/B$13)</f>
        <v>0.75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</v>
      </c>
      <c r="C17" s="4">
        <f>IF(B$3=0,0,B17/B$3)</f>
        <v>0.2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0.13333333333333333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8</v>
      </c>
      <c r="N18" s="75" t="s">
        <v>164</v>
      </c>
      <c r="O18" s="85">
        <f>IF(P18=0,0,Q18/P18)</f>
        <v>65.7</v>
      </c>
      <c r="P18" s="79">
        <v>1</v>
      </c>
      <c r="Q18" s="67">
        <v>65.7</v>
      </c>
    </row>
    <row r="19" spans="1:17">
      <c r="A19" s="19" t="s">
        <v>12</v>
      </c>
      <c r="B19" s="13">
        <v>1</v>
      </c>
      <c r="C19" s="6">
        <f>IF(B$17=0,0,B19/B$17)</f>
        <v>0.33333333333333331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16</v>
      </c>
      <c r="N19" s="76" t="s">
        <v>180</v>
      </c>
      <c r="O19" s="86">
        <f>IF(P19=0,0,Q19/P19)</f>
        <v>36.799999999999997</v>
      </c>
      <c r="P19" s="80">
        <v>1</v>
      </c>
      <c r="Q19" s="68">
        <v>36.799999999999997</v>
      </c>
    </row>
    <row r="20" spans="1:17">
      <c r="A20" s="19" t="s">
        <v>11</v>
      </c>
      <c r="B20" s="13">
        <v>2</v>
      </c>
      <c r="C20" s="6">
        <f>IF(B$17=0,0,B20/B$17)</f>
        <v>0.66666666666666663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1</v>
      </c>
      <c r="N20" s="76" t="s">
        <v>161</v>
      </c>
      <c r="O20" s="86">
        <f>IF(P20=0,0,Q20/P20)</f>
        <v>31.700000000000003</v>
      </c>
      <c r="P20" s="80">
        <v>1</v>
      </c>
      <c r="Q20" s="68">
        <v>31.700000000000003</v>
      </c>
    </row>
    <row r="21" spans="1:17">
      <c r="A21" s="19" t="s">
        <v>151</v>
      </c>
      <c r="B21" s="13">
        <v>3</v>
      </c>
      <c r="C21" s="6">
        <f>IF(B$17=0,0,B21/B$17)</f>
        <v>1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8</v>
      </c>
      <c r="N21" s="76" t="s">
        <v>168</v>
      </c>
      <c r="O21" s="86">
        <f>IF(P21=0,0,Q21/P21)</f>
        <v>-36</v>
      </c>
      <c r="P21" s="80">
        <v>2</v>
      </c>
      <c r="Q21" s="68">
        <v>-72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179</v>
      </c>
      <c r="O22" s="86">
        <f>IF(P22=0,0,Q22/P22)</f>
        <v>-71</v>
      </c>
      <c r="P22" s="80">
        <v>1</v>
      </c>
      <c r="Q22" s="68">
        <v>-71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14</v>
      </c>
    </row>
    <row r="24" spans="1:17">
      <c r="A24" s="19" t="s">
        <v>5</v>
      </c>
      <c r="B24" s="16">
        <f>IF(B$17=0,0,C24/B$17)</f>
        <v>8400</v>
      </c>
      <c r="C24" s="8">
        <v>25200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8400</v>
      </c>
      <c r="C25" s="98">
        <v>25200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12</v>
      </c>
    </row>
    <row r="27" spans="1:17">
      <c r="A27" s="20" t="s">
        <v>132</v>
      </c>
      <c r="B27" s="97">
        <f>IF(B$18=0,0,C27/B$18)</f>
        <v>-2950</v>
      </c>
      <c r="C27" s="98">
        <v>-5900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5</v>
      </c>
    </row>
    <row r="29" spans="1:17">
      <c r="A29" s="19" t="s">
        <v>131</v>
      </c>
      <c r="B29" s="13">
        <v>7</v>
      </c>
      <c r="C29" s="96">
        <v>7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16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7</v>
      </c>
    </row>
    <row r="31" spans="1:17">
      <c r="A31" s="22" t="s">
        <v>148</v>
      </c>
      <c r="B31" s="116">
        <v>33600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3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3"/>
        <v>0.33333333333333331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3"/>
        <v>0.33333333333333331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ACF0B5-B49F-4017-A9B2-6A0FC3F2E007}">
  <sheetPr codeName="Sheet14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177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181</v>
      </c>
      <c r="F2" s="29" t="s">
        <v>156</v>
      </c>
      <c r="G2" s="12">
        <v>3</v>
      </c>
      <c r="H2" s="93">
        <f>IF(B$17=0,0,G2/B$17)</f>
        <v>0.75</v>
      </c>
      <c r="I2" s="55">
        <v>6</v>
      </c>
      <c r="K2" s="3">
        <v>0</v>
      </c>
      <c r="L2" s="60">
        <v>0</v>
      </c>
      <c r="N2" s="75" t="s">
        <v>103</v>
      </c>
      <c r="O2" s="82">
        <f t="shared" ref="O2:O9" si="0">IF(P2=0,0,Q2/P2)</f>
        <v>4450</v>
      </c>
      <c r="P2" s="79">
        <v>2</v>
      </c>
      <c r="Q2" s="63">
        <v>8900</v>
      </c>
    </row>
    <row r="3" spans="1:17">
      <c r="A3" s="19" t="s">
        <v>8</v>
      </c>
      <c r="B3" s="122">
        <v>19</v>
      </c>
      <c r="C3" s="123"/>
      <c r="E3" s="33" t="s">
        <v>54</v>
      </c>
      <c r="F3" s="30" t="s">
        <v>20</v>
      </c>
      <c r="G3" s="13">
        <v>1</v>
      </c>
      <c r="H3" s="94">
        <f>IF(B$17=0,0,G3/B$17)</f>
        <v>0.25</v>
      </c>
      <c r="I3" s="56">
        <v>28</v>
      </c>
      <c r="K3" s="5">
        <v>1</v>
      </c>
      <c r="L3" s="61">
        <v>62.5</v>
      </c>
      <c r="N3" s="76" t="s">
        <v>104</v>
      </c>
      <c r="O3" s="83">
        <f t="shared" si="0"/>
        <v>-1300</v>
      </c>
      <c r="P3" s="80">
        <v>2</v>
      </c>
      <c r="Q3" s="64">
        <v>-2600</v>
      </c>
    </row>
    <row r="4" spans="1:17">
      <c r="A4" s="19" t="s">
        <v>6</v>
      </c>
      <c r="B4" s="124">
        <v>3.8999999999999986</v>
      </c>
      <c r="C4" s="125"/>
      <c r="E4" s="33" t="s">
        <v>55</v>
      </c>
      <c r="F4" s="30" t="s">
        <v>155</v>
      </c>
      <c r="G4" s="13">
        <v>1</v>
      </c>
      <c r="H4" s="94">
        <f>IF(B$17=0,0,G4/B$17)</f>
        <v>0.25</v>
      </c>
      <c r="I4" s="56">
        <v>13</v>
      </c>
      <c r="K4" s="5">
        <v>2</v>
      </c>
      <c r="L4" s="61">
        <v>3.8999999999999986</v>
      </c>
      <c r="N4" s="76" t="s">
        <v>105</v>
      </c>
      <c r="O4" s="83">
        <f t="shared" si="0"/>
        <v>-2450</v>
      </c>
      <c r="P4" s="80">
        <v>2</v>
      </c>
      <c r="Q4" s="64">
        <v>-4900</v>
      </c>
    </row>
    <row r="5" spans="1:17">
      <c r="A5" s="19" t="s">
        <v>7</v>
      </c>
      <c r="B5" s="126">
        <f>IF(B$2=0,0,B$4/B$2)</f>
        <v>1.9499999999999993</v>
      </c>
      <c r="C5" s="127"/>
      <c r="E5" s="33" t="s">
        <v>56</v>
      </c>
      <c r="F5" s="30" t="s">
        <v>185</v>
      </c>
      <c r="G5" s="13">
        <v>1</v>
      </c>
      <c r="H5" s="94">
        <f>IF(B$17=0,0,G5/B$17)</f>
        <v>0.25</v>
      </c>
      <c r="I5" s="56">
        <v>22</v>
      </c>
      <c r="N5" s="76" t="s">
        <v>157</v>
      </c>
      <c r="O5" s="83">
        <f>IF(P5=0,0,Q5/P5)</f>
        <v>-4500</v>
      </c>
      <c r="P5" s="80">
        <v>2</v>
      </c>
      <c r="Q5" s="64">
        <v>-9000</v>
      </c>
    </row>
    <row r="6" spans="1:17">
      <c r="A6" s="19" t="s">
        <v>1</v>
      </c>
      <c r="B6" s="128">
        <f>IF(B$2=0,0,(B$7*1+B$8*2+B$9*3+B$10*4)/B$2)</f>
        <v>2.5</v>
      </c>
      <c r="C6" s="129"/>
      <c r="E6" s="33" t="s">
        <v>57</v>
      </c>
      <c r="F6" s="30" t="s">
        <v>21</v>
      </c>
      <c r="G6" s="13">
        <v>1</v>
      </c>
      <c r="H6" s="94">
        <f>IF(B$17=0,0,G6/B$17)</f>
        <v>0.25</v>
      </c>
      <c r="I6" s="56">
        <v>14</v>
      </c>
      <c r="N6" s="76" t="s">
        <v>106</v>
      </c>
      <c r="O6" s="83">
        <f t="shared" ref="O6" si="1">IF(P6=0,0,Q6/P6)</f>
        <v>0</v>
      </c>
      <c r="P6" s="80">
        <v>2</v>
      </c>
      <c r="Q6" s="64">
        <v>0</v>
      </c>
    </row>
    <row r="7" spans="1:17">
      <c r="A7" s="19" t="s">
        <v>2</v>
      </c>
      <c r="B7" s="13">
        <v>1</v>
      </c>
      <c r="C7" s="6">
        <f t="shared" ref="C7:C12" si="2">IF(B$2=0,0,B7/B$2)</f>
        <v>0.5</v>
      </c>
      <c r="E7" s="33" t="s">
        <v>59</v>
      </c>
      <c r="F7" s="30" t="s">
        <v>23</v>
      </c>
      <c r="G7" s="13">
        <v>1</v>
      </c>
      <c r="H7" s="94">
        <f>IF(B$17=0,0,G7/B$17)</f>
        <v>0.25</v>
      </c>
      <c r="I7" s="56">
        <v>6</v>
      </c>
      <c r="N7" s="76" t="s">
        <v>107</v>
      </c>
      <c r="O7" s="83">
        <f t="shared" si="0"/>
        <v>-2500</v>
      </c>
      <c r="P7" s="80">
        <v>2</v>
      </c>
      <c r="Q7" s="64">
        <v>-5000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60</v>
      </c>
      <c r="F8" s="30" t="s">
        <v>24</v>
      </c>
      <c r="G8" s="13">
        <v>1</v>
      </c>
      <c r="H8" s="94">
        <f>IF(B$17=0,0,G8/B$17)</f>
        <v>0.25</v>
      </c>
      <c r="I8" s="56">
        <v>29</v>
      </c>
      <c r="N8" s="76" t="s">
        <v>108</v>
      </c>
      <c r="O8" s="83">
        <f t="shared" si="0"/>
        <v>3500</v>
      </c>
      <c r="P8" s="80">
        <v>2</v>
      </c>
      <c r="Q8" s="64">
        <v>7000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69</v>
      </c>
      <c r="F9" s="30" t="s">
        <v>33</v>
      </c>
      <c r="G9" s="13">
        <v>1</v>
      </c>
      <c r="H9" s="94">
        <f>IF(B$17=0,0,G9/B$17)</f>
        <v>0.25</v>
      </c>
      <c r="I9" s="56">
        <v>2</v>
      </c>
      <c r="N9" s="77" t="s">
        <v>158</v>
      </c>
      <c r="O9" s="84">
        <f t="shared" si="0"/>
        <v>-500</v>
      </c>
      <c r="P9" s="81">
        <v>1</v>
      </c>
      <c r="Q9" s="65">
        <v>-500</v>
      </c>
    </row>
    <row r="10" spans="1:17">
      <c r="A10" s="20" t="s">
        <v>152</v>
      </c>
      <c r="B10" s="14">
        <v>1</v>
      </c>
      <c r="C10" s="7">
        <f>IF(B$2=0,0,B10/B$2)</f>
        <v>0.5</v>
      </c>
      <c r="E10" s="33" t="s">
        <v>184</v>
      </c>
      <c r="F10" s="30" t="s">
        <v>187</v>
      </c>
      <c r="G10" s="13">
        <v>1</v>
      </c>
      <c r="H10" s="94">
        <f>IF(B$17=0,0,G10/B$17)</f>
        <v>0.25</v>
      </c>
      <c r="I10" s="56">
        <v>35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0.5</v>
      </c>
      <c r="E11" s="33" t="s">
        <v>182</v>
      </c>
      <c r="F11" s="30" t="s">
        <v>19</v>
      </c>
      <c r="G11" s="13">
        <v>0</v>
      </c>
      <c r="H11" s="94">
        <f>IF(B$17=0,0,G11/B$17)</f>
        <v>0</v>
      </c>
      <c r="I11" s="56">
        <v>27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0</v>
      </c>
      <c r="H12" s="94">
        <f>IF(B$17=0,0,G12/B$17)</f>
        <v>0</v>
      </c>
      <c r="I12" s="56">
        <v>24</v>
      </c>
      <c r="N12" s="75" t="s">
        <v>126</v>
      </c>
      <c r="O12" s="85">
        <f>IF(P12=0,0,Q12/P12)</f>
        <v>62.5</v>
      </c>
      <c r="P12" s="79">
        <v>1</v>
      </c>
      <c r="Q12" s="67">
        <v>62.5</v>
      </c>
    </row>
    <row r="13" spans="1:17">
      <c r="A13" s="22" t="s">
        <v>97</v>
      </c>
      <c r="B13" s="15">
        <v>4</v>
      </c>
      <c r="C13" s="11">
        <f>IF(B$3=0,0,B13/B$3)</f>
        <v>0.21052631578947367</v>
      </c>
      <c r="E13" s="33" t="s">
        <v>61</v>
      </c>
      <c r="F13" s="30" t="s">
        <v>25</v>
      </c>
      <c r="G13" s="13">
        <v>0</v>
      </c>
      <c r="H13" s="94">
        <f>IF(B$17=0,0,G13/B$17)</f>
        <v>0</v>
      </c>
      <c r="I13" s="56">
        <v>5</v>
      </c>
      <c r="N13" s="76" t="s">
        <v>127</v>
      </c>
      <c r="O13" s="86">
        <f>IF(P13=0,0,Q13/P13)</f>
        <v>-58.6</v>
      </c>
      <c r="P13" s="80">
        <v>1</v>
      </c>
      <c r="Q13" s="68">
        <v>-58.6</v>
      </c>
    </row>
    <row r="14" spans="1:17">
      <c r="A14" s="19" t="s">
        <v>94</v>
      </c>
      <c r="B14" s="13">
        <v>3</v>
      </c>
      <c r="C14" s="6">
        <f>IF(B$3=0,0,B14/B$3)</f>
        <v>0.15789473684210525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6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3</v>
      </c>
      <c r="C15" s="4">
        <f>IF(B$13=0,0,B15/B$13)</f>
        <v>0.75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1</v>
      </c>
      <c r="C16" s="4">
        <f>IF(B$14=0,0,B16/B$14)</f>
        <v>0.33333333333333331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</v>
      </c>
      <c r="C17" s="4">
        <f>IF(B$3=0,0,B17/B$3)</f>
        <v>0.21052631578947367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0.10526315789473684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9</v>
      </c>
      <c r="N18" s="75" t="s">
        <v>161</v>
      </c>
      <c r="O18" s="85">
        <f>IF(P18=0,0,Q18/P18)</f>
        <v>126.8</v>
      </c>
      <c r="P18" s="79">
        <v>1</v>
      </c>
      <c r="Q18" s="67">
        <v>126.8</v>
      </c>
    </row>
    <row r="19" spans="1:17">
      <c r="A19" s="19" t="s">
        <v>12</v>
      </c>
      <c r="B19" s="13">
        <v>1</v>
      </c>
      <c r="C19" s="6">
        <f>IF(B$17=0,0,B19/B$17)</f>
        <v>0.25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8</v>
      </c>
      <c r="N19" s="76" t="s">
        <v>164</v>
      </c>
      <c r="O19" s="86">
        <f>IF(P19=0,0,Q19/P19)</f>
        <v>75.5</v>
      </c>
      <c r="P19" s="80">
        <v>1</v>
      </c>
      <c r="Q19" s="68">
        <v>75.5</v>
      </c>
    </row>
    <row r="20" spans="1:17">
      <c r="A20" s="19" t="s">
        <v>11</v>
      </c>
      <c r="B20" s="13">
        <v>3</v>
      </c>
      <c r="C20" s="6">
        <f>IF(B$17=0,0,B20/B$17)</f>
        <v>0.75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16</v>
      </c>
      <c r="N20" s="76" t="s">
        <v>169</v>
      </c>
      <c r="O20" s="86">
        <f>IF(P20=0,0,Q20/P20)</f>
        <v>11</v>
      </c>
      <c r="P20" s="80">
        <v>2</v>
      </c>
      <c r="Q20" s="68">
        <v>22</v>
      </c>
    </row>
    <row r="21" spans="1:17">
      <c r="A21" s="19" t="s">
        <v>151</v>
      </c>
      <c r="B21" s="13">
        <v>3</v>
      </c>
      <c r="C21" s="6">
        <f>IF(B$17=0,0,B21/B$17)</f>
        <v>0.75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1</v>
      </c>
      <c r="N21" s="76" t="s">
        <v>166</v>
      </c>
      <c r="O21" s="86">
        <f>IF(P21=0,0,Q21/P21)</f>
        <v>-62.300000000000004</v>
      </c>
      <c r="P21" s="80">
        <v>1</v>
      </c>
      <c r="Q21" s="68">
        <v>-62.300000000000004</v>
      </c>
    </row>
    <row r="22" spans="1:17">
      <c r="A22" s="19" t="s">
        <v>149</v>
      </c>
      <c r="B22" s="13">
        <v>1</v>
      </c>
      <c r="C22" s="6">
        <f>IF(B$17=0,0,B22/B$17)</f>
        <v>0.25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162</v>
      </c>
      <c r="O22" s="86">
        <f>IF(P22=0,0,Q22/P22)</f>
        <v>-146.4</v>
      </c>
      <c r="P22" s="80">
        <v>1</v>
      </c>
      <c r="Q22" s="68">
        <v>-146.4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14</v>
      </c>
    </row>
    <row r="24" spans="1:17">
      <c r="A24" s="19" t="s">
        <v>5</v>
      </c>
      <c r="B24" s="16">
        <f>IF(B$17=0,0,C24/B$17)</f>
        <v>5900</v>
      </c>
      <c r="C24" s="8">
        <v>23600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7533.333333333333</v>
      </c>
      <c r="C25" s="98">
        <v>22600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1000</v>
      </c>
      <c r="C26" s="98">
        <v>1000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12</v>
      </c>
    </row>
    <row r="27" spans="1:17">
      <c r="A27" s="20" t="s">
        <v>132</v>
      </c>
      <c r="B27" s="97">
        <f>IF(B$18=0,0,C27/B$18)</f>
        <v>-5950</v>
      </c>
      <c r="C27" s="98">
        <v>-11900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5</v>
      </c>
    </row>
    <row r="29" spans="1:17">
      <c r="A29" s="19" t="s">
        <v>131</v>
      </c>
      <c r="B29" s="13">
        <v>9</v>
      </c>
      <c r="C29" s="96">
        <v>4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16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7</v>
      </c>
    </row>
    <row r="31" spans="1:17">
      <c r="A31" s="22" t="s">
        <v>148</v>
      </c>
      <c r="B31" s="116">
        <v>42500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3">IF(B$17=0,0,B35/B$17)</f>
        <v>0.25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3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3"/>
        <v>0.25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3"/>
        <v>0.25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D431CD-95FB-4C80-8831-F71DE26FCDFC}">
  <sheetPr codeName="Sheet1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180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181</v>
      </c>
      <c r="F2" s="29" t="s">
        <v>156</v>
      </c>
      <c r="G2" s="12">
        <v>0</v>
      </c>
      <c r="H2" s="93">
        <f>IF(B$17=0,0,G2/B$17)</f>
        <v>0</v>
      </c>
      <c r="I2" s="55">
        <v>37</v>
      </c>
      <c r="K2" s="3">
        <v>0</v>
      </c>
      <c r="L2" s="60">
        <v>0</v>
      </c>
      <c r="N2" s="75" t="s">
        <v>103</v>
      </c>
      <c r="O2" s="82">
        <f t="shared" ref="O2:O9" si="0">IF(P2=0,0,Q2/P2)</f>
        <v>-1500</v>
      </c>
      <c r="P2" s="79">
        <v>1</v>
      </c>
      <c r="Q2" s="63">
        <v>-1500</v>
      </c>
    </row>
    <row r="3" spans="1:17">
      <c r="A3" s="19" t="s">
        <v>8</v>
      </c>
      <c r="B3" s="122">
        <v>7</v>
      </c>
      <c r="C3" s="123"/>
      <c r="E3" s="33" t="s">
        <v>182</v>
      </c>
      <c r="F3" s="30" t="s">
        <v>19</v>
      </c>
      <c r="G3" s="13">
        <v>0</v>
      </c>
      <c r="H3" s="94">
        <f>IF(B$17=0,0,G3/B$17)</f>
        <v>0</v>
      </c>
      <c r="I3" s="56">
        <v>27</v>
      </c>
      <c r="K3" s="5">
        <v>1</v>
      </c>
      <c r="L3" s="61">
        <v>-52.6</v>
      </c>
      <c r="N3" s="76" t="s">
        <v>104</v>
      </c>
      <c r="O3" s="83">
        <f t="shared" si="0"/>
        <v>-8600</v>
      </c>
      <c r="P3" s="80">
        <v>1</v>
      </c>
      <c r="Q3" s="64">
        <v>-8600</v>
      </c>
    </row>
    <row r="4" spans="1:17">
      <c r="A4" s="19" t="s">
        <v>6</v>
      </c>
      <c r="B4" s="124">
        <v>-52.6</v>
      </c>
      <c r="C4" s="125"/>
      <c r="E4" s="33" t="s">
        <v>54</v>
      </c>
      <c r="F4" s="30" t="s">
        <v>20</v>
      </c>
      <c r="G4" s="13">
        <v>0</v>
      </c>
      <c r="H4" s="94">
        <f>IF(B$17=0,0,G4/B$17)</f>
        <v>0</v>
      </c>
      <c r="I4" s="56">
        <v>34</v>
      </c>
      <c r="N4" s="76" t="s">
        <v>105</v>
      </c>
      <c r="O4" s="83">
        <f t="shared" si="0"/>
        <v>0</v>
      </c>
      <c r="P4" s="80">
        <v>1</v>
      </c>
      <c r="Q4" s="64">
        <v>0</v>
      </c>
    </row>
    <row r="5" spans="1:17">
      <c r="A5" s="19" t="s">
        <v>7</v>
      </c>
      <c r="B5" s="126">
        <f>IF(B$2=0,0,B$4/B$2)</f>
        <v>-52.6</v>
      </c>
      <c r="C5" s="127"/>
      <c r="E5" s="33" t="s">
        <v>55</v>
      </c>
      <c r="F5" s="30" t="s">
        <v>155</v>
      </c>
      <c r="G5" s="13">
        <v>0</v>
      </c>
      <c r="H5" s="94">
        <f>IF(B$17=0,0,G5/B$17)</f>
        <v>0</v>
      </c>
      <c r="I5" s="56">
        <v>35</v>
      </c>
      <c r="N5" s="76" t="s">
        <v>157</v>
      </c>
      <c r="O5" s="83">
        <f>IF(P5=0,0,Q5/P5)</f>
        <v>-5200</v>
      </c>
      <c r="P5" s="80">
        <v>1</v>
      </c>
      <c r="Q5" s="64">
        <v>-5200</v>
      </c>
    </row>
    <row r="6" spans="1:17">
      <c r="A6" s="19" t="s">
        <v>1</v>
      </c>
      <c r="B6" s="128">
        <f>IF(B$2=0,0,(B$7*1+B$8*2+B$9*3+B$10*4)/B$2)</f>
        <v>4</v>
      </c>
      <c r="C6" s="129"/>
      <c r="E6" s="33" t="s">
        <v>56</v>
      </c>
      <c r="F6" s="30" t="s">
        <v>185</v>
      </c>
      <c r="G6" s="13">
        <v>0</v>
      </c>
      <c r="H6" s="94">
        <f>IF(B$17=0,0,G6/B$17)</f>
        <v>0</v>
      </c>
      <c r="I6" s="56">
        <v>37</v>
      </c>
      <c r="N6" s="76" t="s">
        <v>106</v>
      </c>
      <c r="O6" s="83">
        <f t="shared" ref="O6" si="1">IF(P6=0,0,Q6/P6)</f>
        <v>-2000</v>
      </c>
      <c r="P6" s="80">
        <v>1</v>
      </c>
      <c r="Q6" s="64">
        <v>-2000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0</v>
      </c>
      <c r="H7" s="94">
        <f>IF(B$17=0,0,G7/B$17)</f>
        <v>0</v>
      </c>
      <c r="I7" s="56">
        <v>32</v>
      </c>
      <c r="N7" s="76" t="s">
        <v>107</v>
      </c>
      <c r="O7" s="83">
        <f t="shared" si="0"/>
        <v>-300</v>
      </c>
      <c r="P7" s="80">
        <v>1</v>
      </c>
      <c r="Q7" s="64">
        <v>-300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>IF(B$17=0,0,G8/B$17)</f>
        <v>0</v>
      </c>
      <c r="I8" s="56">
        <v>24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0</v>
      </c>
      <c r="H9" s="94">
        <f>IF(B$17=0,0,G9/B$17)</f>
        <v>0</v>
      </c>
      <c r="I9" s="56">
        <v>26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</v>
      </c>
      <c r="C10" s="7">
        <f>IF(B$2=0,0,B10/B$2)</f>
        <v>1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37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6</v>
      </c>
      <c r="N12" s="75" t="s">
        <v>126</v>
      </c>
      <c r="O12" s="85">
        <f>IF(P12=0,0,Q12/P12)</f>
        <v>-52.6</v>
      </c>
      <c r="P12" s="79">
        <v>1</v>
      </c>
      <c r="Q12" s="67">
        <v>-52.6</v>
      </c>
    </row>
    <row r="13" spans="1:17">
      <c r="A13" s="22" t="s">
        <v>97</v>
      </c>
      <c r="B13" s="15">
        <v>1</v>
      </c>
      <c r="C13" s="11">
        <f>IF(B$3=0,0,B13/B$3)</f>
        <v>0.14285714285714285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1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2</v>
      </c>
      <c r="C14" s="6">
        <f>IF(B$3=0,0,B14/B$3)</f>
        <v>0.2857142857142857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9</v>
      </c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8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0.2857142857142857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16</v>
      </c>
      <c r="N18" s="75" t="s">
        <v>175</v>
      </c>
      <c r="O18" s="85">
        <f>IF(P18=0,0,Q18/P18)</f>
        <v>-36.799999999999997</v>
      </c>
      <c r="P18" s="79">
        <v>1</v>
      </c>
      <c r="Q18" s="67">
        <v>-36.799999999999997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1</v>
      </c>
      <c r="N19" s="76" t="s">
        <v>168</v>
      </c>
      <c r="O19" s="86">
        <f>IF(P19=0,0,Q19/P19)</f>
        <v>-65.8</v>
      </c>
      <c r="P19" s="80">
        <v>1</v>
      </c>
      <c r="Q19" s="68">
        <v>-65.8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8</v>
      </c>
      <c r="N20" s="76" t="s">
        <v>179</v>
      </c>
      <c r="O20" s="86">
        <f>IF(P20=0,0,Q20/P20)</f>
        <v>-107.80000000000001</v>
      </c>
      <c r="P20" s="80">
        <v>1</v>
      </c>
      <c r="Q20" s="68">
        <v>-107.80000000000001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14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12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-6600</v>
      </c>
      <c r="C27" s="98">
        <v>-13200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5</v>
      </c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16</v>
      </c>
    </row>
    <row r="29" spans="1:17">
      <c r="A29" s="19" t="s">
        <v>131</v>
      </c>
      <c r="B29" s="13">
        <v>2</v>
      </c>
      <c r="C29" s="96">
        <v>2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7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7400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36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BECCCF-803A-4DB7-A020-E11FF561E0A3}">
  <sheetPr codeName="Sheet1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179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16</v>
      </c>
      <c r="C2" s="121"/>
      <c r="E2" s="32" t="s">
        <v>60</v>
      </c>
      <c r="F2" s="29" t="s">
        <v>24</v>
      </c>
      <c r="G2" s="12">
        <v>19</v>
      </c>
      <c r="H2" s="93">
        <f>IF(B$17=0,0,G2/B$17)</f>
        <v>0.59375</v>
      </c>
      <c r="I2" s="55">
        <v>10</v>
      </c>
      <c r="K2" s="3">
        <v>0</v>
      </c>
      <c r="L2" s="60">
        <v>0</v>
      </c>
      <c r="N2" s="75" t="s">
        <v>103</v>
      </c>
      <c r="O2" s="82">
        <f t="shared" ref="O2:O9" si="0">IF(P2=0,0,Q2/P2)</f>
        <v>475</v>
      </c>
      <c r="P2" s="79">
        <v>16</v>
      </c>
      <c r="Q2" s="63">
        <v>7600</v>
      </c>
    </row>
    <row r="3" spans="1:17">
      <c r="A3" s="19" t="s">
        <v>8</v>
      </c>
      <c r="B3" s="122">
        <v>131</v>
      </c>
      <c r="C3" s="123"/>
      <c r="E3" s="33" t="s">
        <v>54</v>
      </c>
      <c r="F3" s="30" t="s">
        <v>20</v>
      </c>
      <c r="G3" s="13">
        <v>18</v>
      </c>
      <c r="H3" s="94">
        <f>IF(B$17=0,0,G3/B$17)</f>
        <v>0.5625</v>
      </c>
      <c r="I3" s="56">
        <v>14</v>
      </c>
      <c r="K3" s="5">
        <v>1</v>
      </c>
      <c r="L3" s="61">
        <v>55.2</v>
      </c>
      <c r="N3" s="76" t="s">
        <v>104</v>
      </c>
      <c r="O3" s="83">
        <f t="shared" si="0"/>
        <v>887.5</v>
      </c>
      <c r="P3" s="80">
        <v>16</v>
      </c>
      <c r="Q3" s="64">
        <v>14200</v>
      </c>
    </row>
    <row r="4" spans="1:17">
      <c r="A4" s="19" t="s">
        <v>6</v>
      </c>
      <c r="B4" s="124">
        <v>-34.6</v>
      </c>
      <c r="C4" s="125"/>
      <c r="E4" s="33" t="s">
        <v>184</v>
      </c>
      <c r="F4" s="30" t="s">
        <v>187</v>
      </c>
      <c r="G4" s="13">
        <v>12</v>
      </c>
      <c r="H4" s="94">
        <f>IF(B$17=0,0,G4/B$17)</f>
        <v>0.375</v>
      </c>
      <c r="I4" s="56">
        <v>23</v>
      </c>
      <c r="K4" s="5">
        <v>2</v>
      </c>
      <c r="L4" s="61">
        <v>33.700000000000003</v>
      </c>
      <c r="N4" s="76" t="s">
        <v>105</v>
      </c>
      <c r="O4" s="83">
        <f t="shared" si="0"/>
        <v>-3662.5</v>
      </c>
      <c r="P4" s="80">
        <v>16</v>
      </c>
      <c r="Q4" s="64">
        <v>-58600</v>
      </c>
    </row>
    <row r="5" spans="1:17">
      <c r="A5" s="19" t="s">
        <v>7</v>
      </c>
      <c r="B5" s="126">
        <f>IF(B$2=0,0,B$4/B$2)</f>
        <v>-2.1625000000000001</v>
      </c>
      <c r="C5" s="127"/>
      <c r="E5" s="33" t="s">
        <v>181</v>
      </c>
      <c r="F5" s="30" t="s">
        <v>156</v>
      </c>
      <c r="G5" s="13">
        <v>10</v>
      </c>
      <c r="H5" s="94">
        <f>IF(B$17=0,0,G5/B$17)</f>
        <v>0.3125</v>
      </c>
      <c r="I5" s="56">
        <v>34</v>
      </c>
      <c r="K5" s="5">
        <v>3</v>
      </c>
      <c r="L5" s="61">
        <v>42.5</v>
      </c>
      <c r="N5" s="76" t="s">
        <v>157</v>
      </c>
      <c r="O5" s="83">
        <f>IF(P5=0,0,Q5/P5)</f>
        <v>650</v>
      </c>
      <c r="P5" s="80">
        <v>14</v>
      </c>
      <c r="Q5" s="64">
        <v>9100</v>
      </c>
    </row>
    <row r="6" spans="1:17">
      <c r="A6" s="19" t="s">
        <v>1</v>
      </c>
      <c r="B6" s="128">
        <f>IF(B$2=0,0,(B$7*1+B$8*2+B$9*3+B$10*4)/B$2)</f>
        <v>2.4375</v>
      </c>
      <c r="C6" s="129"/>
      <c r="E6" s="33" t="s">
        <v>57</v>
      </c>
      <c r="F6" s="30" t="s">
        <v>21</v>
      </c>
      <c r="G6" s="13">
        <v>8</v>
      </c>
      <c r="H6" s="94">
        <f>IF(B$17=0,0,G6/B$17)</f>
        <v>0.25</v>
      </c>
      <c r="I6" s="56">
        <v>14</v>
      </c>
      <c r="K6" s="5">
        <v>4</v>
      </c>
      <c r="L6" s="61">
        <v>43.3</v>
      </c>
      <c r="N6" s="76" t="s">
        <v>106</v>
      </c>
      <c r="O6" s="83">
        <f t="shared" ref="O6" si="1">IF(P6=0,0,Q6/P6)</f>
        <v>1346.1538461538462</v>
      </c>
      <c r="P6" s="80">
        <v>13</v>
      </c>
      <c r="Q6" s="64">
        <v>17500</v>
      </c>
    </row>
    <row r="7" spans="1:17">
      <c r="A7" s="19" t="s">
        <v>2</v>
      </c>
      <c r="B7" s="13">
        <v>4</v>
      </c>
      <c r="C7" s="6">
        <f t="shared" ref="C7:C12" si="2">IF(B$2=0,0,B7/B$2)</f>
        <v>0.25</v>
      </c>
      <c r="E7" s="33" t="s">
        <v>56</v>
      </c>
      <c r="F7" s="30" t="s">
        <v>185</v>
      </c>
      <c r="G7" s="13">
        <v>6</v>
      </c>
      <c r="H7" s="94">
        <f>IF(B$17=0,0,G7/B$17)</f>
        <v>0.1875</v>
      </c>
      <c r="I7" s="56">
        <v>31</v>
      </c>
      <c r="K7" s="5">
        <v>5</v>
      </c>
      <c r="L7" s="61">
        <v>22.9</v>
      </c>
      <c r="N7" s="76" t="s">
        <v>107</v>
      </c>
      <c r="O7" s="83">
        <f t="shared" si="0"/>
        <v>-2890</v>
      </c>
      <c r="P7" s="80">
        <v>10</v>
      </c>
      <c r="Q7" s="64">
        <v>-28900</v>
      </c>
    </row>
    <row r="8" spans="1:17">
      <c r="A8" s="19" t="s">
        <v>3</v>
      </c>
      <c r="B8" s="13">
        <v>4</v>
      </c>
      <c r="C8" s="6">
        <f>IF(B$2=0,0,B8/B$2)</f>
        <v>0.25</v>
      </c>
      <c r="E8" s="33" t="s">
        <v>55</v>
      </c>
      <c r="F8" s="30" t="s">
        <v>155</v>
      </c>
      <c r="G8" s="13">
        <v>5</v>
      </c>
      <c r="H8" s="94">
        <f>IF(B$17=0,0,G8/B$17)</f>
        <v>0.15625</v>
      </c>
      <c r="I8" s="56">
        <v>27</v>
      </c>
      <c r="K8" s="5">
        <v>6</v>
      </c>
      <c r="L8" s="61">
        <v>53.5</v>
      </c>
      <c r="N8" s="76" t="s">
        <v>108</v>
      </c>
      <c r="O8" s="83">
        <f t="shared" si="0"/>
        <v>512.5</v>
      </c>
      <c r="P8" s="80">
        <v>8</v>
      </c>
      <c r="Q8" s="64">
        <v>4100</v>
      </c>
    </row>
    <row r="9" spans="1:17">
      <c r="A9" s="20" t="s">
        <v>4</v>
      </c>
      <c r="B9" s="14">
        <v>5</v>
      </c>
      <c r="C9" s="7">
        <f>IF(B$2=0,0,B9/B$2)</f>
        <v>0.3125</v>
      </c>
      <c r="E9" s="33" t="s">
        <v>182</v>
      </c>
      <c r="F9" s="30" t="s">
        <v>19</v>
      </c>
      <c r="G9" s="13">
        <v>2</v>
      </c>
      <c r="H9" s="94">
        <f>IF(B$17=0,0,G9/B$17)</f>
        <v>6.25E-2</v>
      </c>
      <c r="I9" s="56">
        <v>23</v>
      </c>
      <c r="K9" s="5">
        <v>7</v>
      </c>
      <c r="L9" s="61">
        <v>31.1</v>
      </c>
      <c r="N9" s="77" t="s">
        <v>158</v>
      </c>
      <c r="O9" s="84">
        <f t="shared" si="0"/>
        <v>200</v>
      </c>
      <c r="P9" s="81">
        <v>2</v>
      </c>
      <c r="Q9" s="65">
        <v>400</v>
      </c>
    </row>
    <row r="10" spans="1:17">
      <c r="A10" s="20" t="s">
        <v>152</v>
      </c>
      <c r="B10" s="14">
        <v>3</v>
      </c>
      <c r="C10" s="7">
        <f>IF(B$2=0,0,B10/B$2)</f>
        <v>0.1875</v>
      </c>
      <c r="E10" s="33" t="s">
        <v>58</v>
      </c>
      <c r="F10" s="30" t="s">
        <v>22</v>
      </c>
      <c r="G10" s="13">
        <v>2</v>
      </c>
      <c r="H10" s="94">
        <f>IF(B$17=0,0,G10/B$17)</f>
        <v>6.25E-2</v>
      </c>
      <c r="I10" s="56">
        <v>17</v>
      </c>
      <c r="K10" s="5">
        <v>8</v>
      </c>
      <c r="L10" s="61">
        <v>87.1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8</v>
      </c>
      <c r="C11" s="7">
        <f>IF(B$2=0,0,B11/B$2)</f>
        <v>0.5</v>
      </c>
      <c r="E11" s="33" t="s">
        <v>59</v>
      </c>
      <c r="F11" s="30" t="s">
        <v>23</v>
      </c>
      <c r="G11" s="13">
        <v>1</v>
      </c>
      <c r="H11" s="94">
        <f>IF(B$17=0,0,G11/B$17)</f>
        <v>3.125E-2</v>
      </c>
      <c r="I11" s="56">
        <v>25</v>
      </c>
      <c r="K11" s="5">
        <v>9</v>
      </c>
      <c r="L11" s="61">
        <v>25.699999999999996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6.25E-2</v>
      </c>
      <c r="E12" s="33" t="s">
        <v>62</v>
      </c>
      <c r="F12" s="30" t="s">
        <v>26</v>
      </c>
      <c r="G12" s="13">
        <v>1</v>
      </c>
      <c r="H12" s="94">
        <f>IF(B$17=0,0,G12/B$17)</f>
        <v>3.125E-2</v>
      </c>
      <c r="I12" s="56">
        <v>2</v>
      </c>
      <c r="K12" s="5">
        <v>10</v>
      </c>
      <c r="L12" s="61">
        <v>36.199999999999996</v>
      </c>
      <c r="N12" s="75" t="s">
        <v>126</v>
      </c>
      <c r="O12" s="85">
        <f>IF(P12=0,0,Q12/P12)</f>
        <v>34.56666666666667</v>
      </c>
      <c r="P12" s="79">
        <v>3</v>
      </c>
      <c r="Q12" s="67">
        <v>103.7</v>
      </c>
    </row>
    <row r="13" spans="1:17">
      <c r="A13" s="22" t="s">
        <v>97</v>
      </c>
      <c r="B13" s="15">
        <v>25</v>
      </c>
      <c r="C13" s="11">
        <f>IF(B$3=0,0,B13/B$3)</f>
        <v>0.19083969465648856</v>
      </c>
      <c r="E13" s="33" t="s">
        <v>72</v>
      </c>
      <c r="F13" s="30" t="s">
        <v>36</v>
      </c>
      <c r="G13" s="13">
        <v>1</v>
      </c>
      <c r="H13" s="94">
        <f>IF(B$17=0,0,G13/B$17)</f>
        <v>3.125E-2</v>
      </c>
      <c r="I13" s="56">
        <v>2</v>
      </c>
      <c r="K13" s="5">
        <v>11</v>
      </c>
      <c r="L13" s="61">
        <v>41.8</v>
      </c>
      <c r="N13" s="76" t="s">
        <v>127</v>
      </c>
      <c r="O13" s="86">
        <f>IF(P13=0,0,Q13/P13)</f>
        <v>-12.716666666666667</v>
      </c>
      <c r="P13" s="80">
        <v>6</v>
      </c>
      <c r="Q13" s="68">
        <v>-76.3</v>
      </c>
    </row>
    <row r="14" spans="1:17">
      <c r="A14" s="19" t="s">
        <v>94</v>
      </c>
      <c r="B14" s="13">
        <v>33</v>
      </c>
      <c r="C14" s="6">
        <f>IF(B$3=0,0,B14/B$3)</f>
        <v>0.25190839694656486</v>
      </c>
      <c r="E14" s="33" t="s">
        <v>75</v>
      </c>
      <c r="F14" s="30" t="s">
        <v>39</v>
      </c>
      <c r="G14" s="13">
        <v>1</v>
      </c>
      <c r="H14" s="94">
        <f>IF(B$17=0,0,G14/B$17)</f>
        <v>3.125E-2</v>
      </c>
      <c r="I14" s="56">
        <v>2</v>
      </c>
      <c r="K14" s="5">
        <v>12</v>
      </c>
      <c r="L14" s="61">
        <v>16.299999999999997</v>
      </c>
      <c r="N14" s="76" t="s">
        <v>128</v>
      </c>
      <c r="O14" s="86">
        <f>IF(P14=0,0,Q14/P14)</f>
        <v>-6.7499999999999973</v>
      </c>
      <c r="P14" s="80">
        <v>6</v>
      </c>
      <c r="Q14" s="68">
        <v>-40.499999999999986</v>
      </c>
    </row>
    <row r="15" spans="1:17">
      <c r="A15" s="18" t="s">
        <v>99</v>
      </c>
      <c r="B15" s="12">
        <f>B21</f>
        <v>10</v>
      </c>
      <c r="C15" s="4">
        <f>IF(B$13=0,0,B15/B$13)</f>
        <v>0.4</v>
      </c>
      <c r="E15" s="33" t="s">
        <v>76</v>
      </c>
      <c r="F15" s="30" t="s">
        <v>40</v>
      </c>
      <c r="G15" s="13">
        <v>1</v>
      </c>
      <c r="H15" s="94">
        <f>IF(B$17=0,0,G15/B$17)</f>
        <v>3.125E-2</v>
      </c>
      <c r="I15" s="56">
        <v>3</v>
      </c>
      <c r="K15" s="5">
        <v>13</v>
      </c>
      <c r="L15" s="61">
        <v>-31.800000000000004</v>
      </c>
      <c r="N15" s="77" t="s">
        <v>159</v>
      </c>
      <c r="O15" s="87">
        <f>IF(P15=0,0,Q15/P15)</f>
        <v>-21.5</v>
      </c>
      <c r="P15" s="81">
        <v>1</v>
      </c>
      <c r="Q15" s="69">
        <v>-21.5</v>
      </c>
    </row>
    <row r="16" spans="1:17">
      <c r="A16" s="18" t="s">
        <v>100</v>
      </c>
      <c r="B16" s="12">
        <f>B22</f>
        <v>15</v>
      </c>
      <c r="C16" s="4">
        <f>IF(B$14=0,0,B16/B$14)</f>
        <v>0.45454545454545453</v>
      </c>
      <c r="E16" s="33" t="s">
        <v>77</v>
      </c>
      <c r="F16" s="30" t="s">
        <v>41</v>
      </c>
      <c r="G16" s="13">
        <v>1</v>
      </c>
      <c r="H16" s="94">
        <f>IF(B$17=0,0,G16/B$17)</f>
        <v>3.125E-2</v>
      </c>
      <c r="I16" s="56">
        <v>14</v>
      </c>
      <c r="K16" s="5">
        <v>14</v>
      </c>
      <c r="L16" s="61">
        <v>41.4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32</v>
      </c>
      <c r="C17" s="4">
        <f>IF(B$3=0,0,B17/B$3)</f>
        <v>0.24427480916030533</v>
      </c>
      <c r="E17" s="33" t="s">
        <v>78</v>
      </c>
      <c r="F17" s="30" t="s">
        <v>42</v>
      </c>
      <c r="G17" s="13">
        <v>1</v>
      </c>
      <c r="H17" s="94">
        <f>IF(B$17=0,0,G17/B$17)</f>
        <v>3.125E-2</v>
      </c>
      <c r="I17" s="56">
        <v>4</v>
      </c>
      <c r="K17" s="5">
        <v>15</v>
      </c>
      <c r="L17" s="61">
        <v>-11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14</v>
      </c>
      <c r="C18" s="6">
        <f>IF(B$3=0,0,B18/B$3)</f>
        <v>0.10687022900763359</v>
      </c>
      <c r="E18" s="33" t="s">
        <v>61</v>
      </c>
      <c r="F18" s="30" t="s">
        <v>25</v>
      </c>
      <c r="G18" s="13">
        <v>0</v>
      </c>
      <c r="H18" s="94">
        <f>IF(B$17=0,0,G18/B$17)</f>
        <v>0</v>
      </c>
      <c r="I18" s="56">
        <v>5</v>
      </c>
      <c r="K18" s="5">
        <v>16</v>
      </c>
      <c r="L18" s="61">
        <v>-34.6</v>
      </c>
      <c r="N18" s="75" t="s">
        <v>180</v>
      </c>
      <c r="O18" s="85">
        <f t="shared" ref="O18:O32" si="3">IF(P18=0,0,Q18/P18)</f>
        <v>107.80000000000001</v>
      </c>
      <c r="P18" s="79">
        <v>1</v>
      </c>
      <c r="Q18" s="67">
        <v>107.80000000000001</v>
      </c>
    </row>
    <row r="19" spans="1:17">
      <c r="A19" s="19" t="s">
        <v>12</v>
      </c>
      <c r="B19" s="13">
        <v>12</v>
      </c>
      <c r="C19" s="6">
        <f>IF(B$17=0,0,B19/B$17)</f>
        <v>0.375</v>
      </c>
      <c r="E19" s="33" t="s">
        <v>63</v>
      </c>
      <c r="F19" s="30" t="s">
        <v>27</v>
      </c>
      <c r="G19" s="13">
        <v>0</v>
      </c>
      <c r="H19" s="94">
        <f>IF(B$17=0,0,G19/B$17)</f>
        <v>0</v>
      </c>
      <c r="I19" s="56">
        <v>1</v>
      </c>
      <c r="N19" s="76" t="s">
        <v>175</v>
      </c>
      <c r="O19" s="86">
        <f t="shared" si="3"/>
        <v>71</v>
      </c>
      <c r="P19" s="80">
        <v>1</v>
      </c>
      <c r="Q19" s="68">
        <v>71</v>
      </c>
    </row>
    <row r="20" spans="1:17">
      <c r="A20" s="19" t="s">
        <v>11</v>
      </c>
      <c r="B20" s="13">
        <v>20</v>
      </c>
      <c r="C20" s="6">
        <f>IF(B$17=0,0,B20/B$17)</f>
        <v>0.625</v>
      </c>
      <c r="E20" s="33" t="s">
        <v>64</v>
      </c>
      <c r="F20" s="30" t="s">
        <v>28</v>
      </c>
      <c r="G20" s="13">
        <v>0</v>
      </c>
      <c r="H20" s="94">
        <f>IF(B$17=0,0,G20/B$17)</f>
        <v>0</v>
      </c>
      <c r="I20" s="56">
        <v>1</v>
      </c>
      <c r="N20" s="76" t="s">
        <v>208</v>
      </c>
      <c r="O20" s="86">
        <f t="shared" si="3"/>
        <v>43.29999999999999</v>
      </c>
      <c r="P20" s="80">
        <v>3</v>
      </c>
      <c r="Q20" s="68">
        <v>129.89999999999998</v>
      </c>
    </row>
    <row r="21" spans="1:17">
      <c r="A21" s="19" t="s">
        <v>151</v>
      </c>
      <c r="B21" s="13">
        <v>10</v>
      </c>
      <c r="C21" s="6">
        <f>IF(B$17=0,0,B21/B$17)</f>
        <v>0.3125</v>
      </c>
      <c r="E21" s="33" t="s">
        <v>65</v>
      </c>
      <c r="F21" s="30" t="s">
        <v>29</v>
      </c>
      <c r="G21" s="13">
        <v>0</v>
      </c>
      <c r="H21" s="94">
        <f>IF(B$17=0,0,G21/B$17)</f>
        <v>0</v>
      </c>
      <c r="I21" s="56">
        <v>1</v>
      </c>
      <c r="N21" s="76" t="s">
        <v>199</v>
      </c>
      <c r="O21" s="86">
        <f t="shared" si="3"/>
        <v>42.35</v>
      </c>
      <c r="P21" s="80">
        <v>2</v>
      </c>
      <c r="Q21" s="68">
        <v>84.7</v>
      </c>
    </row>
    <row r="22" spans="1:17">
      <c r="A22" s="19" t="s">
        <v>149</v>
      </c>
      <c r="B22" s="13">
        <v>15</v>
      </c>
      <c r="C22" s="6">
        <f>IF(B$17=0,0,B22/B$17)</f>
        <v>0.46875</v>
      </c>
      <c r="E22" s="33" t="s">
        <v>66</v>
      </c>
      <c r="F22" s="30" t="s">
        <v>30</v>
      </c>
      <c r="G22" s="13">
        <v>0</v>
      </c>
      <c r="H22" s="94">
        <f>IF(B$17=0,0,G22/B$17)</f>
        <v>0</v>
      </c>
      <c r="I22" s="56">
        <v>9</v>
      </c>
      <c r="N22" s="76" t="s">
        <v>195</v>
      </c>
      <c r="O22" s="86">
        <f t="shared" si="3"/>
        <v>34.120000000000005</v>
      </c>
      <c r="P22" s="80">
        <v>5</v>
      </c>
      <c r="Q22" s="68">
        <v>170.60000000000002</v>
      </c>
    </row>
    <row r="23" spans="1:17">
      <c r="A23" s="19" t="s">
        <v>150</v>
      </c>
      <c r="B23" s="13">
        <v>7</v>
      </c>
      <c r="C23" s="6">
        <f>IF(B$17=0,0,B23/B$17)</f>
        <v>0.21875</v>
      </c>
      <c r="E23" s="33" t="s">
        <v>67</v>
      </c>
      <c r="F23" s="30" t="s">
        <v>31</v>
      </c>
      <c r="G23" s="13">
        <v>0</v>
      </c>
      <c r="H23" s="94">
        <f>IF(B$17=0,0,G23/B$17)</f>
        <v>0</v>
      </c>
      <c r="I23" s="56">
        <v>8</v>
      </c>
      <c r="N23" s="76" t="s">
        <v>166</v>
      </c>
      <c r="O23" s="86">
        <f t="shared" si="3"/>
        <v>25.6</v>
      </c>
      <c r="P23" s="80">
        <v>2</v>
      </c>
      <c r="Q23" s="68">
        <v>51.2</v>
      </c>
    </row>
    <row r="24" spans="1:17">
      <c r="A24" s="19" t="s">
        <v>5</v>
      </c>
      <c r="B24" s="16">
        <f>IF(B$17=0,0,C24/B$17)</f>
        <v>4909.375</v>
      </c>
      <c r="C24" s="8">
        <v>157100</v>
      </c>
      <c r="E24" s="33" t="s">
        <v>183</v>
      </c>
      <c r="F24" s="30" t="s">
        <v>186</v>
      </c>
      <c r="G24" s="13">
        <v>0</v>
      </c>
      <c r="H24" s="94">
        <f>IF(B$17=0,0,G24/B$17)</f>
        <v>0</v>
      </c>
      <c r="I24" s="56">
        <v>16</v>
      </c>
      <c r="N24" s="76" t="s">
        <v>163</v>
      </c>
      <c r="O24" s="86">
        <f t="shared" si="3"/>
        <v>24.4</v>
      </c>
      <c r="P24" s="80">
        <v>1</v>
      </c>
      <c r="Q24" s="68">
        <v>24.4</v>
      </c>
    </row>
    <row r="25" spans="1:17">
      <c r="A25" s="20" t="s">
        <v>133</v>
      </c>
      <c r="B25" s="97">
        <f>IF($B$17-B$16=0,0,C25/($B$17-B$16))</f>
        <v>5376.4705882352937</v>
      </c>
      <c r="C25" s="98">
        <v>91400</v>
      </c>
      <c r="E25" s="33" t="s">
        <v>68</v>
      </c>
      <c r="F25" s="30" t="s">
        <v>32</v>
      </c>
      <c r="G25" s="13">
        <v>0</v>
      </c>
      <c r="H25" s="94">
        <f>IF(B$17=0,0,G25/B$17)</f>
        <v>0</v>
      </c>
      <c r="I25" s="56">
        <v>1</v>
      </c>
      <c r="N25" s="76" t="s">
        <v>161</v>
      </c>
      <c r="O25" s="86">
        <f t="shared" si="3"/>
        <v>20.166666666666668</v>
      </c>
      <c r="P25" s="80">
        <v>3</v>
      </c>
      <c r="Q25" s="68">
        <v>60.500000000000007</v>
      </c>
    </row>
    <row r="26" spans="1:17">
      <c r="A26" s="20" t="s">
        <v>134</v>
      </c>
      <c r="B26" s="97">
        <f>IF(B$16=0,0,C26/B$16)</f>
        <v>4380</v>
      </c>
      <c r="C26" s="98">
        <v>65700</v>
      </c>
      <c r="E26" s="33" t="s">
        <v>69</v>
      </c>
      <c r="F26" s="30" t="s">
        <v>33</v>
      </c>
      <c r="G26" s="13">
        <v>0</v>
      </c>
      <c r="H26" s="94">
        <f>IF(B$17=0,0,G26/B$17)</f>
        <v>0</v>
      </c>
      <c r="I26" s="56">
        <v>8</v>
      </c>
      <c r="N26" s="76" t="s">
        <v>168</v>
      </c>
      <c r="O26" s="86">
        <f t="shared" si="3"/>
        <v>11.528571428571427</v>
      </c>
      <c r="P26" s="80">
        <v>7</v>
      </c>
      <c r="Q26" s="68">
        <v>80.699999999999989</v>
      </c>
    </row>
    <row r="27" spans="1:17">
      <c r="A27" s="20" t="s">
        <v>132</v>
      </c>
      <c r="B27" s="97">
        <f>IF(B$18=0,0,C27/B$18)</f>
        <v>-8157.1428571428569</v>
      </c>
      <c r="C27" s="98">
        <v>-114200</v>
      </c>
      <c r="E27" s="33" t="s">
        <v>70</v>
      </c>
      <c r="F27" s="30" t="s">
        <v>34</v>
      </c>
      <c r="G27" s="13">
        <v>0</v>
      </c>
      <c r="H27" s="94">
        <f>IF(B$17=0,0,G27/B$17)</f>
        <v>0</v>
      </c>
      <c r="I27" s="56">
        <v>1</v>
      </c>
      <c r="N27" s="76" t="s">
        <v>164</v>
      </c>
      <c r="O27" s="86">
        <f t="shared" si="3"/>
        <v>-17.559999999999999</v>
      </c>
      <c r="P27" s="80">
        <v>5</v>
      </c>
      <c r="Q27" s="68">
        <v>-87.8</v>
      </c>
    </row>
    <row r="28" spans="1:17">
      <c r="A28" s="19" t="s">
        <v>130</v>
      </c>
      <c r="B28" s="13">
        <v>4</v>
      </c>
      <c r="C28" s="96">
        <v>0</v>
      </c>
      <c r="E28" s="33" t="s">
        <v>71</v>
      </c>
      <c r="F28" s="30" t="s">
        <v>35</v>
      </c>
      <c r="G28" s="13">
        <v>0</v>
      </c>
      <c r="H28" s="94">
        <f>IF(B$17=0,0,G28/B$17)</f>
        <v>0</v>
      </c>
      <c r="I28" s="56">
        <v>14</v>
      </c>
      <c r="N28" s="76" t="s">
        <v>191</v>
      </c>
      <c r="O28" s="86">
        <f t="shared" si="3"/>
        <v>-27.860000000000003</v>
      </c>
      <c r="P28" s="80">
        <v>5</v>
      </c>
      <c r="Q28" s="68">
        <v>-139.30000000000001</v>
      </c>
    </row>
    <row r="29" spans="1:17">
      <c r="A29" s="19" t="s">
        <v>131</v>
      </c>
      <c r="B29" s="13">
        <v>36</v>
      </c>
      <c r="C29" s="96">
        <v>1</v>
      </c>
      <c r="E29" s="33" t="s">
        <v>73</v>
      </c>
      <c r="F29" s="30" t="s">
        <v>37</v>
      </c>
      <c r="G29" s="13">
        <v>0</v>
      </c>
      <c r="H29" s="94">
        <f>IF(B$17=0,0,G29/B$17)</f>
        <v>0</v>
      </c>
      <c r="I29" s="56">
        <v>1</v>
      </c>
      <c r="N29" s="76" t="s">
        <v>196</v>
      </c>
      <c r="O29" s="86">
        <f t="shared" si="3"/>
        <v>-34.299999999999997</v>
      </c>
      <c r="P29" s="80">
        <v>1</v>
      </c>
      <c r="Q29" s="68">
        <v>-34.299999999999997</v>
      </c>
    </row>
    <row r="30" spans="1:17">
      <c r="A30" s="52" t="s">
        <v>111</v>
      </c>
      <c r="B30" s="114">
        <v>5</v>
      </c>
      <c r="C30" s="115"/>
      <c r="E30" s="33" t="s">
        <v>74</v>
      </c>
      <c r="F30" s="30" t="s">
        <v>38</v>
      </c>
      <c r="G30" s="13">
        <v>0</v>
      </c>
      <c r="H30" s="94">
        <f>IF(B$17=0,0,G30/B$17)</f>
        <v>0</v>
      </c>
      <c r="I30" s="56">
        <v>12</v>
      </c>
      <c r="N30" s="76" t="s">
        <v>169</v>
      </c>
      <c r="O30" s="86">
        <f t="shared" si="3"/>
        <v>-46.75</v>
      </c>
      <c r="P30" s="80">
        <v>8</v>
      </c>
      <c r="Q30" s="68">
        <v>-374</v>
      </c>
    </row>
    <row r="31" spans="1:17">
      <c r="A31" s="22" t="s">
        <v>148</v>
      </c>
      <c r="B31" s="116">
        <v>53200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205</v>
      </c>
      <c r="O31" s="86">
        <f t="shared" si="3"/>
        <v>-53</v>
      </c>
      <c r="P31" s="80">
        <v>2</v>
      </c>
      <c r="Q31" s="68">
        <v>-106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162</v>
      </c>
      <c r="O32" s="86">
        <f t="shared" si="3"/>
        <v>-78.900000000000006</v>
      </c>
      <c r="P32" s="80">
        <v>2</v>
      </c>
      <c r="Q32" s="68">
        <v>-157.80000000000001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6</v>
      </c>
      <c r="C35" s="102">
        <f t="shared" ref="C35:C47" si="4">IF(B$17=0,0,B35/B$17)</f>
        <v>0.1875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7</v>
      </c>
      <c r="C36" s="6">
        <f t="shared" si="4"/>
        <v>0.21875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8</v>
      </c>
      <c r="C37" s="6">
        <f t="shared" si="4"/>
        <v>0.25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5</v>
      </c>
      <c r="C38" s="6">
        <f t="shared" si="4"/>
        <v>0.15625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4</v>
      </c>
      <c r="C39" s="6">
        <f t="shared" si="4"/>
        <v>0.125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2</v>
      </c>
      <c r="C41" s="6">
        <f t="shared" si="4"/>
        <v>6.25E-2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DB0311-F07F-4956-9A92-80D3BBC7E317}">
  <sheetPr codeName="Sheet1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199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181</v>
      </c>
      <c r="F2" s="29" t="s">
        <v>156</v>
      </c>
      <c r="G2" s="12">
        <v>0</v>
      </c>
      <c r="H2" s="93">
        <f>IF(B$17=0,0,G2/B$17)</f>
        <v>0</v>
      </c>
      <c r="I2" s="55">
        <v>37</v>
      </c>
      <c r="K2" s="3">
        <v>0</v>
      </c>
      <c r="L2" s="60">
        <v>0</v>
      </c>
      <c r="N2" s="75" t="s">
        <v>103</v>
      </c>
      <c r="O2" s="82">
        <f t="shared" ref="O2:O9" si="0">IF(P2=0,0,Q2/P2)</f>
        <v>-4400</v>
      </c>
      <c r="P2" s="79">
        <v>2</v>
      </c>
      <c r="Q2" s="63">
        <v>-8800</v>
      </c>
    </row>
    <row r="3" spans="1:17">
      <c r="A3" s="19" t="s">
        <v>8</v>
      </c>
      <c r="B3" s="122">
        <v>15</v>
      </c>
      <c r="C3" s="123"/>
      <c r="E3" s="33" t="s">
        <v>182</v>
      </c>
      <c r="F3" s="30" t="s">
        <v>19</v>
      </c>
      <c r="G3" s="13">
        <v>0</v>
      </c>
      <c r="H3" s="94">
        <f>IF(B$17=0,0,G3/B$17)</f>
        <v>0</v>
      </c>
      <c r="I3" s="56">
        <v>27</v>
      </c>
      <c r="K3" s="5">
        <v>1</v>
      </c>
      <c r="L3" s="61">
        <v>-45.9</v>
      </c>
      <c r="N3" s="76" t="s">
        <v>104</v>
      </c>
      <c r="O3" s="83">
        <f t="shared" si="0"/>
        <v>-250</v>
      </c>
      <c r="P3" s="80">
        <v>2</v>
      </c>
      <c r="Q3" s="64">
        <v>-500</v>
      </c>
    </row>
    <row r="4" spans="1:17">
      <c r="A4" s="19" t="s">
        <v>6</v>
      </c>
      <c r="B4" s="124">
        <v>-97.4</v>
      </c>
      <c r="C4" s="125"/>
      <c r="E4" s="33" t="s">
        <v>54</v>
      </c>
      <c r="F4" s="30" t="s">
        <v>20</v>
      </c>
      <c r="G4" s="13">
        <v>0</v>
      </c>
      <c r="H4" s="94">
        <f>IF(B$17=0,0,G4/B$17)</f>
        <v>0</v>
      </c>
      <c r="I4" s="56">
        <v>34</v>
      </c>
      <c r="K4" s="5">
        <v>2</v>
      </c>
      <c r="L4" s="61">
        <v>-97.4</v>
      </c>
      <c r="N4" s="76" t="s">
        <v>105</v>
      </c>
      <c r="O4" s="83">
        <f t="shared" si="0"/>
        <v>-550</v>
      </c>
      <c r="P4" s="80">
        <v>2</v>
      </c>
      <c r="Q4" s="64">
        <v>-1100</v>
      </c>
    </row>
    <row r="5" spans="1:17">
      <c r="A5" s="19" t="s">
        <v>7</v>
      </c>
      <c r="B5" s="126">
        <f>IF(B$2=0,0,B$4/B$2)</f>
        <v>-48.7</v>
      </c>
      <c r="C5" s="127"/>
      <c r="E5" s="33" t="s">
        <v>55</v>
      </c>
      <c r="F5" s="30" t="s">
        <v>155</v>
      </c>
      <c r="G5" s="13">
        <v>0</v>
      </c>
      <c r="H5" s="94">
        <f>IF(B$17=0,0,G5/B$17)</f>
        <v>0</v>
      </c>
      <c r="I5" s="56">
        <v>35</v>
      </c>
      <c r="N5" s="76" t="s">
        <v>157</v>
      </c>
      <c r="O5" s="83">
        <f>IF(P5=0,0,Q5/P5)</f>
        <v>-2000</v>
      </c>
      <c r="P5" s="80">
        <v>2</v>
      </c>
      <c r="Q5" s="64">
        <v>-4000</v>
      </c>
    </row>
    <row r="6" spans="1:17">
      <c r="A6" s="19" t="s">
        <v>1</v>
      </c>
      <c r="B6" s="128">
        <f>IF(B$2=0,0,(B$7*1+B$8*2+B$9*3+B$10*4)/B$2)</f>
        <v>4</v>
      </c>
      <c r="C6" s="129"/>
      <c r="E6" s="33" t="s">
        <v>56</v>
      </c>
      <c r="F6" s="30" t="s">
        <v>185</v>
      </c>
      <c r="G6" s="13">
        <v>0</v>
      </c>
      <c r="H6" s="94">
        <f>IF(B$17=0,0,G6/B$17)</f>
        <v>0</v>
      </c>
      <c r="I6" s="56">
        <v>37</v>
      </c>
      <c r="N6" s="76" t="s">
        <v>106</v>
      </c>
      <c r="O6" s="83">
        <f t="shared" ref="O6" si="1">IF(P6=0,0,Q6/P6)</f>
        <v>0</v>
      </c>
      <c r="P6" s="80">
        <v>2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0</v>
      </c>
      <c r="H7" s="94">
        <f>IF(B$17=0,0,G7/B$17)</f>
        <v>0</v>
      </c>
      <c r="I7" s="56">
        <v>32</v>
      </c>
      <c r="N7" s="76" t="s">
        <v>107</v>
      </c>
      <c r="O7" s="83">
        <f t="shared" si="0"/>
        <v>-1000</v>
      </c>
      <c r="P7" s="80">
        <v>1</v>
      </c>
      <c r="Q7" s="64">
        <v>-1000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>IF(B$17=0,0,G8/B$17)</f>
        <v>0</v>
      </c>
      <c r="I8" s="56">
        <v>24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0</v>
      </c>
      <c r="H9" s="94">
        <f>IF(B$17=0,0,G9/B$17)</f>
        <v>0</v>
      </c>
      <c r="I9" s="56">
        <v>26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1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37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6</v>
      </c>
      <c r="N12" s="75" t="s">
        <v>126</v>
      </c>
      <c r="O12" s="85">
        <f>IF(P12=0,0,Q12/P12)</f>
        <v>-48.7</v>
      </c>
      <c r="P12" s="79">
        <v>2</v>
      </c>
      <c r="Q12" s="67">
        <v>-97.4</v>
      </c>
    </row>
    <row r="13" spans="1:17">
      <c r="A13" s="22" t="s">
        <v>97</v>
      </c>
      <c r="B13" s="15">
        <v>1</v>
      </c>
      <c r="C13" s="11">
        <f>IF(B$3=0,0,B13/B$3)</f>
        <v>6.6666666666666666E-2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1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5</v>
      </c>
      <c r="C14" s="6">
        <f>IF(B$3=0,0,B14/B$3)</f>
        <v>0.33333333333333331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9</v>
      </c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8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0.13333333333333333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16</v>
      </c>
      <c r="N18" s="75" t="s">
        <v>161</v>
      </c>
      <c r="O18" s="85">
        <f>IF(P18=0,0,Q18/P18)</f>
        <v>-23.9</v>
      </c>
      <c r="P18" s="79">
        <v>1</v>
      </c>
      <c r="Q18" s="67">
        <v>-23.9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1</v>
      </c>
      <c r="N19" s="76" t="s">
        <v>179</v>
      </c>
      <c r="O19" s="86">
        <f>IF(P19=0,0,Q19/P19)</f>
        <v>-42.35</v>
      </c>
      <c r="P19" s="80">
        <v>2</v>
      </c>
      <c r="Q19" s="68">
        <v>-84.7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8</v>
      </c>
      <c r="N20" s="76" t="s">
        <v>164</v>
      </c>
      <c r="O20" s="86">
        <f>IF(P20=0,0,Q20/P20)</f>
        <v>-57.9</v>
      </c>
      <c r="P20" s="80">
        <v>1</v>
      </c>
      <c r="Q20" s="68">
        <v>-57.9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  <c r="N21" s="76" t="s">
        <v>162</v>
      </c>
      <c r="O21" s="86">
        <f>IF(P21=0,0,Q21/P21)</f>
        <v>-101.3</v>
      </c>
      <c r="P21" s="80">
        <v>1</v>
      </c>
      <c r="Q21" s="68">
        <v>-101.3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14</v>
      </c>
      <c r="N22" s="76" t="s">
        <v>168</v>
      </c>
      <c r="O22" s="86">
        <f>IF(P22=0,0,Q22/P22)</f>
        <v>-111.8</v>
      </c>
      <c r="P22" s="80">
        <v>1</v>
      </c>
      <c r="Q22" s="68">
        <v>-111.8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12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-10000</v>
      </c>
      <c r="C27" s="98">
        <v>-20000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5</v>
      </c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16</v>
      </c>
    </row>
    <row r="29" spans="1:17">
      <c r="A29" s="19" t="s">
        <v>131</v>
      </c>
      <c r="B29" s="13">
        <v>12</v>
      </c>
      <c r="C29" s="96">
        <v>0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7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14100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36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B45086-EED0-4DB2-A4D9-1DCCBF57EF40}">
  <sheetPr codeName="Sheet1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191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14</v>
      </c>
      <c r="C2" s="121"/>
      <c r="E2" s="32" t="s">
        <v>54</v>
      </c>
      <c r="F2" s="29" t="s">
        <v>20</v>
      </c>
      <c r="G2" s="12">
        <v>21</v>
      </c>
      <c r="H2" s="93">
        <f>IF(B$17=0,0,G2/B$17)</f>
        <v>1</v>
      </c>
      <c r="I2" s="55">
        <v>2</v>
      </c>
      <c r="K2" s="3">
        <v>0</v>
      </c>
      <c r="L2" s="60">
        <v>0</v>
      </c>
      <c r="N2" s="75" t="s">
        <v>103</v>
      </c>
      <c r="O2" s="82">
        <f t="shared" ref="O2:O9" si="0">IF(P2=0,0,Q2/P2)</f>
        <v>-814.28571428571433</v>
      </c>
      <c r="P2" s="79">
        <v>14</v>
      </c>
      <c r="Q2" s="63">
        <v>-11400</v>
      </c>
    </row>
    <row r="3" spans="1:17">
      <c r="A3" s="19" t="s">
        <v>8</v>
      </c>
      <c r="B3" s="122">
        <v>115</v>
      </c>
      <c r="C3" s="123"/>
      <c r="E3" s="33" t="s">
        <v>184</v>
      </c>
      <c r="F3" s="30" t="s">
        <v>187</v>
      </c>
      <c r="G3" s="13">
        <v>11</v>
      </c>
      <c r="H3" s="94">
        <f>IF(B$17=0,0,G3/B$17)</f>
        <v>0.52380952380952384</v>
      </c>
      <c r="I3" s="56">
        <v>11</v>
      </c>
      <c r="K3" s="5">
        <v>1</v>
      </c>
      <c r="L3" s="61">
        <v>-15.4</v>
      </c>
      <c r="N3" s="76" t="s">
        <v>104</v>
      </c>
      <c r="O3" s="83">
        <f t="shared" si="0"/>
        <v>-371.42857142857144</v>
      </c>
      <c r="P3" s="80">
        <v>14</v>
      </c>
      <c r="Q3" s="64">
        <v>-5200</v>
      </c>
    </row>
    <row r="4" spans="1:17">
      <c r="A4" s="19" t="s">
        <v>6</v>
      </c>
      <c r="B4" s="124">
        <v>79.299999999999983</v>
      </c>
      <c r="C4" s="125"/>
      <c r="E4" s="33" t="s">
        <v>60</v>
      </c>
      <c r="F4" s="30" t="s">
        <v>24</v>
      </c>
      <c r="G4" s="13">
        <v>9</v>
      </c>
      <c r="H4" s="94">
        <f>IF(B$17=0,0,G4/B$17)</f>
        <v>0.42857142857142855</v>
      </c>
      <c r="I4" s="56">
        <v>15</v>
      </c>
      <c r="K4" s="5">
        <v>2</v>
      </c>
      <c r="L4" s="61">
        <v>-47.5</v>
      </c>
      <c r="N4" s="76" t="s">
        <v>105</v>
      </c>
      <c r="O4" s="83">
        <f t="shared" si="0"/>
        <v>907.14285714285711</v>
      </c>
      <c r="P4" s="80">
        <v>14</v>
      </c>
      <c r="Q4" s="64">
        <v>12700</v>
      </c>
    </row>
    <row r="5" spans="1:17">
      <c r="A5" s="19" t="s">
        <v>7</v>
      </c>
      <c r="B5" s="126">
        <f>IF(B$2=0,0,B$4/B$2)</f>
        <v>5.6642857142857128</v>
      </c>
      <c r="C5" s="127"/>
      <c r="E5" s="33" t="s">
        <v>59</v>
      </c>
      <c r="F5" s="30" t="s">
        <v>23</v>
      </c>
      <c r="G5" s="13">
        <v>7</v>
      </c>
      <c r="H5" s="94">
        <f>IF(B$17=0,0,G5/B$17)</f>
        <v>0.33333333333333331</v>
      </c>
      <c r="I5" s="56">
        <v>3</v>
      </c>
      <c r="K5" s="5">
        <v>3</v>
      </c>
      <c r="L5" s="61">
        <v>-16.899999999999999</v>
      </c>
      <c r="N5" s="76" t="s">
        <v>157</v>
      </c>
      <c r="O5" s="83">
        <f>IF(P5=0,0,Q5/P5)</f>
        <v>2528.5714285714284</v>
      </c>
      <c r="P5" s="80">
        <v>14</v>
      </c>
      <c r="Q5" s="64">
        <v>35400</v>
      </c>
    </row>
    <row r="6" spans="1:17">
      <c r="A6" s="19" t="s">
        <v>1</v>
      </c>
      <c r="B6" s="128">
        <f>IF(B$2=0,0,(B$7*1+B$8*2+B$9*3+B$10*4)/B$2)</f>
        <v>2.1428571428571428</v>
      </c>
      <c r="C6" s="129"/>
      <c r="E6" s="33" t="s">
        <v>57</v>
      </c>
      <c r="F6" s="30" t="s">
        <v>21</v>
      </c>
      <c r="G6" s="13">
        <v>5</v>
      </c>
      <c r="H6" s="94">
        <f>IF(B$17=0,0,G6/B$17)</f>
        <v>0.23809523809523808</v>
      </c>
      <c r="I6" s="56">
        <v>21</v>
      </c>
      <c r="K6" s="5">
        <v>4</v>
      </c>
      <c r="L6" s="61">
        <v>-6.1999999999999993</v>
      </c>
      <c r="N6" s="76" t="s">
        <v>106</v>
      </c>
      <c r="O6" s="83">
        <f t="shared" ref="O6" si="1">IF(P6=0,0,Q6/P6)</f>
        <v>-527.27272727272725</v>
      </c>
      <c r="P6" s="80">
        <v>11</v>
      </c>
      <c r="Q6" s="64">
        <v>-5800</v>
      </c>
    </row>
    <row r="7" spans="1:17">
      <c r="A7" s="19" t="s">
        <v>2</v>
      </c>
      <c r="B7" s="13">
        <v>3</v>
      </c>
      <c r="C7" s="6">
        <f t="shared" ref="C7:C12" si="2">IF(B$2=0,0,B7/B$2)</f>
        <v>0.21428571428571427</v>
      </c>
      <c r="E7" s="33" t="s">
        <v>181</v>
      </c>
      <c r="F7" s="30" t="s">
        <v>156</v>
      </c>
      <c r="G7" s="13">
        <v>4</v>
      </c>
      <c r="H7" s="94">
        <f>IF(B$17=0,0,G7/B$17)</f>
        <v>0.19047619047619047</v>
      </c>
      <c r="I7" s="56">
        <v>36</v>
      </c>
      <c r="K7" s="5">
        <v>5</v>
      </c>
      <c r="L7" s="61">
        <v>4.1000000000000014</v>
      </c>
      <c r="N7" s="76" t="s">
        <v>107</v>
      </c>
      <c r="O7" s="83">
        <f t="shared" si="0"/>
        <v>-842.85714285714289</v>
      </c>
      <c r="P7" s="80">
        <v>7</v>
      </c>
      <c r="Q7" s="64">
        <v>-5900</v>
      </c>
    </row>
    <row r="8" spans="1:17">
      <c r="A8" s="19" t="s">
        <v>3</v>
      </c>
      <c r="B8" s="13">
        <v>7</v>
      </c>
      <c r="C8" s="6">
        <f>IF(B$2=0,0,B8/B$2)</f>
        <v>0.5</v>
      </c>
      <c r="E8" s="33" t="s">
        <v>55</v>
      </c>
      <c r="F8" s="30" t="s">
        <v>155</v>
      </c>
      <c r="G8" s="13">
        <v>2</v>
      </c>
      <c r="H8" s="94">
        <f>IF(B$17=0,0,G8/B$17)</f>
        <v>9.5238095238095233E-2</v>
      </c>
      <c r="I8" s="56">
        <v>33</v>
      </c>
      <c r="K8" s="5">
        <v>6</v>
      </c>
      <c r="L8" s="61">
        <v>70</v>
      </c>
      <c r="N8" s="76" t="s">
        <v>108</v>
      </c>
      <c r="O8" s="83">
        <f t="shared" si="0"/>
        <v>250</v>
      </c>
      <c r="P8" s="80">
        <v>6</v>
      </c>
      <c r="Q8" s="64">
        <v>1500</v>
      </c>
    </row>
    <row r="9" spans="1:17">
      <c r="A9" s="20" t="s">
        <v>4</v>
      </c>
      <c r="B9" s="14">
        <v>3</v>
      </c>
      <c r="C9" s="7">
        <f>IF(B$2=0,0,B9/B$2)</f>
        <v>0.21428571428571427</v>
      </c>
      <c r="E9" s="33" t="s">
        <v>67</v>
      </c>
      <c r="F9" s="30" t="s">
        <v>31</v>
      </c>
      <c r="G9" s="13">
        <v>2</v>
      </c>
      <c r="H9" s="94">
        <f>IF(B$17=0,0,G9/B$17)</f>
        <v>9.5238095238095233E-2</v>
      </c>
      <c r="I9" s="56">
        <v>2</v>
      </c>
      <c r="K9" s="5">
        <v>7</v>
      </c>
      <c r="L9" s="61">
        <v>62.4</v>
      </c>
      <c r="N9" s="77" t="s">
        <v>158</v>
      </c>
      <c r="O9" s="84">
        <f t="shared" si="0"/>
        <v>-666.66666666666663</v>
      </c>
      <c r="P9" s="81">
        <v>3</v>
      </c>
      <c r="Q9" s="65">
        <v>-2000</v>
      </c>
    </row>
    <row r="10" spans="1:17">
      <c r="A10" s="20" t="s">
        <v>152</v>
      </c>
      <c r="B10" s="14">
        <v>1</v>
      </c>
      <c r="C10" s="7">
        <f>IF(B$2=0,0,B10/B$2)</f>
        <v>7.1428571428571425E-2</v>
      </c>
      <c r="E10" s="33" t="s">
        <v>56</v>
      </c>
      <c r="F10" s="30" t="s">
        <v>185</v>
      </c>
      <c r="G10" s="13">
        <v>1</v>
      </c>
      <c r="H10" s="94">
        <f>IF(B$17=0,0,G10/B$17)</f>
        <v>4.7619047619047616E-2</v>
      </c>
      <c r="I10" s="56">
        <v>36</v>
      </c>
      <c r="K10" s="5">
        <v>8</v>
      </c>
      <c r="L10" s="61">
        <v>70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10</v>
      </c>
      <c r="C11" s="7">
        <f>IF(B$2=0,0,B11/B$2)</f>
        <v>0.7142857142857143</v>
      </c>
      <c r="E11" s="33" t="s">
        <v>58</v>
      </c>
      <c r="F11" s="30" t="s">
        <v>22</v>
      </c>
      <c r="G11" s="13">
        <v>1</v>
      </c>
      <c r="H11" s="94">
        <f>IF(B$17=0,0,G11/B$17)</f>
        <v>4.7619047619047616E-2</v>
      </c>
      <c r="I11" s="56">
        <v>19</v>
      </c>
      <c r="K11" s="5">
        <v>9</v>
      </c>
      <c r="L11" s="61">
        <v>87.3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7.1428571428571425E-2</v>
      </c>
      <c r="E12" s="33" t="s">
        <v>66</v>
      </c>
      <c r="F12" s="30" t="s">
        <v>30</v>
      </c>
      <c r="G12" s="13">
        <v>1</v>
      </c>
      <c r="H12" s="94">
        <f>IF(B$17=0,0,G12/B$17)</f>
        <v>4.7619047619047616E-2</v>
      </c>
      <c r="I12" s="56">
        <v>5</v>
      </c>
      <c r="K12" s="5">
        <v>10</v>
      </c>
      <c r="L12" s="61">
        <v>67.699999999999989</v>
      </c>
      <c r="N12" s="75" t="s">
        <v>126</v>
      </c>
      <c r="O12" s="85">
        <f>IF(P12=0,0,Q12/P12)</f>
        <v>-25.4</v>
      </c>
      <c r="P12" s="79">
        <v>4</v>
      </c>
      <c r="Q12" s="67">
        <v>-101.6</v>
      </c>
    </row>
    <row r="13" spans="1:17">
      <c r="A13" s="22" t="s">
        <v>97</v>
      </c>
      <c r="B13" s="15">
        <v>12</v>
      </c>
      <c r="C13" s="11">
        <f>IF(B$3=0,0,B13/B$3)</f>
        <v>0.10434782608695652</v>
      </c>
      <c r="E13" s="33" t="s">
        <v>183</v>
      </c>
      <c r="F13" s="30" t="s">
        <v>186</v>
      </c>
      <c r="G13" s="13">
        <v>1</v>
      </c>
      <c r="H13" s="94">
        <f>IF(B$17=0,0,G13/B$17)</f>
        <v>4.7619047619047616E-2</v>
      </c>
      <c r="I13" s="56">
        <v>9</v>
      </c>
      <c r="K13" s="5">
        <v>11</v>
      </c>
      <c r="L13" s="61">
        <v>140.19999999999999</v>
      </c>
      <c r="N13" s="76" t="s">
        <v>127</v>
      </c>
      <c r="O13" s="86">
        <f>IF(P13=0,0,Q13/P13)</f>
        <v>31.025000000000002</v>
      </c>
      <c r="P13" s="80">
        <v>4</v>
      </c>
      <c r="Q13" s="68">
        <v>124.10000000000001</v>
      </c>
    </row>
    <row r="14" spans="1:17">
      <c r="A14" s="19" t="s">
        <v>94</v>
      </c>
      <c r="B14" s="13">
        <v>28</v>
      </c>
      <c r="C14" s="6">
        <f>IF(B$3=0,0,B14/B$3)</f>
        <v>0.24347826086956523</v>
      </c>
      <c r="E14" s="33" t="s">
        <v>77</v>
      </c>
      <c r="F14" s="30" t="s">
        <v>41</v>
      </c>
      <c r="G14" s="13">
        <v>1</v>
      </c>
      <c r="H14" s="94">
        <f>IF(B$17=0,0,G14/B$17)</f>
        <v>4.7619047619047616E-2</v>
      </c>
      <c r="I14" s="56">
        <v>11</v>
      </c>
      <c r="K14" s="5">
        <v>12</v>
      </c>
      <c r="L14" s="61">
        <v>143.79999999999998</v>
      </c>
      <c r="N14" s="76" t="s">
        <v>128</v>
      </c>
      <c r="O14" s="86">
        <f>IF(P14=0,0,Q14/P14)</f>
        <v>-11.333333333333334</v>
      </c>
      <c r="P14" s="80">
        <v>3</v>
      </c>
      <c r="Q14" s="68">
        <v>-34</v>
      </c>
    </row>
    <row r="15" spans="1:17">
      <c r="A15" s="18" t="s">
        <v>99</v>
      </c>
      <c r="B15" s="12">
        <f>B21</f>
        <v>4</v>
      </c>
      <c r="C15" s="4">
        <f>IF(B$13=0,0,B15/B$13)</f>
        <v>0.33333333333333331</v>
      </c>
      <c r="E15" s="33" t="s">
        <v>182</v>
      </c>
      <c r="F15" s="30" t="s">
        <v>19</v>
      </c>
      <c r="G15" s="13">
        <v>0</v>
      </c>
      <c r="H15" s="94">
        <f>IF(B$17=0,0,G15/B$17)</f>
        <v>0</v>
      </c>
      <c r="I15" s="56">
        <v>27</v>
      </c>
      <c r="K15" s="5">
        <v>13</v>
      </c>
      <c r="L15" s="61">
        <v>78.299999999999983</v>
      </c>
      <c r="N15" s="77" t="s">
        <v>159</v>
      </c>
      <c r="O15" s="87">
        <f>IF(P15=0,0,Q15/P15)</f>
        <v>30.266666666666666</v>
      </c>
      <c r="P15" s="81">
        <v>3</v>
      </c>
      <c r="Q15" s="69">
        <v>90.8</v>
      </c>
    </row>
    <row r="16" spans="1:17">
      <c r="A16" s="18" t="s">
        <v>100</v>
      </c>
      <c r="B16" s="12">
        <f>B22</f>
        <v>10</v>
      </c>
      <c r="C16" s="4">
        <f>IF(B$14=0,0,B16/B$14)</f>
        <v>0.35714285714285715</v>
      </c>
      <c r="E16" s="33" t="s">
        <v>61</v>
      </c>
      <c r="F16" s="30" t="s">
        <v>25</v>
      </c>
      <c r="G16" s="13">
        <v>0</v>
      </c>
      <c r="H16" s="94">
        <f>IF(B$17=0,0,G16/B$17)</f>
        <v>0</v>
      </c>
      <c r="I16" s="56">
        <v>5</v>
      </c>
      <c r="K16" s="5">
        <v>14</v>
      </c>
      <c r="L16" s="61">
        <v>79.299999999999983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21</v>
      </c>
      <c r="C17" s="4">
        <f>IF(B$3=0,0,B17/B$3)</f>
        <v>0.18260869565217391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6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15</v>
      </c>
      <c r="C18" s="6">
        <f>IF(B$3=0,0,B18/B$3)</f>
        <v>0.13043478260869565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1</v>
      </c>
      <c r="N18" s="75" t="s">
        <v>196</v>
      </c>
      <c r="O18" s="85">
        <f t="shared" ref="O18:O29" si="3">IF(P18=0,0,Q18/P18)</f>
        <v>93</v>
      </c>
      <c r="P18" s="79">
        <v>1</v>
      </c>
      <c r="Q18" s="67">
        <v>93</v>
      </c>
    </row>
    <row r="19" spans="1:17">
      <c r="A19" s="19" t="s">
        <v>12</v>
      </c>
      <c r="B19" s="13">
        <v>3</v>
      </c>
      <c r="C19" s="6">
        <f>IF(B$17=0,0,B19/B$17)</f>
        <v>0.14285714285714285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N19" s="76" t="s">
        <v>195</v>
      </c>
      <c r="O19" s="86">
        <f t="shared" si="3"/>
        <v>65.966666666666669</v>
      </c>
      <c r="P19" s="80">
        <v>3</v>
      </c>
      <c r="Q19" s="68">
        <v>197.9</v>
      </c>
    </row>
    <row r="20" spans="1:17">
      <c r="A20" s="19" t="s">
        <v>11</v>
      </c>
      <c r="B20" s="13">
        <v>18</v>
      </c>
      <c r="C20" s="6">
        <f>IF(B$17=0,0,B20/B$17)</f>
        <v>0.8571428571428571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N20" s="76" t="s">
        <v>202</v>
      </c>
      <c r="O20" s="86">
        <f t="shared" si="3"/>
        <v>65.400000000000006</v>
      </c>
      <c r="P20" s="80">
        <v>2</v>
      </c>
      <c r="Q20" s="68">
        <v>130.80000000000001</v>
      </c>
    </row>
    <row r="21" spans="1:17">
      <c r="A21" s="19" t="s">
        <v>151</v>
      </c>
      <c r="B21" s="13">
        <v>4</v>
      </c>
      <c r="C21" s="6">
        <f>IF(B$17=0,0,B21/B$17)</f>
        <v>0.19047619047619047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1</v>
      </c>
      <c r="N21" s="76" t="s">
        <v>208</v>
      </c>
      <c r="O21" s="86">
        <f t="shared" si="3"/>
        <v>51.3</v>
      </c>
      <c r="P21" s="80">
        <v>1</v>
      </c>
      <c r="Q21" s="68">
        <v>51.3</v>
      </c>
    </row>
    <row r="22" spans="1:17">
      <c r="A22" s="19" t="s">
        <v>149</v>
      </c>
      <c r="B22" s="13">
        <v>10</v>
      </c>
      <c r="C22" s="6">
        <f>IF(B$17=0,0,B22/B$17)</f>
        <v>0.47619047619047616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8</v>
      </c>
      <c r="N22" s="76" t="s">
        <v>203</v>
      </c>
      <c r="O22" s="86">
        <f t="shared" si="3"/>
        <v>48.559999999999995</v>
      </c>
      <c r="P22" s="80">
        <v>5</v>
      </c>
      <c r="Q22" s="68">
        <v>242.79999999999998</v>
      </c>
    </row>
    <row r="23" spans="1:17">
      <c r="A23" s="19" t="s">
        <v>150</v>
      </c>
      <c r="B23" s="13">
        <v>7</v>
      </c>
      <c r="C23" s="6">
        <f>IF(B$17=0,0,B23/B$17)</f>
        <v>0.33333333333333331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N23" s="76" t="s">
        <v>205</v>
      </c>
      <c r="O23" s="86">
        <f t="shared" si="3"/>
        <v>47.5</v>
      </c>
      <c r="P23" s="80">
        <v>1</v>
      </c>
      <c r="Q23" s="68">
        <v>47.5</v>
      </c>
    </row>
    <row r="24" spans="1:17">
      <c r="A24" s="19" t="s">
        <v>5</v>
      </c>
      <c r="B24" s="16">
        <f>IF(B$17=0,0,C24/B$17)</f>
        <v>6733.333333333333</v>
      </c>
      <c r="C24" s="8">
        <v>141400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14</v>
      </c>
      <c r="N24" s="76" t="s">
        <v>179</v>
      </c>
      <c r="O24" s="86">
        <f t="shared" si="3"/>
        <v>27.859999999999996</v>
      </c>
      <c r="P24" s="80">
        <v>5</v>
      </c>
      <c r="Q24" s="68">
        <v>139.29999999999998</v>
      </c>
    </row>
    <row r="25" spans="1:17">
      <c r="A25" s="20" t="s">
        <v>133</v>
      </c>
      <c r="B25" s="97">
        <f>IF($B$17-B$16=0,0,C25/($B$17-B$16))</f>
        <v>5200</v>
      </c>
      <c r="C25" s="98">
        <v>57200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164</v>
      </c>
      <c r="O25" s="86">
        <f t="shared" si="3"/>
        <v>-4.68</v>
      </c>
      <c r="P25" s="80">
        <v>5</v>
      </c>
      <c r="Q25" s="68">
        <v>-23.4</v>
      </c>
    </row>
    <row r="26" spans="1:17">
      <c r="A26" s="20" t="s">
        <v>134</v>
      </c>
      <c r="B26" s="97">
        <f>IF(B$16=0,0,C26/B$16)</f>
        <v>8420</v>
      </c>
      <c r="C26" s="98">
        <v>84200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163</v>
      </c>
      <c r="O26" s="86">
        <f t="shared" si="3"/>
        <v>-14.475000000000005</v>
      </c>
      <c r="P26" s="80">
        <v>4</v>
      </c>
      <c r="Q26" s="68">
        <v>-57.90000000000002</v>
      </c>
    </row>
    <row r="27" spans="1:17">
      <c r="A27" s="20" t="s">
        <v>132</v>
      </c>
      <c r="B27" s="97">
        <f>IF(B$18=0,0,C27/B$18)</f>
        <v>-3740</v>
      </c>
      <c r="C27" s="98">
        <v>-56100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12</v>
      </c>
      <c r="N27" s="76" t="s">
        <v>169</v>
      </c>
      <c r="O27" s="86">
        <f t="shared" si="3"/>
        <v>-32.150000000000006</v>
      </c>
      <c r="P27" s="80">
        <v>8</v>
      </c>
      <c r="Q27" s="68">
        <v>-257.20000000000005</v>
      </c>
    </row>
    <row r="28" spans="1:17">
      <c r="A28" s="19" t="s">
        <v>130</v>
      </c>
      <c r="B28" s="13">
        <v>3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168</v>
      </c>
      <c r="O28" s="86">
        <f t="shared" si="3"/>
        <v>-33.183333333333337</v>
      </c>
      <c r="P28" s="80">
        <v>6</v>
      </c>
      <c r="Q28" s="68">
        <v>-199.10000000000002</v>
      </c>
    </row>
    <row r="29" spans="1:17">
      <c r="A29" s="19" t="s">
        <v>131</v>
      </c>
      <c r="B29" s="13">
        <v>33</v>
      </c>
      <c r="C29" s="96">
        <v>12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5</v>
      </c>
      <c r="N29" s="76" t="s">
        <v>162</v>
      </c>
      <c r="O29" s="86">
        <f t="shared" si="3"/>
        <v>-47.8</v>
      </c>
      <c r="P29" s="80">
        <v>1</v>
      </c>
      <c r="Q29" s="68">
        <v>-47.8</v>
      </c>
    </row>
    <row r="30" spans="1:17">
      <c r="A30" s="52" t="s">
        <v>111</v>
      </c>
      <c r="B30" s="114">
        <v>5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7</v>
      </c>
    </row>
    <row r="31" spans="1:17">
      <c r="A31" s="22" t="s">
        <v>148</v>
      </c>
      <c r="B31" s="116">
        <v>52500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3</v>
      </c>
      <c r="C35" s="102">
        <f t="shared" ref="C35:C47" si="4">IF(B$17=0,0,B35/B$17)</f>
        <v>0.14285714285714285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5</v>
      </c>
      <c r="C36" s="6">
        <f t="shared" si="4"/>
        <v>0.23809523809523808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4</v>
      </c>
      <c r="C37" s="6">
        <f t="shared" si="4"/>
        <v>0.19047619047619047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5</v>
      </c>
      <c r="C38" s="6">
        <f t="shared" si="4"/>
        <v>0.23809523809523808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4"/>
        <v>9.5238095238095233E-2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4.7619047619047616E-2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4"/>
        <v>4.7619047619047616E-2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212B60-5C78-432C-97BC-8FC051A9D010}">
  <sheetPr codeName="Sheet19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195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39</v>
      </c>
      <c r="C2" s="121"/>
      <c r="E2" s="32" t="s">
        <v>54</v>
      </c>
      <c r="F2" s="29" t="s">
        <v>20</v>
      </c>
      <c r="G2" s="12">
        <v>44</v>
      </c>
      <c r="H2" s="93">
        <f>IF(B$17=0,0,G2/B$17)</f>
        <v>0.5714285714285714</v>
      </c>
      <c r="I2" s="55">
        <v>12</v>
      </c>
      <c r="K2" s="3">
        <v>0</v>
      </c>
      <c r="L2" s="60">
        <v>0</v>
      </c>
      <c r="N2" s="75" t="s">
        <v>103</v>
      </c>
      <c r="O2" s="82">
        <f t="shared" ref="O2:O9" si="0">IF(P2=0,0,Q2/P2)</f>
        <v>1184.6153846153845</v>
      </c>
      <c r="P2" s="79">
        <v>39</v>
      </c>
      <c r="Q2" s="63">
        <v>46200</v>
      </c>
    </row>
    <row r="3" spans="1:17">
      <c r="A3" s="19" t="s">
        <v>8</v>
      </c>
      <c r="B3" s="122">
        <v>277</v>
      </c>
      <c r="C3" s="123"/>
      <c r="E3" s="33" t="s">
        <v>181</v>
      </c>
      <c r="F3" s="30" t="s">
        <v>156</v>
      </c>
      <c r="G3" s="13">
        <v>37</v>
      </c>
      <c r="H3" s="94">
        <f>IF(B$17=0,0,G3/B$17)</f>
        <v>0.48051948051948051</v>
      </c>
      <c r="I3" s="56">
        <v>29</v>
      </c>
      <c r="K3" s="5">
        <v>1</v>
      </c>
      <c r="L3" s="61">
        <v>-21.3</v>
      </c>
      <c r="N3" s="76" t="s">
        <v>104</v>
      </c>
      <c r="O3" s="83">
        <f t="shared" si="0"/>
        <v>930.76923076923072</v>
      </c>
      <c r="P3" s="80">
        <v>39</v>
      </c>
      <c r="Q3" s="64">
        <v>36300</v>
      </c>
    </row>
    <row r="4" spans="1:17">
      <c r="A4" s="19" t="s">
        <v>6</v>
      </c>
      <c r="B4" s="124">
        <v>236</v>
      </c>
      <c r="C4" s="125"/>
      <c r="E4" s="33" t="s">
        <v>184</v>
      </c>
      <c r="F4" s="30" t="s">
        <v>187</v>
      </c>
      <c r="G4" s="13">
        <v>35</v>
      </c>
      <c r="H4" s="94">
        <f>IF(B$17=0,0,G4/B$17)</f>
        <v>0.45454545454545453</v>
      </c>
      <c r="I4" s="56">
        <v>20</v>
      </c>
      <c r="K4" s="5">
        <v>2</v>
      </c>
      <c r="L4" s="61">
        <v>-12.200000000000001</v>
      </c>
      <c r="N4" s="76" t="s">
        <v>105</v>
      </c>
      <c r="O4" s="83">
        <f t="shared" si="0"/>
        <v>750</v>
      </c>
      <c r="P4" s="80">
        <v>38</v>
      </c>
      <c r="Q4" s="64">
        <v>28500</v>
      </c>
    </row>
    <row r="5" spans="1:17">
      <c r="A5" s="19" t="s">
        <v>7</v>
      </c>
      <c r="B5" s="126">
        <f>IF(B$2=0,0,B$4/B$2)</f>
        <v>6.0512820512820511</v>
      </c>
      <c r="C5" s="127"/>
      <c r="E5" s="33" t="s">
        <v>60</v>
      </c>
      <c r="F5" s="30" t="s">
        <v>24</v>
      </c>
      <c r="G5" s="13">
        <v>31</v>
      </c>
      <c r="H5" s="94">
        <f>IF(B$17=0,0,G5/B$17)</f>
        <v>0.40259740259740262</v>
      </c>
      <c r="I5" s="56">
        <v>20</v>
      </c>
      <c r="K5" s="5">
        <v>3</v>
      </c>
      <c r="L5" s="61">
        <v>-68.400000000000006</v>
      </c>
      <c r="N5" s="76" t="s">
        <v>157</v>
      </c>
      <c r="O5" s="83">
        <f>IF(P5=0,0,Q5/P5)</f>
        <v>138.23529411764707</v>
      </c>
      <c r="P5" s="80">
        <v>34</v>
      </c>
      <c r="Q5" s="64">
        <v>4700</v>
      </c>
    </row>
    <row r="6" spans="1:17">
      <c r="A6" s="19" t="s">
        <v>1</v>
      </c>
      <c r="B6" s="128">
        <f>IF(B$2=0,0,(B$7*1+B$8*2+B$9*3+B$10*4)/B$2)</f>
        <v>2.358974358974359</v>
      </c>
      <c r="C6" s="129"/>
      <c r="E6" s="33" t="s">
        <v>55</v>
      </c>
      <c r="F6" s="30" t="s">
        <v>155</v>
      </c>
      <c r="G6" s="13">
        <v>18</v>
      </c>
      <c r="H6" s="94">
        <f>IF(B$17=0,0,G6/B$17)</f>
        <v>0.23376623376623376</v>
      </c>
      <c r="I6" s="56">
        <v>18</v>
      </c>
      <c r="K6" s="5">
        <v>4</v>
      </c>
      <c r="L6" s="61">
        <v>-96.4</v>
      </c>
      <c r="N6" s="76" t="s">
        <v>106</v>
      </c>
      <c r="O6" s="83">
        <f t="shared" ref="O6" si="1">IF(P6=0,0,Q6/P6)</f>
        <v>252.38095238095238</v>
      </c>
      <c r="P6" s="80">
        <v>21</v>
      </c>
      <c r="Q6" s="64">
        <v>5300</v>
      </c>
    </row>
    <row r="7" spans="1:17">
      <c r="A7" s="19" t="s">
        <v>2</v>
      </c>
      <c r="B7" s="13">
        <v>11</v>
      </c>
      <c r="C7" s="6">
        <f t="shared" ref="C7:C12" si="2">IF(B$2=0,0,B7/B$2)</f>
        <v>0.28205128205128205</v>
      </c>
      <c r="E7" s="33" t="s">
        <v>56</v>
      </c>
      <c r="F7" s="30" t="s">
        <v>185</v>
      </c>
      <c r="G7" s="13">
        <v>18</v>
      </c>
      <c r="H7" s="94">
        <f>IF(B$17=0,0,G7/B$17)</f>
        <v>0.23376623376623376</v>
      </c>
      <c r="I7" s="56">
        <v>28</v>
      </c>
      <c r="K7" s="5">
        <v>5</v>
      </c>
      <c r="L7" s="61">
        <v>-160.60000000000002</v>
      </c>
      <c r="N7" s="76" t="s">
        <v>107</v>
      </c>
      <c r="O7" s="83">
        <f t="shared" si="0"/>
        <v>-1466.6666666666667</v>
      </c>
      <c r="P7" s="80">
        <v>15</v>
      </c>
      <c r="Q7" s="64">
        <v>-22000</v>
      </c>
    </row>
    <row r="8" spans="1:17">
      <c r="A8" s="19" t="s">
        <v>3</v>
      </c>
      <c r="B8" s="13">
        <v>8</v>
      </c>
      <c r="C8" s="6">
        <f>IF(B$2=0,0,B8/B$2)</f>
        <v>0.20512820512820512</v>
      </c>
      <c r="E8" s="33" t="s">
        <v>59</v>
      </c>
      <c r="F8" s="30" t="s">
        <v>23</v>
      </c>
      <c r="G8" s="13">
        <v>14</v>
      </c>
      <c r="H8" s="94">
        <f>IF(B$17=0,0,G8/B$17)</f>
        <v>0.18181818181818182</v>
      </c>
      <c r="I8" s="56">
        <v>15</v>
      </c>
      <c r="K8" s="5">
        <v>6</v>
      </c>
      <c r="L8" s="61">
        <v>-199.10000000000002</v>
      </c>
      <c r="N8" s="76" t="s">
        <v>108</v>
      </c>
      <c r="O8" s="83">
        <f t="shared" si="0"/>
        <v>-437.5</v>
      </c>
      <c r="P8" s="80">
        <v>8</v>
      </c>
      <c r="Q8" s="64">
        <v>-3500</v>
      </c>
    </row>
    <row r="9" spans="1:17">
      <c r="A9" s="20" t="s">
        <v>4</v>
      </c>
      <c r="B9" s="14">
        <v>15</v>
      </c>
      <c r="C9" s="7">
        <f>IF(B$2=0,0,B9/B$2)</f>
        <v>0.38461538461538464</v>
      </c>
      <c r="E9" s="33" t="s">
        <v>57</v>
      </c>
      <c r="F9" s="30" t="s">
        <v>21</v>
      </c>
      <c r="G9" s="13">
        <v>12</v>
      </c>
      <c r="H9" s="94">
        <f>IF(B$17=0,0,G9/B$17)</f>
        <v>0.15584415584415584</v>
      </c>
      <c r="I9" s="56">
        <v>26</v>
      </c>
      <c r="K9" s="5">
        <v>7</v>
      </c>
      <c r="L9" s="61">
        <v>-223.60000000000002</v>
      </c>
      <c r="N9" s="77" t="s">
        <v>158</v>
      </c>
      <c r="O9" s="84">
        <f t="shared" si="0"/>
        <v>500</v>
      </c>
      <c r="P9" s="81">
        <v>3</v>
      </c>
      <c r="Q9" s="65">
        <v>1500</v>
      </c>
    </row>
    <row r="10" spans="1:17">
      <c r="A10" s="20" t="s">
        <v>152</v>
      </c>
      <c r="B10" s="14">
        <v>5</v>
      </c>
      <c r="C10" s="7">
        <f>IF(B$2=0,0,B10/B$2)</f>
        <v>0.12820512820512819</v>
      </c>
      <c r="E10" s="33" t="s">
        <v>182</v>
      </c>
      <c r="F10" s="30" t="s">
        <v>19</v>
      </c>
      <c r="G10" s="13">
        <v>8</v>
      </c>
      <c r="H10" s="94">
        <f>IF(B$17=0,0,G10/B$17)</f>
        <v>0.1038961038961039</v>
      </c>
      <c r="I10" s="56">
        <v>18</v>
      </c>
      <c r="K10" s="5">
        <v>8</v>
      </c>
      <c r="L10" s="61">
        <v>-219.50000000000003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19</v>
      </c>
      <c r="C11" s="7">
        <f>IF(B$2=0,0,B11/B$2)</f>
        <v>0.48717948717948717</v>
      </c>
      <c r="E11" s="33" t="s">
        <v>58</v>
      </c>
      <c r="F11" s="30" t="s">
        <v>22</v>
      </c>
      <c r="G11" s="13">
        <v>6</v>
      </c>
      <c r="H11" s="94">
        <f>IF(B$17=0,0,G11/B$17)</f>
        <v>7.792207792207792E-2</v>
      </c>
      <c r="I11" s="56">
        <v>14</v>
      </c>
      <c r="K11" s="5">
        <v>9</v>
      </c>
      <c r="L11" s="61">
        <v>-244.40000000000003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3</v>
      </c>
      <c r="C12" s="9">
        <f t="shared" si="2"/>
        <v>7.6923076923076927E-2</v>
      </c>
      <c r="E12" s="33" t="s">
        <v>77</v>
      </c>
      <c r="F12" s="30" t="s">
        <v>41</v>
      </c>
      <c r="G12" s="13">
        <v>6</v>
      </c>
      <c r="H12" s="94">
        <f>IF(B$17=0,0,G12/B$17)</f>
        <v>7.792207792207792E-2</v>
      </c>
      <c r="I12" s="56">
        <v>10</v>
      </c>
      <c r="K12" s="5">
        <v>10</v>
      </c>
      <c r="L12" s="61">
        <v>-239.90000000000003</v>
      </c>
      <c r="N12" s="75" t="s">
        <v>126</v>
      </c>
      <c r="O12" s="85">
        <f>IF(P12=0,0,Q12/P12)</f>
        <v>-6.3800000000000026</v>
      </c>
      <c r="P12" s="79">
        <v>5</v>
      </c>
      <c r="Q12" s="67">
        <v>-31.900000000000013</v>
      </c>
    </row>
    <row r="13" spans="1:17">
      <c r="A13" s="22" t="s">
        <v>97</v>
      </c>
      <c r="B13" s="15">
        <v>70</v>
      </c>
      <c r="C13" s="11">
        <f>IF(B$3=0,0,B13/B$3)</f>
        <v>0.25270758122743681</v>
      </c>
      <c r="E13" s="33" t="s">
        <v>71</v>
      </c>
      <c r="F13" s="30" t="s">
        <v>35</v>
      </c>
      <c r="G13" s="13">
        <v>5</v>
      </c>
      <c r="H13" s="94">
        <f>IF(B$17=0,0,G13/B$17)</f>
        <v>6.4935064935064929E-2</v>
      </c>
      <c r="I13" s="56">
        <v>9</v>
      </c>
      <c r="K13" s="5">
        <v>11</v>
      </c>
      <c r="L13" s="61">
        <v>-300.00000000000006</v>
      </c>
      <c r="N13" s="76" t="s">
        <v>127</v>
      </c>
      <c r="O13" s="86">
        <f>IF(P13=0,0,Q13/P13)</f>
        <v>8.5500000000000007</v>
      </c>
      <c r="P13" s="80">
        <v>8</v>
      </c>
      <c r="Q13" s="68">
        <v>68.400000000000006</v>
      </c>
    </row>
    <row r="14" spans="1:17">
      <c r="A14" s="19" t="s">
        <v>94</v>
      </c>
      <c r="B14" s="13">
        <v>86</v>
      </c>
      <c r="C14" s="6">
        <f>IF(B$3=0,0,B14/B$3)</f>
        <v>0.31046931407942241</v>
      </c>
      <c r="E14" s="33" t="s">
        <v>74</v>
      </c>
      <c r="F14" s="30" t="s">
        <v>38</v>
      </c>
      <c r="G14" s="13">
        <v>3</v>
      </c>
      <c r="H14" s="94">
        <f>IF(B$17=0,0,G14/B$17)</f>
        <v>3.896103896103896E-2</v>
      </c>
      <c r="I14" s="56">
        <v>9</v>
      </c>
      <c r="K14" s="5">
        <v>12</v>
      </c>
      <c r="L14" s="61">
        <v>-290.00000000000006</v>
      </c>
      <c r="N14" s="76" t="s">
        <v>128</v>
      </c>
      <c r="O14" s="86">
        <f>IF(P14=0,0,Q14/P14)</f>
        <v>13.972727272727271</v>
      </c>
      <c r="P14" s="80">
        <v>11</v>
      </c>
      <c r="Q14" s="68">
        <v>153.69999999999999</v>
      </c>
    </row>
    <row r="15" spans="1:17">
      <c r="A15" s="18" t="s">
        <v>99</v>
      </c>
      <c r="B15" s="12">
        <f>B21</f>
        <v>37</v>
      </c>
      <c r="C15" s="4">
        <f>IF(B$13=0,0,B15/B$13)</f>
        <v>0.52857142857142858</v>
      </c>
      <c r="E15" s="33" t="s">
        <v>183</v>
      </c>
      <c r="F15" s="30" t="s">
        <v>186</v>
      </c>
      <c r="G15" s="13">
        <v>2</v>
      </c>
      <c r="H15" s="94">
        <f>IF(B$17=0,0,G15/B$17)</f>
        <v>2.5974025974025976E-2</v>
      </c>
      <c r="I15" s="56">
        <v>14</v>
      </c>
      <c r="K15" s="5">
        <v>13</v>
      </c>
      <c r="L15" s="61">
        <v>-302.70000000000005</v>
      </c>
      <c r="N15" s="77" t="s">
        <v>159</v>
      </c>
      <c r="O15" s="87">
        <f>IF(P15=0,0,Q15/P15)</f>
        <v>3.0533333333333332</v>
      </c>
      <c r="P15" s="81">
        <v>15</v>
      </c>
      <c r="Q15" s="69">
        <v>45.8</v>
      </c>
    </row>
    <row r="16" spans="1:17">
      <c r="A16" s="18" t="s">
        <v>100</v>
      </c>
      <c r="B16" s="12">
        <f>B22</f>
        <v>33</v>
      </c>
      <c r="C16" s="4">
        <f>IF(B$14=0,0,B16/B$14)</f>
        <v>0.38372093023255816</v>
      </c>
      <c r="E16" s="33" t="s">
        <v>78</v>
      </c>
      <c r="F16" s="30" t="s">
        <v>42</v>
      </c>
      <c r="G16" s="13">
        <v>2</v>
      </c>
      <c r="H16" s="94">
        <f>IF(B$17=0,0,G16/B$17)</f>
        <v>2.5974025974025976E-2</v>
      </c>
      <c r="I16" s="56">
        <v>5</v>
      </c>
      <c r="K16" s="5">
        <v>14</v>
      </c>
      <c r="L16" s="61">
        <v>-325.60000000000002</v>
      </c>
      <c r="N16" s="1"/>
      <c r="O16" s="71"/>
      <c r="P16" s="73"/>
      <c r="Q16" s="71"/>
    </row>
    <row r="17" spans="1:17">
      <c r="A17" s="18" t="s">
        <v>10</v>
      </c>
      <c r="B17" s="12">
        <f>B20+B19</f>
        <v>77</v>
      </c>
      <c r="C17" s="4">
        <f>IF(B$3=0,0,B17/B$3)</f>
        <v>0.27797833935018051</v>
      </c>
      <c r="E17" s="33" t="s">
        <v>62</v>
      </c>
      <c r="F17" s="30" t="s">
        <v>26</v>
      </c>
      <c r="G17" s="13">
        <v>1</v>
      </c>
      <c r="H17" s="94">
        <f>IF(B$17=0,0,G17/B$17)</f>
        <v>1.2987012987012988E-2</v>
      </c>
      <c r="I17" s="56">
        <v>4</v>
      </c>
      <c r="K17" s="5">
        <v>15</v>
      </c>
      <c r="L17" s="61">
        <v>-343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33</v>
      </c>
      <c r="C18" s="6">
        <f>IF(B$3=0,0,B18/B$3)</f>
        <v>0.11913357400722022</v>
      </c>
      <c r="E18" s="33" t="s">
        <v>66</v>
      </c>
      <c r="F18" s="30" t="s">
        <v>30</v>
      </c>
      <c r="G18" s="13">
        <v>1</v>
      </c>
      <c r="H18" s="94">
        <f>IF(B$17=0,0,G18/B$17)</f>
        <v>1.2987012987012988E-2</v>
      </c>
      <c r="I18" s="56">
        <v>7</v>
      </c>
      <c r="K18" s="5">
        <v>16</v>
      </c>
      <c r="L18" s="61">
        <v>-275</v>
      </c>
      <c r="N18" s="75" t="s">
        <v>262</v>
      </c>
      <c r="O18" s="85">
        <f t="shared" ref="O18:O46" si="3">IF(P18=0,0,Q18/P18)</f>
        <v>109.5</v>
      </c>
      <c r="P18" s="79">
        <v>1</v>
      </c>
      <c r="Q18" s="67">
        <v>109.5</v>
      </c>
    </row>
    <row r="19" spans="1:17">
      <c r="A19" s="19" t="s">
        <v>12</v>
      </c>
      <c r="B19" s="13">
        <v>29</v>
      </c>
      <c r="C19" s="6">
        <f>IF(B$17=0,0,B19/B$17)</f>
        <v>0.37662337662337664</v>
      </c>
      <c r="E19" s="33" t="s">
        <v>61</v>
      </c>
      <c r="F19" s="30" t="s">
        <v>25</v>
      </c>
      <c r="G19" s="13">
        <v>0</v>
      </c>
      <c r="H19" s="94">
        <f>IF(B$17=0,0,G19/B$17)</f>
        <v>0</v>
      </c>
      <c r="I19" s="56">
        <v>5</v>
      </c>
      <c r="K19" s="5">
        <v>17</v>
      </c>
      <c r="L19" s="61">
        <v>-298.60000000000002</v>
      </c>
      <c r="N19" s="76" t="s">
        <v>235</v>
      </c>
      <c r="O19" s="86">
        <f t="shared" si="3"/>
        <v>102.8</v>
      </c>
      <c r="P19" s="80">
        <v>3</v>
      </c>
      <c r="Q19" s="68">
        <v>308.39999999999998</v>
      </c>
    </row>
    <row r="20" spans="1:17">
      <c r="A20" s="19" t="s">
        <v>11</v>
      </c>
      <c r="B20" s="13">
        <v>48</v>
      </c>
      <c r="C20" s="6">
        <f>IF(B$17=0,0,B20/B$17)</f>
        <v>0.62337662337662336</v>
      </c>
      <c r="E20" s="33" t="s">
        <v>63</v>
      </c>
      <c r="F20" s="30" t="s">
        <v>27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-245.20000000000002</v>
      </c>
      <c r="N20" s="76" t="s">
        <v>258</v>
      </c>
      <c r="O20" s="86">
        <f t="shared" si="3"/>
        <v>84.5</v>
      </c>
      <c r="P20" s="80">
        <v>1</v>
      </c>
      <c r="Q20" s="68">
        <v>84.5</v>
      </c>
    </row>
    <row r="21" spans="1:17">
      <c r="A21" s="19" t="s">
        <v>151</v>
      </c>
      <c r="B21" s="13">
        <v>37</v>
      </c>
      <c r="C21" s="6">
        <f>IF(B$17=0,0,B21/B$17)</f>
        <v>0.48051948051948051</v>
      </c>
      <c r="E21" s="33" t="s">
        <v>64</v>
      </c>
      <c r="F21" s="30" t="s">
        <v>28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-262.40000000000003</v>
      </c>
      <c r="N21" s="76" t="s">
        <v>255</v>
      </c>
      <c r="O21" s="86">
        <f t="shared" si="3"/>
        <v>72.7</v>
      </c>
      <c r="P21" s="80">
        <v>1</v>
      </c>
      <c r="Q21" s="68">
        <v>72.7</v>
      </c>
    </row>
    <row r="22" spans="1:17">
      <c r="A22" s="19" t="s">
        <v>149</v>
      </c>
      <c r="B22" s="13">
        <v>33</v>
      </c>
      <c r="C22" s="6">
        <f>IF(B$17=0,0,B22/B$17)</f>
        <v>0.42857142857142855</v>
      </c>
      <c r="E22" s="33" t="s">
        <v>65</v>
      </c>
      <c r="F22" s="30" t="s">
        <v>29</v>
      </c>
      <c r="G22" s="13">
        <v>0</v>
      </c>
      <c r="H22" s="94">
        <f>IF(B$17=0,0,G22/B$17)</f>
        <v>0</v>
      </c>
      <c r="I22" s="56">
        <v>1</v>
      </c>
      <c r="K22" s="5">
        <v>20</v>
      </c>
      <c r="L22" s="61">
        <v>-195.10000000000002</v>
      </c>
      <c r="N22" s="76" t="s">
        <v>238</v>
      </c>
      <c r="O22" s="86">
        <f t="shared" si="3"/>
        <v>66.066666666666649</v>
      </c>
      <c r="P22" s="80">
        <v>6</v>
      </c>
      <c r="Q22" s="68">
        <v>396.39999999999992</v>
      </c>
    </row>
    <row r="23" spans="1:17">
      <c r="A23" s="19" t="s">
        <v>150</v>
      </c>
      <c r="B23" s="13">
        <v>7</v>
      </c>
      <c r="C23" s="6">
        <f>IF(B$17=0,0,B23/B$17)</f>
        <v>9.0909090909090912E-2</v>
      </c>
      <c r="E23" s="33" t="s">
        <v>67</v>
      </c>
      <c r="F23" s="30" t="s">
        <v>31</v>
      </c>
      <c r="G23" s="13">
        <v>0</v>
      </c>
      <c r="H23" s="94">
        <f>IF(B$17=0,0,G23/B$17)</f>
        <v>0</v>
      </c>
      <c r="I23" s="56">
        <v>8</v>
      </c>
      <c r="K23" s="5">
        <v>21</v>
      </c>
      <c r="L23" s="61">
        <v>-205.40000000000003</v>
      </c>
      <c r="N23" s="76" t="s">
        <v>263</v>
      </c>
      <c r="O23" s="86">
        <f t="shared" si="3"/>
        <v>55.6</v>
      </c>
      <c r="P23" s="80">
        <v>1</v>
      </c>
      <c r="Q23" s="68">
        <v>55.6</v>
      </c>
    </row>
    <row r="24" spans="1:17">
      <c r="A24" s="19" t="s">
        <v>5</v>
      </c>
      <c r="B24" s="16">
        <f>IF(B$17=0,0,C24/B$17)</f>
        <v>6490.909090909091</v>
      </c>
      <c r="C24" s="8">
        <v>499800</v>
      </c>
      <c r="E24" s="33" t="s">
        <v>68</v>
      </c>
      <c r="F24" s="30" t="s">
        <v>32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-249.60000000000002</v>
      </c>
      <c r="N24" s="76" t="s">
        <v>223</v>
      </c>
      <c r="O24" s="86">
        <f t="shared" si="3"/>
        <v>47.5</v>
      </c>
      <c r="P24" s="80">
        <v>2</v>
      </c>
      <c r="Q24" s="68">
        <v>95</v>
      </c>
    </row>
    <row r="25" spans="1:17">
      <c r="A25" s="20" t="s">
        <v>133</v>
      </c>
      <c r="B25" s="97">
        <f>IF($B$17-B$16=0,0,C25/($B$17-B$16))</f>
        <v>7825</v>
      </c>
      <c r="C25" s="98">
        <v>344300</v>
      </c>
      <c r="E25" s="33" t="s">
        <v>69</v>
      </c>
      <c r="F25" s="30" t="s">
        <v>33</v>
      </c>
      <c r="G25" s="13">
        <v>0</v>
      </c>
      <c r="H25" s="94">
        <f>IF(B$17=0,0,G25/B$17)</f>
        <v>0</v>
      </c>
      <c r="I25" s="56">
        <v>8</v>
      </c>
      <c r="K25" s="5">
        <v>23</v>
      </c>
      <c r="L25" s="61">
        <v>-280</v>
      </c>
      <c r="N25" s="76" t="s">
        <v>208</v>
      </c>
      <c r="O25" s="86">
        <f t="shared" si="3"/>
        <v>45.5</v>
      </c>
      <c r="P25" s="80">
        <v>2</v>
      </c>
      <c r="Q25" s="68">
        <v>91</v>
      </c>
    </row>
    <row r="26" spans="1:17">
      <c r="A26" s="20" t="s">
        <v>134</v>
      </c>
      <c r="B26" s="97">
        <f>IF(B$16=0,0,C26/B$16)</f>
        <v>4712.121212121212</v>
      </c>
      <c r="C26" s="98">
        <v>155500</v>
      </c>
      <c r="E26" s="33" t="s">
        <v>70</v>
      </c>
      <c r="F26" s="30" t="s">
        <v>34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-195.8</v>
      </c>
      <c r="N26" s="76" t="s">
        <v>228</v>
      </c>
      <c r="O26" s="86">
        <f t="shared" si="3"/>
        <v>35.690000000000012</v>
      </c>
      <c r="P26" s="80">
        <v>10</v>
      </c>
      <c r="Q26" s="68">
        <v>356.90000000000009</v>
      </c>
    </row>
    <row r="27" spans="1:17">
      <c r="A27" s="20" t="s">
        <v>132</v>
      </c>
      <c r="B27" s="97">
        <f>IF(B$18=0,0,C27/B$18)</f>
        <v>-6900</v>
      </c>
      <c r="C27" s="98">
        <v>-227700</v>
      </c>
      <c r="E27" s="33" t="s">
        <v>72</v>
      </c>
      <c r="F27" s="30" t="s">
        <v>36</v>
      </c>
      <c r="G27" s="13">
        <v>0</v>
      </c>
      <c r="H27" s="94">
        <f>IF(B$17=0,0,G27/B$17)</f>
        <v>0</v>
      </c>
      <c r="I27" s="56">
        <v>4</v>
      </c>
      <c r="K27" s="5">
        <v>25</v>
      </c>
      <c r="L27" s="61">
        <v>-110.30000000000001</v>
      </c>
      <c r="N27" s="76" t="s">
        <v>277</v>
      </c>
      <c r="O27" s="86">
        <f t="shared" si="3"/>
        <v>28.3</v>
      </c>
      <c r="P27" s="80">
        <v>2</v>
      </c>
      <c r="Q27" s="68">
        <v>56.6</v>
      </c>
    </row>
    <row r="28" spans="1:17">
      <c r="A28" s="19" t="s">
        <v>130</v>
      </c>
      <c r="B28" s="13">
        <v>4</v>
      </c>
      <c r="C28" s="96">
        <v>0</v>
      </c>
      <c r="E28" s="33" t="s">
        <v>73</v>
      </c>
      <c r="F28" s="30" t="s">
        <v>37</v>
      </c>
      <c r="G28" s="13">
        <v>0</v>
      </c>
      <c r="H28" s="94">
        <f>IF(B$17=0,0,G28/B$17)</f>
        <v>0</v>
      </c>
      <c r="I28" s="56">
        <v>1</v>
      </c>
      <c r="K28" s="5">
        <v>26</v>
      </c>
      <c r="L28" s="61">
        <v>-49.100000000000009</v>
      </c>
      <c r="N28" s="76" t="s">
        <v>269</v>
      </c>
      <c r="O28" s="86">
        <f t="shared" si="3"/>
        <v>28.200000000000003</v>
      </c>
      <c r="P28" s="80">
        <v>1</v>
      </c>
      <c r="Q28" s="68">
        <v>28.200000000000003</v>
      </c>
    </row>
    <row r="29" spans="1:17">
      <c r="A29" s="19" t="s">
        <v>131</v>
      </c>
      <c r="B29" s="13">
        <v>34</v>
      </c>
      <c r="C29" s="96">
        <v>6</v>
      </c>
      <c r="E29" s="33" t="s">
        <v>75</v>
      </c>
      <c r="F29" s="30" t="s">
        <v>39</v>
      </c>
      <c r="G29" s="13">
        <v>0</v>
      </c>
      <c r="H29" s="94">
        <f>IF(B$17=0,0,G29/B$17)</f>
        <v>0</v>
      </c>
      <c r="I29" s="56">
        <v>4</v>
      </c>
      <c r="K29" s="5">
        <v>27</v>
      </c>
      <c r="L29" s="61">
        <v>35.999999999999986</v>
      </c>
      <c r="N29" s="76" t="s">
        <v>216</v>
      </c>
      <c r="O29" s="86">
        <f t="shared" si="3"/>
        <v>25.135294117647071</v>
      </c>
      <c r="P29" s="80">
        <v>17</v>
      </c>
      <c r="Q29" s="68">
        <v>427.30000000000018</v>
      </c>
    </row>
    <row r="30" spans="1:17">
      <c r="A30" s="52" t="s">
        <v>111</v>
      </c>
      <c r="B30" s="114">
        <v>5</v>
      </c>
      <c r="C30" s="115"/>
      <c r="E30" s="33" t="s">
        <v>76</v>
      </c>
      <c r="F30" s="30" t="s">
        <v>40</v>
      </c>
      <c r="G30" s="13">
        <v>0</v>
      </c>
      <c r="H30" s="94">
        <f>IF(B$17=0,0,G30/B$17)</f>
        <v>0</v>
      </c>
      <c r="I30" s="56">
        <v>5</v>
      </c>
      <c r="K30" s="5">
        <v>28</v>
      </c>
      <c r="L30" s="61">
        <v>97.299999999999983</v>
      </c>
      <c r="N30" s="76" t="s">
        <v>227</v>
      </c>
      <c r="O30" s="86">
        <f t="shared" si="3"/>
        <v>24.916666666666661</v>
      </c>
      <c r="P30" s="80">
        <v>6</v>
      </c>
      <c r="Q30" s="68">
        <v>149.49999999999997</v>
      </c>
    </row>
    <row r="31" spans="1:17">
      <c r="A31" s="22" t="s">
        <v>148</v>
      </c>
      <c r="B31" s="116">
        <v>65500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82.899999999999977</v>
      </c>
      <c r="N31" s="76" t="s">
        <v>215</v>
      </c>
      <c r="O31" s="86">
        <f t="shared" si="3"/>
        <v>24.4</v>
      </c>
      <c r="P31" s="80">
        <v>1</v>
      </c>
      <c r="Q31" s="68">
        <v>24.4</v>
      </c>
    </row>
    <row r="32" spans="1:17">
      <c r="A32" s="21" t="s">
        <v>112</v>
      </c>
      <c r="B32" s="26">
        <v>1</v>
      </c>
      <c r="C32" s="9">
        <f>IF(B$3=0,0,B32/B$3)</f>
        <v>3.6101083032490976E-3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64.999999999999972</v>
      </c>
      <c r="N32" s="76" t="s">
        <v>203</v>
      </c>
      <c r="O32" s="86">
        <f t="shared" si="3"/>
        <v>20.5</v>
      </c>
      <c r="P32" s="80">
        <v>1</v>
      </c>
      <c r="Q32" s="68">
        <v>20.5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91.399999999999977</v>
      </c>
      <c r="N33" s="76" t="s">
        <v>241</v>
      </c>
      <c r="O33" s="86">
        <f t="shared" si="3"/>
        <v>14.16666666666667</v>
      </c>
      <c r="P33" s="80">
        <v>3</v>
      </c>
      <c r="Q33" s="68">
        <v>42.500000000000007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154.39999999999998</v>
      </c>
      <c r="N34" s="76" t="s">
        <v>169</v>
      </c>
      <c r="O34" s="86">
        <f t="shared" si="3"/>
        <v>4.2812500000000044</v>
      </c>
      <c r="P34" s="80">
        <v>16</v>
      </c>
      <c r="Q34" s="68">
        <v>68.500000000000071</v>
      </c>
    </row>
    <row r="35" spans="1:17">
      <c r="A35" s="52" t="s">
        <v>139</v>
      </c>
      <c r="B35" s="99">
        <v>6</v>
      </c>
      <c r="C35" s="102">
        <f t="shared" ref="C35:C47" si="4">IF(B$17=0,0,B35/B$17)</f>
        <v>7.792207792207792E-2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92.399999999999977</v>
      </c>
      <c r="N35" s="76" t="s">
        <v>213</v>
      </c>
      <c r="O35" s="86">
        <f t="shared" si="3"/>
        <v>-8.4571428571428537</v>
      </c>
      <c r="P35" s="80">
        <v>7</v>
      </c>
      <c r="Q35" s="68">
        <v>-59.199999999999982</v>
      </c>
    </row>
    <row r="36" spans="1:17">
      <c r="A36" s="19" t="s">
        <v>135</v>
      </c>
      <c r="B36" s="13">
        <v>19</v>
      </c>
      <c r="C36" s="6">
        <f t="shared" si="4"/>
        <v>0.24675324675324675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107.19999999999997</v>
      </c>
      <c r="N36" s="76" t="s">
        <v>164</v>
      </c>
      <c r="O36" s="86">
        <f t="shared" si="3"/>
        <v>-19.399999999999999</v>
      </c>
      <c r="P36" s="80">
        <v>4</v>
      </c>
      <c r="Q36" s="68">
        <v>-77.599999999999994</v>
      </c>
    </row>
    <row r="37" spans="1:17">
      <c r="A37" s="19" t="s">
        <v>136</v>
      </c>
      <c r="B37" s="100">
        <v>23</v>
      </c>
      <c r="C37" s="6">
        <f t="shared" si="4"/>
        <v>0.29870129870129869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157.89999999999998</v>
      </c>
      <c r="N37" s="76" t="s">
        <v>161</v>
      </c>
      <c r="O37" s="86">
        <f t="shared" si="3"/>
        <v>-20.650000000000006</v>
      </c>
      <c r="P37" s="80">
        <v>2</v>
      </c>
      <c r="Q37" s="68">
        <v>-41.300000000000011</v>
      </c>
    </row>
    <row r="38" spans="1:17">
      <c r="A38" s="19" t="s">
        <v>137</v>
      </c>
      <c r="B38" s="100">
        <v>6</v>
      </c>
      <c r="C38" s="6">
        <f t="shared" si="4"/>
        <v>7.792207792207792E-2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175.39999999999998</v>
      </c>
      <c r="N38" s="76" t="s">
        <v>265</v>
      </c>
      <c r="O38" s="86">
        <f t="shared" si="3"/>
        <v>-21.75</v>
      </c>
      <c r="P38" s="80">
        <v>2</v>
      </c>
      <c r="Q38" s="68">
        <v>-43.5</v>
      </c>
    </row>
    <row r="39" spans="1:17">
      <c r="A39" s="19" t="s">
        <v>138</v>
      </c>
      <c r="B39" s="100">
        <v>11</v>
      </c>
      <c r="C39" s="6">
        <f t="shared" si="4"/>
        <v>0.14285714285714285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237.79999999999998</v>
      </c>
      <c r="N39" s="76" t="s">
        <v>168</v>
      </c>
      <c r="O39" s="86">
        <f t="shared" si="3"/>
        <v>-25.7</v>
      </c>
      <c r="P39" s="80">
        <v>7</v>
      </c>
      <c r="Q39" s="68">
        <v>-179.9</v>
      </c>
    </row>
    <row r="40" spans="1:17">
      <c r="A40" s="19" t="s">
        <v>140</v>
      </c>
      <c r="B40" s="100">
        <v>8</v>
      </c>
      <c r="C40" s="6">
        <f t="shared" si="4"/>
        <v>0.1038961038961039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256.5</v>
      </c>
      <c r="N40" s="76" t="s">
        <v>163</v>
      </c>
      <c r="O40" s="86">
        <f t="shared" si="3"/>
        <v>-30.9</v>
      </c>
      <c r="P40" s="80">
        <v>1</v>
      </c>
      <c r="Q40" s="68">
        <v>-30.9</v>
      </c>
    </row>
    <row r="41" spans="1:17">
      <c r="A41" s="19" t="s">
        <v>141</v>
      </c>
      <c r="B41" s="100">
        <v>4</v>
      </c>
      <c r="C41" s="6">
        <f t="shared" si="4"/>
        <v>5.1948051948051951E-2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236</v>
      </c>
      <c r="N41" s="76" t="s">
        <v>179</v>
      </c>
      <c r="O41" s="86">
        <f t="shared" si="3"/>
        <v>-34.119999999999997</v>
      </c>
      <c r="P41" s="80">
        <v>5</v>
      </c>
      <c r="Q41" s="68">
        <v>-170.6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N42" s="76" t="s">
        <v>162</v>
      </c>
      <c r="O42" s="86">
        <f t="shared" si="3"/>
        <v>-43.699999999999996</v>
      </c>
      <c r="P42" s="80">
        <v>4</v>
      </c>
      <c r="Q42" s="68">
        <v>-174.79999999999998</v>
      </c>
    </row>
    <row r="43" spans="1:17">
      <c r="A43" s="19" t="s">
        <v>143</v>
      </c>
      <c r="B43" s="100">
        <v>0</v>
      </c>
      <c r="C43" s="6">
        <f t="shared" si="4"/>
        <v>0</v>
      </c>
      <c r="N43" s="76" t="s">
        <v>244</v>
      </c>
      <c r="O43" s="86">
        <f t="shared" si="3"/>
        <v>-48.366666666666667</v>
      </c>
      <c r="P43" s="80">
        <v>3</v>
      </c>
      <c r="Q43" s="68">
        <v>-145.1</v>
      </c>
    </row>
    <row r="44" spans="1:17">
      <c r="A44" s="19" t="s">
        <v>144</v>
      </c>
      <c r="B44" s="100">
        <v>0</v>
      </c>
      <c r="C44" s="6">
        <f t="shared" si="4"/>
        <v>0</v>
      </c>
      <c r="N44" s="76" t="s">
        <v>276</v>
      </c>
      <c r="O44" s="86">
        <f t="shared" si="3"/>
        <v>-48.5</v>
      </c>
      <c r="P44" s="80">
        <v>1</v>
      </c>
      <c r="Q44" s="68">
        <v>-48.5</v>
      </c>
    </row>
    <row r="45" spans="1:17">
      <c r="A45" s="19" t="s">
        <v>145</v>
      </c>
      <c r="B45" s="100">
        <v>0</v>
      </c>
      <c r="C45" s="6">
        <f t="shared" si="4"/>
        <v>0</v>
      </c>
      <c r="N45" s="76" t="s">
        <v>191</v>
      </c>
      <c r="O45" s="86">
        <f t="shared" si="3"/>
        <v>-65.966666666666669</v>
      </c>
      <c r="P45" s="80">
        <v>3</v>
      </c>
      <c r="Q45" s="68">
        <v>-197.9</v>
      </c>
    </row>
    <row r="46" spans="1:17">
      <c r="A46" s="19" t="s">
        <v>146</v>
      </c>
      <c r="B46" s="100">
        <v>0</v>
      </c>
      <c r="C46" s="6">
        <f t="shared" si="4"/>
        <v>0</v>
      </c>
      <c r="N46" s="76" t="s">
        <v>205</v>
      </c>
      <c r="O46" s="86">
        <f t="shared" si="3"/>
        <v>-66.05</v>
      </c>
      <c r="P46" s="80">
        <v>4</v>
      </c>
      <c r="Q46" s="68">
        <v>-264.2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6D8D7C-0262-4C76-93DE-9A1B28892988}">
  <sheetPr codeName="Sheet2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196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60</v>
      </c>
      <c r="F2" s="29" t="s">
        <v>24</v>
      </c>
      <c r="G2" s="12">
        <v>1</v>
      </c>
      <c r="H2" s="93">
        <f>IF(B$17=0,0,G2/B$17)</f>
        <v>1</v>
      </c>
      <c r="I2" s="55">
        <v>2</v>
      </c>
      <c r="K2" s="3">
        <v>0</v>
      </c>
      <c r="L2" s="60">
        <v>0</v>
      </c>
      <c r="N2" s="75" t="s">
        <v>103</v>
      </c>
      <c r="O2" s="82">
        <f t="shared" ref="O2:O9" si="0">IF(P2=0,0,Q2/P2)</f>
        <v>-6000</v>
      </c>
      <c r="P2" s="79">
        <v>1</v>
      </c>
      <c r="Q2" s="63">
        <v>-6000</v>
      </c>
    </row>
    <row r="3" spans="1:17">
      <c r="A3" s="19" t="s">
        <v>8</v>
      </c>
      <c r="B3" s="122">
        <v>8</v>
      </c>
      <c r="C3" s="123"/>
      <c r="E3" s="33" t="s">
        <v>181</v>
      </c>
      <c r="F3" s="30" t="s">
        <v>156</v>
      </c>
      <c r="G3" s="13">
        <v>0</v>
      </c>
      <c r="H3" s="94">
        <f>IF(B$17=0,0,G3/B$17)</f>
        <v>0</v>
      </c>
      <c r="I3" s="56">
        <v>37</v>
      </c>
      <c r="K3" s="5">
        <v>1</v>
      </c>
      <c r="L3" s="61">
        <v>-27.1</v>
      </c>
      <c r="N3" s="76" t="s">
        <v>104</v>
      </c>
      <c r="O3" s="83">
        <f t="shared" si="0"/>
        <v>-4600</v>
      </c>
      <c r="P3" s="80">
        <v>1</v>
      </c>
      <c r="Q3" s="64">
        <v>-4600</v>
      </c>
    </row>
    <row r="4" spans="1:17">
      <c r="A4" s="19" t="s">
        <v>6</v>
      </c>
      <c r="B4" s="124">
        <v>-27.1</v>
      </c>
      <c r="C4" s="125"/>
      <c r="E4" s="33" t="s">
        <v>182</v>
      </c>
      <c r="F4" s="30" t="s">
        <v>19</v>
      </c>
      <c r="G4" s="13">
        <v>0</v>
      </c>
      <c r="H4" s="94">
        <f>IF(B$17=0,0,G4/B$17)</f>
        <v>0</v>
      </c>
      <c r="I4" s="56">
        <v>27</v>
      </c>
      <c r="N4" s="76" t="s">
        <v>105</v>
      </c>
      <c r="O4" s="83">
        <f t="shared" si="0"/>
        <v>1000</v>
      </c>
      <c r="P4" s="80">
        <v>1</v>
      </c>
      <c r="Q4" s="64">
        <v>1000</v>
      </c>
    </row>
    <row r="5" spans="1:17">
      <c r="A5" s="19" t="s">
        <v>7</v>
      </c>
      <c r="B5" s="126">
        <f>IF(B$2=0,0,B$4/B$2)</f>
        <v>-27.1</v>
      </c>
      <c r="C5" s="127"/>
      <c r="E5" s="33" t="s">
        <v>54</v>
      </c>
      <c r="F5" s="30" t="s">
        <v>20</v>
      </c>
      <c r="G5" s="13">
        <v>0</v>
      </c>
      <c r="H5" s="94">
        <f>IF(B$17=0,0,G5/B$17)</f>
        <v>0</v>
      </c>
      <c r="I5" s="56">
        <v>34</v>
      </c>
      <c r="N5" s="76" t="s">
        <v>157</v>
      </c>
      <c r="O5" s="83">
        <f>IF(P5=0,0,Q5/P5)</f>
        <v>-1000</v>
      </c>
      <c r="P5" s="80">
        <v>1</v>
      </c>
      <c r="Q5" s="64">
        <v>-1000</v>
      </c>
    </row>
    <row r="6" spans="1:17">
      <c r="A6" s="19" t="s">
        <v>1</v>
      </c>
      <c r="B6" s="128">
        <f>IF(B$2=0,0,(B$7*1+B$8*2+B$9*3+B$10*4)/B$2)</f>
        <v>3</v>
      </c>
      <c r="C6" s="129"/>
      <c r="E6" s="33" t="s">
        <v>55</v>
      </c>
      <c r="F6" s="30" t="s">
        <v>155</v>
      </c>
      <c r="G6" s="13">
        <v>0</v>
      </c>
      <c r="H6" s="94">
        <f>IF(B$17=0,0,G6/B$17)</f>
        <v>0</v>
      </c>
      <c r="I6" s="56">
        <v>35</v>
      </c>
      <c r="N6" s="76" t="s">
        <v>106</v>
      </c>
      <c r="O6" s="83">
        <f t="shared" ref="O6" si="1">IF(P6=0,0,Q6/P6)</f>
        <v>-1500</v>
      </c>
      <c r="P6" s="80">
        <v>1</v>
      </c>
      <c r="Q6" s="64">
        <v>-1500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56</v>
      </c>
      <c r="F7" s="30" t="s">
        <v>185</v>
      </c>
      <c r="G7" s="13">
        <v>0</v>
      </c>
      <c r="H7" s="94">
        <f>IF(B$17=0,0,G7/B$17)</f>
        <v>0</v>
      </c>
      <c r="I7" s="56">
        <v>37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57</v>
      </c>
      <c r="F8" s="30" t="s">
        <v>21</v>
      </c>
      <c r="G8" s="13">
        <v>0</v>
      </c>
      <c r="H8" s="94">
        <f>IF(B$17=0,0,G8/B$17)</f>
        <v>0</v>
      </c>
      <c r="I8" s="56">
        <v>32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1</v>
      </c>
      <c r="C9" s="7">
        <f>IF(B$2=0,0,B9/B$2)</f>
        <v>1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24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26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6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2</v>
      </c>
      <c r="C13" s="11">
        <f>IF(B$3=0,0,B13/B$3)</f>
        <v>0.25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1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2</v>
      </c>
      <c r="C14" s="6">
        <f>IF(B$3=0,0,B14/B$3)</f>
        <v>0.25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-27.1</v>
      </c>
      <c r="P15" s="81">
        <v>1</v>
      </c>
      <c r="Q15" s="69">
        <v>-27.1</v>
      </c>
    </row>
    <row r="16" spans="1:17">
      <c r="A16" s="18" t="s">
        <v>100</v>
      </c>
      <c r="B16" s="12">
        <f>B22</f>
        <v>1</v>
      </c>
      <c r="C16" s="4">
        <f>IF(B$14=0,0,B16/B$14)</f>
        <v>0.5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9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</v>
      </c>
      <c r="C17" s="4">
        <f>IF(B$3=0,0,B17/B$3)</f>
        <v>0.125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8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16</v>
      </c>
      <c r="N18" s="75" t="s">
        <v>179</v>
      </c>
      <c r="O18" s="85">
        <f>IF(P18=0,0,Q18/P18)</f>
        <v>34.299999999999997</v>
      </c>
      <c r="P18" s="79">
        <v>1</v>
      </c>
      <c r="Q18" s="67">
        <v>34.299999999999997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1</v>
      </c>
      <c r="N19" s="76" t="s">
        <v>169</v>
      </c>
      <c r="O19" s="86">
        <f>IF(P19=0,0,Q19/P19)</f>
        <v>-49.7</v>
      </c>
      <c r="P19" s="80">
        <v>1</v>
      </c>
      <c r="Q19" s="68">
        <v>-49.7</v>
      </c>
    </row>
    <row r="20" spans="1:17">
      <c r="A20" s="19" t="s">
        <v>11</v>
      </c>
      <c r="B20" s="13">
        <v>1</v>
      </c>
      <c r="C20" s="6">
        <f>IF(B$17=0,0,B20/B$17)</f>
        <v>1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8</v>
      </c>
      <c r="N20" s="76" t="s">
        <v>191</v>
      </c>
      <c r="O20" s="86">
        <f>IF(P20=0,0,Q20/P20)</f>
        <v>-93</v>
      </c>
      <c r="P20" s="80">
        <v>1</v>
      </c>
      <c r="Q20" s="68">
        <v>-93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1</v>
      </c>
      <c r="C22" s="6">
        <f>IF(B$17=0,0,B22/B$17)</f>
        <v>1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14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1000</v>
      </c>
      <c r="C24" s="8">
        <v>1000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12</v>
      </c>
    </row>
    <row r="26" spans="1:17">
      <c r="A26" s="20" t="s">
        <v>134</v>
      </c>
      <c r="B26" s="97">
        <f>IF(B$16=0,0,C26/B$16)</f>
        <v>1000</v>
      </c>
      <c r="C26" s="98">
        <v>1000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5</v>
      </c>
    </row>
    <row r="28" spans="1:17">
      <c r="A28" s="19" t="s">
        <v>130</v>
      </c>
      <c r="B28" s="13">
        <v>1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16</v>
      </c>
    </row>
    <row r="29" spans="1:17">
      <c r="A29" s="19" t="s">
        <v>131</v>
      </c>
      <c r="B29" s="13">
        <v>8</v>
      </c>
      <c r="C29" s="96">
        <v>8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7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12900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1</v>
      </c>
      <c r="C35" s="102">
        <f t="shared" ref="C35:C47" si="3">IF(B$17=0,0,B35/B$17)</f>
        <v>1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36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DD83BA-3447-49E0-8C64-9914F8084F6A}">
  <sheetPr codeName="Sheet21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203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5</v>
      </c>
      <c r="C2" s="121"/>
      <c r="E2" s="32" t="s">
        <v>181</v>
      </c>
      <c r="F2" s="29" t="s">
        <v>156</v>
      </c>
      <c r="G2" s="12">
        <v>3</v>
      </c>
      <c r="H2" s="93">
        <f>IF(B$17=0,0,G2/B$17)</f>
        <v>0.75</v>
      </c>
      <c r="I2" s="55">
        <v>6</v>
      </c>
      <c r="K2" s="3">
        <v>0</v>
      </c>
      <c r="L2" s="60">
        <v>0</v>
      </c>
      <c r="N2" s="75" t="s">
        <v>103</v>
      </c>
      <c r="O2" s="82">
        <f t="shared" ref="O2:O9" si="0">IF(P2=0,0,Q2/P2)</f>
        <v>-1560</v>
      </c>
      <c r="P2" s="79">
        <v>5</v>
      </c>
      <c r="Q2" s="63">
        <v>-7800</v>
      </c>
    </row>
    <row r="3" spans="1:17">
      <c r="A3" s="19" t="s">
        <v>8</v>
      </c>
      <c r="B3" s="122">
        <v>43</v>
      </c>
      <c r="C3" s="123"/>
      <c r="E3" s="33" t="s">
        <v>55</v>
      </c>
      <c r="F3" s="30" t="s">
        <v>155</v>
      </c>
      <c r="G3" s="13">
        <v>2</v>
      </c>
      <c r="H3" s="94">
        <f>IF(B$17=0,0,G3/B$17)</f>
        <v>0.5</v>
      </c>
      <c r="I3" s="56">
        <v>4</v>
      </c>
      <c r="K3" s="5">
        <v>1</v>
      </c>
      <c r="L3" s="61">
        <v>-15</v>
      </c>
      <c r="N3" s="76" t="s">
        <v>104</v>
      </c>
      <c r="O3" s="83">
        <f t="shared" si="0"/>
        <v>-2160</v>
      </c>
      <c r="P3" s="80">
        <v>5</v>
      </c>
      <c r="Q3" s="64">
        <v>-10800</v>
      </c>
    </row>
    <row r="4" spans="1:17">
      <c r="A4" s="19" t="s">
        <v>6</v>
      </c>
      <c r="B4" s="124">
        <v>-161.39999999999998</v>
      </c>
      <c r="C4" s="125"/>
      <c r="E4" s="33" t="s">
        <v>56</v>
      </c>
      <c r="F4" s="30" t="s">
        <v>185</v>
      </c>
      <c r="G4" s="13">
        <v>2</v>
      </c>
      <c r="H4" s="94">
        <f>IF(B$17=0,0,G4/B$17)</f>
        <v>0.5</v>
      </c>
      <c r="I4" s="56">
        <v>1</v>
      </c>
      <c r="K4" s="5">
        <v>2</v>
      </c>
      <c r="L4" s="61">
        <v>-43.9</v>
      </c>
      <c r="N4" s="76" t="s">
        <v>105</v>
      </c>
      <c r="O4" s="83">
        <f t="shared" si="0"/>
        <v>-3860</v>
      </c>
      <c r="P4" s="80">
        <v>5</v>
      </c>
      <c r="Q4" s="64">
        <v>-19300</v>
      </c>
    </row>
    <row r="5" spans="1:17">
      <c r="A5" s="19" t="s">
        <v>7</v>
      </c>
      <c r="B5" s="126">
        <f>IF(B$2=0,0,B$4/B$2)</f>
        <v>-32.279999999999994</v>
      </c>
      <c r="C5" s="127"/>
      <c r="E5" s="33" t="s">
        <v>60</v>
      </c>
      <c r="F5" s="30" t="s">
        <v>24</v>
      </c>
      <c r="G5" s="13">
        <v>2</v>
      </c>
      <c r="H5" s="94">
        <f>IF(B$17=0,0,G5/B$17)</f>
        <v>0.5</v>
      </c>
      <c r="I5" s="56">
        <v>11</v>
      </c>
      <c r="K5" s="5">
        <v>3</v>
      </c>
      <c r="L5" s="61">
        <v>-85.199999999999989</v>
      </c>
      <c r="N5" s="76" t="s">
        <v>157</v>
      </c>
      <c r="O5" s="83">
        <f>IF(P5=0,0,Q5/P5)</f>
        <v>-1740</v>
      </c>
      <c r="P5" s="80">
        <v>5</v>
      </c>
      <c r="Q5" s="64">
        <v>-8700</v>
      </c>
    </row>
    <row r="6" spans="1:17">
      <c r="A6" s="19" t="s">
        <v>1</v>
      </c>
      <c r="B6" s="128">
        <f>IF(B$2=0,0,(B$7*1+B$8*2+B$9*3+B$10*4)/B$2)</f>
        <v>3.4</v>
      </c>
      <c r="C6" s="129"/>
      <c r="E6" s="33" t="s">
        <v>184</v>
      </c>
      <c r="F6" s="30" t="s">
        <v>187</v>
      </c>
      <c r="G6" s="13">
        <v>2</v>
      </c>
      <c r="H6" s="94">
        <f>IF(B$17=0,0,G6/B$17)</f>
        <v>0.5</v>
      </c>
      <c r="I6" s="56">
        <v>12</v>
      </c>
      <c r="K6" s="5">
        <v>4</v>
      </c>
      <c r="L6" s="61">
        <v>-144.19999999999999</v>
      </c>
      <c r="N6" s="76" t="s">
        <v>106</v>
      </c>
      <c r="O6" s="83">
        <f t="shared" ref="O6" si="1">IF(P6=0,0,Q6/P6)</f>
        <v>-866.66666666666663</v>
      </c>
      <c r="P6" s="80">
        <v>3</v>
      </c>
      <c r="Q6" s="64">
        <v>-2600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182</v>
      </c>
      <c r="F7" s="30" t="s">
        <v>19</v>
      </c>
      <c r="G7" s="13">
        <v>1</v>
      </c>
      <c r="H7" s="94">
        <f>IF(B$17=0,0,G7/B$17)</f>
        <v>0.25</v>
      </c>
      <c r="I7" s="56">
        <v>5</v>
      </c>
      <c r="K7" s="5">
        <v>5</v>
      </c>
      <c r="L7" s="61">
        <v>-161.39999999999998</v>
      </c>
      <c r="N7" s="76" t="s">
        <v>107</v>
      </c>
      <c r="O7" s="83">
        <f t="shared" si="0"/>
        <v>-2600</v>
      </c>
      <c r="P7" s="80">
        <v>2</v>
      </c>
      <c r="Q7" s="64">
        <v>-5200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54</v>
      </c>
      <c r="F8" s="30" t="s">
        <v>20</v>
      </c>
      <c r="G8" s="13">
        <v>1</v>
      </c>
      <c r="H8" s="94">
        <f>IF(B$17=0,0,G8/B$17)</f>
        <v>0.25</v>
      </c>
      <c r="I8" s="56">
        <v>28</v>
      </c>
      <c r="N8" s="76" t="s">
        <v>108</v>
      </c>
      <c r="O8" s="83">
        <f t="shared" si="0"/>
        <v>0</v>
      </c>
      <c r="P8" s="80">
        <v>2</v>
      </c>
      <c r="Q8" s="64">
        <v>0</v>
      </c>
    </row>
    <row r="9" spans="1:17">
      <c r="A9" s="20" t="s">
        <v>4</v>
      </c>
      <c r="B9" s="14">
        <v>3</v>
      </c>
      <c r="C9" s="7">
        <f>IF(B$2=0,0,B9/B$2)</f>
        <v>0.6</v>
      </c>
      <c r="E9" s="33" t="s">
        <v>57</v>
      </c>
      <c r="F9" s="30" t="s">
        <v>21</v>
      </c>
      <c r="G9" s="13">
        <v>0</v>
      </c>
      <c r="H9" s="94">
        <f>IF(B$17=0,0,G9/B$17)</f>
        <v>0</v>
      </c>
      <c r="I9" s="56">
        <v>32</v>
      </c>
      <c r="N9" s="77" t="s">
        <v>158</v>
      </c>
      <c r="O9" s="84">
        <f t="shared" si="0"/>
        <v>8000</v>
      </c>
      <c r="P9" s="81">
        <v>1</v>
      </c>
      <c r="Q9" s="65">
        <v>8000</v>
      </c>
    </row>
    <row r="10" spans="1:17">
      <c r="A10" s="20" t="s">
        <v>152</v>
      </c>
      <c r="B10" s="14">
        <v>2</v>
      </c>
      <c r="C10" s="7">
        <f>IF(B$2=0,0,B10/B$2)</f>
        <v>0.4</v>
      </c>
      <c r="E10" s="33" t="s">
        <v>58</v>
      </c>
      <c r="F10" s="30" t="s">
        <v>22</v>
      </c>
      <c r="G10" s="13">
        <v>0</v>
      </c>
      <c r="H10" s="94">
        <f>IF(B$17=0,0,G10/B$17)</f>
        <v>0</v>
      </c>
      <c r="I10" s="56">
        <v>24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59</v>
      </c>
      <c r="F11" s="30" t="s">
        <v>23</v>
      </c>
      <c r="G11" s="13">
        <v>0</v>
      </c>
      <c r="H11" s="94">
        <f>IF(B$17=0,0,G11/B$17)</f>
        <v>0</v>
      </c>
      <c r="I11" s="56">
        <v>26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5</v>
      </c>
      <c r="N12" s="75" t="s">
        <v>126</v>
      </c>
      <c r="O12" s="85">
        <f>IF(P12=0,0,Q12/P12)</f>
        <v>-37</v>
      </c>
      <c r="P12" s="79">
        <v>2</v>
      </c>
      <c r="Q12" s="67">
        <v>-74</v>
      </c>
    </row>
    <row r="13" spans="1:17">
      <c r="A13" s="22" t="s">
        <v>97</v>
      </c>
      <c r="B13" s="15">
        <v>9</v>
      </c>
      <c r="C13" s="11">
        <f>IF(B$3=0,0,B13/B$3)</f>
        <v>0.20930232558139536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6</v>
      </c>
      <c r="N13" s="76" t="s">
        <v>127</v>
      </c>
      <c r="O13" s="86">
        <f>IF(P13=0,0,Q13/P13)</f>
        <v>-29.25</v>
      </c>
      <c r="P13" s="80">
        <v>2</v>
      </c>
      <c r="Q13" s="68">
        <v>-58.5</v>
      </c>
    </row>
    <row r="14" spans="1:17">
      <c r="A14" s="19" t="s">
        <v>94</v>
      </c>
      <c r="B14" s="13">
        <v>6</v>
      </c>
      <c r="C14" s="6">
        <f>IF(B$3=0,0,B14/B$3)</f>
        <v>0.13953488372093023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-28.9</v>
      </c>
      <c r="P14" s="80">
        <v>1</v>
      </c>
      <c r="Q14" s="68">
        <v>-28.9</v>
      </c>
    </row>
    <row r="15" spans="1:17">
      <c r="A15" s="18" t="s">
        <v>99</v>
      </c>
      <c r="B15" s="12">
        <f>B21</f>
        <v>3</v>
      </c>
      <c r="C15" s="4">
        <f>IF(B$13=0,0,B15/B$13)</f>
        <v>0.33333333333333331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1</v>
      </c>
      <c r="C16" s="4">
        <f>IF(B$14=0,0,B16/B$14)</f>
        <v>0.16666666666666666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</v>
      </c>
      <c r="C17" s="4">
        <f>IF(B$3=0,0,B17/B$3)</f>
        <v>9.3023255813953487E-2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10</v>
      </c>
      <c r="C18" s="6">
        <f>IF(B$3=0,0,B18/B$3)</f>
        <v>0.23255813953488372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8</v>
      </c>
      <c r="N18" s="75" t="s">
        <v>202</v>
      </c>
      <c r="O18" s="85">
        <f t="shared" ref="O18:O24" si="3">IF(P18=0,0,Q18/P18)</f>
        <v>31</v>
      </c>
      <c r="P18" s="79">
        <v>2</v>
      </c>
      <c r="Q18" s="67">
        <v>62</v>
      </c>
    </row>
    <row r="19" spans="1:17">
      <c r="A19" s="19" t="s">
        <v>12</v>
      </c>
      <c r="B19" s="13">
        <v>2</v>
      </c>
      <c r="C19" s="6">
        <f>IF(B$17=0,0,B19/B$17)</f>
        <v>0.5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16</v>
      </c>
      <c r="N19" s="76" t="s">
        <v>163</v>
      </c>
      <c r="O19" s="86">
        <f t="shared" si="3"/>
        <v>22.3</v>
      </c>
      <c r="P19" s="80">
        <v>1</v>
      </c>
      <c r="Q19" s="68">
        <v>22.3</v>
      </c>
    </row>
    <row r="20" spans="1:17">
      <c r="A20" s="19" t="s">
        <v>11</v>
      </c>
      <c r="B20" s="13">
        <v>2</v>
      </c>
      <c r="C20" s="6">
        <f>IF(B$17=0,0,B20/B$17)</f>
        <v>0.5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1</v>
      </c>
      <c r="N20" s="76" t="s">
        <v>195</v>
      </c>
      <c r="O20" s="86">
        <f t="shared" si="3"/>
        <v>-20.5</v>
      </c>
      <c r="P20" s="80">
        <v>1</v>
      </c>
      <c r="Q20" s="68">
        <v>-20.5</v>
      </c>
    </row>
    <row r="21" spans="1:17">
      <c r="A21" s="19" t="s">
        <v>151</v>
      </c>
      <c r="B21" s="13">
        <v>3</v>
      </c>
      <c r="C21" s="6">
        <f>IF(B$17=0,0,B21/B$17)</f>
        <v>0.75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8</v>
      </c>
      <c r="N21" s="76" t="s">
        <v>191</v>
      </c>
      <c r="O21" s="86">
        <f t="shared" si="3"/>
        <v>-48.559999999999995</v>
      </c>
      <c r="P21" s="80">
        <v>5</v>
      </c>
      <c r="Q21" s="68">
        <v>-242.79999999999998</v>
      </c>
    </row>
    <row r="22" spans="1:17">
      <c r="A22" s="19" t="s">
        <v>149</v>
      </c>
      <c r="B22" s="13">
        <v>1</v>
      </c>
      <c r="C22" s="6">
        <f>IF(B$17=0,0,B22/B$17)</f>
        <v>0.25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168</v>
      </c>
      <c r="O22" s="86">
        <f t="shared" si="3"/>
        <v>-49.699999999999996</v>
      </c>
      <c r="P22" s="80">
        <v>1</v>
      </c>
      <c r="Q22" s="68">
        <v>-49.699999999999996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14</v>
      </c>
      <c r="N23" s="76" t="s">
        <v>169</v>
      </c>
      <c r="O23" s="86">
        <f t="shared" si="3"/>
        <v>-83.225000000000009</v>
      </c>
      <c r="P23" s="80">
        <v>4</v>
      </c>
      <c r="Q23" s="68">
        <v>-332.90000000000003</v>
      </c>
    </row>
    <row r="24" spans="1:17">
      <c r="A24" s="19" t="s">
        <v>5</v>
      </c>
      <c r="B24" s="16">
        <f>IF(B$17=0,0,C24/B$17)</f>
        <v>6275</v>
      </c>
      <c r="C24" s="8">
        <v>25100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205</v>
      </c>
      <c r="O24" s="86">
        <f t="shared" si="3"/>
        <v>-84</v>
      </c>
      <c r="P24" s="80">
        <v>1</v>
      </c>
      <c r="Q24" s="68">
        <v>-84</v>
      </c>
    </row>
    <row r="25" spans="1:17">
      <c r="A25" s="20" t="s">
        <v>133</v>
      </c>
      <c r="B25" s="97">
        <f>IF($B$17-B$16=0,0,C25/($B$17-B$16))</f>
        <v>7066.666666666667</v>
      </c>
      <c r="C25" s="98">
        <v>21200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3900</v>
      </c>
      <c r="C26" s="98">
        <v>3900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12</v>
      </c>
    </row>
    <row r="27" spans="1:17">
      <c r="A27" s="20" t="s">
        <v>132</v>
      </c>
      <c r="B27" s="97">
        <f>IF(B$18=0,0,C27/B$18)</f>
        <v>-5080</v>
      </c>
      <c r="C27" s="98">
        <v>-50800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5</v>
      </c>
    </row>
    <row r="29" spans="1:17">
      <c r="A29" s="19" t="s">
        <v>131</v>
      </c>
      <c r="B29" s="13">
        <v>9</v>
      </c>
      <c r="C29" s="96">
        <v>2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16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7</v>
      </c>
    </row>
    <row r="31" spans="1:17">
      <c r="A31" s="22" t="s">
        <v>148</v>
      </c>
      <c r="B31" s="116">
        <v>25000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4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4"/>
        <v>0.25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2</v>
      </c>
      <c r="C38" s="6">
        <f t="shared" si="4"/>
        <v>0.5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644E69-0111-4076-B7BB-1064DB4E7BB9}">
  <sheetPr codeName="Sheet2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202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59</v>
      </c>
      <c r="F2" s="29" t="s">
        <v>23</v>
      </c>
      <c r="G2" s="12">
        <v>1</v>
      </c>
      <c r="H2" s="93">
        <f>IF(B$17=0,0,G2/B$17)</f>
        <v>1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1050</v>
      </c>
      <c r="P2" s="79">
        <v>2</v>
      </c>
      <c r="Q2" s="63">
        <v>2100</v>
      </c>
    </row>
    <row r="3" spans="1:17">
      <c r="A3" s="19" t="s">
        <v>8</v>
      </c>
      <c r="B3" s="122">
        <v>17</v>
      </c>
      <c r="C3" s="123"/>
      <c r="E3" s="33" t="s">
        <v>181</v>
      </c>
      <c r="F3" s="30" t="s">
        <v>156</v>
      </c>
      <c r="G3" s="13">
        <v>0</v>
      </c>
      <c r="H3" s="94">
        <f>IF(B$17=0,0,G3/B$17)</f>
        <v>0</v>
      </c>
      <c r="I3" s="56">
        <v>37</v>
      </c>
      <c r="K3" s="5">
        <v>1</v>
      </c>
      <c r="L3" s="61">
        <v>-46.5</v>
      </c>
      <c r="N3" s="76" t="s">
        <v>104</v>
      </c>
      <c r="O3" s="83">
        <f t="shared" si="0"/>
        <v>-3050</v>
      </c>
      <c r="P3" s="80">
        <v>2</v>
      </c>
      <c r="Q3" s="64">
        <v>-6100</v>
      </c>
    </row>
    <row r="4" spans="1:17">
      <c r="A4" s="19" t="s">
        <v>6</v>
      </c>
      <c r="B4" s="124">
        <v>-105.9</v>
      </c>
      <c r="C4" s="125"/>
      <c r="E4" s="33" t="s">
        <v>182</v>
      </c>
      <c r="F4" s="30" t="s">
        <v>19</v>
      </c>
      <c r="G4" s="13">
        <v>0</v>
      </c>
      <c r="H4" s="94">
        <f>IF(B$17=0,0,G4/B$17)</f>
        <v>0</v>
      </c>
      <c r="I4" s="56">
        <v>27</v>
      </c>
      <c r="K4" s="5">
        <v>2</v>
      </c>
      <c r="L4" s="61">
        <v>-105.9</v>
      </c>
      <c r="N4" s="76" t="s">
        <v>105</v>
      </c>
      <c r="O4" s="83">
        <f t="shared" si="0"/>
        <v>-3000</v>
      </c>
      <c r="P4" s="80">
        <v>2</v>
      </c>
      <c r="Q4" s="64">
        <v>-6000</v>
      </c>
    </row>
    <row r="5" spans="1:17">
      <c r="A5" s="19" t="s">
        <v>7</v>
      </c>
      <c r="B5" s="126">
        <f>IF(B$2=0,0,B$4/B$2)</f>
        <v>-52.95</v>
      </c>
      <c r="C5" s="127"/>
      <c r="E5" s="33" t="s">
        <v>54</v>
      </c>
      <c r="F5" s="30" t="s">
        <v>20</v>
      </c>
      <c r="G5" s="13">
        <v>0</v>
      </c>
      <c r="H5" s="94">
        <f>IF(B$17=0,0,G5/B$17)</f>
        <v>0</v>
      </c>
      <c r="I5" s="56">
        <v>34</v>
      </c>
      <c r="N5" s="76" t="s">
        <v>157</v>
      </c>
      <c r="O5" s="83">
        <f>IF(P5=0,0,Q5/P5)</f>
        <v>-12950</v>
      </c>
      <c r="P5" s="80">
        <v>2</v>
      </c>
      <c r="Q5" s="64">
        <v>-25900</v>
      </c>
    </row>
    <row r="6" spans="1:17">
      <c r="A6" s="19" t="s">
        <v>1</v>
      </c>
      <c r="B6" s="128">
        <f>IF(B$2=0,0,(B$7*1+B$8*2+B$9*3+B$10*4)/B$2)</f>
        <v>4</v>
      </c>
      <c r="C6" s="129"/>
      <c r="E6" s="33" t="s">
        <v>55</v>
      </c>
      <c r="F6" s="30" t="s">
        <v>155</v>
      </c>
      <c r="G6" s="13">
        <v>0</v>
      </c>
      <c r="H6" s="94">
        <f>IF(B$17=0,0,G6/B$17)</f>
        <v>0</v>
      </c>
      <c r="I6" s="56">
        <v>35</v>
      </c>
      <c r="N6" s="76" t="s">
        <v>106</v>
      </c>
      <c r="O6" s="83">
        <f t="shared" ref="O6" si="1">IF(P6=0,0,Q6/P6)</f>
        <v>0</v>
      </c>
      <c r="P6" s="80">
        <v>1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56</v>
      </c>
      <c r="F7" s="30" t="s">
        <v>185</v>
      </c>
      <c r="G7" s="13">
        <v>0</v>
      </c>
      <c r="H7" s="94">
        <f>IF(B$17=0,0,G7/B$17)</f>
        <v>0</v>
      </c>
      <c r="I7" s="56">
        <v>37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57</v>
      </c>
      <c r="F8" s="30" t="s">
        <v>21</v>
      </c>
      <c r="G8" s="13">
        <v>0</v>
      </c>
      <c r="H8" s="94">
        <f>IF(B$17=0,0,G8/B$17)</f>
        <v>0</v>
      </c>
      <c r="I8" s="56">
        <v>32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24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1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37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6</v>
      </c>
      <c r="N12" s="75" t="s">
        <v>126</v>
      </c>
      <c r="O12" s="85">
        <f>IF(P12=0,0,Q12/P12)</f>
        <v>-59.4</v>
      </c>
      <c r="P12" s="79">
        <v>1</v>
      </c>
      <c r="Q12" s="67">
        <v>-59.4</v>
      </c>
    </row>
    <row r="13" spans="1:17">
      <c r="A13" s="22" t="s">
        <v>97</v>
      </c>
      <c r="B13" s="15">
        <v>2</v>
      </c>
      <c r="C13" s="11">
        <f>IF(B$3=0,0,B13/B$3)</f>
        <v>0.11764705882352941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1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3</v>
      </c>
      <c r="C14" s="6">
        <f>IF(B$3=0,0,B14/B$3)</f>
        <v>0.17647058823529413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-46.5</v>
      </c>
      <c r="P14" s="80">
        <v>1</v>
      </c>
      <c r="Q14" s="68">
        <v>-46.5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9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</v>
      </c>
      <c r="C17" s="4">
        <f>IF(B$3=0,0,B17/B$3)</f>
        <v>5.8823529411764705E-2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8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</v>
      </c>
      <c r="C18" s="6">
        <f>IF(B$3=0,0,B18/B$3)</f>
        <v>0.17647058823529413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16</v>
      </c>
      <c r="N18" s="75" t="s">
        <v>203</v>
      </c>
      <c r="O18" s="85">
        <f>IF(P18=0,0,Q18/P18)</f>
        <v>-31.000000000000004</v>
      </c>
      <c r="P18" s="79">
        <v>2</v>
      </c>
      <c r="Q18" s="67">
        <v>-62.000000000000007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1</v>
      </c>
      <c r="N19" s="76" t="s">
        <v>191</v>
      </c>
      <c r="O19" s="86">
        <f>IF(P19=0,0,Q19/P19)</f>
        <v>-65.400000000000006</v>
      </c>
      <c r="P19" s="80">
        <v>2</v>
      </c>
      <c r="Q19" s="68">
        <v>-130.80000000000001</v>
      </c>
    </row>
    <row r="20" spans="1:17">
      <c r="A20" s="19" t="s">
        <v>11</v>
      </c>
      <c r="B20" s="13">
        <v>1</v>
      </c>
      <c r="C20" s="6">
        <f>IF(B$17=0,0,B20/B$17)</f>
        <v>1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8</v>
      </c>
      <c r="N20" s="76" t="s">
        <v>169</v>
      </c>
      <c r="O20" s="86">
        <f>IF(P20=0,0,Q20/P20)</f>
        <v>-115.4</v>
      </c>
      <c r="P20" s="80">
        <v>2</v>
      </c>
      <c r="Q20" s="68">
        <v>-230.8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14</v>
      </c>
    </row>
    <row r="23" spans="1:17">
      <c r="A23" s="19" t="s">
        <v>150</v>
      </c>
      <c r="B23" s="13">
        <v>1</v>
      </c>
      <c r="C23" s="6">
        <f>IF(B$17=0,0,B23/B$17)</f>
        <v>1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1300</v>
      </c>
      <c r="C24" s="8">
        <v>1300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1300</v>
      </c>
      <c r="C25" s="98">
        <v>1300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12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-4800</v>
      </c>
      <c r="C27" s="98">
        <v>-14400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5</v>
      </c>
    </row>
    <row r="28" spans="1:17">
      <c r="A28" s="19" t="s">
        <v>130</v>
      </c>
      <c r="B28" s="13">
        <v>1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16</v>
      </c>
    </row>
    <row r="29" spans="1:17">
      <c r="A29" s="19" t="s">
        <v>131</v>
      </c>
      <c r="B29" s="13">
        <v>13</v>
      </c>
      <c r="C29" s="96">
        <v>0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7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13500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1</v>
      </c>
      <c r="C35" s="102">
        <f t="shared" ref="C35:C47" si="3">IF(B$17=0,0,B35/B$17)</f>
        <v>1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36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F7D747-0A08-4794-BCD2-AC412C39C1FD}">
  <sheetPr codeName="Sheet2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205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</v>
      </c>
      <c r="C2" s="121"/>
      <c r="E2" s="32" t="s">
        <v>184</v>
      </c>
      <c r="F2" s="29" t="s">
        <v>187</v>
      </c>
      <c r="G2" s="12">
        <v>7</v>
      </c>
      <c r="H2" s="93">
        <f>IF(B$17=0,0,G2/B$17)</f>
        <v>0.58333333333333337</v>
      </c>
      <c r="I2" s="55">
        <v>6</v>
      </c>
      <c r="K2" s="3">
        <v>0</v>
      </c>
      <c r="L2" s="60">
        <v>0</v>
      </c>
      <c r="N2" s="75" t="s">
        <v>103</v>
      </c>
      <c r="O2" s="82">
        <f t="shared" ref="O2:O9" si="0">IF(P2=0,0,Q2/P2)</f>
        <v>125</v>
      </c>
      <c r="P2" s="79">
        <v>4</v>
      </c>
      <c r="Q2" s="63">
        <v>500</v>
      </c>
    </row>
    <row r="3" spans="1:17">
      <c r="A3" s="19" t="s">
        <v>8</v>
      </c>
      <c r="B3" s="122">
        <v>28</v>
      </c>
      <c r="C3" s="123"/>
      <c r="E3" s="33" t="s">
        <v>181</v>
      </c>
      <c r="F3" s="30" t="s">
        <v>156</v>
      </c>
      <c r="G3" s="13">
        <v>6</v>
      </c>
      <c r="H3" s="94">
        <f>IF(B$17=0,0,G3/B$17)</f>
        <v>0.5</v>
      </c>
      <c r="I3" s="56">
        <v>18</v>
      </c>
      <c r="K3" s="5">
        <v>1</v>
      </c>
      <c r="L3" s="61">
        <v>-18</v>
      </c>
      <c r="N3" s="76" t="s">
        <v>104</v>
      </c>
      <c r="O3" s="83">
        <f t="shared" si="0"/>
        <v>950</v>
      </c>
      <c r="P3" s="80">
        <v>4</v>
      </c>
      <c r="Q3" s="64">
        <v>3800</v>
      </c>
    </row>
    <row r="4" spans="1:17">
      <c r="A4" s="19" t="s">
        <v>6</v>
      </c>
      <c r="B4" s="124">
        <v>141.1</v>
      </c>
      <c r="C4" s="125"/>
      <c r="E4" s="33" t="s">
        <v>54</v>
      </c>
      <c r="F4" s="30" t="s">
        <v>20</v>
      </c>
      <c r="G4" s="13">
        <v>5</v>
      </c>
      <c r="H4" s="94">
        <f>IF(B$17=0,0,G4/B$17)</f>
        <v>0.41666666666666669</v>
      </c>
      <c r="I4" s="56">
        <v>25</v>
      </c>
      <c r="K4" s="5">
        <v>2</v>
      </c>
      <c r="L4" s="61">
        <v>7</v>
      </c>
      <c r="N4" s="76" t="s">
        <v>105</v>
      </c>
      <c r="O4" s="83">
        <f t="shared" si="0"/>
        <v>3650</v>
      </c>
      <c r="P4" s="80">
        <v>4</v>
      </c>
      <c r="Q4" s="64">
        <v>14600</v>
      </c>
    </row>
    <row r="5" spans="1:17">
      <c r="A5" s="19" t="s">
        <v>7</v>
      </c>
      <c r="B5" s="126">
        <f>IF(B$2=0,0,B$4/B$2)</f>
        <v>35.274999999999999</v>
      </c>
      <c r="C5" s="127"/>
      <c r="E5" s="33" t="s">
        <v>56</v>
      </c>
      <c r="F5" s="30" t="s">
        <v>185</v>
      </c>
      <c r="G5" s="13">
        <v>4</v>
      </c>
      <c r="H5" s="94">
        <f>IF(B$17=0,0,G5/B$17)</f>
        <v>0.33333333333333331</v>
      </c>
      <c r="I5" s="56">
        <v>13</v>
      </c>
      <c r="K5" s="5">
        <v>3</v>
      </c>
      <c r="L5" s="61">
        <v>63.9</v>
      </c>
      <c r="N5" s="76" t="s">
        <v>157</v>
      </c>
      <c r="O5" s="83">
        <f>IF(P5=0,0,Q5/P5)</f>
        <v>-700</v>
      </c>
      <c r="P5" s="80">
        <v>3</v>
      </c>
      <c r="Q5" s="64">
        <v>-2100</v>
      </c>
    </row>
    <row r="6" spans="1:17">
      <c r="A6" s="19" t="s">
        <v>1</v>
      </c>
      <c r="B6" s="128">
        <f>IF(B$2=0,0,(B$7*1+B$8*2+B$9*3+B$10*4)/B$2)</f>
        <v>1.75</v>
      </c>
      <c r="C6" s="129"/>
      <c r="E6" s="33" t="s">
        <v>57</v>
      </c>
      <c r="F6" s="30" t="s">
        <v>21</v>
      </c>
      <c r="G6" s="13">
        <v>4</v>
      </c>
      <c r="H6" s="94">
        <f>IF(B$17=0,0,G6/B$17)</f>
        <v>0.33333333333333331</v>
      </c>
      <c r="I6" s="56">
        <v>6</v>
      </c>
      <c r="K6" s="5">
        <v>4</v>
      </c>
      <c r="L6" s="61">
        <v>141.1</v>
      </c>
      <c r="N6" s="76" t="s">
        <v>106</v>
      </c>
      <c r="O6" s="83">
        <f t="shared" ref="O6" si="1">IF(P6=0,0,Q6/P6)</f>
        <v>3650</v>
      </c>
      <c r="P6" s="80">
        <v>2</v>
      </c>
      <c r="Q6" s="64">
        <v>7300</v>
      </c>
    </row>
    <row r="7" spans="1:17">
      <c r="A7" s="19" t="s">
        <v>2</v>
      </c>
      <c r="B7" s="13">
        <v>2</v>
      </c>
      <c r="C7" s="6">
        <f t="shared" ref="C7:C12" si="2">IF(B$2=0,0,B7/B$2)</f>
        <v>0.5</v>
      </c>
      <c r="E7" s="33" t="s">
        <v>182</v>
      </c>
      <c r="F7" s="30" t="s">
        <v>19</v>
      </c>
      <c r="G7" s="13">
        <v>2</v>
      </c>
      <c r="H7" s="94">
        <f>IF(B$17=0,0,G7/B$17)</f>
        <v>0.16666666666666666</v>
      </c>
      <c r="I7" s="56">
        <v>12</v>
      </c>
      <c r="N7" s="76" t="s">
        <v>107</v>
      </c>
      <c r="O7" s="83">
        <f t="shared" si="0"/>
        <v>33000</v>
      </c>
      <c r="P7" s="80">
        <v>1</v>
      </c>
      <c r="Q7" s="64">
        <v>33000</v>
      </c>
    </row>
    <row r="8" spans="1:17">
      <c r="A8" s="19" t="s">
        <v>3</v>
      </c>
      <c r="B8" s="13">
        <v>1</v>
      </c>
      <c r="C8" s="6">
        <f>IF(B$2=0,0,B8/B$2)</f>
        <v>0.25</v>
      </c>
      <c r="E8" s="33" t="s">
        <v>55</v>
      </c>
      <c r="F8" s="30" t="s">
        <v>155</v>
      </c>
      <c r="G8" s="13">
        <v>2</v>
      </c>
      <c r="H8" s="94">
        <f>IF(B$17=0,0,G8/B$17)</f>
        <v>0.16666666666666666</v>
      </c>
      <c r="I8" s="56">
        <v>26</v>
      </c>
      <c r="N8" s="76" t="s">
        <v>108</v>
      </c>
      <c r="O8" s="83">
        <f t="shared" si="0"/>
        <v>4000</v>
      </c>
      <c r="P8" s="80">
        <v>1</v>
      </c>
      <c r="Q8" s="64">
        <v>4000</v>
      </c>
    </row>
    <row r="9" spans="1:17">
      <c r="A9" s="20" t="s">
        <v>4</v>
      </c>
      <c r="B9" s="14">
        <v>1</v>
      </c>
      <c r="C9" s="7">
        <f>IF(B$2=0,0,B9/B$2)</f>
        <v>0.25</v>
      </c>
      <c r="E9" s="33" t="s">
        <v>60</v>
      </c>
      <c r="F9" s="30" t="s">
        <v>24</v>
      </c>
      <c r="G9" s="13">
        <v>2</v>
      </c>
      <c r="H9" s="94">
        <f>IF(B$17=0,0,G9/B$17)</f>
        <v>0.16666666666666666</v>
      </c>
      <c r="I9" s="56">
        <v>35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58</v>
      </c>
      <c r="F10" s="30" t="s">
        <v>22</v>
      </c>
      <c r="G10" s="13">
        <v>1</v>
      </c>
      <c r="H10" s="94">
        <f>IF(B$17=0,0,G10/B$17)</f>
        <v>8.3333333333333329E-2</v>
      </c>
      <c r="I10" s="56">
        <v>13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3</v>
      </c>
      <c r="C11" s="7">
        <f>IF(B$2=0,0,B11/B$2)</f>
        <v>0.75</v>
      </c>
      <c r="E11" s="33" t="s">
        <v>59</v>
      </c>
      <c r="F11" s="30" t="s">
        <v>23</v>
      </c>
      <c r="G11" s="13">
        <v>1</v>
      </c>
      <c r="H11" s="94">
        <f>IF(B$17=0,0,G11/B$17)</f>
        <v>8.3333333333333329E-2</v>
      </c>
      <c r="I11" s="56">
        <v>20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1</v>
      </c>
      <c r="H12" s="94">
        <f>IF(B$17=0,0,G12/B$17)</f>
        <v>8.3333333333333329E-2</v>
      </c>
      <c r="I12" s="56">
        <v>1</v>
      </c>
      <c r="N12" s="75" t="s">
        <v>126</v>
      </c>
      <c r="O12" s="85">
        <f>IF(P12=0,0,Q12/P12)</f>
        <v>38.699999999999996</v>
      </c>
      <c r="P12" s="79">
        <v>3</v>
      </c>
      <c r="Q12" s="67">
        <v>116.1</v>
      </c>
    </row>
    <row r="13" spans="1:17">
      <c r="A13" s="22" t="s">
        <v>97</v>
      </c>
      <c r="B13" s="15">
        <v>7</v>
      </c>
      <c r="C13" s="11">
        <f>IF(B$3=0,0,B13/B$3)</f>
        <v>0.25</v>
      </c>
      <c r="E13" s="33" t="s">
        <v>74</v>
      </c>
      <c r="F13" s="30" t="s">
        <v>38</v>
      </c>
      <c r="G13" s="13">
        <v>1</v>
      </c>
      <c r="H13" s="94">
        <f>IF(B$17=0,0,G13/B$17)</f>
        <v>8.3333333333333329E-2</v>
      </c>
      <c r="I13" s="56">
        <v>4</v>
      </c>
      <c r="N13" s="76" t="s">
        <v>127</v>
      </c>
      <c r="O13" s="86">
        <f>IF(P13=0,0,Q13/P13)</f>
        <v>25</v>
      </c>
      <c r="P13" s="80">
        <v>1</v>
      </c>
      <c r="Q13" s="68">
        <v>25</v>
      </c>
    </row>
    <row r="14" spans="1:17">
      <c r="A14" s="19" t="s">
        <v>94</v>
      </c>
      <c r="B14" s="13">
        <v>6</v>
      </c>
      <c r="C14" s="6">
        <f>IF(B$3=0,0,B14/B$3)</f>
        <v>0.21428571428571427</v>
      </c>
      <c r="E14" s="33" t="s">
        <v>80</v>
      </c>
      <c r="F14" s="30" t="s">
        <v>44</v>
      </c>
      <c r="G14" s="13">
        <v>1</v>
      </c>
      <c r="H14" s="94">
        <f>IF(B$17=0,0,G14/B$17)</f>
        <v>8.3333333333333329E-2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6</v>
      </c>
      <c r="C15" s="4">
        <f>IF(B$13=0,0,B15/B$13)</f>
        <v>0.8571428571428571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6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2</v>
      </c>
      <c r="C16" s="4">
        <f>IF(B$14=0,0,B16/B$14)</f>
        <v>0.33333333333333331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12</v>
      </c>
      <c r="C17" s="4">
        <f>IF(B$3=0,0,B17/B$3)</f>
        <v>0.42857142857142855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</v>
      </c>
      <c r="C18" s="6">
        <f>IF(B$3=0,0,B18/B$3)</f>
        <v>0.10714285714285714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208</v>
      </c>
      <c r="O18" s="85">
        <f t="shared" ref="O18:O24" si="3">IF(P18=0,0,Q18/P18)</f>
        <v>106.5</v>
      </c>
      <c r="P18" s="79">
        <v>1</v>
      </c>
      <c r="Q18" s="67">
        <v>106.5</v>
      </c>
    </row>
    <row r="19" spans="1:17">
      <c r="A19" s="19" t="s">
        <v>12</v>
      </c>
      <c r="B19" s="13">
        <v>5</v>
      </c>
      <c r="C19" s="6">
        <f>IF(B$17=0,0,B19/B$17)</f>
        <v>0.41666666666666669</v>
      </c>
      <c r="E19" s="33" t="s">
        <v>66</v>
      </c>
      <c r="F19" s="30" t="s">
        <v>30</v>
      </c>
      <c r="G19" s="13">
        <v>0</v>
      </c>
      <c r="H19" s="94">
        <f>IF(B$17=0,0,G19/B$17)</f>
        <v>0</v>
      </c>
      <c r="I19" s="56">
        <v>9</v>
      </c>
      <c r="N19" s="76" t="s">
        <v>168</v>
      </c>
      <c r="O19" s="86">
        <f t="shared" si="3"/>
        <v>102.4</v>
      </c>
      <c r="P19" s="80">
        <v>1</v>
      </c>
      <c r="Q19" s="68">
        <v>102.4</v>
      </c>
    </row>
    <row r="20" spans="1:17">
      <c r="A20" s="19" t="s">
        <v>11</v>
      </c>
      <c r="B20" s="13">
        <v>7</v>
      </c>
      <c r="C20" s="6">
        <f>IF(B$17=0,0,B20/B$17)</f>
        <v>0.58333333333333337</v>
      </c>
      <c r="E20" s="33" t="s">
        <v>67</v>
      </c>
      <c r="F20" s="30" t="s">
        <v>31</v>
      </c>
      <c r="G20" s="13">
        <v>0</v>
      </c>
      <c r="H20" s="94">
        <f>IF(B$17=0,0,G20/B$17)</f>
        <v>0</v>
      </c>
      <c r="I20" s="56">
        <v>8</v>
      </c>
      <c r="N20" s="76" t="s">
        <v>203</v>
      </c>
      <c r="O20" s="86">
        <f t="shared" si="3"/>
        <v>84</v>
      </c>
      <c r="P20" s="80">
        <v>1</v>
      </c>
      <c r="Q20" s="68">
        <v>84</v>
      </c>
    </row>
    <row r="21" spans="1:17">
      <c r="A21" s="19" t="s">
        <v>151</v>
      </c>
      <c r="B21" s="13">
        <v>6</v>
      </c>
      <c r="C21" s="6">
        <f>IF(B$17=0,0,B21/B$17)</f>
        <v>0.5</v>
      </c>
      <c r="E21" s="33" t="s">
        <v>183</v>
      </c>
      <c r="F21" s="30" t="s">
        <v>186</v>
      </c>
      <c r="G21" s="13">
        <v>0</v>
      </c>
      <c r="H21" s="94">
        <f>IF(B$17=0,0,G21/B$17)</f>
        <v>0</v>
      </c>
      <c r="I21" s="56">
        <v>16</v>
      </c>
      <c r="N21" s="76" t="s">
        <v>195</v>
      </c>
      <c r="O21" s="86">
        <f t="shared" si="3"/>
        <v>66.05</v>
      </c>
      <c r="P21" s="80">
        <v>4</v>
      </c>
      <c r="Q21" s="68">
        <v>264.2</v>
      </c>
    </row>
    <row r="22" spans="1:17">
      <c r="A22" s="19" t="s">
        <v>149</v>
      </c>
      <c r="B22" s="13">
        <v>2</v>
      </c>
      <c r="C22" s="6">
        <f>IF(B$17=0,0,B22/B$17)</f>
        <v>0.16666666666666666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1</v>
      </c>
      <c r="N22" s="76" t="s">
        <v>179</v>
      </c>
      <c r="O22" s="86">
        <f t="shared" si="3"/>
        <v>53</v>
      </c>
      <c r="P22" s="80">
        <v>2</v>
      </c>
      <c r="Q22" s="68">
        <v>106</v>
      </c>
    </row>
    <row r="23" spans="1:17">
      <c r="A23" s="19" t="s">
        <v>150</v>
      </c>
      <c r="B23" s="13">
        <v>4</v>
      </c>
      <c r="C23" s="6">
        <f>IF(B$17=0,0,B23/B$17)</f>
        <v>0.33333333333333331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8</v>
      </c>
      <c r="N23" s="76" t="s">
        <v>164</v>
      </c>
      <c r="O23" s="86">
        <f t="shared" si="3"/>
        <v>-20.599999999999998</v>
      </c>
      <c r="P23" s="80">
        <v>2</v>
      </c>
      <c r="Q23" s="68">
        <v>-41.199999999999996</v>
      </c>
    </row>
    <row r="24" spans="1:17">
      <c r="A24" s="19" t="s">
        <v>5</v>
      </c>
      <c r="B24" s="16">
        <f>IF(B$17=0,0,C24/B$17)</f>
        <v>8333.3333333333339</v>
      </c>
      <c r="C24" s="8">
        <v>100000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191</v>
      </c>
      <c r="O24" s="86">
        <f t="shared" si="3"/>
        <v>-47.5</v>
      </c>
      <c r="P24" s="80">
        <v>1</v>
      </c>
      <c r="Q24" s="68">
        <v>-47.5</v>
      </c>
    </row>
    <row r="25" spans="1:17">
      <c r="A25" s="20" t="s">
        <v>133</v>
      </c>
      <c r="B25" s="97">
        <f>IF($B$17-B$16=0,0,C25/($B$17-B$16))</f>
        <v>9560</v>
      </c>
      <c r="C25" s="98">
        <v>95600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14</v>
      </c>
    </row>
    <row r="26" spans="1:17">
      <c r="A26" s="20" t="s">
        <v>134</v>
      </c>
      <c r="B26" s="97">
        <f>IF(B$16=0,0,C26/B$16)</f>
        <v>2200</v>
      </c>
      <c r="C26" s="98">
        <v>4400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-9466.6666666666661</v>
      </c>
      <c r="C27" s="98">
        <v>-28400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</row>
    <row r="28" spans="1:17">
      <c r="A28" s="19" t="s">
        <v>130</v>
      </c>
      <c r="B28" s="13">
        <v>5</v>
      </c>
      <c r="C28" s="96">
        <v>2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17</v>
      </c>
      <c r="C29" s="96">
        <v>6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5</v>
      </c>
    </row>
    <row r="30" spans="1:17">
      <c r="A30" s="52" t="s">
        <v>111</v>
      </c>
      <c r="B30" s="114">
        <v>3</v>
      </c>
      <c r="C30" s="115"/>
      <c r="E30" s="33" t="s">
        <v>77</v>
      </c>
      <c r="F30" s="30" t="s">
        <v>41</v>
      </c>
      <c r="G30" s="13">
        <v>0</v>
      </c>
      <c r="H30" s="94">
        <f>IF(B$17=0,0,G30/B$17)</f>
        <v>0</v>
      </c>
      <c r="I30" s="56">
        <v>16</v>
      </c>
    </row>
    <row r="31" spans="1:17">
      <c r="A31" s="22" t="s">
        <v>148</v>
      </c>
      <c r="B31" s="116">
        <v>57200</v>
      </c>
      <c r="C31" s="117"/>
      <c r="E31" s="33" t="s">
        <v>78</v>
      </c>
      <c r="F31" s="30" t="s">
        <v>42</v>
      </c>
      <c r="G31" s="13">
        <v>0</v>
      </c>
      <c r="H31" s="94">
        <f>IF(B$17=0,0,G31/B$17)</f>
        <v>0</v>
      </c>
      <c r="I31" s="56">
        <v>7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79</v>
      </c>
      <c r="F32" s="30" t="s">
        <v>43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8.3333333333333329E-2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4"/>
        <v>0.16666666666666666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4</v>
      </c>
      <c r="C37" s="6">
        <f t="shared" si="4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8.3333333333333329E-2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4"/>
        <v>0.16666666666666666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8.3333333333333329E-2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1</v>
      </c>
      <c r="C47" s="9">
        <f t="shared" si="4"/>
        <v>8.3333333333333329E-2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A3AB9B-ACC7-41C9-90AD-B7EED1F61941}">
  <sheetPr codeName="Sheet24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208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</v>
      </c>
      <c r="C2" s="121"/>
      <c r="E2" s="32" t="s">
        <v>181</v>
      </c>
      <c r="F2" s="29" t="s">
        <v>156</v>
      </c>
      <c r="G2" s="12">
        <v>0</v>
      </c>
      <c r="H2" s="93">
        <f>IF(B$17=0,0,G2/B$17)</f>
        <v>0</v>
      </c>
      <c r="I2" s="55">
        <v>37</v>
      </c>
      <c r="K2" s="3">
        <v>0</v>
      </c>
      <c r="L2" s="60">
        <v>0</v>
      </c>
      <c r="N2" s="75" t="s">
        <v>103</v>
      </c>
      <c r="O2" s="82">
        <f t="shared" ref="O2:O9" si="0">IF(P2=0,0,Q2/P2)</f>
        <v>-1833.3333333333333</v>
      </c>
      <c r="P2" s="79">
        <v>3</v>
      </c>
      <c r="Q2" s="63">
        <v>-5500</v>
      </c>
    </row>
    <row r="3" spans="1:17">
      <c r="A3" s="19" t="s">
        <v>8</v>
      </c>
      <c r="B3" s="122">
        <v>23</v>
      </c>
      <c r="C3" s="123"/>
      <c r="E3" s="33" t="s">
        <v>182</v>
      </c>
      <c r="F3" s="30" t="s">
        <v>19</v>
      </c>
      <c r="G3" s="13">
        <v>0</v>
      </c>
      <c r="H3" s="94">
        <f>IF(B$17=0,0,G3/B$17)</f>
        <v>0</v>
      </c>
      <c r="I3" s="56">
        <v>27</v>
      </c>
      <c r="K3" s="5">
        <v>1</v>
      </c>
      <c r="L3" s="61">
        <v>-53.1</v>
      </c>
      <c r="N3" s="76" t="s">
        <v>104</v>
      </c>
      <c r="O3" s="83">
        <f t="shared" si="0"/>
        <v>166.66666666666666</v>
      </c>
      <c r="P3" s="80">
        <v>3</v>
      </c>
      <c r="Q3" s="64">
        <v>500</v>
      </c>
    </row>
    <row r="4" spans="1:17">
      <c r="A4" s="19" t="s">
        <v>6</v>
      </c>
      <c r="B4" s="124">
        <v>-132.69999999999999</v>
      </c>
      <c r="C4" s="125"/>
      <c r="E4" s="33" t="s">
        <v>54</v>
      </c>
      <c r="F4" s="30" t="s">
        <v>20</v>
      </c>
      <c r="G4" s="13">
        <v>0</v>
      </c>
      <c r="H4" s="94">
        <f>IF(B$17=0,0,G4/B$17)</f>
        <v>0</v>
      </c>
      <c r="I4" s="56">
        <v>34</v>
      </c>
      <c r="K4" s="5">
        <v>2</v>
      </c>
      <c r="L4" s="61">
        <v>-82.4</v>
      </c>
      <c r="N4" s="76" t="s">
        <v>105</v>
      </c>
      <c r="O4" s="83">
        <f t="shared" si="0"/>
        <v>-833.33333333333337</v>
      </c>
      <c r="P4" s="80">
        <v>3</v>
      </c>
      <c r="Q4" s="64">
        <v>-2500</v>
      </c>
    </row>
    <row r="5" spans="1:17">
      <c r="A5" s="19" t="s">
        <v>7</v>
      </c>
      <c r="B5" s="126">
        <f>IF(B$2=0,0,B$4/B$2)</f>
        <v>-44.233333333333327</v>
      </c>
      <c r="C5" s="127"/>
      <c r="E5" s="33" t="s">
        <v>55</v>
      </c>
      <c r="F5" s="30" t="s">
        <v>155</v>
      </c>
      <c r="G5" s="13">
        <v>0</v>
      </c>
      <c r="H5" s="94">
        <f>IF(B$17=0,0,G5/B$17)</f>
        <v>0</v>
      </c>
      <c r="I5" s="56">
        <v>35</v>
      </c>
      <c r="K5" s="5">
        <v>3</v>
      </c>
      <c r="L5" s="61">
        <v>-132.69999999999999</v>
      </c>
      <c r="N5" s="76" t="s">
        <v>157</v>
      </c>
      <c r="O5" s="83">
        <f>IF(P5=0,0,Q5/P5)</f>
        <v>-7633.333333333333</v>
      </c>
      <c r="P5" s="80">
        <v>3</v>
      </c>
      <c r="Q5" s="64">
        <v>-22900</v>
      </c>
    </row>
    <row r="6" spans="1:17">
      <c r="A6" s="19" t="s">
        <v>1</v>
      </c>
      <c r="B6" s="128">
        <f>IF(B$2=0,0,(B$7*1+B$8*2+B$9*3+B$10*4)/B$2)</f>
        <v>3.6666666666666665</v>
      </c>
      <c r="C6" s="129"/>
      <c r="E6" s="33" t="s">
        <v>56</v>
      </c>
      <c r="F6" s="30" t="s">
        <v>185</v>
      </c>
      <c r="G6" s="13">
        <v>0</v>
      </c>
      <c r="H6" s="94">
        <f>IF(B$17=0,0,G6/B$17)</f>
        <v>0</v>
      </c>
      <c r="I6" s="56">
        <v>37</v>
      </c>
      <c r="N6" s="76" t="s">
        <v>106</v>
      </c>
      <c r="O6" s="83">
        <f t="shared" ref="O6" si="1">IF(P6=0,0,Q6/P6)</f>
        <v>-1700</v>
      </c>
      <c r="P6" s="80">
        <v>2</v>
      </c>
      <c r="Q6" s="64">
        <v>-3400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0</v>
      </c>
      <c r="H7" s="94">
        <f>IF(B$17=0,0,G7/B$17)</f>
        <v>0</v>
      </c>
      <c r="I7" s="56">
        <v>32</v>
      </c>
      <c r="N7" s="76" t="s">
        <v>107</v>
      </c>
      <c r="O7" s="83">
        <f t="shared" si="0"/>
        <v>-4000</v>
      </c>
      <c r="P7" s="80">
        <v>2</v>
      </c>
      <c r="Q7" s="64">
        <v>-8000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>IF(B$17=0,0,G8/B$17)</f>
        <v>0</v>
      </c>
      <c r="I8" s="56">
        <v>24</v>
      </c>
      <c r="N8" s="76" t="s">
        <v>108</v>
      </c>
      <c r="O8" s="83">
        <f t="shared" si="0"/>
        <v>-2950</v>
      </c>
      <c r="P8" s="80">
        <v>2</v>
      </c>
      <c r="Q8" s="64">
        <v>-5900</v>
      </c>
    </row>
    <row r="9" spans="1:17">
      <c r="A9" s="20" t="s">
        <v>4</v>
      </c>
      <c r="B9" s="14">
        <v>1</v>
      </c>
      <c r="C9" s="7">
        <f>IF(B$2=0,0,B9/B$2)</f>
        <v>0.33333333333333331</v>
      </c>
      <c r="E9" s="33" t="s">
        <v>59</v>
      </c>
      <c r="F9" s="30" t="s">
        <v>23</v>
      </c>
      <c r="G9" s="13">
        <v>0</v>
      </c>
      <c r="H9" s="94">
        <f>IF(B$17=0,0,G9/B$17)</f>
        <v>0</v>
      </c>
      <c r="I9" s="56">
        <v>26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0.66666666666666663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37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6</v>
      </c>
      <c r="N12" s="75" t="s">
        <v>126</v>
      </c>
      <c r="O12" s="85">
        <f>IF(P12=0,0,Q12/P12)</f>
        <v>-50.3</v>
      </c>
      <c r="P12" s="79">
        <v>1</v>
      </c>
      <c r="Q12" s="67">
        <v>-50.3</v>
      </c>
    </row>
    <row r="13" spans="1:17">
      <c r="A13" s="22" t="s">
        <v>97</v>
      </c>
      <c r="B13" s="15">
        <v>1</v>
      </c>
      <c r="C13" s="11">
        <f>IF(B$3=0,0,B13/B$3)</f>
        <v>4.3478260869565216E-2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1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-41.2</v>
      </c>
      <c r="P14" s="80">
        <v>2</v>
      </c>
      <c r="Q14" s="68">
        <v>-82.4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9</v>
      </c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8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5</v>
      </c>
      <c r="C18" s="6">
        <f>IF(B$3=0,0,B18/B$3)</f>
        <v>0.21739130434782608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16</v>
      </c>
      <c r="N18" s="75" t="s">
        <v>168</v>
      </c>
      <c r="O18" s="85">
        <f t="shared" ref="O18:O23" si="3">IF(P18=0,0,Q18/P18)</f>
        <v>-28.900000000000002</v>
      </c>
      <c r="P18" s="79">
        <v>1</v>
      </c>
      <c r="Q18" s="67">
        <v>-28.900000000000002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1</v>
      </c>
      <c r="N19" s="76" t="s">
        <v>179</v>
      </c>
      <c r="O19" s="86">
        <f t="shared" si="3"/>
        <v>-43.300000000000004</v>
      </c>
      <c r="P19" s="80">
        <v>3</v>
      </c>
      <c r="Q19" s="68">
        <v>-129.9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8</v>
      </c>
      <c r="N20" s="76" t="s">
        <v>195</v>
      </c>
      <c r="O20" s="86">
        <f t="shared" si="3"/>
        <v>-45.5</v>
      </c>
      <c r="P20" s="80">
        <v>2</v>
      </c>
      <c r="Q20" s="68">
        <v>-91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  <c r="N21" s="76" t="s">
        <v>191</v>
      </c>
      <c r="O21" s="86">
        <f t="shared" si="3"/>
        <v>-51.3</v>
      </c>
      <c r="P21" s="80">
        <v>1</v>
      </c>
      <c r="Q21" s="68">
        <v>-51.3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14</v>
      </c>
      <c r="N22" s="76" t="s">
        <v>205</v>
      </c>
      <c r="O22" s="86">
        <f t="shared" si="3"/>
        <v>-106.5</v>
      </c>
      <c r="P22" s="80">
        <v>1</v>
      </c>
      <c r="Q22" s="68">
        <v>-106.5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  <c r="N23" s="76" t="s">
        <v>169</v>
      </c>
      <c r="O23" s="86">
        <f t="shared" si="3"/>
        <v>-123.2</v>
      </c>
      <c r="P23" s="80">
        <v>1</v>
      </c>
      <c r="Q23" s="68">
        <v>-123.2</v>
      </c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12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-6340</v>
      </c>
      <c r="C27" s="98">
        <v>-31700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5</v>
      </c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16</v>
      </c>
    </row>
    <row r="29" spans="1:17">
      <c r="A29" s="19" t="s">
        <v>131</v>
      </c>
      <c r="B29" s="13">
        <v>8</v>
      </c>
      <c r="C29" s="96">
        <v>0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7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10700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36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0B27E2-2CEC-48B8-9844-7BFD38F49926}">
  <sheetPr codeName="Sheet2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213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10</v>
      </c>
      <c r="C2" s="121"/>
      <c r="E2" s="32" t="s">
        <v>181</v>
      </c>
      <c r="F2" s="29" t="s">
        <v>156</v>
      </c>
      <c r="G2" s="12">
        <v>6</v>
      </c>
      <c r="H2" s="93">
        <f>IF(B$17=0,0,G2/B$17)</f>
        <v>0.75</v>
      </c>
      <c r="I2" s="55">
        <v>6</v>
      </c>
      <c r="K2" s="3">
        <v>0</v>
      </c>
      <c r="L2" s="60">
        <v>0</v>
      </c>
      <c r="N2" s="75" t="s">
        <v>103</v>
      </c>
      <c r="O2" s="82">
        <f t="shared" ref="O2:O9" si="0">IF(P2=0,0,Q2/P2)</f>
        <v>1530</v>
      </c>
      <c r="P2" s="79">
        <v>10</v>
      </c>
      <c r="Q2" s="63">
        <v>15300</v>
      </c>
    </row>
    <row r="3" spans="1:17">
      <c r="A3" s="19" t="s">
        <v>8</v>
      </c>
      <c r="B3" s="122">
        <v>54</v>
      </c>
      <c r="C3" s="123"/>
      <c r="E3" s="33" t="s">
        <v>57</v>
      </c>
      <c r="F3" s="30" t="s">
        <v>21</v>
      </c>
      <c r="G3" s="13">
        <v>6</v>
      </c>
      <c r="H3" s="94">
        <f>IF(B$17=0,0,G3/B$17)</f>
        <v>0.75</v>
      </c>
      <c r="I3" s="56">
        <v>1</v>
      </c>
      <c r="K3" s="5">
        <v>1</v>
      </c>
      <c r="L3" s="61">
        <v>-19.5</v>
      </c>
      <c r="N3" s="76" t="s">
        <v>104</v>
      </c>
      <c r="O3" s="83">
        <f t="shared" si="0"/>
        <v>160</v>
      </c>
      <c r="P3" s="80">
        <v>10</v>
      </c>
      <c r="Q3" s="64">
        <v>1600</v>
      </c>
    </row>
    <row r="4" spans="1:17">
      <c r="A4" s="19" t="s">
        <v>6</v>
      </c>
      <c r="B4" s="124">
        <v>-116.70000000000002</v>
      </c>
      <c r="C4" s="125"/>
      <c r="E4" s="33" t="s">
        <v>184</v>
      </c>
      <c r="F4" s="30" t="s">
        <v>187</v>
      </c>
      <c r="G4" s="13">
        <v>5</v>
      </c>
      <c r="H4" s="94">
        <f>IF(B$17=0,0,G4/B$17)</f>
        <v>0.625</v>
      </c>
      <c r="I4" s="56">
        <v>4</v>
      </c>
      <c r="K4" s="5">
        <v>2</v>
      </c>
      <c r="L4" s="61">
        <v>-12.1</v>
      </c>
      <c r="N4" s="76" t="s">
        <v>105</v>
      </c>
      <c r="O4" s="83">
        <f t="shared" si="0"/>
        <v>-1340</v>
      </c>
      <c r="P4" s="80">
        <v>10</v>
      </c>
      <c r="Q4" s="64">
        <v>-13400</v>
      </c>
    </row>
    <row r="5" spans="1:17">
      <c r="A5" s="19" t="s">
        <v>7</v>
      </c>
      <c r="B5" s="126">
        <f>IF(B$2=0,0,B$4/B$2)</f>
        <v>-11.670000000000002</v>
      </c>
      <c r="C5" s="127"/>
      <c r="E5" s="33" t="s">
        <v>54</v>
      </c>
      <c r="F5" s="30" t="s">
        <v>20</v>
      </c>
      <c r="G5" s="13">
        <v>4</v>
      </c>
      <c r="H5" s="94">
        <f>IF(B$17=0,0,G5/B$17)</f>
        <v>0.5</v>
      </c>
      <c r="I5" s="56">
        <v>20</v>
      </c>
      <c r="K5" s="5">
        <v>3</v>
      </c>
      <c r="L5" s="61">
        <v>-2.5999999999999996</v>
      </c>
      <c r="N5" s="76" t="s">
        <v>157</v>
      </c>
      <c r="O5" s="83">
        <f>IF(P5=0,0,Q5/P5)</f>
        <v>-3222.2222222222222</v>
      </c>
      <c r="P5" s="80">
        <v>9</v>
      </c>
      <c r="Q5" s="64">
        <v>-29000</v>
      </c>
    </row>
    <row r="6" spans="1:17">
      <c r="A6" s="19" t="s">
        <v>1</v>
      </c>
      <c r="B6" s="128">
        <f>IF(B$2=0,0,(B$7*1+B$8*2+B$9*3+B$10*4)/B$2)</f>
        <v>2.7</v>
      </c>
      <c r="C6" s="129"/>
      <c r="E6" s="33" t="s">
        <v>56</v>
      </c>
      <c r="F6" s="30" t="s">
        <v>185</v>
      </c>
      <c r="G6" s="13">
        <v>3</v>
      </c>
      <c r="H6" s="94">
        <f>IF(B$17=0,0,G6/B$17)</f>
        <v>0.375</v>
      </c>
      <c r="I6" s="56">
        <v>10</v>
      </c>
      <c r="K6" s="5">
        <v>4</v>
      </c>
      <c r="L6" s="61">
        <v>0</v>
      </c>
      <c r="N6" s="76" t="s">
        <v>106</v>
      </c>
      <c r="O6" s="83">
        <f t="shared" ref="O6" si="1">IF(P6=0,0,Q6/P6)</f>
        <v>-300</v>
      </c>
      <c r="P6" s="80">
        <v>4</v>
      </c>
      <c r="Q6" s="64">
        <v>-1200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59</v>
      </c>
      <c r="F7" s="30" t="s">
        <v>23</v>
      </c>
      <c r="G7" s="13">
        <v>3</v>
      </c>
      <c r="H7" s="94">
        <f>IF(B$17=0,0,G7/B$17)</f>
        <v>0.375</v>
      </c>
      <c r="I7" s="56">
        <v>2</v>
      </c>
      <c r="K7" s="5">
        <v>5</v>
      </c>
      <c r="L7" s="61">
        <v>-54.9</v>
      </c>
      <c r="N7" s="76" t="s">
        <v>107</v>
      </c>
      <c r="O7" s="83">
        <f t="shared" si="0"/>
        <v>0</v>
      </c>
      <c r="P7" s="80">
        <v>1</v>
      </c>
      <c r="Q7" s="64">
        <v>0</v>
      </c>
    </row>
    <row r="8" spans="1:17">
      <c r="A8" s="19" t="s">
        <v>3</v>
      </c>
      <c r="B8" s="13">
        <v>5</v>
      </c>
      <c r="C8" s="6">
        <f>IF(B$2=0,0,B8/B$2)</f>
        <v>0.5</v>
      </c>
      <c r="E8" s="33" t="s">
        <v>55</v>
      </c>
      <c r="F8" s="30" t="s">
        <v>155</v>
      </c>
      <c r="G8" s="13">
        <v>2</v>
      </c>
      <c r="H8" s="94">
        <f>IF(B$17=0,0,G8/B$17)</f>
        <v>0.25</v>
      </c>
      <c r="I8" s="56">
        <v>13</v>
      </c>
      <c r="K8" s="5">
        <v>6</v>
      </c>
      <c r="L8" s="61">
        <v>-98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3</v>
      </c>
      <c r="C9" s="7">
        <f>IF(B$2=0,0,B9/B$2)</f>
        <v>0.3</v>
      </c>
      <c r="E9" s="33" t="s">
        <v>60</v>
      </c>
      <c r="F9" s="30" t="s">
        <v>24</v>
      </c>
      <c r="G9" s="13">
        <v>2</v>
      </c>
      <c r="H9" s="94">
        <f>IF(B$17=0,0,G9/B$17)</f>
        <v>0.25</v>
      </c>
      <c r="I9" s="56">
        <v>29</v>
      </c>
      <c r="K9" s="5">
        <v>7</v>
      </c>
      <c r="L9" s="61">
        <v>-93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0.2</v>
      </c>
      <c r="E10" s="33" t="s">
        <v>58</v>
      </c>
      <c r="F10" s="30" t="s">
        <v>22</v>
      </c>
      <c r="G10" s="13">
        <v>1</v>
      </c>
      <c r="H10" s="94">
        <f>IF(B$17=0,0,G10/B$17)</f>
        <v>0.125</v>
      </c>
      <c r="I10" s="56">
        <v>6</v>
      </c>
      <c r="K10" s="5">
        <v>8</v>
      </c>
      <c r="L10" s="61">
        <v>-78.2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</v>
      </c>
      <c r="C11" s="7">
        <f>IF(B$2=0,0,B11/B$2)</f>
        <v>0.5</v>
      </c>
      <c r="E11" s="33" t="s">
        <v>182</v>
      </c>
      <c r="F11" s="30" t="s">
        <v>19</v>
      </c>
      <c r="G11" s="13">
        <v>0</v>
      </c>
      <c r="H11" s="94">
        <f>IF(B$17=0,0,G11/B$17)</f>
        <v>0</v>
      </c>
      <c r="I11" s="56">
        <v>27</v>
      </c>
      <c r="K11" s="5">
        <v>9</v>
      </c>
      <c r="L11" s="61">
        <v>-99.300000000000011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5</v>
      </c>
      <c r="K12" s="5">
        <v>10</v>
      </c>
      <c r="L12" s="61">
        <v>-116.70000000000002</v>
      </c>
      <c r="N12" s="75" t="s">
        <v>126</v>
      </c>
      <c r="O12" s="85">
        <f>IF(P12=0,0,Q12/P12)</f>
        <v>7.4</v>
      </c>
      <c r="P12" s="79">
        <v>1</v>
      </c>
      <c r="Q12" s="67">
        <v>7.4</v>
      </c>
    </row>
    <row r="13" spans="1:17">
      <c r="A13" s="22" t="s">
        <v>97</v>
      </c>
      <c r="B13" s="15">
        <v>12</v>
      </c>
      <c r="C13" s="11">
        <f>IF(B$3=0,0,B13/B$3)</f>
        <v>0.22222222222222221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6</v>
      </c>
      <c r="N13" s="76" t="s">
        <v>127</v>
      </c>
      <c r="O13" s="86">
        <f>IF(P13=0,0,Q13/P13)</f>
        <v>-13.466666666666667</v>
      </c>
      <c r="P13" s="80">
        <v>3</v>
      </c>
      <c r="Q13" s="68">
        <v>-40.4</v>
      </c>
    </row>
    <row r="14" spans="1:17">
      <c r="A14" s="19" t="s">
        <v>94</v>
      </c>
      <c r="B14" s="13">
        <v>2</v>
      </c>
      <c r="C14" s="6">
        <f>IF(B$3=0,0,B14/B$3)</f>
        <v>3.7037037037037035E-2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-20.25</v>
      </c>
      <c r="P14" s="80">
        <v>2</v>
      </c>
      <c r="Q14" s="68">
        <v>-40.5</v>
      </c>
    </row>
    <row r="15" spans="1:17">
      <c r="A15" s="18" t="s">
        <v>99</v>
      </c>
      <c r="B15" s="12">
        <f>B21</f>
        <v>6</v>
      </c>
      <c r="C15" s="4">
        <f>IF(B$13=0,0,B15/B$13)</f>
        <v>0.5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-10.8</v>
      </c>
      <c r="P15" s="81">
        <v>4</v>
      </c>
      <c r="Q15" s="69">
        <v>-43.2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8</v>
      </c>
      <c r="C17" s="4">
        <f>IF(B$3=0,0,B17/B$3)</f>
        <v>0.14814814814814814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6</v>
      </c>
      <c r="C18" s="6">
        <f>IF(B$3=0,0,B18/B$3)</f>
        <v>0.1111111111111111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8</v>
      </c>
      <c r="N18" s="75" t="s">
        <v>269</v>
      </c>
      <c r="O18" s="85">
        <f t="shared" ref="O18:O28" si="3">IF(P18=0,0,Q18/P18)</f>
        <v>30</v>
      </c>
      <c r="P18" s="79">
        <v>1</v>
      </c>
      <c r="Q18" s="67">
        <v>30</v>
      </c>
    </row>
    <row r="19" spans="1:17">
      <c r="A19" s="19" t="s">
        <v>12</v>
      </c>
      <c r="B19" s="13">
        <v>3</v>
      </c>
      <c r="C19" s="6">
        <f>IF(B$17=0,0,B19/B$17)</f>
        <v>0.375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16</v>
      </c>
      <c r="N19" s="76" t="s">
        <v>227</v>
      </c>
      <c r="O19" s="86">
        <f t="shared" si="3"/>
        <v>27.900000000000002</v>
      </c>
      <c r="P19" s="80">
        <v>2</v>
      </c>
      <c r="Q19" s="68">
        <v>55.800000000000004</v>
      </c>
    </row>
    <row r="20" spans="1:17">
      <c r="A20" s="19" t="s">
        <v>11</v>
      </c>
      <c r="B20" s="13">
        <v>5</v>
      </c>
      <c r="C20" s="6">
        <f>IF(B$17=0,0,B20/B$17)</f>
        <v>0.625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1</v>
      </c>
      <c r="N20" s="76" t="s">
        <v>216</v>
      </c>
      <c r="O20" s="86">
        <f t="shared" si="3"/>
        <v>9.2750000000000004</v>
      </c>
      <c r="P20" s="80">
        <v>4</v>
      </c>
      <c r="Q20" s="68">
        <v>37.1</v>
      </c>
    </row>
    <row r="21" spans="1:17">
      <c r="A21" s="19" t="s">
        <v>151</v>
      </c>
      <c r="B21" s="13">
        <v>6</v>
      </c>
      <c r="C21" s="6">
        <f>IF(B$17=0,0,B21/B$17)</f>
        <v>0.75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8</v>
      </c>
      <c r="N21" s="76" t="s">
        <v>195</v>
      </c>
      <c r="O21" s="86">
        <f t="shared" si="3"/>
        <v>8.4571428571428537</v>
      </c>
      <c r="P21" s="80">
        <v>7</v>
      </c>
      <c r="Q21" s="68">
        <v>59.199999999999982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223</v>
      </c>
      <c r="O22" s="86">
        <f t="shared" si="3"/>
        <v>-5.25</v>
      </c>
      <c r="P22" s="80">
        <v>2</v>
      </c>
      <c r="Q22" s="68">
        <v>-10.5</v>
      </c>
    </row>
    <row r="23" spans="1:17">
      <c r="A23" s="19" t="s">
        <v>150</v>
      </c>
      <c r="B23" s="13">
        <v>2</v>
      </c>
      <c r="C23" s="6">
        <f>IF(B$17=0,0,B23/B$17)</f>
        <v>0.25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14</v>
      </c>
      <c r="N23" s="76" t="s">
        <v>265</v>
      </c>
      <c r="O23" s="86">
        <f t="shared" si="3"/>
        <v>-20.099999999999998</v>
      </c>
      <c r="P23" s="80">
        <v>1</v>
      </c>
      <c r="Q23" s="68">
        <v>-20.099999999999998</v>
      </c>
    </row>
    <row r="24" spans="1:17">
      <c r="A24" s="19" t="s">
        <v>5</v>
      </c>
      <c r="B24" s="16">
        <f>IF(B$17=0,0,C24/B$17)</f>
        <v>6962.5</v>
      </c>
      <c r="C24" s="8">
        <v>55700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161</v>
      </c>
      <c r="O24" s="86">
        <f t="shared" si="3"/>
        <v>-32.56666666666667</v>
      </c>
      <c r="P24" s="80">
        <v>3</v>
      </c>
      <c r="Q24" s="68">
        <v>-97.7</v>
      </c>
    </row>
    <row r="25" spans="1:17">
      <c r="A25" s="20" t="s">
        <v>133</v>
      </c>
      <c r="B25" s="97">
        <f>IF($B$17-B$16=0,0,C25/($B$17-B$16))</f>
        <v>6962.5</v>
      </c>
      <c r="C25" s="98">
        <v>55700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  <c r="N25" s="76" t="s">
        <v>169</v>
      </c>
      <c r="O25" s="86">
        <f t="shared" si="3"/>
        <v>-37.4</v>
      </c>
      <c r="P25" s="80">
        <v>6</v>
      </c>
      <c r="Q25" s="68">
        <v>-224.39999999999998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12</v>
      </c>
      <c r="N26" s="76" t="s">
        <v>228</v>
      </c>
      <c r="O26" s="86">
        <f t="shared" si="3"/>
        <v>-64.599999999999994</v>
      </c>
      <c r="P26" s="80">
        <v>2</v>
      </c>
      <c r="Q26" s="68">
        <v>-129.19999999999999</v>
      </c>
    </row>
    <row r="27" spans="1:17">
      <c r="A27" s="20" t="s">
        <v>132</v>
      </c>
      <c r="B27" s="97">
        <f>IF(B$18=0,0,C27/B$18)</f>
        <v>-5966.666666666667</v>
      </c>
      <c r="C27" s="98">
        <v>-35800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268</v>
      </c>
      <c r="O27" s="86">
        <f t="shared" si="3"/>
        <v>-69.5</v>
      </c>
      <c r="P27" s="80">
        <v>1</v>
      </c>
      <c r="Q27" s="68">
        <v>-69.5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5</v>
      </c>
      <c r="N28" s="76" t="s">
        <v>162</v>
      </c>
      <c r="O28" s="86">
        <f t="shared" si="3"/>
        <v>-87.5</v>
      </c>
      <c r="P28" s="80">
        <v>1</v>
      </c>
      <c r="Q28" s="68">
        <v>-87.5</v>
      </c>
    </row>
    <row r="29" spans="1:17">
      <c r="A29" s="19" t="s">
        <v>131</v>
      </c>
      <c r="B29" s="13">
        <v>14</v>
      </c>
      <c r="C29" s="96">
        <v>10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16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7</v>
      </c>
    </row>
    <row r="31" spans="1:17">
      <c r="A31" s="22" t="s">
        <v>148</v>
      </c>
      <c r="B31" s="116">
        <v>34800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1</v>
      </c>
      <c r="C32" s="9">
        <f>IF(B$3=0,0,B32/B$3)</f>
        <v>1.8518518518518517E-2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4"/>
        <v>0.125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4"/>
        <v>0.125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4</v>
      </c>
      <c r="C38" s="6">
        <f t="shared" si="4"/>
        <v>0.5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4"/>
        <v>0.125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0.125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179343-62F2-41A9-AE4B-A6095C6CA329}">
  <sheetPr codeName="Sheet2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215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60</v>
      </c>
      <c r="F2" s="29" t="s">
        <v>24</v>
      </c>
      <c r="G2" s="12">
        <v>2</v>
      </c>
      <c r="H2" s="93">
        <f>IF(B$17=0,0,G2/B$17)</f>
        <v>2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-3900</v>
      </c>
      <c r="P2" s="79">
        <v>1</v>
      </c>
      <c r="Q2" s="63">
        <v>-3900</v>
      </c>
    </row>
    <row r="3" spans="1:17">
      <c r="A3" s="19" t="s">
        <v>8</v>
      </c>
      <c r="B3" s="122">
        <v>6</v>
      </c>
      <c r="C3" s="123"/>
      <c r="E3" s="33" t="s">
        <v>181</v>
      </c>
      <c r="F3" s="30" t="s">
        <v>156</v>
      </c>
      <c r="G3" s="13">
        <v>0</v>
      </c>
      <c r="H3" s="94">
        <f>IF(B$17=0,0,G3/B$17)</f>
        <v>0</v>
      </c>
      <c r="I3" s="56">
        <v>37</v>
      </c>
      <c r="K3" s="5">
        <v>1</v>
      </c>
      <c r="L3" s="61">
        <v>-14.4</v>
      </c>
      <c r="N3" s="76" t="s">
        <v>104</v>
      </c>
      <c r="O3" s="83">
        <f t="shared" si="0"/>
        <v>0</v>
      </c>
      <c r="P3" s="80">
        <v>1</v>
      </c>
      <c r="Q3" s="64">
        <v>0</v>
      </c>
    </row>
    <row r="4" spans="1:17">
      <c r="A4" s="19" t="s">
        <v>6</v>
      </c>
      <c r="B4" s="124">
        <v>-14.4</v>
      </c>
      <c r="C4" s="125"/>
      <c r="E4" s="33" t="s">
        <v>182</v>
      </c>
      <c r="F4" s="30" t="s">
        <v>19</v>
      </c>
      <c r="G4" s="13">
        <v>0</v>
      </c>
      <c r="H4" s="94">
        <f>IF(B$17=0,0,G4/B$17)</f>
        <v>0</v>
      </c>
      <c r="I4" s="56">
        <v>27</v>
      </c>
      <c r="N4" s="76" t="s">
        <v>105</v>
      </c>
      <c r="O4" s="83">
        <f t="shared" si="0"/>
        <v>4500</v>
      </c>
      <c r="P4" s="80">
        <v>1</v>
      </c>
      <c r="Q4" s="64">
        <v>4500</v>
      </c>
    </row>
    <row r="5" spans="1:17">
      <c r="A5" s="19" t="s">
        <v>7</v>
      </c>
      <c r="B5" s="126">
        <f>IF(B$2=0,0,B$4/B$2)</f>
        <v>-14.4</v>
      </c>
      <c r="C5" s="127"/>
      <c r="E5" s="33" t="s">
        <v>54</v>
      </c>
      <c r="F5" s="30" t="s">
        <v>20</v>
      </c>
      <c r="G5" s="13">
        <v>0</v>
      </c>
      <c r="H5" s="94">
        <f>IF(B$17=0,0,G5/B$17)</f>
        <v>0</v>
      </c>
      <c r="I5" s="56">
        <v>34</v>
      </c>
      <c r="N5" s="76" t="s">
        <v>157</v>
      </c>
      <c r="O5" s="83">
        <f>IF(P5=0,0,Q5/P5)</f>
        <v>0</v>
      </c>
      <c r="P5" s="80">
        <v>1</v>
      </c>
      <c r="Q5" s="64">
        <v>0</v>
      </c>
    </row>
    <row r="6" spans="1:17">
      <c r="A6" s="19" t="s">
        <v>1</v>
      </c>
      <c r="B6" s="128">
        <f>IF(B$2=0,0,(B$7*1+B$8*2+B$9*3+B$10*4)/B$2)</f>
        <v>3</v>
      </c>
      <c r="C6" s="129"/>
      <c r="E6" s="33" t="s">
        <v>55</v>
      </c>
      <c r="F6" s="30" t="s">
        <v>155</v>
      </c>
      <c r="G6" s="13">
        <v>0</v>
      </c>
      <c r="H6" s="94">
        <f>IF(B$17=0,0,G6/B$17)</f>
        <v>0</v>
      </c>
      <c r="I6" s="56">
        <v>35</v>
      </c>
      <c r="N6" s="76" t="s">
        <v>106</v>
      </c>
      <c r="O6" s="83">
        <f t="shared" ref="O6" si="1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56</v>
      </c>
      <c r="F7" s="30" t="s">
        <v>185</v>
      </c>
      <c r="G7" s="13">
        <v>0</v>
      </c>
      <c r="H7" s="94">
        <f>IF(B$17=0,0,G7/B$17)</f>
        <v>0</v>
      </c>
      <c r="I7" s="56">
        <v>37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57</v>
      </c>
      <c r="F8" s="30" t="s">
        <v>21</v>
      </c>
      <c r="G8" s="13">
        <v>0</v>
      </c>
      <c r="H8" s="94">
        <f>IF(B$17=0,0,G8/B$17)</f>
        <v>0</v>
      </c>
      <c r="I8" s="56">
        <v>32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1</v>
      </c>
      <c r="C9" s="7">
        <f>IF(B$2=0,0,B9/B$2)</f>
        <v>1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24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26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6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2</v>
      </c>
      <c r="C13" s="11">
        <f>IF(B$3=0,0,B13/B$3)</f>
        <v>0.33333333333333331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1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1</v>
      </c>
      <c r="C14" s="6">
        <f>IF(B$3=0,0,B14/B$3)</f>
        <v>0.16666666666666666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-14.4</v>
      </c>
      <c r="P14" s="80">
        <v>1</v>
      </c>
      <c r="Q14" s="68">
        <v>-14.4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1</v>
      </c>
      <c r="C16" s="4">
        <f>IF(B$14=0,0,B16/B$14)</f>
        <v>1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9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</v>
      </c>
      <c r="C17" s="4">
        <f>IF(B$3=0,0,B17/B$3)</f>
        <v>0.16666666666666666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8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</v>
      </c>
      <c r="C18" s="6">
        <f>IF(B$3=0,0,B18/B$3)</f>
        <v>0.16666666666666666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16</v>
      </c>
      <c r="N18" s="75" t="s">
        <v>216</v>
      </c>
      <c r="O18" s="85">
        <f>IF(P18=0,0,Q18/P18)</f>
        <v>33.200000000000003</v>
      </c>
      <c r="P18" s="79">
        <v>1</v>
      </c>
      <c r="Q18" s="67">
        <v>33.200000000000003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1</v>
      </c>
      <c r="N19" s="76" t="s">
        <v>195</v>
      </c>
      <c r="O19" s="86">
        <f>IF(P19=0,0,Q19/P19)</f>
        <v>-24.4</v>
      </c>
      <c r="P19" s="80">
        <v>1</v>
      </c>
      <c r="Q19" s="68">
        <v>-24.4</v>
      </c>
    </row>
    <row r="20" spans="1:17">
      <c r="A20" s="19" t="s">
        <v>11</v>
      </c>
      <c r="B20" s="13">
        <v>1</v>
      </c>
      <c r="C20" s="6">
        <f>IF(B$17=0,0,B20/B$17)</f>
        <v>1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8</v>
      </c>
      <c r="N20" s="76" t="s">
        <v>169</v>
      </c>
      <c r="O20" s="86">
        <f>IF(P20=0,0,Q20/P20)</f>
        <v>-66.400000000000006</v>
      </c>
      <c r="P20" s="80">
        <v>1</v>
      </c>
      <c r="Q20" s="68">
        <v>-66.400000000000006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1</v>
      </c>
      <c r="C22" s="6">
        <f>IF(B$17=0,0,B22/B$17)</f>
        <v>1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14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3900</v>
      </c>
      <c r="C24" s="8">
        <v>3900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12</v>
      </c>
    </row>
    <row r="26" spans="1:17">
      <c r="A26" s="20" t="s">
        <v>134</v>
      </c>
      <c r="B26" s="97">
        <f>IF(B$16=0,0,C26/B$16)</f>
        <v>3900</v>
      </c>
      <c r="C26" s="98">
        <v>3900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-3900</v>
      </c>
      <c r="C27" s="98">
        <v>-3900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5</v>
      </c>
    </row>
    <row r="28" spans="1:17">
      <c r="A28" s="19" t="s">
        <v>130</v>
      </c>
      <c r="B28" s="13">
        <v>1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16</v>
      </c>
    </row>
    <row r="29" spans="1:17">
      <c r="A29" s="19" t="s">
        <v>131</v>
      </c>
      <c r="B29" s="13">
        <v>5</v>
      </c>
      <c r="C29" s="96">
        <v>5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7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25600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3"/>
        <v>1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36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B1EBAE-F48A-4F82-BE2B-8CC5B77A7243}">
  <sheetPr codeName="Sheet2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216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27</v>
      </c>
      <c r="C2" s="121"/>
      <c r="E2" s="32" t="s">
        <v>184</v>
      </c>
      <c r="F2" s="29" t="s">
        <v>187</v>
      </c>
      <c r="G2" s="12">
        <v>21</v>
      </c>
      <c r="H2" s="93">
        <f>IF(B$17=0,0,G2/B$17)</f>
        <v>0.77777777777777779</v>
      </c>
      <c r="I2" s="55">
        <v>2</v>
      </c>
      <c r="K2" s="3">
        <v>0</v>
      </c>
      <c r="L2" s="60">
        <v>0</v>
      </c>
      <c r="N2" s="75" t="s">
        <v>103</v>
      </c>
      <c r="O2" s="82">
        <f t="shared" ref="O2:O9" si="0">IF(P2=0,0,Q2/P2)</f>
        <v>796.2962962962963</v>
      </c>
      <c r="P2" s="79">
        <v>27</v>
      </c>
      <c r="Q2" s="63">
        <v>21500</v>
      </c>
    </row>
    <row r="3" spans="1:17">
      <c r="A3" s="19" t="s">
        <v>8</v>
      </c>
      <c r="B3" s="122">
        <v>179</v>
      </c>
      <c r="C3" s="123"/>
      <c r="E3" s="33" t="s">
        <v>181</v>
      </c>
      <c r="F3" s="30" t="s">
        <v>156</v>
      </c>
      <c r="G3" s="13">
        <v>17</v>
      </c>
      <c r="H3" s="94">
        <f>IF(B$17=0,0,G3/B$17)</f>
        <v>0.62962962962962965</v>
      </c>
      <c r="I3" s="56">
        <v>11</v>
      </c>
      <c r="K3" s="5">
        <v>1</v>
      </c>
      <c r="L3" s="61">
        <v>-47.6</v>
      </c>
      <c r="N3" s="76" t="s">
        <v>104</v>
      </c>
      <c r="O3" s="83">
        <f t="shared" si="0"/>
        <v>592.59259259259261</v>
      </c>
      <c r="P3" s="80">
        <v>27</v>
      </c>
      <c r="Q3" s="64">
        <v>16000</v>
      </c>
    </row>
    <row r="4" spans="1:17">
      <c r="A4" s="19" t="s">
        <v>6</v>
      </c>
      <c r="B4" s="124">
        <v>-133.59999999999997</v>
      </c>
      <c r="C4" s="125"/>
      <c r="E4" s="33" t="s">
        <v>54</v>
      </c>
      <c r="F4" s="30" t="s">
        <v>20</v>
      </c>
      <c r="G4" s="13">
        <v>13</v>
      </c>
      <c r="H4" s="94">
        <f>IF(B$17=0,0,G4/B$17)</f>
        <v>0.48148148148148145</v>
      </c>
      <c r="I4" s="56">
        <v>22</v>
      </c>
      <c r="K4" s="5">
        <v>2</v>
      </c>
      <c r="L4" s="61">
        <v>-102</v>
      </c>
      <c r="N4" s="76" t="s">
        <v>105</v>
      </c>
      <c r="O4" s="83">
        <f t="shared" si="0"/>
        <v>-3100</v>
      </c>
      <c r="P4" s="80">
        <v>25</v>
      </c>
      <c r="Q4" s="64">
        <v>-77500</v>
      </c>
    </row>
    <row r="5" spans="1:17">
      <c r="A5" s="19" t="s">
        <v>7</v>
      </c>
      <c r="B5" s="126">
        <f>IF(B$2=0,0,B$4/B$2)</f>
        <v>-4.9481481481481469</v>
      </c>
      <c r="C5" s="127"/>
      <c r="E5" s="33" t="s">
        <v>55</v>
      </c>
      <c r="F5" s="30" t="s">
        <v>155</v>
      </c>
      <c r="G5" s="13">
        <v>12</v>
      </c>
      <c r="H5" s="94">
        <f>IF(B$17=0,0,G5/B$17)</f>
        <v>0.44444444444444442</v>
      </c>
      <c r="I5" s="56">
        <v>6</v>
      </c>
      <c r="K5" s="5">
        <v>3</v>
      </c>
      <c r="L5" s="61">
        <v>-97.3</v>
      </c>
      <c r="N5" s="76" t="s">
        <v>157</v>
      </c>
      <c r="O5" s="83">
        <f>IF(P5=0,0,Q5/P5)</f>
        <v>-523.80952380952385</v>
      </c>
      <c r="P5" s="80">
        <v>21</v>
      </c>
      <c r="Q5" s="64">
        <v>-11000</v>
      </c>
    </row>
    <row r="6" spans="1:17">
      <c r="A6" s="19" t="s">
        <v>1</v>
      </c>
      <c r="B6" s="128">
        <f>IF(B$2=0,0,(B$7*1+B$8*2+B$9*3+B$10*4)/B$2)</f>
        <v>2.6296296296296298</v>
      </c>
      <c r="C6" s="129"/>
      <c r="E6" s="33" t="s">
        <v>60</v>
      </c>
      <c r="F6" s="30" t="s">
        <v>24</v>
      </c>
      <c r="G6" s="13">
        <v>12</v>
      </c>
      <c r="H6" s="94">
        <f>IF(B$17=0,0,G6/B$17)</f>
        <v>0.44444444444444442</v>
      </c>
      <c r="I6" s="56">
        <v>13</v>
      </c>
      <c r="K6" s="5">
        <v>4</v>
      </c>
      <c r="L6" s="61">
        <v>-144.4</v>
      </c>
      <c r="N6" s="76" t="s">
        <v>106</v>
      </c>
      <c r="O6" s="83">
        <f t="shared" ref="O6" si="1">IF(P6=0,0,Q6/P6)</f>
        <v>-3018.181818181818</v>
      </c>
      <c r="P6" s="80">
        <v>11</v>
      </c>
      <c r="Q6" s="64">
        <v>-33200</v>
      </c>
    </row>
    <row r="7" spans="1:17">
      <c r="A7" s="19" t="s">
        <v>2</v>
      </c>
      <c r="B7" s="13">
        <v>7</v>
      </c>
      <c r="C7" s="6">
        <f t="shared" ref="C7:C12" si="2">IF(B$2=0,0,B7/B$2)</f>
        <v>0.25925925925925924</v>
      </c>
      <c r="E7" s="33" t="s">
        <v>56</v>
      </c>
      <c r="F7" s="30" t="s">
        <v>185</v>
      </c>
      <c r="G7" s="13">
        <v>7</v>
      </c>
      <c r="H7" s="94">
        <f>IF(B$17=0,0,G7/B$17)</f>
        <v>0.25925925925925924</v>
      </c>
      <c r="I7" s="56">
        <v>20</v>
      </c>
      <c r="K7" s="5">
        <v>5</v>
      </c>
      <c r="L7" s="61">
        <v>-133.4</v>
      </c>
      <c r="N7" s="76" t="s">
        <v>107</v>
      </c>
      <c r="O7" s="83">
        <f t="shared" si="0"/>
        <v>-3220</v>
      </c>
      <c r="P7" s="80">
        <v>5</v>
      </c>
      <c r="Q7" s="64">
        <v>-16100</v>
      </c>
    </row>
    <row r="8" spans="1:17">
      <c r="A8" s="19" t="s">
        <v>3</v>
      </c>
      <c r="B8" s="13">
        <v>4</v>
      </c>
      <c r="C8" s="6">
        <f>IF(B$2=0,0,B8/B$2)</f>
        <v>0.14814814814814814</v>
      </c>
      <c r="E8" s="33" t="s">
        <v>57</v>
      </c>
      <c r="F8" s="30" t="s">
        <v>21</v>
      </c>
      <c r="G8" s="13">
        <v>7</v>
      </c>
      <c r="H8" s="94">
        <f>IF(B$17=0,0,G8/B$17)</f>
        <v>0.25925925925925924</v>
      </c>
      <c r="I8" s="56">
        <v>13</v>
      </c>
      <c r="K8" s="5">
        <v>6</v>
      </c>
      <c r="L8" s="61">
        <v>-76.900000000000006</v>
      </c>
      <c r="N8" s="76" t="s">
        <v>108</v>
      </c>
      <c r="O8" s="83">
        <f t="shared" si="0"/>
        <v>0</v>
      </c>
      <c r="P8" s="80">
        <v>2</v>
      </c>
      <c r="Q8" s="64">
        <v>0</v>
      </c>
    </row>
    <row r="9" spans="1:17">
      <c r="A9" s="20" t="s">
        <v>4</v>
      </c>
      <c r="B9" s="14">
        <v>8</v>
      </c>
      <c r="C9" s="7">
        <f>IF(B$2=0,0,B9/B$2)</f>
        <v>0.29629629629629628</v>
      </c>
      <c r="E9" s="33" t="s">
        <v>77</v>
      </c>
      <c r="F9" s="30" t="s">
        <v>41</v>
      </c>
      <c r="G9" s="13">
        <v>4</v>
      </c>
      <c r="H9" s="94">
        <f>IF(B$17=0,0,G9/B$17)</f>
        <v>0.14814814814814814</v>
      </c>
      <c r="I9" s="56">
        <v>4</v>
      </c>
      <c r="K9" s="5">
        <v>7</v>
      </c>
      <c r="L9" s="61">
        <v>-101.5</v>
      </c>
      <c r="N9" s="77" t="s">
        <v>158</v>
      </c>
      <c r="O9" s="84">
        <f t="shared" si="0"/>
        <v>-1000</v>
      </c>
      <c r="P9" s="81">
        <v>1</v>
      </c>
      <c r="Q9" s="65">
        <v>-1000</v>
      </c>
    </row>
    <row r="10" spans="1:17">
      <c r="A10" s="20" t="s">
        <v>152</v>
      </c>
      <c r="B10" s="14">
        <v>8</v>
      </c>
      <c r="C10" s="7">
        <f>IF(B$2=0,0,B10/B$2)</f>
        <v>0.29629629629629628</v>
      </c>
      <c r="E10" s="33" t="s">
        <v>182</v>
      </c>
      <c r="F10" s="30" t="s">
        <v>19</v>
      </c>
      <c r="G10" s="13">
        <v>2</v>
      </c>
      <c r="H10" s="94">
        <f>IF(B$17=0,0,G10/B$17)</f>
        <v>7.407407407407407E-2</v>
      </c>
      <c r="I10" s="56">
        <v>20</v>
      </c>
      <c r="K10" s="5">
        <v>8</v>
      </c>
      <c r="L10" s="61">
        <v>-123.6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11</v>
      </c>
      <c r="C11" s="7">
        <f>IF(B$2=0,0,B11/B$2)</f>
        <v>0.40740740740740738</v>
      </c>
      <c r="E11" s="33" t="s">
        <v>59</v>
      </c>
      <c r="F11" s="30" t="s">
        <v>23</v>
      </c>
      <c r="G11" s="13">
        <v>2</v>
      </c>
      <c r="H11" s="94">
        <f>IF(B$17=0,0,G11/B$17)</f>
        <v>7.407407407407407E-2</v>
      </c>
      <c r="I11" s="56">
        <v>21</v>
      </c>
      <c r="K11" s="5">
        <v>9</v>
      </c>
      <c r="L11" s="61">
        <v>-192.89999999999998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3.7037037037037035E-2</v>
      </c>
      <c r="E12" s="33" t="s">
        <v>58</v>
      </c>
      <c r="F12" s="30" t="s">
        <v>22</v>
      </c>
      <c r="G12" s="13">
        <v>1</v>
      </c>
      <c r="H12" s="94">
        <f>IF(B$17=0,0,G12/B$17)</f>
        <v>3.7037037037037035E-2</v>
      </c>
      <c r="I12" s="56">
        <v>22</v>
      </c>
      <c r="K12" s="5">
        <v>10</v>
      </c>
      <c r="L12" s="61">
        <v>-213.49999999999997</v>
      </c>
      <c r="N12" s="75" t="s">
        <v>126</v>
      </c>
      <c r="O12" s="85">
        <f>IF(P12=0,0,Q12/P12)</f>
        <v>-16.260000000000002</v>
      </c>
      <c r="P12" s="79">
        <v>10</v>
      </c>
      <c r="Q12" s="67">
        <v>-162.60000000000002</v>
      </c>
    </row>
    <row r="13" spans="1:17">
      <c r="A13" s="22" t="s">
        <v>97</v>
      </c>
      <c r="B13" s="15">
        <v>33</v>
      </c>
      <c r="C13" s="11">
        <f>IF(B$3=0,0,B13/B$3)</f>
        <v>0.18435754189944134</v>
      </c>
      <c r="E13" s="33" t="s">
        <v>61</v>
      </c>
      <c r="F13" s="30" t="s">
        <v>25</v>
      </c>
      <c r="G13" s="13">
        <v>1</v>
      </c>
      <c r="H13" s="94">
        <f>IF(B$17=0,0,G13/B$17)</f>
        <v>3.7037037037037035E-2</v>
      </c>
      <c r="I13" s="56">
        <v>3</v>
      </c>
      <c r="K13" s="5">
        <v>11</v>
      </c>
      <c r="L13" s="61">
        <v>-208.09999999999997</v>
      </c>
      <c r="N13" s="76" t="s">
        <v>127</v>
      </c>
      <c r="O13" s="86">
        <f>IF(P13=0,0,Q13/P13)</f>
        <v>3.1999999999999993</v>
      </c>
      <c r="P13" s="80">
        <v>2</v>
      </c>
      <c r="Q13" s="68">
        <v>6.3999999999999986</v>
      </c>
    </row>
    <row r="14" spans="1:17">
      <c r="A14" s="19" t="s">
        <v>94</v>
      </c>
      <c r="B14" s="13">
        <v>26</v>
      </c>
      <c r="C14" s="6">
        <f>IF(B$3=0,0,B14/B$3)</f>
        <v>0.14525139664804471</v>
      </c>
      <c r="E14" s="33" t="s">
        <v>183</v>
      </c>
      <c r="F14" s="30" t="s">
        <v>186</v>
      </c>
      <c r="G14" s="13">
        <v>1</v>
      </c>
      <c r="H14" s="94">
        <f>IF(B$17=0,0,G14/B$17)</f>
        <v>3.7037037037037035E-2</v>
      </c>
      <c r="I14" s="56">
        <v>13</v>
      </c>
      <c r="K14" s="5">
        <v>12</v>
      </c>
      <c r="L14" s="61">
        <v>-265.09999999999997</v>
      </c>
      <c r="N14" s="76" t="s">
        <v>128</v>
      </c>
      <c r="O14" s="86">
        <f>IF(P14=0,0,Q14/P14)</f>
        <v>17.133333333333336</v>
      </c>
      <c r="P14" s="80">
        <v>9</v>
      </c>
      <c r="Q14" s="68">
        <v>154.20000000000002</v>
      </c>
    </row>
    <row r="15" spans="1:17">
      <c r="A15" s="18" t="s">
        <v>99</v>
      </c>
      <c r="B15" s="12">
        <f>B21</f>
        <v>17</v>
      </c>
      <c r="C15" s="4">
        <f>IF(B$13=0,0,B15/B$13)</f>
        <v>0.51515151515151514</v>
      </c>
      <c r="E15" s="33" t="s">
        <v>74</v>
      </c>
      <c r="F15" s="30" t="s">
        <v>38</v>
      </c>
      <c r="G15" s="13">
        <v>1</v>
      </c>
      <c r="H15" s="94">
        <f>IF(B$17=0,0,G15/B$17)</f>
        <v>3.7037037037037035E-2</v>
      </c>
      <c r="I15" s="56">
        <v>10</v>
      </c>
      <c r="K15" s="5">
        <v>13</v>
      </c>
      <c r="L15" s="61">
        <v>-253.39999999999998</v>
      </c>
      <c r="N15" s="77" t="s">
        <v>159</v>
      </c>
      <c r="O15" s="87">
        <f>IF(P15=0,0,Q15/P15)</f>
        <v>-21.933333333333337</v>
      </c>
      <c r="P15" s="81">
        <v>6</v>
      </c>
      <c r="Q15" s="69">
        <v>-131.60000000000002</v>
      </c>
    </row>
    <row r="16" spans="1:17">
      <c r="A16" s="18" t="s">
        <v>100</v>
      </c>
      <c r="B16" s="12">
        <f>B22</f>
        <v>9</v>
      </c>
      <c r="C16" s="4">
        <f>IF(B$14=0,0,B16/B$14)</f>
        <v>0.34615384615384615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6</v>
      </c>
      <c r="K16" s="5">
        <v>14</v>
      </c>
      <c r="L16" s="61">
        <v>-282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27</v>
      </c>
      <c r="C17" s="4">
        <f>IF(B$3=0,0,B17/B$3)</f>
        <v>0.15083798882681565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1</v>
      </c>
      <c r="K17" s="5">
        <v>15</v>
      </c>
      <c r="L17" s="61">
        <v>-332.4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24</v>
      </c>
      <c r="C18" s="6">
        <f>IF(B$3=0,0,B18/B$3)</f>
        <v>0.13407821229050279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K18" s="5">
        <v>16</v>
      </c>
      <c r="L18" s="61">
        <v>-279.7</v>
      </c>
      <c r="N18" s="75" t="s">
        <v>255</v>
      </c>
      <c r="O18" s="85">
        <f t="shared" ref="O18:O32" si="3">IF(P18=0,0,Q18/P18)</f>
        <v>116</v>
      </c>
      <c r="P18" s="79">
        <v>1</v>
      </c>
      <c r="Q18" s="67">
        <v>116</v>
      </c>
    </row>
    <row r="19" spans="1:17">
      <c r="A19" s="19" t="s">
        <v>12</v>
      </c>
      <c r="B19" s="13">
        <v>12</v>
      </c>
      <c r="C19" s="6">
        <f>IF(B$17=0,0,B19/B$17)</f>
        <v>0.44444444444444442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-213</v>
      </c>
      <c r="N19" s="76" t="s">
        <v>238</v>
      </c>
      <c r="O19" s="86">
        <f t="shared" si="3"/>
        <v>39.633333333333347</v>
      </c>
      <c r="P19" s="80">
        <v>6</v>
      </c>
      <c r="Q19" s="68">
        <v>237.8000000000001</v>
      </c>
    </row>
    <row r="20" spans="1:17">
      <c r="A20" s="19" t="s">
        <v>11</v>
      </c>
      <c r="B20" s="13">
        <v>15</v>
      </c>
      <c r="C20" s="6">
        <f>IF(B$17=0,0,B20/B$17)</f>
        <v>0.55555555555555558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9</v>
      </c>
      <c r="K20" s="5">
        <v>18</v>
      </c>
      <c r="L20" s="61">
        <v>-238.7</v>
      </c>
      <c r="N20" s="76" t="s">
        <v>241</v>
      </c>
      <c r="O20" s="86">
        <f t="shared" si="3"/>
        <v>26.440000000000005</v>
      </c>
      <c r="P20" s="80">
        <v>5</v>
      </c>
      <c r="Q20" s="68">
        <v>132.20000000000002</v>
      </c>
    </row>
    <row r="21" spans="1:17">
      <c r="A21" s="19" t="s">
        <v>151</v>
      </c>
      <c r="B21" s="13">
        <v>17</v>
      </c>
      <c r="C21" s="6">
        <f>IF(B$17=0,0,B21/B$17)</f>
        <v>0.62962962962962965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8</v>
      </c>
      <c r="K21" s="5">
        <v>19</v>
      </c>
      <c r="L21" s="61">
        <v>-181.79999999999998</v>
      </c>
      <c r="N21" s="76" t="s">
        <v>227</v>
      </c>
      <c r="O21" s="86">
        <f t="shared" si="3"/>
        <v>17.387500000000003</v>
      </c>
      <c r="P21" s="80">
        <v>8</v>
      </c>
      <c r="Q21" s="68">
        <v>139.10000000000002</v>
      </c>
    </row>
    <row r="22" spans="1:17">
      <c r="A22" s="19" t="s">
        <v>149</v>
      </c>
      <c r="B22" s="13">
        <v>9</v>
      </c>
      <c r="C22" s="6">
        <f>IF(B$17=0,0,B22/B$17)</f>
        <v>0.33333333333333331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1</v>
      </c>
      <c r="K22" s="5">
        <v>20</v>
      </c>
      <c r="L22" s="61">
        <v>-228.59999999999997</v>
      </c>
      <c r="N22" s="76" t="s">
        <v>228</v>
      </c>
      <c r="O22" s="86">
        <f t="shared" si="3"/>
        <v>17.033333333333331</v>
      </c>
      <c r="P22" s="80">
        <v>6</v>
      </c>
      <c r="Q22" s="68">
        <v>102.19999999999999</v>
      </c>
    </row>
    <row r="23" spans="1:17">
      <c r="A23" s="19" t="s">
        <v>150</v>
      </c>
      <c r="B23" s="13">
        <v>1</v>
      </c>
      <c r="C23" s="6">
        <f>IF(B$17=0,0,B23/B$17)</f>
        <v>3.7037037037037035E-2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8</v>
      </c>
      <c r="K23" s="5">
        <v>21</v>
      </c>
      <c r="L23" s="61">
        <v>-145.89999999999998</v>
      </c>
      <c r="N23" s="76" t="s">
        <v>235</v>
      </c>
      <c r="O23" s="86">
        <f t="shared" si="3"/>
        <v>4.3000000000000016</v>
      </c>
      <c r="P23" s="80">
        <v>3</v>
      </c>
      <c r="Q23" s="68">
        <v>12.900000000000006</v>
      </c>
    </row>
    <row r="24" spans="1:17">
      <c r="A24" s="19" t="s">
        <v>5</v>
      </c>
      <c r="B24" s="16">
        <f>IF(B$17=0,0,C24/B$17)</f>
        <v>8496.2962962962956</v>
      </c>
      <c r="C24" s="8">
        <v>229400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-172.49999999999997</v>
      </c>
      <c r="N24" s="76" t="s">
        <v>223</v>
      </c>
      <c r="O24" s="86">
        <f t="shared" si="3"/>
        <v>3.2500000000000036</v>
      </c>
      <c r="P24" s="80">
        <v>4</v>
      </c>
      <c r="Q24" s="68">
        <v>13.000000000000014</v>
      </c>
    </row>
    <row r="25" spans="1:17">
      <c r="A25" s="20" t="s">
        <v>133</v>
      </c>
      <c r="B25" s="97">
        <f>IF($B$17-B$16=0,0,C25/($B$17-B$16))</f>
        <v>8750</v>
      </c>
      <c r="C25" s="98">
        <v>157500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14</v>
      </c>
      <c r="K25" s="5">
        <v>23</v>
      </c>
      <c r="L25" s="61">
        <v>-178.79999999999998</v>
      </c>
      <c r="N25" s="76" t="s">
        <v>244</v>
      </c>
      <c r="O25" s="86">
        <f t="shared" si="3"/>
        <v>0.59999999999999942</v>
      </c>
      <c r="P25" s="80">
        <v>7</v>
      </c>
      <c r="Q25" s="68">
        <v>4.1999999999999957</v>
      </c>
    </row>
    <row r="26" spans="1:17">
      <c r="A26" s="20" t="s">
        <v>134</v>
      </c>
      <c r="B26" s="97">
        <f>IF(B$16=0,0,C26/B$16)</f>
        <v>7988.8888888888887</v>
      </c>
      <c r="C26" s="98">
        <v>71900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K26" s="5">
        <v>24</v>
      </c>
      <c r="L26" s="61">
        <v>-125.59999999999998</v>
      </c>
      <c r="N26" s="76" t="s">
        <v>213</v>
      </c>
      <c r="O26" s="86">
        <f t="shared" si="3"/>
        <v>-9.2750000000000004</v>
      </c>
      <c r="P26" s="80">
        <v>4</v>
      </c>
      <c r="Q26" s="68">
        <v>-37.1</v>
      </c>
    </row>
    <row r="27" spans="1:17">
      <c r="A27" s="20" t="s">
        <v>132</v>
      </c>
      <c r="B27" s="97">
        <f>IF(B$18=0,0,C27/B$18)</f>
        <v>-7266.666666666667</v>
      </c>
      <c r="C27" s="98">
        <v>-174400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-175.29999999999998</v>
      </c>
      <c r="N27" s="76" t="s">
        <v>195</v>
      </c>
      <c r="O27" s="86">
        <f t="shared" si="3"/>
        <v>-25.135294117647067</v>
      </c>
      <c r="P27" s="80">
        <v>17</v>
      </c>
      <c r="Q27" s="68">
        <v>-427.30000000000013</v>
      </c>
    </row>
    <row r="28" spans="1:17">
      <c r="A28" s="19" t="s">
        <v>130</v>
      </c>
      <c r="B28" s="13">
        <v>3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-194.39999999999998</v>
      </c>
      <c r="N28" s="76" t="s">
        <v>215</v>
      </c>
      <c r="O28" s="86">
        <f t="shared" si="3"/>
        <v>-33.200000000000003</v>
      </c>
      <c r="P28" s="80">
        <v>1</v>
      </c>
      <c r="Q28" s="68">
        <v>-33.200000000000003</v>
      </c>
    </row>
    <row r="29" spans="1:17">
      <c r="A29" s="19" t="s">
        <v>131</v>
      </c>
      <c r="B29" s="13">
        <v>30</v>
      </c>
      <c r="C29" s="96">
        <v>11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5</v>
      </c>
      <c r="K29" s="5">
        <v>27</v>
      </c>
      <c r="L29" s="61">
        <v>-133.59999999999997</v>
      </c>
      <c r="N29" s="76" t="s">
        <v>162</v>
      </c>
      <c r="O29" s="86">
        <f t="shared" si="3"/>
        <v>-33.950000000000003</v>
      </c>
      <c r="P29" s="80">
        <v>2</v>
      </c>
      <c r="Q29" s="68">
        <v>-67.900000000000006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7</v>
      </c>
      <c r="N30" s="76" t="s">
        <v>169</v>
      </c>
      <c r="O30" s="86">
        <f t="shared" si="3"/>
        <v>-35.764285714285712</v>
      </c>
      <c r="P30" s="80">
        <v>14</v>
      </c>
      <c r="Q30" s="68">
        <v>-500.7</v>
      </c>
    </row>
    <row r="31" spans="1:17">
      <c r="A31" s="22" t="s">
        <v>148</v>
      </c>
      <c r="B31" s="116">
        <v>62700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231</v>
      </c>
      <c r="O31" s="86">
        <f t="shared" si="3"/>
        <v>-63.85</v>
      </c>
      <c r="P31" s="80">
        <v>2</v>
      </c>
      <c r="Q31" s="68">
        <v>-127.7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161</v>
      </c>
      <c r="O32" s="86">
        <f t="shared" si="3"/>
        <v>-87.9</v>
      </c>
      <c r="P32" s="80">
        <v>1</v>
      </c>
      <c r="Q32" s="68">
        <v>-87.9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3</v>
      </c>
      <c r="C36" s="6">
        <f t="shared" si="4"/>
        <v>0.1111111111111111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5</v>
      </c>
      <c r="C37" s="6">
        <f t="shared" si="4"/>
        <v>0.18518518518518517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10</v>
      </c>
      <c r="C38" s="6">
        <f t="shared" si="4"/>
        <v>0.37037037037037035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6</v>
      </c>
      <c r="C39" s="6">
        <f t="shared" si="4"/>
        <v>0.22222222222222221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3</v>
      </c>
      <c r="C40" s="6">
        <f t="shared" si="4"/>
        <v>0.1111111111111111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6BA372-7008-4713-BB51-00D04AB653B1}">
  <sheetPr codeName="Sheet2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223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</v>
      </c>
      <c r="C2" s="121"/>
      <c r="E2" s="32" t="s">
        <v>181</v>
      </c>
      <c r="F2" s="29" t="s">
        <v>156</v>
      </c>
      <c r="G2" s="12">
        <v>2</v>
      </c>
      <c r="H2" s="93">
        <f>IF(B$17=0,0,G2/B$17)</f>
        <v>1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-3300</v>
      </c>
      <c r="P2" s="79">
        <v>4</v>
      </c>
      <c r="Q2" s="63">
        <v>-13200</v>
      </c>
    </row>
    <row r="3" spans="1:17">
      <c r="A3" s="19" t="s">
        <v>8</v>
      </c>
      <c r="B3" s="122">
        <v>21</v>
      </c>
      <c r="C3" s="123"/>
      <c r="E3" s="33" t="s">
        <v>55</v>
      </c>
      <c r="F3" s="30" t="s">
        <v>155</v>
      </c>
      <c r="G3" s="13">
        <v>2</v>
      </c>
      <c r="H3" s="94">
        <f>IF(B$17=0,0,G3/B$17)</f>
        <v>1</v>
      </c>
      <c r="I3" s="56">
        <v>1</v>
      </c>
      <c r="K3" s="5">
        <v>1</v>
      </c>
      <c r="L3" s="61">
        <v>-47</v>
      </c>
      <c r="N3" s="76" t="s">
        <v>104</v>
      </c>
      <c r="O3" s="83">
        <f t="shared" si="0"/>
        <v>-2700</v>
      </c>
      <c r="P3" s="80">
        <v>4</v>
      </c>
      <c r="Q3" s="64">
        <v>-10800</v>
      </c>
    </row>
    <row r="4" spans="1:17">
      <c r="A4" s="19" t="s">
        <v>6</v>
      </c>
      <c r="B4" s="124">
        <v>-72.5</v>
      </c>
      <c r="C4" s="125"/>
      <c r="E4" s="33" t="s">
        <v>60</v>
      </c>
      <c r="F4" s="30" t="s">
        <v>24</v>
      </c>
      <c r="G4" s="13">
        <v>2</v>
      </c>
      <c r="H4" s="94">
        <f>IF(B$17=0,0,G4/B$17)</f>
        <v>1</v>
      </c>
      <c r="I4" s="56">
        <v>2</v>
      </c>
      <c r="K4" s="5">
        <v>2</v>
      </c>
      <c r="L4" s="61">
        <v>-44.9</v>
      </c>
      <c r="N4" s="76" t="s">
        <v>105</v>
      </c>
      <c r="O4" s="83">
        <f t="shared" si="0"/>
        <v>-100</v>
      </c>
      <c r="P4" s="80">
        <v>4</v>
      </c>
      <c r="Q4" s="64">
        <v>-400</v>
      </c>
    </row>
    <row r="5" spans="1:17">
      <c r="A5" s="19" t="s">
        <v>7</v>
      </c>
      <c r="B5" s="126">
        <f>IF(B$2=0,0,B$4/B$2)</f>
        <v>-18.125</v>
      </c>
      <c r="C5" s="127"/>
      <c r="E5" s="33" t="s">
        <v>56</v>
      </c>
      <c r="F5" s="30" t="s">
        <v>185</v>
      </c>
      <c r="G5" s="13">
        <v>1</v>
      </c>
      <c r="H5" s="94">
        <f>IF(B$17=0,0,G5/B$17)</f>
        <v>0.5</v>
      </c>
      <c r="I5" s="56">
        <v>1</v>
      </c>
      <c r="K5" s="5">
        <v>3</v>
      </c>
      <c r="L5" s="61">
        <v>-45.5</v>
      </c>
      <c r="N5" s="76" t="s">
        <v>157</v>
      </c>
      <c r="O5" s="83">
        <f>IF(P5=0,0,Q5/P5)</f>
        <v>-500</v>
      </c>
      <c r="P5" s="80">
        <v>2</v>
      </c>
      <c r="Q5" s="64">
        <v>-1000</v>
      </c>
    </row>
    <row r="6" spans="1:17">
      <c r="A6" s="19" t="s">
        <v>1</v>
      </c>
      <c r="B6" s="128">
        <f>IF(B$2=0,0,(B$7*1+B$8*2+B$9*3+B$10*4)/B$2)</f>
        <v>2.75</v>
      </c>
      <c r="C6" s="129"/>
      <c r="E6" s="33" t="s">
        <v>182</v>
      </c>
      <c r="F6" s="30" t="s">
        <v>19</v>
      </c>
      <c r="G6" s="13">
        <v>0</v>
      </c>
      <c r="H6" s="94">
        <f>IF(B$17=0,0,G6/B$17)</f>
        <v>0</v>
      </c>
      <c r="I6" s="56">
        <v>27</v>
      </c>
      <c r="K6" s="5">
        <v>4</v>
      </c>
      <c r="L6" s="61">
        <v>-72.5</v>
      </c>
      <c r="N6" s="76" t="s">
        <v>106</v>
      </c>
      <c r="O6" s="83">
        <f t="shared" ref="O6" si="1">IF(P6=0,0,Q6/P6)</f>
        <v>-7100</v>
      </c>
      <c r="P6" s="80">
        <v>1</v>
      </c>
      <c r="Q6" s="64">
        <v>-7100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54</v>
      </c>
      <c r="F7" s="30" t="s">
        <v>20</v>
      </c>
      <c r="G7" s="13">
        <v>0</v>
      </c>
      <c r="H7" s="94">
        <f>IF(B$17=0,0,G7/B$17)</f>
        <v>0</v>
      </c>
      <c r="I7" s="56">
        <v>34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2</v>
      </c>
      <c r="C8" s="6">
        <f>IF(B$2=0,0,B8/B$2)</f>
        <v>0.5</v>
      </c>
      <c r="E8" s="33" t="s">
        <v>57</v>
      </c>
      <c r="F8" s="30" t="s">
        <v>21</v>
      </c>
      <c r="G8" s="13">
        <v>0</v>
      </c>
      <c r="H8" s="94">
        <f>IF(B$17=0,0,G8/B$17)</f>
        <v>0</v>
      </c>
      <c r="I8" s="56">
        <v>32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1</v>
      </c>
      <c r="C9" s="7">
        <f>IF(B$2=0,0,B9/B$2)</f>
        <v>0.25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24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</v>
      </c>
      <c r="C10" s="7">
        <f>IF(B$2=0,0,B10/B$2)</f>
        <v>0.25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26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0.5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6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6</v>
      </c>
      <c r="C13" s="11">
        <f>IF(B$3=0,0,B13/B$3)</f>
        <v>0.2857142857142857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1</v>
      </c>
      <c r="N13" s="76" t="s">
        <v>127</v>
      </c>
      <c r="O13" s="86">
        <f>IF(P13=0,0,Q13/P13)</f>
        <v>0.75</v>
      </c>
      <c r="P13" s="80">
        <v>2</v>
      </c>
      <c r="Q13" s="68">
        <v>1.5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-27</v>
      </c>
      <c r="P14" s="80">
        <v>1</v>
      </c>
      <c r="Q14" s="68">
        <v>-27</v>
      </c>
    </row>
    <row r="15" spans="1:17">
      <c r="A15" s="18" t="s">
        <v>99</v>
      </c>
      <c r="B15" s="12">
        <f>B21</f>
        <v>2</v>
      </c>
      <c r="C15" s="4">
        <f>IF(B$13=0,0,B15/B$13)</f>
        <v>0.33333333333333331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-47</v>
      </c>
      <c r="P15" s="81">
        <v>1</v>
      </c>
      <c r="Q15" s="69">
        <v>-47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9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</v>
      </c>
      <c r="C17" s="4">
        <f>IF(B$3=0,0,B17/B$3)</f>
        <v>9.5238095238095233E-2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8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4</v>
      </c>
      <c r="C18" s="6">
        <f>IF(B$3=0,0,B18/B$3)</f>
        <v>0.19047619047619047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16</v>
      </c>
      <c r="N18" s="75" t="s">
        <v>213</v>
      </c>
      <c r="O18" s="85">
        <f>IF(P18=0,0,Q18/P18)</f>
        <v>5.25</v>
      </c>
      <c r="P18" s="79">
        <v>2</v>
      </c>
      <c r="Q18" s="67">
        <v>10.5</v>
      </c>
    </row>
    <row r="19" spans="1:17">
      <c r="A19" s="19" t="s">
        <v>12</v>
      </c>
      <c r="B19" s="13">
        <v>1</v>
      </c>
      <c r="C19" s="6">
        <f>IF(B$17=0,0,B19/B$17)</f>
        <v>0.5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1</v>
      </c>
      <c r="N19" s="76" t="s">
        <v>216</v>
      </c>
      <c r="O19" s="86">
        <f>IF(P19=0,0,Q19/P19)</f>
        <v>-3.2500000000000036</v>
      </c>
      <c r="P19" s="80">
        <v>4</v>
      </c>
      <c r="Q19" s="68">
        <v>-13.000000000000014</v>
      </c>
    </row>
    <row r="20" spans="1:17">
      <c r="A20" s="19" t="s">
        <v>11</v>
      </c>
      <c r="B20" s="13">
        <v>1</v>
      </c>
      <c r="C20" s="6">
        <f>IF(B$17=0,0,B20/B$17)</f>
        <v>0.5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8</v>
      </c>
      <c r="N20" s="76" t="s">
        <v>169</v>
      </c>
      <c r="O20" s="86">
        <f>IF(P20=0,0,Q20/P20)</f>
        <v>-42.033333333333331</v>
      </c>
      <c r="P20" s="80">
        <v>3</v>
      </c>
      <c r="Q20" s="68">
        <v>-126.1</v>
      </c>
    </row>
    <row r="21" spans="1:17">
      <c r="A21" s="19" t="s">
        <v>151</v>
      </c>
      <c r="B21" s="13">
        <v>2</v>
      </c>
      <c r="C21" s="6">
        <f>IF(B$17=0,0,B21/B$17)</f>
        <v>1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  <c r="N21" s="76" t="s">
        <v>195</v>
      </c>
      <c r="O21" s="86">
        <f>IF(P21=0,0,Q21/P21)</f>
        <v>-47.5</v>
      </c>
      <c r="P21" s="80">
        <v>2</v>
      </c>
      <c r="Q21" s="68">
        <v>-95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14</v>
      </c>
      <c r="N22" s="76" t="s">
        <v>161</v>
      </c>
      <c r="O22" s="86">
        <f>IF(P22=0,0,Q22/P22)</f>
        <v>-66.399999999999991</v>
      </c>
      <c r="P22" s="80">
        <v>1</v>
      </c>
      <c r="Q22" s="68">
        <v>-66.399999999999991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7200</v>
      </c>
      <c r="C24" s="8">
        <v>14400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7200</v>
      </c>
      <c r="C25" s="98">
        <v>14400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12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-5450</v>
      </c>
      <c r="C27" s="98">
        <v>-21800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5</v>
      </c>
    </row>
    <row r="28" spans="1:17">
      <c r="A28" s="19" t="s">
        <v>130</v>
      </c>
      <c r="B28" s="13">
        <v>2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16</v>
      </c>
    </row>
    <row r="29" spans="1:17">
      <c r="A29" s="19" t="s">
        <v>131</v>
      </c>
      <c r="B29" s="13">
        <v>5</v>
      </c>
      <c r="C29" s="96">
        <v>4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7</v>
      </c>
    </row>
    <row r="30" spans="1:17">
      <c r="A30" s="52" t="s">
        <v>111</v>
      </c>
      <c r="B30" s="114">
        <v>1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22100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3"/>
        <v>0.5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3"/>
        <v>0.5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36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AD3E27-F5B0-458E-8DD8-860F47AAEDA6}">
  <sheetPr codeName="Sheet3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228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17</v>
      </c>
      <c r="C2" s="121"/>
      <c r="E2" s="32" t="s">
        <v>54</v>
      </c>
      <c r="F2" s="29" t="s">
        <v>20</v>
      </c>
      <c r="G2" s="12">
        <v>17</v>
      </c>
      <c r="H2" s="93">
        <f>IF(B$17=0,0,G2/B$17)</f>
        <v>0.77272727272727271</v>
      </c>
      <c r="I2" s="55">
        <v>6</v>
      </c>
      <c r="K2" s="3">
        <v>0</v>
      </c>
      <c r="L2" s="60">
        <v>0</v>
      </c>
      <c r="N2" s="75" t="s">
        <v>103</v>
      </c>
      <c r="O2" s="82">
        <f t="shared" ref="O2:O9" si="0">IF(P2=0,0,Q2/P2)</f>
        <v>5.882352941176471</v>
      </c>
      <c r="P2" s="79">
        <v>17</v>
      </c>
      <c r="Q2" s="63">
        <v>100</v>
      </c>
    </row>
    <row r="3" spans="1:17">
      <c r="A3" s="19" t="s">
        <v>8</v>
      </c>
      <c r="B3" s="122">
        <v>121</v>
      </c>
      <c r="C3" s="123"/>
      <c r="E3" s="33" t="s">
        <v>181</v>
      </c>
      <c r="F3" s="30" t="s">
        <v>156</v>
      </c>
      <c r="G3" s="13">
        <v>13</v>
      </c>
      <c r="H3" s="94">
        <f>IF(B$17=0,0,G3/B$17)</f>
        <v>0.59090909090909094</v>
      </c>
      <c r="I3" s="56">
        <v>14</v>
      </c>
      <c r="K3" s="5">
        <v>1</v>
      </c>
      <c r="L3" s="61">
        <v>60.4</v>
      </c>
      <c r="N3" s="76" t="s">
        <v>104</v>
      </c>
      <c r="O3" s="83">
        <f t="shared" si="0"/>
        <v>-1670.5882352941176</v>
      </c>
      <c r="P3" s="80">
        <v>17</v>
      </c>
      <c r="Q3" s="64">
        <v>-28400</v>
      </c>
    </row>
    <row r="4" spans="1:17">
      <c r="A4" s="19" t="s">
        <v>6</v>
      </c>
      <c r="B4" s="124">
        <v>-149.19999999999999</v>
      </c>
      <c r="C4" s="125"/>
      <c r="E4" s="33" t="s">
        <v>184</v>
      </c>
      <c r="F4" s="30" t="s">
        <v>187</v>
      </c>
      <c r="G4" s="13">
        <v>8</v>
      </c>
      <c r="H4" s="94">
        <f>IF(B$17=0,0,G4/B$17)</f>
        <v>0.36363636363636365</v>
      </c>
      <c r="I4" s="56">
        <v>26</v>
      </c>
      <c r="K4" s="5">
        <v>2</v>
      </c>
      <c r="L4" s="61">
        <v>122.9</v>
      </c>
      <c r="N4" s="76" t="s">
        <v>105</v>
      </c>
      <c r="O4" s="83">
        <f t="shared" si="0"/>
        <v>-1358.8235294117646</v>
      </c>
      <c r="P4" s="80">
        <v>17</v>
      </c>
      <c r="Q4" s="64">
        <v>-23100</v>
      </c>
    </row>
    <row r="5" spans="1:17">
      <c r="A5" s="19" t="s">
        <v>7</v>
      </c>
      <c r="B5" s="126">
        <f>IF(B$2=0,0,B$4/B$2)</f>
        <v>-8.7764705882352931</v>
      </c>
      <c r="C5" s="127"/>
      <c r="E5" s="33" t="s">
        <v>60</v>
      </c>
      <c r="F5" s="30" t="s">
        <v>24</v>
      </c>
      <c r="G5" s="13">
        <v>7</v>
      </c>
      <c r="H5" s="94">
        <f>IF(B$17=0,0,G5/B$17)</f>
        <v>0.31818181818181818</v>
      </c>
      <c r="I5" s="56">
        <v>26</v>
      </c>
      <c r="K5" s="5">
        <v>3</v>
      </c>
      <c r="L5" s="61">
        <v>69.800000000000011</v>
      </c>
      <c r="N5" s="76" t="s">
        <v>157</v>
      </c>
      <c r="O5" s="83">
        <f>IF(P5=0,0,Q5/P5)</f>
        <v>164.70588235294119</v>
      </c>
      <c r="P5" s="80">
        <v>17</v>
      </c>
      <c r="Q5" s="64">
        <v>2800</v>
      </c>
    </row>
    <row r="6" spans="1:17">
      <c r="A6" s="19" t="s">
        <v>1</v>
      </c>
      <c r="B6" s="128">
        <f>IF(B$2=0,0,(B$7*1+B$8*2+B$9*3+B$10*4)/B$2)</f>
        <v>2.7058823529411766</v>
      </c>
      <c r="C6" s="129"/>
      <c r="E6" s="33" t="s">
        <v>55</v>
      </c>
      <c r="F6" s="30" t="s">
        <v>155</v>
      </c>
      <c r="G6" s="13">
        <v>5</v>
      </c>
      <c r="H6" s="94">
        <f>IF(B$17=0,0,G6/B$17)</f>
        <v>0.22727272727272727</v>
      </c>
      <c r="I6" s="56">
        <v>19</v>
      </c>
      <c r="K6" s="5">
        <v>4</v>
      </c>
      <c r="L6" s="61">
        <v>28.000000000000014</v>
      </c>
      <c r="N6" s="76" t="s">
        <v>106</v>
      </c>
      <c r="O6" s="83">
        <f t="shared" ref="O6" si="1">IF(P6=0,0,Q6/P6)</f>
        <v>-1627.2727272727273</v>
      </c>
      <c r="P6" s="80">
        <v>11</v>
      </c>
      <c r="Q6" s="64">
        <v>-17900</v>
      </c>
    </row>
    <row r="7" spans="1:17">
      <c r="A7" s="19" t="s">
        <v>2</v>
      </c>
      <c r="B7" s="13">
        <v>4</v>
      </c>
      <c r="C7" s="6">
        <f t="shared" ref="C7:C12" si="2">IF(B$2=0,0,B7/B$2)</f>
        <v>0.23529411764705882</v>
      </c>
      <c r="E7" s="33" t="s">
        <v>56</v>
      </c>
      <c r="F7" s="30" t="s">
        <v>185</v>
      </c>
      <c r="G7" s="13">
        <v>4</v>
      </c>
      <c r="H7" s="94">
        <f>IF(B$17=0,0,G7/B$17)</f>
        <v>0.18181818181818182</v>
      </c>
      <c r="I7" s="56">
        <v>32</v>
      </c>
      <c r="K7" s="5">
        <v>5</v>
      </c>
      <c r="L7" s="61">
        <v>23.200000000000014</v>
      </c>
      <c r="N7" s="76" t="s">
        <v>107</v>
      </c>
      <c r="O7" s="83">
        <f t="shared" si="0"/>
        <v>-814.28571428571433</v>
      </c>
      <c r="P7" s="80">
        <v>7</v>
      </c>
      <c r="Q7" s="64">
        <v>-5700</v>
      </c>
    </row>
    <row r="8" spans="1:17">
      <c r="A8" s="19" t="s">
        <v>3</v>
      </c>
      <c r="B8" s="13">
        <v>3</v>
      </c>
      <c r="C8" s="6">
        <f>IF(B$2=0,0,B8/B$2)</f>
        <v>0.17647058823529413</v>
      </c>
      <c r="E8" s="33" t="s">
        <v>57</v>
      </c>
      <c r="F8" s="30" t="s">
        <v>21</v>
      </c>
      <c r="G8" s="13">
        <v>4</v>
      </c>
      <c r="H8" s="94">
        <f>IF(B$17=0,0,G8/B$17)</f>
        <v>0.18181818181818182</v>
      </c>
      <c r="I8" s="56">
        <v>23</v>
      </c>
      <c r="K8" s="5">
        <v>6</v>
      </c>
      <c r="L8" s="61">
        <v>-14.299999999999986</v>
      </c>
      <c r="N8" s="76" t="s">
        <v>108</v>
      </c>
      <c r="O8" s="83">
        <f t="shared" si="0"/>
        <v>0</v>
      </c>
      <c r="P8" s="80">
        <v>1</v>
      </c>
      <c r="Q8" s="64">
        <v>0</v>
      </c>
    </row>
    <row r="9" spans="1:17">
      <c r="A9" s="20" t="s">
        <v>4</v>
      </c>
      <c r="B9" s="14">
        <v>4</v>
      </c>
      <c r="C9" s="7">
        <f>IF(B$2=0,0,B9/B$2)</f>
        <v>0.23529411764705882</v>
      </c>
      <c r="E9" s="33" t="s">
        <v>59</v>
      </c>
      <c r="F9" s="30" t="s">
        <v>23</v>
      </c>
      <c r="G9" s="13">
        <v>4</v>
      </c>
      <c r="H9" s="94">
        <f>IF(B$17=0,0,G9/B$17)</f>
        <v>0.18181818181818182</v>
      </c>
      <c r="I9" s="56">
        <v>15</v>
      </c>
      <c r="K9" s="5">
        <v>7</v>
      </c>
      <c r="L9" s="61">
        <v>-66.699999999999989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6</v>
      </c>
      <c r="C10" s="7">
        <f>IF(B$2=0,0,B10/B$2)</f>
        <v>0.35294117647058826</v>
      </c>
      <c r="E10" s="33" t="s">
        <v>58</v>
      </c>
      <c r="F10" s="30" t="s">
        <v>22</v>
      </c>
      <c r="G10" s="13">
        <v>2</v>
      </c>
      <c r="H10" s="94">
        <f>IF(B$17=0,0,G10/B$17)</f>
        <v>9.0909090909090912E-2</v>
      </c>
      <c r="I10" s="56">
        <v>12</v>
      </c>
      <c r="K10" s="5">
        <v>8</v>
      </c>
      <c r="L10" s="61">
        <v>-124.99999999999999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7</v>
      </c>
      <c r="C11" s="7">
        <f>IF(B$2=0,0,B11/B$2)</f>
        <v>0.41176470588235292</v>
      </c>
      <c r="E11" s="33" t="s">
        <v>183</v>
      </c>
      <c r="F11" s="30" t="s">
        <v>186</v>
      </c>
      <c r="G11" s="13">
        <v>2</v>
      </c>
      <c r="H11" s="94">
        <f>IF(B$17=0,0,G11/B$17)</f>
        <v>9.0909090909090912E-2</v>
      </c>
      <c r="I11" s="56">
        <v>4</v>
      </c>
      <c r="K11" s="5">
        <v>9</v>
      </c>
      <c r="L11" s="61">
        <v>-186.5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0.11764705882352941</v>
      </c>
      <c r="E12" s="33" t="s">
        <v>77</v>
      </c>
      <c r="F12" s="30" t="s">
        <v>41</v>
      </c>
      <c r="G12" s="13">
        <v>2</v>
      </c>
      <c r="H12" s="94">
        <f>IF(B$17=0,0,G12/B$17)</f>
        <v>9.0909090909090912E-2</v>
      </c>
      <c r="I12" s="56">
        <v>7</v>
      </c>
      <c r="K12" s="5">
        <v>10</v>
      </c>
      <c r="L12" s="61">
        <v>-205.5</v>
      </c>
      <c r="N12" s="75" t="s">
        <v>126</v>
      </c>
      <c r="O12" s="85">
        <f>IF(P12=0,0,Q12/P12)</f>
        <v>60.4</v>
      </c>
      <c r="P12" s="79">
        <v>1</v>
      </c>
      <c r="Q12" s="67">
        <v>60.4</v>
      </c>
    </row>
    <row r="13" spans="1:17">
      <c r="A13" s="22" t="s">
        <v>97</v>
      </c>
      <c r="B13" s="15">
        <v>21</v>
      </c>
      <c r="C13" s="11">
        <f>IF(B$3=0,0,B13/B$3)</f>
        <v>0.17355371900826447</v>
      </c>
      <c r="E13" s="33" t="s">
        <v>182</v>
      </c>
      <c r="F13" s="30" t="s">
        <v>19</v>
      </c>
      <c r="G13" s="13">
        <v>1</v>
      </c>
      <c r="H13" s="94">
        <f>IF(B$17=0,0,G13/B$17)</f>
        <v>4.5454545454545456E-2</v>
      </c>
      <c r="I13" s="56">
        <v>26</v>
      </c>
      <c r="K13" s="5">
        <v>11</v>
      </c>
      <c r="L13" s="61">
        <v>-198</v>
      </c>
      <c r="N13" s="76" t="s">
        <v>127</v>
      </c>
      <c r="O13" s="86">
        <f>IF(P13=0,0,Q13/P13)</f>
        <v>-8.1499999999999986</v>
      </c>
      <c r="P13" s="80">
        <v>4</v>
      </c>
      <c r="Q13" s="68">
        <v>-32.599999999999994</v>
      </c>
    </row>
    <row r="14" spans="1:17">
      <c r="A14" s="19" t="s">
        <v>94</v>
      </c>
      <c r="B14" s="13">
        <v>24</v>
      </c>
      <c r="C14" s="6">
        <f>IF(B$3=0,0,B14/B$3)</f>
        <v>0.19834710743801653</v>
      </c>
      <c r="E14" s="33" t="s">
        <v>82</v>
      </c>
      <c r="F14" s="30" t="s">
        <v>46</v>
      </c>
      <c r="G14" s="13">
        <v>1</v>
      </c>
      <c r="H14" s="94">
        <f>IF(B$17=0,0,G14/B$17)</f>
        <v>4.5454545454545456E-2</v>
      </c>
      <c r="I14" s="56">
        <v>1</v>
      </c>
      <c r="K14" s="5">
        <v>12</v>
      </c>
      <c r="L14" s="61">
        <v>-263.89999999999998</v>
      </c>
      <c r="N14" s="76" t="s">
        <v>128</v>
      </c>
      <c r="O14" s="86">
        <f>IF(P14=0,0,Q14/P14)</f>
        <v>-21.166666666666668</v>
      </c>
      <c r="P14" s="80">
        <v>6</v>
      </c>
      <c r="Q14" s="68">
        <v>-127.00000000000001</v>
      </c>
    </row>
    <row r="15" spans="1:17">
      <c r="A15" s="18" t="s">
        <v>99</v>
      </c>
      <c r="B15" s="12">
        <f>B21</f>
        <v>13</v>
      </c>
      <c r="C15" s="4">
        <f>IF(B$13=0,0,B15/B$13)</f>
        <v>0.61904761904761907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5</v>
      </c>
      <c r="K15" s="5">
        <v>13</v>
      </c>
      <c r="L15" s="61">
        <v>-176.39999999999998</v>
      </c>
      <c r="N15" s="77" t="s">
        <v>159</v>
      </c>
      <c r="O15" s="87">
        <f>IF(P15=0,0,Q15/P15)</f>
        <v>-8.3333333333333321</v>
      </c>
      <c r="P15" s="81">
        <v>6</v>
      </c>
      <c r="Q15" s="69">
        <v>-49.999999999999993</v>
      </c>
    </row>
    <row r="16" spans="1:17">
      <c r="A16" s="18" t="s">
        <v>100</v>
      </c>
      <c r="B16" s="12">
        <f>B22</f>
        <v>6</v>
      </c>
      <c r="C16" s="4">
        <f>IF(B$14=0,0,B16/B$14)</f>
        <v>0.25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6</v>
      </c>
      <c r="K16" s="5">
        <v>14</v>
      </c>
      <c r="L16" s="61">
        <v>-196.09999999999997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22</v>
      </c>
      <c r="C17" s="4">
        <f>IF(B$3=0,0,B17/B$3)</f>
        <v>0.18181818181818182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1</v>
      </c>
      <c r="K17" s="5">
        <v>15</v>
      </c>
      <c r="L17" s="61">
        <v>-186.49999999999997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26</v>
      </c>
      <c r="C18" s="6">
        <f>IF(B$3=0,0,B18/B$3)</f>
        <v>0.21487603305785125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K18" s="5">
        <v>16</v>
      </c>
      <c r="L18" s="61">
        <v>-203.29999999999998</v>
      </c>
      <c r="N18" s="75" t="s">
        <v>241</v>
      </c>
      <c r="O18" s="85">
        <f t="shared" ref="O18:O31" si="3">IF(P18=0,0,Q18/P18)</f>
        <v>122.5</v>
      </c>
      <c r="P18" s="79">
        <v>1</v>
      </c>
      <c r="Q18" s="67">
        <v>122.5</v>
      </c>
    </row>
    <row r="19" spans="1:17">
      <c r="A19" s="19" t="s">
        <v>12</v>
      </c>
      <c r="B19" s="13">
        <v>7</v>
      </c>
      <c r="C19" s="6">
        <f>IF(B$17=0,0,B19/B$17)</f>
        <v>0.31818181818181818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-149.19999999999999</v>
      </c>
      <c r="N19" s="76" t="s">
        <v>213</v>
      </c>
      <c r="O19" s="86">
        <f t="shared" si="3"/>
        <v>64.599999999999994</v>
      </c>
      <c r="P19" s="80">
        <v>2</v>
      </c>
      <c r="Q19" s="68">
        <v>129.19999999999999</v>
      </c>
    </row>
    <row r="20" spans="1:17">
      <c r="A20" s="19" t="s">
        <v>11</v>
      </c>
      <c r="B20" s="13">
        <v>15</v>
      </c>
      <c r="C20" s="6">
        <f>IF(B$17=0,0,B20/B$17)</f>
        <v>0.68181818181818177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9</v>
      </c>
      <c r="N20" s="76" t="s">
        <v>235</v>
      </c>
      <c r="O20" s="86">
        <f t="shared" si="3"/>
        <v>59.825000000000003</v>
      </c>
      <c r="P20" s="80">
        <v>4</v>
      </c>
      <c r="Q20" s="68">
        <v>239.3</v>
      </c>
    </row>
    <row r="21" spans="1:17">
      <c r="A21" s="19" t="s">
        <v>151</v>
      </c>
      <c r="B21" s="13">
        <v>13</v>
      </c>
      <c r="C21" s="6">
        <f>IF(B$17=0,0,B21/B$17)</f>
        <v>0.59090909090909094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8</v>
      </c>
      <c r="N21" s="76" t="s">
        <v>258</v>
      </c>
      <c r="O21" s="86">
        <f t="shared" si="3"/>
        <v>22.049999999999997</v>
      </c>
      <c r="P21" s="80">
        <v>4</v>
      </c>
      <c r="Q21" s="68">
        <v>88.199999999999989</v>
      </c>
    </row>
    <row r="22" spans="1:17">
      <c r="A22" s="19" t="s">
        <v>149</v>
      </c>
      <c r="B22" s="13">
        <v>6</v>
      </c>
      <c r="C22" s="6">
        <f>IF(B$17=0,0,B22/B$17)</f>
        <v>0.27272727272727271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1</v>
      </c>
      <c r="N22" s="76" t="s">
        <v>272</v>
      </c>
      <c r="O22" s="86">
        <f t="shared" si="3"/>
        <v>10.75</v>
      </c>
      <c r="P22" s="80">
        <v>2</v>
      </c>
      <c r="Q22" s="68">
        <v>21.5</v>
      </c>
    </row>
    <row r="23" spans="1:17">
      <c r="A23" s="19" t="s">
        <v>150</v>
      </c>
      <c r="B23" s="13">
        <v>3</v>
      </c>
      <c r="C23" s="6">
        <f>IF(B$17=0,0,B23/B$17)</f>
        <v>0.13636363636363635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8</v>
      </c>
      <c r="N23" s="76" t="s">
        <v>255</v>
      </c>
      <c r="O23" s="86">
        <f t="shared" si="3"/>
        <v>5.8999999999999995</v>
      </c>
      <c r="P23" s="80">
        <v>2</v>
      </c>
      <c r="Q23" s="68">
        <v>11.799999999999999</v>
      </c>
    </row>
    <row r="24" spans="1:17">
      <c r="A24" s="19" t="s">
        <v>5</v>
      </c>
      <c r="B24" s="16">
        <f>IF(B$17=0,0,C24/B$17)</f>
        <v>8213.636363636364</v>
      </c>
      <c r="C24" s="8">
        <v>180700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263</v>
      </c>
      <c r="O24" s="86">
        <f t="shared" si="3"/>
        <v>2.7499999999999982</v>
      </c>
      <c r="P24" s="80">
        <v>2</v>
      </c>
      <c r="Q24" s="68">
        <v>5.4999999999999964</v>
      </c>
    </row>
    <row r="25" spans="1:17">
      <c r="A25" s="20" t="s">
        <v>133</v>
      </c>
      <c r="B25" s="97">
        <f>IF($B$17-B$16=0,0,C25/($B$17-B$16))</f>
        <v>7237.5</v>
      </c>
      <c r="C25" s="98">
        <v>115800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14</v>
      </c>
      <c r="N25" s="76" t="s">
        <v>238</v>
      </c>
      <c r="O25" s="86">
        <f t="shared" si="3"/>
        <v>-13.174999999999999</v>
      </c>
      <c r="P25" s="80">
        <v>4</v>
      </c>
      <c r="Q25" s="68">
        <v>-52.699999999999996</v>
      </c>
    </row>
    <row r="26" spans="1:17">
      <c r="A26" s="20" t="s">
        <v>134</v>
      </c>
      <c r="B26" s="97">
        <f>IF(B$16=0,0,C26/B$16)</f>
        <v>10816.666666666666</v>
      </c>
      <c r="C26" s="98">
        <v>64900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N26" s="76" t="s">
        <v>216</v>
      </c>
      <c r="O26" s="86">
        <f t="shared" si="3"/>
        <v>-17.033333333333335</v>
      </c>
      <c r="P26" s="80">
        <v>6</v>
      </c>
      <c r="Q26" s="68">
        <v>-102.2</v>
      </c>
    </row>
    <row r="27" spans="1:17">
      <c r="A27" s="20" t="s">
        <v>132</v>
      </c>
      <c r="B27" s="97">
        <f>IF(B$18=0,0,C27/B$18)</f>
        <v>-6926.9230769230771</v>
      </c>
      <c r="C27" s="98">
        <v>-180100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N27" s="76" t="s">
        <v>227</v>
      </c>
      <c r="O27" s="86">
        <f t="shared" si="3"/>
        <v>-24.074999999999999</v>
      </c>
      <c r="P27" s="80">
        <v>8</v>
      </c>
      <c r="Q27" s="68">
        <v>-192.6</v>
      </c>
    </row>
    <row r="28" spans="1:17">
      <c r="A28" s="19" t="s">
        <v>130</v>
      </c>
      <c r="B28" s="13">
        <v>2</v>
      </c>
      <c r="C28" s="96">
        <v>0</v>
      </c>
      <c r="E28" s="33" t="s">
        <v>74</v>
      </c>
      <c r="F28" s="30" t="s">
        <v>38</v>
      </c>
      <c r="G28" s="13">
        <v>0</v>
      </c>
      <c r="H28" s="94">
        <f>IF(B$17=0,0,G28/B$17)</f>
        <v>0</v>
      </c>
      <c r="I28" s="56">
        <v>12</v>
      </c>
      <c r="N28" s="76" t="s">
        <v>195</v>
      </c>
      <c r="O28" s="86">
        <f t="shared" si="3"/>
        <v>-35.690000000000005</v>
      </c>
      <c r="P28" s="80">
        <v>10</v>
      </c>
      <c r="Q28" s="68">
        <v>-356.90000000000003</v>
      </c>
    </row>
    <row r="29" spans="1:17">
      <c r="A29" s="19" t="s">
        <v>131</v>
      </c>
      <c r="B29" s="13">
        <v>12</v>
      </c>
      <c r="C29" s="96">
        <v>6</v>
      </c>
      <c r="E29" s="33" t="s">
        <v>75</v>
      </c>
      <c r="F29" s="30" t="s">
        <v>39</v>
      </c>
      <c r="G29" s="13">
        <v>0</v>
      </c>
      <c r="H29" s="94">
        <f>IF(B$17=0,0,G29/B$17)</f>
        <v>0</v>
      </c>
      <c r="I29" s="56">
        <v>4</v>
      </c>
      <c r="N29" s="76" t="s">
        <v>169</v>
      </c>
      <c r="O29" s="86">
        <f t="shared" si="3"/>
        <v>-38.049999999999997</v>
      </c>
      <c r="P29" s="80">
        <v>2</v>
      </c>
      <c r="Q29" s="68">
        <v>-76.099999999999994</v>
      </c>
    </row>
    <row r="30" spans="1:17">
      <c r="A30" s="52" t="s">
        <v>111</v>
      </c>
      <c r="B30" s="114">
        <v>4</v>
      </c>
      <c r="C30" s="115"/>
      <c r="E30" s="33" t="s">
        <v>76</v>
      </c>
      <c r="F30" s="30" t="s">
        <v>40</v>
      </c>
      <c r="G30" s="13">
        <v>0</v>
      </c>
      <c r="H30" s="94">
        <f>IF(B$17=0,0,G30/B$17)</f>
        <v>0</v>
      </c>
      <c r="I30" s="56">
        <v>5</v>
      </c>
      <c r="N30" s="76" t="s">
        <v>244</v>
      </c>
      <c r="O30" s="86">
        <f t="shared" si="3"/>
        <v>-98.45</v>
      </c>
      <c r="P30" s="80">
        <v>2</v>
      </c>
      <c r="Q30" s="68">
        <v>-196.9</v>
      </c>
    </row>
    <row r="31" spans="1:17">
      <c r="A31" s="22" t="s">
        <v>148</v>
      </c>
      <c r="B31" s="116">
        <v>67500</v>
      </c>
      <c r="C31" s="117"/>
      <c r="E31" s="33" t="s">
        <v>78</v>
      </c>
      <c r="F31" s="30" t="s">
        <v>42</v>
      </c>
      <c r="G31" s="13">
        <v>0</v>
      </c>
      <c r="H31" s="94">
        <f>IF(B$17=0,0,G31/B$17)</f>
        <v>0</v>
      </c>
      <c r="I31" s="56">
        <v>7</v>
      </c>
      <c r="N31" s="76" t="s">
        <v>231</v>
      </c>
      <c r="O31" s="86">
        <f t="shared" si="3"/>
        <v>-103.69999999999999</v>
      </c>
      <c r="P31" s="80">
        <v>2</v>
      </c>
      <c r="Q31" s="68">
        <v>-207.39999999999998</v>
      </c>
    </row>
    <row r="32" spans="1:17">
      <c r="A32" s="21" t="s">
        <v>112</v>
      </c>
      <c r="B32" s="26">
        <v>1</v>
      </c>
      <c r="C32" s="9">
        <f>IF(B$3=0,0,B32/B$3)</f>
        <v>8.2644628099173556E-3</v>
      </c>
      <c r="E32" s="33" t="s">
        <v>79</v>
      </c>
      <c r="F32" s="30" t="s">
        <v>43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80</v>
      </c>
      <c r="F33" s="30" t="s">
        <v>44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81</v>
      </c>
      <c r="F34" s="30" t="s">
        <v>45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2</v>
      </c>
      <c r="C35" s="102">
        <f t="shared" ref="C35:C47" si="4">IF(B$17=0,0,B35/B$17)</f>
        <v>9.0909090909090912E-2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4</v>
      </c>
      <c r="C36" s="6">
        <f t="shared" si="4"/>
        <v>0.18181818181818182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4</v>
      </c>
      <c r="C37" s="6">
        <f t="shared" si="4"/>
        <v>0.18181818181818182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6</v>
      </c>
      <c r="C38" s="6">
        <f t="shared" si="4"/>
        <v>0.27272727272727271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3</v>
      </c>
      <c r="C39" s="6">
        <f t="shared" si="4"/>
        <v>0.13636363636363635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2</v>
      </c>
      <c r="C40" s="6">
        <f t="shared" si="4"/>
        <v>9.0909090909090912E-2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1</v>
      </c>
      <c r="C47" s="9">
        <f t="shared" si="4"/>
        <v>4.5454545454545456E-2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D57C07-CA01-4DEC-8DC0-27D10E784FE3}">
  <sheetPr codeName="Sheet3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227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14</v>
      </c>
      <c r="C2" s="121"/>
      <c r="E2" s="32" t="s">
        <v>181</v>
      </c>
      <c r="F2" s="29" t="s">
        <v>156</v>
      </c>
      <c r="G2" s="12">
        <v>17</v>
      </c>
      <c r="H2" s="93">
        <f>IF(B$17=0,0,G2/B$17)</f>
        <v>0.80952380952380953</v>
      </c>
      <c r="I2" s="55">
        <v>5</v>
      </c>
      <c r="K2" s="3">
        <v>0</v>
      </c>
      <c r="L2" s="60">
        <v>0</v>
      </c>
      <c r="N2" s="75" t="s">
        <v>103</v>
      </c>
      <c r="O2" s="82">
        <f t="shared" ref="O2:O9" si="0">IF(P2=0,0,Q2/P2)</f>
        <v>-800</v>
      </c>
      <c r="P2" s="79">
        <v>14</v>
      </c>
      <c r="Q2" s="63">
        <v>-11200</v>
      </c>
    </row>
    <row r="3" spans="1:17">
      <c r="A3" s="19" t="s">
        <v>8</v>
      </c>
      <c r="B3" s="122">
        <v>93</v>
      </c>
      <c r="C3" s="123"/>
      <c r="E3" s="33" t="s">
        <v>54</v>
      </c>
      <c r="F3" s="30" t="s">
        <v>20</v>
      </c>
      <c r="G3" s="13">
        <v>12</v>
      </c>
      <c r="H3" s="94">
        <f>IF(B$17=0,0,G3/B$17)</f>
        <v>0.5714285714285714</v>
      </c>
      <c r="I3" s="56">
        <v>12</v>
      </c>
      <c r="K3" s="5">
        <v>1</v>
      </c>
      <c r="L3" s="61">
        <v>-64.900000000000006</v>
      </c>
      <c r="N3" s="76" t="s">
        <v>104</v>
      </c>
      <c r="O3" s="83">
        <f t="shared" si="0"/>
        <v>-985.71428571428567</v>
      </c>
      <c r="P3" s="80">
        <v>14</v>
      </c>
      <c r="Q3" s="64">
        <v>-13800</v>
      </c>
    </row>
    <row r="4" spans="1:17">
      <c r="A4" s="19" t="s">
        <v>6</v>
      </c>
      <c r="B4" s="124">
        <v>-51.900000000000013</v>
      </c>
      <c r="C4" s="125"/>
      <c r="E4" s="33" t="s">
        <v>184</v>
      </c>
      <c r="F4" s="30" t="s">
        <v>187</v>
      </c>
      <c r="G4" s="13">
        <v>12</v>
      </c>
      <c r="H4" s="94">
        <f>IF(B$17=0,0,G4/B$17)</f>
        <v>0.5714285714285714</v>
      </c>
      <c r="I4" s="56">
        <v>7</v>
      </c>
      <c r="K4" s="5">
        <v>2</v>
      </c>
      <c r="L4" s="61">
        <v>-62.100000000000009</v>
      </c>
      <c r="N4" s="76" t="s">
        <v>105</v>
      </c>
      <c r="O4" s="83">
        <f t="shared" si="0"/>
        <v>1415.3846153846155</v>
      </c>
      <c r="P4" s="80">
        <v>13</v>
      </c>
      <c r="Q4" s="64">
        <v>18400</v>
      </c>
    </row>
    <row r="5" spans="1:17">
      <c r="A5" s="19" t="s">
        <v>7</v>
      </c>
      <c r="B5" s="126">
        <f>IF(B$2=0,0,B$4/B$2)</f>
        <v>-3.7071428571428582</v>
      </c>
      <c r="C5" s="127"/>
      <c r="E5" s="33" t="s">
        <v>57</v>
      </c>
      <c r="F5" s="30" t="s">
        <v>21</v>
      </c>
      <c r="G5" s="13">
        <v>11</v>
      </c>
      <c r="H5" s="94">
        <f>IF(B$17=0,0,G5/B$17)</f>
        <v>0.52380952380952384</v>
      </c>
      <c r="I5" s="56">
        <v>2</v>
      </c>
      <c r="K5" s="5">
        <v>3</v>
      </c>
      <c r="L5" s="61">
        <v>-49.70000000000001</v>
      </c>
      <c r="N5" s="76" t="s">
        <v>157</v>
      </c>
      <c r="O5" s="83">
        <f>IF(P5=0,0,Q5/P5)</f>
        <v>366.66666666666669</v>
      </c>
      <c r="P5" s="80">
        <v>12</v>
      </c>
      <c r="Q5" s="64">
        <v>4400</v>
      </c>
    </row>
    <row r="6" spans="1:17">
      <c r="A6" s="19" t="s">
        <v>1</v>
      </c>
      <c r="B6" s="128">
        <f>IF(B$2=0,0,(B$7*1+B$8*2+B$9*3+B$10*4)/B$2)</f>
        <v>2.5714285714285716</v>
      </c>
      <c r="C6" s="129"/>
      <c r="E6" s="33" t="s">
        <v>182</v>
      </c>
      <c r="F6" s="30" t="s">
        <v>19</v>
      </c>
      <c r="G6" s="13">
        <v>6</v>
      </c>
      <c r="H6" s="94">
        <f>IF(B$17=0,0,G6/B$17)</f>
        <v>0.2857142857142857</v>
      </c>
      <c r="I6" s="56">
        <v>3</v>
      </c>
      <c r="K6" s="5">
        <v>4</v>
      </c>
      <c r="L6" s="61">
        <v>-64.500000000000014</v>
      </c>
      <c r="N6" s="76" t="s">
        <v>106</v>
      </c>
      <c r="O6" s="83">
        <f t="shared" ref="O6" si="1">IF(P6=0,0,Q6/P6)</f>
        <v>3150</v>
      </c>
      <c r="P6" s="80">
        <v>4</v>
      </c>
      <c r="Q6" s="64">
        <v>12600</v>
      </c>
    </row>
    <row r="7" spans="1:17">
      <c r="A7" s="19" t="s">
        <v>2</v>
      </c>
      <c r="B7" s="13">
        <v>2</v>
      </c>
      <c r="C7" s="6">
        <f t="shared" ref="C7:C12" si="2">IF(B$2=0,0,B7/B$2)</f>
        <v>0.14285714285714285</v>
      </c>
      <c r="E7" s="33" t="s">
        <v>55</v>
      </c>
      <c r="F7" s="30" t="s">
        <v>155</v>
      </c>
      <c r="G7" s="13">
        <v>6</v>
      </c>
      <c r="H7" s="94">
        <f>IF(B$17=0,0,G7/B$17)</f>
        <v>0.2857142857142857</v>
      </c>
      <c r="I7" s="56">
        <v>11</v>
      </c>
      <c r="K7" s="5">
        <v>5</v>
      </c>
      <c r="L7" s="61">
        <v>-66.200000000000017</v>
      </c>
      <c r="N7" s="76" t="s">
        <v>107</v>
      </c>
      <c r="O7" s="83">
        <f t="shared" si="0"/>
        <v>866.66666666666663</v>
      </c>
      <c r="P7" s="80">
        <v>3</v>
      </c>
      <c r="Q7" s="64">
        <v>2600</v>
      </c>
    </row>
    <row r="8" spans="1:17">
      <c r="A8" s="19" t="s">
        <v>3</v>
      </c>
      <c r="B8" s="13">
        <v>6</v>
      </c>
      <c r="C8" s="6">
        <f>IF(B$2=0,0,B8/B$2)</f>
        <v>0.42857142857142855</v>
      </c>
      <c r="E8" s="33" t="s">
        <v>59</v>
      </c>
      <c r="F8" s="30" t="s">
        <v>23</v>
      </c>
      <c r="G8" s="13">
        <v>5</v>
      </c>
      <c r="H8" s="94">
        <f>IF(B$17=0,0,G8/B$17)</f>
        <v>0.23809523809523808</v>
      </c>
      <c r="I8" s="56">
        <v>10</v>
      </c>
      <c r="K8" s="5">
        <v>6</v>
      </c>
      <c r="L8" s="61">
        <v>-47.90000000000002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2</v>
      </c>
      <c r="C9" s="7">
        <f>IF(B$2=0,0,B9/B$2)</f>
        <v>0.14285714285714285</v>
      </c>
      <c r="E9" s="33" t="s">
        <v>60</v>
      </c>
      <c r="F9" s="30" t="s">
        <v>24</v>
      </c>
      <c r="G9" s="13">
        <v>4</v>
      </c>
      <c r="H9" s="94">
        <f>IF(B$17=0,0,G9/B$17)</f>
        <v>0.19047619047619047</v>
      </c>
      <c r="I9" s="56">
        <v>34</v>
      </c>
      <c r="K9" s="5">
        <v>7</v>
      </c>
      <c r="L9" s="61">
        <v>36.59999999999998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4</v>
      </c>
      <c r="C10" s="7">
        <f>IF(B$2=0,0,B10/B$2)</f>
        <v>0.2857142857142857</v>
      </c>
      <c r="E10" s="33" t="s">
        <v>56</v>
      </c>
      <c r="F10" s="30" t="s">
        <v>185</v>
      </c>
      <c r="G10" s="13">
        <v>3</v>
      </c>
      <c r="H10" s="94">
        <f>IF(B$17=0,0,G10/B$17)</f>
        <v>0.14285714285714285</v>
      </c>
      <c r="I10" s="56">
        <v>34</v>
      </c>
      <c r="K10" s="5">
        <v>8</v>
      </c>
      <c r="L10" s="61">
        <v>-10.000000000000021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8</v>
      </c>
      <c r="C11" s="7">
        <f>IF(B$2=0,0,B11/B$2)</f>
        <v>0.5714285714285714</v>
      </c>
      <c r="E11" s="33" t="s">
        <v>58</v>
      </c>
      <c r="F11" s="30" t="s">
        <v>22</v>
      </c>
      <c r="G11" s="13">
        <v>1</v>
      </c>
      <c r="H11" s="94">
        <f>IF(B$17=0,0,G11/B$17)</f>
        <v>4.7619047619047616E-2</v>
      </c>
      <c r="I11" s="56">
        <v>19</v>
      </c>
      <c r="K11" s="5">
        <v>9</v>
      </c>
      <c r="L11" s="61">
        <v>-33.300000000000026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7.1428571428571425E-2</v>
      </c>
      <c r="E12" s="33" t="s">
        <v>62</v>
      </c>
      <c r="F12" s="30" t="s">
        <v>26</v>
      </c>
      <c r="G12" s="13">
        <v>1</v>
      </c>
      <c r="H12" s="94">
        <f>IF(B$17=0,0,G12/B$17)</f>
        <v>4.7619047619047616E-2</v>
      </c>
      <c r="I12" s="56">
        <v>1</v>
      </c>
      <c r="K12" s="5">
        <v>10</v>
      </c>
      <c r="L12" s="61">
        <v>-88.200000000000017</v>
      </c>
      <c r="N12" s="75" t="s">
        <v>126</v>
      </c>
      <c r="O12" s="85">
        <f>IF(P12=0,0,Q12/P12)</f>
        <v>-19.939999999999998</v>
      </c>
      <c r="P12" s="79">
        <v>5</v>
      </c>
      <c r="Q12" s="67">
        <v>-99.699999999999989</v>
      </c>
    </row>
    <row r="13" spans="1:17">
      <c r="A13" s="22" t="s">
        <v>97</v>
      </c>
      <c r="B13" s="15">
        <v>32</v>
      </c>
      <c r="C13" s="11">
        <f>IF(B$3=0,0,B13/B$3)</f>
        <v>0.34408602150537637</v>
      </c>
      <c r="E13" s="33" t="s">
        <v>76</v>
      </c>
      <c r="F13" s="30" t="s">
        <v>40</v>
      </c>
      <c r="G13" s="13">
        <v>1</v>
      </c>
      <c r="H13" s="94">
        <f>IF(B$17=0,0,G13/B$17)</f>
        <v>4.7619047619047616E-2</v>
      </c>
      <c r="I13" s="56">
        <v>1</v>
      </c>
      <c r="K13" s="5">
        <v>11</v>
      </c>
      <c r="L13" s="61">
        <v>-15.800000000000011</v>
      </c>
      <c r="N13" s="76" t="s">
        <v>127</v>
      </c>
      <c r="O13" s="86">
        <f>IF(P13=0,0,Q13/P13)</f>
        <v>-11.200000000000003</v>
      </c>
      <c r="P13" s="80">
        <v>4</v>
      </c>
      <c r="Q13" s="68">
        <v>-44.800000000000011</v>
      </c>
    </row>
    <row r="14" spans="1:17">
      <c r="A14" s="19" t="s">
        <v>94</v>
      </c>
      <c r="B14" s="13">
        <v>13</v>
      </c>
      <c r="C14" s="6">
        <f>IF(B$3=0,0,B14/B$3)</f>
        <v>0.13978494623655913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5</v>
      </c>
      <c r="K14" s="5">
        <v>12</v>
      </c>
      <c r="L14" s="61">
        <v>-10.900000000000011</v>
      </c>
      <c r="N14" s="76" t="s">
        <v>128</v>
      </c>
      <c r="O14" s="86">
        <f>IF(P14=0,0,Q14/P14)</f>
        <v>30.6</v>
      </c>
      <c r="P14" s="80">
        <v>2</v>
      </c>
      <c r="Q14" s="68">
        <v>61.2</v>
      </c>
    </row>
    <row r="15" spans="1:17">
      <c r="A15" s="18" t="s">
        <v>99</v>
      </c>
      <c r="B15" s="12">
        <f>B21</f>
        <v>17</v>
      </c>
      <c r="C15" s="4">
        <f>IF(B$13=0,0,B15/B$13)</f>
        <v>0.53125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1</v>
      </c>
      <c r="K15" s="5">
        <v>13</v>
      </c>
      <c r="L15" s="61">
        <v>-61.400000000000013</v>
      </c>
      <c r="N15" s="77" t="s">
        <v>159</v>
      </c>
      <c r="O15" s="87">
        <f>IF(P15=0,0,Q15/P15)</f>
        <v>10.466666666666669</v>
      </c>
      <c r="P15" s="81">
        <v>3</v>
      </c>
      <c r="Q15" s="69">
        <v>31.400000000000006</v>
      </c>
    </row>
    <row r="16" spans="1:17">
      <c r="A16" s="18" t="s">
        <v>100</v>
      </c>
      <c r="B16" s="12">
        <f>B22</f>
        <v>3</v>
      </c>
      <c r="C16" s="4">
        <f>IF(B$14=0,0,B16/B$14)</f>
        <v>0.23076923076923078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K16" s="5">
        <v>14</v>
      </c>
      <c r="L16" s="61">
        <v>-51.900000000000013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21</v>
      </c>
      <c r="C17" s="4">
        <f>IF(B$3=0,0,B17/B$3)</f>
        <v>0.22580645161290322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14</v>
      </c>
      <c r="C18" s="6">
        <f>IF(B$3=0,0,B18/B$3)</f>
        <v>0.15053763440860216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9</v>
      </c>
      <c r="N18" s="75" t="s">
        <v>228</v>
      </c>
      <c r="O18" s="85">
        <f t="shared" ref="O18:O26" si="3">IF(P18=0,0,Q18/P18)</f>
        <v>24.074999999999999</v>
      </c>
      <c r="P18" s="79">
        <v>8</v>
      </c>
      <c r="Q18" s="67">
        <v>192.6</v>
      </c>
    </row>
    <row r="19" spans="1:17">
      <c r="A19" s="19" t="s">
        <v>12</v>
      </c>
      <c r="B19" s="13">
        <v>4</v>
      </c>
      <c r="C19" s="6">
        <f>IF(B$17=0,0,B19/B$17)</f>
        <v>0.19047619047619047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8</v>
      </c>
      <c r="N19" s="76" t="s">
        <v>238</v>
      </c>
      <c r="O19" s="86">
        <f t="shared" si="3"/>
        <v>17.225000000000001</v>
      </c>
      <c r="P19" s="80">
        <v>8</v>
      </c>
      <c r="Q19" s="68">
        <v>137.80000000000001</v>
      </c>
    </row>
    <row r="20" spans="1:17">
      <c r="A20" s="19" t="s">
        <v>11</v>
      </c>
      <c r="B20" s="13">
        <v>17</v>
      </c>
      <c r="C20" s="6">
        <f>IF(B$17=0,0,B20/B$17)</f>
        <v>0.80952380952380953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16</v>
      </c>
      <c r="N20" s="76" t="s">
        <v>244</v>
      </c>
      <c r="O20" s="86">
        <f t="shared" si="3"/>
        <v>13.475</v>
      </c>
      <c r="P20" s="80">
        <v>4</v>
      </c>
      <c r="Q20" s="68">
        <v>53.9</v>
      </c>
    </row>
    <row r="21" spans="1:17">
      <c r="A21" s="19" t="s">
        <v>151</v>
      </c>
      <c r="B21" s="13">
        <v>17</v>
      </c>
      <c r="C21" s="6">
        <f>IF(B$17=0,0,B21/B$17)</f>
        <v>0.80952380952380953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1</v>
      </c>
      <c r="N21" s="76" t="s">
        <v>241</v>
      </c>
      <c r="O21" s="86">
        <f t="shared" si="3"/>
        <v>7.2499999999999991</v>
      </c>
      <c r="P21" s="80">
        <v>2</v>
      </c>
      <c r="Q21" s="68">
        <v>14.499999999999998</v>
      </c>
    </row>
    <row r="22" spans="1:17">
      <c r="A22" s="19" t="s">
        <v>149</v>
      </c>
      <c r="B22" s="13">
        <v>3</v>
      </c>
      <c r="C22" s="6">
        <f>IF(B$17=0,0,B22/B$17)</f>
        <v>0.14285714285714285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8</v>
      </c>
      <c r="N22" s="76" t="s">
        <v>216</v>
      </c>
      <c r="O22" s="86">
        <f t="shared" si="3"/>
        <v>-17.387500000000003</v>
      </c>
      <c r="P22" s="80">
        <v>8</v>
      </c>
      <c r="Q22" s="68">
        <v>-139.10000000000002</v>
      </c>
    </row>
    <row r="23" spans="1:17">
      <c r="A23" s="19" t="s">
        <v>150</v>
      </c>
      <c r="B23" s="13">
        <v>1</v>
      </c>
      <c r="C23" s="6">
        <f>IF(B$17=0,0,B23/B$17)</f>
        <v>4.7619047619047616E-2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N23" s="76" t="s">
        <v>195</v>
      </c>
      <c r="O23" s="86">
        <f t="shared" si="3"/>
        <v>-24.916666666666668</v>
      </c>
      <c r="P23" s="80">
        <v>6</v>
      </c>
      <c r="Q23" s="68">
        <v>-149.5</v>
      </c>
    </row>
    <row r="24" spans="1:17">
      <c r="A24" s="19" t="s">
        <v>5</v>
      </c>
      <c r="B24" s="16">
        <f>IF(B$17=0,0,C24/B$17)</f>
        <v>7161.9047619047615</v>
      </c>
      <c r="C24" s="8">
        <v>150400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14</v>
      </c>
      <c r="N24" s="76" t="s">
        <v>213</v>
      </c>
      <c r="O24" s="86">
        <f t="shared" si="3"/>
        <v>-27.900000000000002</v>
      </c>
      <c r="P24" s="80">
        <v>2</v>
      </c>
      <c r="Q24" s="68">
        <v>-55.800000000000004</v>
      </c>
    </row>
    <row r="25" spans="1:17">
      <c r="A25" s="20" t="s">
        <v>133</v>
      </c>
      <c r="B25" s="97">
        <f>IF($B$17-B$16=0,0,C25/($B$17-B$16))</f>
        <v>7838.8888888888887</v>
      </c>
      <c r="C25" s="98">
        <v>141100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231</v>
      </c>
      <c r="O25" s="86">
        <f t="shared" si="3"/>
        <v>-57.45</v>
      </c>
      <c r="P25" s="80">
        <v>2</v>
      </c>
      <c r="Q25" s="68">
        <v>-114.9</v>
      </c>
    </row>
    <row r="26" spans="1:17">
      <c r="A26" s="20" t="s">
        <v>134</v>
      </c>
      <c r="B26" s="97">
        <f>IF(B$16=0,0,C26/B$16)</f>
        <v>3100</v>
      </c>
      <c r="C26" s="98">
        <v>9300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169</v>
      </c>
      <c r="O26" s="86">
        <f t="shared" si="3"/>
        <v>-68.55</v>
      </c>
      <c r="P26" s="80">
        <v>2</v>
      </c>
      <c r="Q26" s="68">
        <v>-137.1</v>
      </c>
    </row>
    <row r="27" spans="1:17">
      <c r="A27" s="20" t="s">
        <v>132</v>
      </c>
      <c r="B27" s="97">
        <f>IF(B$18=0,0,C27/B$18)</f>
        <v>-5992.8571428571431</v>
      </c>
      <c r="C27" s="98">
        <v>-83900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12</v>
      </c>
    </row>
    <row r="28" spans="1:17">
      <c r="A28" s="19" t="s">
        <v>130</v>
      </c>
      <c r="B28" s="13">
        <v>4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14</v>
      </c>
      <c r="C29" s="96">
        <v>9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16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7</v>
      </c>
    </row>
    <row r="31" spans="1:17">
      <c r="A31" s="22" t="s">
        <v>148</v>
      </c>
      <c r="B31" s="116">
        <v>64500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4.7619047619047616E-2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4"/>
        <v>9.5238095238095233E-2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7</v>
      </c>
      <c r="C37" s="6">
        <f t="shared" si="4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7</v>
      </c>
      <c r="C38" s="6">
        <f t="shared" si="4"/>
        <v>0.33333333333333331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3</v>
      </c>
      <c r="C40" s="6">
        <f t="shared" si="4"/>
        <v>0.14285714285714285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1</v>
      </c>
      <c r="C43" s="6">
        <f t="shared" si="4"/>
        <v>4.7619047619047616E-2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8BD3E9-513A-4CE9-B4A6-F5DF993BF4DB}">
  <sheetPr codeName="Sheet3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231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60</v>
      </c>
      <c r="F2" s="29" t="s">
        <v>24</v>
      </c>
      <c r="G2" s="12">
        <v>4</v>
      </c>
      <c r="H2" s="93">
        <f>IF(B$17=0,0,G2/B$17)</f>
        <v>1</v>
      </c>
      <c r="I2" s="55">
        <v>2</v>
      </c>
      <c r="K2" s="3">
        <v>0</v>
      </c>
      <c r="L2" s="60">
        <v>0</v>
      </c>
      <c r="N2" s="75" t="s">
        <v>103</v>
      </c>
      <c r="O2" s="82">
        <f t="shared" ref="O2:O9" si="0">IF(P2=0,0,Q2/P2)</f>
        <v>3900</v>
      </c>
      <c r="P2" s="79">
        <v>2</v>
      </c>
      <c r="Q2" s="63">
        <v>7800</v>
      </c>
    </row>
    <row r="3" spans="1:17">
      <c r="A3" s="19" t="s">
        <v>8</v>
      </c>
      <c r="B3" s="122">
        <v>13</v>
      </c>
      <c r="C3" s="123"/>
      <c r="E3" s="33" t="s">
        <v>181</v>
      </c>
      <c r="F3" s="30" t="s">
        <v>156</v>
      </c>
      <c r="G3" s="13">
        <v>2</v>
      </c>
      <c r="H3" s="94">
        <f>IF(B$17=0,0,G3/B$17)</f>
        <v>0.5</v>
      </c>
      <c r="I3" s="56">
        <v>18</v>
      </c>
      <c r="K3" s="5">
        <v>1</v>
      </c>
      <c r="L3" s="61">
        <v>61.3</v>
      </c>
      <c r="N3" s="76" t="s">
        <v>104</v>
      </c>
      <c r="O3" s="83">
        <f t="shared" si="0"/>
        <v>-2750</v>
      </c>
      <c r="P3" s="80">
        <v>2</v>
      </c>
      <c r="Q3" s="64">
        <v>-5500</v>
      </c>
    </row>
    <row r="4" spans="1:17">
      <c r="A4" s="19" t="s">
        <v>6</v>
      </c>
      <c r="B4" s="124">
        <v>112.5</v>
      </c>
      <c r="C4" s="125"/>
      <c r="E4" s="33" t="s">
        <v>55</v>
      </c>
      <c r="F4" s="30" t="s">
        <v>155</v>
      </c>
      <c r="G4" s="13">
        <v>2</v>
      </c>
      <c r="H4" s="94">
        <f>IF(B$17=0,0,G4/B$17)</f>
        <v>0.5</v>
      </c>
      <c r="I4" s="56">
        <v>4</v>
      </c>
      <c r="K4" s="5">
        <v>2</v>
      </c>
      <c r="L4" s="61">
        <v>112.5</v>
      </c>
      <c r="N4" s="76" t="s">
        <v>105</v>
      </c>
      <c r="O4" s="83">
        <f t="shared" si="0"/>
        <v>6000</v>
      </c>
      <c r="P4" s="80">
        <v>2</v>
      </c>
      <c r="Q4" s="64">
        <v>12000</v>
      </c>
    </row>
    <row r="5" spans="1:17">
      <c r="A5" s="19" t="s">
        <v>7</v>
      </c>
      <c r="B5" s="126">
        <f>IF(B$2=0,0,B$4/B$2)</f>
        <v>56.25</v>
      </c>
      <c r="C5" s="127"/>
      <c r="E5" s="33" t="s">
        <v>184</v>
      </c>
      <c r="F5" s="30" t="s">
        <v>187</v>
      </c>
      <c r="G5" s="13">
        <v>2</v>
      </c>
      <c r="H5" s="94">
        <f>IF(B$17=0,0,G5/B$17)</f>
        <v>0.5</v>
      </c>
      <c r="I5" s="56">
        <v>12</v>
      </c>
      <c r="N5" s="76" t="s">
        <v>157</v>
      </c>
      <c r="O5" s="83">
        <f>IF(P5=0,0,Q5/P5)</f>
        <v>1950</v>
      </c>
      <c r="P5" s="80">
        <v>2</v>
      </c>
      <c r="Q5" s="64">
        <v>3900</v>
      </c>
    </row>
    <row r="6" spans="1:17">
      <c r="A6" s="19" t="s">
        <v>1</v>
      </c>
      <c r="B6" s="128">
        <f>IF(B$2=0,0,(B$7*1+B$8*2+B$9*3+B$10*4)/B$2)</f>
        <v>1</v>
      </c>
      <c r="C6" s="129"/>
      <c r="E6" s="33" t="s">
        <v>182</v>
      </c>
      <c r="F6" s="30" t="s">
        <v>19</v>
      </c>
      <c r="G6" s="13">
        <v>1</v>
      </c>
      <c r="H6" s="94">
        <f>IF(B$17=0,0,G6/B$17)</f>
        <v>0.25</v>
      </c>
      <c r="I6" s="56">
        <v>5</v>
      </c>
      <c r="N6" s="76" t="s">
        <v>106</v>
      </c>
      <c r="O6" s="83">
        <f t="shared" ref="O6" si="1">IF(P6=0,0,Q6/P6)</f>
        <v>-4000</v>
      </c>
      <c r="P6" s="80">
        <v>1</v>
      </c>
      <c r="Q6" s="64">
        <v>-4000</v>
      </c>
    </row>
    <row r="7" spans="1:17">
      <c r="A7" s="19" t="s">
        <v>2</v>
      </c>
      <c r="B7" s="13">
        <v>2</v>
      </c>
      <c r="C7" s="6">
        <f t="shared" ref="C7:C12" si="2">IF(B$2=0,0,B7/B$2)</f>
        <v>1</v>
      </c>
      <c r="E7" s="33" t="s">
        <v>56</v>
      </c>
      <c r="F7" s="30" t="s">
        <v>185</v>
      </c>
      <c r="G7" s="13">
        <v>1</v>
      </c>
      <c r="H7" s="94">
        <f>IF(B$17=0,0,G7/B$17)</f>
        <v>0.25</v>
      </c>
      <c r="I7" s="56">
        <v>22</v>
      </c>
      <c r="N7" s="76" t="s">
        <v>107</v>
      </c>
      <c r="O7" s="83">
        <f t="shared" si="0"/>
        <v>8300</v>
      </c>
      <c r="P7" s="80">
        <v>1</v>
      </c>
      <c r="Q7" s="64">
        <v>8300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66</v>
      </c>
      <c r="F8" s="30" t="s">
        <v>30</v>
      </c>
      <c r="G8" s="13">
        <v>1</v>
      </c>
      <c r="H8" s="94">
        <f>IF(B$17=0,0,G8/B$17)</f>
        <v>0.25</v>
      </c>
      <c r="I8" s="56">
        <v>1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77</v>
      </c>
      <c r="F9" s="30" t="s">
        <v>41</v>
      </c>
      <c r="G9" s="13">
        <v>1</v>
      </c>
      <c r="H9" s="94">
        <f>IF(B$17=0,0,G9/B$17)</f>
        <v>0.25</v>
      </c>
      <c r="I9" s="56">
        <v>3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54</v>
      </c>
      <c r="F10" s="30" t="s">
        <v>20</v>
      </c>
      <c r="G10" s="13">
        <v>0</v>
      </c>
      <c r="H10" s="94">
        <f>IF(B$17=0,0,G10/B$17)</f>
        <v>0</v>
      </c>
      <c r="I10" s="56">
        <v>34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1</v>
      </c>
      <c r="E11" s="33" t="s">
        <v>57</v>
      </c>
      <c r="F11" s="30" t="s">
        <v>21</v>
      </c>
      <c r="G11" s="13">
        <v>0</v>
      </c>
      <c r="H11" s="94">
        <f>IF(B$17=0,0,G11/B$17)</f>
        <v>0</v>
      </c>
      <c r="I11" s="56">
        <v>32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0</v>
      </c>
      <c r="H12" s="94">
        <f>IF(B$17=0,0,G12/B$17)</f>
        <v>0</v>
      </c>
      <c r="I12" s="56">
        <v>24</v>
      </c>
      <c r="N12" s="75" t="s">
        <v>126</v>
      </c>
      <c r="O12" s="85">
        <f>IF(P12=0,0,Q12/P12)</f>
        <v>61.3</v>
      </c>
      <c r="P12" s="79">
        <v>1</v>
      </c>
      <c r="Q12" s="67">
        <v>61.3</v>
      </c>
    </row>
    <row r="13" spans="1:17">
      <c r="A13" s="22" t="s">
        <v>97</v>
      </c>
      <c r="B13" s="15">
        <v>2</v>
      </c>
      <c r="C13" s="11">
        <f>IF(B$3=0,0,B13/B$3)</f>
        <v>0.15384615384615385</v>
      </c>
      <c r="E13" s="33" t="s">
        <v>59</v>
      </c>
      <c r="F13" s="30" t="s">
        <v>23</v>
      </c>
      <c r="G13" s="13">
        <v>0</v>
      </c>
      <c r="H13" s="94">
        <f>IF(B$17=0,0,G13/B$17)</f>
        <v>0</v>
      </c>
      <c r="I13" s="56">
        <v>26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5</v>
      </c>
      <c r="C14" s="6">
        <f>IF(B$3=0,0,B14/B$3)</f>
        <v>0.38461538461538464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5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2</v>
      </c>
      <c r="C15" s="4">
        <f>IF(B$13=0,0,B15/B$13)</f>
        <v>1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6</v>
      </c>
      <c r="N15" s="77" t="s">
        <v>159</v>
      </c>
      <c r="O15" s="87">
        <f>IF(P15=0,0,Q15/P15)</f>
        <v>51.2</v>
      </c>
      <c r="P15" s="81">
        <v>1</v>
      </c>
      <c r="Q15" s="69">
        <v>51.2</v>
      </c>
    </row>
    <row r="16" spans="1:17">
      <c r="A16" s="18" t="s">
        <v>100</v>
      </c>
      <c r="B16" s="12">
        <f>B22</f>
        <v>1</v>
      </c>
      <c r="C16" s="4">
        <f>IF(B$14=0,0,B16/B$14)</f>
        <v>0.2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</v>
      </c>
      <c r="C17" s="4">
        <f>IF(B$3=0,0,B17/B$3)</f>
        <v>0.30769230769230771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</v>
      </c>
      <c r="C18" s="6">
        <f>IF(B$3=0,0,B18/B$3)</f>
        <v>7.6923076923076927E-2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228</v>
      </c>
      <c r="O18" s="85">
        <f>IF(P18=0,0,Q18/P18)</f>
        <v>103.70000000000002</v>
      </c>
      <c r="P18" s="79">
        <v>2</v>
      </c>
      <c r="Q18" s="67">
        <v>207.40000000000003</v>
      </c>
    </row>
    <row r="19" spans="1:17">
      <c r="A19" s="19" t="s">
        <v>12</v>
      </c>
      <c r="B19" s="13">
        <v>1</v>
      </c>
      <c r="C19" s="6">
        <f>IF(B$17=0,0,B19/B$17)</f>
        <v>0.25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8</v>
      </c>
      <c r="N19" s="76" t="s">
        <v>216</v>
      </c>
      <c r="O19" s="86">
        <f>IF(P19=0,0,Q19/P19)</f>
        <v>63.850000000000009</v>
      </c>
      <c r="P19" s="80">
        <v>2</v>
      </c>
      <c r="Q19" s="68">
        <v>127.70000000000002</v>
      </c>
    </row>
    <row r="20" spans="1:17">
      <c r="A20" s="19" t="s">
        <v>11</v>
      </c>
      <c r="B20" s="13">
        <v>3</v>
      </c>
      <c r="C20" s="6">
        <f>IF(B$17=0,0,B20/B$17)</f>
        <v>0.75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16</v>
      </c>
      <c r="N20" s="76" t="s">
        <v>227</v>
      </c>
      <c r="O20" s="86">
        <f>IF(P20=0,0,Q20/P20)</f>
        <v>57.449999999999996</v>
      </c>
      <c r="P20" s="80">
        <v>2</v>
      </c>
      <c r="Q20" s="68">
        <v>114.89999999999999</v>
      </c>
    </row>
    <row r="21" spans="1:17">
      <c r="A21" s="19" t="s">
        <v>151</v>
      </c>
      <c r="B21" s="13">
        <v>2</v>
      </c>
      <c r="C21" s="6">
        <f>IF(B$17=0,0,B21/B$17)</f>
        <v>0.5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1</v>
      </c>
      <c r="C22" s="6">
        <f>IF(B$17=0,0,B22/B$17)</f>
        <v>0.25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8</v>
      </c>
    </row>
    <row r="23" spans="1:17">
      <c r="A23" s="19" t="s">
        <v>150</v>
      </c>
      <c r="B23" s="13">
        <v>1</v>
      </c>
      <c r="C23" s="6">
        <f>IF(B$17=0,0,B23/B$17)</f>
        <v>0.25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</row>
    <row r="24" spans="1:17">
      <c r="A24" s="19" t="s">
        <v>5</v>
      </c>
      <c r="B24" s="16">
        <f>IF(B$17=0,0,C24/B$17)</f>
        <v>7975</v>
      </c>
      <c r="C24" s="8">
        <v>31900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14</v>
      </c>
    </row>
    <row r="25" spans="1:17">
      <c r="A25" s="20" t="s">
        <v>133</v>
      </c>
      <c r="B25" s="97">
        <f>IF($B$17-B$16=0,0,C25/($B$17-B$16))</f>
        <v>7966.666666666667</v>
      </c>
      <c r="C25" s="98">
        <v>23900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</row>
    <row r="26" spans="1:17">
      <c r="A26" s="20" t="s">
        <v>134</v>
      </c>
      <c r="B26" s="97">
        <f>IF(B$16=0,0,C26/B$16)</f>
        <v>8000</v>
      </c>
      <c r="C26" s="98">
        <v>8000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</row>
    <row r="27" spans="1:17">
      <c r="A27" s="20" t="s">
        <v>132</v>
      </c>
      <c r="B27" s="97">
        <f>IF(B$18=0,0,C27/B$18)</f>
        <v>-3900</v>
      </c>
      <c r="C27" s="98">
        <v>-3900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12</v>
      </c>
    </row>
    <row r="28" spans="1:17">
      <c r="A28" s="19" t="s">
        <v>130</v>
      </c>
      <c r="B28" s="13">
        <v>1</v>
      </c>
      <c r="C28" s="96">
        <v>1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10</v>
      </c>
      <c r="C29" s="96">
        <v>2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5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7</v>
      </c>
    </row>
    <row r="31" spans="1:17">
      <c r="A31" s="22" t="s">
        <v>148</v>
      </c>
      <c r="B31" s="116">
        <v>41300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3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2</v>
      </c>
      <c r="C38" s="6">
        <f t="shared" si="3"/>
        <v>0.5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3"/>
        <v>0.25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24CA5-C80B-4C01-8DF3-D681E67F8EC0}">
  <sheetPr codeName="Sheet34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235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14</v>
      </c>
      <c r="C2" s="121"/>
      <c r="E2" s="32" t="s">
        <v>54</v>
      </c>
      <c r="F2" s="29" t="s">
        <v>20</v>
      </c>
      <c r="G2" s="12">
        <v>12</v>
      </c>
      <c r="H2" s="93">
        <f>IF(B$17=0,0,G2/B$17)</f>
        <v>0.8571428571428571</v>
      </c>
      <c r="I2" s="55">
        <v>3</v>
      </c>
      <c r="K2" s="3">
        <v>0</v>
      </c>
      <c r="L2" s="60">
        <v>0</v>
      </c>
      <c r="N2" s="75" t="s">
        <v>103</v>
      </c>
      <c r="O2" s="82">
        <f t="shared" ref="O2:O9" si="0">IF(P2=0,0,Q2/P2)</f>
        <v>-3271.4285714285716</v>
      </c>
      <c r="P2" s="79">
        <v>14</v>
      </c>
      <c r="Q2" s="63">
        <v>-45800</v>
      </c>
    </row>
    <row r="3" spans="1:17">
      <c r="A3" s="19" t="s">
        <v>8</v>
      </c>
      <c r="B3" s="122">
        <v>106</v>
      </c>
      <c r="C3" s="123"/>
      <c r="E3" s="33" t="s">
        <v>181</v>
      </c>
      <c r="F3" s="30" t="s">
        <v>156</v>
      </c>
      <c r="G3" s="13">
        <v>7</v>
      </c>
      <c r="H3" s="94">
        <f>IF(B$17=0,0,G3/B$17)</f>
        <v>0.5</v>
      </c>
      <c r="I3" s="56">
        <v>18</v>
      </c>
      <c r="K3" s="5">
        <v>1</v>
      </c>
      <c r="L3" s="61">
        <v>-53.7</v>
      </c>
      <c r="N3" s="76" t="s">
        <v>104</v>
      </c>
      <c r="O3" s="83">
        <f t="shared" si="0"/>
        <v>-2785.7142857142858</v>
      </c>
      <c r="P3" s="80">
        <v>14</v>
      </c>
      <c r="Q3" s="64">
        <v>-39000</v>
      </c>
    </row>
    <row r="4" spans="1:17">
      <c r="A4" s="19" t="s">
        <v>6</v>
      </c>
      <c r="B4" s="124">
        <v>-366</v>
      </c>
      <c r="C4" s="125"/>
      <c r="E4" s="33" t="s">
        <v>56</v>
      </c>
      <c r="F4" s="30" t="s">
        <v>185</v>
      </c>
      <c r="G4" s="13">
        <v>6</v>
      </c>
      <c r="H4" s="94">
        <f>IF(B$17=0,0,G4/B$17)</f>
        <v>0.42857142857142855</v>
      </c>
      <c r="I4" s="56">
        <v>6</v>
      </c>
      <c r="K4" s="5">
        <v>2</v>
      </c>
      <c r="L4" s="61">
        <v>-70.800000000000011</v>
      </c>
      <c r="N4" s="76" t="s">
        <v>105</v>
      </c>
      <c r="O4" s="83">
        <f t="shared" si="0"/>
        <v>-2492.8571428571427</v>
      </c>
      <c r="P4" s="80">
        <v>14</v>
      </c>
      <c r="Q4" s="64">
        <v>-34900</v>
      </c>
    </row>
    <row r="5" spans="1:17">
      <c r="A5" s="19" t="s">
        <v>7</v>
      </c>
      <c r="B5" s="126">
        <f>IF(B$2=0,0,B$4/B$2)</f>
        <v>-26.142857142857142</v>
      </c>
      <c r="C5" s="127"/>
      <c r="E5" s="33" t="s">
        <v>184</v>
      </c>
      <c r="F5" s="30" t="s">
        <v>187</v>
      </c>
      <c r="G5" s="13">
        <v>4</v>
      </c>
      <c r="H5" s="94">
        <f>IF(B$17=0,0,G5/B$17)</f>
        <v>0.2857142857142857</v>
      </c>
      <c r="I5" s="56">
        <v>32</v>
      </c>
      <c r="K5" s="5">
        <v>3</v>
      </c>
      <c r="L5" s="61">
        <v>-67.200000000000017</v>
      </c>
      <c r="N5" s="76" t="s">
        <v>157</v>
      </c>
      <c r="O5" s="83">
        <f>IF(P5=0,0,Q5/P5)</f>
        <v>-946.15384615384619</v>
      </c>
      <c r="P5" s="80">
        <v>13</v>
      </c>
      <c r="Q5" s="64">
        <v>-12300</v>
      </c>
    </row>
    <row r="6" spans="1:17">
      <c r="A6" s="19" t="s">
        <v>1</v>
      </c>
      <c r="B6" s="128">
        <f>IF(B$2=0,0,(B$7*1+B$8*2+B$9*3+B$10*4)/B$2)</f>
        <v>3.2142857142857144</v>
      </c>
      <c r="C6" s="129"/>
      <c r="E6" s="33" t="s">
        <v>60</v>
      </c>
      <c r="F6" s="30" t="s">
        <v>24</v>
      </c>
      <c r="G6" s="13">
        <v>3</v>
      </c>
      <c r="H6" s="94">
        <f>IF(B$17=0,0,G6/B$17)</f>
        <v>0.21428571428571427</v>
      </c>
      <c r="I6" s="56">
        <v>32</v>
      </c>
      <c r="K6" s="5">
        <v>4</v>
      </c>
      <c r="L6" s="61">
        <v>-128.70000000000002</v>
      </c>
      <c r="N6" s="76" t="s">
        <v>106</v>
      </c>
      <c r="O6" s="83">
        <f t="shared" ref="O6" si="1">IF(P6=0,0,Q6/P6)</f>
        <v>-1110</v>
      </c>
      <c r="P6" s="80">
        <v>10</v>
      </c>
      <c r="Q6" s="64">
        <v>-11100</v>
      </c>
    </row>
    <row r="7" spans="1:17">
      <c r="A7" s="19" t="s">
        <v>2</v>
      </c>
      <c r="B7" s="13">
        <v>2</v>
      </c>
      <c r="C7" s="6">
        <f t="shared" ref="C7:C12" si="2">IF(B$2=0,0,B7/B$2)</f>
        <v>0.14285714285714285</v>
      </c>
      <c r="E7" s="33" t="s">
        <v>182</v>
      </c>
      <c r="F7" s="30" t="s">
        <v>19</v>
      </c>
      <c r="G7" s="13">
        <v>2</v>
      </c>
      <c r="H7" s="94">
        <f>IF(B$17=0,0,G7/B$17)</f>
        <v>0.14285714285714285</v>
      </c>
      <c r="I7" s="56">
        <v>14</v>
      </c>
      <c r="K7" s="5">
        <v>5</v>
      </c>
      <c r="L7" s="61">
        <v>-168.90000000000003</v>
      </c>
      <c r="N7" s="76" t="s">
        <v>107</v>
      </c>
      <c r="O7" s="83">
        <f t="shared" si="0"/>
        <v>1800</v>
      </c>
      <c r="P7" s="80">
        <v>6</v>
      </c>
      <c r="Q7" s="64">
        <v>10800</v>
      </c>
    </row>
    <row r="8" spans="1:17">
      <c r="A8" s="19" t="s">
        <v>3</v>
      </c>
      <c r="B8" s="13">
        <v>1</v>
      </c>
      <c r="C8" s="6">
        <f>IF(B$2=0,0,B8/B$2)</f>
        <v>7.1428571428571425E-2</v>
      </c>
      <c r="E8" s="33" t="s">
        <v>55</v>
      </c>
      <c r="F8" s="30" t="s">
        <v>155</v>
      </c>
      <c r="G8" s="13">
        <v>2</v>
      </c>
      <c r="H8" s="94">
        <f>IF(B$17=0,0,G8/B$17)</f>
        <v>0.14285714285714285</v>
      </c>
      <c r="I8" s="56">
        <v>29</v>
      </c>
      <c r="K8" s="5">
        <v>6</v>
      </c>
      <c r="L8" s="61">
        <v>-225.90000000000003</v>
      </c>
      <c r="N8" s="76" t="s">
        <v>108</v>
      </c>
      <c r="O8" s="83">
        <f t="shared" si="0"/>
        <v>-900</v>
      </c>
      <c r="P8" s="80">
        <v>3</v>
      </c>
      <c r="Q8" s="64">
        <v>-2700</v>
      </c>
    </row>
    <row r="9" spans="1:17">
      <c r="A9" s="20" t="s">
        <v>4</v>
      </c>
      <c r="B9" s="14">
        <v>3</v>
      </c>
      <c r="C9" s="7">
        <f>IF(B$2=0,0,B9/B$2)</f>
        <v>0.21428571428571427</v>
      </c>
      <c r="E9" s="33" t="s">
        <v>57</v>
      </c>
      <c r="F9" s="30" t="s">
        <v>21</v>
      </c>
      <c r="G9" s="13">
        <v>2</v>
      </c>
      <c r="H9" s="94">
        <f>IF(B$17=0,0,G9/B$17)</f>
        <v>0.14285714285714285</v>
      </c>
      <c r="I9" s="56">
        <v>28</v>
      </c>
      <c r="K9" s="5">
        <v>7</v>
      </c>
      <c r="L9" s="61">
        <v>-179.00000000000003</v>
      </c>
      <c r="N9" s="77" t="s">
        <v>158</v>
      </c>
      <c r="O9" s="84">
        <f t="shared" si="0"/>
        <v>-1000</v>
      </c>
      <c r="P9" s="81">
        <v>1</v>
      </c>
      <c r="Q9" s="65">
        <v>-1000</v>
      </c>
    </row>
    <row r="10" spans="1:17">
      <c r="A10" s="20" t="s">
        <v>152</v>
      </c>
      <c r="B10" s="14">
        <v>8</v>
      </c>
      <c r="C10" s="7">
        <f>IF(B$2=0,0,B10/B$2)</f>
        <v>0.5714285714285714</v>
      </c>
      <c r="E10" s="33" t="s">
        <v>59</v>
      </c>
      <c r="F10" s="30" t="s">
        <v>23</v>
      </c>
      <c r="G10" s="13">
        <v>1</v>
      </c>
      <c r="H10" s="94">
        <f>IF(B$17=0,0,G10/B$17)</f>
        <v>7.1428571428571425E-2</v>
      </c>
      <c r="I10" s="56">
        <v>23</v>
      </c>
      <c r="K10" s="5">
        <v>8</v>
      </c>
      <c r="L10" s="61">
        <v>-229.40000000000003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3</v>
      </c>
      <c r="C11" s="7">
        <f>IF(B$2=0,0,B11/B$2)</f>
        <v>0.21428571428571427</v>
      </c>
      <c r="E11" s="33" t="s">
        <v>61</v>
      </c>
      <c r="F11" s="30" t="s">
        <v>25</v>
      </c>
      <c r="G11" s="13">
        <v>1</v>
      </c>
      <c r="H11" s="94">
        <f>IF(B$17=0,0,G11/B$17)</f>
        <v>7.1428571428571425E-2</v>
      </c>
      <c r="I11" s="56">
        <v>2</v>
      </c>
      <c r="K11" s="5">
        <v>9</v>
      </c>
      <c r="L11" s="61">
        <v>-285.90000000000003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7.1428571428571425E-2</v>
      </c>
      <c r="E12" s="33" t="s">
        <v>66</v>
      </c>
      <c r="F12" s="30" t="s">
        <v>30</v>
      </c>
      <c r="G12" s="13">
        <v>1</v>
      </c>
      <c r="H12" s="94">
        <f>IF(B$17=0,0,G12/B$17)</f>
        <v>7.1428571428571425E-2</v>
      </c>
      <c r="I12" s="56">
        <v>3</v>
      </c>
      <c r="K12" s="5">
        <v>10</v>
      </c>
      <c r="L12" s="61">
        <v>-333.20000000000005</v>
      </c>
      <c r="N12" s="75" t="s">
        <v>126</v>
      </c>
      <c r="O12" s="85">
        <f>IF(P12=0,0,Q12/P12)</f>
        <v>-4.400000000000003</v>
      </c>
      <c r="P12" s="79">
        <v>5</v>
      </c>
      <c r="Q12" s="67">
        <v>-22.000000000000014</v>
      </c>
    </row>
    <row r="13" spans="1:17">
      <c r="A13" s="22" t="s">
        <v>97</v>
      </c>
      <c r="B13" s="15">
        <v>11</v>
      </c>
      <c r="C13" s="11">
        <f>IF(B$3=0,0,B13/B$3)</f>
        <v>0.10377358490566038</v>
      </c>
      <c r="E13" s="33" t="s">
        <v>71</v>
      </c>
      <c r="F13" s="30" t="s">
        <v>35</v>
      </c>
      <c r="G13" s="13">
        <v>1</v>
      </c>
      <c r="H13" s="94">
        <f>IF(B$17=0,0,G13/B$17)</f>
        <v>7.1428571428571425E-2</v>
      </c>
      <c r="I13" s="56">
        <v>8</v>
      </c>
      <c r="K13" s="5">
        <v>11</v>
      </c>
      <c r="L13" s="61">
        <v>-378.40000000000003</v>
      </c>
      <c r="N13" s="76" t="s">
        <v>127</v>
      </c>
      <c r="O13" s="86">
        <f>IF(P13=0,0,Q13/P13)</f>
        <v>-53.7</v>
      </c>
      <c r="P13" s="80">
        <v>1</v>
      </c>
      <c r="Q13" s="68">
        <v>-53.7</v>
      </c>
    </row>
    <row r="14" spans="1:17">
      <c r="A14" s="19" t="s">
        <v>94</v>
      </c>
      <c r="B14" s="13">
        <v>24</v>
      </c>
      <c r="C14" s="6">
        <f>IF(B$3=0,0,B14/B$3)</f>
        <v>0.22641509433962265</v>
      </c>
      <c r="E14" s="33" t="s">
        <v>58</v>
      </c>
      <c r="F14" s="30" t="s">
        <v>22</v>
      </c>
      <c r="G14" s="13">
        <v>0</v>
      </c>
      <c r="H14" s="94">
        <f>IF(B$17=0,0,G14/B$17)</f>
        <v>0</v>
      </c>
      <c r="I14" s="56">
        <v>24</v>
      </c>
      <c r="K14" s="5">
        <v>12</v>
      </c>
      <c r="L14" s="61">
        <v>-403.8</v>
      </c>
      <c r="N14" s="76" t="s">
        <v>128</v>
      </c>
      <c r="O14" s="86">
        <f>IF(P14=0,0,Q14/P14)</f>
        <v>-33.54</v>
      </c>
      <c r="P14" s="80">
        <v>5</v>
      </c>
      <c r="Q14" s="68">
        <v>-167.7</v>
      </c>
    </row>
    <row r="15" spans="1:17">
      <c r="A15" s="18" t="s">
        <v>99</v>
      </c>
      <c r="B15" s="12">
        <f>B21</f>
        <v>7</v>
      </c>
      <c r="C15" s="4">
        <f>IF(B$13=0,0,B15/B$13)</f>
        <v>0.63636363636363635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6</v>
      </c>
      <c r="K15" s="5">
        <v>13</v>
      </c>
      <c r="L15" s="61">
        <v>-426.8</v>
      </c>
      <c r="N15" s="77" t="s">
        <v>159</v>
      </c>
      <c r="O15" s="87">
        <f>IF(P15=0,0,Q15/P15)</f>
        <v>-40.866666666666667</v>
      </c>
      <c r="P15" s="81">
        <v>3</v>
      </c>
      <c r="Q15" s="69">
        <v>-122.6</v>
      </c>
    </row>
    <row r="16" spans="1:17">
      <c r="A16" s="18" t="s">
        <v>100</v>
      </c>
      <c r="B16" s="12">
        <f>B22</f>
        <v>3</v>
      </c>
      <c r="C16" s="4">
        <f>IF(B$14=0,0,B16/B$14)</f>
        <v>0.125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1</v>
      </c>
      <c r="K16" s="5">
        <v>14</v>
      </c>
      <c r="L16" s="61">
        <v>-366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14</v>
      </c>
      <c r="C17" s="4">
        <f>IF(B$3=0,0,B17/B$3)</f>
        <v>0.13207547169811321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22</v>
      </c>
      <c r="C18" s="6">
        <f>IF(B$3=0,0,B18/B$3)</f>
        <v>0.20754716981132076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244</v>
      </c>
      <c r="O18" s="85">
        <f>IF(P18=0,0,Q18/P18)</f>
        <v>85.5</v>
      </c>
      <c r="P18" s="79">
        <v>1</v>
      </c>
      <c r="Q18" s="67">
        <v>85.5</v>
      </c>
    </row>
    <row r="19" spans="1:17">
      <c r="A19" s="19" t="s">
        <v>12</v>
      </c>
      <c r="B19" s="13">
        <v>8</v>
      </c>
      <c r="C19" s="6">
        <f>IF(B$17=0,0,B19/B$17)</f>
        <v>0.5714285714285714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8</v>
      </c>
      <c r="N19" s="76" t="s">
        <v>277</v>
      </c>
      <c r="O19" s="86">
        <f>IF(P19=0,0,Q19/P19)</f>
        <v>-0.46666666666666384</v>
      </c>
      <c r="P19" s="80">
        <v>3</v>
      </c>
      <c r="Q19" s="68">
        <v>-1.3999999999999915</v>
      </c>
    </row>
    <row r="20" spans="1:17">
      <c r="A20" s="19" t="s">
        <v>11</v>
      </c>
      <c r="B20" s="13">
        <v>6</v>
      </c>
      <c r="C20" s="6">
        <f>IF(B$17=0,0,B20/B$17)</f>
        <v>0.42857142857142855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16</v>
      </c>
      <c r="N20" s="76" t="s">
        <v>216</v>
      </c>
      <c r="O20" s="86">
        <f>IF(P20=0,0,Q20/P20)</f>
        <v>-4.3000000000000016</v>
      </c>
      <c r="P20" s="80">
        <v>3</v>
      </c>
      <c r="Q20" s="68">
        <v>-12.900000000000006</v>
      </c>
    </row>
    <row r="21" spans="1:17">
      <c r="A21" s="19" t="s">
        <v>151</v>
      </c>
      <c r="B21" s="13">
        <v>7</v>
      </c>
      <c r="C21" s="6">
        <f>IF(B$17=0,0,B21/B$17)</f>
        <v>0.5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1</v>
      </c>
      <c r="N21" s="76" t="s">
        <v>238</v>
      </c>
      <c r="O21" s="86">
        <f>IF(P21=0,0,Q21/P21)</f>
        <v>-4.5999999999999996</v>
      </c>
      <c r="P21" s="80">
        <v>4</v>
      </c>
      <c r="Q21" s="68">
        <v>-18.399999999999999</v>
      </c>
    </row>
    <row r="22" spans="1:17">
      <c r="A22" s="19" t="s">
        <v>149</v>
      </c>
      <c r="B22" s="13">
        <v>3</v>
      </c>
      <c r="C22" s="6">
        <f>IF(B$17=0,0,B22/B$17)</f>
        <v>0.21428571428571427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8</v>
      </c>
      <c r="N22" s="76" t="s">
        <v>263</v>
      </c>
      <c r="O22" s="86">
        <f>IF(P22=0,0,Q22/P22)</f>
        <v>-11.8</v>
      </c>
      <c r="P22" s="80">
        <v>4</v>
      </c>
      <c r="Q22" s="68">
        <v>-47.2</v>
      </c>
    </row>
    <row r="23" spans="1:17">
      <c r="A23" s="19" t="s">
        <v>150</v>
      </c>
      <c r="B23" s="13">
        <v>4</v>
      </c>
      <c r="C23" s="6">
        <f>IF(B$17=0,0,B23/B$17)</f>
        <v>0.2857142857142857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N23" s="76" t="s">
        <v>169</v>
      </c>
      <c r="O23" s="86">
        <f>IF(P23=0,0,Q23/P23)</f>
        <v>-16.224999999999998</v>
      </c>
      <c r="P23" s="80">
        <v>4</v>
      </c>
      <c r="Q23" s="68">
        <v>-64.899999999999991</v>
      </c>
    </row>
    <row r="24" spans="1:17">
      <c r="A24" s="19" t="s">
        <v>5</v>
      </c>
      <c r="B24" s="16">
        <f>IF(B$17=0,0,C24/B$17)</f>
        <v>5300</v>
      </c>
      <c r="C24" s="8">
        <v>74200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258</v>
      </c>
      <c r="O24" s="86">
        <f>IF(P24=0,0,Q24/P24)</f>
        <v>-23.5</v>
      </c>
      <c r="P24" s="80">
        <v>3</v>
      </c>
      <c r="Q24" s="68">
        <v>-70.5</v>
      </c>
    </row>
    <row r="25" spans="1:17">
      <c r="A25" s="20" t="s">
        <v>133</v>
      </c>
      <c r="B25" s="97">
        <f>IF($B$17-B$16=0,0,C25/($B$17-B$16))</f>
        <v>5954.545454545455</v>
      </c>
      <c r="C25" s="98">
        <v>65500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  <c r="N25" s="76" t="s">
        <v>269</v>
      </c>
      <c r="O25" s="86">
        <f>IF(P25=0,0,Q25/P25)</f>
        <v>-28.300000000000004</v>
      </c>
      <c r="P25" s="80">
        <v>1</v>
      </c>
      <c r="Q25" s="68">
        <v>-28.300000000000004</v>
      </c>
    </row>
    <row r="26" spans="1:17">
      <c r="A26" s="20" t="s">
        <v>134</v>
      </c>
      <c r="B26" s="97">
        <f>IF(B$16=0,0,C26/B$16)</f>
        <v>2900</v>
      </c>
      <c r="C26" s="98">
        <v>8700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12</v>
      </c>
      <c r="N26" s="76" t="s">
        <v>241</v>
      </c>
      <c r="O26" s="86">
        <f>IF(P26=0,0,Q26/P26)</f>
        <v>-35.400000000000006</v>
      </c>
      <c r="P26" s="80">
        <v>2</v>
      </c>
      <c r="Q26" s="68">
        <v>-70.800000000000011</v>
      </c>
    </row>
    <row r="27" spans="1:17">
      <c r="A27" s="20" t="s">
        <v>132</v>
      </c>
      <c r="B27" s="97">
        <f>IF(B$18=0,0,C27/B$18)</f>
        <v>-6118.181818181818</v>
      </c>
      <c r="C27" s="98">
        <v>-134600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255</v>
      </c>
      <c r="O27" s="86">
        <f>IF(P27=0,0,Q27/P27)</f>
        <v>-46.175000000000011</v>
      </c>
      <c r="P27" s="80">
        <v>4</v>
      </c>
      <c r="Q27" s="68">
        <v>-184.70000000000005</v>
      </c>
    </row>
    <row r="28" spans="1:17">
      <c r="A28" s="19" t="s">
        <v>130</v>
      </c>
      <c r="B28" s="13">
        <v>2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5</v>
      </c>
      <c r="N28" s="76" t="s">
        <v>228</v>
      </c>
      <c r="O28" s="86">
        <f>IF(P28=0,0,Q28/P28)</f>
        <v>-59.824999999999996</v>
      </c>
      <c r="P28" s="80">
        <v>4</v>
      </c>
      <c r="Q28" s="68">
        <v>-239.29999999999998</v>
      </c>
    </row>
    <row r="29" spans="1:17">
      <c r="A29" s="19" t="s">
        <v>131</v>
      </c>
      <c r="B29" s="13">
        <v>18</v>
      </c>
      <c r="C29" s="96">
        <v>18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16</v>
      </c>
      <c r="N29" s="76" t="s">
        <v>262</v>
      </c>
      <c r="O29" s="86">
        <f>IF(P29=0,0,Q29/P29)</f>
        <v>-64.5</v>
      </c>
      <c r="P29" s="80">
        <v>1</v>
      </c>
      <c r="Q29" s="68">
        <v>-64.5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7</v>
      </c>
      <c r="N30" s="76" t="s">
        <v>276</v>
      </c>
      <c r="O30" s="86">
        <f>IF(P30=0,0,Q30/P30)</f>
        <v>-67.750000000000014</v>
      </c>
      <c r="P30" s="80">
        <v>2</v>
      </c>
      <c r="Q30" s="68">
        <v>-135.50000000000003</v>
      </c>
    </row>
    <row r="31" spans="1:17">
      <c r="A31" s="22" t="s">
        <v>148</v>
      </c>
      <c r="B31" s="116">
        <v>40800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272</v>
      </c>
      <c r="O31" s="86">
        <f>IF(P31=0,0,Q31/P31)</f>
        <v>-72.849999999999994</v>
      </c>
      <c r="P31" s="80">
        <v>2</v>
      </c>
      <c r="Q31" s="68">
        <v>-145.69999999999999</v>
      </c>
    </row>
    <row r="32" spans="1:17">
      <c r="A32" s="21" t="s">
        <v>112</v>
      </c>
      <c r="B32" s="26">
        <v>1</v>
      </c>
      <c r="C32" s="9">
        <f>IF(B$3=0,0,B32/B$3)</f>
        <v>9.433962264150943E-3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195</v>
      </c>
      <c r="O32" s="86">
        <f>IF(P32=0,0,Q32/P32)</f>
        <v>-102.8</v>
      </c>
      <c r="P32" s="80">
        <v>3</v>
      </c>
      <c r="Q32" s="68">
        <v>-308.39999999999998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265</v>
      </c>
      <c r="O33" s="86">
        <f>IF(P33=0,0,Q33/P33)</f>
        <v>-127</v>
      </c>
      <c r="P33" s="80">
        <v>1</v>
      </c>
      <c r="Q33" s="68">
        <v>-127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17">
      <c r="A35" s="52" t="s">
        <v>139</v>
      </c>
      <c r="B35" s="99">
        <v>2</v>
      </c>
      <c r="C35" s="102">
        <f t="shared" ref="C35:C47" si="3">IF(B$17=0,0,B35/B$17)</f>
        <v>0.14285714285714285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17">
      <c r="A36" s="19" t="s">
        <v>135</v>
      </c>
      <c r="B36" s="13">
        <v>4</v>
      </c>
      <c r="C36" s="6">
        <f t="shared" si="3"/>
        <v>0.2857142857142857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1</v>
      </c>
      <c r="C37" s="6">
        <f t="shared" si="3"/>
        <v>7.1428571428571425E-2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6</v>
      </c>
      <c r="C38" s="6">
        <f t="shared" si="3"/>
        <v>0.42857142857142855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1</v>
      </c>
      <c r="C40" s="6">
        <f t="shared" si="3"/>
        <v>7.1428571428571425E-2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3"/>
        <v>0</v>
      </c>
    </row>
    <row r="44" spans="1:17">
      <c r="A44" s="19" t="s">
        <v>144</v>
      </c>
      <c r="B44" s="100">
        <v>0</v>
      </c>
      <c r="C44" s="6">
        <f t="shared" si="3"/>
        <v>0</v>
      </c>
    </row>
    <row r="45" spans="1:17">
      <c r="A45" s="19" t="s">
        <v>145</v>
      </c>
      <c r="B45" s="100">
        <v>0</v>
      </c>
      <c r="C45" s="6">
        <f t="shared" si="3"/>
        <v>0</v>
      </c>
    </row>
    <row r="46" spans="1:17">
      <c r="A46" s="19" t="s">
        <v>146</v>
      </c>
      <c r="B46" s="100">
        <v>0</v>
      </c>
      <c r="C46" s="6">
        <f t="shared" si="3"/>
        <v>0</v>
      </c>
    </row>
    <row r="47" spans="1:17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N18:Q33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FB2191-D0CC-42DF-BCF9-663128135D83}">
  <sheetPr codeName="Sheet3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238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17</v>
      </c>
      <c r="C2" s="121"/>
      <c r="E2" s="32" t="s">
        <v>60</v>
      </c>
      <c r="F2" s="29" t="s">
        <v>24</v>
      </c>
      <c r="G2" s="12">
        <v>14</v>
      </c>
      <c r="H2" s="93">
        <f>IF(B$17=0,0,G2/B$17)</f>
        <v>0.63636363636363635</v>
      </c>
      <c r="I2" s="55">
        <v>7</v>
      </c>
      <c r="K2" s="3">
        <v>0</v>
      </c>
      <c r="L2" s="60">
        <v>0</v>
      </c>
      <c r="N2" s="75" t="s">
        <v>103</v>
      </c>
      <c r="O2" s="82">
        <f t="shared" ref="O2:O9" si="0">IF(P2=0,0,Q2/P2)</f>
        <v>-235.29411764705881</v>
      </c>
      <c r="P2" s="79">
        <v>17</v>
      </c>
      <c r="Q2" s="63">
        <v>-4000</v>
      </c>
    </row>
    <row r="3" spans="1:17">
      <c r="A3" s="19" t="s">
        <v>8</v>
      </c>
      <c r="B3" s="122">
        <v>122</v>
      </c>
      <c r="C3" s="123"/>
      <c r="E3" s="33" t="s">
        <v>181</v>
      </c>
      <c r="F3" s="30" t="s">
        <v>156</v>
      </c>
      <c r="G3" s="13">
        <v>12</v>
      </c>
      <c r="H3" s="94">
        <f>IF(B$17=0,0,G3/B$17)</f>
        <v>0.54545454545454541</v>
      </c>
      <c r="I3" s="56">
        <v>16</v>
      </c>
      <c r="K3" s="5">
        <v>1</v>
      </c>
      <c r="L3" s="61">
        <v>-31</v>
      </c>
      <c r="N3" s="76" t="s">
        <v>104</v>
      </c>
      <c r="O3" s="83">
        <f t="shared" si="0"/>
        <v>635.29411764705878</v>
      </c>
      <c r="P3" s="80">
        <v>17</v>
      </c>
      <c r="Q3" s="64">
        <v>10800</v>
      </c>
    </row>
    <row r="4" spans="1:17">
      <c r="A4" s="19" t="s">
        <v>6</v>
      </c>
      <c r="B4" s="124">
        <v>-210.49999999999994</v>
      </c>
      <c r="C4" s="125"/>
      <c r="E4" s="33" t="s">
        <v>54</v>
      </c>
      <c r="F4" s="30" t="s">
        <v>20</v>
      </c>
      <c r="G4" s="13">
        <v>12</v>
      </c>
      <c r="H4" s="94">
        <f>IF(B$17=0,0,G4/B$17)</f>
        <v>0.54545454545454541</v>
      </c>
      <c r="I4" s="56">
        <v>17</v>
      </c>
      <c r="K4" s="5">
        <v>2</v>
      </c>
      <c r="L4" s="61">
        <v>-52.3</v>
      </c>
      <c r="N4" s="76" t="s">
        <v>105</v>
      </c>
      <c r="O4" s="83">
        <f t="shared" si="0"/>
        <v>-943.75</v>
      </c>
      <c r="P4" s="80">
        <v>16</v>
      </c>
      <c r="Q4" s="64">
        <v>-15100</v>
      </c>
    </row>
    <row r="5" spans="1:17">
      <c r="A5" s="19" t="s">
        <v>7</v>
      </c>
      <c r="B5" s="126">
        <f>IF(B$2=0,0,B$4/B$2)</f>
        <v>-12.382352941176467</v>
      </c>
      <c r="C5" s="127"/>
      <c r="E5" s="33" t="s">
        <v>57</v>
      </c>
      <c r="F5" s="30" t="s">
        <v>21</v>
      </c>
      <c r="G5" s="13">
        <v>7</v>
      </c>
      <c r="H5" s="94">
        <f>IF(B$17=0,0,G5/B$17)</f>
        <v>0.31818181818181818</v>
      </c>
      <c r="I5" s="56">
        <v>10</v>
      </c>
      <c r="K5" s="5">
        <v>3</v>
      </c>
      <c r="L5" s="61">
        <v>-44.9</v>
      </c>
      <c r="N5" s="76" t="s">
        <v>157</v>
      </c>
      <c r="O5" s="83">
        <f>IF(P5=0,0,Q5/P5)</f>
        <v>-793.33333333333337</v>
      </c>
      <c r="P5" s="80">
        <v>15</v>
      </c>
      <c r="Q5" s="64">
        <v>-11900</v>
      </c>
    </row>
    <row r="6" spans="1:17">
      <c r="A6" s="19" t="s">
        <v>1</v>
      </c>
      <c r="B6" s="128">
        <f>IF(B$2=0,0,(B$7*1+B$8*2+B$9*3+B$10*4)/B$2)</f>
        <v>2.6470588235294117</v>
      </c>
      <c r="C6" s="129"/>
      <c r="E6" s="33" t="s">
        <v>184</v>
      </c>
      <c r="F6" s="30" t="s">
        <v>187</v>
      </c>
      <c r="G6" s="13">
        <v>7</v>
      </c>
      <c r="H6" s="94">
        <f>IF(B$17=0,0,G6/B$17)</f>
        <v>0.31818181818181818</v>
      </c>
      <c r="I6" s="56">
        <v>31</v>
      </c>
      <c r="K6" s="5">
        <v>4</v>
      </c>
      <c r="L6" s="61">
        <v>-106.69999999999999</v>
      </c>
      <c r="N6" s="76" t="s">
        <v>106</v>
      </c>
      <c r="O6" s="83">
        <f t="shared" ref="O6" si="1">IF(P6=0,0,Q6/P6)</f>
        <v>-2887.5</v>
      </c>
      <c r="P6" s="80">
        <v>8</v>
      </c>
      <c r="Q6" s="64">
        <v>-23100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56</v>
      </c>
      <c r="F7" s="30" t="s">
        <v>185</v>
      </c>
      <c r="G7" s="13">
        <v>6</v>
      </c>
      <c r="H7" s="94">
        <f>IF(B$17=0,0,G7/B$17)</f>
        <v>0.27272727272727271</v>
      </c>
      <c r="I7" s="56">
        <v>18</v>
      </c>
      <c r="K7" s="5">
        <v>5</v>
      </c>
      <c r="L7" s="61">
        <v>-96.399999999999991</v>
      </c>
      <c r="N7" s="76" t="s">
        <v>107</v>
      </c>
      <c r="O7" s="83">
        <f t="shared" si="0"/>
        <v>-3440</v>
      </c>
      <c r="P7" s="80">
        <v>5</v>
      </c>
      <c r="Q7" s="64">
        <v>-17200</v>
      </c>
    </row>
    <row r="8" spans="1:17">
      <c r="A8" s="19" t="s">
        <v>3</v>
      </c>
      <c r="B8" s="13">
        <v>8</v>
      </c>
      <c r="C8" s="6">
        <f>IF(B$2=0,0,B8/B$2)</f>
        <v>0.47058823529411764</v>
      </c>
      <c r="E8" s="33" t="s">
        <v>59</v>
      </c>
      <c r="F8" s="30" t="s">
        <v>23</v>
      </c>
      <c r="G8" s="13">
        <v>6</v>
      </c>
      <c r="H8" s="94">
        <f>IF(B$17=0,0,G8/B$17)</f>
        <v>0.27272727272727271</v>
      </c>
      <c r="I8" s="56">
        <v>5</v>
      </c>
      <c r="K8" s="5">
        <v>6</v>
      </c>
      <c r="L8" s="61">
        <v>-123.29999999999998</v>
      </c>
      <c r="N8" s="76" t="s">
        <v>108</v>
      </c>
      <c r="O8" s="83">
        <f t="shared" si="0"/>
        <v>-2100</v>
      </c>
      <c r="P8" s="80">
        <v>1</v>
      </c>
      <c r="Q8" s="64">
        <v>-2100</v>
      </c>
    </row>
    <row r="9" spans="1:17">
      <c r="A9" s="20" t="s">
        <v>4</v>
      </c>
      <c r="B9" s="14">
        <v>7</v>
      </c>
      <c r="C9" s="7">
        <f>IF(B$2=0,0,B9/B$2)</f>
        <v>0.41176470588235292</v>
      </c>
      <c r="E9" s="33" t="s">
        <v>55</v>
      </c>
      <c r="F9" s="30" t="s">
        <v>155</v>
      </c>
      <c r="G9" s="13">
        <v>5</v>
      </c>
      <c r="H9" s="94">
        <f>IF(B$17=0,0,G9/B$17)</f>
        <v>0.22727272727272727</v>
      </c>
      <c r="I9" s="56">
        <v>19</v>
      </c>
      <c r="K9" s="5">
        <v>7</v>
      </c>
      <c r="L9" s="61">
        <v>-160.59999999999997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0.11764705882352941</v>
      </c>
      <c r="E10" s="33" t="s">
        <v>182</v>
      </c>
      <c r="F10" s="30" t="s">
        <v>19</v>
      </c>
      <c r="G10" s="13">
        <v>4</v>
      </c>
      <c r="H10" s="94">
        <f>IF(B$17=0,0,G10/B$17)</f>
        <v>0.18181818181818182</v>
      </c>
      <c r="I10" s="56">
        <v>11</v>
      </c>
      <c r="K10" s="5">
        <v>8</v>
      </c>
      <c r="L10" s="61">
        <v>-209.49999999999997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8</v>
      </c>
      <c r="C11" s="7">
        <f>IF(B$2=0,0,B11/B$2)</f>
        <v>0.47058823529411764</v>
      </c>
      <c r="E11" s="33" t="s">
        <v>58</v>
      </c>
      <c r="F11" s="30" t="s">
        <v>22</v>
      </c>
      <c r="G11" s="13">
        <v>1</v>
      </c>
      <c r="H11" s="94">
        <f>IF(B$17=0,0,G11/B$17)</f>
        <v>4.5454545454545456E-2</v>
      </c>
      <c r="I11" s="56">
        <v>21</v>
      </c>
      <c r="K11" s="5">
        <v>9</v>
      </c>
      <c r="L11" s="61">
        <v>-197.09999999999997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5.8823529411764705E-2</v>
      </c>
      <c r="E12" s="33" t="s">
        <v>69</v>
      </c>
      <c r="F12" s="30" t="s">
        <v>33</v>
      </c>
      <c r="G12" s="13">
        <v>1</v>
      </c>
      <c r="H12" s="94">
        <f>IF(B$17=0,0,G12/B$17)</f>
        <v>4.5454545454545456E-2</v>
      </c>
      <c r="I12" s="56">
        <v>4</v>
      </c>
      <c r="K12" s="5">
        <v>10</v>
      </c>
      <c r="L12" s="61">
        <v>-217.49999999999997</v>
      </c>
      <c r="N12" s="75" t="s">
        <v>126</v>
      </c>
      <c r="O12" s="85">
        <f>IF(P12=0,0,Q12/P12)</f>
        <v>-48.9</v>
      </c>
      <c r="P12" s="79">
        <v>1</v>
      </c>
      <c r="Q12" s="67">
        <v>-48.9</v>
      </c>
    </row>
    <row r="13" spans="1:17">
      <c r="A13" s="22" t="s">
        <v>97</v>
      </c>
      <c r="B13" s="15">
        <v>19</v>
      </c>
      <c r="C13" s="11">
        <f>IF(B$3=0,0,B13/B$3)</f>
        <v>0.15573770491803279</v>
      </c>
      <c r="E13" s="33" t="s">
        <v>61</v>
      </c>
      <c r="F13" s="30" t="s">
        <v>25</v>
      </c>
      <c r="G13" s="13">
        <v>0</v>
      </c>
      <c r="H13" s="94">
        <f>IF(B$17=0,0,G13/B$17)</f>
        <v>0</v>
      </c>
      <c r="I13" s="56">
        <v>5</v>
      </c>
      <c r="K13" s="5">
        <v>11</v>
      </c>
      <c r="L13" s="61">
        <v>-246.89999999999998</v>
      </c>
      <c r="N13" s="76" t="s">
        <v>127</v>
      </c>
      <c r="O13" s="86">
        <f>IF(P13=0,0,Q13/P13)</f>
        <v>-7.7750000000000004</v>
      </c>
      <c r="P13" s="80">
        <v>4</v>
      </c>
      <c r="Q13" s="68">
        <v>-31.1</v>
      </c>
    </row>
    <row r="14" spans="1:17">
      <c r="A14" s="19" t="s">
        <v>94</v>
      </c>
      <c r="B14" s="13">
        <v>23</v>
      </c>
      <c r="C14" s="6">
        <f>IF(B$3=0,0,B14/B$3)</f>
        <v>0.18852459016393441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6</v>
      </c>
      <c r="K14" s="5">
        <v>12</v>
      </c>
      <c r="L14" s="61">
        <v>-237.89999999999998</v>
      </c>
      <c r="N14" s="76" t="s">
        <v>128</v>
      </c>
      <c r="O14" s="86">
        <f>IF(P14=0,0,Q14/P14)</f>
        <v>-15.028571428571427</v>
      </c>
      <c r="P14" s="80">
        <v>7</v>
      </c>
      <c r="Q14" s="68">
        <v>-105.19999999999999</v>
      </c>
    </row>
    <row r="15" spans="1:17">
      <c r="A15" s="18" t="s">
        <v>99</v>
      </c>
      <c r="B15" s="12">
        <f>B21</f>
        <v>12</v>
      </c>
      <c r="C15" s="4">
        <f>IF(B$13=0,0,B15/B$13)</f>
        <v>0.63157894736842102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1</v>
      </c>
      <c r="K15" s="5">
        <v>13</v>
      </c>
      <c r="L15" s="61">
        <v>-227.09999999999997</v>
      </c>
      <c r="N15" s="77" t="s">
        <v>159</v>
      </c>
      <c r="O15" s="87">
        <f>IF(P15=0,0,Q15/P15)</f>
        <v>-5.0599999999999987</v>
      </c>
      <c r="P15" s="81">
        <v>5</v>
      </c>
      <c r="Q15" s="69">
        <v>-25.299999999999994</v>
      </c>
    </row>
    <row r="16" spans="1:17">
      <c r="A16" s="18" t="s">
        <v>100</v>
      </c>
      <c r="B16" s="12">
        <f>B22</f>
        <v>7</v>
      </c>
      <c r="C16" s="4">
        <f>IF(B$14=0,0,B16/B$14)</f>
        <v>0.30434782608695654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K16" s="5">
        <v>14</v>
      </c>
      <c r="L16" s="61">
        <v>-211.29999999999995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22</v>
      </c>
      <c r="C17" s="4">
        <f>IF(B$3=0,0,B17/B$3)</f>
        <v>0.18032786885245902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K17" s="5">
        <v>15</v>
      </c>
      <c r="L17" s="61">
        <v>-203.49999999999994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17</v>
      </c>
      <c r="C18" s="6">
        <f>IF(B$3=0,0,B18/B$3)</f>
        <v>0.13934426229508196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9</v>
      </c>
      <c r="K18" s="5">
        <v>16</v>
      </c>
      <c r="L18" s="61">
        <v>-221.39999999999995</v>
      </c>
      <c r="N18" s="75" t="s">
        <v>265</v>
      </c>
      <c r="O18" s="85">
        <f>IF(P18=0,0,Q18/P18)</f>
        <v>68.8</v>
      </c>
      <c r="P18" s="79">
        <v>1</v>
      </c>
      <c r="Q18" s="67">
        <v>68.8</v>
      </c>
    </row>
    <row r="19" spans="1:17">
      <c r="A19" s="19" t="s">
        <v>12</v>
      </c>
      <c r="B19" s="13">
        <v>9</v>
      </c>
      <c r="C19" s="6">
        <f>IF(B$17=0,0,B19/B$17)</f>
        <v>0.40909090909090912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8</v>
      </c>
      <c r="K19" s="5">
        <v>17</v>
      </c>
      <c r="L19" s="61">
        <v>-210.49999999999994</v>
      </c>
      <c r="N19" s="76" t="s">
        <v>276</v>
      </c>
      <c r="O19" s="86">
        <f>IF(P19=0,0,Q19/P19)</f>
        <v>65.400000000000006</v>
      </c>
      <c r="P19" s="80">
        <v>1</v>
      </c>
      <c r="Q19" s="68">
        <v>65.400000000000006</v>
      </c>
    </row>
    <row r="20" spans="1:17">
      <c r="A20" s="19" t="s">
        <v>11</v>
      </c>
      <c r="B20" s="13">
        <v>13</v>
      </c>
      <c r="C20" s="6">
        <f>IF(B$17=0,0,B20/B$17)</f>
        <v>0.59090909090909094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16</v>
      </c>
      <c r="N20" s="76" t="s">
        <v>263</v>
      </c>
      <c r="O20" s="86">
        <f>IF(P20=0,0,Q20/P20)</f>
        <v>57.9</v>
      </c>
      <c r="P20" s="80">
        <v>1</v>
      </c>
      <c r="Q20" s="68">
        <v>57.9</v>
      </c>
    </row>
    <row r="21" spans="1:17">
      <c r="A21" s="19" t="s">
        <v>151</v>
      </c>
      <c r="B21" s="13">
        <v>12</v>
      </c>
      <c r="C21" s="6">
        <f>IF(B$17=0,0,B21/B$17)</f>
        <v>0.54545454545454541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1</v>
      </c>
      <c r="N21" s="76" t="s">
        <v>277</v>
      </c>
      <c r="O21" s="86">
        <f>IF(P21=0,0,Q21/P21)</f>
        <v>39.024999999999991</v>
      </c>
      <c r="P21" s="80">
        <v>4</v>
      </c>
      <c r="Q21" s="68">
        <v>156.09999999999997</v>
      </c>
    </row>
    <row r="22" spans="1:17">
      <c r="A22" s="19" t="s">
        <v>149</v>
      </c>
      <c r="B22" s="13">
        <v>7</v>
      </c>
      <c r="C22" s="6">
        <f>IF(B$17=0,0,B22/B$17)</f>
        <v>0.31818181818181818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228</v>
      </c>
      <c r="O22" s="86">
        <f>IF(P22=0,0,Q22/P22)</f>
        <v>13.174999999999999</v>
      </c>
      <c r="P22" s="80">
        <v>4</v>
      </c>
      <c r="Q22" s="68">
        <v>52.699999999999996</v>
      </c>
    </row>
    <row r="23" spans="1:17">
      <c r="A23" s="19" t="s">
        <v>150</v>
      </c>
      <c r="B23" s="13">
        <v>3</v>
      </c>
      <c r="C23" s="6">
        <f>IF(B$17=0,0,B23/B$17)</f>
        <v>0.13636363636363635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14</v>
      </c>
      <c r="N23" s="76" t="s">
        <v>235</v>
      </c>
      <c r="O23" s="86">
        <f>IF(P23=0,0,Q23/P23)</f>
        <v>4.6000000000000014</v>
      </c>
      <c r="P23" s="80">
        <v>4</v>
      </c>
      <c r="Q23" s="68">
        <v>18.400000000000006</v>
      </c>
    </row>
    <row r="24" spans="1:17">
      <c r="A24" s="19" t="s">
        <v>5</v>
      </c>
      <c r="B24" s="16">
        <f>IF(B$17=0,0,C24/B$17)</f>
        <v>6386.363636363636</v>
      </c>
      <c r="C24" s="8">
        <v>140500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244</v>
      </c>
      <c r="O24" s="86">
        <f>IF(P24=0,0,Q24/P24)</f>
        <v>-2.6333333333333342</v>
      </c>
      <c r="P24" s="80">
        <v>3</v>
      </c>
      <c r="Q24" s="68">
        <v>-7.9000000000000021</v>
      </c>
    </row>
    <row r="25" spans="1:17">
      <c r="A25" s="20" t="s">
        <v>133</v>
      </c>
      <c r="B25" s="97">
        <f>IF($B$17-B$16=0,0,C25/($B$17-B$16))</f>
        <v>8213.3333333333339</v>
      </c>
      <c r="C25" s="98">
        <v>123200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  <c r="N25" s="76" t="s">
        <v>169</v>
      </c>
      <c r="O25" s="86">
        <f>IF(P25=0,0,Q25/P25)</f>
        <v>-7.2500000000000009</v>
      </c>
      <c r="P25" s="80">
        <v>4</v>
      </c>
      <c r="Q25" s="68">
        <v>-29.000000000000004</v>
      </c>
    </row>
    <row r="26" spans="1:17">
      <c r="A26" s="20" t="s">
        <v>134</v>
      </c>
      <c r="B26" s="97">
        <f>IF(B$16=0,0,C26/B$16)</f>
        <v>2471.4285714285716</v>
      </c>
      <c r="C26" s="98">
        <v>17300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12</v>
      </c>
      <c r="N26" s="76" t="s">
        <v>241</v>
      </c>
      <c r="O26" s="86">
        <f>IF(P26=0,0,Q26/P26)</f>
        <v>-10.849999999999998</v>
      </c>
      <c r="P26" s="80">
        <v>2</v>
      </c>
      <c r="Q26" s="68">
        <v>-21.699999999999996</v>
      </c>
    </row>
    <row r="27" spans="1:17">
      <c r="A27" s="20" t="s">
        <v>132</v>
      </c>
      <c r="B27" s="97">
        <f>IF(B$18=0,0,C27/B$18)</f>
        <v>-7558.8235294117649</v>
      </c>
      <c r="C27" s="98">
        <v>-128500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227</v>
      </c>
      <c r="O27" s="86">
        <f>IF(P27=0,0,Q27/P27)</f>
        <v>-17.225000000000001</v>
      </c>
      <c r="P27" s="80">
        <v>8</v>
      </c>
      <c r="Q27" s="68">
        <v>-137.80000000000001</v>
      </c>
    </row>
    <row r="28" spans="1:17">
      <c r="A28" s="19" t="s">
        <v>130</v>
      </c>
      <c r="B28" s="13">
        <v>4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5</v>
      </c>
      <c r="N28" s="76" t="s">
        <v>216</v>
      </c>
      <c r="O28" s="86">
        <f>IF(P28=0,0,Q28/P28)</f>
        <v>-39.633333333333333</v>
      </c>
      <c r="P28" s="80">
        <v>6</v>
      </c>
      <c r="Q28" s="68">
        <v>-237.8</v>
      </c>
    </row>
    <row r="29" spans="1:17">
      <c r="A29" s="19" t="s">
        <v>131</v>
      </c>
      <c r="B29" s="13">
        <v>23</v>
      </c>
      <c r="C29" s="96">
        <v>2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16</v>
      </c>
      <c r="N29" s="76" t="s">
        <v>272</v>
      </c>
      <c r="O29" s="86">
        <f>IF(P29=0,0,Q29/P29)</f>
        <v>-57.325000000000003</v>
      </c>
      <c r="P29" s="80">
        <v>4</v>
      </c>
      <c r="Q29" s="68">
        <v>-229.3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7</v>
      </c>
      <c r="N30" s="76" t="s">
        <v>255</v>
      </c>
      <c r="O30" s="86">
        <f>IF(P30=0,0,Q30/P30)</f>
        <v>-63.800000000000011</v>
      </c>
      <c r="P30" s="80">
        <v>3</v>
      </c>
      <c r="Q30" s="68">
        <v>-191.40000000000003</v>
      </c>
    </row>
    <row r="31" spans="1:17">
      <c r="A31" s="22" t="s">
        <v>148</v>
      </c>
      <c r="B31" s="116">
        <v>35800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195</v>
      </c>
      <c r="O31" s="86">
        <f>IF(P31=0,0,Q31/P31)</f>
        <v>-66.066666666666649</v>
      </c>
      <c r="P31" s="80">
        <v>6</v>
      </c>
      <c r="Q31" s="68">
        <v>-396.39999999999992</v>
      </c>
    </row>
    <row r="32" spans="1:17">
      <c r="A32" s="21" t="s">
        <v>112</v>
      </c>
      <c r="B32" s="26">
        <v>1</v>
      </c>
      <c r="C32" s="9">
        <f>IF(B$3=0,0,B32/B$3)</f>
        <v>8.1967213114754103E-3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4</v>
      </c>
      <c r="C35" s="102">
        <f t="shared" ref="C35:C47" si="3">IF(B$17=0,0,B35/B$17)</f>
        <v>0.18181818181818182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5</v>
      </c>
      <c r="C36" s="6">
        <f t="shared" si="3"/>
        <v>0.22727272727272727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4</v>
      </c>
      <c r="C37" s="6">
        <f t="shared" si="3"/>
        <v>0.18181818181818182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4</v>
      </c>
      <c r="C38" s="6">
        <f t="shared" si="3"/>
        <v>0.18181818181818182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3"/>
        <v>9.0909090909090912E-2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2</v>
      </c>
      <c r="C41" s="6">
        <f t="shared" si="3"/>
        <v>9.0909090909090912E-2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1</v>
      </c>
      <c r="C44" s="6">
        <f t="shared" si="3"/>
        <v>4.5454545454545456E-2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N18:Q31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1E1F6B-75AC-41A5-85B6-1B705E43EBD3}">
  <sheetPr codeName="Sheet3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241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7</v>
      </c>
      <c r="C2" s="121"/>
      <c r="E2" s="32" t="s">
        <v>60</v>
      </c>
      <c r="F2" s="29" t="s">
        <v>24</v>
      </c>
      <c r="G2" s="12">
        <v>11</v>
      </c>
      <c r="H2" s="93">
        <f>IF(B$17=0,0,G2/B$17)</f>
        <v>1</v>
      </c>
      <c r="I2" s="55">
        <v>2</v>
      </c>
      <c r="K2" s="3">
        <v>0</v>
      </c>
      <c r="L2" s="60">
        <v>0</v>
      </c>
      <c r="N2" s="75" t="s">
        <v>103</v>
      </c>
      <c r="O2" s="82">
        <f t="shared" ref="O2:O9" si="0">IF(P2=0,0,Q2/P2)</f>
        <v>785.71428571428567</v>
      </c>
      <c r="P2" s="79">
        <v>7</v>
      </c>
      <c r="Q2" s="63">
        <v>5500</v>
      </c>
    </row>
    <row r="3" spans="1:17">
      <c r="A3" s="19" t="s">
        <v>8</v>
      </c>
      <c r="B3" s="122">
        <v>48</v>
      </c>
      <c r="C3" s="123"/>
      <c r="E3" s="33" t="s">
        <v>54</v>
      </c>
      <c r="F3" s="30" t="s">
        <v>20</v>
      </c>
      <c r="G3" s="13">
        <v>6</v>
      </c>
      <c r="H3" s="94">
        <f>IF(B$17=0,0,G3/B$17)</f>
        <v>0.54545454545454541</v>
      </c>
      <c r="I3" s="56">
        <v>17</v>
      </c>
      <c r="K3" s="5">
        <v>1</v>
      </c>
      <c r="L3" s="61">
        <v>-45.7</v>
      </c>
      <c r="N3" s="76" t="s">
        <v>104</v>
      </c>
      <c r="O3" s="83">
        <f t="shared" si="0"/>
        <v>-1485.7142857142858</v>
      </c>
      <c r="P3" s="80">
        <v>7</v>
      </c>
      <c r="Q3" s="64">
        <v>-10400</v>
      </c>
    </row>
    <row r="4" spans="1:17">
      <c r="A4" s="19" t="s">
        <v>6</v>
      </c>
      <c r="B4" s="124">
        <v>-79</v>
      </c>
      <c r="C4" s="125"/>
      <c r="E4" s="33" t="s">
        <v>184</v>
      </c>
      <c r="F4" s="30" t="s">
        <v>187</v>
      </c>
      <c r="G4" s="13">
        <v>5</v>
      </c>
      <c r="H4" s="94">
        <f>IF(B$17=0,0,G4/B$17)</f>
        <v>0.45454545454545453</v>
      </c>
      <c r="I4" s="56">
        <v>20</v>
      </c>
      <c r="K4" s="5">
        <v>2</v>
      </c>
      <c r="L4" s="61">
        <v>-32.700000000000003</v>
      </c>
      <c r="N4" s="76" t="s">
        <v>105</v>
      </c>
      <c r="O4" s="83">
        <f t="shared" si="0"/>
        <v>3228.5714285714284</v>
      </c>
      <c r="P4" s="80">
        <v>7</v>
      </c>
      <c r="Q4" s="64">
        <v>22600</v>
      </c>
    </row>
    <row r="5" spans="1:17">
      <c r="A5" s="19" t="s">
        <v>7</v>
      </c>
      <c r="B5" s="126">
        <f>IF(B$2=0,0,B$4/B$2)</f>
        <v>-11.285714285714286</v>
      </c>
      <c r="C5" s="127"/>
      <c r="E5" s="33" t="s">
        <v>181</v>
      </c>
      <c r="F5" s="30" t="s">
        <v>156</v>
      </c>
      <c r="G5" s="13">
        <v>3</v>
      </c>
      <c r="H5" s="94">
        <f>IF(B$17=0,0,G5/B$17)</f>
        <v>0.27272727272727271</v>
      </c>
      <c r="I5" s="56">
        <v>35</v>
      </c>
      <c r="K5" s="5">
        <v>3</v>
      </c>
      <c r="L5" s="61">
        <v>-18.700000000000003</v>
      </c>
      <c r="N5" s="76" t="s">
        <v>157</v>
      </c>
      <c r="O5" s="83">
        <f>IF(P5=0,0,Q5/P5)</f>
        <v>-4242.8571428571431</v>
      </c>
      <c r="P5" s="80">
        <v>7</v>
      </c>
      <c r="Q5" s="64">
        <v>-29700</v>
      </c>
    </row>
    <row r="6" spans="1:17">
      <c r="A6" s="19" t="s">
        <v>1</v>
      </c>
      <c r="B6" s="128">
        <f>IF(B$2=0,0,(B$7*1+B$8*2+B$9*3+B$10*4)/B$2)</f>
        <v>2.7142857142857144</v>
      </c>
      <c r="C6" s="129"/>
      <c r="E6" s="33" t="s">
        <v>57</v>
      </c>
      <c r="F6" s="30" t="s">
        <v>21</v>
      </c>
      <c r="G6" s="13">
        <v>2</v>
      </c>
      <c r="H6" s="94">
        <f>IF(B$17=0,0,G6/B$17)</f>
        <v>0.18181818181818182</v>
      </c>
      <c r="I6" s="56">
        <v>23</v>
      </c>
      <c r="K6" s="5">
        <v>4</v>
      </c>
      <c r="L6" s="61">
        <v>-9.3000000000000025</v>
      </c>
      <c r="N6" s="76" t="s">
        <v>106</v>
      </c>
      <c r="O6" s="83">
        <f t="shared" ref="O6" si="1">IF(P6=0,0,Q6/P6)</f>
        <v>450</v>
      </c>
      <c r="P6" s="80">
        <v>2</v>
      </c>
      <c r="Q6" s="64">
        <v>900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55</v>
      </c>
      <c r="F7" s="30" t="s">
        <v>155</v>
      </c>
      <c r="G7" s="13">
        <v>1</v>
      </c>
      <c r="H7" s="94">
        <f>IF(B$17=0,0,G7/B$17)</f>
        <v>9.0909090909090912E-2</v>
      </c>
      <c r="I7" s="56">
        <v>34</v>
      </c>
      <c r="K7" s="5">
        <v>5</v>
      </c>
      <c r="L7" s="61">
        <v>-0.70000000000000284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4</v>
      </c>
      <c r="C8" s="6">
        <f>IF(B$2=0,0,B8/B$2)</f>
        <v>0.5714285714285714</v>
      </c>
      <c r="E8" s="33" t="s">
        <v>56</v>
      </c>
      <c r="F8" s="30" t="s">
        <v>185</v>
      </c>
      <c r="G8" s="13">
        <v>1</v>
      </c>
      <c r="H8" s="94">
        <f>IF(B$17=0,0,G8/B$17)</f>
        <v>9.0909090909090912E-2</v>
      </c>
      <c r="I8" s="56">
        <v>35</v>
      </c>
      <c r="K8" s="5">
        <v>6</v>
      </c>
      <c r="L8" s="61">
        <v>-35.700000000000003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1</v>
      </c>
      <c r="C9" s="7">
        <f>IF(B$2=0,0,B9/B$2)</f>
        <v>0.14285714285714285</v>
      </c>
      <c r="E9" s="33" t="s">
        <v>71</v>
      </c>
      <c r="F9" s="30" t="s">
        <v>35</v>
      </c>
      <c r="G9" s="13">
        <v>1</v>
      </c>
      <c r="H9" s="94">
        <f>IF(B$17=0,0,G9/B$17)</f>
        <v>9.0909090909090912E-2</v>
      </c>
      <c r="I9" s="56">
        <v>7</v>
      </c>
      <c r="K9" s="5">
        <v>7</v>
      </c>
      <c r="L9" s="61">
        <v>-79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0.2857142857142857</v>
      </c>
      <c r="E10" s="33" t="s">
        <v>77</v>
      </c>
      <c r="F10" s="30" t="s">
        <v>41</v>
      </c>
      <c r="G10" s="13">
        <v>1</v>
      </c>
      <c r="H10" s="94">
        <f>IF(B$17=0,0,G10/B$17)</f>
        <v>9.0909090909090912E-2</v>
      </c>
      <c r="I10" s="56">
        <v>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4</v>
      </c>
      <c r="C11" s="7">
        <f>IF(B$2=0,0,B11/B$2)</f>
        <v>0.5714285714285714</v>
      </c>
      <c r="E11" s="33" t="s">
        <v>182</v>
      </c>
      <c r="F11" s="30" t="s">
        <v>19</v>
      </c>
      <c r="G11" s="13">
        <v>0</v>
      </c>
      <c r="H11" s="94">
        <f>IF(B$17=0,0,G11/B$17)</f>
        <v>0</v>
      </c>
      <c r="I11" s="56">
        <v>27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0</v>
      </c>
      <c r="H12" s="94">
        <f>IF(B$17=0,0,G12/B$17)</f>
        <v>0</v>
      </c>
      <c r="I12" s="56">
        <v>24</v>
      </c>
      <c r="N12" s="75" t="s">
        <v>126</v>
      </c>
      <c r="O12" s="85">
        <f>IF(P12=0,0,Q12/P12)</f>
        <v>8.6</v>
      </c>
      <c r="P12" s="79">
        <v>1</v>
      </c>
      <c r="Q12" s="67">
        <v>8.6</v>
      </c>
    </row>
    <row r="13" spans="1:17">
      <c r="A13" s="22" t="s">
        <v>97</v>
      </c>
      <c r="B13" s="15">
        <v>8</v>
      </c>
      <c r="C13" s="11">
        <f>IF(B$3=0,0,B13/B$3)</f>
        <v>0.16666666666666666</v>
      </c>
      <c r="E13" s="33" t="s">
        <v>59</v>
      </c>
      <c r="F13" s="30" t="s">
        <v>23</v>
      </c>
      <c r="G13" s="13">
        <v>0</v>
      </c>
      <c r="H13" s="94">
        <f>IF(B$17=0,0,G13/B$17)</f>
        <v>0</v>
      </c>
      <c r="I13" s="56">
        <v>26</v>
      </c>
      <c r="N13" s="76" t="s">
        <v>127</v>
      </c>
      <c r="O13" s="86">
        <f>IF(P13=0,0,Q13/P13)</f>
        <v>-10.52</v>
      </c>
      <c r="P13" s="80">
        <v>5</v>
      </c>
      <c r="Q13" s="68">
        <v>-52.6</v>
      </c>
    </row>
    <row r="14" spans="1:17">
      <c r="A14" s="19" t="s">
        <v>94</v>
      </c>
      <c r="B14" s="13">
        <v>13</v>
      </c>
      <c r="C14" s="6">
        <f>IF(B$3=0,0,B14/B$3)</f>
        <v>0.27083333333333331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5</v>
      </c>
      <c r="N14" s="76" t="s">
        <v>128</v>
      </c>
      <c r="O14" s="86">
        <f>IF(P14=0,0,Q14/P14)</f>
        <v>-35</v>
      </c>
      <c r="P14" s="80">
        <v>1</v>
      </c>
      <c r="Q14" s="68">
        <v>-35</v>
      </c>
    </row>
    <row r="15" spans="1:17">
      <c r="A15" s="18" t="s">
        <v>99</v>
      </c>
      <c r="B15" s="12">
        <f>B21</f>
        <v>3</v>
      </c>
      <c r="C15" s="4">
        <f>IF(B$13=0,0,B15/B$13)</f>
        <v>0.375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6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7</v>
      </c>
      <c r="C16" s="4">
        <f>IF(B$14=0,0,B16/B$14)</f>
        <v>0.53846153846153844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11</v>
      </c>
      <c r="C17" s="4">
        <f>IF(B$3=0,0,B17/B$3)</f>
        <v>0.22916666666666666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8</v>
      </c>
      <c r="C18" s="6">
        <f>IF(B$3=0,0,B18/B$3)</f>
        <v>0.16666666666666666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244</v>
      </c>
      <c r="O18" s="85">
        <f t="shared" ref="O18:O28" si="3">IF(P18=0,0,Q18/P18)</f>
        <v>57.95</v>
      </c>
      <c r="P18" s="79">
        <v>2</v>
      </c>
      <c r="Q18" s="67">
        <v>115.9</v>
      </c>
    </row>
    <row r="19" spans="1:17">
      <c r="A19" s="19" t="s">
        <v>12</v>
      </c>
      <c r="B19" s="13">
        <v>4</v>
      </c>
      <c r="C19" s="6">
        <f>IF(B$17=0,0,B19/B$17)</f>
        <v>0.36363636363636365</v>
      </c>
      <c r="E19" s="33" t="s">
        <v>66</v>
      </c>
      <c r="F19" s="30" t="s">
        <v>30</v>
      </c>
      <c r="G19" s="13">
        <v>0</v>
      </c>
      <c r="H19" s="94">
        <f>IF(B$17=0,0,G19/B$17)</f>
        <v>0</v>
      </c>
      <c r="I19" s="56">
        <v>9</v>
      </c>
      <c r="N19" s="76" t="s">
        <v>235</v>
      </c>
      <c r="O19" s="86">
        <f t="shared" si="3"/>
        <v>35.400000000000006</v>
      </c>
      <c r="P19" s="80">
        <v>2</v>
      </c>
      <c r="Q19" s="68">
        <v>70.800000000000011</v>
      </c>
    </row>
    <row r="20" spans="1:17">
      <c r="A20" s="19" t="s">
        <v>11</v>
      </c>
      <c r="B20" s="13">
        <v>7</v>
      </c>
      <c r="C20" s="6">
        <f>IF(B$17=0,0,B20/B$17)</f>
        <v>0.63636363636363635</v>
      </c>
      <c r="E20" s="33" t="s">
        <v>67</v>
      </c>
      <c r="F20" s="30" t="s">
        <v>31</v>
      </c>
      <c r="G20" s="13">
        <v>0</v>
      </c>
      <c r="H20" s="94">
        <f>IF(B$17=0,0,G20/B$17)</f>
        <v>0</v>
      </c>
      <c r="I20" s="56">
        <v>8</v>
      </c>
      <c r="N20" s="76" t="s">
        <v>238</v>
      </c>
      <c r="O20" s="86">
        <f t="shared" si="3"/>
        <v>10.849999999999998</v>
      </c>
      <c r="P20" s="80">
        <v>2</v>
      </c>
      <c r="Q20" s="68">
        <v>21.699999999999996</v>
      </c>
    </row>
    <row r="21" spans="1:17">
      <c r="A21" s="19" t="s">
        <v>151</v>
      </c>
      <c r="B21" s="13">
        <v>3</v>
      </c>
      <c r="C21" s="6">
        <f>IF(B$17=0,0,B21/B$17)</f>
        <v>0.27272727272727271</v>
      </c>
      <c r="E21" s="33" t="s">
        <v>183</v>
      </c>
      <c r="F21" s="30" t="s">
        <v>186</v>
      </c>
      <c r="G21" s="13">
        <v>0</v>
      </c>
      <c r="H21" s="94">
        <f>IF(B$17=0,0,G21/B$17)</f>
        <v>0</v>
      </c>
      <c r="I21" s="56">
        <v>16</v>
      </c>
      <c r="N21" s="76" t="s">
        <v>227</v>
      </c>
      <c r="O21" s="86">
        <f t="shared" si="3"/>
        <v>-7.25</v>
      </c>
      <c r="P21" s="80">
        <v>2</v>
      </c>
      <c r="Q21" s="68">
        <v>-14.5</v>
      </c>
    </row>
    <row r="22" spans="1:17">
      <c r="A22" s="19" t="s">
        <v>149</v>
      </c>
      <c r="B22" s="13">
        <v>7</v>
      </c>
      <c r="C22" s="6">
        <f>IF(B$17=0,0,B22/B$17)</f>
        <v>0.63636363636363635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1</v>
      </c>
      <c r="N22" s="76" t="s">
        <v>195</v>
      </c>
      <c r="O22" s="86">
        <f t="shared" si="3"/>
        <v>-14.16666666666667</v>
      </c>
      <c r="P22" s="80">
        <v>3</v>
      </c>
      <c r="Q22" s="68">
        <v>-42.500000000000007</v>
      </c>
    </row>
    <row r="23" spans="1:17">
      <c r="A23" s="19" t="s">
        <v>150</v>
      </c>
      <c r="B23" s="13">
        <v>1</v>
      </c>
      <c r="C23" s="6">
        <f>IF(B$17=0,0,B23/B$17)</f>
        <v>9.0909090909090912E-2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8</v>
      </c>
      <c r="N23" s="76" t="s">
        <v>216</v>
      </c>
      <c r="O23" s="86">
        <f t="shared" si="3"/>
        <v>-26.440000000000005</v>
      </c>
      <c r="P23" s="80">
        <v>5</v>
      </c>
      <c r="Q23" s="68">
        <v>-132.20000000000002</v>
      </c>
    </row>
    <row r="24" spans="1:17">
      <c r="A24" s="19" t="s">
        <v>5</v>
      </c>
      <c r="B24" s="16">
        <f>IF(B$17=0,0,C24/B$17)</f>
        <v>5090.909090909091</v>
      </c>
      <c r="C24" s="8">
        <v>56000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272</v>
      </c>
      <c r="O24" s="86">
        <f t="shared" si="3"/>
        <v>-28.099999999999998</v>
      </c>
      <c r="P24" s="80">
        <v>1</v>
      </c>
      <c r="Q24" s="68">
        <v>-28.099999999999998</v>
      </c>
    </row>
    <row r="25" spans="1:17">
      <c r="A25" s="20" t="s">
        <v>133</v>
      </c>
      <c r="B25" s="97">
        <f>IF($B$17-B$16=0,0,C25/($B$17-B$16))</f>
        <v>5600</v>
      </c>
      <c r="C25" s="98">
        <v>22400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258</v>
      </c>
      <c r="O25" s="86">
        <f t="shared" si="3"/>
        <v>-39.5</v>
      </c>
      <c r="P25" s="80">
        <v>1</v>
      </c>
      <c r="Q25" s="68">
        <v>-39.5</v>
      </c>
    </row>
    <row r="26" spans="1:17">
      <c r="A26" s="20" t="s">
        <v>134</v>
      </c>
      <c r="B26" s="97">
        <f>IF(B$16=0,0,C26/B$16)</f>
        <v>4800</v>
      </c>
      <c r="C26" s="98">
        <v>33600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264</v>
      </c>
      <c r="O26" s="86">
        <f t="shared" si="3"/>
        <v>-51</v>
      </c>
      <c r="P26" s="80">
        <v>1</v>
      </c>
      <c r="Q26" s="68">
        <v>-51</v>
      </c>
    </row>
    <row r="27" spans="1:17">
      <c r="A27" s="20" t="s">
        <v>132</v>
      </c>
      <c r="B27" s="97">
        <f>IF(B$18=0,0,C27/B$18)</f>
        <v>-7687.5</v>
      </c>
      <c r="C27" s="98">
        <v>-61500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12</v>
      </c>
      <c r="N27" s="76" t="s">
        <v>265</v>
      </c>
      <c r="O27" s="86">
        <f t="shared" si="3"/>
        <v>-94.1</v>
      </c>
      <c r="P27" s="80">
        <v>1</v>
      </c>
      <c r="Q27" s="68">
        <v>-94.1</v>
      </c>
    </row>
    <row r="28" spans="1:17">
      <c r="A28" s="19" t="s">
        <v>130</v>
      </c>
      <c r="B28" s="13">
        <v>1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228</v>
      </c>
      <c r="O28" s="86">
        <f t="shared" si="3"/>
        <v>-122.5</v>
      </c>
      <c r="P28" s="80">
        <v>1</v>
      </c>
      <c r="Q28" s="68">
        <v>-122.5</v>
      </c>
    </row>
    <row r="29" spans="1:17">
      <c r="A29" s="19" t="s">
        <v>131</v>
      </c>
      <c r="B29" s="13">
        <v>22</v>
      </c>
      <c r="C29" s="96">
        <v>0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5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7</v>
      </c>
    </row>
    <row r="31" spans="1:17">
      <c r="A31" s="22" t="s">
        <v>148</v>
      </c>
      <c r="B31" s="116">
        <v>34000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9.0909090909090912E-2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5</v>
      </c>
      <c r="C36" s="6">
        <f t="shared" si="4"/>
        <v>0.45454545454545453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4"/>
        <v>9.0909090909090912E-2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2</v>
      </c>
      <c r="C38" s="6">
        <f t="shared" si="4"/>
        <v>0.18181818181818182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4"/>
        <v>9.0909090909090912E-2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9.0909090909090912E-2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600D1-01B2-4C33-851F-5ADA82DCD2F7}">
  <sheetPr codeName="Sheet3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244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11</v>
      </c>
      <c r="C2" s="121"/>
      <c r="E2" s="32" t="s">
        <v>54</v>
      </c>
      <c r="F2" s="29" t="s">
        <v>20</v>
      </c>
      <c r="G2" s="12">
        <v>10</v>
      </c>
      <c r="H2" s="93">
        <f>IF(B$17=0,0,G2/B$17)</f>
        <v>0.625</v>
      </c>
      <c r="I2" s="55">
        <v>10</v>
      </c>
      <c r="K2" s="3">
        <v>0</v>
      </c>
      <c r="L2" s="60">
        <v>0</v>
      </c>
      <c r="N2" s="75" t="s">
        <v>103</v>
      </c>
      <c r="O2" s="82">
        <f t="shared" ref="O2:O9" si="0">IF(P2=0,0,Q2/P2)</f>
        <v>-3145.4545454545455</v>
      </c>
      <c r="P2" s="79">
        <v>11</v>
      </c>
      <c r="Q2" s="63">
        <v>-34600</v>
      </c>
    </row>
    <row r="3" spans="1:17">
      <c r="A3" s="19" t="s">
        <v>8</v>
      </c>
      <c r="B3" s="122">
        <v>78</v>
      </c>
      <c r="C3" s="123"/>
      <c r="E3" s="33" t="s">
        <v>181</v>
      </c>
      <c r="F3" s="30" t="s">
        <v>156</v>
      </c>
      <c r="G3" s="13">
        <v>8</v>
      </c>
      <c r="H3" s="94">
        <f>IF(B$17=0,0,G3/B$17)</f>
        <v>0.5</v>
      </c>
      <c r="I3" s="56">
        <v>18</v>
      </c>
      <c r="K3" s="5">
        <v>1</v>
      </c>
      <c r="L3" s="61">
        <v>-72.8</v>
      </c>
      <c r="N3" s="76" t="s">
        <v>104</v>
      </c>
      <c r="O3" s="83">
        <f t="shared" si="0"/>
        <v>-1963.6363636363637</v>
      </c>
      <c r="P3" s="80">
        <v>11</v>
      </c>
      <c r="Q3" s="64">
        <v>-21600</v>
      </c>
    </row>
    <row r="4" spans="1:17">
      <c r="A4" s="19" t="s">
        <v>6</v>
      </c>
      <c r="B4" s="124">
        <v>-2.3000000000000114</v>
      </c>
      <c r="C4" s="125"/>
      <c r="E4" s="33" t="s">
        <v>56</v>
      </c>
      <c r="F4" s="30" t="s">
        <v>185</v>
      </c>
      <c r="G4" s="13">
        <v>6</v>
      </c>
      <c r="H4" s="94">
        <f>IF(B$17=0,0,G4/B$17)</f>
        <v>0.375</v>
      </c>
      <c r="I4" s="56">
        <v>10</v>
      </c>
      <c r="K4" s="5">
        <v>2</v>
      </c>
      <c r="L4" s="61">
        <v>-92.5</v>
      </c>
      <c r="N4" s="76" t="s">
        <v>105</v>
      </c>
      <c r="O4" s="83">
        <f t="shared" si="0"/>
        <v>990</v>
      </c>
      <c r="P4" s="80">
        <v>10</v>
      </c>
      <c r="Q4" s="64">
        <v>9900</v>
      </c>
    </row>
    <row r="5" spans="1:17">
      <c r="A5" s="19" t="s">
        <v>7</v>
      </c>
      <c r="B5" s="126">
        <f>IF(B$2=0,0,B$4/B$2)</f>
        <v>-0.20909090909091013</v>
      </c>
      <c r="C5" s="127"/>
      <c r="E5" s="33" t="s">
        <v>184</v>
      </c>
      <c r="F5" s="30" t="s">
        <v>187</v>
      </c>
      <c r="G5" s="13">
        <v>6</v>
      </c>
      <c r="H5" s="94">
        <f>IF(B$17=0,0,G5/B$17)</f>
        <v>0.375</v>
      </c>
      <c r="I5" s="56">
        <v>23</v>
      </c>
      <c r="K5" s="5">
        <v>3</v>
      </c>
      <c r="L5" s="61">
        <v>-11.400000000000006</v>
      </c>
      <c r="N5" s="76" t="s">
        <v>157</v>
      </c>
      <c r="O5" s="83">
        <f>IF(P5=0,0,Q5/P5)</f>
        <v>2150</v>
      </c>
      <c r="P5" s="80">
        <v>8</v>
      </c>
      <c r="Q5" s="64">
        <v>17200</v>
      </c>
    </row>
    <row r="6" spans="1:17">
      <c r="A6" s="19" t="s">
        <v>1</v>
      </c>
      <c r="B6" s="128">
        <f>IF(B$2=0,0,(B$7*1+B$8*2+B$9*3+B$10*4)/B$2)</f>
        <v>2.5454545454545454</v>
      </c>
      <c r="C6" s="129"/>
      <c r="E6" s="33" t="s">
        <v>55</v>
      </c>
      <c r="F6" s="30" t="s">
        <v>155</v>
      </c>
      <c r="G6" s="13">
        <v>5</v>
      </c>
      <c r="H6" s="94">
        <f>IF(B$17=0,0,G6/B$17)</f>
        <v>0.3125</v>
      </c>
      <c r="I6" s="56">
        <v>9</v>
      </c>
      <c r="K6" s="5">
        <v>4</v>
      </c>
      <c r="L6" s="61">
        <v>45.999999999999993</v>
      </c>
      <c r="N6" s="76" t="s">
        <v>106</v>
      </c>
      <c r="O6" s="83">
        <f t="shared" ref="O6" si="1">IF(P6=0,0,Q6/P6)</f>
        <v>-125</v>
      </c>
      <c r="P6" s="80">
        <v>4</v>
      </c>
      <c r="Q6" s="64">
        <v>-500</v>
      </c>
    </row>
    <row r="7" spans="1:17">
      <c r="A7" s="19" t="s">
        <v>2</v>
      </c>
      <c r="B7" s="13">
        <v>4</v>
      </c>
      <c r="C7" s="6">
        <f t="shared" ref="C7:C12" si="2">IF(B$2=0,0,B7/B$2)</f>
        <v>0.36363636363636365</v>
      </c>
      <c r="E7" s="33" t="s">
        <v>60</v>
      </c>
      <c r="F7" s="30" t="s">
        <v>24</v>
      </c>
      <c r="G7" s="13">
        <v>5</v>
      </c>
      <c r="H7" s="94">
        <f>IF(B$17=0,0,G7/B$17)</f>
        <v>0.3125</v>
      </c>
      <c r="I7" s="56">
        <v>27</v>
      </c>
      <c r="K7" s="5">
        <v>5</v>
      </c>
      <c r="L7" s="61">
        <v>20.899999999999991</v>
      </c>
      <c r="N7" s="76" t="s">
        <v>107</v>
      </c>
      <c r="O7" s="83">
        <f t="shared" si="0"/>
        <v>4500</v>
      </c>
      <c r="P7" s="80">
        <v>2</v>
      </c>
      <c r="Q7" s="64">
        <v>9000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57</v>
      </c>
      <c r="F8" s="30" t="s">
        <v>21</v>
      </c>
      <c r="G8" s="13">
        <v>4</v>
      </c>
      <c r="H8" s="94">
        <f>IF(B$17=0,0,G8/B$17)</f>
        <v>0.25</v>
      </c>
      <c r="I8" s="56">
        <v>14</v>
      </c>
      <c r="K8" s="5">
        <v>6</v>
      </c>
      <c r="L8" s="61">
        <v>81.5</v>
      </c>
      <c r="N8" s="76" t="s">
        <v>108</v>
      </c>
      <c r="O8" s="83">
        <f t="shared" si="0"/>
        <v>7900</v>
      </c>
      <c r="P8" s="80">
        <v>1</v>
      </c>
      <c r="Q8" s="64">
        <v>7900</v>
      </c>
    </row>
    <row r="9" spans="1:17">
      <c r="A9" s="20" t="s">
        <v>4</v>
      </c>
      <c r="B9" s="14">
        <v>4</v>
      </c>
      <c r="C9" s="7">
        <f>IF(B$2=0,0,B9/B$2)</f>
        <v>0.36363636363636365</v>
      </c>
      <c r="E9" s="33" t="s">
        <v>59</v>
      </c>
      <c r="F9" s="30" t="s">
        <v>23</v>
      </c>
      <c r="G9" s="13">
        <v>4</v>
      </c>
      <c r="H9" s="94">
        <f>IF(B$17=0,0,G9/B$17)</f>
        <v>0.25</v>
      </c>
      <c r="I9" s="56">
        <v>6</v>
      </c>
      <c r="K9" s="5">
        <v>7</v>
      </c>
      <c r="L9" s="61">
        <v>33.700000000000003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3</v>
      </c>
      <c r="C10" s="7">
        <f>IF(B$2=0,0,B10/B$2)</f>
        <v>0.27272727272727271</v>
      </c>
      <c r="E10" s="33" t="s">
        <v>183</v>
      </c>
      <c r="F10" s="30" t="s">
        <v>186</v>
      </c>
      <c r="G10" s="13">
        <v>3</v>
      </c>
      <c r="H10" s="94">
        <f>IF(B$17=0,0,G10/B$17)</f>
        <v>0.1875</v>
      </c>
      <c r="I10" s="56">
        <v>1</v>
      </c>
      <c r="K10" s="5">
        <v>8</v>
      </c>
      <c r="L10" s="61">
        <v>10.600000000000001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4</v>
      </c>
      <c r="C11" s="7">
        <f>IF(B$2=0,0,B11/B$2)</f>
        <v>0.36363636363636365</v>
      </c>
      <c r="E11" s="33" t="s">
        <v>182</v>
      </c>
      <c r="F11" s="30" t="s">
        <v>19</v>
      </c>
      <c r="G11" s="13">
        <v>2</v>
      </c>
      <c r="H11" s="94">
        <f>IF(B$17=0,0,G11/B$17)</f>
        <v>0.125</v>
      </c>
      <c r="I11" s="56">
        <v>16</v>
      </c>
      <c r="K11" s="5">
        <v>9</v>
      </c>
      <c r="L11" s="61">
        <v>-69.400000000000006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0.18181818181818182</v>
      </c>
      <c r="E12" s="33" t="s">
        <v>58</v>
      </c>
      <c r="F12" s="30" t="s">
        <v>22</v>
      </c>
      <c r="G12" s="13">
        <v>2</v>
      </c>
      <c r="H12" s="94">
        <f>IF(B$17=0,0,G12/B$17)</f>
        <v>0.125</v>
      </c>
      <c r="I12" s="56">
        <v>6</v>
      </c>
      <c r="K12" s="5">
        <v>10</v>
      </c>
      <c r="L12" s="61">
        <v>-94.100000000000009</v>
      </c>
      <c r="N12" s="75" t="s">
        <v>126</v>
      </c>
      <c r="O12" s="85">
        <f>IF(P12=0,0,Q12/P12)</f>
        <v>4.1499999999999986</v>
      </c>
      <c r="P12" s="79">
        <v>2</v>
      </c>
      <c r="Q12" s="67">
        <v>8.2999999999999972</v>
      </c>
    </row>
    <row r="13" spans="1:17">
      <c r="A13" s="22" t="s">
        <v>97</v>
      </c>
      <c r="B13" s="15">
        <v>13</v>
      </c>
      <c r="C13" s="11">
        <f>IF(B$3=0,0,B13/B$3)</f>
        <v>0.16666666666666666</v>
      </c>
      <c r="E13" s="33" t="s">
        <v>71</v>
      </c>
      <c r="F13" s="30" t="s">
        <v>35</v>
      </c>
      <c r="G13" s="13">
        <v>2</v>
      </c>
      <c r="H13" s="94">
        <f>IF(B$17=0,0,G13/B$17)</f>
        <v>0.125</v>
      </c>
      <c r="I13" s="56">
        <v>4</v>
      </c>
      <c r="K13" s="5">
        <v>11</v>
      </c>
      <c r="L13" s="61">
        <v>-2.3000000000000114</v>
      </c>
      <c r="N13" s="76" t="s">
        <v>127</v>
      </c>
      <c r="O13" s="86">
        <f>IF(P13=0,0,Q13/P13)</f>
        <v>19.875</v>
      </c>
      <c r="P13" s="80">
        <v>4</v>
      </c>
      <c r="Q13" s="68">
        <v>79.5</v>
      </c>
    </row>
    <row r="14" spans="1:17">
      <c r="A14" s="19" t="s">
        <v>94</v>
      </c>
      <c r="B14" s="13">
        <v>16</v>
      </c>
      <c r="C14" s="6">
        <f>IF(B$3=0,0,B14/B$3)</f>
        <v>0.20512820512820512</v>
      </c>
      <c r="E14" s="33" t="s">
        <v>67</v>
      </c>
      <c r="F14" s="30" t="s">
        <v>31</v>
      </c>
      <c r="G14" s="13">
        <v>1</v>
      </c>
      <c r="H14" s="94">
        <f>IF(B$17=0,0,G14/B$17)</f>
        <v>6.25E-2</v>
      </c>
      <c r="I14" s="56">
        <v>4</v>
      </c>
      <c r="N14" s="76" t="s">
        <v>128</v>
      </c>
      <c r="O14" s="86">
        <f>IF(P14=0,0,Q14/P14)</f>
        <v>-52.35</v>
      </c>
      <c r="P14" s="80">
        <v>2</v>
      </c>
      <c r="Q14" s="68">
        <v>-104.7</v>
      </c>
    </row>
    <row r="15" spans="1:17">
      <c r="A15" s="18" t="s">
        <v>99</v>
      </c>
      <c r="B15" s="12">
        <f>B21</f>
        <v>8</v>
      </c>
      <c r="C15" s="4">
        <f>IF(B$13=0,0,B15/B$13)</f>
        <v>0.61538461538461542</v>
      </c>
      <c r="E15" s="33" t="s">
        <v>69</v>
      </c>
      <c r="F15" s="30" t="s">
        <v>33</v>
      </c>
      <c r="G15" s="13">
        <v>1</v>
      </c>
      <c r="H15" s="94">
        <f>IF(B$17=0,0,G15/B$17)</f>
        <v>6.25E-2</v>
      </c>
      <c r="I15" s="56">
        <v>3</v>
      </c>
      <c r="N15" s="77" t="s">
        <v>159</v>
      </c>
      <c r="O15" s="87">
        <f>IF(P15=0,0,Q15/P15)</f>
        <v>4.8666666666666671</v>
      </c>
      <c r="P15" s="81">
        <v>3</v>
      </c>
      <c r="Q15" s="69">
        <v>14.600000000000001</v>
      </c>
    </row>
    <row r="16" spans="1:17">
      <c r="A16" s="18" t="s">
        <v>100</v>
      </c>
      <c r="B16" s="12">
        <f>B22</f>
        <v>5</v>
      </c>
      <c r="C16" s="4">
        <f>IF(B$14=0,0,B16/B$14)</f>
        <v>0.3125</v>
      </c>
      <c r="E16" s="33" t="s">
        <v>78</v>
      </c>
      <c r="F16" s="30" t="s">
        <v>42</v>
      </c>
      <c r="G16" s="13">
        <v>1</v>
      </c>
      <c r="H16" s="94">
        <f>IF(B$17=0,0,G16/B$17)</f>
        <v>6.25E-2</v>
      </c>
      <c r="I16" s="56">
        <v>2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16</v>
      </c>
      <c r="C17" s="4">
        <f>IF(B$3=0,0,B17/B$3)</f>
        <v>0.20512820512820512</v>
      </c>
      <c r="E17" s="33" t="s">
        <v>61</v>
      </c>
      <c r="F17" s="30" t="s">
        <v>25</v>
      </c>
      <c r="G17" s="13">
        <v>0</v>
      </c>
      <c r="H17" s="94">
        <f>IF(B$17=0,0,G17/B$17)</f>
        <v>0</v>
      </c>
      <c r="I17" s="56">
        <v>5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12</v>
      </c>
      <c r="C18" s="6">
        <f>IF(B$3=0,0,B18/B$3)</f>
        <v>0.15384615384615385</v>
      </c>
      <c r="E18" s="33" t="s">
        <v>62</v>
      </c>
      <c r="F18" s="30" t="s">
        <v>26</v>
      </c>
      <c r="G18" s="13">
        <v>0</v>
      </c>
      <c r="H18" s="94">
        <f>IF(B$17=0,0,G18/B$17)</f>
        <v>0</v>
      </c>
      <c r="I18" s="56">
        <v>6</v>
      </c>
      <c r="N18" s="75" t="s">
        <v>269</v>
      </c>
      <c r="O18" s="85">
        <f>IF(P18=0,0,Q18/P18)</f>
        <v>149</v>
      </c>
      <c r="P18" s="79">
        <v>1</v>
      </c>
      <c r="Q18" s="67">
        <v>149</v>
      </c>
    </row>
    <row r="19" spans="1:17">
      <c r="A19" s="19" t="s">
        <v>12</v>
      </c>
      <c r="B19" s="13">
        <v>7</v>
      </c>
      <c r="C19" s="6">
        <f>IF(B$17=0,0,B19/B$17)</f>
        <v>0.4375</v>
      </c>
      <c r="E19" s="33" t="s">
        <v>63</v>
      </c>
      <c r="F19" s="30" t="s">
        <v>27</v>
      </c>
      <c r="G19" s="13">
        <v>0</v>
      </c>
      <c r="H19" s="94">
        <f>IF(B$17=0,0,G19/B$17)</f>
        <v>0</v>
      </c>
      <c r="I19" s="56">
        <v>1</v>
      </c>
      <c r="N19" s="76" t="s">
        <v>265</v>
      </c>
      <c r="O19" s="86">
        <f>IF(P19=0,0,Q19/P19)</f>
        <v>99.8</v>
      </c>
      <c r="P19" s="80">
        <v>1</v>
      </c>
      <c r="Q19" s="68">
        <v>99.8</v>
      </c>
    </row>
    <row r="20" spans="1:17">
      <c r="A20" s="19" t="s">
        <v>11</v>
      </c>
      <c r="B20" s="13">
        <v>9</v>
      </c>
      <c r="C20" s="6">
        <f>IF(B$17=0,0,B20/B$17)</f>
        <v>0.5625</v>
      </c>
      <c r="E20" s="33" t="s">
        <v>64</v>
      </c>
      <c r="F20" s="30" t="s">
        <v>28</v>
      </c>
      <c r="G20" s="13">
        <v>0</v>
      </c>
      <c r="H20" s="94">
        <f>IF(B$17=0,0,G20/B$17)</f>
        <v>0</v>
      </c>
      <c r="I20" s="56">
        <v>1</v>
      </c>
      <c r="N20" s="76" t="s">
        <v>228</v>
      </c>
      <c r="O20" s="86">
        <f>IF(P20=0,0,Q20/P20)</f>
        <v>98.45</v>
      </c>
      <c r="P20" s="80">
        <v>2</v>
      </c>
      <c r="Q20" s="68">
        <v>196.9</v>
      </c>
    </row>
    <row r="21" spans="1:17">
      <c r="A21" s="19" t="s">
        <v>151</v>
      </c>
      <c r="B21" s="13">
        <v>8</v>
      </c>
      <c r="C21" s="6">
        <f>IF(B$17=0,0,B21/B$17)</f>
        <v>0.5</v>
      </c>
      <c r="E21" s="33" t="s">
        <v>65</v>
      </c>
      <c r="F21" s="30" t="s">
        <v>29</v>
      </c>
      <c r="G21" s="13">
        <v>0</v>
      </c>
      <c r="H21" s="94">
        <f>IF(B$17=0,0,G21/B$17)</f>
        <v>0</v>
      </c>
      <c r="I21" s="56">
        <v>1</v>
      </c>
      <c r="N21" s="76" t="s">
        <v>195</v>
      </c>
      <c r="O21" s="86">
        <f>IF(P21=0,0,Q21/P21)</f>
        <v>48.366666666666667</v>
      </c>
      <c r="P21" s="80">
        <v>3</v>
      </c>
      <c r="Q21" s="68">
        <v>145.1</v>
      </c>
    </row>
    <row r="22" spans="1:17">
      <c r="A22" s="19" t="s">
        <v>149</v>
      </c>
      <c r="B22" s="13">
        <v>5</v>
      </c>
      <c r="C22" s="6">
        <f>IF(B$17=0,0,B22/B$17)</f>
        <v>0.3125</v>
      </c>
      <c r="E22" s="33" t="s">
        <v>66</v>
      </c>
      <c r="F22" s="30" t="s">
        <v>30</v>
      </c>
      <c r="G22" s="13">
        <v>0</v>
      </c>
      <c r="H22" s="94">
        <f>IF(B$17=0,0,G22/B$17)</f>
        <v>0</v>
      </c>
      <c r="I22" s="56">
        <v>9</v>
      </c>
      <c r="N22" s="76" t="s">
        <v>238</v>
      </c>
      <c r="O22" s="86">
        <f>IF(P22=0,0,Q22/P22)</f>
        <v>2.6333333333333333</v>
      </c>
      <c r="P22" s="80">
        <v>3</v>
      </c>
      <c r="Q22" s="68">
        <v>7.9</v>
      </c>
    </row>
    <row r="23" spans="1:17">
      <c r="A23" s="19" t="s">
        <v>150</v>
      </c>
      <c r="B23" s="13">
        <v>3</v>
      </c>
      <c r="C23" s="6">
        <f>IF(B$17=0,0,B23/B$17)</f>
        <v>0.1875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1</v>
      </c>
      <c r="N23" s="76" t="s">
        <v>216</v>
      </c>
      <c r="O23" s="86">
        <f>IF(P23=0,0,Q23/P23)</f>
        <v>-0.59999999999999942</v>
      </c>
      <c r="P23" s="80">
        <v>7</v>
      </c>
      <c r="Q23" s="68">
        <v>-4.1999999999999957</v>
      </c>
    </row>
    <row r="24" spans="1:17">
      <c r="A24" s="19" t="s">
        <v>5</v>
      </c>
      <c r="B24" s="16">
        <f>IF(B$17=0,0,C24/B$17)</f>
        <v>9175</v>
      </c>
      <c r="C24" s="8">
        <v>146800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227</v>
      </c>
      <c r="O24" s="86">
        <f>IF(P24=0,0,Q24/P24)</f>
        <v>-13.475</v>
      </c>
      <c r="P24" s="80">
        <v>4</v>
      </c>
      <c r="Q24" s="68">
        <v>-53.9</v>
      </c>
    </row>
    <row r="25" spans="1:17">
      <c r="A25" s="20" t="s">
        <v>133</v>
      </c>
      <c r="B25" s="97">
        <f>IF($B$17-B$16=0,0,C25/($B$17-B$16))</f>
        <v>9954.545454545454</v>
      </c>
      <c r="C25" s="98">
        <v>109500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276</v>
      </c>
      <c r="O25" s="86">
        <f>IF(P25=0,0,Q25/P25)</f>
        <v>-16.200000000000006</v>
      </c>
      <c r="P25" s="80">
        <v>2</v>
      </c>
      <c r="Q25" s="68">
        <v>-32.400000000000013</v>
      </c>
    </row>
    <row r="26" spans="1:17">
      <c r="A26" s="20" t="s">
        <v>134</v>
      </c>
      <c r="B26" s="97">
        <f>IF(B$16=0,0,C26/B$16)</f>
        <v>7460</v>
      </c>
      <c r="C26" s="98">
        <v>37300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258</v>
      </c>
      <c r="O26" s="86">
        <f>IF(P26=0,0,Q26/P26)</f>
        <v>-23.699999999999996</v>
      </c>
      <c r="P26" s="80">
        <v>1</v>
      </c>
      <c r="Q26" s="68">
        <v>-23.699999999999996</v>
      </c>
    </row>
    <row r="27" spans="1:17">
      <c r="A27" s="20" t="s">
        <v>132</v>
      </c>
      <c r="B27" s="97">
        <f>IF(B$18=0,0,C27/B$18)</f>
        <v>-7483.333333333333</v>
      </c>
      <c r="C27" s="98">
        <v>-89800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12</v>
      </c>
      <c r="N27" s="76" t="s">
        <v>255</v>
      </c>
      <c r="O27" s="86">
        <f>IF(P27=0,0,Q27/P27)</f>
        <v>-37.54999999999999</v>
      </c>
      <c r="P27" s="80">
        <v>2</v>
      </c>
      <c r="Q27" s="68">
        <v>-75.09999999999998</v>
      </c>
    </row>
    <row r="28" spans="1:17">
      <c r="A28" s="19" t="s">
        <v>130</v>
      </c>
      <c r="B28" s="13">
        <v>3</v>
      </c>
      <c r="C28" s="96">
        <v>2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263</v>
      </c>
      <c r="O28" s="86">
        <f>IF(P28=0,0,Q28/P28)</f>
        <v>-37.65</v>
      </c>
      <c r="P28" s="80">
        <v>2</v>
      </c>
      <c r="Q28" s="68">
        <v>-75.3</v>
      </c>
    </row>
    <row r="29" spans="1:17">
      <c r="A29" s="19" t="s">
        <v>131</v>
      </c>
      <c r="B29" s="13">
        <v>23</v>
      </c>
      <c r="C29" s="96">
        <v>12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5</v>
      </c>
      <c r="N29" s="76" t="s">
        <v>241</v>
      </c>
      <c r="O29" s="86">
        <f>IF(P29=0,0,Q29/P29)</f>
        <v>-57.95</v>
      </c>
      <c r="P29" s="80">
        <v>2</v>
      </c>
      <c r="Q29" s="68">
        <v>-115.9</v>
      </c>
    </row>
    <row r="30" spans="1:17">
      <c r="A30" s="52" t="s">
        <v>111</v>
      </c>
      <c r="B30" s="114">
        <v>4</v>
      </c>
      <c r="C30" s="115"/>
      <c r="E30" s="33" t="s">
        <v>77</v>
      </c>
      <c r="F30" s="30" t="s">
        <v>41</v>
      </c>
      <c r="G30" s="13">
        <v>0</v>
      </c>
      <c r="H30" s="94">
        <f>IF(B$17=0,0,G30/B$17)</f>
        <v>0</v>
      </c>
      <c r="I30" s="56">
        <v>16</v>
      </c>
      <c r="N30" s="76" t="s">
        <v>169</v>
      </c>
      <c r="O30" s="86">
        <f>IF(P30=0,0,Q30/P30)</f>
        <v>-60.3</v>
      </c>
      <c r="P30" s="80">
        <v>1</v>
      </c>
      <c r="Q30" s="68">
        <v>-60.3</v>
      </c>
    </row>
    <row r="31" spans="1:17">
      <c r="A31" s="22" t="s">
        <v>148</v>
      </c>
      <c r="B31" s="116">
        <v>71800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277</v>
      </c>
      <c r="O31" s="86">
        <f>IF(P31=0,0,Q31/P31)</f>
        <v>-61.6</v>
      </c>
      <c r="P31" s="80">
        <v>1</v>
      </c>
      <c r="Q31" s="68">
        <v>-61.6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235</v>
      </c>
      <c r="O32" s="86">
        <f>IF(P32=0,0,Q32/P32)</f>
        <v>-85.5</v>
      </c>
      <c r="P32" s="80">
        <v>1</v>
      </c>
      <c r="Q32" s="68">
        <v>-85.5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3">IF(B$17=0,0,B35/B$17)</f>
        <v>0.125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3"/>
        <v>0.125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4</v>
      </c>
      <c r="C38" s="6">
        <f t="shared" si="3"/>
        <v>0.25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3</v>
      </c>
      <c r="C39" s="6">
        <f t="shared" si="3"/>
        <v>0.1875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3</v>
      </c>
      <c r="C40" s="6">
        <f t="shared" si="3"/>
        <v>0.1875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3"/>
        <v>6.25E-2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1</v>
      </c>
      <c r="C42" s="6">
        <f t="shared" si="3"/>
        <v>6.25E-2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N18:Q32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262497-D772-42E6-8C1B-515F54B1FF10}">
  <sheetPr codeName="Sheet3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255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10</v>
      </c>
      <c r="C2" s="121"/>
      <c r="E2" s="32" t="s">
        <v>60</v>
      </c>
      <c r="F2" s="29" t="s">
        <v>24</v>
      </c>
      <c r="G2" s="12">
        <v>10</v>
      </c>
      <c r="H2" s="93">
        <f>IF(B$17=0,0,G2/B$17)</f>
        <v>0.625</v>
      </c>
      <c r="I2" s="55">
        <v>8</v>
      </c>
      <c r="K2" s="3">
        <v>0</v>
      </c>
      <c r="L2" s="60">
        <v>0</v>
      </c>
      <c r="N2" s="75" t="s">
        <v>103</v>
      </c>
      <c r="O2" s="82">
        <f t="shared" ref="O2:O9" si="0">IF(P2=0,0,Q2/P2)</f>
        <v>-2270</v>
      </c>
      <c r="P2" s="79">
        <v>10</v>
      </c>
      <c r="Q2" s="63">
        <v>-22700</v>
      </c>
    </row>
    <row r="3" spans="1:17">
      <c r="A3" s="19" t="s">
        <v>8</v>
      </c>
      <c r="B3" s="122">
        <v>69</v>
      </c>
      <c r="C3" s="123"/>
      <c r="E3" s="33" t="s">
        <v>184</v>
      </c>
      <c r="F3" s="30" t="s">
        <v>187</v>
      </c>
      <c r="G3" s="13">
        <v>9</v>
      </c>
      <c r="H3" s="94">
        <f>IF(B$17=0,0,G3/B$17)</f>
        <v>0.5625</v>
      </c>
      <c r="I3" s="56">
        <v>9</v>
      </c>
      <c r="K3" s="5">
        <v>1</v>
      </c>
      <c r="L3" s="61">
        <v>80</v>
      </c>
      <c r="N3" s="76" t="s">
        <v>104</v>
      </c>
      <c r="O3" s="83">
        <f t="shared" si="0"/>
        <v>1080</v>
      </c>
      <c r="P3" s="80">
        <v>10</v>
      </c>
      <c r="Q3" s="64">
        <v>10800</v>
      </c>
    </row>
    <row r="4" spans="1:17">
      <c r="A4" s="19" t="s">
        <v>6</v>
      </c>
      <c r="B4" s="124">
        <v>106.4</v>
      </c>
      <c r="C4" s="125"/>
      <c r="E4" s="33" t="s">
        <v>181</v>
      </c>
      <c r="F4" s="30" t="s">
        <v>156</v>
      </c>
      <c r="G4" s="13">
        <v>8</v>
      </c>
      <c r="H4" s="94">
        <f>IF(B$17=0,0,G4/B$17)</f>
        <v>0.5</v>
      </c>
      <c r="I4" s="56">
        <v>18</v>
      </c>
      <c r="K4" s="5">
        <v>2</v>
      </c>
      <c r="L4" s="61">
        <v>145.19999999999999</v>
      </c>
      <c r="N4" s="76" t="s">
        <v>105</v>
      </c>
      <c r="O4" s="83">
        <f t="shared" si="0"/>
        <v>422.22222222222223</v>
      </c>
      <c r="P4" s="80">
        <v>9</v>
      </c>
      <c r="Q4" s="64">
        <v>3800</v>
      </c>
    </row>
    <row r="5" spans="1:17">
      <c r="A5" s="19" t="s">
        <v>7</v>
      </c>
      <c r="B5" s="126">
        <f>IF(B$2=0,0,B$4/B$2)</f>
        <v>10.64</v>
      </c>
      <c r="C5" s="127"/>
      <c r="E5" s="33" t="s">
        <v>54</v>
      </c>
      <c r="F5" s="30" t="s">
        <v>20</v>
      </c>
      <c r="G5" s="13">
        <v>7</v>
      </c>
      <c r="H5" s="94">
        <f>IF(B$17=0,0,G5/B$17)</f>
        <v>0.4375</v>
      </c>
      <c r="I5" s="56">
        <v>23</v>
      </c>
      <c r="K5" s="5">
        <v>3</v>
      </c>
      <c r="L5" s="61">
        <v>204.6</v>
      </c>
      <c r="N5" s="76" t="s">
        <v>157</v>
      </c>
      <c r="O5" s="83">
        <f>IF(P5=0,0,Q5/P5)</f>
        <v>1455.5555555555557</v>
      </c>
      <c r="P5" s="80">
        <v>9</v>
      </c>
      <c r="Q5" s="64">
        <v>13100</v>
      </c>
    </row>
    <row r="6" spans="1:17">
      <c r="A6" s="19" t="s">
        <v>1</v>
      </c>
      <c r="B6" s="128">
        <f>IF(B$2=0,0,(B$7*1+B$8*2+B$9*3+B$10*4)/B$2)</f>
        <v>2.2000000000000002</v>
      </c>
      <c r="C6" s="129"/>
      <c r="E6" s="33" t="s">
        <v>56</v>
      </c>
      <c r="F6" s="30" t="s">
        <v>185</v>
      </c>
      <c r="G6" s="13">
        <v>6</v>
      </c>
      <c r="H6" s="94">
        <f>IF(B$17=0,0,G6/B$17)</f>
        <v>0.375</v>
      </c>
      <c r="I6" s="56">
        <v>10</v>
      </c>
      <c r="K6" s="5">
        <v>4</v>
      </c>
      <c r="L6" s="61">
        <v>149.39999999999998</v>
      </c>
      <c r="N6" s="76" t="s">
        <v>106</v>
      </c>
      <c r="O6" s="83">
        <f t="shared" ref="O6" si="1">IF(P6=0,0,Q6/P6)</f>
        <v>1742.8571428571429</v>
      </c>
      <c r="P6" s="80">
        <v>7</v>
      </c>
      <c r="Q6" s="64">
        <v>12200</v>
      </c>
    </row>
    <row r="7" spans="1:17">
      <c r="A7" s="19" t="s">
        <v>2</v>
      </c>
      <c r="B7" s="13">
        <v>3</v>
      </c>
      <c r="C7" s="6">
        <f t="shared" ref="C7:C12" si="2">IF(B$2=0,0,B7/B$2)</f>
        <v>0.3</v>
      </c>
      <c r="E7" s="33" t="s">
        <v>59</v>
      </c>
      <c r="F7" s="30" t="s">
        <v>23</v>
      </c>
      <c r="G7" s="13">
        <v>5</v>
      </c>
      <c r="H7" s="94">
        <f>IF(B$17=0,0,G7/B$17)</f>
        <v>0.3125</v>
      </c>
      <c r="I7" s="56">
        <v>4</v>
      </c>
      <c r="K7" s="5">
        <v>5</v>
      </c>
      <c r="L7" s="61">
        <v>154.19999999999999</v>
      </c>
      <c r="N7" s="76" t="s">
        <v>107</v>
      </c>
      <c r="O7" s="83">
        <f t="shared" si="0"/>
        <v>840</v>
      </c>
      <c r="P7" s="80">
        <v>5</v>
      </c>
      <c r="Q7" s="64">
        <v>4200</v>
      </c>
    </row>
    <row r="8" spans="1:17">
      <c r="A8" s="19" t="s">
        <v>3</v>
      </c>
      <c r="B8" s="13">
        <v>4</v>
      </c>
      <c r="C8" s="6">
        <f>IF(B$2=0,0,B8/B$2)</f>
        <v>0.4</v>
      </c>
      <c r="E8" s="33" t="s">
        <v>57</v>
      </c>
      <c r="F8" s="30" t="s">
        <v>21</v>
      </c>
      <c r="G8" s="13">
        <v>4</v>
      </c>
      <c r="H8" s="94">
        <f>IF(B$17=0,0,G8/B$17)</f>
        <v>0.25</v>
      </c>
      <c r="I8" s="56">
        <v>14</v>
      </c>
      <c r="K8" s="5">
        <v>6</v>
      </c>
      <c r="L8" s="61">
        <v>127.49999999999999</v>
      </c>
      <c r="N8" s="76" t="s">
        <v>108</v>
      </c>
      <c r="O8" s="83">
        <f t="shared" si="0"/>
        <v>0</v>
      </c>
      <c r="P8" s="80">
        <v>1</v>
      </c>
      <c r="Q8" s="64">
        <v>0</v>
      </c>
    </row>
    <row r="9" spans="1:17">
      <c r="A9" s="20" t="s">
        <v>4</v>
      </c>
      <c r="B9" s="14">
        <v>1</v>
      </c>
      <c r="C9" s="7">
        <f>IF(B$2=0,0,B9/B$2)</f>
        <v>0.1</v>
      </c>
      <c r="E9" s="33" t="s">
        <v>182</v>
      </c>
      <c r="F9" s="30" t="s">
        <v>19</v>
      </c>
      <c r="G9" s="13">
        <v>3</v>
      </c>
      <c r="H9" s="94">
        <f>IF(B$17=0,0,G9/B$17)</f>
        <v>0.1875</v>
      </c>
      <c r="I9" s="56">
        <v>10</v>
      </c>
      <c r="K9" s="5">
        <v>7</v>
      </c>
      <c r="L9" s="61">
        <v>135.5</v>
      </c>
      <c r="N9" s="77" t="s">
        <v>158</v>
      </c>
      <c r="O9" s="84">
        <f t="shared" si="0"/>
        <v>9000</v>
      </c>
      <c r="P9" s="81">
        <v>1</v>
      </c>
      <c r="Q9" s="65">
        <v>9000</v>
      </c>
    </row>
    <row r="10" spans="1:17">
      <c r="A10" s="20" t="s">
        <v>152</v>
      </c>
      <c r="B10" s="14">
        <v>2</v>
      </c>
      <c r="C10" s="7">
        <f>IF(B$2=0,0,B10/B$2)</f>
        <v>0.2</v>
      </c>
      <c r="E10" s="33" t="s">
        <v>55</v>
      </c>
      <c r="F10" s="30" t="s">
        <v>155</v>
      </c>
      <c r="G10" s="13">
        <v>3</v>
      </c>
      <c r="H10" s="94">
        <f>IF(B$17=0,0,G10/B$17)</f>
        <v>0.1875</v>
      </c>
      <c r="I10" s="56">
        <v>24</v>
      </c>
      <c r="K10" s="5">
        <v>8</v>
      </c>
      <c r="L10" s="61">
        <v>91.5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7</v>
      </c>
      <c r="C11" s="7">
        <f>IF(B$2=0,0,B11/B$2)</f>
        <v>0.7</v>
      </c>
      <c r="E11" s="33" t="s">
        <v>58</v>
      </c>
      <c r="F11" s="30" t="s">
        <v>22</v>
      </c>
      <c r="G11" s="13">
        <v>1</v>
      </c>
      <c r="H11" s="94">
        <f>IF(B$17=0,0,G11/B$17)</f>
        <v>6.25E-2</v>
      </c>
      <c r="I11" s="56">
        <v>17</v>
      </c>
      <c r="K11" s="5">
        <v>9</v>
      </c>
      <c r="L11" s="61">
        <v>98.5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183</v>
      </c>
      <c r="F12" s="30" t="s">
        <v>186</v>
      </c>
      <c r="G12" s="13">
        <v>1</v>
      </c>
      <c r="H12" s="94">
        <f>IF(B$17=0,0,G12/B$17)</f>
        <v>6.25E-2</v>
      </c>
      <c r="I12" s="56">
        <v>6</v>
      </c>
      <c r="K12" s="5">
        <v>10</v>
      </c>
      <c r="L12" s="61">
        <v>106.4</v>
      </c>
      <c r="N12" s="75" t="s">
        <v>126</v>
      </c>
      <c r="O12" s="85">
        <f>IF(P12=0,0,Q12/P12)</f>
        <v>-3.9</v>
      </c>
      <c r="P12" s="79">
        <v>3</v>
      </c>
      <c r="Q12" s="67">
        <v>-11.7</v>
      </c>
    </row>
    <row r="13" spans="1:17">
      <c r="A13" s="22" t="s">
        <v>97</v>
      </c>
      <c r="B13" s="15">
        <v>16</v>
      </c>
      <c r="C13" s="11">
        <f>IF(B$3=0,0,B13/B$3)</f>
        <v>0.2318840579710145</v>
      </c>
      <c r="E13" s="33" t="s">
        <v>61</v>
      </c>
      <c r="F13" s="30" t="s">
        <v>25</v>
      </c>
      <c r="G13" s="13">
        <v>0</v>
      </c>
      <c r="H13" s="94">
        <f>IF(B$17=0,0,G13/B$17)</f>
        <v>0</v>
      </c>
      <c r="I13" s="56">
        <v>5</v>
      </c>
      <c r="N13" s="76" t="s">
        <v>127</v>
      </c>
      <c r="O13" s="86">
        <f>IF(P13=0,0,Q13/P13)</f>
        <v>72.599999999999994</v>
      </c>
      <c r="P13" s="80">
        <v>2</v>
      </c>
      <c r="Q13" s="68">
        <v>145.19999999999999</v>
      </c>
    </row>
    <row r="14" spans="1:17">
      <c r="A14" s="19" t="s">
        <v>94</v>
      </c>
      <c r="B14" s="13">
        <v>16</v>
      </c>
      <c r="C14" s="6">
        <f>IF(B$3=0,0,B14/B$3)</f>
        <v>0.2318840579710145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6</v>
      </c>
      <c r="N14" s="76" t="s">
        <v>128</v>
      </c>
      <c r="O14" s="86">
        <f>IF(P14=0,0,Q14/P14)</f>
        <v>-49.6</v>
      </c>
      <c r="P14" s="80">
        <v>2</v>
      </c>
      <c r="Q14" s="68">
        <v>-99.2</v>
      </c>
    </row>
    <row r="15" spans="1:17">
      <c r="A15" s="18" t="s">
        <v>99</v>
      </c>
      <c r="B15" s="12">
        <f>B21</f>
        <v>8</v>
      </c>
      <c r="C15" s="4">
        <f>IF(B$13=0,0,B15/B$13)</f>
        <v>0.5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24.033333333333335</v>
      </c>
      <c r="P15" s="81">
        <v>3</v>
      </c>
      <c r="Q15" s="69">
        <v>72.100000000000009</v>
      </c>
    </row>
    <row r="16" spans="1:17">
      <c r="A16" s="18" t="s">
        <v>100</v>
      </c>
      <c r="B16" s="12">
        <f>B22</f>
        <v>5</v>
      </c>
      <c r="C16" s="4">
        <f>IF(B$14=0,0,B16/B$14)</f>
        <v>0.3125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16</v>
      </c>
      <c r="C17" s="4">
        <f>IF(B$3=0,0,B17/B$3)</f>
        <v>0.2318840579710145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6</v>
      </c>
      <c r="C18" s="6">
        <f>IF(B$3=0,0,B18/B$3)</f>
        <v>8.6956521739130432E-2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9</v>
      </c>
      <c r="N18" s="75" t="s">
        <v>169</v>
      </c>
      <c r="O18" s="85">
        <f>IF(P18=0,0,Q18/P18)</f>
        <v>86.333333333333314</v>
      </c>
      <c r="P18" s="79">
        <v>3</v>
      </c>
      <c r="Q18" s="67">
        <v>258.99999999999994</v>
      </c>
    </row>
    <row r="19" spans="1:17">
      <c r="A19" s="19" t="s">
        <v>12</v>
      </c>
      <c r="B19" s="13">
        <v>7</v>
      </c>
      <c r="C19" s="6">
        <f>IF(B$17=0,0,B19/B$17)</f>
        <v>0.4375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8</v>
      </c>
      <c r="N19" s="76" t="s">
        <v>238</v>
      </c>
      <c r="O19" s="86">
        <f>IF(P19=0,0,Q19/P19)</f>
        <v>63.800000000000011</v>
      </c>
      <c r="P19" s="80">
        <v>3</v>
      </c>
      <c r="Q19" s="68">
        <v>191.40000000000003</v>
      </c>
    </row>
    <row r="20" spans="1:17">
      <c r="A20" s="19" t="s">
        <v>11</v>
      </c>
      <c r="B20" s="13">
        <v>9</v>
      </c>
      <c r="C20" s="6">
        <f>IF(B$17=0,0,B20/B$17)</f>
        <v>0.5625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1</v>
      </c>
      <c r="N20" s="76" t="s">
        <v>277</v>
      </c>
      <c r="O20" s="86">
        <f>IF(P20=0,0,Q20/P20)</f>
        <v>55.85</v>
      </c>
      <c r="P20" s="80">
        <v>2</v>
      </c>
      <c r="Q20" s="68">
        <v>111.7</v>
      </c>
    </row>
    <row r="21" spans="1:17">
      <c r="A21" s="19" t="s">
        <v>151</v>
      </c>
      <c r="B21" s="13">
        <v>8</v>
      </c>
      <c r="C21" s="6">
        <f>IF(B$17=0,0,B21/B$17)</f>
        <v>0.5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8</v>
      </c>
      <c r="N21" s="76" t="s">
        <v>269</v>
      </c>
      <c r="O21" s="86">
        <f>IF(P21=0,0,Q21/P21)</f>
        <v>48.4</v>
      </c>
      <c r="P21" s="80">
        <v>1</v>
      </c>
      <c r="Q21" s="68">
        <v>48.4</v>
      </c>
    </row>
    <row r="22" spans="1:17">
      <c r="A22" s="19" t="s">
        <v>149</v>
      </c>
      <c r="B22" s="13">
        <v>5</v>
      </c>
      <c r="C22" s="6">
        <f>IF(B$17=0,0,B22/B$17)</f>
        <v>0.3125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235</v>
      </c>
      <c r="O22" s="86">
        <f>IF(P22=0,0,Q22/P22)</f>
        <v>46.175000000000011</v>
      </c>
      <c r="P22" s="80">
        <v>4</v>
      </c>
      <c r="Q22" s="68">
        <v>184.70000000000005</v>
      </c>
    </row>
    <row r="23" spans="1:17">
      <c r="A23" s="19" t="s">
        <v>150</v>
      </c>
      <c r="B23" s="13">
        <v>3</v>
      </c>
      <c r="C23" s="6">
        <f>IF(B$17=0,0,B23/B$17)</f>
        <v>0.1875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14</v>
      </c>
      <c r="N23" s="76" t="s">
        <v>244</v>
      </c>
      <c r="O23" s="86">
        <f>IF(P23=0,0,Q23/P23)</f>
        <v>37.549999999999997</v>
      </c>
      <c r="P23" s="80">
        <v>2</v>
      </c>
      <c r="Q23" s="68">
        <v>75.099999999999994</v>
      </c>
    </row>
    <row r="24" spans="1:17">
      <c r="A24" s="19" t="s">
        <v>5</v>
      </c>
      <c r="B24" s="16">
        <f>IF(B$17=0,0,C24/B$17)</f>
        <v>7212.5</v>
      </c>
      <c r="C24" s="8">
        <v>115400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263</v>
      </c>
      <c r="O24" s="86">
        <f>IF(P24=0,0,Q24/P24)</f>
        <v>7.6</v>
      </c>
      <c r="P24" s="80">
        <v>2</v>
      </c>
      <c r="Q24" s="68">
        <v>15.2</v>
      </c>
    </row>
    <row r="25" spans="1:17">
      <c r="A25" s="20" t="s">
        <v>133</v>
      </c>
      <c r="B25" s="97">
        <f>IF($B$17-B$16=0,0,C25/($B$17-B$16))</f>
        <v>8681.818181818182</v>
      </c>
      <c r="C25" s="98">
        <v>95500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  <c r="N25" s="76" t="s">
        <v>258</v>
      </c>
      <c r="O25" s="86">
        <f>IF(P25=0,0,Q25/P25)</f>
        <v>3.1250000000000022</v>
      </c>
      <c r="P25" s="80">
        <v>4</v>
      </c>
      <c r="Q25" s="68">
        <v>12.500000000000009</v>
      </c>
    </row>
    <row r="26" spans="1:17">
      <c r="A26" s="20" t="s">
        <v>134</v>
      </c>
      <c r="B26" s="97">
        <f>IF(B$16=0,0,C26/B$16)</f>
        <v>3980</v>
      </c>
      <c r="C26" s="98">
        <v>19900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12</v>
      </c>
      <c r="N26" s="76" t="s">
        <v>228</v>
      </c>
      <c r="O26" s="86">
        <f>IF(P26=0,0,Q26/P26)</f>
        <v>-5.8999999999999995</v>
      </c>
      <c r="P26" s="80">
        <v>2</v>
      </c>
      <c r="Q26" s="68">
        <v>-11.799999999999999</v>
      </c>
    </row>
    <row r="27" spans="1:17">
      <c r="A27" s="20" t="s">
        <v>132</v>
      </c>
      <c r="B27" s="97">
        <f>IF(B$18=0,0,C27/B$18)</f>
        <v>-7600</v>
      </c>
      <c r="C27" s="98">
        <v>-45600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272</v>
      </c>
      <c r="O27" s="86">
        <f>IF(P27=0,0,Q27/P27)</f>
        <v>-10.149999999999999</v>
      </c>
      <c r="P27" s="80">
        <v>2</v>
      </c>
      <c r="Q27" s="68">
        <v>-20.299999999999997</v>
      </c>
    </row>
    <row r="28" spans="1:17">
      <c r="A28" s="19" t="s">
        <v>130</v>
      </c>
      <c r="B28" s="13">
        <v>3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5</v>
      </c>
      <c r="N28" s="76" t="s">
        <v>265</v>
      </c>
      <c r="O28" s="86">
        <f>IF(P28=0,0,Q28/P28)</f>
        <v>-55.45</v>
      </c>
      <c r="P28" s="80">
        <v>2</v>
      </c>
      <c r="Q28" s="68">
        <v>-110.9</v>
      </c>
    </row>
    <row r="29" spans="1:17">
      <c r="A29" s="19" t="s">
        <v>131</v>
      </c>
      <c r="B29" s="13">
        <v>18</v>
      </c>
      <c r="C29" s="96">
        <v>18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16</v>
      </c>
      <c r="N29" s="76" t="s">
        <v>195</v>
      </c>
      <c r="O29" s="86">
        <f>IF(P29=0,0,Q29/P29)</f>
        <v>-72.7</v>
      </c>
      <c r="P29" s="80">
        <v>1</v>
      </c>
      <c r="Q29" s="68">
        <v>-72.7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7</v>
      </c>
      <c r="N30" s="76" t="s">
        <v>276</v>
      </c>
      <c r="O30" s="86">
        <f>IF(P30=0,0,Q30/P30)</f>
        <v>-110.7</v>
      </c>
      <c r="P30" s="80">
        <v>1</v>
      </c>
      <c r="Q30" s="68">
        <v>-110.7</v>
      </c>
    </row>
    <row r="31" spans="1:17">
      <c r="A31" s="22" t="s">
        <v>148</v>
      </c>
      <c r="B31" s="116">
        <v>60000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216</v>
      </c>
      <c r="O31" s="86">
        <f>IF(P31=0,0,Q31/P31)</f>
        <v>-116</v>
      </c>
      <c r="P31" s="80">
        <v>1</v>
      </c>
      <c r="Q31" s="68">
        <v>-116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3</v>
      </c>
      <c r="C36" s="6">
        <f t="shared" si="3"/>
        <v>0.1875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6</v>
      </c>
      <c r="C37" s="6">
        <f t="shared" si="3"/>
        <v>0.375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4</v>
      </c>
      <c r="C38" s="6">
        <f t="shared" si="3"/>
        <v>0.25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3"/>
        <v>6.25E-2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3"/>
        <v>6.25E-2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3"/>
        <v>6.25E-2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N18:Q31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C0370A-8759-44AF-8B86-37F448B5A758}">
  <sheetPr codeName="Sheet39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258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7</v>
      </c>
      <c r="C2" s="121"/>
      <c r="E2" s="32" t="s">
        <v>181</v>
      </c>
      <c r="F2" s="29" t="s">
        <v>156</v>
      </c>
      <c r="G2" s="12">
        <v>8</v>
      </c>
      <c r="H2" s="93">
        <f>IF(B$17=0,0,G2/B$17)</f>
        <v>0.88888888888888884</v>
      </c>
      <c r="I2" s="55">
        <v>3</v>
      </c>
      <c r="K2" s="3">
        <v>0</v>
      </c>
      <c r="L2" s="60">
        <v>0</v>
      </c>
      <c r="N2" s="75" t="s">
        <v>103</v>
      </c>
      <c r="O2" s="82">
        <f t="shared" ref="O2:O9" si="0">IF(P2=0,0,Q2/P2)</f>
        <v>1342.8571428571429</v>
      </c>
      <c r="P2" s="79">
        <v>7</v>
      </c>
      <c r="Q2" s="63">
        <v>9400</v>
      </c>
    </row>
    <row r="3" spans="1:17">
      <c r="A3" s="19" t="s">
        <v>8</v>
      </c>
      <c r="B3" s="122">
        <v>50</v>
      </c>
      <c r="C3" s="123"/>
      <c r="E3" s="33" t="s">
        <v>184</v>
      </c>
      <c r="F3" s="30" t="s">
        <v>187</v>
      </c>
      <c r="G3" s="13">
        <v>3</v>
      </c>
      <c r="H3" s="94">
        <f>IF(B$17=0,0,G3/B$17)</f>
        <v>0.33333333333333331</v>
      </c>
      <c r="I3" s="56">
        <v>28</v>
      </c>
      <c r="K3" s="5">
        <v>1</v>
      </c>
      <c r="L3" s="61">
        <v>4.5</v>
      </c>
      <c r="N3" s="76" t="s">
        <v>104</v>
      </c>
      <c r="O3" s="83">
        <f t="shared" si="0"/>
        <v>-1414.2857142857142</v>
      </c>
      <c r="P3" s="80">
        <v>7</v>
      </c>
      <c r="Q3" s="64">
        <v>-9900</v>
      </c>
    </row>
    <row r="4" spans="1:17">
      <c r="A4" s="19" t="s">
        <v>6</v>
      </c>
      <c r="B4" s="124">
        <v>-74.2</v>
      </c>
      <c r="C4" s="125"/>
      <c r="E4" s="33" t="s">
        <v>182</v>
      </c>
      <c r="F4" s="30" t="s">
        <v>19</v>
      </c>
      <c r="G4" s="13">
        <v>2</v>
      </c>
      <c r="H4" s="94">
        <f>IF(B$17=0,0,G4/B$17)</f>
        <v>0.22222222222222221</v>
      </c>
      <c r="I4" s="56">
        <v>8</v>
      </c>
      <c r="K4" s="5">
        <v>2</v>
      </c>
      <c r="L4" s="61">
        <v>-19.600000000000001</v>
      </c>
      <c r="N4" s="76" t="s">
        <v>105</v>
      </c>
      <c r="O4" s="83">
        <f t="shared" si="0"/>
        <v>-1200</v>
      </c>
      <c r="P4" s="80">
        <v>7</v>
      </c>
      <c r="Q4" s="64">
        <v>-8400</v>
      </c>
    </row>
    <row r="5" spans="1:17">
      <c r="A5" s="19" t="s">
        <v>7</v>
      </c>
      <c r="B5" s="126">
        <f>IF(B$2=0,0,B$4/B$2)</f>
        <v>-10.6</v>
      </c>
      <c r="C5" s="127"/>
      <c r="E5" s="33" t="s">
        <v>54</v>
      </c>
      <c r="F5" s="30" t="s">
        <v>20</v>
      </c>
      <c r="G5" s="13">
        <v>2</v>
      </c>
      <c r="H5" s="94">
        <f>IF(B$17=0,0,G5/B$17)</f>
        <v>0.22222222222222221</v>
      </c>
      <c r="I5" s="56">
        <v>31</v>
      </c>
      <c r="K5" s="5">
        <v>3</v>
      </c>
      <c r="L5" s="61">
        <v>-71.599999999999994</v>
      </c>
      <c r="N5" s="76" t="s">
        <v>157</v>
      </c>
      <c r="O5" s="83">
        <f>IF(P5=0,0,Q5/P5)</f>
        <v>-871.42857142857144</v>
      </c>
      <c r="P5" s="80">
        <v>7</v>
      </c>
      <c r="Q5" s="64">
        <v>-6100</v>
      </c>
    </row>
    <row r="6" spans="1:17">
      <c r="A6" s="19" t="s">
        <v>1</v>
      </c>
      <c r="B6" s="128">
        <f>IF(B$2=0,0,(B$7*1+B$8*2+B$9*3+B$10*4)/B$2)</f>
        <v>2.7142857142857144</v>
      </c>
      <c r="C6" s="129"/>
      <c r="E6" s="33" t="s">
        <v>55</v>
      </c>
      <c r="F6" s="30" t="s">
        <v>155</v>
      </c>
      <c r="G6" s="13">
        <v>2</v>
      </c>
      <c r="H6" s="94">
        <f>IF(B$17=0,0,G6/B$17)</f>
        <v>0.22222222222222221</v>
      </c>
      <c r="I6" s="56">
        <v>21</v>
      </c>
      <c r="K6" s="5">
        <v>4</v>
      </c>
      <c r="L6" s="61">
        <v>-14.099999999999994</v>
      </c>
      <c r="N6" s="76" t="s">
        <v>106</v>
      </c>
      <c r="O6" s="83">
        <f t="shared" ref="O6" si="1">IF(P6=0,0,Q6/P6)</f>
        <v>-3940</v>
      </c>
      <c r="P6" s="80">
        <v>5</v>
      </c>
      <c r="Q6" s="64">
        <v>-19700</v>
      </c>
    </row>
    <row r="7" spans="1:17">
      <c r="A7" s="19" t="s">
        <v>2</v>
      </c>
      <c r="B7" s="13">
        <v>1</v>
      </c>
      <c r="C7" s="6">
        <f t="shared" ref="C7:C12" si="2">IF(B$2=0,0,B7/B$2)</f>
        <v>0.14285714285714285</v>
      </c>
      <c r="E7" s="33" t="s">
        <v>58</v>
      </c>
      <c r="F7" s="30" t="s">
        <v>22</v>
      </c>
      <c r="G7" s="13">
        <v>2</v>
      </c>
      <c r="H7" s="94">
        <f>IF(B$17=0,0,G7/B$17)</f>
        <v>0.22222222222222221</v>
      </c>
      <c r="I7" s="56">
        <v>2</v>
      </c>
      <c r="K7" s="5">
        <v>5</v>
      </c>
      <c r="L7" s="61">
        <v>-36.199999999999996</v>
      </c>
      <c r="N7" s="76" t="s">
        <v>107</v>
      </c>
      <c r="O7" s="83">
        <f t="shared" si="0"/>
        <v>5200</v>
      </c>
      <c r="P7" s="80">
        <v>3</v>
      </c>
      <c r="Q7" s="64">
        <v>15600</v>
      </c>
    </row>
    <row r="8" spans="1:17">
      <c r="A8" s="19" t="s">
        <v>3</v>
      </c>
      <c r="B8" s="13">
        <v>2</v>
      </c>
      <c r="C8" s="6">
        <f>IF(B$2=0,0,B8/B$2)</f>
        <v>0.2857142857142857</v>
      </c>
      <c r="E8" s="33" t="s">
        <v>57</v>
      </c>
      <c r="F8" s="30" t="s">
        <v>21</v>
      </c>
      <c r="G8" s="13">
        <v>1</v>
      </c>
      <c r="H8" s="94">
        <f>IF(B$17=0,0,G8/B$17)</f>
        <v>0.1111111111111111</v>
      </c>
      <c r="I8" s="56">
        <v>30</v>
      </c>
      <c r="K8" s="5">
        <v>6</v>
      </c>
      <c r="L8" s="61">
        <v>-73.8</v>
      </c>
      <c r="N8" s="76" t="s">
        <v>108</v>
      </c>
      <c r="O8" s="83">
        <f t="shared" si="0"/>
        <v>-2200</v>
      </c>
      <c r="P8" s="80">
        <v>3</v>
      </c>
      <c r="Q8" s="64">
        <v>-6600</v>
      </c>
    </row>
    <row r="9" spans="1:17">
      <c r="A9" s="20" t="s">
        <v>4</v>
      </c>
      <c r="B9" s="14">
        <v>2</v>
      </c>
      <c r="C9" s="7">
        <f>IF(B$2=0,0,B9/B$2)</f>
        <v>0.2857142857142857</v>
      </c>
      <c r="E9" s="33" t="s">
        <v>60</v>
      </c>
      <c r="F9" s="30" t="s">
        <v>24</v>
      </c>
      <c r="G9" s="13">
        <v>1</v>
      </c>
      <c r="H9" s="94">
        <f>IF(B$17=0,0,G9/B$17)</f>
        <v>0.1111111111111111</v>
      </c>
      <c r="I9" s="56">
        <v>36</v>
      </c>
      <c r="K9" s="5">
        <v>7</v>
      </c>
      <c r="L9" s="61">
        <v>-74.2</v>
      </c>
      <c r="N9" s="77" t="s">
        <v>158</v>
      </c>
      <c r="O9" s="84">
        <f t="shared" si="0"/>
        <v>-1750</v>
      </c>
      <c r="P9" s="81">
        <v>2</v>
      </c>
      <c r="Q9" s="65">
        <v>-3500</v>
      </c>
    </row>
    <row r="10" spans="1:17">
      <c r="A10" s="20" t="s">
        <v>152</v>
      </c>
      <c r="B10" s="14">
        <v>2</v>
      </c>
      <c r="C10" s="7">
        <f>IF(B$2=0,0,B10/B$2)</f>
        <v>0.2857142857142857</v>
      </c>
      <c r="E10" s="33" t="s">
        <v>66</v>
      </c>
      <c r="F10" s="30" t="s">
        <v>30</v>
      </c>
      <c r="G10" s="13">
        <v>1</v>
      </c>
      <c r="H10" s="94">
        <f>IF(B$17=0,0,G10/B$17)</f>
        <v>0.1111111111111111</v>
      </c>
      <c r="I10" s="56">
        <v>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3</v>
      </c>
      <c r="C11" s="7">
        <f>IF(B$2=0,0,B11/B$2)</f>
        <v>0.42857142857142855</v>
      </c>
      <c r="E11" s="33" t="s">
        <v>71</v>
      </c>
      <c r="F11" s="30" t="s">
        <v>35</v>
      </c>
      <c r="G11" s="13">
        <v>1</v>
      </c>
      <c r="H11" s="94">
        <f>IF(B$17=0,0,G11/B$17)</f>
        <v>0.1111111111111111</v>
      </c>
      <c r="I11" s="56">
        <v>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74</v>
      </c>
      <c r="F12" s="30" t="s">
        <v>38</v>
      </c>
      <c r="G12" s="13">
        <v>1</v>
      </c>
      <c r="H12" s="94">
        <f>IF(B$17=0,0,G12/B$17)</f>
        <v>0.1111111111111111</v>
      </c>
      <c r="I12" s="56">
        <v>3</v>
      </c>
      <c r="N12" s="75" t="s">
        <v>126</v>
      </c>
      <c r="O12" s="85">
        <f>IF(P12=0,0,Q12/P12)</f>
        <v>4.5</v>
      </c>
      <c r="P12" s="79">
        <v>1</v>
      </c>
      <c r="Q12" s="67">
        <v>4.5</v>
      </c>
    </row>
    <row r="13" spans="1:17">
      <c r="A13" s="22" t="s">
        <v>97</v>
      </c>
      <c r="B13" s="15">
        <v>16</v>
      </c>
      <c r="C13" s="11">
        <f>IF(B$3=0,0,B13/B$3)</f>
        <v>0.32</v>
      </c>
      <c r="E13" s="33" t="s">
        <v>77</v>
      </c>
      <c r="F13" s="30" t="s">
        <v>41</v>
      </c>
      <c r="G13" s="13">
        <v>1</v>
      </c>
      <c r="H13" s="94">
        <f>IF(B$17=0,0,G13/B$17)</f>
        <v>0.1111111111111111</v>
      </c>
      <c r="I13" s="56">
        <v>6</v>
      </c>
      <c r="N13" s="76" t="s">
        <v>127</v>
      </c>
      <c r="O13" s="86">
        <f>IF(P13=0,0,Q13/P13)</f>
        <v>1.7</v>
      </c>
      <c r="P13" s="80">
        <v>3</v>
      </c>
      <c r="Q13" s="68">
        <v>5.0999999999999996</v>
      </c>
    </row>
    <row r="14" spans="1:17">
      <c r="A14" s="19" t="s">
        <v>94</v>
      </c>
      <c r="B14" s="13">
        <v>8</v>
      </c>
      <c r="C14" s="6">
        <f>IF(B$3=0,0,B14/B$3)</f>
        <v>0.16</v>
      </c>
      <c r="E14" s="33" t="s">
        <v>56</v>
      </c>
      <c r="F14" s="30" t="s">
        <v>185</v>
      </c>
      <c r="G14" s="13">
        <v>0</v>
      </c>
      <c r="H14" s="94">
        <f>IF(B$17=0,0,G14/B$17)</f>
        <v>0</v>
      </c>
      <c r="I14" s="56">
        <v>37</v>
      </c>
      <c r="N14" s="76" t="s">
        <v>128</v>
      </c>
      <c r="O14" s="86">
        <f>IF(P14=0,0,Q14/P14)</f>
        <v>-27.933333333333337</v>
      </c>
      <c r="P14" s="80">
        <v>3</v>
      </c>
      <c r="Q14" s="68">
        <v>-83.800000000000011</v>
      </c>
    </row>
    <row r="15" spans="1:17">
      <c r="A15" s="18" t="s">
        <v>99</v>
      </c>
      <c r="B15" s="12">
        <f>B21</f>
        <v>8</v>
      </c>
      <c r="C15" s="4">
        <f>IF(B$13=0,0,B15/B$13)</f>
        <v>0.5</v>
      </c>
      <c r="E15" s="33" t="s">
        <v>59</v>
      </c>
      <c r="F15" s="30" t="s">
        <v>23</v>
      </c>
      <c r="G15" s="13">
        <v>0</v>
      </c>
      <c r="H15" s="94">
        <f>IF(B$17=0,0,G15/B$17)</f>
        <v>0</v>
      </c>
      <c r="I15" s="56">
        <v>26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1</v>
      </c>
      <c r="C16" s="4">
        <f>IF(B$14=0,0,B16/B$14)</f>
        <v>0.125</v>
      </c>
      <c r="E16" s="33" t="s">
        <v>61</v>
      </c>
      <c r="F16" s="30" t="s">
        <v>25</v>
      </c>
      <c r="G16" s="13">
        <v>0</v>
      </c>
      <c r="H16" s="94">
        <f>IF(B$17=0,0,G16/B$17)</f>
        <v>0</v>
      </c>
      <c r="I16" s="56">
        <v>5</v>
      </c>
      <c r="N16" s="1"/>
      <c r="O16" s="71"/>
      <c r="P16" s="73"/>
      <c r="Q16" s="71"/>
    </row>
    <row r="17" spans="1:17">
      <c r="A17" s="18" t="s">
        <v>10</v>
      </c>
      <c r="B17" s="12">
        <f>B20+B19</f>
        <v>9</v>
      </c>
      <c r="C17" s="4">
        <f>IF(B$3=0,0,B17/B$3)</f>
        <v>0.18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6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10</v>
      </c>
      <c r="C18" s="6">
        <f>IF(B$3=0,0,B18/B$3)</f>
        <v>0.2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1</v>
      </c>
      <c r="N18" s="75" t="s">
        <v>241</v>
      </c>
      <c r="O18" s="85">
        <f t="shared" ref="O18:O28" si="3">IF(P18=0,0,Q18/P18)</f>
        <v>39.5</v>
      </c>
      <c r="P18" s="79">
        <v>1</v>
      </c>
      <c r="Q18" s="67">
        <v>39.5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N19" s="76" t="s">
        <v>262</v>
      </c>
      <c r="O19" s="86">
        <f t="shared" si="3"/>
        <v>25</v>
      </c>
      <c r="P19" s="80">
        <v>1</v>
      </c>
      <c r="Q19" s="68">
        <v>25</v>
      </c>
    </row>
    <row r="20" spans="1:17">
      <c r="A20" s="19" t="s">
        <v>11</v>
      </c>
      <c r="B20" s="13">
        <v>9</v>
      </c>
      <c r="C20" s="6">
        <f>IF(B$17=0,0,B20/B$17)</f>
        <v>1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N20" s="76" t="s">
        <v>244</v>
      </c>
      <c r="O20" s="86">
        <f t="shared" si="3"/>
        <v>23.699999999999996</v>
      </c>
      <c r="P20" s="80">
        <v>1</v>
      </c>
      <c r="Q20" s="68">
        <v>23.699999999999996</v>
      </c>
    </row>
    <row r="21" spans="1:17">
      <c r="A21" s="19" t="s">
        <v>151</v>
      </c>
      <c r="B21" s="13">
        <v>8</v>
      </c>
      <c r="C21" s="6">
        <f>IF(B$17=0,0,B21/B$17)</f>
        <v>0.88888888888888884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8</v>
      </c>
      <c r="N21" s="76" t="s">
        <v>235</v>
      </c>
      <c r="O21" s="86">
        <f t="shared" si="3"/>
        <v>23.5</v>
      </c>
      <c r="P21" s="80">
        <v>3</v>
      </c>
      <c r="Q21" s="68">
        <v>70.5</v>
      </c>
    </row>
    <row r="22" spans="1:17">
      <c r="A22" s="19" t="s">
        <v>149</v>
      </c>
      <c r="B22" s="13">
        <v>1</v>
      </c>
      <c r="C22" s="6">
        <f>IF(B$17=0,0,B22/B$17)</f>
        <v>0.1111111111111111</v>
      </c>
      <c r="E22" s="33" t="s">
        <v>183</v>
      </c>
      <c r="F22" s="30" t="s">
        <v>186</v>
      </c>
      <c r="G22" s="13">
        <v>0</v>
      </c>
      <c r="H22" s="94">
        <f>IF(B$17=0,0,G22/B$17)</f>
        <v>0</v>
      </c>
      <c r="I22" s="56">
        <v>16</v>
      </c>
      <c r="N22" s="76" t="s">
        <v>255</v>
      </c>
      <c r="O22" s="86">
        <f t="shared" si="3"/>
        <v>-3.1250000000000018</v>
      </c>
      <c r="P22" s="80">
        <v>4</v>
      </c>
      <c r="Q22" s="68">
        <v>-12.500000000000007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1</v>
      </c>
      <c r="N23" s="76" t="s">
        <v>228</v>
      </c>
      <c r="O23" s="86">
        <f t="shared" si="3"/>
        <v>-22.05</v>
      </c>
      <c r="P23" s="80">
        <v>4</v>
      </c>
      <c r="Q23" s="68">
        <v>-88.2</v>
      </c>
    </row>
    <row r="24" spans="1:17">
      <c r="A24" s="19" t="s">
        <v>5</v>
      </c>
      <c r="B24" s="16">
        <f>IF(B$17=0,0,C24/B$17)</f>
        <v>5766.666666666667</v>
      </c>
      <c r="C24" s="8">
        <v>51900</v>
      </c>
      <c r="E24" s="33" t="s">
        <v>69</v>
      </c>
      <c r="F24" s="30" t="s">
        <v>33</v>
      </c>
      <c r="G24" s="13">
        <v>0</v>
      </c>
      <c r="H24" s="94">
        <f>IF(B$17=0,0,G24/B$17)</f>
        <v>0</v>
      </c>
      <c r="I24" s="56">
        <v>8</v>
      </c>
      <c r="N24" s="76" t="s">
        <v>263</v>
      </c>
      <c r="O24" s="86">
        <f t="shared" si="3"/>
        <v>-30.900000000000002</v>
      </c>
      <c r="P24" s="80">
        <v>3</v>
      </c>
      <c r="Q24" s="68">
        <v>-92.7</v>
      </c>
    </row>
    <row r="25" spans="1:17">
      <c r="A25" s="20" t="s">
        <v>133</v>
      </c>
      <c r="B25" s="97">
        <f>IF($B$17-B$16=0,0,C25/($B$17-B$16))</f>
        <v>6000</v>
      </c>
      <c r="C25" s="98">
        <v>48000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N25" s="76" t="s">
        <v>169</v>
      </c>
      <c r="O25" s="86">
        <f t="shared" si="3"/>
        <v>-36.6</v>
      </c>
      <c r="P25" s="80">
        <v>1</v>
      </c>
      <c r="Q25" s="68">
        <v>-36.6</v>
      </c>
    </row>
    <row r="26" spans="1:17">
      <c r="A26" s="20" t="s">
        <v>134</v>
      </c>
      <c r="B26" s="97">
        <f>IF(B$16=0,0,C26/B$16)</f>
        <v>3900</v>
      </c>
      <c r="C26" s="98">
        <v>3900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N26" s="76" t="s">
        <v>272</v>
      </c>
      <c r="O26" s="86">
        <f t="shared" si="3"/>
        <v>-43.9</v>
      </c>
      <c r="P26" s="80">
        <v>1</v>
      </c>
      <c r="Q26" s="68">
        <v>-43.9</v>
      </c>
    </row>
    <row r="27" spans="1:17">
      <c r="A27" s="20" t="s">
        <v>132</v>
      </c>
      <c r="B27" s="97">
        <f>IF(B$18=0,0,C27/B$18)</f>
        <v>-3880</v>
      </c>
      <c r="C27" s="98">
        <v>-38800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N27" s="76" t="s">
        <v>276</v>
      </c>
      <c r="O27" s="86">
        <f t="shared" si="3"/>
        <v>-67.100000000000009</v>
      </c>
      <c r="P27" s="80">
        <v>1</v>
      </c>
      <c r="Q27" s="68">
        <v>-67.100000000000009</v>
      </c>
    </row>
    <row r="28" spans="1:17">
      <c r="A28" s="19" t="s">
        <v>130</v>
      </c>
      <c r="B28" s="13">
        <v>2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195</v>
      </c>
      <c r="O28" s="86">
        <f t="shared" si="3"/>
        <v>-84.5</v>
      </c>
      <c r="P28" s="80">
        <v>1</v>
      </c>
      <c r="Q28" s="68">
        <v>-84.5</v>
      </c>
    </row>
    <row r="29" spans="1:17">
      <c r="A29" s="19" t="s">
        <v>131</v>
      </c>
      <c r="B29" s="13">
        <v>10</v>
      </c>
      <c r="C29" s="96">
        <v>1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5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7</v>
      </c>
    </row>
    <row r="31" spans="1:17">
      <c r="A31" s="22" t="s">
        <v>148</v>
      </c>
      <c r="B31" s="116">
        <v>37500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1</v>
      </c>
      <c r="C32" s="9">
        <f>IF(B$3=0,0,B32/B$3)</f>
        <v>0.02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0.1111111111111111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3</v>
      </c>
      <c r="C36" s="6">
        <f t="shared" si="4"/>
        <v>0.33333333333333331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2</v>
      </c>
      <c r="C37" s="6">
        <f t="shared" si="4"/>
        <v>0.22222222222222221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2</v>
      </c>
      <c r="C38" s="6">
        <f t="shared" si="4"/>
        <v>0.22222222222222221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1</v>
      </c>
      <c r="C43" s="6">
        <f t="shared" si="4"/>
        <v>0.1111111111111111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C7B43A-5C89-4EEE-ADA5-E78E017A7CA4}">
  <sheetPr codeName="Sheet4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265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10</v>
      </c>
      <c r="C2" s="121"/>
      <c r="E2" s="32" t="s">
        <v>54</v>
      </c>
      <c r="F2" s="29" t="s">
        <v>20</v>
      </c>
      <c r="G2" s="12">
        <v>17</v>
      </c>
      <c r="H2" s="93">
        <f>IF(B$17=0,0,G2/B$17)</f>
        <v>0.85</v>
      </c>
      <c r="I2" s="55">
        <v>4</v>
      </c>
      <c r="K2" s="3">
        <v>0</v>
      </c>
      <c r="L2" s="60">
        <v>0</v>
      </c>
      <c r="N2" s="75" t="s">
        <v>103</v>
      </c>
      <c r="O2" s="82">
        <f t="shared" ref="O2:O9" si="0">IF(P2=0,0,Q2/P2)</f>
        <v>2070</v>
      </c>
      <c r="P2" s="79">
        <v>10</v>
      </c>
      <c r="Q2" s="63">
        <v>20700</v>
      </c>
    </row>
    <row r="3" spans="1:17">
      <c r="A3" s="19" t="s">
        <v>8</v>
      </c>
      <c r="B3" s="122">
        <v>66</v>
      </c>
      <c r="C3" s="123"/>
      <c r="E3" s="33" t="s">
        <v>181</v>
      </c>
      <c r="F3" s="30" t="s">
        <v>156</v>
      </c>
      <c r="G3" s="13">
        <v>10</v>
      </c>
      <c r="H3" s="94">
        <f>IF(B$17=0,0,G3/B$17)</f>
        <v>0.5</v>
      </c>
      <c r="I3" s="56">
        <v>18</v>
      </c>
      <c r="K3" s="5">
        <v>1</v>
      </c>
      <c r="L3" s="61">
        <v>-45.8</v>
      </c>
      <c r="N3" s="76" t="s">
        <v>104</v>
      </c>
      <c r="O3" s="83">
        <f t="shared" si="0"/>
        <v>10</v>
      </c>
      <c r="P3" s="80">
        <v>10</v>
      </c>
      <c r="Q3" s="64">
        <v>100</v>
      </c>
    </row>
    <row r="4" spans="1:17">
      <c r="A4" s="19" t="s">
        <v>6</v>
      </c>
      <c r="B4" s="124">
        <v>179.8</v>
      </c>
      <c r="C4" s="125"/>
      <c r="E4" s="33" t="s">
        <v>60</v>
      </c>
      <c r="F4" s="30" t="s">
        <v>24</v>
      </c>
      <c r="G4" s="13">
        <v>10</v>
      </c>
      <c r="H4" s="94">
        <f>IF(B$17=0,0,G4/B$17)</f>
        <v>0.5</v>
      </c>
      <c r="I4" s="56">
        <v>11</v>
      </c>
      <c r="K4" s="5">
        <v>2</v>
      </c>
      <c r="L4" s="61">
        <v>24.700000000000003</v>
      </c>
      <c r="N4" s="76" t="s">
        <v>105</v>
      </c>
      <c r="O4" s="83">
        <f t="shared" si="0"/>
        <v>730</v>
      </c>
      <c r="P4" s="80">
        <v>10</v>
      </c>
      <c r="Q4" s="64">
        <v>7300</v>
      </c>
    </row>
    <row r="5" spans="1:17">
      <c r="A5" s="19" t="s">
        <v>7</v>
      </c>
      <c r="B5" s="126">
        <f>IF(B$2=0,0,B$4/B$2)</f>
        <v>17.98</v>
      </c>
      <c r="C5" s="127"/>
      <c r="E5" s="33" t="s">
        <v>184</v>
      </c>
      <c r="F5" s="30" t="s">
        <v>187</v>
      </c>
      <c r="G5" s="13">
        <v>10</v>
      </c>
      <c r="H5" s="94">
        <f>IF(B$17=0,0,G5/B$17)</f>
        <v>0.5</v>
      </c>
      <c r="I5" s="56">
        <v>12</v>
      </c>
      <c r="K5" s="5">
        <v>3</v>
      </c>
      <c r="L5" s="61">
        <v>27.400000000000002</v>
      </c>
      <c r="N5" s="76" t="s">
        <v>157</v>
      </c>
      <c r="O5" s="83">
        <f>IF(P5=0,0,Q5/P5)</f>
        <v>-1710</v>
      </c>
      <c r="P5" s="80">
        <v>10</v>
      </c>
      <c r="Q5" s="64">
        <v>-17100</v>
      </c>
    </row>
    <row r="6" spans="1:17">
      <c r="A6" s="19" t="s">
        <v>1</v>
      </c>
      <c r="B6" s="128">
        <f>IF(B$2=0,0,(B$7*1+B$8*2+B$9*3+B$10*4)/B$2)</f>
        <v>2</v>
      </c>
      <c r="C6" s="129"/>
      <c r="E6" s="33" t="s">
        <v>56</v>
      </c>
      <c r="F6" s="30" t="s">
        <v>185</v>
      </c>
      <c r="G6" s="13">
        <v>5</v>
      </c>
      <c r="H6" s="94">
        <f>IF(B$17=0,0,G6/B$17)</f>
        <v>0.25</v>
      </c>
      <c r="I6" s="56">
        <v>22</v>
      </c>
      <c r="K6" s="5">
        <v>4</v>
      </c>
      <c r="L6" s="61">
        <v>78.2</v>
      </c>
      <c r="N6" s="76" t="s">
        <v>106</v>
      </c>
      <c r="O6" s="83">
        <f t="shared" ref="O6" si="1">IF(P6=0,0,Q6/P6)</f>
        <v>483.33333333333331</v>
      </c>
      <c r="P6" s="80">
        <v>6</v>
      </c>
      <c r="Q6" s="64">
        <v>2900</v>
      </c>
    </row>
    <row r="7" spans="1:17">
      <c r="A7" s="19" t="s">
        <v>2</v>
      </c>
      <c r="B7" s="13">
        <v>5</v>
      </c>
      <c r="C7" s="6">
        <f t="shared" ref="C7:C12" si="2">IF(B$2=0,0,B7/B$2)</f>
        <v>0.5</v>
      </c>
      <c r="E7" s="33" t="s">
        <v>55</v>
      </c>
      <c r="F7" s="30" t="s">
        <v>155</v>
      </c>
      <c r="G7" s="13">
        <v>3</v>
      </c>
      <c r="H7" s="94">
        <f>IF(B$17=0,0,G7/B$17)</f>
        <v>0.15</v>
      </c>
      <c r="I7" s="56">
        <v>28</v>
      </c>
      <c r="K7" s="5">
        <v>5</v>
      </c>
      <c r="L7" s="61">
        <v>20.200000000000003</v>
      </c>
      <c r="N7" s="76" t="s">
        <v>107</v>
      </c>
      <c r="O7" s="83">
        <f t="shared" si="0"/>
        <v>3666.6666666666665</v>
      </c>
      <c r="P7" s="80">
        <v>3</v>
      </c>
      <c r="Q7" s="64">
        <v>11000</v>
      </c>
    </row>
    <row r="8" spans="1:17">
      <c r="A8" s="19" t="s">
        <v>3</v>
      </c>
      <c r="B8" s="13">
        <v>2</v>
      </c>
      <c r="C8" s="6">
        <f>IF(B$2=0,0,B8/B$2)</f>
        <v>0.2</v>
      </c>
      <c r="E8" s="33" t="s">
        <v>58</v>
      </c>
      <c r="F8" s="30" t="s">
        <v>22</v>
      </c>
      <c r="G8" s="13">
        <v>3</v>
      </c>
      <c r="H8" s="94">
        <f>IF(B$17=0,0,G8/B$17)</f>
        <v>0.15</v>
      </c>
      <c r="I8" s="56">
        <v>4</v>
      </c>
      <c r="K8" s="5">
        <v>6</v>
      </c>
      <c r="L8" s="61">
        <v>94.100000000000009</v>
      </c>
      <c r="N8" s="76" t="s">
        <v>108</v>
      </c>
      <c r="O8" s="83">
        <f t="shared" si="0"/>
        <v>1000</v>
      </c>
      <c r="P8" s="80">
        <v>1</v>
      </c>
      <c r="Q8" s="64">
        <v>1000</v>
      </c>
    </row>
    <row r="9" spans="1:17">
      <c r="A9" s="20" t="s">
        <v>4</v>
      </c>
      <c r="B9" s="14">
        <v>1</v>
      </c>
      <c r="C9" s="7">
        <f>IF(B$2=0,0,B9/B$2)</f>
        <v>0.1</v>
      </c>
      <c r="E9" s="33" t="s">
        <v>57</v>
      </c>
      <c r="F9" s="30" t="s">
        <v>21</v>
      </c>
      <c r="G9" s="13">
        <v>2</v>
      </c>
      <c r="H9" s="94">
        <f>IF(B$17=0,0,G9/B$17)</f>
        <v>0.1</v>
      </c>
      <c r="I9" s="56">
        <v>31</v>
      </c>
      <c r="K9" s="5">
        <v>7</v>
      </c>
      <c r="L9" s="61">
        <v>66.700000000000017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0.2</v>
      </c>
      <c r="E10" s="33" t="s">
        <v>59</v>
      </c>
      <c r="F10" s="30" t="s">
        <v>23</v>
      </c>
      <c r="G10" s="13">
        <v>2</v>
      </c>
      <c r="H10" s="94">
        <f>IF(B$17=0,0,G10/B$17)</f>
        <v>0.1</v>
      </c>
      <c r="I10" s="56">
        <v>18</v>
      </c>
      <c r="K10" s="5">
        <v>8</v>
      </c>
      <c r="L10" s="61">
        <v>135.80000000000001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7</v>
      </c>
      <c r="C11" s="7">
        <f>IF(B$2=0,0,B11/B$2)</f>
        <v>0.7</v>
      </c>
      <c r="E11" s="33" t="s">
        <v>183</v>
      </c>
      <c r="F11" s="30" t="s">
        <v>186</v>
      </c>
      <c r="G11" s="13">
        <v>1</v>
      </c>
      <c r="H11" s="94">
        <f>IF(B$17=0,0,G11/B$17)</f>
        <v>0.05</v>
      </c>
      <c r="I11" s="56">
        <v>7</v>
      </c>
      <c r="K11" s="5">
        <v>9</v>
      </c>
      <c r="L11" s="61">
        <v>187.8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74</v>
      </c>
      <c r="F12" s="30" t="s">
        <v>38</v>
      </c>
      <c r="G12" s="13">
        <v>1</v>
      </c>
      <c r="H12" s="94">
        <f>IF(B$17=0,0,G12/B$17)</f>
        <v>0.05</v>
      </c>
      <c r="I12" s="56">
        <v>7</v>
      </c>
      <c r="K12" s="5">
        <v>10</v>
      </c>
      <c r="L12" s="61">
        <v>179.8</v>
      </c>
      <c r="N12" s="75" t="s">
        <v>126</v>
      </c>
      <c r="O12" s="85">
        <f>IF(P12=0,0,Q12/P12)</f>
        <v>36.15</v>
      </c>
      <c r="P12" s="79">
        <v>4</v>
      </c>
      <c r="Q12" s="67">
        <v>144.6</v>
      </c>
    </row>
    <row r="13" spans="1:17">
      <c r="A13" s="22" t="s">
        <v>97</v>
      </c>
      <c r="B13" s="15">
        <v>16</v>
      </c>
      <c r="C13" s="11">
        <f>IF(B$3=0,0,B13/B$3)</f>
        <v>0.24242424242424243</v>
      </c>
      <c r="E13" s="33" t="s">
        <v>182</v>
      </c>
      <c r="F13" s="30" t="s">
        <v>19</v>
      </c>
      <c r="G13" s="13">
        <v>0</v>
      </c>
      <c r="H13" s="94">
        <f>IF(B$17=0,0,G13/B$17)</f>
        <v>0</v>
      </c>
      <c r="I13" s="56">
        <v>27</v>
      </c>
      <c r="N13" s="76" t="s">
        <v>127</v>
      </c>
      <c r="O13" s="86">
        <f>IF(P13=0,0,Q13/P13)</f>
        <v>73.900000000000006</v>
      </c>
      <c r="P13" s="80">
        <v>1</v>
      </c>
      <c r="Q13" s="68">
        <v>73.900000000000006</v>
      </c>
    </row>
    <row r="14" spans="1:17">
      <c r="A14" s="19" t="s">
        <v>94</v>
      </c>
      <c r="B14" s="13">
        <v>15</v>
      </c>
      <c r="C14" s="6">
        <f>IF(B$3=0,0,B14/B$3)</f>
        <v>0.22727272727272727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5</v>
      </c>
      <c r="N14" s="76" t="s">
        <v>128</v>
      </c>
      <c r="O14" s="86">
        <f>IF(P14=0,0,Q14/P14)</f>
        <v>15.566666666666668</v>
      </c>
      <c r="P14" s="80">
        <v>3</v>
      </c>
      <c r="Q14" s="68">
        <v>46.7</v>
      </c>
    </row>
    <row r="15" spans="1:17">
      <c r="A15" s="18" t="s">
        <v>99</v>
      </c>
      <c r="B15" s="12">
        <f>B21</f>
        <v>10</v>
      </c>
      <c r="C15" s="4">
        <f>IF(B$13=0,0,B15/B$13)</f>
        <v>0.625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6</v>
      </c>
      <c r="N15" s="77" t="s">
        <v>159</v>
      </c>
      <c r="O15" s="87">
        <f>IF(P15=0,0,Q15/P15)</f>
        <v>-42.7</v>
      </c>
      <c r="P15" s="81">
        <v>2</v>
      </c>
      <c r="Q15" s="69">
        <v>-85.4</v>
      </c>
    </row>
    <row r="16" spans="1:17">
      <c r="A16" s="18" t="s">
        <v>100</v>
      </c>
      <c r="B16" s="12">
        <f>B22</f>
        <v>10</v>
      </c>
      <c r="C16" s="4">
        <f>IF(B$14=0,0,B16/B$14)</f>
        <v>0.66666666666666663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20</v>
      </c>
      <c r="C17" s="4">
        <f>IF(B$3=0,0,B17/B$3)</f>
        <v>0.30303030303030304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6</v>
      </c>
      <c r="C18" s="6">
        <f>IF(B$3=0,0,B18/B$3)</f>
        <v>9.0909090909090912E-2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235</v>
      </c>
      <c r="O18" s="85">
        <f>IF(P18=0,0,Q18/P18)</f>
        <v>127</v>
      </c>
      <c r="P18" s="79">
        <v>1</v>
      </c>
      <c r="Q18" s="67">
        <v>127</v>
      </c>
    </row>
    <row r="19" spans="1:17">
      <c r="A19" s="19" t="s">
        <v>12</v>
      </c>
      <c r="B19" s="13">
        <v>7</v>
      </c>
      <c r="C19" s="6">
        <f>IF(B$17=0,0,B19/B$17)</f>
        <v>0.35</v>
      </c>
      <c r="E19" s="33" t="s">
        <v>66</v>
      </c>
      <c r="F19" s="30" t="s">
        <v>30</v>
      </c>
      <c r="G19" s="13">
        <v>0</v>
      </c>
      <c r="H19" s="94">
        <f>IF(B$17=0,0,G19/B$17)</f>
        <v>0</v>
      </c>
      <c r="I19" s="56">
        <v>9</v>
      </c>
      <c r="N19" s="76" t="s">
        <v>241</v>
      </c>
      <c r="O19" s="86">
        <f>IF(P19=0,0,Q19/P19)</f>
        <v>94.1</v>
      </c>
      <c r="P19" s="80">
        <v>1</v>
      </c>
      <c r="Q19" s="68">
        <v>94.1</v>
      </c>
    </row>
    <row r="20" spans="1:17">
      <c r="A20" s="19" t="s">
        <v>11</v>
      </c>
      <c r="B20" s="13">
        <v>13</v>
      </c>
      <c r="C20" s="6">
        <f>IF(B$17=0,0,B20/B$17)</f>
        <v>0.65</v>
      </c>
      <c r="E20" s="33" t="s">
        <v>67</v>
      </c>
      <c r="F20" s="30" t="s">
        <v>31</v>
      </c>
      <c r="G20" s="13">
        <v>0</v>
      </c>
      <c r="H20" s="94">
        <f>IF(B$17=0,0,G20/B$17)</f>
        <v>0</v>
      </c>
      <c r="I20" s="56">
        <v>8</v>
      </c>
      <c r="N20" s="76" t="s">
        <v>269</v>
      </c>
      <c r="O20" s="86">
        <f>IF(P20=0,0,Q20/P20)</f>
        <v>77.624999999999986</v>
      </c>
      <c r="P20" s="80">
        <v>4</v>
      </c>
      <c r="Q20" s="68">
        <v>310.49999999999994</v>
      </c>
    </row>
    <row r="21" spans="1:17">
      <c r="A21" s="19" t="s">
        <v>151</v>
      </c>
      <c r="B21" s="13">
        <v>10</v>
      </c>
      <c r="C21" s="6">
        <f>IF(B$17=0,0,B21/B$17)</f>
        <v>0.5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1</v>
      </c>
      <c r="N21" s="76" t="s">
        <v>255</v>
      </c>
      <c r="O21" s="86">
        <f>IF(P21=0,0,Q21/P21)</f>
        <v>55.45</v>
      </c>
      <c r="P21" s="80">
        <v>2</v>
      </c>
      <c r="Q21" s="68">
        <v>110.9</v>
      </c>
    </row>
    <row r="22" spans="1:17">
      <c r="A22" s="19" t="s">
        <v>149</v>
      </c>
      <c r="B22" s="13">
        <v>10</v>
      </c>
      <c r="C22" s="6">
        <f>IF(B$17=0,0,B22/B$17)</f>
        <v>0.5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8</v>
      </c>
      <c r="N22" s="76" t="s">
        <v>277</v>
      </c>
      <c r="O22" s="86">
        <f>IF(P22=0,0,Q22/P22)</f>
        <v>47</v>
      </c>
      <c r="P22" s="80">
        <v>4</v>
      </c>
      <c r="Q22" s="68">
        <v>188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N23" s="76" t="s">
        <v>263</v>
      </c>
      <c r="O23" s="86">
        <f>IF(P23=0,0,Q23/P23)</f>
        <v>46.400000000000006</v>
      </c>
      <c r="P23" s="80">
        <v>3</v>
      </c>
      <c r="Q23" s="68">
        <v>139.20000000000002</v>
      </c>
    </row>
    <row r="24" spans="1:17">
      <c r="A24" s="19" t="s">
        <v>5</v>
      </c>
      <c r="B24" s="16">
        <f>IF(B$17=0,0,C24/B$17)</f>
        <v>5705</v>
      </c>
      <c r="C24" s="8">
        <v>114100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14</v>
      </c>
      <c r="N24" s="76" t="s">
        <v>195</v>
      </c>
      <c r="O24" s="86">
        <f>IF(P24=0,0,Q24/P24)</f>
        <v>21.75</v>
      </c>
      <c r="P24" s="80">
        <v>2</v>
      </c>
      <c r="Q24" s="68">
        <v>43.5</v>
      </c>
    </row>
    <row r="25" spans="1:17">
      <c r="A25" s="20" t="s">
        <v>133</v>
      </c>
      <c r="B25" s="97">
        <f>IF($B$17-B$16=0,0,C25/($B$17-B$16))</f>
        <v>8640</v>
      </c>
      <c r="C25" s="98">
        <v>86400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213</v>
      </c>
      <c r="O25" s="86">
        <f>IF(P25=0,0,Q25/P25)</f>
        <v>20.099999999999998</v>
      </c>
      <c r="P25" s="80">
        <v>1</v>
      </c>
      <c r="Q25" s="68">
        <v>20.099999999999998</v>
      </c>
    </row>
    <row r="26" spans="1:17">
      <c r="A26" s="20" t="s">
        <v>134</v>
      </c>
      <c r="B26" s="97">
        <f>IF(B$16=0,0,C26/B$16)</f>
        <v>2770</v>
      </c>
      <c r="C26" s="98">
        <v>27700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262</v>
      </c>
      <c r="O26" s="86">
        <f>IF(P26=0,0,Q26/P26)</f>
        <v>18.400000000000002</v>
      </c>
      <c r="P26" s="80">
        <v>2</v>
      </c>
      <c r="Q26" s="68">
        <v>36.800000000000004</v>
      </c>
    </row>
    <row r="27" spans="1:17">
      <c r="A27" s="20" t="s">
        <v>132</v>
      </c>
      <c r="B27" s="97">
        <f>IF(B$18=0,0,C27/B$18)</f>
        <v>-6850</v>
      </c>
      <c r="C27" s="98">
        <v>-41100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272</v>
      </c>
      <c r="O27" s="86">
        <f>IF(P27=0,0,Q27/P27)</f>
        <v>3.7999999999999994</v>
      </c>
      <c r="P27" s="80">
        <v>3</v>
      </c>
      <c r="Q27" s="68">
        <v>11.399999999999999</v>
      </c>
    </row>
    <row r="28" spans="1:17">
      <c r="A28" s="19" t="s">
        <v>130</v>
      </c>
      <c r="B28" s="13">
        <v>3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5</v>
      </c>
      <c r="N28" s="76" t="s">
        <v>264</v>
      </c>
      <c r="O28" s="86">
        <f>IF(P28=0,0,Q28/P28)</f>
        <v>-29.150000000000006</v>
      </c>
      <c r="P28" s="80">
        <v>2</v>
      </c>
      <c r="Q28" s="68">
        <v>-58.300000000000011</v>
      </c>
    </row>
    <row r="29" spans="1:17">
      <c r="A29" s="19" t="s">
        <v>131</v>
      </c>
      <c r="B29" s="13">
        <v>21</v>
      </c>
      <c r="C29" s="96">
        <v>0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16</v>
      </c>
      <c r="N29" s="76" t="s">
        <v>276</v>
      </c>
      <c r="O29" s="86">
        <f>IF(P29=0,0,Q29/P29)</f>
        <v>-33</v>
      </c>
      <c r="P29" s="80">
        <v>2</v>
      </c>
      <c r="Q29" s="68">
        <v>-66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7</v>
      </c>
      <c r="N30" s="76" t="s">
        <v>268</v>
      </c>
      <c r="O30" s="86">
        <f>IF(P30=0,0,Q30/P30)</f>
        <v>-49.4</v>
      </c>
      <c r="P30" s="80">
        <v>1</v>
      </c>
      <c r="Q30" s="68">
        <v>-49.4</v>
      </c>
    </row>
    <row r="31" spans="1:17">
      <c r="A31" s="22" t="s">
        <v>148</v>
      </c>
      <c r="B31" s="116">
        <v>53900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238</v>
      </c>
      <c r="O31" s="86">
        <f>IF(P31=0,0,Q31/P31)</f>
        <v>-68.8</v>
      </c>
      <c r="P31" s="80">
        <v>1</v>
      </c>
      <c r="Q31" s="68">
        <v>-68.8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244</v>
      </c>
      <c r="O32" s="86">
        <f>IF(P32=0,0,Q32/P32)</f>
        <v>-99.8</v>
      </c>
      <c r="P32" s="80">
        <v>1</v>
      </c>
      <c r="Q32" s="68">
        <v>-99.8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4</v>
      </c>
      <c r="C35" s="102">
        <f t="shared" ref="C35:C47" si="3">IF(B$17=0,0,B35/B$17)</f>
        <v>0.2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4</v>
      </c>
      <c r="C36" s="6">
        <f t="shared" si="3"/>
        <v>0.2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4</v>
      </c>
      <c r="C37" s="6">
        <f t="shared" si="3"/>
        <v>0.2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2</v>
      </c>
      <c r="C38" s="6">
        <f t="shared" si="3"/>
        <v>0.1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4</v>
      </c>
      <c r="C39" s="6">
        <f t="shared" si="3"/>
        <v>0.2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3"/>
        <v>0.05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1</v>
      </c>
      <c r="C42" s="6">
        <f t="shared" si="3"/>
        <v>0.05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N18:Q32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4CE24C-547D-4D73-B081-FBBF37075D55}">
  <sheetPr codeName="Sheet41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262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</v>
      </c>
      <c r="C2" s="121"/>
      <c r="E2" s="32" t="s">
        <v>181</v>
      </c>
      <c r="F2" s="29" t="s">
        <v>156</v>
      </c>
      <c r="G2" s="12">
        <v>2</v>
      </c>
      <c r="H2" s="93">
        <f>IF(B$17=0,0,G2/B$17)</f>
        <v>0.5</v>
      </c>
      <c r="I2" s="55">
        <v>18</v>
      </c>
      <c r="K2" s="3">
        <v>0</v>
      </c>
      <c r="L2" s="60">
        <v>0</v>
      </c>
      <c r="N2" s="75" t="s">
        <v>103</v>
      </c>
      <c r="O2" s="82">
        <f t="shared" ref="O2:O9" si="0">IF(P2=0,0,Q2/P2)</f>
        <v>900</v>
      </c>
      <c r="P2" s="79">
        <v>3</v>
      </c>
      <c r="Q2" s="63">
        <v>2700</v>
      </c>
    </row>
    <row r="3" spans="1:17">
      <c r="A3" s="19" t="s">
        <v>8</v>
      </c>
      <c r="B3" s="122">
        <v>23</v>
      </c>
      <c r="C3" s="123"/>
      <c r="E3" s="33" t="s">
        <v>57</v>
      </c>
      <c r="F3" s="30" t="s">
        <v>21</v>
      </c>
      <c r="G3" s="13">
        <v>2</v>
      </c>
      <c r="H3" s="94">
        <f>IF(B$17=0,0,G3/B$17)</f>
        <v>0.5</v>
      </c>
      <c r="I3" s="56">
        <v>3</v>
      </c>
      <c r="K3" s="5">
        <v>1</v>
      </c>
      <c r="L3" s="61">
        <v>-20.100000000000001</v>
      </c>
      <c r="N3" s="76" t="s">
        <v>104</v>
      </c>
      <c r="O3" s="83">
        <f t="shared" si="0"/>
        <v>-300</v>
      </c>
      <c r="P3" s="80">
        <v>3</v>
      </c>
      <c r="Q3" s="64">
        <v>-900</v>
      </c>
    </row>
    <row r="4" spans="1:17">
      <c r="A4" s="19" t="s">
        <v>6</v>
      </c>
      <c r="B4" s="124">
        <v>-59.2</v>
      </c>
      <c r="C4" s="125"/>
      <c r="E4" s="33" t="s">
        <v>54</v>
      </c>
      <c r="F4" s="30" t="s">
        <v>20</v>
      </c>
      <c r="G4" s="13">
        <v>1</v>
      </c>
      <c r="H4" s="94">
        <f>IF(B$17=0,0,G4/B$17)</f>
        <v>0.25</v>
      </c>
      <c r="I4" s="56">
        <v>28</v>
      </c>
      <c r="K4" s="5">
        <v>2</v>
      </c>
      <c r="L4" s="61">
        <v>-12.100000000000001</v>
      </c>
      <c r="N4" s="76" t="s">
        <v>105</v>
      </c>
      <c r="O4" s="83">
        <f t="shared" si="0"/>
        <v>266.66666666666669</v>
      </c>
      <c r="P4" s="80">
        <v>3</v>
      </c>
      <c r="Q4" s="64">
        <v>800</v>
      </c>
    </row>
    <row r="5" spans="1:17">
      <c r="A5" s="19" t="s">
        <v>7</v>
      </c>
      <c r="B5" s="126">
        <f>IF(B$2=0,0,B$4/B$2)</f>
        <v>-19.733333333333334</v>
      </c>
      <c r="C5" s="127"/>
      <c r="E5" s="33" t="s">
        <v>55</v>
      </c>
      <c r="F5" s="30" t="s">
        <v>155</v>
      </c>
      <c r="G5" s="13">
        <v>1</v>
      </c>
      <c r="H5" s="94">
        <f>IF(B$17=0,0,G5/B$17)</f>
        <v>0.25</v>
      </c>
      <c r="I5" s="56">
        <v>13</v>
      </c>
      <c r="K5" s="5">
        <v>3</v>
      </c>
      <c r="L5" s="61">
        <v>-59.2</v>
      </c>
      <c r="N5" s="76" t="s">
        <v>157</v>
      </c>
      <c r="O5" s="83">
        <f>IF(P5=0,0,Q5/P5)</f>
        <v>-4400</v>
      </c>
      <c r="P5" s="80">
        <v>3</v>
      </c>
      <c r="Q5" s="64">
        <v>-13200</v>
      </c>
    </row>
    <row r="6" spans="1:17">
      <c r="A6" s="19" t="s">
        <v>1</v>
      </c>
      <c r="B6" s="128">
        <f>IF(B$2=0,0,(B$7*1+B$8*2+B$9*3+B$10*4)/B$2)</f>
        <v>3</v>
      </c>
      <c r="C6" s="129"/>
      <c r="E6" s="33" t="s">
        <v>56</v>
      </c>
      <c r="F6" s="30" t="s">
        <v>185</v>
      </c>
      <c r="G6" s="13">
        <v>1</v>
      </c>
      <c r="H6" s="94">
        <f>IF(B$17=0,0,G6/B$17)</f>
        <v>0.25</v>
      </c>
      <c r="I6" s="56">
        <v>22</v>
      </c>
      <c r="N6" s="76" t="s">
        <v>106</v>
      </c>
      <c r="O6" s="83">
        <f t="shared" ref="O6" si="1">IF(P6=0,0,Q6/P6)</f>
        <v>1966.6666666666667</v>
      </c>
      <c r="P6" s="80">
        <v>3</v>
      </c>
      <c r="Q6" s="64">
        <v>5900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59</v>
      </c>
      <c r="F7" s="30" t="s">
        <v>23</v>
      </c>
      <c r="G7" s="13">
        <v>1</v>
      </c>
      <c r="H7" s="94">
        <f>IF(B$17=0,0,G7/B$17)</f>
        <v>0.25</v>
      </c>
      <c r="I7" s="56">
        <v>6</v>
      </c>
      <c r="N7" s="76" t="s">
        <v>107</v>
      </c>
      <c r="O7" s="83">
        <f t="shared" si="0"/>
        <v>-9500</v>
      </c>
      <c r="P7" s="80">
        <v>2</v>
      </c>
      <c r="Q7" s="64">
        <v>-19000</v>
      </c>
    </row>
    <row r="8" spans="1:17">
      <c r="A8" s="19" t="s">
        <v>3</v>
      </c>
      <c r="B8" s="13">
        <v>1</v>
      </c>
      <c r="C8" s="6">
        <f>IF(B$2=0,0,B8/B$2)</f>
        <v>0.33333333333333331</v>
      </c>
      <c r="E8" s="33" t="s">
        <v>60</v>
      </c>
      <c r="F8" s="30" t="s">
        <v>24</v>
      </c>
      <c r="G8" s="13">
        <v>1</v>
      </c>
      <c r="H8" s="94">
        <f>IF(B$17=0,0,G8/B$17)</f>
        <v>0.25</v>
      </c>
      <c r="I8" s="56">
        <v>29</v>
      </c>
      <c r="N8" s="76" t="s">
        <v>108</v>
      </c>
      <c r="O8" s="83">
        <f t="shared" si="0"/>
        <v>4500</v>
      </c>
      <c r="P8" s="80">
        <v>2</v>
      </c>
      <c r="Q8" s="64">
        <v>9000</v>
      </c>
    </row>
    <row r="9" spans="1:17">
      <c r="A9" s="20" t="s">
        <v>4</v>
      </c>
      <c r="B9" s="14">
        <v>1</v>
      </c>
      <c r="C9" s="7">
        <f>IF(B$2=0,0,B9/B$2)</f>
        <v>0.33333333333333331</v>
      </c>
      <c r="E9" s="33" t="s">
        <v>71</v>
      </c>
      <c r="F9" s="30" t="s">
        <v>35</v>
      </c>
      <c r="G9" s="13">
        <v>1</v>
      </c>
      <c r="H9" s="94">
        <f>IF(B$17=0,0,G9/B$17)</f>
        <v>0.25</v>
      </c>
      <c r="I9" s="56">
        <v>2</v>
      </c>
      <c r="N9" s="77" t="s">
        <v>158</v>
      </c>
      <c r="O9" s="84">
        <f t="shared" si="0"/>
        <v>500</v>
      </c>
      <c r="P9" s="81">
        <v>1</v>
      </c>
      <c r="Q9" s="65">
        <v>500</v>
      </c>
    </row>
    <row r="10" spans="1:17">
      <c r="A10" s="20" t="s">
        <v>152</v>
      </c>
      <c r="B10" s="14">
        <v>1</v>
      </c>
      <c r="C10" s="7">
        <f>IF(B$2=0,0,B10/B$2)</f>
        <v>0.33333333333333331</v>
      </c>
      <c r="E10" s="33" t="s">
        <v>182</v>
      </c>
      <c r="F10" s="30" t="s">
        <v>19</v>
      </c>
      <c r="G10" s="13">
        <v>0</v>
      </c>
      <c r="H10" s="94">
        <f>IF(B$17=0,0,G10/B$17)</f>
        <v>0</v>
      </c>
      <c r="I10" s="56">
        <v>27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0.33333333333333331</v>
      </c>
      <c r="E11" s="33" t="s">
        <v>58</v>
      </c>
      <c r="F11" s="30" t="s">
        <v>22</v>
      </c>
      <c r="G11" s="13">
        <v>0</v>
      </c>
      <c r="H11" s="94">
        <f>IF(B$17=0,0,G11/B$17)</f>
        <v>0</v>
      </c>
      <c r="I11" s="56">
        <v>24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5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4</v>
      </c>
      <c r="C13" s="11">
        <f>IF(B$3=0,0,B13/B$3)</f>
        <v>0.17391304347826086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6</v>
      </c>
      <c r="N13" s="76" t="s">
        <v>127</v>
      </c>
      <c r="O13" s="86">
        <f>IF(P13=0,0,Q13/P13)</f>
        <v>-33.6</v>
      </c>
      <c r="P13" s="80">
        <v>2</v>
      </c>
      <c r="Q13" s="68">
        <v>-67.2</v>
      </c>
    </row>
    <row r="14" spans="1:17">
      <c r="A14" s="19" t="s">
        <v>94</v>
      </c>
      <c r="B14" s="13">
        <v>4</v>
      </c>
      <c r="C14" s="6">
        <f>IF(B$3=0,0,B14/B$3)</f>
        <v>0.17391304347826086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2</v>
      </c>
      <c r="C15" s="4">
        <f>IF(B$13=0,0,B15/B$13)</f>
        <v>0.5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8</v>
      </c>
      <c r="P15" s="81">
        <v>1</v>
      </c>
      <c r="Q15" s="69">
        <v>8</v>
      </c>
    </row>
    <row r="16" spans="1:17">
      <c r="A16" s="18" t="s">
        <v>100</v>
      </c>
      <c r="B16" s="12">
        <f>B22</f>
        <v>1</v>
      </c>
      <c r="C16" s="4">
        <f>IF(B$14=0,0,B16/B$14)</f>
        <v>0.25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</v>
      </c>
      <c r="C17" s="4">
        <f>IF(B$3=0,0,B17/B$3)</f>
        <v>0.17391304347826086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5</v>
      </c>
      <c r="C18" s="6">
        <f>IF(B$3=0,0,B18/B$3)</f>
        <v>0.21739130434782608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8</v>
      </c>
      <c r="N18" s="75" t="s">
        <v>235</v>
      </c>
      <c r="O18" s="85">
        <f t="shared" ref="O18:O23" si="3">IF(P18=0,0,Q18/P18)</f>
        <v>64.5</v>
      </c>
      <c r="P18" s="79">
        <v>1</v>
      </c>
      <c r="Q18" s="67">
        <v>64.5</v>
      </c>
    </row>
    <row r="19" spans="1:17">
      <c r="A19" s="19" t="s">
        <v>12</v>
      </c>
      <c r="B19" s="13">
        <v>1</v>
      </c>
      <c r="C19" s="6">
        <f>IF(B$17=0,0,B19/B$17)</f>
        <v>0.25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16</v>
      </c>
      <c r="N19" s="76" t="s">
        <v>263</v>
      </c>
      <c r="O19" s="86">
        <f t="shared" si="3"/>
        <v>-18.099999999999998</v>
      </c>
      <c r="P19" s="80">
        <v>3</v>
      </c>
      <c r="Q19" s="68">
        <v>-54.3</v>
      </c>
    </row>
    <row r="20" spans="1:17">
      <c r="A20" s="19" t="s">
        <v>11</v>
      </c>
      <c r="B20" s="13">
        <v>3</v>
      </c>
      <c r="C20" s="6">
        <f>IF(B$17=0,0,B20/B$17)</f>
        <v>0.75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1</v>
      </c>
      <c r="N20" s="76" t="s">
        <v>265</v>
      </c>
      <c r="O20" s="86">
        <f t="shared" si="3"/>
        <v>-18.400000000000002</v>
      </c>
      <c r="P20" s="80">
        <v>2</v>
      </c>
      <c r="Q20" s="68">
        <v>-36.800000000000004</v>
      </c>
    </row>
    <row r="21" spans="1:17">
      <c r="A21" s="19" t="s">
        <v>151</v>
      </c>
      <c r="B21" s="13">
        <v>2</v>
      </c>
      <c r="C21" s="6">
        <f>IF(B$17=0,0,B21/B$17)</f>
        <v>0.5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8</v>
      </c>
      <c r="N21" s="76" t="s">
        <v>258</v>
      </c>
      <c r="O21" s="86">
        <f t="shared" si="3"/>
        <v>-25</v>
      </c>
      <c r="P21" s="80">
        <v>1</v>
      </c>
      <c r="Q21" s="68">
        <v>-25</v>
      </c>
    </row>
    <row r="22" spans="1:17">
      <c r="A22" s="19" t="s">
        <v>149</v>
      </c>
      <c r="B22" s="13">
        <v>1</v>
      </c>
      <c r="C22" s="6">
        <f>IF(B$17=0,0,B22/B$17)</f>
        <v>0.25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264</v>
      </c>
      <c r="O22" s="86">
        <f t="shared" si="3"/>
        <v>-75.7</v>
      </c>
      <c r="P22" s="80">
        <v>1</v>
      </c>
      <c r="Q22" s="68">
        <v>-75.7</v>
      </c>
    </row>
    <row r="23" spans="1:17">
      <c r="A23" s="19" t="s">
        <v>150</v>
      </c>
      <c r="B23" s="13">
        <v>1</v>
      </c>
      <c r="C23" s="6">
        <f>IF(B$17=0,0,B23/B$17)</f>
        <v>0.25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  <c r="N23" s="76" t="s">
        <v>195</v>
      </c>
      <c r="O23" s="86">
        <f t="shared" si="3"/>
        <v>-109.5</v>
      </c>
      <c r="P23" s="80">
        <v>1</v>
      </c>
      <c r="Q23" s="68">
        <v>-109.5</v>
      </c>
    </row>
    <row r="24" spans="1:17">
      <c r="A24" s="19" t="s">
        <v>5</v>
      </c>
      <c r="B24" s="16">
        <f>IF(B$17=0,0,C24/B$17)</f>
        <v>4525</v>
      </c>
      <c r="C24" s="8">
        <v>18100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4300</v>
      </c>
      <c r="C25" s="98">
        <v>12900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12</v>
      </c>
    </row>
    <row r="26" spans="1:17">
      <c r="A26" s="20" t="s">
        <v>134</v>
      </c>
      <c r="B26" s="97">
        <f>IF(B$16=0,0,C26/B$16)</f>
        <v>5200</v>
      </c>
      <c r="C26" s="98">
        <v>5200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-5320</v>
      </c>
      <c r="C27" s="98">
        <v>-26600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5</v>
      </c>
    </row>
    <row r="28" spans="1:17">
      <c r="A28" s="19" t="s">
        <v>130</v>
      </c>
      <c r="B28" s="13">
        <v>1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16</v>
      </c>
    </row>
    <row r="29" spans="1:17">
      <c r="A29" s="19" t="s">
        <v>131</v>
      </c>
      <c r="B29" s="13">
        <v>4</v>
      </c>
      <c r="C29" s="96">
        <v>2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7</v>
      </c>
    </row>
    <row r="30" spans="1:17">
      <c r="A30" s="52" t="s">
        <v>111</v>
      </c>
      <c r="B30" s="114">
        <v>1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28000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1</v>
      </c>
      <c r="C35" s="102">
        <f t="shared" ref="C35:C47" si="4">IF(B$17=0,0,B35/B$17)</f>
        <v>0.25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2</v>
      </c>
      <c r="C37" s="6">
        <f t="shared" si="4"/>
        <v>0.5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0.25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36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2F3780-E837-45A6-BF68-77446839EC6C}">
  <sheetPr codeName="Sheet4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263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12</v>
      </c>
      <c r="C2" s="121"/>
      <c r="E2" s="32" t="s">
        <v>181</v>
      </c>
      <c r="F2" s="29" t="s">
        <v>156</v>
      </c>
      <c r="G2" s="12">
        <v>14</v>
      </c>
      <c r="H2" s="93">
        <f>IF(B$17=0,0,G2/B$17)</f>
        <v>0.58333333333333337</v>
      </c>
      <c r="I2" s="55">
        <v>15</v>
      </c>
      <c r="K2" s="3">
        <v>0</v>
      </c>
      <c r="L2" s="60">
        <v>0</v>
      </c>
      <c r="N2" s="75" t="s">
        <v>103</v>
      </c>
      <c r="O2" s="82">
        <f t="shared" ref="O2:O9" si="0">IF(P2=0,0,Q2/P2)</f>
        <v>-408.33333333333331</v>
      </c>
      <c r="P2" s="79">
        <v>12</v>
      </c>
      <c r="Q2" s="63">
        <v>-4900</v>
      </c>
    </row>
    <row r="3" spans="1:17">
      <c r="A3" s="19" t="s">
        <v>8</v>
      </c>
      <c r="B3" s="122">
        <v>93</v>
      </c>
      <c r="C3" s="123"/>
      <c r="E3" s="33" t="s">
        <v>184</v>
      </c>
      <c r="F3" s="30" t="s">
        <v>187</v>
      </c>
      <c r="G3" s="13">
        <v>12</v>
      </c>
      <c r="H3" s="94">
        <f>IF(B$17=0,0,G3/B$17)</f>
        <v>0.5</v>
      </c>
      <c r="I3" s="56">
        <v>12</v>
      </c>
      <c r="K3" s="5">
        <v>1</v>
      </c>
      <c r="L3" s="61">
        <v>10.3</v>
      </c>
      <c r="N3" s="76" t="s">
        <v>104</v>
      </c>
      <c r="O3" s="83">
        <f t="shared" si="0"/>
        <v>1583.3333333333333</v>
      </c>
      <c r="P3" s="80">
        <v>12</v>
      </c>
      <c r="Q3" s="64">
        <v>19000</v>
      </c>
    </row>
    <row r="4" spans="1:17">
      <c r="A4" s="19" t="s">
        <v>6</v>
      </c>
      <c r="B4" s="124">
        <v>-33.300000000000011</v>
      </c>
      <c r="C4" s="125"/>
      <c r="E4" s="33" t="s">
        <v>60</v>
      </c>
      <c r="F4" s="30" t="s">
        <v>24</v>
      </c>
      <c r="G4" s="13">
        <v>9</v>
      </c>
      <c r="H4" s="94">
        <f>IF(B$17=0,0,G4/B$17)</f>
        <v>0.375</v>
      </c>
      <c r="I4" s="56">
        <v>21</v>
      </c>
      <c r="K4" s="5">
        <v>2</v>
      </c>
      <c r="L4" s="61">
        <v>-11.7</v>
      </c>
      <c r="N4" s="76" t="s">
        <v>105</v>
      </c>
      <c r="O4" s="83">
        <f t="shared" si="0"/>
        <v>-158.33333333333334</v>
      </c>
      <c r="P4" s="80">
        <v>12</v>
      </c>
      <c r="Q4" s="64">
        <v>-1900</v>
      </c>
    </row>
    <row r="5" spans="1:17">
      <c r="A5" s="19" t="s">
        <v>7</v>
      </c>
      <c r="B5" s="126">
        <f>IF(B$2=0,0,B$4/B$2)</f>
        <v>-2.7750000000000008</v>
      </c>
      <c r="C5" s="127"/>
      <c r="E5" s="33" t="s">
        <v>57</v>
      </c>
      <c r="F5" s="30" t="s">
        <v>21</v>
      </c>
      <c r="G5" s="13">
        <v>6</v>
      </c>
      <c r="H5" s="94">
        <f>IF(B$17=0,0,G5/B$17)</f>
        <v>0.25</v>
      </c>
      <c r="I5" s="56">
        <v>14</v>
      </c>
      <c r="K5" s="5">
        <v>3</v>
      </c>
      <c r="L5" s="61">
        <v>-4.8999999999999995</v>
      </c>
      <c r="N5" s="76" t="s">
        <v>157</v>
      </c>
      <c r="O5" s="83">
        <f>IF(P5=0,0,Q5/P5)</f>
        <v>-10</v>
      </c>
      <c r="P5" s="80">
        <v>10</v>
      </c>
      <c r="Q5" s="64">
        <v>-100</v>
      </c>
    </row>
    <row r="6" spans="1:17">
      <c r="A6" s="19" t="s">
        <v>1</v>
      </c>
      <c r="B6" s="128">
        <f>IF(B$2=0,0,(B$7*1+B$8*2+B$9*3+B$10*4)/B$2)</f>
        <v>2.5</v>
      </c>
      <c r="C6" s="129"/>
      <c r="E6" s="33" t="s">
        <v>182</v>
      </c>
      <c r="F6" s="30" t="s">
        <v>19</v>
      </c>
      <c r="G6" s="13">
        <v>5</v>
      </c>
      <c r="H6" s="94">
        <f>IF(B$17=0,0,G6/B$17)</f>
        <v>0.20833333333333334</v>
      </c>
      <c r="I6" s="56">
        <v>9</v>
      </c>
      <c r="K6" s="5">
        <v>4</v>
      </c>
      <c r="L6" s="61">
        <v>43.2</v>
      </c>
      <c r="N6" s="76" t="s">
        <v>106</v>
      </c>
      <c r="O6" s="83">
        <f t="shared" ref="O6" si="1">IF(P6=0,0,Q6/P6)</f>
        <v>-44.444444444444443</v>
      </c>
      <c r="P6" s="80">
        <v>9</v>
      </c>
      <c r="Q6" s="64">
        <v>-400</v>
      </c>
    </row>
    <row r="7" spans="1:17">
      <c r="A7" s="19" t="s">
        <v>2</v>
      </c>
      <c r="B7" s="13">
        <v>2</v>
      </c>
      <c r="C7" s="6">
        <f t="shared" ref="C7:C12" si="2">IF(B$2=0,0,B7/B$2)</f>
        <v>0.16666666666666666</v>
      </c>
      <c r="E7" s="33" t="s">
        <v>55</v>
      </c>
      <c r="F7" s="30" t="s">
        <v>155</v>
      </c>
      <c r="G7" s="13">
        <v>5</v>
      </c>
      <c r="H7" s="94">
        <f>IF(B$17=0,0,G7/B$17)</f>
        <v>0.20833333333333334</v>
      </c>
      <c r="I7" s="56">
        <v>23</v>
      </c>
      <c r="K7" s="5">
        <v>5</v>
      </c>
      <c r="L7" s="61">
        <v>26.900000000000002</v>
      </c>
      <c r="N7" s="76" t="s">
        <v>107</v>
      </c>
      <c r="O7" s="83">
        <f t="shared" si="0"/>
        <v>-187.5</v>
      </c>
      <c r="P7" s="80">
        <v>8</v>
      </c>
      <c r="Q7" s="64">
        <v>-1500</v>
      </c>
    </row>
    <row r="8" spans="1:17">
      <c r="A8" s="19" t="s">
        <v>3</v>
      </c>
      <c r="B8" s="13">
        <v>4</v>
      </c>
      <c r="C8" s="6">
        <f>IF(B$2=0,0,B8/B$2)</f>
        <v>0.33333333333333331</v>
      </c>
      <c r="E8" s="33" t="s">
        <v>56</v>
      </c>
      <c r="F8" s="30" t="s">
        <v>185</v>
      </c>
      <c r="G8" s="13">
        <v>5</v>
      </c>
      <c r="H8" s="94">
        <f>IF(B$17=0,0,G8/B$17)</f>
        <v>0.20833333333333334</v>
      </c>
      <c r="I8" s="56">
        <v>29</v>
      </c>
      <c r="K8" s="5">
        <v>6</v>
      </c>
      <c r="L8" s="61">
        <v>44.5</v>
      </c>
      <c r="N8" s="76" t="s">
        <v>108</v>
      </c>
      <c r="O8" s="83">
        <f t="shared" si="0"/>
        <v>-3280</v>
      </c>
      <c r="P8" s="80">
        <v>5</v>
      </c>
      <c r="Q8" s="64">
        <v>-16400</v>
      </c>
    </row>
    <row r="9" spans="1:17">
      <c r="A9" s="20" t="s">
        <v>4</v>
      </c>
      <c r="B9" s="14">
        <v>4</v>
      </c>
      <c r="C9" s="7">
        <f>IF(B$2=0,0,B9/B$2)</f>
        <v>0.33333333333333331</v>
      </c>
      <c r="E9" s="33" t="s">
        <v>59</v>
      </c>
      <c r="F9" s="30" t="s">
        <v>23</v>
      </c>
      <c r="G9" s="13">
        <v>5</v>
      </c>
      <c r="H9" s="94">
        <f>IF(B$17=0,0,G9/B$17)</f>
        <v>0.20833333333333334</v>
      </c>
      <c r="I9" s="56">
        <v>12</v>
      </c>
      <c r="K9" s="5">
        <v>7</v>
      </c>
      <c r="L9" s="61">
        <v>108.6</v>
      </c>
      <c r="N9" s="77" t="s">
        <v>158</v>
      </c>
      <c r="O9" s="84">
        <f t="shared" si="0"/>
        <v>-2250</v>
      </c>
      <c r="P9" s="81">
        <v>2</v>
      </c>
      <c r="Q9" s="65">
        <v>-4500</v>
      </c>
    </row>
    <row r="10" spans="1:17">
      <c r="A10" s="20" t="s">
        <v>152</v>
      </c>
      <c r="B10" s="14">
        <v>2</v>
      </c>
      <c r="C10" s="7">
        <f>IF(B$2=0,0,B10/B$2)</f>
        <v>0.16666666666666666</v>
      </c>
      <c r="E10" s="33" t="s">
        <v>54</v>
      </c>
      <c r="F10" s="30" t="s">
        <v>20</v>
      </c>
      <c r="G10" s="13">
        <v>3</v>
      </c>
      <c r="H10" s="94">
        <f>IF(B$17=0,0,G10/B$17)</f>
        <v>0.125</v>
      </c>
      <c r="I10" s="56">
        <v>33</v>
      </c>
      <c r="K10" s="5">
        <v>8</v>
      </c>
      <c r="L10" s="61">
        <v>79.699999999999989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6</v>
      </c>
      <c r="C11" s="7">
        <f>IF(B$2=0,0,B11/B$2)</f>
        <v>0.5</v>
      </c>
      <c r="E11" s="33" t="s">
        <v>183</v>
      </c>
      <c r="F11" s="30" t="s">
        <v>186</v>
      </c>
      <c r="G11" s="13">
        <v>1</v>
      </c>
      <c r="H11" s="94">
        <f>IF(B$17=0,0,G11/B$17)</f>
        <v>4.1666666666666664E-2</v>
      </c>
      <c r="I11" s="56">
        <v>11</v>
      </c>
      <c r="K11" s="5">
        <v>9</v>
      </c>
      <c r="L11" s="61">
        <v>57.399999999999991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77</v>
      </c>
      <c r="F12" s="30" t="s">
        <v>41</v>
      </c>
      <c r="G12" s="13">
        <v>1</v>
      </c>
      <c r="H12" s="94">
        <f>IF(B$17=0,0,G12/B$17)</f>
        <v>4.1666666666666664E-2</v>
      </c>
      <c r="I12" s="56">
        <v>13</v>
      </c>
      <c r="K12" s="5">
        <v>10</v>
      </c>
      <c r="L12" s="61">
        <v>9.6999999999999886</v>
      </c>
      <c r="N12" s="75" t="s">
        <v>126</v>
      </c>
      <c r="O12" s="85">
        <f>IF(P12=0,0,Q12/P12)</f>
        <v>-2.300000000000002</v>
      </c>
      <c r="P12" s="79">
        <v>6</v>
      </c>
      <c r="Q12" s="67">
        <v>-13.800000000000011</v>
      </c>
    </row>
    <row r="13" spans="1:17">
      <c r="A13" s="22" t="s">
        <v>97</v>
      </c>
      <c r="B13" s="15">
        <v>21</v>
      </c>
      <c r="C13" s="11">
        <f>IF(B$3=0,0,B13/B$3)</f>
        <v>0.22580645161290322</v>
      </c>
      <c r="E13" s="33" t="s">
        <v>58</v>
      </c>
      <c r="F13" s="30" t="s">
        <v>22</v>
      </c>
      <c r="G13" s="13">
        <v>0</v>
      </c>
      <c r="H13" s="94">
        <f>IF(B$17=0,0,G13/B$17)</f>
        <v>0</v>
      </c>
      <c r="I13" s="56">
        <v>24</v>
      </c>
      <c r="K13" s="5">
        <v>11</v>
      </c>
      <c r="L13" s="61">
        <v>13.699999999999989</v>
      </c>
      <c r="N13" s="76" t="s">
        <v>127</v>
      </c>
      <c r="O13" s="86">
        <f>IF(P13=0,0,Q13/P13)</f>
        <v>15.366666666666665</v>
      </c>
      <c r="P13" s="80">
        <v>3</v>
      </c>
      <c r="Q13" s="68">
        <v>46.099999999999994</v>
      </c>
    </row>
    <row r="14" spans="1:17">
      <c r="A14" s="19" t="s">
        <v>94</v>
      </c>
      <c r="B14" s="13">
        <v>24</v>
      </c>
      <c r="C14" s="6">
        <f>IF(B$3=0,0,B14/B$3)</f>
        <v>0.25806451612903225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5</v>
      </c>
      <c r="K14" s="5">
        <v>12</v>
      </c>
      <c r="L14" s="61">
        <v>-33.300000000000011</v>
      </c>
      <c r="N14" s="76" t="s">
        <v>128</v>
      </c>
      <c r="O14" s="86">
        <f>IF(P14=0,0,Q14/P14)</f>
        <v>-9.2999999999999989</v>
      </c>
      <c r="P14" s="80">
        <v>2</v>
      </c>
      <c r="Q14" s="68">
        <v>-18.599999999999998</v>
      </c>
    </row>
    <row r="15" spans="1:17">
      <c r="A15" s="18" t="s">
        <v>99</v>
      </c>
      <c r="B15" s="12">
        <f>B21</f>
        <v>14</v>
      </c>
      <c r="C15" s="4">
        <f>IF(B$13=0,0,B15/B$13)</f>
        <v>0.66666666666666663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6</v>
      </c>
      <c r="N15" s="77" t="s">
        <v>159</v>
      </c>
      <c r="O15" s="87">
        <f>IF(P15=0,0,Q15/P15)</f>
        <v>-47</v>
      </c>
      <c r="P15" s="81">
        <v>1</v>
      </c>
      <c r="Q15" s="69">
        <v>-47</v>
      </c>
    </row>
    <row r="16" spans="1:17">
      <c r="A16" s="18" t="s">
        <v>100</v>
      </c>
      <c r="B16" s="12">
        <f>B22</f>
        <v>10</v>
      </c>
      <c r="C16" s="4">
        <f>IF(B$14=0,0,B16/B$14)</f>
        <v>0.41666666666666669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24</v>
      </c>
      <c r="C17" s="4">
        <f>IF(B$3=0,0,B17/B$3)</f>
        <v>0.25806451612903225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9</v>
      </c>
      <c r="C18" s="6">
        <f>IF(B$3=0,0,B18/B$3)</f>
        <v>9.6774193548387094E-2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277</v>
      </c>
      <c r="O18" s="85">
        <f>IF(P18=0,0,Q18/P18)</f>
        <v>58.233333333333327</v>
      </c>
      <c r="P18" s="79">
        <v>3</v>
      </c>
      <c r="Q18" s="67">
        <v>174.7</v>
      </c>
    </row>
    <row r="19" spans="1:17">
      <c r="A19" s="19" t="s">
        <v>12</v>
      </c>
      <c r="B19" s="13">
        <v>6</v>
      </c>
      <c r="C19" s="6">
        <f>IF(B$17=0,0,B19/B$17)</f>
        <v>0.25</v>
      </c>
      <c r="E19" s="33" t="s">
        <v>66</v>
      </c>
      <c r="F19" s="30" t="s">
        <v>30</v>
      </c>
      <c r="G19" s="13">
        <v>0</v>
      </c>
      <c r="H19" s="94">
        <f>IF(B$17=0,0,G19/B$17)</f>
        <v>0</v>
      </c>
      <c r="I19" s="56">
        <v>9</v>
      </c>
      <c r="N19" s="76" t="s">
        <v>244</v>
      </c>
      <c r="O19" s="86">
        <f>IF(P19=0,0,Q19/P19)</f>
        <v>37.65</v>
      </c>
      <c r="P19" s="80">
        <v>2</v>
      </c>
      <c r="Q19" s="68">
        <v>75.3</v>
      </c>
    </row>
    <row r="20" spans="1:17">
      <c r="A20" s="19" t="s">
        <v>11</v>
      </c>
      <c r="B20" s="13">
        <v>18</v>
      </c>
      <c r="C20" s="6">
        <f>IF(B$17=0,0,B20/B$17)</f>
        <v>0.75</v>
      </c>
      <c r="E20" s="33" t="s">
        <v>67</v>
      </c>
      <c r="F20" s="30" t="s">
        <v>31</v>
      </c>
      <c r="G20" s="13">
        <v>0</v>
      </c>
      <c r="H20" s="94">
        <f>IF(B$17=0,0,G20/B$17)</f>
        <v>0</v>
      </c>
      <c r="I20" s="56">
        <v>8</v>
      </c>
      <c r="N20" s="76" t="s">
        <v>258</v>
      </c>
      <c r="O20" s="86">
        <f>IF(P20=0,0,Q20/P20)</f>
        <v>30.900000000000002</v>
      </c>
      <c r="P20" s="80">
        <v>3</v>
      </c>
      <c r="Q20" s="68">
        <v>92.7</v>
      </c>
    </row>
    <row r="21" spans="1:17">
      <c r="A21" s="19" t="s">
        <v>151</v>
      </c>
      <c r="B21" s="13">
        <v>14</v>
      </c>
      <c r="C21" s="6">
        <f>IF(B$17=0,0,B21/B$17)</f>
        <v>0.58333333333333337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1</v>
      </c>
      <c r="N21" s="76" t="s">
        <v>269</v>
      </c>
      <c r="O21" s="86">
        <f>IF(P21=0,0,Q21/P21)</f>
        <v>30</v>
      </c>
      <c r="P21" s="80">
        <v>1</v>
      </c>
      <c r="Q21" s="68">
        <v>30</v>
      </c>
    </row>
    <row r="22" spans="1:17">
      <c r="A22" s="19" t="s">
        <v>149</v>
      </c>
      <c r="B22" s="13">
        <v>10</v>
      </c>
      <c r="C22" s="6">
        <f>IF(B$17=0,0,B22/B$17)</f>
        <v>0.41666666666666669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8</v>
      </c>
      <c r="N22" s="76" t="s">
        <v>262</v>
      </c>
      <c r="O22" s="86">
        <f>IF(P22=0,0,Q22/P22)</f>
        <v>18.100000000000001</v>
      </c>
      <c r="P22" s="80">
        <v>3</v>
      </c>
      <c r="Q22" s="68">
        <v>54.300000000000004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N23" s="76" t="s">
        <v>235</v>
      </c>
      <c r="O23" s="86">
        <f>IF(P23=0,0,Q23/P23)</f>
        <v>11.8</v>
      </c>
      <c r="P23" s="80">
        <v>4</v>
      </c>
      <c r="Q23" s="68">
        <v>47.2</v>
      </c>
    </row>
    <row r="24" spans="1:17">
      <c r="A24" s="19" t="s">
        <v>5</v>
      </c>
      <c r="B24" s="16">
        <f>IF(B$17=0,0,C24/B$17)</f>
        <v>5087.5</v>
      </c>
      <c r="C24" s="8">
        <v>122100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14</v>
      </c>
      <c r="N24" s="76" t="s">
        <v>228</v>
      </c>
      <c r="O24" s="86">
        <f>IF(P24=0,0,Q24/P24)</f>
        <v>-2.7499999999999964</v>
      </c>
      <c r="P24" s="80">
        <v>2</v>
      </c>
      <c r="Q24" s="68">
        <v>-5.4999999999999929</v>
      </c>
    </row>
    <row r="25" spans="1:17">
      <c r="A25" s="20" t="s">
        <v>133</v>
      </c>
      <c r="B25" s="97">
        <f>IF($B$17-B$16=0,0,C25/($B$17-B$16))</f>
        <v>7378.5714285714284</v>
      </c>
      <c r="C25" s="98">
        <v>103300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169</v>
      </c>
      <c r="O25" s="86">
        <f>IF(P25=0,0,Q25/P25)</f>
        <v>-5.0500000000000007</v>
      </c>
      <c r="P25" s="80">
        <v>2</v>
      </c>
      <c r="Q25" s="68">
        <v>-10.100000000000001</v>
      </c>
    </row>
    <row r="26" spans="1:17">
      <c r="A26" s="20" t="s">
        <v>134</v>
      </c>
      <c r="B26" s="97">
        <f>IF(B$16=0,0,C26/B$16)</f>
        <v>1880</v>
      </c>
      <c r="C26" s="98">
        <v>18800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255</v>
      </c>
      <c r="O26" s="86">
        <f>IF(P26=0,0,Q26/P26)</f>
        <v>-7.6000000000000014</v>
      </c>
      <c r="P26" s="80">
        <v>2</v>
      </c>
      <c r="Q26" s="68">
        <v>-15.200000000000003</v>
      </c>
    </row>
    <row r="27" spans="1:17">
      <c r="A27" s="20" t="s">
        <v>132</v>
      </c>
      <c r="B27" s="97">
        <f>IF(B$18=0,0,C27/B$18)</f>
        <v>-6455.5555555555557</v>
      </c>
      <c r="C27" s="98">
        <v>-58100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12</v>
      </c>
      <c r="N27" s="76" t="s">
        <v>276</v>
      </c>
      <c r="O27" s="86">
        <f>IF(P27=0,0,Q27/P27)</f>
        <v>-31.275000000000006</v>
      </c>
      <c r="P27" s="80">
        <v>4</v>
      </c>
      <c r="Q27" s="68">
        <v>-125.10000000000002</v>
      </c>
    </row>
    <row r="28" spans="1:17">
      <c r="A28" s="19" t="s">
        <v>130</v>
      </c>
      <c r="B28" s="13">
        <v>3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272</v>
      </c>
      <c r="O28" s="86">
        <f>IF(P28=0,0,Q28/P28)</f>
        <v>-38.375</v>
      </c>
      <c r="P28" s="80">
        <v>4</v>
      </c>
      <c r="Q28" s="68">
        <v>-153.5</v>
      </c>
    </row>
    <row r="29" spans="1:17">
      <c r="A29" s="19" t="s">
        <v>131</v>
      </c>
      <c r="B29" s="13">
        <v>30</v>
      </c>
      <c r="C29" s="96">
        <v>1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5</v>
      </c>
      <c r="N29" s="76" t="s">
        <v>264</v>
      </c>
      <c r="O29" s="86">
        <f>IF(P29=0,0,Q29/P29)</f>
        <v>-45.3</v>
      </c>
      <c r="P29" s="80">
        <v>1</v>
      </c>
      <c r="Q29" s="68">
        <v>-45.3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7</v>
      </c>
      <c r="N30" s="76" t="s">
        <v>265</v>
      </c>
      <c r="O30" s="86">
        <f>IF(P30=0,0,Q30/P30)</f>
        <v>-46.400000000000006</v>
      </c>
      <c r="P30" s="80">
        <v>3</v>
      </c>
      <c r="Q30" s="68">
        <v>-139.20000000000002</v>
      </c>
    </row>
    <row r="31" spans="1:17">
      <c r="A31" s="22" t="s">
        <v>148</v>
      </c>
      <c r="B31" s="116">
        <v>44100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195</v>
      </c>
      <c r="O31" s="86">
        <f>IF(P31=0,0,Q31/P31)</f>
        <v>-55.6</v>
      </c>
      <c r="P31" s="80">
        <v>1</v>
      </c>
      <c r="Q31" s="68">
        <v>-55.6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238</v>
      </c>
      <c r="O32" s="86">
        <f>IF(P32=0,0,Q32/P32)</f>
        <v>-57.9</v>
      </c>
      <c r="P32" s="80">
        <v>1</v>
      </c>
      <c r="Q32" s="68">
        <v>-57.9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7</v>
      </c>
      <c r="C35" s="102">
        <f t="shared" ref="C35:C47" si="3">IF(B$17=0,0,B35/B$17)</f>
        <v>0.29166666666666669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3</v>
      </c>
      <c r="C36" s="6">
        <f t="shared" si="3"/>
        <v>0.125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8</v>
      </c>
      <c r="C37" s="6">
        <f t="shared" si="3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3"/>
        <v>4.1666666666666664E-2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3</v>
      </c>
      <c r="C39" s="6">
        <f t="shared" si="3"/>
        <v>0.125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3"/>
        <v>4.1666666666666664E-2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3"/>
        <v>4.1666666666666664E-2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N18:Q32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3897D5-DD02-4B88-9D3B-ECB383BBDC96}">
  <sheetPr codeName="Sheet4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264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60</v>
      </c>
      <c r="F2" s="29" t="s">
        <v>24</v>
      </c>
      <c r="G2" s="12">
        <v>2</v>
      </c>
      <c r="H2" s="93">
        <f>IF(B$17=0,0,G2/B$17)</f>
        <v>0.66666666666666663</v>
      </c>
      <c r="I2" s="55">
        <v>6</v>
      </c>
      <c r="K2" s="3">
        <v>0</v>
      </c>
      <c r="L2" s="60">
        <v>0</v>
      </c>
      <c r="N2" s="75" t="s">
        <v>103</v>
      </c>
      <c r="O2" s="82">
        <f t="shared" ref="O2:O9" si="0">IF(P2=0,0,Q2/P2)</f>
        <v>1500</v>
      </c>
      <c r="P2" s="79">
        <v>2</v>
      </c>
      <c r="Q2" s="63">
        <v>3000</v>
      </c>
    </row>
    <row r="3" spans="1:17">
      <c r="A3" s="19" t="s">
        <v>8</v>
      </c>
      <c r="B3" s="122">
        <v>13</v>
      </c>
      <c r="C3" s="123"/>
      <c r="E3" s="33" t="s">
        <v>56</v>
      </c>
      <c r="F3" s="30" t="s">
        <v>185</v>
      </c>
      <c r="G3" s="13">
        <v>1</v>
      </c>
      <c r="H3" s="94">
        <f>IF(B$17=0,0,G3/B$17)</f>
        <v>0.33333333333333331</v>
      </c>
      <c r="I3" s="56">
        <v>13</v>
      </c>
      <c r="K3" s="5">
        <v>1</v>
      </c>
      <c r="L3" s="61">
        <v>55.6</v>
      </c>
      <c r="N3" s="76" t="s">
        <v>104</v>
      </c>
      <c r="O3" s="83">
        <f t="shared" si="0"/>
        <v>0</v>
      </c>
      <c r="P3" s="80">
        <v>2</v>
      </c>
      <c r="Q3" s="64">
        <v>0</v>
      </c>
    </row>
    <row r="4" spans="1:17">
      <c r="A4" s="19" t="s">
        <v>6</v>
      </c>
      <c r="B4" s="124">
        <v>63.300000000000004</v>
      </c>
      <c r="C4" s="125"/>
      <c r="E4" s="33" t="s">
        <v>69</v>
      </c>
      <c r="F4" s="30" t="s">
        <v>33</v>
      </c>
      <c r="G4" s="13">
        <v>1</v>
      </c>
      <c r="H4" s="94">
        <f>IF(B$17=0,0,G4/B$17)</f>
        <v>0.33333333333333331</v>
      </c>
      <c r="I4" s="56">
        <v>1</v>
      </c>
      <c r="K4" s="5">
        <v>2</v>
      </c>
      <c r="L4" s="61">
        <v>63.300000000000004</v>
      </c>
      <c r="N4" s="76" t="s">
        <v>105</v>
      </c>
      <c r="O4" s="83">
        <f t="shared" si="0"/>
        <v>400</v>
      </c>
      <c r="P4" s="80">
        <v>2</v>
      </c>
      <c r="Q4" s="64">
        <v>800</v>
      </c>
    </row>
    <row r="5" spans="1:17">
      <c r="A5" s="19" t="s">
        <v>7</v>
      </c>
      <c r="B5" s="126">
        <f>IF(B$2=0,0,B$4/B$2)</f>
        <v>31.650000000000002</v>
      </c>
      <c r="C5" s="127"/>
      <c r="E5" s="33" t="s">
        <v>71</v>
      </c>
      <c r="F5" s="30" t="s">
        <v>35</v>
      </c>
      <c r="G5" s="13">
        <v>1</v>
      </c>
      <c r="H5" s="94">
        <f>IF(B$17=0,0,G5/B$17)</f>
        <v>0.33333333333333331</v>
      </c>
      <c r="I5" s="56">
        <v>1</v>
      </c>
      <c r="N5" s="76" t="s">
        <v>157</v>
      </c>
      <c r="O5" s="83">
        <f>IF(P5=0,0,Q5/P5)</f>
        <v>4750</v>
      </c>
      <c r="P5" s="80">
        <v>2</v>
      </c>
      <c r="Q5" s="64">
        <v>9500</v>
      </c>
    </row>
    <row r="6" spans="1:17">
      <c r="A6" s="19" t="s">
        <v>1</v>
      </c>
      <c r="B6" s="128">
        <f>IF(B$2=0,0,(B$7*1+B$8*2+B$9*3+B$10*4)/B$2)</f>
        <v>1.5</v>
      </c>
      <c r="C6" s="129"/>
      <c r="E6" s="33" t="s">
        <v>77</v>
      </c>
      <c r="F6" s="30" t="s">
        <v>41</v>
      </c>
      <c r="G6" s="13">
        <v>1</v>
      </c>
      <c r="H6" s="94">
        <f>IF(B$17=0,0,G6/B$17)</f>
        <v>0.33333333333333331</v>
      </c>
      <c r="I6" s="56">
        <v>2</v>
      </c>
      <c r="N6" s="76" t="s">
        <v>106</v>
      </c>
      <c r="O6" s="83">
        <f t="shared" ref="O6" si="1">IF(P6=0,0,Q6/P6)</f>
        <v>0</v>
      </c>
      <c r="P6" s="80">
        <v>1</v>
      </c>
      <c r="Q6" s="64">
        <v>0</v>
      </c>
    </row>
    <row r="7" spans="1:17">
      <c r="A7" s="19" t="s">
        <v>2</v>
      </c>
      <c r="B7" s="13">
        <v>1</v>
      </c>
      <c r="C7" s="6">
        <f t="shared" ref="C7:C12" si="2">IF(B$2=0,0,B7/B$2)</f>
        <v>0.5</v>
      </c>
      <c r="E7" s="33" t="s">
        <v>184</v>
      </c>
      <c r="F7" s="30" t="s">
        <v>187</v>
      </c>
      <c r="G7" s="13">
        <v>1</v>
      </c>
      <c r="H7" s="94">
        <f>IF(B$17=0,0,G7/B$17)</f>
        <v>0.33333333333333331</v>
      </c>
      <c r="I7" s="56">
        <v>28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1</v>
      </c>
      <c r="C8" s="6">
        <f>IF(B$2=0,0,B8/B$2)</f>
        <v>0.5</v>
      </c>
      <c r="E8" s="33" t="s">
        <v>181</v>
      </c>
      <c r="F8" s="30" t="s">
        <v>156</v>
      </c>
      <c r="G8" s="13">
        <v>0</v>
      </c>
      <c r="H8" s="94">
        <f>IF(B$17=0,0,G8/B$17)</f>
        <v>0</v>
      </c>
      <c r="I8" s="56">
        <v>37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182</v>
      </c>
      <c r="F9" s="30" t="s">
        <v>19</v>
      </c>
      <c r="G9" s="13">
        <v>0</v>
      </c>
      <c r="H9" s="94">
        <f>IF(B$17=0,0,G9/B$17)</f>
        <v>0</v>
      </c>
      <c r="I9" s="56">
        <v>27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54</v>
      </c>
      <c r="F10" s="30" t="s">
        <v>20</v>
      </c>
      <c r="G10" s="13">
        <v>0</v>
      </c>
      <c r="H10" s="94">
        <f>IF(B$17=0,0,G10/B$17)</f>
        <v>0</v>
      </c>
      <c r="I10" s="56">
        <v>34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1</v>
      </c>
      <c r="E11" s="33" t="s">
        <v>55</v>
      </c>
      <c r="F11" s="30" t="s">
        <v>155</v>
      </c>
      <c r="G11" s="13">
        <v>0</v>
      </c>
      <c r="H11" s="94">
        <f>IF(B$17=0,0,G11/B$17)</f>
        <v>0</v>
      </c>
      <c r="I11" s="56">
        <v>35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57</v>
      </c>
      <c r="F12" s="30" t="s">
        <v>21</v>
      </c>
      <c r="G12" s="13">
        <v>0</v>
      </c>
      <c r="H12" s="94">
        <f>IF(B$17=0,0,G12/B$17)</f>
        <v>0</v>
      </c>
      <c r="I12" s="56">
        <v>32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0</v>
      </c>
      <c r="C13" s="11">
        <f>IF(B$3=0,0,B13/B$3)</f>
        <v>0</v>
      </c>
      <c r="E13" s="33" t="s">
        <v>58</v>
      </c>
      <c r="F13" s="30" t="s">
        <v>22</v>
      </c>
      <c r="G13" s="13">
        <v>0</v>
      </c>
      <c r="H13" s="94">
        <f>IF(B$17=0,0,G13/B$17)</f>
        <v>0</v>
      </c>
      <c r="I13" s="56">
        <v>24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3</v>
      </c>
      <c r="C14" s="6">
        <f>IF(B$3=0,0,B14/B$3)</f>
        <v>0.23076923076923078</v>
      </c>
      <c r="E14" s="33" t="s">
        <v>59</v>
      </c>
      <c r="F14" s="30" t="s">
        <v>23</v>
      </c>
      <c r="G14" s="13">
        <v>0</v>
      </c>
      <c r="H14" s="94">
        <f>IF(B$17=0,0,G14/B$17)</f>
        <v>0</v>
      </c>
      <c r="I14" s="56">
        <v>26</v>
      </c>
      <c r="N14" s="76" t="s">
        <v>128</v>
      </c>
      <c r="O14" s="86">
        <f>IF(P14=0,0,Q14/P14)</f>
        <v>7.7</v>
      </c>
      <c r="P14" s="80">
        <v>1</v>
      </c>
      <c r="Q14" s="68">
        <v>7.7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5</v>
      </c>
      <c r="N15" s="77" t="s">
        <v>159</v>
      </c>
      <c r="O15" s="87">
        <f>IF(P15=0,0,Q15/P15)</f>
        <v>55.6</v>
      </c>
      <c r="P15" s="81">
        <v>1</v>
      </c>
      <c r="Q15" s="69">
        <v>55.6</v>
      </c>
    </row>
    <row r="16" spans="1:17">
      <c r="A16" s="18" t="s">
        <v>100</v>
      </c>
      <c r="B16" s="12">
        <f>B22</f>
        <v>2</v>
      </c>
      <c r="C16" s="4">
        <f>IF(B$14=0,0,B16/B$14)</f>
        <v>0.66666666666666663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</v>
      </c>
      <c r="C17" s="4">
        <f>IF(B$3=0,0,B17/B$3)</f>
        <v>0.23076923076923078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0.15384615384615385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N18" s="75" t="s">
        <v>262</v>
      </c>
      <c r="O18" s="85">
        <f>IF(P18=0,0,Q18/P18)</f>
        <v>75.7</v>
      </c>
      <c r="P18" s="79">
        <v>1</v>
      </c>
      <c r="Q18" s="67">
        <v>75.7</v>
      </c>
    </row>
    <row r="19" spans="1:17">
      <c r="A19" s="19" t="s">
        <v>12</v>
      </c>
      <c r="B19" s="13">
        <v>3</v>
      </c>
      <c r="C19" s="6">
        <f>IF(B$17=0,0,B19/B$17)</f>
        <v>1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N19" s="76" t="s">
        <v>241</v>
      </c>
      <c r="O19" s="86">
        <f>IF(P19=0,0,Q19/P19)</f>
        <v>51</v>
      </c>
      <c r="P19" s="80">
        <v>1</v>
      </c>
      <c r="Q19" s="68">
        <v>51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9</v>
      </c>
      <c r="N20" s="76" t="s">
        <v>263</v>
      </c>
      <c r="O20" s="86">
        <f>IF(P20=0,0,Q20/P20)</f>
        <v>45.3</v>
      </c>
      <c r="P20" s="80">
        <v>1</v>
      </c>
      <c r="Q20" s="68">
        <v>45.3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8</v>
      </c>
      <c r="N21" s="76" t="s">
        <v>265</v>
      </c>
      <c r="O21" s="86">
        <f>IF(P21=0,0,Q21/P21)</f>
        <v>29.150000000000006</v>
      </c>
      <c r="P21" s="80">
        <v>2</v>
      </c>
      <c r="Q21" s="68">
        <v>58.300000000000011</v>
      </c>
    </row>
    <row r="22" spans="1:17">
      <c r="A22" s="19" t="s">
        <v>149</v>
      </c>
      <c r="B22" s="13">
        <v>2</v>
      </c>
      <c r="C22" s="6">
        <f>IF(B$17=0,0,B22/B$17)</f>
        <v>0.66666666666666663</v>
      </c>
      <c r="E22" s="33" t="s">
        <v>183</v>
      </c>
      <c r="F22" s="30" t="s">
        <v>186</v>
      </c>
      <c r="G22" s="13">
        <v>0</v>
      </c>
      <c r="H22" s="94">
        <f>IF(B$17=0,0,G22/B$17)</f>
        <v>0</v>
      </c>
      <c r="I22" s="56">
        <v>16</v>
      </c>
      <c r="N22" s="76" t="s">
        <v>272</v>
      </c>
      <c r="O22" s="86">
        <f>IF(P22=0,0,Q22/P22)</f>
        <v>22.9</v>
      </c>
      <c r="P22" s="80">
        <v>1</v>
      </c>
      <c r="Q22" s="68">
        <v>22.9</v>
      </c>
    </row>
    <row r="23" spans="1:17">
      <c r="A23" s="19" t="s">
        <v>150</v>
      </c>
      <c r="B23" s="13">
        <v>1</v>
      </c>
      <c r="C23" s="6">
        <f>IF(B$17=0,0,B23/B$17)</f>
        <v>0.33333333333333331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1</v>
      </c>
    </row>
    <row r="24" spans="1:17">
      <c r="A24" s="19" t="s">
        <v>5</v>
      </c>
      <c r="B24" s="16">
        <f>IF(B$17=0,0,C24/B$17)</f>
        <v>7966.666666666667</v>
      </c>
      <c r="C24" s="8">
        <v>23900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18000</v>
      </c>
      <c r="C25" s="98">
        <v>18000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</row>
    <row r="26" spans="1:17">
      <c r="A26" s="20" t="s">
        <v>134</v>
      </c>
      <c r="B26" s="97">
        <f>IF(B$16=0,0,C26/B$16)</f>
        <v>2950</v>
      </c>
      <c r="C26" s="98">
        <v>5900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</row>
    <row r="27" spans="1:17">
      <c r="A27" s="20" t="s">
        <v>132</v>
      </c>
      <c r="B27" s="97">
        <f>IF(B$18=0,0,C27/B$18)</f>
        <v>-1950</v>
      </c>
      <c r="C27" s="98">
        <v>-3900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12</v>
      </c>
    </row>
    <row r="28" spans="1:17">
      <c r="A28" s="19" t="s">
        <v>130</v>
      </c>
      <c r="B28" s="13">
        <v>1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10</v>
      </c>
      <c r="C29" s="96">
        <v>1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5</v>
      </c>
    </row>
    <row r="30" spans="1:17">
      <c r="A30" s="52" t="s">
        <v>111</v>
      </c>
      <c r="B30" s="114">
        <v>1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7</v>
      </c>
    </row>
    <row r="31" spans="1:17">
      <c r="A31" s="22" t="s">
        <v>148</v>
      </c>
      <c r="B31" s="116">
        <v>35600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3"/>
        <v>0.66666666666666663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3"/>
        <v>0.33333333333333331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9AA92F-B7C5-4E68-99C0-A86496DD2261}">
  <sheetPr codeName="Sheet44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269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7</v>
      </c>
      <c r="C2" s="121"/>
      <c r="E2" s="32" t="s">
        <v>181</v>
      </c>
      <c r="F2" s="29" t="s">
        <v>156</v>
      </c>
      <c r="G2" s="12">
        <v>3</v>
      </c>
      <c r="H2" s="93">
        <f>IF(B$17=0,0,G2/B$17)</f>
        <v>0.75</v>
      </c>
      <c r="I2" s="55">
        <v>6</v>
      </c>
      <c r="K2" s="3">
        <v>0</v>
      </c>
      <c r="L2" s="60">
        <v>0</v>
      </c>
      <c r="N2" s="75" t="s">
        <v>103</v>
      </c>
      <c r="O2" s="82">
        <f t="shared" ref="O2:O9" si="0">IF(P2=0,0,Q2/P2)</f>
        <v>-1828.5714285714287</v>
      </c>
      <c r="P2" s="79">
        <v>7</v>
      </c>
      <c r="Q2" s="63">
        <v>-12800</v>
      </c>
    </row>
    <row r="3" spans="1:17">
      <c r="A3" s="19" t="s">
        <v>8</v>
      </c>
      <c r="B3" s="122">
        <v>45</v>
      </c>
      <c r="C3" s="123"/>
      <c r="E3" s="33" t="s">
        <v>54</v>
      </c>
      <c r="F3" s="30" t="s">
        <v>20</v>
      </c>
      <c r="G3" s="13">
        <v>3</v>
      </c>
      <c r="H3" s="94">
        <f>IF(B$17=0,0,G3/B$17)</f>
        <v>0.75</v>
      </c>
      <c r="I3" s="56">
        <v>7</v>
      </c>
      <c r="K3" s="5">
        <v>1</v>
      </c>
      <c r="L3" s="61">
        <v>-47.4</v>
      </c>
      <c r="N3" s="76" t="s">
        <v>104</v>
      </c>
      <c r="O3" s="83">
        <f t="shared" si="0"/>
        <v>-1500</v>
      </c>
      <c r="P3" s="80">
        <v>7</v>
      </c>
      <c r="Q3" s="64">
        <v>-10500</v>
      </c>
    </row>
    <row r="4" spans="1:17">
      <c r="A4" s="19" t="s">
        <v>6</v>
      </c>
      <c r="B4" s="124">
        <v>-263.40000000000003</v>
      </c>
      <c r="C4" s="125"/>
      <c r="E4" s="33" t="s">
        <v>56</v>
      </c>
      <c r="F4" s="30" t="s">
        <v>185</v>
      </c>
      <c r="G4" s="13">
        <v>2</v>
      </c>
      <c r="H4" s="94">
        <f>IF(B$17=0,0,G4/B$17)</f>
        <v>0.5</v>
      </c>
      <c r="I4" s="56">
        <v>1</v>
      </c>
      <c r="K4" s="5">
        <v>2</v>
      </c>
      <c r="L4" s="61">
        <v>-73.2</v>
      </c>
      <c r="N4" s="76" t="s">
        <v>105</v>
      </c>
      <c r="O4" s="83">
        <f t="shared" si="0"/>
        <v>-7200</v>
      </c>
      <c r="P4" s="80">
        <v>7</v>
      </c>
      <c r="Q4" s="64">
        <v>-50400</v>
      </c>
    </row>
    <row r="5" spans="1:17">
      <c r="A5" s="19" t="s">
        <v>7</v>
      </c>
      <c r="B5" s="126">
        <f>IF(B$2=0,0,B$4/B$2)</f>
        <v>-37.628571428571433</v>
      </c>
      <c r="C5" s="127"/>
      <c r="E5" s="33" t="s">
        <v>184</v>
      </c>
      <c r="F5" s="30" t="s">
        <v>187</v>
      </c>
      <c r="G5" s="13">
        <v>2</v>
      </c>
      <c r="H5" s="94">
        <f>IF(B$17=0,0,G5/B$17)</f>
        <v>0.5</v>
      </c>
      <c r="I5" s="56">
        <v>12</v>
      </c>
      <c r="K5" s="5">
        <v>3</v>
      </c>
      <c r="L5" s="61">
        <v>-90.1</v>
      </c>
      <c r="N5" s="76" t="s">
        <v>157</v>
      </c>
      <c r="O5" s="83">
        <f>IF(P5=0,0,Q5/P5)</f>
        <v>-1014.2857142857143</v>
      </c>
      <c r="P5" s="80">
        <v>7</v>
      </c>
      <c r="Q5" s="64">
        <v>-7100</v>
      </c>
    </row>
    <row r="6" spans="1:17">
      <c r="A6" s="19" t="s">
        <v>1</v>
      </c>
      <c r="B6" s="128">
        <f>IF(B$2=0,0,(B$7*1+B$8*2+B$9*3+B$10*4)/B$2)</f>
        <v>3.5714285714285716</v>
      </c>
      <c r="C6" s="129"/>
      <c r="E6" s="33" t="s">
        <v>182</v>
      </c>
      <c r="F6" s="30" t="s">
        <v>19</v>
      </c>
      <c r="G6" s="13">
        <v>1</v>
      </c>
      <c r="H6" s="94">
        <f>IF(B$17=0,0,G6/B$17)</f>
        <v>0.25</v>
      </c>
      <c r="I6" s="56">
        <v>5</v>
      </c>
      <c r="K6" s="5">
        <v>4</v>
      </c>
      <c r="L6" s="61">
        <v>-138.80000000000001</v>
      </c>
      <c r="N6" s="76" t="s">
        <v>106</v>
      </c>
      <c r="O6" s="83">
        <f t="shared" ref="O6" si="1">IF(P6=0,0,Q6/P6)</f>
        <v>750</v>
      </c>
      <c r="P6" s="80">
        <v>4</v>
      </c>
      <c r="Q6" s="64">
        <v>3000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55</v>
      </c>
      <c r="F7" s="30" t="s">
        <v>155</v>
      </c>
      <c r="G7" s="13">
        <v>1</v>
      </c>
      <c r="H7" s="94">
        <f>IF(B$17=0,0,G7/B$17)</f>
        <v>0.25</v>
      </c>
      <c r="I7" s="56">
        <v>13</v>
      </c>
      <c r="K7" s="5">
        <v>5</v>
      </c>
      <c r="L7" s="61">
        <v>-164.8</v>
      </c>
      <c r="N7" s="76" t="s">
        <v>107</v>
      </c>
      <c r="O7" s="83">
        <f t="shared" si="0"/>
        <v>-200</v>
      </c>
      <c r="P7" s="80">
        <v>3</v>
      </c>
      <c r="Q7" s="64">
        <v>-600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57</v>
      </c>
      <c r="F8" s="30" t="s">
        <v>21</v>
      </c>
      <c r="G8" s="13">
        <v>1</v>
      </c>
      <c r="H8" s="94">
        <f>IF(B$17=0,0,G8/B$17)</f>
        <v>0.25</v>
      </c>
      <c r="I8" s="56">
        <v>14</v>
      </c>
      <c r="K8" s="5">
        <v>6</v>
      </c>
      <c r="L8" s="61">
        <v>-206.20000000000002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3</v>
      </c>
      <c r="C9" s="7">
        <f>IF(B$2=0,0,B9/B$2)</f>
        <v>0.42857142857142855</v>
      </c>
      <c r="E9" s="33" t="s">
        <v>58</v>
      </c>
      <c r="F9" s="30" t="s">
        <v>22</v>
      </c>
      <c r="G9" s="13">
        <v>1</v>
      </c>
      <c r="H9" s="94">
        <f>IF(B$17=0,0,G9/B$17)</f>
        <v>0.25</v>
      </c>
      <c r="I9" s="56">
        <v>1</v>
      </c>
      <c r="K9" s="5">
        <v>7</v>
      </c>
      <c r="L9" s="61">
        <v>-263.40000000000003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4</v>
      </c>
      <c r="C10" s="7">
        <f>IF(B$2=0,0,B10/B$2)</f>
        <v>0.5714285714285714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26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60</v>
      </c>
      <c r="F11" s="30" t="s">
        <v>24</v>
      </c>
      <c r="G11" s="13">
        <v>0</v>
      </c>
      <c r="H11" s="94">
        <f>IF(B$17=0,0,G11/B$17)</f>
        <v>0</v>
      </c>
      <c r="I11" s="56">
        <v>37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5</v>
      </c>
      <c r="N12" s="75" t="s">
        <v>126</v>
      </c>
      <c r="O12" s="85">
        <f>IF(P12=0,0,Q12/P12)</f>
        <v>-47.4</v>
      </c>
      <c r="P12" s="79">
        <v>1</v>
      </c>
      <c r="Q12" s="67">
        <v>-47.4</v>
      </c>
    </row>
    <row r="13" spans="1:17">
      <c r="A13" s="22" t="s">
        <v>97</v>
      </c>
      <c r="B13" s="15">
        <v>7</v>
      </c>
      <c r="C13" s="11">
        <f>IF(B$3=0,0,B13/B$3)</f>
        <v>0.15555555555555556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6</v>
      </c>
      <c r="N13" s="76" t="s">
        <v>127</v>
      </c>
      <c r="O13" s="86">
        <f>IF(P13=0,0,Q13/P13)</f>
        <v>-37.25</v>
      </c>
      <c r="P13" s="80">
        <v>2</v>
      </c>
      <c r="Q13" s="68">
        <v>-74.5</v>
      </c>
    </row>
    <row r="14" spans="1:17">
      <c r="A14" s="19" t="s">
        <v>94</v>
      </c>
      <c r="B14" s="13">
        <v>6</v>
      </c>
      <c r="C14" s="6">
        <f>IF(B$3=0,0,B14/B$3)</f>
        <v>0.13333333333333333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3</v>
      </c>
      <c r="C15" s="4">
        <f>IF(B$13=0,0,B15/B$13)</f>
        <v>0.42857142857142855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-35.375</v>
      </c>
      <c r="P15" s="81">
        <v>4</v>
      </c>
      <c r="Q15" s="69">
        <v>-141.5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</v>
      </c>
      <c r="C17" s="4">
        <f>IF(B$3=0,0,B17/B$3)</f>
        <v>8.8888888888888892E-2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8</v>
      </c>
      <c r="C18" s="6">
        <f>IF(B$3=0,0,B18/B$3)</f>
        <v>0.17777777777777778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8</v>
      </c>
      <c r="N18" s="75" t="s">
        <v>235</v>
      </c>
      <c r="O18" s="85">
        <f>IF(P18=0,0,Q18/P18)</f>
        <v>28.300000000000004</v>
      </c>
      <c r="P18" s="79">
        <v>1</v>
      </c>
      <c r="Q18" s="67">
        <v>28.300000000000004</v>
      </c>
    </row>
    <row r="19" spans="1:17">
      <c r="A19" s="19" t="s">
        <v>12</v>
      </c>
      <c r="B19" s="13">
        <v>2</v>
      </c>
      <c r="C19" s="6">
        <f>IF(B$17=0,0,B19/B$17)</f>
        <v>0.5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16</v>
      </c>
      <c r="N19" s="76" t="s">
        <v>169</v>
      </c>
      <c r="O19" s="86">
        <f>IF(P19=0,0,Q19/P19)</f>
        <v>22.5</v>
      </c>
      <c r="P19" s="80">
        <v>1</v>
      </c>
      <c r="Q19" s="68">
        <v>22.5</v>
      </c>
    </row>
    <row r="20" spans="1:17">
      <c r="A20" s="19" t="s">
        <v>11</v>
      </c>
      <c r="B20" s="13">
        <v>2</v>
      </c>
      <c r="C20" s="6">
        <f>IF(B$17=0,0,B20/B$17)</f>
        <v>0.5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1</v>
      </c>
      <c r="N20" s="76" t="s">
        <v>277</v>
      </c>
      <c r="O20" s="86">
        <f>IF(P20=0,0,Q20/P20)</f>
        <v>-17.833333333333336</v>
      </c>
      <c r="P20" s="80">
        <v>3</v>
      </c>
      <c r="Q20" s="68">
        <v>-53.500000000000007</v>
      </c>
    </row>
    <row r="21" spans="1:17">
      <c r="A21" s="19" t="s">
        <v>151</v>
      </c>
      <c r="B21" s="13">
        <v>3</v>
      </c>
      <c r="C21" s="6">
        <f>IF(B$17=0,0,B21/B$17)</f>
        <v>0.75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8</v>
      </c>
      <c r="N21" s="76" t="s">
        <v>195</v>
      </c>
      <c r="O21" s="86">
        <f>IF(P21=0,0,Q21/P21)</f>
        <v>-28.200000000000003</v>
      </c>
      <c r="P21" s="80">
        <v>1</v>
      </c>
      <c r="Q21" s="68">
        <v>-28.200000000000003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213</v>
      </c>
      <c r="O22" s="86">
        <f>IF(P22=0,0,Q22/P22)</f>
        <v>-30</v>
      </c>
      <c r="P22" s="80">
        <v>1</v>
      </c>
      <c r="Q22" s="68">
        <v>-30</v>
      </c>
    </row>
    <row r="23" spans="1:17">
      <c r="A23" s="19" t="s">
        <v>150</v>
      </c>
      <c r="B23" s="13">
        <v>1</v>
      </c>
      <c r="C23" s="6">
        <f>IF(B$17=0,0,B23/B$17)</f>
        <v>0.25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14</v>
      </c>
      <c r="N23" s="76" t="s">
        <v>263</v>
      </c>
      <c r="O23" s="86">
        <f>IF(P23=0,0,Q23/P23)</f>
        <v>-30</v>
      </c>
      <c r="P23" s="80">
        <v>1</v>
      </c>
      <c r="Q23" s="68">
        <v>-30</v>
      </c>
    </row>
    <row r="24" spans="1:17">
      <c r="A24" s="19" t="s">
        <v>5</v>
      </c>
      <c r="B24" s="16">
        <f>IF(B$17=0,0,C24/B$17)</f>
        <v>5650</v>
      </c>
      <c r="C24" s="8">
        <v>22600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276</v>
      </c>
      <c r="O24" s="86">
        <f>IF(P24=0,0,Q24/P24)</f>
        <v>-42.333333333333343</v>
      </c>
      <c r="P24" s="80">
        <v>3</v>
      </c>
      <c r="Q24" s="68">
        <v>-127.00000000000003</v>
      </c>
    </row>
    <row r="25" spans="1:17">
      <c r="A25" s="20" t="s">
        <v>133</v>
      </c>
      <c r="B25" s="97">
        <f>IF($B$17-B$16=0,0,C25/($B$17-B$16))</f>
        <v>5650</v>
      </c>
      <c r="C25" s="98">
        <v>22600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  <c r="N25" s="76" t="s">
        <v>255</v>
      </c>
      <c r="O25" s="86">
        <f>IF(P25=0,0,Q25/P25)</f>
        <v>-48.4</v>
      </c>
      <c r="P25" s="80">
        <v>1</v>
      </c>
      <c r="Q25" s="68">
        <v>-48.4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12</v>
      </c>
      <c r="N26" s="76" t="s">
        <v>272</v>
      </c>
      <c r="O26" s="86">
        <f>IF(P26=0,0,Q26/P26)</f>
        <v>-69.433333333333337</v>
      </c>
      <c r="P26" s="80">
        <v>3</v>
      </c>
      <c r="Q26" s="68">
        <v>-208.3</v>
      </c>
    </row>
    <row r="27" spans="1:17">
      <c r="A27" s="20" t="s">
        <v>132</v>
      </c>
      <c r="B27" s="97">
        <f>IF(B$18=0,0,C27/B$18)</f>
        <v>-7112.5</v>
      </c>
      <c r="C27" s="98">
        <v>-56900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265</v>
      </c>
      <c r="O27" s="86">
        <f>IF(P27=0,0,Q27/P27)</f>
        <v>-77.625</v>
      </c>
      <c r="P27" s="80">
        <v>4</v>
      </c>
      <c r="Q27" s="68">
        <v>-310.5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5</v>
      </c>
      <c r="N28" s="76" t="s">
        <v>268</v>
      </c>
      <c r="O28" s="86">
        <f>IF(P28=0,0,Q28/P28)</f>
        <v>-99.5</v>
      </c>
      <c r="P28" s="80">
        <v>1</v>
      </c>
      <c r="Q28" s="68">
        <v>-99.5</v>
      </c>
    </row>
    <row r="29" spans="1:17">
      <c r="A29" s="19" t="s">
        <v>131</v>
      </c>
      <c r="B29" s="13">
        <v>23</v>
      </c>
      <c r="C29" s="96">
        <v>1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16</v>
      </c>
      <c r="N29" s="76" t="s">
        <v>244</v>
      </c>
      <c r="O29" s="86">
        <f>IF(P29=0,0,Q29/P29)</f>
        <v>-149</v>
      </c>
      <c r="P29" s="80">
        <v>1</v>
      </c>
      <c r="Q29" s="68">
        <v>-149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7</v>
      </c>
    </row>
    <row r="31" spans="1:17">
      <c r="A31" s="22" t="s">
        <v>148</v>
      </c>
      <c r="B31" s="116">
        <v>23100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3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3"/>
        <v>0.25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3"/>
        <v>0.25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3"/>
        <v>0.25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N18:Q29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10A984-D473-46DF-867E-6E81A7AD9CA9}">
  <sheetPr codeName="Sheet4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268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181</v>
      </c>
      <c r="F2" s="29" t="s">
        <v>156</v>
      </c>
      <c r="G2" s="12">
        <v>1</v>
      </c>
      <c r="H2" s="93">
        <f>IF(B$17=0,0,G2/B$17)</f>
        <v>0.5</v>
      </c>
      <c r="I2" s="55">
        <v>18</v>
      </c>
      <c r="K2" s="3">
        <v>0</v>
      </c>
      <c r="L2" s="60">
        <v>0</v>
      </c>
      <c r="N2" s="75" t="s">
        <v>103</v>
      </c>
      <c r="O2" s="82">
        <f t="shared" ref="O2:O9" si="0">IF(P2=0,0,Q2/P2)</f>
        <v>0</v>
      </c>
      <c r="P2" s="79">
        <v>1</v>
      </c>
      <c r="Q2" s="63">
        <v>0</v>
      </c>
    </row>
    <row r="3" spans="1:17">
      <c r="A3" s="19" t="s">
        <v>8</v>
      </c>
      <c r="B3" s="122">
        <v>5</v>
      </c>
      <c r="C3" s="123"/>
      <c r="E3" s="33" t="s">
        <v>182</v>
      </c>
      <c r="F3" s="30" t="s">
        <v>19</v>
      </c>
      <c r="G3" s="13">
        <v>1</v>
      </c>
      <c r="H3" s="94">
        <f>IF(B$17=0,0,G3/B$17)</f>
        <v>0.5</v>
      </c>
      <c r="I3" s="56">
        <v>1</v>
      </c>
      <c r="K3" s="5">
        <v>1</v>
      </c>
      <c r="L3" s="61">
        <v>52.1</v>
      </c>
      <c r="N3" s="76" t="s">
        <v>104</v>
      </c>
      <c r="O3" s="83">
        <f t="shared" si="0"/>
        <v>-8000</v>
      </c>
      <c r="P3" s="80">
        <v>1</v>
      </c>
      <c r="Q3" s="64">
        <v>-8000</v>
      </c>
    </row>
    <row r="4" spans="1:17">
      <c r="A4" s="19" t="s">
        <v>6</v>
      </c>
      <c r="B4" s="124">
        <v>52.1</v>
      </c>
      <c r="C4" s="125"/>
      <c r="E4" s="33" t="s">
        <v>56</v>
      </c>
      <c r="F4" s="30" t="s">
        <v>185</v>
      </c>
      <c r="G4" s="13">
        <v>1</v>
      </c>
      <c r="H4" s="94">
        <f>IF(B$17=0,0,G4/B$17)</f>
        <v>0.5</v>
      </c>
      <c r="I4" s="56">
        <v>1</v>
      </c>
      <c r="N4" s="76" t="s">
        <v>105</v>
      </c>
      <c r="O4" s="83">
        <f t="shared" si="0"/>
        <v>16000</v>
      </c>
      <c r="P4" s="80">
        <v>1</v>
      </c>
      <c r="Q4" s="64">
        <v>16000</v>
      </c>
    </row>
    <row r="5" spans="1:17">
      <c r="A5" s="19" t="s">
        <v>7</v>
      </c>
      <c r="B5" s="126">
        <f>IF(B$2=0,0,B$4/B$2)</f>
        <v>52.1</v>
      </c>
      <c r="C5" s="127"/>
      <c r="E5" s="33" t="s">
        <v>74</v>
      </c>
      <c r="F5" s="30" t="s">
        <v>38</v>
      </c>
      <c r="G5" s="13">
        <v>1</v>
      </c>
      <c r="H5" s="94">
        <f>IF(B$17=0,0,G5/B$17)</f>
        <v>0.5</v>
      </c>
      <c r="I5" s="56">
        <v>1</v>
      </c>
      <c r="N5" s="76" t="s">
        <v>157</v>
      </c>
      <c r="O5" s="83">
        <f>IF(P5=0,0,Q5/P5)</f>
        <v>-2000</v>
      </c>
      <c r="P5" s="80">
        <v>1</v>
      </c>
      <c r="Q5" s="64">
        <v>-2000</v>
      </c>
    </row>
    <row r="6" spans="1:17">
      <c r="A6" s="19" t="s">
        <v>1</v>
      </c>
      <c r="B6" s="128">
        <f>IF(B$2=0,0,(B$7*1+B$8*2+B$9*3+B$10*4)/B$2)</f>
        <v>1</v>
      </c>
      <c r="C6" s="129"/>
      <c r="E6" s="33" t="s">
        <v>77</v>
      </c>
      <c r="F6" s="30" t="s">
        <v>41</v>
      </c>
      <c r="G6" s="13">
        <v>1</v>
      </c>
      <c r="H6" s="94">
        <f>IF(B$17=0,0,G6/B$17)</f>
        <v>0.5</v>
      </c>
      <c r="I6" s="56">
        <v>1</v>
      </c>
      <c r="N6" s="76" t="s">
        <v>106</v>
      </c>
      <c r="O6" s="83">
        <f t="shared" ref="O6" si="1">IF(P6=0,0,Q6/P6)</f>
        <v>1100</v>
      </c>
      <c r="P6" s="80">
        <v>1</v>
      </c>
      <c r="Q6" s="64">
        <v>1100</v>
      </c>
    </row>
    <row r="7" spans="1:17">
      <c r="A7" s="19" t="s">
        <v>2</v>
      </c>
      <c r="B7" s="13">
        <v>1</v>
      </c>
      <c r="C7" s="6">
        <f t="shared" ref="C7:C12" si="2">IF(B$2=0,0,B7/B$2)</f>
        <v>1</v>
      </c>
      <c r="E7" s="33" t="s">
        <v>184</v>
      </c>
      <c r="F7" s="30" t="s">
        <v>187</v>
      </c>
      <c r="G7" s="13">
        <v>1</v>
      </c>
      <c r="H7" s="94">
        <f>IF(B$17=0,0,G7/B$17)</f>
        <v>0.5</v>
      </c>
      <c r="I7" s="56">
        <v>12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54</v>
      </c>
      <c r="F8" s="30" t="s">
        <v>20</v>
      </c>
      <c r="G8" s="13">
        <v>0</v>
      </c>
      <c r="H8" s="94">
        <f>IF(B$17=0,0,G8/B$17)</f>
        <v>0</v>
      </c>
      <c r="I8" s="56">
        <v>34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55</v>
      </c>
      <c r="F9" s="30" t="s">
        <v>155</v>
      </c>
      <c r="G9" s="13">
        <v>0</v>
      </c>
      <c r="H9" s="94">
        <f>IF(B$17=0,0,G9/B$17)</f>
        <v>0</v>
      </c>
      <c r="I9" s="56">
        <v>35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57</v>
      </c>
      <c r="F10" s="30" t="s">
        <v>21</v>
      </c>
      <c r="G10" s="13">
        <v>0</v>
      </c>
      <c r="H10" s="94">
        <f>IF(B$17=0,0,G10/B$17)</f>
        <v>0</v>
      </c>
      <c r="I10" s="56">
        <v>32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1</v>
      </c>
      <c r="E11" s="33" t="s">
        <v>58</v>
      </c>
      <c r="F11" s="30" t="s">
        <v>22</v>
      </c>
      <c r="G11" s="13">
        <v>0</v>
      </c>
      <c r="H11" s="94">
        <f>IF(B$17=0,0,G11/B$17)</f>
        <v>0</v>
      </c>
      <c r="I11" s="56">
        <v>24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59</v>
      </c>
      <c r="F12" s="30" t="s">
        <v>23</v>
      </c>
      <c r="G12" s="13">
        <v>0</v>
      </c>
      <c r="H12" s="94">
        <f>IF(B$17=0,0,G12/B$17)</f>
        <v>0</v>
      </c>
      <c r="I12" s="56">
        <v>26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1</v>
      </c>
      <c r="C13" s="11">
        <f>IF(B$3=0,0,B13/B$3)</f>
        <v>0.2</v>
      </c>
      <c r="E13" s="33" t="s">
        <v>60</v>
      </c>
      <c r="F13" s="30" t="s">
        <v>24</v>
      </c>
      <c r="G13" s="13">
        <v>0</v>
      </c>
      <c r="H13" s="94">
        <f>IF(B$17=0,0,G13/B$17)</f>
        <v>0</v>
      </c>
      <c r="I13" s="56">
        <v>37</v>
      </c>
      <c r="N13" s="76" t="s">
        <v>127</v>
      </c>
      <c r="O13" s="86">
        <f>IF(P13=0,0,Q13/P13)</f>
        <v>52.1</v>
      </c>
      <c r="P13" s="80">
        <v>1</v>
      </c>
      <c r="Q13" s="68">
        <v>52.1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5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1</v>
      </c>
      <c r="C15" s="4">
        <f>IF(B$13=0,0,B15/B$13)</f>
        <v>1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6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</v>
      </c>
      <c r="C17" s="4">
        <f>IF(B$3=0,0,B17/B$3)</f>
        <v>0.4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</v>
      </c>
      <c r="C18" s="6">
        <f>IF(B$3=0,0,B18/B$3)</f>
        <v>0.2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269</v>
      </c>
      <c r="O18" s="85">
        <f>IF(P18=0,0,Q18/P18)</f>
        <v>99.5</v>
      </c>
      <c r="P18" s="79">
        <v>1</v>
      </c>
      <c r="Q18" s="67">
        <v>99.5</v>
      </c>
    </row>
    <row r="19" spans="1:17">
      <c r="A19" s="19" t="s">
        <v>12</v>
      </c>
      <c r="B19" s="13">
        <v>1</v>
      </c>
      <c r="C19" s="6">
        <f>IF(B$17=0,0,B19/B$17)</f>
        <v>0.5</v>
      </c>
      <c r="E19" s="33" t="s">
        <v>66</v>
      </c>
      <c r="F19" s="30" t="s">
        <v>30</v>
      </c>
      <c r="G19" s="13">
        <v>0</v>
      </c>
      <c r="H19" s="94">
        <f>IF(B$17=0,0,G19/B$17)</f>
        <v>0</v>
      </c>
      <c r="I19" s="56">
        <v>9</v>
      </c>
      <c r="N19" s="76" t="s">
        <v>213</v>
      </c>
      <c r="O19" s="86">
        <f>IF(P19=0,0,Q19/P19)</f>
        <v>69.5</v>
      </c>
      <c r="P19" s="80">
        <v>1</v>
      </c>
      <c r="Q19" s="68">
        <v>69.5</v>
      </c>
    </row>
    <row r="20" spans="1:17">
      <c r="A20" s="19" t="s">
        <v>11</v>
      </c>
      <c r="B20" s="13">
        <v>1</v>
      </c>
      <c r="C20" s="6">
        <f>IF(B$17=0,0,B20/B$17)</f>
        <v>0.5</v>
      </c>
      <c r="E20" s="33" t="s">
        <v>67</v>
      </c>
      <c r="F20" s="30" t="s">
        <v>31</v>
      </c>
      <c r="G20" s="13">
        <v>0</v>
      </c>
      <c r="H20" s="94">
        <f>IF(B$17=0,0,G20/B$17)</f>
        <v>0</v>
      </c>
      <c r="I20" s="56">
        <v>8</v>
      </c>
      <c r="N20" s="76" t="s">
        <v>265</v>
      </c>
      <c r="O20" s="86">
        <f>IF(P20=0,0,Q20/P20)</f>
        <v>49.4</v>
      </c>
      <c r="P20" s="80">
        <v>1</v>
      </c>
      <c r="Q20" s="68">
        <v>49.4</v>
      </c>
    </row>
    <row r="21" spans="1:17">
      <c r="A21" s="19" t="s">
        <v>151</v>
      </c>
      <c r="B21" s="13">
        <v>1</v>
      </c>
      <c r="C21" s="6">
        <f>IF(B$17=0,0,B21/B$17)</f>
        <v>0.5</v>
      </c>
      <c r="E21" s="33" t="s">
        <v>183</v>
      </c>
      <c r="F21" s="30" t="s">
        <v>186</v>
      </c>
      <c r="G21" s="13">
        <v>0</v>
      </c>
      <c r="H21" s="94">
        <f>IF(B$17=0,0,G21/B$17)</f>
        <v>0</v>
      </c>
      <c r="I21" s="56">
        <v>16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1</v>
      </c>
    </row>
    <row r="23" spans="1:17">
      <c r="A23" s="19" t="s">
        <v>150</v>
      </c>
      <c r="B23" s="13">
        <v>1</v>
      </c>
      <c r="C23" s="6">
        <f>IF(B$17=0,0,B23/B$17)</f>
        <v>0.5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8</v>
      </c>
    </row>
    <row r="24" spans="1:17">
      <c r="A24" s="19" t="s">
        <v>5</v>
      </c>
      <c r="B24" s="16">
        <f>IF(B$17=0,0,C24/B$17)</f>
        <v>8550</v>
      </c>
      <c r="C24" s="8">
        <v>17100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8550</v>
      </c>
      <c r="C25" s="98">
        <v>17100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14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-8000</v>
      </c>
      <c r="C27" s="98">
        <v>-8000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</row>
    <row r="28" spans="1:17">
      <c r="A28" s="19" t="s">
        <v>130</v>
      </c>
      <c r="B28" s="13">
        <v>1</v>
      </c>
      <c r="C28" s="96">
        <v>1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3</v>
      </c>
      <c r="C29" s="96">
        <v>3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5</v>
      </c>
    </row>
    <row r="30" spans="1:17">
      <c r="A30" s="52" t="s">
        <v>111</v>
      </c>
      <c r="B30" s="114">
        <v>1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7</v>
      </c>
    </row>
    <row r="31" spans="1:17">
      <c r="A31" s="22" t="s">
        <v>148</v>
      </c>
      <c r="B31" s="116">
        <v>32100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3">IF(B$17=0,0,B35/B$17)</f>
        <v>0.5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1</v>
      </c>
      <c r="C42" s="6">
        <f t="shared" si="3"/>
        <v>0.5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9D348B-FDDE-43F7-8113-2F0292883637}">
  <sheetPr codeName="Sheet4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272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11</v>
      </c>
      <c r="C2" s="121"/>
      <c r="E2" s="32" t="s">
        <v>181</v>
      </c>
      <c r="F2" s="29" t="s">
        <v>156</v>
      </c>
      <c r="G2" s="12">
        <v>17</v>
      </c>
      <c r="H2" s="93">
        <f>IF(B$17=0,0,G2/B$17)</f>
        <v>0.62962962962962965</v>
      </c>
      <c r="I2" s="55">
        <v>11</v>
      </c>
      <c r="K2" s="3">
        <v>0</v>
      </c>
      <c r="L2" s="60">
        <v>0</v>
      </c>
      <c r="N2" s="75" t="s">
        <v>103</v>
      </c>
      <c r="O2" s="82">
        <f t="shared" ref="O2:O9" si="0">IF(P2=0,0,Q2/P2)</f>
        <v>1600</v>
      </c>
      <c r="P2" s="79">
        <v>11</v>
      </c>
      <c r="Q2" s="63">
        <v>17600</v>
      </c>
    </row>
    <row r="3" spans="1:17">
      <c r="A3" s="19" t="s">
        <v>8</v>
      </c>
      <c r="B3" s="122">
        <v>77</v>
      </c>
      <c r="C3" s="123"/>
      <c r="E3" s="33" t="s">
        <v>54</v>
      </c>
      <c r="F3" s="30" t="s">
        <v>20</v>
      </c>
      <c r="G3" s="13">
        <v>14</v>
      </c>
      <c r="H3" s="94">
        <f>IF(B$17=0,0,G3/B$17)</f>
        <v>0.51851851851851849</v>
      </c>
      <c r="I3" s="56">
        <v>19</v>
      </c>
      <c r="K3" s="5">
        <v>1</v>
      </c>
      <c r="L3" s="61">
        <v>6.3</v>
      </c>
      <c r="N3" s="76" t="s">
        <v>104</v>
      </c>
      <c r="O3" s="83">
        <f t="shared" si="0"/>
        <v>3363.6363636363635</v>
      </c>
      <c r="P3" s="80">
        <v>11</v>
      </c>
      <c r="Q3" s="64">
        <v>37000</v>
      </c>
    </row>
    <row r="4" spans="1:17">
      <c r="A4" s="19" t="s">
        <v>6</v>
      </c>
      <c r="B4" s="124">
        <v>416.8</v>
      </c>
      <c r="C4" s="125"/>
      <c r="E4" s="33" t="s">
        <v>184</v>
      </c>
      <c r="F4" s="30" t="s">
        <v>187</v>
      </c>
      <c r="G4" s="13">
        <v>10</v>
      </c>
      <c r="H4" s="94">
        <f>IF(B$17=0,0,G4/B$17)</f>
        <v>0.37037037037037035</v>
      </c>
      <c r="I4" s="56">
        <v>25</v>
      </c>
      <c r="K4" s="5">
        <v>2</v>
      </c>
      <c r="L4" s="61">
        <v>15.8</v>
      </c>
      <c r="N4" s="76" t="s">
        <v>105</v>
      </c>
      <c r="O4" s="83">
        <f t="shared" si="0"/>
        <v>3390.909090909091</v>
      </c>
      <c r="P4" s="80">
        <v>11</v>
      </c>
      <c r="Q4" s="64">
        <v>37300</v>
      </c>
    </row>
    <row r="5" spans="1:17">
      <c r="A5" s="19" t="s">
        <v>7</v>
      </c>
      <c r="B5" s="126">
        <f>IF(B$2=0,0,B$4/B$2)</f>
        <v>37.890909090909091</v>
      </c>
      <c r="C5" s="127"/>
      <c r="E5" s="33" t="s">
        <v>60</v>
      </c>
      <c r="F5" s="30" t="s">
        <v>24</v>
      </c>
      <c r="G5" s="13">
        <v>9</v>
      </c>
      <c r="H5" s="94">
        <f>IF(B$17=0,0,G5/B$17)</f>
        <v>0.33333333333333331</v>
      </c>
      <c r="I5" s="56">
        <v>24</v>
      </c>
      <c r="K5" s="5">
        <v>3</v>
      </c>
      <c r="L5" s="61">
        <v>0.60000000000000142</v>
      </c>
      <c r="N5" s="76" t="s">
        <v>157</v>
      </c>
      <c r="O5" s="83">
        <f>IF(P5=0,0,Q5/P5)</f>
        <v>2727.2727272727275</v>
      </c>
      <c r="P5" s="80">
        <v>11</v>
      </c>
      <c r="Q5" s="64">
        <v>30000</v>
      </c>
    </row>
    <row r="6" spans="1:17">
      <c r="A6" s="19" t="s">
        <v>1</v>
      </c>
      <c r="B6" s="128">
        <f>IF(B$2=0,0,(B$7*1+B$8*2+B$9*3+B$10*4)/B$2)</f>
        <v>1.5454545454545454</v>
      </c>
      <c r="C6" s="129"/>
      <c r="E6" s="33" t="s">
        <v>56</v>
      </c>
      <c r="F6" s="30" t="s">
        <v>185</v>
      </c>
      <c r="G6" s="13">
        <v>8</v>
      </c>
      <c r="H6" s="94">
        <f>IF(B$17=0,0,G6/B$17)</f>
        <v>0.29629629629629628</v>
      </c>
      <c r="I6" s="56">
        <v>16</v>
      </c>
      <c r="K6" s="5">
        <v>4</v>
      </c>
      <c r="L6" s="61">
        <v>62.800000000000004</v>
      </c>
      <c r="N6" s="76" t="s">
        <v>106</v>
      </c>
      <c r="O6" s="83">
        <f t="shared" ref="O6" si="1">IF(P6=0,0,Q6/P6)</f>
        <v>385.71428571428572</v>
      </c>
      <c r="P6" s="80">
        <v>7</v>
      </c>
      <c r="Q6" s="64">
        <v>2700</v>
      </c>
    </row>
    <row r="7" spans="1:17">
      <c r="A7" s="19" t="s">
        <v>2</v>
      </c>
      <c r="B7" s="13">
        <v>7</v>
      </c>
      <c r="C7" s="6">
        <f t="shared" ref="C7:C12" si="2">IF(B$2=0,0,B7/B$2)</f>
        <v>0.63636363636363635</v>
      </c>
      <c r="E7" s="33" t="s">
        <v>55</v>
      </c>
      <c r="F7" s="30" t="s">
        <v>155</v>
      </c>
      <c r="G7" s="13">
        <v>6</v>
      </c>
      <c r="H7" s="94">
        <f>IF(B$17=0,0,G7/B$17)</f>
        <v>0.22222222222222221</v>
      </c>
      <c r="I7" s="56">
        <v>21</v>
      </c>
      <c r="K7" s="5">
        <v>5</v>
      </c>
      <c r="L7" s="61">
        <v>129</v>
      </c>
      <c r="N7" s="76" t="s">
        <v>107</v>
      </c>
      <c r="O7" s="83">
        <f t="shared" si="0"/>
        <v>-516.66666666666663</v>
      </c>
      <c r="P7" s="80">
        <v>6</v>
      </c>
      <c r="Q7" s="64">
        <v>-3100</v>
      </c>
    </row>
    <row r="8" spans="1:17">
      <c r="A8" s="19" t="s">
        <v>3</v>
      </c>
      <c r="B8" s="13">
        <v>2</v>
      </c>
      <c r="C8" s="6">
        <f>IF(B$2=0,0,B8/B$2)</f>
        <v>0.18181818181818182</v>
      </c>
      <c r="E8" s="33" t="s">
        <v>57</v>
      </c>
      <c r="F8" s="30" t="s">
        <v>21</v>
      </c>
      <c r="G8" s="13">
        <v>4</v>
      </c>
      <c r="H8" s="94">
        <f>IF(B$17=0,0,G8/B$17)</f>
        <v>0.14814814814814814</v>
      </c>
      <c r="I8" s="56">
        <v>27</v>
      </c>
      <c r="K8" s="5">
        <v>6</v>
      </c>
      <c r="L8" s="61">
        <v>189.9</v>
      </c>
      <c r="N8" s="76" t="s">
        <v>108</v>
      </c>
      <c r="O8" s="83">
        <f t="shared" si="0"/>
        <v>1300</v>
      </c>
      <c r="P8" s="80">
        <v>1</v>
      </c>
      <c r="Q8" s="64">
        <v>1300</v>
      </c>
    </row>
    <row r="9" spans="1:17">
      <c r="A9" s="20" t="s">
        <v>4</v>
      </c>
      <c r="B9" s="14">
        <v>2</v>
      </c>
      <c r="C9" s="7">
        <f>IF(B$2=0,0,B9/B$2)</f>
        <v>0.18181818181818182</v>
      </c>
      <c r="E9" s="33" t="s">
        <v>182</v>
      </c>
      <c r="F9" s="30" t="s">
        <v>19</v>
      </c>
      <c r="G9" s="13">
        <v>2</v>
      </c>
      <c r="H9" s="94">
        <f>IF(B$17=0,0,G9/B$17)</f>
        <v>7.407407407407407E-2</v>
      </c>
      <c r="I9" s="56">
        <v>20</v>
      </c>
      <c r="K9" s="5">
        <v>7</v>
      </c>
      <c r="L9" s="61">
        <v>255.8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58</v>
      </c>
      <c r="F10" s="30" t="s">
        <v>22</v>
      </c>
      <c r="G10" s="13">
        <v>2</v>
      </c>
      <c r="H10" s="94">
        <f>IF(B$17=0,0,G10/B$17)</f>
        <v>7.407407407407407E-2</v>
      </c>
      <c r="I10" s="56">
        <v>15</v>
      </c>
      <c r="K10" s="5">
        <v>8</v>
      </c>
      <c r="L10" s="61">
        <v>311.10000000000002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9</v>
      </c>
      <c r="C11" s="7">
        <f>IF(B$2=0,0,B11/B$2)</f>
        <v>0.81818181818181823</v>
      </c>
      <c r="E11" s="33" t="s">
        <v>59</v>
      </c>
      <c r="F11" s="30" t="s">
        <v>23</v>
      </c>
      <c r="G11" s="13">
        <v>2</v>
      </c>
      <c r="H11" s="94">
        <f>IF(B$17=0,0,G11/B$17)</f>
        <v>7.407407407407407E-2</v>
      </c>
      <c r="I11" s="56">
        <v>21</v>
      </c>
      <c r="K11" s="5">
        <v>9</v>
      </c>
      <c r="L11" s="61">
        <v>381.6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183</v>
      </c>
      <c r="F12" s="30" t="s">
        <v>186</v>
      </c>
      <c r="G12" s="13">
        <v>2</v>
      </c>
      <c r="H12" s="94">
        <f>IF(B$17=0,0,G12/B$17)</f>
        <v>7.407407407407407E-2</v>
      </c>
      <c r="I12" s="56">
        <v>5</v>
      </c>
      <c r="K12" s="5">
        <v>10</v>
      </c>
      <c r="L12" s="61">
        <v>364</v>
      </c>
      <c r="N12" s="75" t="s">
        <v>126</v>
      </c>
      <c r="O12" s="85">
        <f>IF(P12=0,0,Q12/P12)</f>
        <v>63.166666666666664</v>
      </c>
      <c r="P12" s="79">
        <v>3</v>
      </c>
      <c r="Q12" s="67">
        <v>189.5</v>
      </c>
    </row>
    <row r="13" spans="1:17">
      <c r="A13" s="22" t="s">
        <v>97</v>
      </c>
      <c r="B13" s="15">
        <v>25</v>
      </c>
      <c r="C13" s="11">
        <f>IF(B$3=0,0,B13/B$3)</f>
        <v>0.32467532467532467</v>
      </c>
      <c r="E13" s="33" t="s">
        <v>74</v>
      </c>
      <c r="F13" s="30" t="s">
        <v>38</v>
      </c>
      <c r="G13" s="13">
        <v>2</v>
      </c>
      <c r="H13" s="94">
        <f>IF(B$17=0,0,G13/B$17)</f>
        <v>7.407407407407407E-2</v>
      </c>
      <c r="I13" s="56">
        <v>5</v>
      </c>
      <c r="K13" s="5">
        <v>11</v>
      </c>
      <c r="L13" s="61">
        <v>416.8</v>
      </c>
      <c r="N13" s="76" t="s">
        <v>127</v>
      </c>
      <c r="O13" s="86">
        <f>IF(P13=0,0,Q13/P13)</f>
        <v>34.800000000000004</v>
      </c>
      <c r="P13" s="80">
        <v>5</v>
      </c>
      <c r="Q13" s="68">
        <v>174.00000000000003</v>
      </c>
    </row>
    <row r="14" spans="1:17">
      <c r="A14" s="19" t="s">
        <v>94</v>
      </c>
      <c r="B14" s="13">
        <v>19</v>
      </c>
      <c r="C14" s="6">
        <f>IF(B$3=0,0,B14/B$3)</f>
        <v>0.24675324675324675</v>
      </c>
      <c r="E14" s="33" t="s">
        <v>69</v>
      </c>
      <c r="F14" s="30" t="s">
        <v>33</v>
      </c>
      <c r="G14" s="13">
        <v>1</v>
      </c>
      <c r="H14" s="94">
        <f>IF(B$17=0,0,G14/B$17)</f>
        <v>3.7037037037037035E-2</v>
      </c>
      <c r="I14" s="56">
        <v>5</v>
      </c>
      <c r="N14" s="76" t="s">
        <v>128</v>
      </c>
      <c r="O14" s="86">
        <f>IF(P14=0,0,Q14/P14)</f>
        <v>62.2</v>
      </c>
      <c r="P14" s="80">
        <v>1</v>
      </c>
      <c r="Q14" s="68">
        <v>62.2</v>
      </c>
    </row>
    <row r="15" spans="1:17">
      <c r="A15" s="18" t="s">
        <v>99</v>
      </c>
      <c r="B15" s="12">
        <f>B21</f>
        <v>17</v>
      </c>
      <c r="C15" s="4">
        <f>IF(B$13=0,0,B15/B$13)</f>
        <v>0.68</v>
      </c>
      <c r="E15" s="33" t="s">
        <v>76</v>
      </c>
      <c r="F15" s="30" t="s">
        <v>40</v>
      </c>
      <c r="G15" s="13">
        <v>1</v>
      </c>
      <c r="H15" s="94">
        <f>IF(B$17=0,0,G15/B$17)</f>
        <v>3.7037037037037035E-2</v>
      </c>
      <c r="I15" s="56">
        <v>2</v>
      </c>
      <c r="N15" s="77" t="s">
        <v>159</v>
      </c>
      <c r="O15" s="87">
        <f>IF(P15=0,0,Q15/P15)</f>
        <v>-4.4499999999999993</v>
      </c>
      <c r="P15" s="81">
        <v>2</v>
      </c>
      <c r="Q15" s="69">
        <v>-8.8999999999999986</v>
      </c>
    </row>
    <row r="16" spans="1:17">
      <c r="A16" s="18" t="s">
        <v>100</v>
      </c>
      <c r="B16" s="12">
        <f>B22</f>
        <v>9</v>
      </c>
      <c r="C16" s="4">
        <f>IF(B$14=0,0,B16/B$14)</f>
        <v>0.47368421052631576</v>
      </c>
      <c r="E16" s="33" t="s">
        <v>61</v>
      </c>
      <c r="F16" s="30" t="s">
        <v>25</v>
      </c>
      <c r="G16" s="13">
        <v>0</v>
      </c>
      <c r="H16" s="94">
        <f>IF(B$17=0,0,G16/B$17)</f>
        <v>0</v>
      </c>
      <c r="I16" s="56">
        <v>5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27</v>
      </c>
      <c r="C17" s="4">
        <f>IF(B$3=0,0,B17/B$3)</f>
        <v>0.35064935064935066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6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9</v>
      </c>
      <c r="C18" s="6">
        <f>IF(B$3=0,0,B18/B$3)</f>
        <v>0.11688311688311688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1</v>
      </c>
      <c r="N18" s="75" t="s">
        <v>277</v>
      </c>
      <c r="O18" s="85">
        <f>IF(P18=0,0,Q18/P18)</f>
        <v>98.920000000000016</v>
      </c>
      <c r="P18" s="79">
        <v>5</v>
      </c>
      <c r="Q18" s="67">
        <v>494.60000000000008</v>
      </c>
    </row>
    <row r="19" spans="1:17">
      <c r="A19" s="19" t="s">
        <v>12</v>
      </c>
      <c r="B19" s="13">
        <v>10</v>
      </c>
      <c r="C19" s="6">
        <f>IF(B$17=0,0,B19/B$17)</f>
        <v>0.37037037037037035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N19" s="76" t="s">
        <v>276</v>
      </c>
      <c r="O19" s="86">
        <f>IF(P19=0,0,Q19/P19)</f>
        <v>79.966666666666654</v>
      </c>
      <c r="P19" s="80">
        <v>3</v>
      </c>
      <c r="Q19" s="68">
        <v>239.89999999999998</v>
      </c>
    </row>
    <row r="20" spans="1:17">
      <c r="A20" s="19" t="s">
        <v>11</v>
      </c>
      <c r="B20" s="13">
        <v>17</v>
      </c>
      <c r="C20" s="6">
        <f>IF(B$17=0,0,B20/B$17)</f>
        <v>0.62962962962962965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N20" s="76" t="s">
        <v>169</v>
      </c>
      <c r="O20" s="86">
        <f>IF(P20=0,0,Q20/P20)</f>
        <v>79.7</v>
      </c>
      <c r="P20" s="80">
        <v>2</v>
      </c>
      <c r="Q20" s="68">
        <v>159.4</v>
      </c>
    </row>
    <row r="21" spans="1:17">
      <c r="A21" s="19" t="s">
        <v>151</v>
      </c>
      <c r="B21" s="13">
        <v>17</v>
      </c>
      <c r="C21" s="6">
        <f>IF(B$17=0,0,B21/B$17)</f>
        <v>0.62962962962962965</v>
      </c>
      <c r="E21" s="33" t="s">
        <v>66</v>
      </c>
      <c r="F21" s="30" t="s">
        <v>30</v>
      </c>
      <c r="G21" s="13">
        <v>0</v>
      </c>
      <c r="H21" s="94">
        <f>IF(B$17=0,0,G21/B$17)</f>
        <v>0</v>
      </c>
      <c r="I21" s="56">
        <v>9</v>
      </c>
      <c r="N21" s="76" t="s">
        <v>235</v>
      </c>
      <c r="O21" s="86">
        <f>IF(P21=0,0,Q21/P21)</f>
        <v>72.849999999999994</v>
      </c>
      <c r="P21" s="80">
        <v>2</v>
      </c>
      <c r="Q21" s="68">
        <v>145.69999999999999</v>
      </c>
    </row>
    <row r="22" spans="1:17">
      <c r="A22" s="19" t="s">
        <v>149</v>
      </c>
      <c r="B22" s="13">
        <v>9</v>
      </c>
      <c r="C22" s="6">
        <f>IF(B$17=0,0,B22/B$17)</f>
        <v>0.33333333333333331</v>
      </c>
      <c r="E22" s="33" t="s">
        <v>67</v>
      </c>
      <c r="F22" s="30" t="s">
        <v>31</v>
      </c>
      <c r="G22" s="13">
        <v>0</v>
      </c>
      <c r="H22" s="94">
        <f>IF(B$17=0,0,G22/B$17)</f>
        <v>0</v>
      </c>
      <c r="I22" s="56">
        <v>8</v>
      </c>
      <c r="N22" s="76" t="s">
        <v>269</v>
      </c>
      <c r="O22" s="86">
        <f>IF(P22=0,0,Q22/P22)</f>
        <v>69.433333333333337</v>
      </c>
      <c r="P22" s="80">
        <v>3</v>
      </c>
      <c r="Q22" s="68">
        <v>208.3</v>
      </c>
    </row>
    <row r="23" spans="1:17">
      <c r="A23" s="19" t="s">
        <v>150</v>
      </c>
      <c r="B23" s="13">
        <v>1</v>
      </c>
      <c r="C23" s="6">
        <f>IF(B$17=0,0,B23/B$17)</f>
        <v>3.7037037037037035E-2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1</v>
      </c>
      <c r="N23" s="76" t="s">
        <v>238</v>
      </c>
      <c r="O23" s="86">
        <f>IF(P23=0,0,Q23/P23)</f>
        <v>57.32500000000001</v>
      </c>
      <c r="P23" s="80">
        <v>4</v>
      </c>
      <c r="Q23" s="68">
        <v>229.30000000000004</v>
      </c>
    </row>
    <row r="24" spans="1:17">
      <c r="A24" s="19" t="s">
        <v>5</v>
      </c>
      <c r="B24" s="16">
        <f>IF(B$17=0,0,C24/B$17)</f>
        <v>5911.1111111111113</v>
      </c>
      <c r="C24" s="8">
        <v>159600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258</v>
      </c>
      <c r="O24" s="86">
        <f>IF(P24=0,0,Q24/P24)</f>
        <v>43.9</v>
      </c>
      <c r="P24" s="80">
        <v>1</v>
      </c>
      <c r="Q24" s="68">
        <v>43.9</v>
      </c>
    </row>
    <row r="25" spans="1:17">
      <c r="A25" s="20" t="s">
        <v>133</v>
      </c>
      <c r="B25" s="97">
        <f>IF($B$17-B$16=0,0,C25/($B$17-B$16))</f>
        <v>7366.666666666667</v>
      </c>
      <c r="C25" s="98">
        <v>132600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14</v>
      </c>
      <c r="N25" s="76" t="s">
        <v>263</v>
      </c>
      <c r="O25" s="86">
        <f>IF(P25=0,0,Q25/P25)</f>
        <v>38.375</v>
      </c>
      <c r="P25" s="80">
        <v>4</v>
      </c>
      <c r="Q25" s="68">
        <v>153.5</v>
      </c>
    </row>
    <row r="26" spans="1:17">
      <c r="A26" s="20" t="s">
        <v>134</v>
      </c>
      <c r="B26" s="97">
        <f>IF(B$16=0,0,C26/B$16)</f>
        <v>3000</v>
      </c>
      <c r="C26" s="98">
        <v>27000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N26" s="76" t="s">
        <v>241</v>
      </c>
      <c r="O26" s="86">
        <f>IF(P26=0,0,Q26/P26)</f>
        <v>28.099999999999998</v>
      </c>
      <c r="P26" s="80">
        <v>1</v>
      </c>
      <c r="Q26" s="68">
        <v>28.099999999999998</v>
      </c>
    </row>
    <row r="27" spans="1:17">
      <c r="A27" s="20" t="s">
        <v>132</v>
      </c>
      <c r="B27" s="97">
        <f>IF(B$18=0,0,C27/B$18)</f>
        <v>-3811.1111111111113</v>
      </c>
      <c r="C27" s="98">
        <v>-34300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N27" s="76" t="s">
        <v>255</v>
      </c>
      <c r="O27" s="86">
        <f>IF(P27=0,0,Q27/P27)</f>
        <v>10.149999999999999</v>
      </c>
      <c r="P27" s="80">
        <v>2</v>
      </c>
      <c r="Q27" s="68">
        <v>20.299999999999997</v>
      </c>
    </row>
    <row r="28" spans="1:17">
      <c r="A28" s="19" t="s">
        <v>130</v>
      </c>
      <c r="B28" s="13">
        <v>4</v>
      </c>
      <c r="C28" s="96">
        <v>1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265</v>
      </c>
      <c r="O28" s="86">
        <f>IF(P28=0,0,Q28/P28)</f>
        <v>-3.7999999999999994</v>
      </c>
      <c r="P28" s="80">
        <v>3</v>
      </c>
      <c r="Q28" s="68">
        <v>-11.399999999999999</v>
      </c>
    </row>
    <row r="29" spans="1:17">
      <c r="A29" s="19" t="s">
        <v>131</v>
      </c>
      <c r="B29" s="13">
        <v>16</v>
      </c>
      <c r="C29" s="96">
        <v>1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16</v>
      </c>
      <c r="N29" s="76" t="s">
        <v>228</v>
      </c>
      <c r="O29" s="86">
        <f>IF(P29=0,0,Q29/P29)</f>
        <v>-10.75</v>
      </c>
      <c r="P29" s="80">
        <v>2</v>
      </c>
      <c r="Q29" s="68">
        <v>-21.5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7</v>
      </c>
      <c r="N30" s="76" t="s">
        <v>264</v>
      </c>
      <c r="O30" s="86">
        <f>IF(P30=0,0,Q30/P30)</f>
        <v>-22.9</v>
      </c>
      <c r="P30" s="80">
        <v>1</v>
      </c>
      <c r="Q30" s="68">
        <v>-22.9</v>
      </c>
    </row>
    <row r="31" spans="1:17">
      <c r="A31" s="22" t="s">
        <v>148</v>
      </c>
      <c r="B31" s="116">
        <v>50500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6</v>
      </c>
      <c r="C35" s="102">
        <f t="shared" ref="C35:C47" si="3">IF(B$17=0,0,B35/B$17)</f>
        <v>0.22222222222222221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5</v>
      </c>
      <c r="C36" s="6">
        <f t="shared" si="3"/>
        <v>0.18518518518518517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5</v>
      </c>
      <c r="C37" s="6">
        <f t="shared" si="3"/>
        <v>0.18518518518518517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5</v>
      </c>
      <c r="C38" s="6">
        <f t="shared" si="3"/>
        <v>0.18518518518518517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3</v>
      </c>
      <c r="C39" s="6">
        <f t="shared" si="3"/>
        <v>0.1111111111111111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3</v>
      </c>
      <c r="C40" s="6">
        <f t="shared" si="3"/>
        <v>0.1111111111111111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N18:Q30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1DF603-DCB3-4373-A633-43FED51FF5FF}">
  <sheetPr codeName="Sheet4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277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11</v>
      </c>
      <c r="C2" s="121"/>
      <c r="E2" s="32" t="s">
        <v>181</v>
      </c>
      <c r="F2" s="29" t="s">
        <v>156</v>
      </c>
      <c r="G2" s="12">
        <v>6</v>
      </c>
      <c r="H2" s="93">
        <f>IF(B$17=0,0,G2/B$17)</f>
        <v>0.8571428571428571</v>
      </c>
      <c r="I2" s="55">
        <v>4</v>
      </c>
      <c r="K2" s="3">
        <v>0</v>
      </c>
      <c r="L2" s="60">
        <v>0</v>
      </c>
      <c r="N2" s="75" t="s">
        <v>103</v>
      </c>
      <c r="O2" s="82">
        <f t="shared" ref="O2:O9" si="0">IF(P2=0,0,Q2/P2)</f>
        <v>-3390.909090909091</v>
      </c>
      <c r="P2" s="79">
        <v>11</v>
      </c>
      <c r="Q2" s="63">
        <v>-37300</v>
      </c>
    </row>
    <row r="3" spans="1:17">
      <c r="A3" s="19" t="s">
        <v>8</v>
      </c>
      <c r="B3" s="122">
        <v>81</v>
      </c>
      <c r="C3" s="123"/>
      <c r="E3" s="33" t="s">
        <v>55</v>
      </c>
      <c r="F3" s="30" t="s">
        <v>155</v>
      </c>
      <c r="G3" s="13">
        <v>4</v>
      </c>
      <c r="H3" s="94">
        <f>IF(B$17=0,0,G3/B$17)</f>
        <v>0.5714285714285714</v>
      </c>
      <c r="I3" s="56">
        <v>3</v>
      </c>
      <c r="K3" s="5">
        <v>1</v>
      </c>
      <c r="L3" s="61">
        <v>-47</v>
      </c>
      <c r="N3" s="76" t="s">
        <v>104</v>
      </c>
      <c r="O3" s="83">
        <f t="shared" si="0"/>
        <v>-2981.818181818182</v>
      </c>
      <c r="P3" s="80">
        <v>11</v>
      </c>
      <c r="Q3" s="64">
        <v>-32800</v>
      </c>
    </row>
    <row r="4" spans="1:17">
      <c r="A4" s="19" t="s">
        <v>6</v>
      </c>
      <c r="B4" s="124">
        <v>-357.9</v>
      </c>
      <c r="C4" s="125"/>
      <c r="E4" s="33" t="s">
        <v>184</v>
      </c>
      <c r="F4" s="30" t="s">
        <v>187</v>
      </c>
      <c r="G4" s="13">
        <v>4</v>
      </c>
      <c r="H4" s="94">
        <f>IF(B$17=0,0,G4/B$17)</f>
        <v>0.5714285714285714</v>
      </c>
      <c r="I4" s="56">
        <v>7</v>
      </c>
      <c r="K4" s="5">
        <v>2</v>
      </c>
      <c r="L4" s="61">
        <v>-38</v>
      </c>
      <c r="N4" s="76" t="s">
        <v>105</v>
      </c>
      <c r="O4" s="83">
        <f t="shared" si="0"/>
        <v>-2809.090909090909</v>
      </c>
      <c r="P4" s="80">
        <v>11</v>
      </c>
      <c r="Q4" s="64">
        <v>-30900</v>
      </c>
    </row>
    <row r="5" spans="1:17">
      <c r="A5" s="19" t="s">
        <v>7</v>
      </c>
      <c r="B5" s="126">
        <f>IF(B$2=0,0,B$4/B$2)</f>
        <v>-32.536363636363632</v>
      </c>
      <c r="C5" s="127"/>
      <c r="E5" s="33" t="s">
        <v>54</v>
      </c>
      <c r="F5" s="30" t="s">
        <v>20</v>
      </c>
      <c r="G5" s="13">
        <v>3</v>
      </c>
      <c r="H5" s="94">
        <f>IF(B$17=0,0,G5/B$17)</f>
        <v>0.42857142857142855</v>
      </c>
      <c r="I5" s="56">
        <v>24</v>
      </c>
      <c r="K5" s="5">
        <v>3</v>
      </c>
      <c r="L5" s="61">
        <v>-56.4</v>
      </c>
      <c r="N5" s="76" t="s">
        <v>157</v>
      </c>
      <c r="O5" s="83">
        <f>IF(P5=0,0,Q5/P5)</f>
        <v>-311.11111111111109</v>
      </c>
      <c r="P5" s="80">
        <v>9</v>
      </c>
      <c r="Q5" s="64">
        <v>-2800</v>
      </c>
    </row>
    <row r="6" spans="1:17">
      <c r="A6" s="19" t="s">
        <v>1</v>
      </c>
      <c r="B6" s="128">
        <f>IF(B$2=0,0,(B$7*1+B$8*2+B$9*3+B$10*4)/B$2)</f>
        <v>3.3636363636363638</v>
      </c>
      <c r="C6" s="129"/>
      <c r="E6" s="33" t="s">
        <v>60</v>
      </c>
      <c r="F6" s="30" t="s">
        <v>24</v>
      </c>
      <c r="G6" s="13">
        <v>3</v>
      </c>
      <c r="H6" s="94">
        <f>IF(B$17=0,0,G6/B$17)</f>
        <v>0.42857142857142855</v>
      </c>
      <c r="I6" s="56">
        <v>15</v>
      </c>
      <c r="K6" s="5">
        <v>4</v>
      </c>
      <c r="L6" s="61">
        <v>-75.400000000000006</v>
      </c>
      <c r="N6" s="76" t="s">
        <v>106</v>
      </c>
      <c r="O6" s="83">
        <f t="shared" ref="O6" si="1">IF(P6=0,0,Q6/P6)</f>
        <v>-300</v>
      </c>
      <c r="P6" s="80">
        <v>5</v>
      </c>
      <c r="Q6" s="64">
        <v>-1500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56</v>
      </c>
      <c r="F7" s="30" t="s">
        <v>185</v>
      </c>
      <c r="G7" s="13">
        <v>2</v>
      </c>
      <c r="H7" s="94">
        <f>IF(B$17=0,0,G7/B$17)</f>
        <v>0.2857142857142857</v>
      </c>
      <c r="I7" s="56">
        <v>17</v>
      </c>
      <c r="K7" s="5">
        <v>5</v>
      </c>
      <c r="L7" s="61">
        <v>-125.9</v>
      </c>
      <c r="N7" s="76" t="s">
        <v>107</v>
      </c>
      <c r="O7" s="83">
        <f t="shared" si="0"/>
        <v>-1250</v>
      </c>
      <c r="P7" s="80">
        <v>4</v>
      </c>
      <c r="Q7" s="64">
        <v>-5000</v>
      </c>
    </row>
    <row r="8" spans="1:17">
      <c r="A8" s="19" t="s">
        <v>3</v>
      </c>
      <c r="B8" s="13">
        <v>2</v>
      </c>
      <c r="C8" s="6">
        <f>IF(B$2=0,0,B8/B$2)</f>
        <v>0.18181818181818182</v>
      </c>
      <c r="E8" s="33" t="s">
        <v>57</v>
      </c>
      <c r="F8" s="30" t="s">
        <v>21</v>
      </c>
      <c r="G8" s="13">
        <v>1</v>
      </c>
      <c r="H8" s="94">
        <f>IF(B$17=0,0,G8/B$17)</f>
        <v>0.14285714285714285</v>
      </c>
      <c r="I8" s="56">
        <v>28</v>
      </c>
      <c r="K8" s="5">
        <v>6</v>
      </c>
      <c r="L8" s="61">
        <v>-178.9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3</v>
      </c>
      <c r="C9" s="7">
        <f>IF(B$2=0,0,B9/B$2)</f>
        <v>0.27272727272727271</v>
      </c>
      <c r="E9" s="33" t="s">
        <v>182</v>
      </c>
      <c r="F9" s="30" t="s">
        <v>19</v>
      </c>
      <c r="G9" s="13">
        <v>0</v>
      </c>
      <c r="H9" s="94">
        <f>IF(B$17=0,0,G9/B$17)</f>
        <v>0</v>
      </c>
      <c r="I9" s="56">
        <v>27</v>
      </c>
      <c r="K9" s="5">
        <v>7</v>
      </c>
      <c r="L9" s="61">
        <v>-206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6</v>
      </c>
      <c r="C10" s="7">
        <f>IF(B$2=0,0,B10/B$2)</f>
        <v>0.54545454545454541</v>
      </c>
      <c r="E10" s="33" t="s">
        <v>58</v>
      </c>
      <c r="F10" s="30" t="s">
        <v>22</v>
      </c>
      <c r="G10" s="13">
        <v>0</v>
      </c>
      <c r="H10" s="94">
        <f>IF(B$17=0,0,G10/B$17)</f>
        <v>0</v>
      </c>
      <c r="I10" s="56">
        <v>24</v>
      </c>
      <c r="K10" s="5">
        <v>8</v>
      </c>
      <c r="L10" s="61">
        <v>-256.7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0.18181818181818182</v>
      </c>
      <c r="E11" s="33" t="s">
        <v>59</v>
      </c>
      <c r="F11" s="30" t="s">
        <v>23</v>
      </c>
      <c r="G11" s="13">
        <v>0</v>
      </c>
      <c r="H11" s="94">
        <f>IF(B$17=0,0,G11/B$17)</f>
        <v>0</v>
      </c>
      <c r="I11" s="56">
        <v>26</v>
      </c>
      <c r="K11" s="5">
        <v>9</v>
      </c>
      <c r="L11" s="61">
        <v>-315.2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5</v>
      </c>
      <c r="K12" s="5">
        <v>10</v>
      </c>
      <c r="L12" s="61">
        <v>-315.09999999999997</v>
      </c>
      <c r="N12" s="75" t="s">
        <v>126</v>
      </c>
      <c r="O12" s="85">
        <f>IF(P12=0,0,Q12/P12)</f>
        <v>-52.75</v>
      </c>
      <c r="P12" s="79">
        <v>2</v>
      </c>
      <c r="Q12" s="67">
        <v>-105.5</v>
      </c>
    </row>
    <row r="13" spans="1:17">
      <c r="A13" s="22" t="s">
        <v>97</v>
      </c>
      <c r="B13" s="15">
        <v>18</v>
      </c>
      <c r="C13" s="11">
        <f>IF(B$3=0,0,B13/B$3)</f>
        <v>0.22222222222222221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6</v>
      </c>
      <c r="K13" s="5">
        <v>11</v>
      </c>
      <c r="L13" s="61">
        <v>-357.9</v>
      </c>
      <c r="N13" s="76" t="s">
        <v>127</v>
      </c>
      <c r="O13" s="86">
        <f>IF(P13=0,0,Q13/P13)</f>
        <v>-17.799999999999997</v>
      </c>
      <c r="P13" s="80">
        <v>4</v>
      </c>
      <c r="Q13" s="68">
        <v>-71.199999999999989</v>
      </c>
    </row>
    <row r="14" spans="1:17">
      <c r="A14" s="19" t="s">
        <v>94</v>
      </c>
      <c r="B14" s="13">
        <v>14</v>
      </c>
      <c r="C14" s="6">
        <f>IF(B$3=0,0,B14/B$3)</f>
        <v>0.1728395061728395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-42.766666666666673</v>
      </c>
      <c r="P14" s="80">
        <v>3</v>
      </c>
      <c r="Q14" s="68">
        <v>-128.30000000000001</v>
      </c>
    </row>
    <row r="15" spans="1:17">
      <c r="A15" s="18" t="s">
        <v>99</v>
      </c>
      <c r="B15" s="12">
        <f>B21</f>
        <v>6</v>
      </c>
      <c r="C15" s="4">
        <f>IF(B$13=0,0,B15/B$13)</f>
        <v>0.33333333333333331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-26.45</v>
      </c>
      <c r="P15" s="81">
        <v>2</v>
      </c>
      <c r="Q15" s="69">
        <v>-52.9</v>
      </c>
    </row>
    <row r="16" spans="1:17">
      <c r="A16" s="18" t="s">
        <v>100</v>
      </c>
      <c r="B16" s="12">
        <f>B22</f>
        <v>1</v>
      </c>
      <c r="C16" s="4">
        <f>IF(B$14=0,0,B16/B$14)</f>
        <v>7.1428571428571425E-2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7</v>
      </c>
      <c r="C17" s="4">
        <f>IF(B$3=0,0,B17/B$3)</f>
        <v>8.6419753086419748E-2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15</v>
      </c>
      <c r="C18" s="6">
        <f>IF(B$3=0,0,B18/B$3)</f>
        <v>0.18518518518518517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8</v>
      </c>
      <c r="N18" s="75" t="s">
        <v>244</v>
      </c>
      <c r="O18" s="85">
        <f>IF(P18=0,0,Q18/P18)</f>
        <v>61.6</v>
      </c>
      <c r="P18" s="79">
        <v>1</v>
      </c>
      <c r="Q18" s="67">
        <v>61.6</v>
      </c>
    </row>
    <row r="19" spans="1:17">
      <c r="A19" s="19" t="s">
        <v>12</v>
      </c>
      <c r="B19" s="13">
        <v>2</v>
      </c>
      <c r="C19" s="6">
        <f>IF(B$17=0,0,B19/B$17)</f>
        <v>0.2857142857142857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16</v>
      </c>
      <c r="N19" s="76" t="s">
        <v>269</v>
      </c>
      <c r="O19" s="86">
        <f>IF(P19=0,0,Q19/P19)</f>
        <v>17.833333333333332</v>
      </c>
      <c r="P19" s="80">
        <v>3</v>
      </c>
      <c r="Q19" s="68">
        <v>53.5</v>
      </c>
    </row>
    <row r="20" spans="1:17">
      <c r="A20" s="19" t="s">
        <v>11</v>
      </c>
      <c r="B20" s="13">
        <v>5</v>
      </c>
      <c r="C20" s="6">
        <f>IF(B$17=0,0,B20/B$17)</f>
        <v>0.7142857142857143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1</v>
      </c>
      <c r="N20" s="76" t="s">
        <v>235</v>
      </c>
      <c r="O20" s="86">
        <f>IF(P20=0,0,Q20/P20)</f>
        <v>0.46666666666666617</v>
      </c>
      <c r="P20" s="80">
        <v>3</v>
      </c>
      <c r="Q20" s="68">
        <v>1.3999999999999986</v>
      </c>
    </row>
    <row r="21" spans="1:17">
      <c r="A21" s="19" t="s">
        <v>151</v>
      </c>
      <c r="B21" s="13">
        <v>6</v>
      </c>
      <c r="C21" s="6">
        <f>IF(B$17=0,0,B21/B$17)</f>
        <v>0.8571428571428571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8</v>
      </c>
      <c r="N21" s="76" t="s">
        <v>195</v>
      </c>
      <c r="O21" s="86">
        <f>IF(P21=0,0,Q21/P21)</f>
        <v>-28.300000000000004</v>
      </c>
      <c r="P21" s="80">
        <v>2</v>
      </c>
      <c r="Q21" s="68">
        <v>-56.600000000000009</v>
      </c>
    </row>
    <row r="22" spans="1:17">
      <c r="A22" s="19" t="s">
        <v>149</v>
      </c>
      <c r="B22" s="13">
        <v>1</v>
      </c>
      <c r="C22" s="6">
        <f>IF(B$17=0,0,B22/B$17)</f>
        <v>0.14285714285714285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238</v>
      </c>
      <c r="O22" s="86">
        <f>IF(P22=0,0,Q22/P22)</f>
        <v>-39.024999999999999</v>
      </c>
      <c r="P22" s="80">
        <v>4</v>
      </c>
      <c r="Q22" s="68">
        <v>-156.1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14</v>
      </c>
      <c r="N23" s="76" t="s">
        <v>265</v>
      </c>
      <c r="O23" s="86">
        <f>IF(P23=0,0,Q23/P23)</f>
        <v>-47</v>
      </c>
      <c r="P23" s="80">
        <v>4</v>
      </c>
      <c r="Q23" s="68">
        <v>-188</v>
      </c>
    </row>
    <row r="24" spans="1:17">
      <c r="A24" s="19" t="s">
        <v>5</v>
      </c>
      <c r="B24" s="16">
        <f>IF(B$17=0,0,C24/B$17)</f>
        <v>7285.7142857142853</v>
      </c>
      <c r="C24" s="8">
        <v>51000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255</v>
      </c>
      <c r="O24" s="86">
        <f>IF(P24=0,0,Q24/P24)</f>
        <v>-55.85</v>
      </c>
      <c r="P24" s="80">
        <v>2</v>
      </c>
      <c r="Q24" s="68">
        <v>-111.7</v>
      </c>
    </row>
    <row r="25" spans="1:17">
      <c r="A25" s="20" t="s">
        <v>133</v>
      </c>
      <c r="B25" s="97">
        <f>IF($B$17-B$16=0,0,C25/($B$17-B$16))</f>
        <v>7533.333333333333</v>
      </c>
      <c r="C25" s="98">
        <v>45200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  <c r="N25" s="76" t="s">
        <v>263</v>
      </c>
      <c r="O25" s="86">
        <f>IF(P25=0,0,Q25/P25)</f>
        <v>-58.233333333333327</v>
      </c>
      <c r="P25" s="80">
        <v>3</v>
      </c>
      <c r="Q25" s="68">
        <v>-174.7</v>
      </c>
    </row>
    <row r="26" spans="1:17">
      <c r="A26" s="20" t="s">
        <v>134</v>
      </c>
      <c r="B26" s="97">
        <f>IF(B$16=0,0,C26/B$16)</f>
        <v>5800</v>
      </c>
      <c r="C26" s="98">
        <v>5800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12</v>
      </c>
      <c r="N26" s="76" t="s">
        <v>276</v>
      </c>
      <c r="O26" s="86">
        <f>IF(P26=0,0,Q26/P26)</f>
        <v>-61.06666666666667</v>
      </c>
      <c r="P26" s="80">
        <v>6</v>
      </c>
      <c r="Q26" s="68">
        <v>-366.40000000000003</v>
      </c>
    </row>
    <row r="27" spans="1:17">
      <c r="A27" s="20" t="s">
        <v>132</v>
      </c>
      <c r="B27" s="97">
        <f>IF(B$18=0,0,C27/B$18)</f>
        <v>-4220</v>
      </c>
      <c r="C27" s="98">
        <v>-63300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272</v>
      </c>
      <c r="O27" s="86">
        <f>IF(P27=0,0,Q27/P27)</f>
        <v>-98.92</v>
      </c>
      <c r="P27" s="80">
        <v>5</v>
      </c>
      <c r="Q27" s="68">
        <v>-494.6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5</v>
      </c>
    </row>
    <row r="29" spans="1:17">
      <c r="A29" s="19" t="s">
        <v>131</v>
      </c>
      <c r="B29" s="13">
        <v>17</v>
      </c>
      <c r="C29" s="96">
        <v>5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16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7</v>
      </c>
    </row>
    <row r="31" spans="1:17">
      <c r="A31" s="22" t="s">
        <v>148</v>
      </c>
      <c r="B31" s="116">
        <v>29000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3">IF(B$17=0,0,B35/B$17)</f>
        <v>0.14285714285714285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3"/>
        <v>0.14285714285714285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3"/>
        <v>0.14285714285714285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3</v>
      </c>
      <c r="C38" s="6">
        <f t="shared" si="3"/>
        <v>0.42857142857142855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3"/>
        <v>0.14285714285714285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N18:Q27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583347-C51A-41CF-9963-4767FE7773DA}">
  <sheetPr codeName="Sheet4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276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</v>
      </c>
      <c r="C2" s="121"/>
      <c r="E2" s="32" t="s">
        <v>181</v>
      </c>
      <c r="F2" s="29" t="s">
        <v>156</v>
      </c>
      <c r="G2" s="12">
        <v>9</v>
      </c>
      <c r="H2" s="93">
        <f>IF(B$17=0,0,G2/B$17)</f>
        <v>0.6</v>
      </c>
      <c r="I2" s="55">
        <v>13</v>
      </c>
      <c r="K2" s="3">
        <v>0</v>
      </c>
      <c r="L2" s="60">
        <v>0</v>
      </c>
      <c r="N2" s="75" t="s">
        <v>103</v>
      </c>
      <c r="O2" s="82">
        <f t="shared" ref="O2:O9" si="0">IF(P2=0,0,Q2/P2)</f>
        <v>3277.7777777777778</v>
      </c>
      <c r="P2" s="79">
        <v>9</v>
      </c>
      <c r="Q2" s="63">
        <v>29500</v>
      </c>
    </row>
    <row r="3" spans="1:17">
      <c r="A3" s="19" t="s">
        <v>8</v>
      </c>
      <c r="B3" s="122">
        <v>64</v>
      </c>
      <c r="C3" s="123"/>
      <c r="E3" s="33" t="s">
        <v>184</v>
      </c>
      <c r="F3" s="30" t="s">
        <v>187</v>
      </c>
      <c r="G3" s="13">
        <v>7</v>
      </c>
      <c r="H3" s="94">
        <f>IF(B$17=0,0,G3/B$17)</f>
        <v>0.46666666666666667</v>
      </c>
      <c r="I3" s="56">
        <v>19</v>
      </c>
      <c r="K3" s="5">
        <v>1</v>
      </c>
      <c r="L3" s="61">
        <v>10.6</v>
      </c>
      <c r="N3" s="76" t="s">
        <v>104</v>
      </c>
      <c r="O3" s="83">
        <f t="shared" si="0"/>
        <v>-533.33333333333337</v>
      </c>
      <c r="P3" s="80">
        <v>9</v>
      </c>
      <c r="Q3" s="64">
        <v>-4800</v>
      </c>
    </row>
    <row r="4" spans="1:17">
      <c r="A4" s="19" t="s">
        <v>6</v>
      </c>
      <c r="B4" s="124">
        <v>181.50000000000003</v>
      </c>
      <c r="C4" s="125"/>
      <c r="E4" s="33" t="s">
        <v>56</v>
      </c>
      <c r="F4" s="30" t="s">
        <v>185</v>
      </c>
      <c r="G4" s="13">
        <v>6</v>
      </c>
      <c r="H4" s="94">
        <f>IF(B$17=0,0,G4/B$17)</f>
        <v>0.4</v>
      </c>
      <c r="I4" s="56">
        <v>8</v>
      </c>
      <c r="K4" s="5">
        <v>2</v>
      </c>
      <c r="L4" s="61">
        <v>63.7</v>
      </c>
      <c r="N4" s="76" t="s">
        <v>105</v>
      </c>
      <c r="O4" s="83">
        <f t="shared" si="0"/>
        <v>2111.1111111111113</v>
      </c>
      <c r="P4" s="80">
        <v>9</v>
      </c>
      <c r="Q4" s="64">
        <v>19000</v>
      </c>
    </row>
    <row r="5" spans="1:17">
      <c r="A5" s="19" t="s">
        <v>7</v>
      </c>
      <c r="B5" s="126">
        <f>IF(B$2=0,0,B$4/B$2)</f>
        <v>20.166666666666671</v>
      </c>
      <c r="C5" s="127"/>
      <c r="E5" s="33" t="s">
        <v>57</v>
      </c>
      <c r="F5" s="30" t="s">
        <v>21</v>
      </c>
      <c r="G5" s="13">
        <v>5</v>
      </c>
      <c r="H5" s="94">
        <f>IF(B$17=0,0,G5/B$17)</f>
        <v>0.33333333333333331</v>
      </c>
      <c r="I5" s="56">
        <v>6</v>
      </c>
      <c r="K5" s="5">
        <v>3</v>
      </c>
      <c r="L5" s="61">
        <v>144.5</v>
      </c>
      <c r="N5" s="76" t="s">
        <v>157</v>
      </c>
      <c r="O5" s="83">
        <f>IF(P5=0,0,Q5/P5)</f>
        <v>228.57142857142858</v>
      </c>
      <c r="P5" s="80">
        <v>7</v>
      </c>
      <c r="Q5" s="64">
        <v>1600</v>
      </c>
    </row>
    <row r="6" spans="1:17">
      <c r="A6" s="19" t="s">
        <v>1</v>
      </c>
      <c r="B6" s="128">
        <f>IF(B$2=0,0,(B$7*1+B$8*2+B$9*3+B$10*4)/B$2)</f>
        <v>2</v>
      </c>
      <c r="C6" s="129"/>
      <c r="E6" s="33" t="s">
        <v>54</v>
      </c>
      <c r="F6" s="30" t="s">
        <v>20</v>
      </c>
      <c r="G6" s="13">
        <v>3</v>
      </c>
      <c r="H6" s="94">
        <f>IF(B$17=0,0,G6/B$17)</f>
        <v>0.2</v>
      </c>
      <c r="I6" s="56">
        <v>32</v>
      </c>
      <c r="K6" s="5">
        <v>4</v>
      </c>
      <c r="L6" s="61">
        <v>156.30000000000001</v>
      </c>
      <c r="N6" s="76" t="s">
        <v>106</v>
      </c>
      <c r="O6" s="83">
        <f t="shared" ref="O6" si="1">IF(P6=0,0,Q6/P6)</f>
        <v>-100</v>
      </c>
      <c r="P6" s="80">
        <v>4</v>
      </c>
      <c r="Q6" s="64">
        <v>-400</v>
      </c>
    </row>
    <row r="7" spans="1:17">
      <c r="A7" s="19" t="s">
        <v>2</v>
      </c>
      <c r="B7" s="13">
        <v>4</v>
      </c>
      <c r="C7" s="6">
        <f t="shared" ref="C7:C12" si="2">IF(B$2=0,0,B7/B$2)</f>
        <v>0.44444444444444442</v>
      </c>
      <c r="E7" s="33" t="s">
        <v>58</v>
      </c>
      <c r="F7" s="30" t="s">
        <v>22</v>
      </c>
      <c r="G7" s="13">
        <v>3</v>
      </c>
      <c r="H7" s="94">
        <f>IF(B$17=0,0,G7/B$17)</f>
        <v>0.2</v>
      </c>
      <c r="I7" s="56">
        <v>3</v>
      </c>
      <c r="K7" s="5">
        <v>5</v>
      </c>
      <c r="L7" s="61">
        <v>106.70000000000002</v>
      </c>
      <c r="N7" s="76" t="s">
        <v>107</v>
      </c>
      <c r="O7" s="83">
        <f t="shared" si="0"/>
        <v>1300</v>
      </c>
      <c r="P7" s="80">
        <v>4</v>
      </c>
      <c r="Q7" s="64">
        <v>5200</v>
      </c>
    </row>
    <row r="8" spans="1:17">
      <c r="A8" s="19" t="s">
        <v>3</v>
      </c>
      <c r="B8" s="13">
        <v>2</v>
      </c>
      <c r="C8" s="6">
        <f>IF(B$2=0,0,B8/B$2)</f>
        <v>0.22222222222222221</v>
      </c>
      <c r="E8" s="33" t="s">
        <v>60</v>
      </c>
      <c r="F8" s="30" t="s">
        <v>24</v>
      </c>
      <c r="G8" s="13">
        <v>3</v>
      </c>
      <c r="H8" s="94">
        <f>IF(B$17=0,0,G8/B$17)</f>
        <v>0.2</v>
      </c>
      <c r="I8" s="56">
        <v>33</v>
      </c>
      <c r="K8" s="5">
        <v>6</v>
      </c>
      <c r="L8" s="61">
        <v>173.40000000000003</v>
      </c>
      <c r="N8" s="76" t="s">
        <v>108</v>
      </c>
      <c r="O8" s="83">
        <f t="shared" si="0"/>
        <v>2600</v>
      </c>
      <c r="P8" s="80">
        <v>1</v>
      </c>
      <c r="Q8" s="64">
        <v>2600</v>
      </c>
    </row>
    <row r="9" spans="1:17">
      <c r="A9" s="20" t="s">
        <v>4</v>
      </c>
      <c r="B9" s="14">
        <v>2</v>
      </c>
      <c r="C9" s="7">
        <f>IF(B$2=0,0,B9/B$2)</f>
        <v>0.22222222222222221</v>
      </c>
      <c r="E9" s="33" t="s">
        <v>182</v>
      </c>
      <c r="F9" s="30" t="s">
        <v>19</v>
      </c>
      <c r="G9" s="13">
        <v>2</v>
      </c>
      <c r="H9" s="94">
        <f>IF(B$17=0,0,G9/B$17)</f>
        <v>0.13333333333333333</v>
      </c>
      <c r="I9" s="56">
        <v>15</v>
      </c>
      <c r="K9" s="5">
        <v>7</v>
      </c>
      <c r="L9" s="61">
        <v>150.90000000000003</v>
      </c>
      <c r="N9" s="77" t="s">
        <v>158</v>
      </c>
      <c r="O9" s="84">
        <f t="shared" si="0"/>
        <v>-4000</v>
      </c>
      <c r="P9" s="81">
        <v>1</v>
      </c>
      <c r="Q9" s="65">
        <v>-4000</v>
      </c>
    </row>
    <row r="10" spans="1:17">
      <c r="A10" s="20" t="s">
        <v>152</v>
      </c>
      <c r="B10" s="14">
        <v>1</v>
      </c>
      <c r="C10" s="7">
        <f>IF(B$2=0,0,B10/B$2)</f>
        <v>0.1111111111111111</v>
      </c>
      <c r="E10" s="33" t="s">
        <v>55</v>
      </c>
      <c r="F10" s="30" t="s">
        <v>155</v>
      </c>
      <c r="G10" s="13">
        <v>2</v>
      </c>
      <c r="H10" s="94">
        <f>IF(B$17=0,0,G10/B$17)</f>
        <v>0.13333333333333333</v>
      </c>
      <c r="I10" s="56">
        <v>31</v>
      </c>
      <c r="K10" s="5">
        <v>8</v>
      </c>
      <c r="L10" s="61">
        <v>218.10000000000002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6</v>
      </c>
      <c r="C11" s="7">
        <f>IF(B$2=0,0,B11/B$2)</f>
        <v>0.66666666666666663</v>
      </c>
      <c r="E11" s="33" t="s">
        <v>77</v>
      </c>
      <c r="F11" s="30" t="s">
        <v>41</v>
      </c>
      <c r="G11" s="13">
        <v>2</v>
      </c>
      <c r="H11" s="94">
        <f>IF(B$17=0,0,G11/B$17)</f>
        <v>0.13333333333333333</v>
      </c>
      <c r="I11" s="56">
        <v>5</v>
      </c>
      <c r="K11" s="5">
        <v>9</v>
      </c>
      <c r="L11" s="61">
        <v>181.50000000000003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66</v>
      </c>
      <c r="F12" s="30" t="s">
        <v>30</v>
      </c>
      <c r="G12" s="13">
        <v>1</v>
      </c>
      <c r="H12" s="94">
        <f>IF(B$17=0,0,G12/B$17)</f>
        <v>6.6666666666666666E-2</v>
      </c>
      <c r="I12" s="56">
        <v>4</v>
      </c>
      <c r="N12" s="75" t="s">
        <v>126</v>
      </c>
      <c r="O12" s="85">
        <f>IF(P12=0,0,Q12/P12)</f>
        <v>-24.8</v>
      </c>
      <c r="P12" s="79">
        <v>3</v>
      </c>
      <c r="Q12" s="67">
        <v>-74.400000000000006</v>
      </c>
    </row>
    <row r="13" spans="1:17">
      <c r="A13" s="22" t="s">
        <v>97</v>
      </c>
      <c r="B13" s="15">
        <v>15</v>
      </c>
      <c r="C13" s="11">
        <f>IF(B$3=0,0,B13/B$3)</f>
        <v>0.234375</v>
      </c>
      <c r="E13" s="33" t="s">
        <v>78</v>
      </c>
      <c r="F13" s="30" t="s">
        <v>42</v>
      </c>
      <c r="G13" s="13">
        <v>1</v>
      </c>
      <c r="H13" s="94">
        <f>IF(B$17=0,0,G13/B$17)</f>
        <v>6.6666666666666666E-2</v>
      </c>
      <c r="I13" s="56">
        <v>1</v>
      </c>
      <c r="N13" s="76" t="s">
        <v>127</v>
      </c>
      <c r="O13" s="86">
        <f>IF(P13=0,0,Q13/P13)</f>
        <v>67.2</v>
      </c>
      <c r="P13" s="80">
        <v>1</v>
      </c>
      <c r="Q13" s="68">
        <v>67.2</v>
      </c>
    </row>
    <row r="14" spans="1:17">
      <c r="A14" s="19" t="s">
        <v>94</v>
      </c>
      <c r="B14" s="13">
        <v>20</v>
      </c>
      <c r="C14" s="6">
        <f>IF(B$3=0,0,B14/B$3)</f>
        <v>0.3125</v>
      </c>
      <c r="E14" s="33" t="s">
        <v>79</v>
      </c>
      <c r="F14" s="30" t="s">
        <v>43</v>
      </c>
      <c r="G14" s="13">
        <v>1</v>
      </c>
      <c r="H14" s="94">
        <f>IF(B$17=0,0,G14/B$17)</f>
        <v>6.6666666666666666E-2</v>
      </c>
      <c r="I14" s="56">
        <v>1</v>
      </c>
      <c r="N14" s="76" t="s">
        <v>128</v>
      </c>
      <c r="O14" s="86">
        <f>IF(P14=0,0,Q14/P14)</f>
        <v>15.3</v>
      </c>
      <c r="P14" s="80">
        <v>2</v>
      </c>
      <c r="Q14" s="68">
        <v>30.6</v>
      </c>
    </row>
    <row r="15" spans="1:17">
      <c r="A15" s="18" t="s">
        <v>99</v>
      </c>
      <c r="B15" s="12">
        <f>B21</f>
        <v>10</v>
      </c>
      <c r="C15" s="4">
        <f>IF(B$13=0,0,B15/B$13)</f>
        <v>0.66666666666666663</v>
      </c>
      <c r="E15" s="33" t="s">
        <v>59</v>
      </c>
      <c r="F15" s="30" t="s">
        <v>23</v>
      </c>
      <c r="G15" s="13">
        <v>0</v>
      </c>
      <c r="H15" s="94">
        <f>IF(B$17=0,0,G15/B$17)</f>
        <v>0</v>
      </c>
      <c r="I15" s="56">
        <v>26</v>
      </c>
      <c r="N15" s="77" t="s">
        <v>159</v>
      </c>
      <c r="O15" s="87">
        <f>IF(P15=0,0,Q15/P15)</f>
        <v>52.699999999999996</v>
      </c>
      <c r="P15" s="81">
        <v>3</v>
      </c>
      <c r="Q15" s="69">
        <v>158.1</v>
      </c>
    </row>
    <row r="16" spans="1:17">
      <c r="A16" s="18" t="s">
        <v>100</v>
      </c>
      <c r="B16" s="12">
        <f>B22</f>
        <v>3</v>
      </c>
      <c r="C16" s="4">
        <f>IF(B$14=0,0,B16/B$14)</f>
        <v>0.15</v>
      </c>
      <c r="E16" s="33" t="s">
        <v>61</v>
      </c>
      <c r="F16" s="30" t="s">
        <v>25</v>
      </c>
      <c r="G16" s="13">
        <v>0</v>
      </c>
      <c r="H16" s="94">
        <f>IF(B$17=0,0,G16/B$17)</f>
        <v>0</v>
      </c>
      <c r="I16" s="56">
        <v>5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15</v>
      </c>
      <c r="C17" s="4">
        <f>IF(B$3=0,0,B17/B$3)</f>
        <v>0.234375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6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5</v>
      </c>
      <c r="C18" s="6">
        <f>IF(B$3=0,0,B18/B$3)</f>
        <v>7.8125E-2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1</v>
      </c>
      <c r="N18" s="75" t="s">
        <v>255</v>
      </c>
      <c r="O18" s="85">
        <f>IF(P18=0,0,Q18/P18)</f>
        <v>110.7</v>
      </c>
      <c r="P18" s="79">
        <v>1</v>
      </c>
      <c r="Q18" s="67">
        <v>110.7</v>
      </c>
    </row>
    <row r="19" spans="1:17">
      <c r="A19" s="19" t="s">
        <v>12</v>
      </c>
      <c r="B19" s="13">
        <v>7</v>
      </c>
      <c r="C19" s="6">
        <f>IF(B$17=0,0,B19/B$17)</f>
        <v>0.46666666666666667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N19" s="76" t="s">
        <v>235</v>
      </c>
      <c r="O19" s="86">
        <f>IF(P19=0,0,Q19/P19)</f>
        <v>67.75</v>
      </c>
      <c r="P19" s="80">
        <v>2</v>
      </c>
      <c r="Q19" s="68">
        <v>135.5</v>
      </c>
    </row>
    <row r="20" spans="1:17">
      <c r="A20" s="19" t="s">
        <v>11</v>
      </c>
      <c r="B20" s="13">
        <v>8</v>
      </c>
      <c r="C20" s="6">
        <f>IF(B$17=0,0,B20/B$17)</f>
        <v>0.53333333333333333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N20" s="76" t="s">
        <v>258</v>
      </c>
      <c r="O20" s="86">
        <f>IF(P20=0,0,Q20/P20)</f>
        <v>67.100000000000009</v>
      </c>
      <c r="P20" s="80">
        <v>1</v>
      </c>
      <c r="Q20" s="68">
        <v>67.100000000000009</v>
      </c>
    </row>
    <row r="21" spans="1:17">
      <c r="A21" s="19" t="s">
        <v>151</v>
      </c>
      <c r="B21" s="13">
        <v>10</v>
      </c>
      <c r="C21" s="6">
        <f>IF(B$17=0,0,B21/B$17)</f>
        <v>0.66666666666666663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8</v>
      </c>
      <c r="N21" s="76" t="s">
        <v>277</v>
      </c>
      <c r="O21" s="86">
        <f>IF(P21=0,0,Q21/P21)</f>
        <v>61.06666666666667</v>
      </c>
      <c r="P21" s="80">
        <v>6</v>
      </c>
      <c r="Q21" s="68">
        <v>366.40000000000003</v>
      </c>
    </row>
    <row r="22" spans="1:17">
      <c r="A22" s="19" t="s">
        <v>149</v>
      </c>
      <c r="B22" s="13">
        <v>3</v>
      </c>
      <c r="C22" s="6">
        <f>IF(B$17=0,0,B22/B$17)</f>
        <v>0.2</v>
      </c>
      <c r="E22" s="33" t="s">
        <v>183</v>
      </c>
      <c r="F22" s="30" t="s">
        <v>186</v>
      </c>
      <c r="G22" s="13">
        <v>0</v>
      </c>
      <c r="H22" s="94">
        <f>IF(B$17=0,0,G22/B$17)</f>
        <v>0</v>
      </c>
      <c r="I22" s="56">
        <v>16</v>
      </c>
      <c r="N22" s="76" t="s">
        <v>195</v>
      </c>
      <c r="O22" s="86">
        <f>IF(P22=0,0,Q22/P22)</f>
        <v>48.5</v>
      </c>
      <c r="P22" s="80">
        <v>1</v>
      </c>
      <c r="Q22" s="68">
        <v>48.5</v>
      </c>
    </row>
    <row r="23" spans="1:17">
      <c r="A23" s="19" t="s">
        <v>150</v>
      </c>
      <c r="B23" s="13">
        <v>2</v>
      </c>
      <c r="C23" s="6">
        <f>IF(B$17=0,0,B23/B$17)</f>
        <v>0.13333333333333333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1</v>
      </c>
      <c r="N23" s="76" t="s">
        <v>269</v>
      </c>
      <c r="O23" s="86">
        <f>IF(P23=0,0,Q23/P23)</f>
        <v>42.333333333333336</v>
      </c>
      <c r="P23" s="80">
        <v>3</v>
      </c>
      <c r="Q23" s="68">
        <v>127.00000000000001</v>
      </c>
    </row>
    <row r="24" spans="1:17">
      <c r="A24" s="19" t="s">
        <v>5</v>
      </c>
      <c r="B24" s="16">
        <f>IF(B$17=0,0,C24/B$17)</f>
        <v>9100</v>
      </c>
      <c r="C24" s="8">
        <v>136500</v>
      </c>
      <c r="E24" s="33" t="s">
        <v>69</v>
      </c>
      <c r="F24" s="30" t="s">
        <v>33</v>
      </c>
      <c r="G24" s="13">
        <v>0</v>
      </c>
      <c r="H24" s="94">
        <f>IF(B$17=0,0,G24/B$17)</f>
        <v>0</v>
      </c>
      <c r="I24" s="56">
        <v>8</v>
      </c>
      <c r="N24" s="76" t="s">
        <v>265</v>
      </c>
      <c r="O24" s="86">
        <f>IF(P24=0,0,Q24/P24)</f>
        <v>33</v>
      </c>
      <c r="P24" s="80">
        <v>2</v>
      </c>
      <c r="Q24" s="68">
        <v>66</v>
      </c>
    </row>
    <row r="25" spans="1:17">
      <c r="A25" s="20" t="s">
        <v>133</v>
      </c>
      <c r="B25" s="97">
        <f>IF($B$17-B$16=0,0,C25/($B$17-B$16))</f>
        <v>9541.6666666666661</v>
      </c>
      <c r="C25" s="98">
        <v>114500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N25" s="76" t="s">
        <v>263</v>
      </c>
      <c r="O25" s="86">
        <f>IF(P25=0,0,Q25/P25)</f>
        <v>31.275000000000002</v>
      </c>
      <c r="P25" s="80">
        <v>4</v>
      </c>
      <c r="Q25" s="68">
        <v>125.10000000000001</v>
      </c>
    </row>
    <row r="26" spans="1:17">
      <c r="A26" s="20" t="s">
        <v>134</v>
      </c>
      <c r="B26" s="97">
        <f>IF(B$16=0,0,C26/B$16)</f>
        <v>7333.333333333333</v>
      </c>
      <c r="C26" s="98">
        <v>22000</v>
      </c>
      <c r="E26" s="33" t="s">
        <v>71</v>
      </c>
      <c r="F26" s="30" t="s">
        <v>35</v>
      </c>
      <c r="G26" s="13">
        <v>0</v>
      </c>
      <c r="H26" s="94">
        <f>IF(B$17=0,0,G26/B$17)</f>
        <v>0</v>
      </c>
      <c r="I26" s="56">
        <v>14</v>
      </c>
      <c r="N26" s="76" t="s">
        <v>244</v>
      </c>
      <c r="O26" s="86">
        <f>IF(P26=0,0,Q26/P26)</f>
        <v>16.20000000000001</v>
      </c>
      <c r="P26" s="80">
        <v>2</v>
      </c>
      <c r="Q26" s="68">
        <v>32.40000000000002</v>
      </c>
    </row>
    <row r="27" spans="1:17">
      <c r="A27" s="20" t="s">
        <v>132</v>
      </c>
      <c r="B27" s="97">
        <f>IF(B$18=0,0,C27/B$18)</f>
        <v>-5220</v>
      </c>
      <c r="C27" s="98">
        <v>-26100</v>
      </c>
      <c r="E27" s="33" t="s">
        <v>72</v>
      </c>
      <c r="F27" s="30" t="s">
        <v>36</v>
      </c>
      <c r="G27" s="13">
        <v>0</v>
      </c>
      <c r="H27" s="94">
        <f>IF(B$17=0,0,G27/B$17)</f>
        <v>0</v>
      </c>
      <c r="I27" s="56">
        <v>4</v>
      </c>
      <c r="N27" s="76" t="s">
        <v>169</v>
      </c>
      <c r="O27" s="86">
        <f>IF(P27=0,0,Q27/P27)</f>
        <v>-37.4</v>
      </c>
      <c r="P27" s="80">
        <v>1</v>
      </c>
      <c r="Q27" s="68">
        <v>-37.4</v>
      </c>
    </row>
    <row r="28" spans="1:17">
      <c r="A28" s="19" t="s">
        <v>130</v>
      </c>
      <c r="B28" s="13">
        <v>2</v>
      </c>
      <c r="C28" s="96">
        <v>0</v>
      </c>
      <c r="E28" s="33" t="s">
        <v>73</v>
      </c>
      <c r="F28" s="30" t="s">
        <v>37</v>
      </c>
      <c r="G28" s="13">
        <v>0</v>
      </c>
      <c r="H28" s="94">
        <f>IF(B$17=0,0,G28/B$17)</f>
        <v>0</v>
      </c>
      <c r="I28" s="56">
        <v>1</v>
      </c>
      <c r="N28" s="76" t="s">
        <v>238</v>
      </c>
      <c r="O28" s="86">
        <f>IF(P28=0,0,Q28/P28)</f>
        <v>-65.400000000000006</v>
      </c>
      <c r="P28" s="80">
        <v>1</v>
      </c>
      <c r="Q28" s="68">
        <v>-65.400000000000006</v>
      </c>
    </row>
    <row r="29" spans="1:17">
      <c r="A29" s="19" t="s">
        <v>131</v>
      </c>
      <c r="B29" s="13">
        <v>25</v>
      </c>
      <c r="C29" s="96">
        <v>14</v>
      </c>
      <c r="E29" s="33" t="s">
        <v>74</v>
      </c>
      <c r="F29" s="30" t="s">
        <v>38</v>
      </c>
      <c r="G29" s="13">
        <v>0</v>
      </c>
      <c r="H29" s="94">
        <f>IF(B$17=0,0,G29/B$17)</f>
        <v>0</v>
      </c>
      <c r="I29" s="56">
        <v>12</v>
      </c>
      <c r="N29" s="76" t="s">
        <v>272</v>
      </c>
      <c r="O29" s="86">
        <f>IF(P29=0,0,Q29/P29)</f>
        <v>-79.966666666666654</v>
      </c>
      <c r="P29" s="80">
        <v>3</v>
      </c>
      <c r="Q29" s="68">
        <v>-239.89999999999998</v>
      </c>
    </row>
    <row r="30" spans="1:17">
      <c r="A30" s="52" t="s">
        <v>111</v>
      </c>
      <c r="B30" s="114">
        <v>3</v>
      </c>
      <c r="C30" s="115"/>
      <c r="E30" s="33" t="s">
        <v>75</v>
      </c>
      <c r="F30" s="30" t="s">
        <v>39</v>
      </c>
      <c r="G30" s="13">
        <v>0</v>
      </c>
      <c r="H30" s="94">
        <f>IF(B$17=0,0,G30/B$17)</f>
        <v>0</v>
      </c>
      <c r="I30" s="56">
        <v>4</v>
      </c>
    </row>
    <row r="31" spans="1:17">
      <c r="A31" s="22" t="s">
        <v>148</v>
      </c>
      <c r="B31" s="116">
        <v>60800</v>
      </c>
      <c r="C31" s="117"/>
      <c r="E31" s="33" t="s">
        <v>76</v>
      </c>
      <c r="F31" s="30" t="s">
        <v>40</v>
      </c>
      <c r="G31" s="13">
        <v>0</v>
      </c>
      <c r="H31" s="94">
        <f>IF(B$17=0,0,G31/B$17)</f>
        <v>0</v>
      </c>
      <c r="I31" s="56">
        <v>5</v>
      </c>
    </row>
    <row r="32" spans="1:17">
      <c r="A32" s="21" t="s">
        <v>112</v>
      </c>
      <c r="B32" s="26">
        <v>1</v>
      </c>
      <c r="C32" s="9">
        <f>IF(B$3=0,0,B32/B$3)</f>
        <v>1.5625E-2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3">IF(B$17=0,0,B35/B$17)</f>
        <v>6.6666666666666666E-2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3"/>
        <v>0.13333333333333333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2</v>
      </c>
      <c r="C37" s="6">
        <f t="shared" si="3"/>
        <v>0.13333333333333333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6</v>
      </c>
      <c r="C38" s="6">
        <f t="shared" si="3"/>
        <v>0.4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3"/>
        <v>6.6666666666666666E-2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2</v>
      </c>
      <c r="C40" s="6">
        <f t="shared" si="3"/>
        <v>0.13333333333333333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1</v>
      </c>
      <c r="C47" s="9">
        <f t="shared" si="3"/>
        <v>6.6666666666666666E-2</v>
      </c>
    </row>
  </sheetData>
  <sortState xmlns:xlrd2="http://schemas.microsoft.com/office/spreadsheetml/2017/richdata2" ref="N18:Q29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93B2F2-E658-4654-B792-8C5B4F0F2640}">
  <sheetPr codeName="Sheet29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/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0</v>
      </c>
      <c r="C2" s="121"/>
      <c r="E2" s="32" t="s">
        <v>181</v>
      </c>
      <c r="F2" s="29" t="s">
        <v>156</v>
      </c>
      <c r="G2" s="12">
        <v>0</v>
      </c>
      <c r="H2" s="93">
        <f t="shared" ref="H2:H42" si="0">IF(B$17=0,0,G2/B$17)</f>
        <v>0</v>
      </c>
      <c r="I2" s="55"/>
      <c r="K2" s="3">
        <v>0</v>
      </c>
      <c r="L2" s="60">
        <v>0</v>
      </c>
      <c r="N2" s="75" t="s">
        <v>103</v>
      </c>
      <c r="O2" s="82">
        <f t="shared" ref="O2:O9" si="1">IF(P2=0,0,Q2/P2)</f>
        <v>0</v>
      </c>
      <c r="P2" s="79">
        <v>0</v>
      </c>
      <c r="Q2" s="63">
        <v>0</v>
      </c>
    </row>
    <row r="3" spans="1:17">
      <c r="A3" s="19" t="s">
        <v>8</v>
      </c>
      <c r="B3" s="122">
        <v>0</v>
      </c>
      <c r="C3" s="123"/>
      <c r="E3" s="33" t="s">
        <v>182</v>
      </c>
      <c r="F3" s="30" t="s">
        <v>19</v>
      </c>
      <c r="G3" s="13">
        <v>0</v>
      </c>
      <c r="H3" s="94">
        <f t="shared" si="0"/>
        <v>0</v>
      </c>
      <c r="I3" s="56"/>
      <c r="N3" s="76" t="s">
        <v>104</v>
      </c>
      <c r="O3" s="83">
        <f t="shared" si="1"/>
        <v>0</v>
      </c>
      <c r="P3" s="80">
        <v>0</v>
      </c>
      <c r="Q3" s="64">
        <v>0</v>
      </c>
    </row>
    <row r="4" spans="1:17">
      <c r="A4" s="19" t="s">
        <v>6</v>
      </c>
      <c r="B4" s="124">
        <v>0</v>
      </c>
      <c r="C4" s="125"/>
      <c r="E4" s="33" t="s">
        <v>54</v>
      </c>
      <c r="F4" s="30" t="s">
        <v>20</v>
      </c>
      <c r="G4" s="13">
        <v>0</v>
      </c>
      <c r="H4" s="94">
        <f t="shared" si="0"/>
        <v>0</v>
      </c>
      <c r="I4" s="56"/>
      <c r="N4" s="76" t="s">
        <v>105</v>
      </c>
      <c r="O4" s="83">
        <f t="shared" si="1"/>
        <v>0</v>
      </c>
      <c r="P4" s="80">
        <v>0</v>
      </c>
      <c r="Q4" s="64">
        <v>0</v>
      </c>
    </row>
    <row r="5" spans="1:17">
      <c r="A5" s="19" t="s">
        <v>7</v>
      </c>
      <c r="B5" s="126">
        <f>IF(B$2=0,0,B$4/B$2)</f>
        <v>0</v>
      </c>
      <c r="C5" s="127"/>
      <c r="E5" s="33" t="s">
        <v>55</v>
      </c>
      <c r="F5" s="30" t="s">
        <v>155</v>
      </c>
      <c r="G5" s="13">
        <v>0</v>
      </c>
      <c r="H5" s="94">
        <f t="shared" si="0"/>
        <v>0</v>
      </c>
      <c r="I5" s="56"/>
      <c r="N5" s="76" t="s">
        <v>157</v>
      </c>
      <c r="O5" s="83">
        <f>IF(P5=0,0,Q5/P5)</f>
        <v>0</v>
      </c>
      <c r="P5" s="80">
        <v>0</v>
      </c>
      <c r="Q5" s="64">
        <v>0</v>
      </c>
    </row>
    <row r="6" spans="1:17">
      <c r="A6" s="19" t="s">
        <v>1</v>
      </c>
      <c r="B6" s="128">
        <f>IF(B$2=0,0,(B$7*1+B$8*2+B$9*3+B$10*4)/B$2)</f>
        <v>0</v>
      </c>
      <c r="C6" s="129"/>
      <c r="E6" s="33" t="s">
        <v>56</v>
      </c>
      <c r="F6" s="30" t="s">
        <v>185</v>
      </c>
      <c r="G6" s="13">
        <v>0</v>
      </c>
      <c r="H6" s="94">
        <f t="shared" si="0"/>
        <v>0</v>
      </c>
      <c r="I6" s="56"/>
      <c r="N6" s="76" t="s">
        <v>106</v>
      </c>
      <c r="O6" s="83">
        <f t="shared" ref="O6" si="2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3">IF(B$2=0,0,B7/B$2)</f>
        <v>0</v>
      </c>
      <c r="E7" s="33" t="s">
        <v>57</v>
      </c>
      <c r="F7" s="30" t="s">
        <v>21</v>
      </c>
      <c r="G7" s="13">
        <v>0</v>
      </c>
      <c r="H7" s="94">
        <f t="shared" si="0"/>
        <v>0</v>
      </c>
      <c r="I7" s="56"/>
      <c r="N7" s="76" t="s">
        <v>107</v>
      </c>
      <c r="O7" s="83">
        <f t="shared" si="1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 t="shared" si="0"/>
        <v>0</v>
      </c>
      <c r="I8" s="56"/>
      <c r="N8" s="76" t="s">
        <v>108</v>
      </c>
      <c r="O8" s="83">
        <f t="shared" si="1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0</v>
      </c>
      <c r="H9" s="94">
        <f t="shared" si="0"/>
        <v>0</v>
      </c>
      <c r="I9" s="56"/>
      <c r="N9" s="77" t="s">
        <v>158</v>
      </c>
      <c r="O9" s="84">
        <f t="shared" si="1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60</v>
      </c>
      <c r="F10" s="30" t="s">
        <v>24</v>
      </c>
      <c r="G10" s="13">
        <v>0</v>
      </c>
      <c r="H10" s="94">
        <f t="shared" si="0"/>
        <v>0</v>
      </c>
      <c r="I10" s="56"/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 t="shared" si="0"/>
        <v>0</v>
      </c>
      <c r="I11" s="56"/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3"/>
        <v>0</v>
      </c>
      <c r="E12" s="33" t="s">
        <v>62</v>
      </c>
      <c r="F12" s="30" t="s">
        <v>26</v>
      </c>
      <c r="G12" s="13">
        <v>0</v>
      </c>
      <c r="H12" s="94">
        <f t="shared" si="0"/>
        <v>0</v>
      </c>
      <c r="I12" s="56"/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0</v>
      </c>
      <c r="C13" s="11">
        <f>IF(B$3=0,0,B13/B$3)</f>
        <v>0</v>
      </c>
      <c r="E13" s="33" t="s">
        <v>63</v>
      </c>
      <c r="F13" s="30" t="s">
        <v>27</v>
      </c>
      <c r="G13" s="13">
        <v>0</v>
      </c>
      <c r="H13" s="94">
        <f t="shared" si="0"/>
        <v>0</v>
      </c>
      <c r="I13" s="56"/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64</v>
      </c>
      <c r="F14" s="30" t="s">
        <v>28</v>
      </c>
      <c r="G14" s="13">
        <v>0</v>
      </c>
      <c r="H14" s="94">
        <f t="shared" si="0"/>
        <v>0</v>
      </c>
      <c r="I14" s="56"/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 t="shared" si="0"/>
        <v>0</v>
      </c>
      <c r="I15" s="56"/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 t="shared" si="0"/>
        <v>0</v>
      </c>
      <c r="I16" s="56"/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 t="shared" si="0"/>
        <v>0</v>
      </c>
      <c r="I17" s="56"/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183</v>
      </c>
      <c r="F18" s="30" t="s">
        <v>186</v>
      </c>
      <c r="G18" s="13">
        <v>0</v>
      </c>
      <c r="H18" s="94">
        <f t="shared" si="0"/>
        <v>0</v>
      </c>
      <c r="I18" s="56"/>
      <c r="N18" s="75"/>
      <c r="O18" s="85"/>
      <c r="P18" s="79"/>
      <c r="Q18" s="67"/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 t="shared" si="0"/>
        <v>0</v>
      </c>
      <c r="I19" s="56"/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 t="shared" si="0"/>
        <v>0</v>
      </c>
      <c r="I20" s="56"/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 t="shared" si="0"/>
        <v>0</v>
      </c>
      <c r="I21" s="56"/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 t="shared" si="0"/>
        <v>0</v>
      </c>
      <c r="I22" s="56"/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 t="shared" si="0"/>
        <v>0</v>
      </c>
      <c r="I23" s="56"/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 t="shared" si="0"/>
        <v>0</v>
      </c>
      <c r="I24" s="56"/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 t="shared" si="0"/>
        <v>0</v>
      </c>
      <c r="I25" s="56"/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 t="shared" si="0"/>
        <v>0</v>
      </c>
      <c r="I26" s="56"/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76</v>
      </c>
      <c r="F27" s="30" t="s">
        <v>40</v>
      </c>
      <c r="G27" s="13">
        <v>0</v>
      </c>
      <c r="H27" s="94">
        <f t="shared" si="0"/>
        <v>0</v>
      </c>
      <c r="I27" s="56"/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 t="shared" si="0"/>
        <v>0</v>
      </c>
      <c r="I28" s="56"/>
    </row>
    <row r="29" spans="1:17">
      <c r="A29" s="19" t="s">
        <v>131</v>
      </c>
      <c r="B29" s="13">
        <v>0</v>
      </c>
      <c r="C29" s="96">
        <v>0</v>
      </c>
      <c r="E29" s="33" t="s">
        <v>78</v>
      </c>
      <c r="F29" s="30" t="s">
        <v>42</v>
      </c>
      <c r="G29" s="13">
        <v>0</v>
      </c>
      <c r="H29" s="94">
        <f t="shared" si="0"/>
        <v>0</v>
      </c>
      <c r="I29" s="56"/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 t="shared" si="0"/>
        <v>0</v>
      </c>
      <c r="I30" s="56"/>
    </row>
    <row r="31" spans="1:17">
      <c r="A31" s="22" t="s">
        <v>148</v>
      </c>
      <c r="B31" s="116">
        <v>-1000000</v>
      </c>
      <c r="C31" s="117"/>
      <c r="E31" s="33" t="s">
        <v>80</v>
      </c>
      <c r="F31" s="30" t="s">
        <v>44</v>
      </c>
      <c r="G31" s="13">
        <v>0</v>
      </c>
      <c r="H31" s="94">
        <f t="shared" si="0"/>
        <v>0</v>
      </c>
      <c r="I31" s="56"/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 t="shared" si="0"/>
        <v>0</v>
      </c>
      <c r="I32" s="56"/>
    </row>
    <row r="33" spans="1:9">
      <c r="E33" s="33" t="s">
        <v>82</v>
      </c>
      <c r="F33" s="30" t="s">
        <v>46</v>
      </c>
      <c r="G33" s="13">
        <v>0</v>
      </c>
      <c r="H33" s="94">
        <f t="shared" si="0"/>
        <v>0</v>
      </c>
      <c r="I33" s="56"/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 t="shared" si="0"/>
        <v>0</v>
      </c>
      <c r="I34" s="56"/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84</v>
      </c>
      <c r="F35" s="30" t="s">
        <v>48</v>
      </c>
      <c r="G35" s="13">
        <v>0</v>
      </c>
      <c r="H35" s="94">
        <f t="shared" si="0"/>
        <v>0</v>
      </c>
      <c r="I35" s="56"/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 t="shared" si="0"/>
        <v>0</v>
      </c>
      <c r="I36" s="56"/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86</v>
      </c>
      <c r="F37" s="30" t="s">
        <v>50</v>
      </c>
      <c r="G37" s="13">
        <v>0</v>
      </c>
      <c r="H37" s="94">
        <f t="shared" si="0"/>
        <v>0</v>
      </c>
      <c r="I37" s="56"/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87</v>
      </c>
      <c r="F38" s="30" t="s">
        <v>51</v>
      </c>
      <c r="G38" s="13">
        <v>0</v>
      </c>
      <c r="H38" s="94">
        <f t="shared" si="0"/>
        <v>0</v>
      </c>
      <c r="I38" s="56"/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 t="shared" si="0"/>
        <v>0</v>
      </c>
      <c r="I39" s="56"/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 t="shared" si="0"/>
        <v>0</v>
      </c>
      <c r="I40" s="56"/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 t="shared" si="0"/>
        <v>0</v>
      </c>
      <c r="I41" s="56"/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184</v>
      </c>
      <c r="F42" s="31" t="s">
        <v>187</v>
      </c>
      <c r="G42" s="28">
        <v>0</v>
      </c>
      <c r="H42" s="95">
        <f t="shared" si="0"/>
        <v>0</v>
      </c>
      <c r="I42" s="57"/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/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123</v>
      </c>
    </row>
    <row r="2" spans="1:17">
      <c r="A2" s="18" t="s">
        <v>9</v>
      </c>
      <c r="B2" s="120">
        <v>0</v>
      </c>
      <c r="C2" s="121"/>
      <c r="E2" s="32" t="s">
        <v>181</v>
      </c>
      <c r="F2" s="29" t="s">
        <v>156</v>
      </c>
      <c r="G2" s="12">
        <v>0</v>
      </c>
      <c r="H2" s="93">
        <f t="shared" ref="H2:H42" si="0">IF(B$17=0,0,G2/B$17)</f>
        <v>0</v>
      </c>
      <c r="I2" s="55"/>
      <c r="K2" s="3">
        <v>0</v>
      </c>
      <c r="L2" s="60">
        <v>0</v>
      </c>
      <c r="N2" s="75" t="s">
        <v>103</v>
      </c>
      <c r="O2" s="82">
        <f t="shared" ref="O2:O9" si="1">IF(P2=0,0,Q2/P2)</f>
        <v>0</v>
      </c>
      <c r="P2" s="79">
        <v>0</v>
      </c>
      <c r="Q2" s="63">
        <v>0</v>
      </c>
    </row>
    <row r="3" spans="1:17">
      <c r="A3" s="19" t="s">
        <v>8</v>
      </c>
      <c r="B3" s="122">
        <v>0</v>
      </c>
      <c r="C3" s="123"/>
      <c r="E3" s="33" t="s">
        <v>182</v>
      </c>
      <c r="F3" s="30" t="s">
        <v>19</v>
      </c>
      <c r="G3" s="13">
        <v>0</v>
      </c>
      <c r="H3" s="94">
        <f t="shared" si="0"/>
        <v>0</v>
      </c>
      <c r="I3" s="56"/>
      <c r="N3" s="76" t="s">
        <v>104</v>
      </c>
      <c r="O3" s="83">
        <f t="shared" si="1"/>
        <v>0</v>
      </c>
      <c r="P3" s="80">
        <v>0</v>
      </c>
      <c r="Q3" s="64">
        <v>0</v>
      </c>
    </row>
    <row r="4" spans="1:17">
      <c r="A4" s="19" t="s">
        <v>6</v>
      </c>
      <c r="B4" s="124">
        <v>0</v>
      </c>
      <c r="C4" s="125"/>
      <c r="E4" s="33" t="s">
        <v>54</v>
      </c>
      <c r="F4" s="30" t="s">
        <v>20</v>
      </c>
      <c r="G4" s="13">
        <v>0</v>
      </c>
      <c r="H4" s="94">
        <f t="shared" si="0"/>
        <v>0</v>
      </c>
      <c r="I4" s="56"/>
      <c r="N4" s="76" t="s">
        <v>105</v>
      </c>
      <c r="O4" s="83">
        <f t="shared" si="1"/>
        <v>0</v>
      </c>
      <c r="P4" s="80">
        <v>0</v>
      </c>
      <c r="Q4" s="64">
        <v>0</v>
      </c>
    </row>
    <row r="5" spans="1:17">
      <c r="A5" s="19" t="s">
        <v>7</v>
      </c>
      <c r="B5" s="126">
        <f>IF(B$2=0,0,B$4/B$2)</f>
        <v>0</v>
      </c>
      <c r="C5" s="127"/>
      <c r="E5" s="33" t="s">
        <v>55</v>
      </c>
      <c r="F5" s="30" t="s">
        <v>155</v>
      </c>
      <c r="G5" s="13">
        <v>0</v>
      </c>
      <c r="H5" s="94">
        <f t="shared" si="0"/>
        <v>0</v>
      </c>
      <c r="I5" s="56"/>
      <c r="N5" s="76" t="s">
        <v>157</v>
      </c>
      <c r="O5" s="83">
        <f>IF(P5=0,0,Q5/P5)</f>
        <v>0</v>
      </c>
      <c r="P5" s="80">
        <v>0</v>
      </c>
      <c r="Q5" s="64">
        <v>0</v>
      </c>
    </row>
    <row r="6" spans="1:17">
      <c r="A6" s="19" t="s">
        <v>1</v>
      </c>
      <c r="B6" s="128">
        <f>IF(B$2=0,0,(B$7*1+B$8*2+B$9*3+B$10*4)/B$2)</f>
        <v>0</v>
      </c>
      <c r="C6" s="129"/>
      <c r="E6" s="33" t="s">
        <v>56</v>
      </c>
      <c r="F6" s="30" t="s">
        <v>185</v>
      </c>
      <c r="G6" s="13">
        <v>0</v>
      </c>
      <c r="H6" s="94">
        <f t="shared" si="0"/>
        <v>0</v>
      </c>
      <c r="I6" s="56"/>
      <c r="N6" s="76" t="s">
        <v>106</v>
      </c>
      <c r="O6" s="83">
        <f t="shared" ref="O6" si="2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3">IF(B$2=0,0,B7/B$2)</f>
        <v>0</v>
      </c>
      <c r="E7" s="33" t="s">
        <v>57</v>
      </c>
      <c r="F7" s="30" t="s">
        <v>21</v>
      </c>
      <c r="G7" s="13">
        <v>0</v>
      </c>
      <c r="H7" s="94">
        <f t="shared" si="0"/>
        <v>0</v>
      </c>
      <c r="I7" s="56"/>
      <c r="N7" s="76" t="s">
        <v>107</v>
      </c>
      <c r="O7" s="83">
        <f t="shared" si="1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 t="shared" si="0"/>
        <v>0</v>
      </c>
      <c r="I8" s="56"/>
      <c r="N8" s="76" t="s">
        <v>108</v>
      </c>
      <c r="O8" s="83">
        <f t="shared" si="1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0</v>
      </c>
      <c r="H9" s="94">
        <f t="shared" si="0"/>
        <v>0</v>
      </c>
      <c r="I9" s="56"/>
      <c r="N9" s="77" t="s">
        <v>158</v>
      </c>
      <c r="O9" s="84">
        <f t="shared" si="1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60</v>
      </c>
      <c r="F10" s="30" t="s">
        <v>24</v>
      </c>
      <c r="G10" s="13">
        <v>0</v>
      </c>
      <c r="H10" s="94">
        <f t="shared" si="0"/>
        <v>0</v>
      </c>
      <c r="I10" s="56"/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 t="shared" si="0"/>
        <v>0</v>
      </c>
      <c r="I11" s="56"/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3"/>
        <v>0</v>
      </c>
      <c r="E12" s="33" t="s">
        <v>62</v>
      </c>
      <c r="F12" s="30" t="s">
        <v>26</v>
      </c>
      <c r="G12" s="13">
        <v>0</v>
      </c>
      <c r="H12" s="94">
        <f t="shared" si="0"/>
        <v>0</v>
      </c>
      <c r="I12" s="56"/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0</v>
      </c>
      <c r="C13" s="11">
        <f>IF(B$3=0,0,B13/B$3)</f>
        <v>0</v>
      </c>
      <c r="E13" s="33" t="s">
        <v>63</v>
      </c>
      <c r="F13" s="30" t="s">
        <v>27</v>
      </c>
      <c r="G13" s="13">
        <v>0</v>
      </c>
      <c r="H13" s="94">
        <f t="shared" si="0"/>
        <v>0</v>
      </c>
      <c r="I13" s="56"/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64</v>
      </c>
      <c r="F14" s="30" t="s">
        <v>28</v>
      </c>
      <c r="G14" s="13">
        <v>0</v>
      </c>
      <c r="H14" s="94">
        <f t="shared" si="0"/>
        <v>0</v>
      </c>
      <c r="I14" s="56"/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 t="shared" si="0"/>
        <v>0</v>
      </c>
      <c r="I15" s="56"/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 t="shared" si="0"/>
        <v>0</v>
      </c>
      <c r="I16" s="56"/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 t="shared" si="0"/>
        <v>0</v>
      </c>
      <c r="I17" s="56"/>
      <c r="N17" s="74" t="s">
        <v>119</v>
      </c>
      <c r="O17" s="2" t="s">
        <v>120</v>
      </c>
      <c r="P17" s="78" t="s">
        <v>121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183</v>
      </c>
      <c r="F18" s="30" t="s">
        <v>186</v>
      </c>
      <c r="G18" s="13">
        <v>0</v>
      </c>
      <c r="H18" s="94">
        <f t="shared" si="0"/>
        <v>0</v>
      </c>
      <c r="I18" s="56"/>
      <c r="N18" s="75"/>
      <c r="O18" s="85"/>
      <c r="P18" s="79"/>
      <c r="Q18" s="67"/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 t="shared" si="0"/>
        <v>0</v>
      </c>
      <c r="I19" s="56"/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 t="shared" si="0"/>
        <v>0</v>
      </c>
      <c r="I20" s="56"/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 t="shared" si="0"/>
        <v>0</v>
      </c>
      <c r="I21" s="56"/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 t="shared" si="0"/>
        <v>0</v>
      </c>
      <c r="I22" s="56"/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 t="shared" si="0"/>
        <v>0</v>
      </c>
      <c r="I23" s="56"/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 t="shared" si="0"/>
        <v>0</v>
      </c>
      <c r="I24" s="56"/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 t="shared" si="0"/>
        <v>0</v>
      </c>
      <c r="I25" s="56"/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 t="shared" si="0"/>
        <v>0</v>
      </c>
      <c r="I26" s="56"/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76</v>
      </c>
      <c r="F27" s="30" t="s">
        <v>40</v>
      </c>
      <c r="G27" s="13">
        <v>0</v>
      </c>
      <c r="H27" s="94">
        <f t="shared" si="0"/>
        <v>0</v>
      </c>
      <c r="I27" s="56"/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 t="shared" si="0"/>
        <v>0</v>
      </c>
      <c r="I28" s="56"/>
    </row>
    <row r="29" spans="1:17">
      <c r="A29" s="19" t="s">
        <v>131</v>
      </c>
      <c r="B29" s="13">
        <v>0</v>
      </c>
      <c r="C29" s="96">
        <v>0</v>
      </c>
      <c r="E29" s="33" t="s">
        <v>78</v>
      </c>
      <c r="F29" s="30" t="s">
        <v>42</v>
      </c>
      <c r="G29" s="13">
        <v>0</v>
      </c>
      <c r="H29" s="94">
        <f t="shared" si="0"/>
        <v>0</v>
      </c>
      <c r="I29" s="56"/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 t="shared" si="0"/>
        <v>0</v>
      </c>
      <c r="I30" s="56"/>
    </row>
    <row r="31" spans="1:17">
      <c r="A31" s="22" t="s">
        <v>148</v>
      </c>
      <c r="B31" s="116">
        <v>-1000000</v>
      </c>
      <c r="C31" s="117"/>
      <c r="E31" s="33" t="s">
        <v>80</v>
      </c>
      <c r="F31" s="30" t="s">
        <v>44</v>
      </c>
      <c r="G31" s="13">
        <v>0</v>
      </c>
      <c r="H31" s="94">
        <f t="shared" si="0"/>
        <v>0</v>
      </c>
      <c r="I31" s="56"/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 t="shared" si="0"/>
        <v>0</v>
      </c>
      <c r="I32" s="56"/>
    </row>
    <row r="33" spans="1:9">
      <c r="E33" s="33" t="s">
        <v>82</v>
      </c>
      <c r="F33" s="30" t="s">
        <v>46</v>
      </c>
      <c r="G33" s="13">
        <v>0</v>
      </c>
      <c r="H33" s="94">
        <f t="shared" si="0"/>
        <v>0</v>
      </c>
      <c r="I33" s="56"/>
    </row>
    <row r="34" spans="1:9">
      <c r="A34" s="52" t="s">
        <v>171</v>
      </c>
      <c r="B34" s="104" t="s">
        <v>172</v>
      </c>
      <c r="C34" s="105" t="s">
        <v>173</v>
      </c>
      <c r="E34" s="33" t="s">
        <v>83</v>
      </c>
      <c r="F34" s="30" t="s">
        <v>47</v>
      </c>
      <c r="G34" s="13">
        <v>0</v>
      </c>
      <c r="H34" s="94">
        <f t="shared" si="0"/>
        <v>0</v>
      </c>
      <c r="I34" s="56"/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84</v>
      </c>
      <c r="F35" s="30" t="s">
        <v>48</v>
      </c>
      <c r="G35" s="13">
        <v>0</v>
      </c>
      <c r="H35" s="94">
        <f t="shared" si="0"/>
        <v>0</v>
      </c>
      <c r="I35" s="56"/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 t="shared" si="0"/>
        <v>0</v>
      </c>
      <c r="I36" s="56"/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86</v>
      </c>
      <c r="F37" s="30" t="s">
        <v>50</v>
      </c>
      <c r="G37" s="13">
        <v>0</v>
      </c>
      <c r="H37" s="94">
        <f t="shared" si="0"/>
        <v>0</v>
      </c>
      <c r="I37" s="56"/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87</v>
      </c>
      <c r="F38" s="30" t="s">
        <v>51</v>
      </c>
      <c r="G38" s="13">
        <v>0</v>
      </c>
      <c r="H38" s="94">
        <f t="shared" si="0"/>
        <v>0</v>
      </c>
      <c r="I38" s="56"/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 t="shared" si="0"/>
        <v>0</v>
      </c>
      <c r="I39" s="56"/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 t="shared" si="0"/>
        <v>0</v>
      </c>
      <c r="I40" s="56"/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 t="shared" si="0"/>
        <v>0</v>
      </c>
      <c r="I41" s="56"/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184</v>
      </c>
      <c r="F42" s="31" t="s">
        <v>187</v>
      </c>
      <c r="G42" s="28">
        <v>0</v>
      </c>
      <c r="H42" s="95">
        <f t="shared" si="0"/>
        <v>0</v>
      </c>
      <c r="I42" s="57"/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mergeCells count="8">
    <mergeCell ref="B31:C31"/>
    <mergeCell ref="B30:C30"/>
    <mergeCell ref="B6:C6"/>
    <mergeCell ref="B1:C1"/>
    <mergeCell ref="B2:C2"/>
    <mergeCell ref="B3:C3"/>
    <mergeCell ref="B4:C4"/>
    <mergeCell ref="B5:C5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48</vt:i4>
      </vt:variant>
      <vt:variant>
        <vt:lpstr>名前付き一覧</vt:lpstr>
      </vt:variant>
      <vt:variant>
        <vt:i4>2565</vt:i4>
      </vt:variant>
    </vt:vector>
  </HeadingPairs>
  <TitlesOfParts>
    <vt:vector size="2613" baseType="lpstr">
      <vt:lpstr>Cache</vt:lpstr>
      <vt:lpstr>Players</vt:lpstr>
      <vt:lpstr>ランキング</vt:lpstr>
      <vt:lpstr>全体</vt:lpstr>
      <vt:lpstr>松澤亮太</vt:lpstr>
      <vt:lpstr>滝沢悠人</vt:lpstr>
      <vt:lpstr>大池陸斗</vt:lpstr>
      <vt:lpstr>百瀬成空</vt:lpstr>
      <vt:lpstr>佐藤成浩</vt:lpstr>
      <vt:lpstr>依田幸憲</vt:lpstr>
      <vt:lpstr>保谷一貴</vt:lpstr>
      <vt:lpstr>高野源太</vt:lpstr>
      <vt:lpstr>矢ヶ崎健</vt:lpstr>
      <vt:lpstr>小林郁斗</vt:lpstr>
      <vt:lpstr>木角有希</vt:lpstr>
      <vt:lpstr>福澤大地</vt:lpstr>
      <vt:lpstr>髙橋桜</vt:lpstr>
      <vt:lpstr>多田洋輔</vt:lpstr>
      <vt:lpstr>柳澤颯吾</vt:lpstr>
      <vt:lpstr>石澤巧望</vt:lpstr>
      <vt:lpstr>川上翔大</vt:lpstr>
      <vt:lpstr>北沢蓮太郎</vt:lpstr>
      <vt:lpstr>市川大智</vt:lpstr>
      <vt:lpstr>中川弘崇</vt:lpstr>
      <vt:lpstr>阿部圭太朗</vt:lpstr>
      <vt:lpstr>山崎葵</vt:lpstr>
      <vt:lpstr>関谷洸佑</vt:lpstr>
      <vt:lpstr>巻島夢樹</vt:lpstr>
      <vt:lpstr>伊藤仁城</vt:lpstr>
      <vt:lpstr>西沢武留</vt:lpstr>
      <vt:lpstr>両角慧太</vt:lpstr>
      <vt:lpstr>中村花菜</vt:lpstr>
      <vt:lpstr>中村季暉</vt:lpstr>
      <vt:lpstr>吉澤諒</vt:lpstr>
      <vt:lpstr>塩入悠</vt:lpstr>
      <vt:lpstr>宮澤七星</vt:lpstr>
      <vt:lpstr>坂本羽弥斗</vt:lpstr>
      <vt:lpstr>湯本咲蔵</vt:lpstr>
      <vt:lpstr>田名網新</vt:lpstr>
      <vt:lpstr>山本悠介</vt:lpstr>
      <vt:lpstr>石原凛人</vt:lpstr>
      <vt:lpstr>渡部陵瑛</vt:lpstr>
      <vt:lpstr>唐澤聖矢</vt:lpstr>
      <vt:lpstr>清水常緑</vt:lpstr>
      <vt:lpstr>所附快和</vt:lpstr>
      <vt:lpstr>長野柊馬</vt:lpstr>
      <vt:lpstr>Template (3)</vt:lpstr>
      <vt:lpstr>Template</vt:lpstr>
      <vt:lpstr>'Template (3)'!アガリ数</vt:lpstr>
      <vt:lpstr>阿部圭太朗!アガリ数</vt:lpstr>
      <vt:lpstr>伊藤仁城!アガリ数</vt:lpstr>
      <vt:lpstr>依田幸憲!アガリ数</vt:lpstr>
      <vt:lpstr>塩入悠!アガリ数</vt:lpstr>
      <vt:lpstr>巻島夢樹!アガリ数</vt:lpstr>
      <vt:lpstr>関谷洸佑!アガリ数</vt:lpstr>
      <vt:lpstr>吉澤諒!アガリ数</vt:lpstr>
      <vt:lpstr>宮澤七星!アガリ数</vt:lpstr>
      <vt:lpstr>高野源太!アガリ数</vt:lpstr>
      <vt:lpstr>佐藤成浩!アガリ数</vt:lpstr>
      <vt:lpstr>坂本羽弥斗!アガリ数</vt:lpstr>
      <vt:lpstr>山崎葵!アガリ数</vt:lpstr>
      <vt:lpstr>山本悠介!アガリ数</vt:lpstr>
      <vt:lpstr>市川大智!アガリ数</vt:lpstr>
      <vt:lpstr>所附快和!アガリ数</vt:lpstr>
      <vt:lpstr>小林郁斗!アガリ数</vt:lpstr>
      <vt:lpstr>松澤亮太!アガリ数</vt:lpstr>
      <vt:lpstr>清水常緑!アガリ数</vt:lpstr>
      <vt:lpstr>西沢武留!アガリ数</vt:lpstr>
      <vt:lpstr>石原凛人!アガリ数</vt:lpstr>
      <vt:lpstr>石澤巧望!アガリ数</vt:lpstr>
      <vt:lpstr>川上翔大!アガリ数</vt:lpstr>
      <vt:lpstr>全体!アガリ数</vt:lpstr>
      <vt:lpstr>多田洋輔!アガリ数</vt:lpstr>
      <vt:lpstr>大池陸斗!アガリ数</vt:lpstr>
      <vt:lpstr>滝沢悠人!アガリ数</vt:lpstr>
      <vt:lpstr>中川弘崇!アガリ数</vt:lpstr>
      <vt:lpstr>中村花菜!アガリ数</vt:lpstr>
      <vt:lpstr>中村季暉!アガリ数</vt:lpstr>
      <vt:lpstr>長野柊馬!アガリ数</vt:lpstr>
      <vt:lpstr>田名網新!アガリ数</vt:lpstr>
      <vt:lpstr>渡部陵瑛!アガリ数</vt:lpstr>
      <vt:lpstr>唐澤聖矢!アガリ数</vt:lpstr>
      <vt:lpstr>湯本咲蔵!アガリ数</vt:lpstr>
      <vt:lpstr>百瀬成空!アガリ数</vt:lpstr>
      <vt:lpstr>福澤大地!アガリ数</vt:lpstr>
      <vt:lpstr>保谷一貴!アガリ数</vt:lpstr>
      <vt:lpstr>北沢蓮太郎!アガリ数</vt:lpstr>
      <vt:lpstr>木角有希!アガリ数</vt:lpstr>
      <vt:lpstr>矢ヶ崎健!アガリ数</vt:lpstr>
      <vt:lpstr>柳澤颯吾!アガリ数</vt:lpstr>
      <vt:lpstr>両角慧太!アガリ数</vt:lpstr>
      <vt:lpstr>髙橋桜!アガリ数</vt:lpstr>
      <vt:lpstr>アガリ数</vt:lpstr>
      <vt:lpstr>'Template (3)'!アガリ率</vt:lpstr>
      <vt:lpstr>阿部圭太朗!アガリ率</vt:lpstr>
      <vt:lpstr>伊藤仁城!アガリ率</vt:lpstr>
      <vt:lpstr>依田幸憲!アガリ率</vt:lpstr>
      <vt:lpstr>塩入悠!アガリ率</vt:lpstr>
      <vt:lpstr>巻島夢樹!アガリ率</vt:lpstr>
      <vt:lpstr>関谷洸佑!アガリ率</vt:lpstr>
      <vt:lpstr>吉澤諒!アガリ率</vt:lpstr>
      <vt:lpstr>宮澤七星!アガリ率</vt:lpstr>
      <vt:lpstr>高野源太!アガリ率</vt:lpstr>
      <vt:lpstr>佐藤成浩!アガリ率</vt:lpstr>
      <vt:lpstr>坂本羽弥斗!アガリ率</vt:lpstr>
      <vt:lpstr>山崎葵!アガリ率</vt:lpstr>
      <vt:lpstr>山本悠介!アガリ率</vt:lpstr>
      <vt:lpstr>市川大智!アガリ率</vt:lpstr>
      <vt:lpstr>所附快和!アガリ率</vt:lpstr>
      <vt:lpstr>小林郁斗!アガリ率</vt:lpstr>
      <vt:lpstr>松澤亮太!アガリ率</vt:lpstr>
      <vt:lpstr>清水常緑!アガリ率</vt:lpstr>
      <vt:lpstr>西沢武留!アガリ率</vt:lpstr>
      <vt:lpstr>石原凛人!アガリ率</vt:lpstr>
      <vt:lpstr>石澤巧望!アガリ率</vt:lpstr>
      <vt:lpstr>川上翔大!アガリ率</vt:lpstr>
      <vt:lpstr>全体!アガリ率</vt:lpstr>
      <vt:lpstr>多田洋輔!アガリ率</vt:lpstr>
      <vt:lpstr>大池陸斗!アガリ率</vt:lpstr>
      <vt:lpstr>滝沢悠人!アガリ率</vt:lpstr>
      <vt:lpstr>中川弘崇!アガリ率</vt:lpstr>
      <vt:lpstr>中村花菜!アガリ率</vt:lpstr>
      <vt:lpstr>中村季暉!アガリ率</vt:lpstr>
      <vt:lpstr>長野柊馬!アガリ率</vt:lpstr>
      <vt:lpstr>田名網新!アガリ率</vt:lpstr>
      <vt:lpstr>渡部陵瑛!アガリ率</vt:lpstr>
      <vt:lpstr>唐澤聖矢!アガリ率</vt:lpstr>
      <vt:lpstr>湯本咲蔵!アガリ率</vt:lpstr>
      <vt:lpstr>百瀬成空!アガリ率</vt:lpstr>
      <vt:lpstr>福澤大地!アガリ率</vt:lpstr>
      <vt:lpstr>保谷一貴!アガリ率</vt:lpstr>
      <vt:lpstr>北沢蓮太郎!アガリ率</vt:lpstr>
      <vt:lpstr>木角有希!アガリ率</vt:lpstr>
      <vt:lpstr>矢ヶ崎健!アガリ率</vt:lpstr>
      <vt:lpstr>柳澤颯吾!アガリ率</vt:lpstr>
      <vt:lpstr>両角慧太!アガリ率</vt:lpstr>
      <vt:lpstr>髙橋桜!アガリ率</vt:lpstr>
      <vt:lpstr>アガリ率</vt:lpstr>
      <vt:lpstr>'Template (3)'!ダマアガリ数</vt:lpstr>
      <vt:lpstr>阿部圭太朗!ダマアガリ数</vt:lpstr>
      <vt:lpstr>伊藤仁城!ダマアガリ数</vt:lpstr>
      <vt:lpstr>依田幸憲!ダマアガリ数</vt:lpstr>
      <vt:lpstr>塩入悠!ダマアガリ数</vt:lpstr>
      <vt:lpstr>巻島夢樹!ダマアガリ数</vt:lpstr>
      <vt:lpstr>関谷洸佑!ダマアガリ数</vt:lpstr>
      <vt:lpstr>吉澤諒!ダマアガリ数</vt:lpstr>
      <vt:lpstr>宮澤七星!ダマアガリ数</vt:lpstr>
      <vt:lpstr>高野源太!ダマアガリ数</vt:lpstr>
      <vt:lpstr>佐藤成浩!ダマアガリ数</vt:lpstr>
      <vt:lpstr>坂本羽弥斗!ダマアガリ数</vt:lpstr>
      <vt:lpstr>山崎葵!ダマアガリ数</vt:lpstr>
      <vt:lpstr>山本悠介!ダマアガリ数</vt:lpstr>
      <vt:lpstr>市川大智!ダマアガリ数</vt:lpstr>
      <vt:lpstr>所附快和!ダマアガリ数</vt:lpstr>
      <vt:lpstr>小林郁斗!ダマアガリ数</vt:lpstr>
      <vt:lpstr>松澤亮太!ダマアガリ数</vt:lpstr>
      <vt:lpstr>清水常緑!ダマアガリ数</vt:lpstr>
      <vt:lpstr>西沢武留!ダマアガリ数</vt:lpstr>
      <vt:lpstr>石原凛人!ダマアガリ数</vt:lpstr>
      <vt:lpstr>石澤巧望!ダマアガリ数</vt:lpstr>
      <vt:lpstr>川上翔大!ダマアガリ数</vt:lpstr>
      <vt:lpstr>全体!ダマアガリ数</vt:lpstr>
      <vt:lpstr>多田洋輔!ダマアガリ数</vt:lpstr>
      <vt:lpstr>大池陸斗!ダマアガリ数</vt:lpstr>
      <vt:lpstr>滝沢悠人!ダマアガリ数</vt:lpstr>
      <vt:lpstr>中川弘崇!ダマアガリ数</vt:lpstr>
      <vt:lpstr>中村花菜!ダマアガリ数</vt:lpstr>
      <vt:lpstr>中村季暉!ダマアガリ数</vt:lpstr>
      <vt:lpstr>長野柊馬!ダマアガリ数</vt:lpstr>
      <vt:lpstr>田名網新!ダマアガリ数</vt:lpstr>
      <vt:lpstr>渡部陵瑛!ダマアガリ数</vt:lpstr>
      <vt:lpstr>唐澤聖矢!ダマアガリ数</vt:lpstr>
      <vt:lpstr>湯本咲蔵!ダマアガリ数</vt:lpstr>
      <vt:lpstr>百瀬成空!ダマアガリ数</vt:lpstr>
      <vt:lpstr>福澤大地!ダマアガリ数</vt:lpstr>
      <vt:lpstr>保谷一貴!ダマアガリ数</vt:lpstr>
      <vt:lpstr>北沢蓮太郎!ダマアガリ数</vt:lpstr>
      <vt:lpstr>木角有希!ダマアガリ数</vt:lpstr>
      <vt:lpstr>矢ヶ崎健!ダマアガリ数</vt:lpstr>
      <vt:lpstr>柳澤颯吾!ダマアガリ数</vt:lpstr>
      <vt:lpstr>両角慧太!ダマアガリ数</vt:lpstr>
      <vt:lpstr>髙橋桜!ダマアガリ数</vt:lpstr>
      <vt:lpstr>ダマアガリ数</vt:lpstr>
      <vt:lpstr>'Template (3)'!ダマアガリ率</vt:lpstr>
      <vt:lpstr>阿部圭太朗!ダマアガリ率</vt:lpstr>
      <vt:lpstr>伊藤仁城!ダマアガリ率</vt:lpstr>
      <vt:lpstr>依田幸憲!ダマアガリ率</vt:lpstr>
      <vt:lpstr>塩入悠!ダマアガリ率</vt:lpstr>
      <vt:lpstr>巻島夢樹!ダマアガリ率</vt:lpstr>
      <vt:lpstr>関谷洸佑!ダマアガリ率</vt:lpstr>
      <vt:lpstr>吉澤諒!ダマアガリ率</vt:lpstr>
      <vt:lpstr>宮澤七星!ダマアガリ率</vt:lpstr>
      <vt:lpstr>高野源太!ダマアガリ率</vt:lpstr>
      <vt:lpstr>佐藤成浩!ダマアガリ率</vt:lpstr>
      <vt:lpstr>坂本羽弥斗!ダマアガリ率</vt:lpstr>
      <vt:lpstr>山崎葵!ダマアガリ率</vt:lpstr>
      <vt:lpstr>山本悠介!ダマアガリ率</vt:lpstr>
      <vt:lpstr>市川大智!ダマアガリ率</vt:lpstr>
      <vt:lpstr>所附快和!ダマアガリ率</vt:lpstr>
      <vt:lpstr>小林郁斗!ダマアガリ率</vt:lpstr>
      <vt:lpstr>松澤亮太!ダマアガリ率</vt:lpstr>
      <vt:lpstr>清水常緑!ダマアガリ率</vt:lpstr>
      <vt:lpstr>西沢武留!ダマアガリ率</vt:lpstr>
      <vt:lpstr>石原凛人!ダマアガリ率</vt:lpstr>
      <vt:lpstr>石澤巧望!ダマアガリ率</vt:lpstr>
      <vt:lpstr>川上翔大!ダマアガリ率</vt:lpstr>
      <vt:lpstr>全体!ダマアガリ率</vt:lpstr>
      <vt:lpstr>多田洋輔!ダマアガリ率</vt:lpstr>
      <vt:lpstr>大池陸斗!ダマアガリ率</vt:lpstr>
      <vt:lpstr>滝沢悠人!ダマアガリ率</vt:lpstr>
      <vt:lpstr>中川弘崇!ダマアガリ率</vt:lpstr>
      <vt:lpstr>中村花菜!ダマアガリ率</vt:lpstr>
      <vt:lpstr>中村季暉!ダマアガリ率</vt:lpstr>
      <vt:lpstr>長野柊馬!ダマアガリ率</vt:lpstr>
      <vt:lpstr>田名網新!ダマアガリ率</vt:lpstr>
      <vt:lpstr>渡部陵瑛!ダマアガリ率</vt:lpstr>
      <vt:lpstr>唐澤聖矢!ダマアガリ率</vt:lpstr>
      <vt:lpstr>湯本咲蔵!ダマアガリ率</vt:lpstr>
      <vt:lpstr>百瀬成空!ダマアガリ率</vt:lpstr>
      <vt:lpstr>福澤大地!ダマアガリ率</vt:lpstr>
      <vt:lpstr>保谷一貴!ダマアガリ率</vt:lpstr>
      <vt:lpstr>北沢蓮太郎!ダマアガリ率</vt:lpstr>
      <vt:lpstr>木角有希!ダマアガリ率</vt:lpstr>
      <vt:lpstr>矢ヶ崎健!ダマアガリ率</vt:lpstr>
      <vt:lpstr>柳澤颯吾!ダマアガリ率</vt:lpstr>
      <vt:lpstr>両角慧太!ダマアガリ率</vt:lpstr>
      <vt:lpstr>髙橋桜!ダマアガリ率</vt:lpstr>
      <vt:lpstr>ダマアガリ率</vt:lpstr>
      <vt:lpstr>'Template (3)'!チョンボ数</vt:lpstr>
      <vt:lpstr>阿部圭太朗!チョンボ数</vt:lpstr>
      <vt:lpstr>伊藤仁城!チョンボ数</vt:lpstr>
      <vt:lpstr>依田幸憲!チョンボ数</vt:lpstr>
      <vt:lpstr>塩入悠!チョンボ数</vt:lpstr>
      <vt:lpstr>巻島夢樹!チョンボ数</vt:lpstr>
      <vt:lpstr>関谷洸佑!チョンボ数</vt:lpstr>
      <vt:lpstr>吉澤諒!チョンボ数</vt:lpstr>
      <vt:lpstr>宮澤七星!チョンボ数</vt:lpstr>
      <vt:lpstr>高野源太!チョンボ数</vt:lpstr>
      <vt:lpstr>佐藤成浩!チョンボ数</vt:lpstr>
      <vt:lpstr>坂本羽弥斗!チョンボ数</vt:lpstr>
      <vt:lpstr>山崎葵!チョンボ数</vt:lpstr>
      <vt:lpstr>山本悠介!チョンボ数</vt:lpstr>
      <vt:lpstr>市川大智!チョンボ数</vt:lpstr>
      <vt:lpstr>所附快和!チョンボ数</vt:lpstr>
      <vt:lpstr>小林郁斗!チョンボ数</vt:lpstr>
      <vt:lpstr>松澤亮太!チョンボ数</vt:lpstr>
      <vt:lpstr>清水常緑!チョンボ数</vt:lpstr>
      <vt:lpstr>西沢武留!チョンボ数</vt:lpstr>
      <vt:lpstr>石原凛人!チョンボ数</vt:lpstr>
      <vt:lpstr>石澤巧望!チョンボ数</vt:lpstr>
      <vt:lpstr>川上翔大!チョンボ数</vt:lpstr>
      <vt:lpstr>全体!チョンボ数</vt:lpstr>
      <vt:lpstr>多田洋輔!チョンボ数</vt:lpstr>
      <vt:lpstr>大池陸斗!チョンボ数</vt:lpstr>
      <vt:lpstr>滝沢悠人!チョンボ数</vt:lpstr>
      <vt:lpstr>中川弘崇!チョンボ数</vt:lpstr>
      <vt:lpstr>中村花菜!チョンボ数</vt:lpstr>
      <vt:lpstr>中村季暉!チョンボ数</vt:lpstr>
      <vt:lpstr>長野柊馬!チョンボ数</vt:lpstr>
      <vt:lpstr>田名網新!チョンボ数</vt:lpstr>
      <vt:lpstr>渡部陵瑛!チョンボ数</vt:lpstr>
      <vt:lpstr>唐澤聖矢!チョンボ数</vt:lpstr>
      <vt:lpstr>湯本咲蔵!チョンボ数</vt:lpstr>
      <vt:lpstr>百瀬成空!チョンボ数</vt:lpstr>
      <vt:lpstr>福澤大地!チョンボ数</vt:lpstr>
      <vt:lpstr>保谷一貴!チョンボ数</vt:lpstr>
      <vt:lpstr>北沢蓮太郎!チョンボ数</vt:lpstr>
      <vt:lpstr>木角有希!チョンボ数</vt:lpstr>
      <vt:lpstr>矢ヶ崎健!チョンボ数</vt:lpstr>
      <vt:lpstr>柳澤颯吾!チョンボ数</vt:lpstr>
      <vt:lpstr>両角慧太!チョンボ数</vt:lpstr>
      <vt:lpstr>髙橋桜!チョンボ数</vt:lpstr>
      <vt:lpstr>チョンボ数</vt:lpstr>
      <vt:lpstr>'Template (3)'!チョンボ率</vt:lpstr>
      <vt:lpstr>阿部圭太朗!チョンボ率</vt:lpstr>
      <vt:lpstr>伊藤仁城!チョンボ率</vt:lpstr>
      <vt:lpstr>依田幸憲!チョンボ率</vt:lpstr>
      <vt:lpstr>塩入悠!チョンボ率</vt:lpstr>
      <vt:lpstr>巻島夢樹!チョンボ率</vt:lpstr>
      <vt:lpstr>関谷洸佑!チョンボ率</vt:lpstr>
      <vt:lpstr>吉澤諒!チョンボ率</vt:lpstr>
      <vt:lpstr>宮澤七星!チョンボ率</vt:lpstr>
      <vt:lpstr>高野源太!チョンボ率</vt:lpstr>
      <vt:lpstr>佐藤成浩!チョンボ率</vt:lpstr>
      <vt:lpstr>坂本羽弥斗!チョンボ率</vt:lpstr>
      <vt:lpstr>山崎葵!チョンボ率</vt:lpstr>
      <vt:lpstr>山本悠介!チョンボ率</vt:lpstr>
      <vt:lpstr>市川大智!チョンボ率</vt:lpstr>
      <vt:lpstr>所附快和!チョンボ率</vt:lpstr>
      <vt:lpstr>小林郁斗!チョンボ率</vt:lpstr>
      <vt:lpstr>松澤亮太!チョンボ率</vt:lpstr>
      <vt:lpstr>清水常緑!チョンボ率</vt:lpstr>
      <vt:lpstr>西沢武留!チョンボ率</vt:lpstr>
      <vt:lpstr>石原凛人!チョンボ率</vt:lpstr>
      <vt:lpstr>石澤巧望!チョンボ率</vt:lpstr>
      <vt:lpstr>川上翔大!チョンボ率</vt:lpstr>
      <vt:lpstr>全体!チョンボ率</vt:lpstr>
      <vt:lpstr>多田洋輔!チョンボ率</vt:lpstr>
      <vt:lpstr>大池陸斗!チョンボ率</vt:lpstr>
      <vt:lpstr>滝沢悠人!チョンボ率</vt:lpstr>
      <vt:lpstr>中川弘崇!チョンボ率</vt:lpstr>
      <vt:lpstr>中村花菜!チョンボ率</vt:lpstr>
      <vt:lpstr>中村季暉!チョンボ率</vt:lpstr>
      <vt:lpstr>長野柊馬!チョンボ率</vt:lpstr>
      <vt:lpstr>田名網新!チョンボ率</vt:lpstr>
      <vt:lpstr>渡部陵瑛!チョンボ率</vt:lpstr>
      <vt:lpstr>唐澤聖矢!チョンボ率</vt:lpstr>
      <vt:lpstr>湯本咲蔵!チョンボ率</vt:lpstr>
      <vt:lpstr>百瀬成空!チョンボ率</vt:lpstr>
      <vt:lpstr>福澤大地!チョンボ率</vt:lpstr>
      <vt:lpstr>保谷一貴!チョンボ率</vt:lpstr>
      <vt:lpstr>北沢蓮太郎!チョンボ率</vt:lpstr>
      <vt:lpstr>木角有希!チョンボ率</vt:lpstr>
      <vt:lpstr>矢ヶ崎健!チョンボ率</vt:lpstr>
      <vt:lpstr>柳澤颯吾!チョンボ率</vt:lpstr>
      <vt:lpstr>両角慧太!チョンボ率</vt:lpstr>
      <vt:lpstr>髙橋桜!チョンボ率</vt:lpstr>
      <vt:lpstr>チョンボ率</vt:lpstr>
      <vt:lpstr>'Template (3)'!ツモ数</vt:lpstr>
      <vt:lpstr>阿部圭太朗!ツモ数</vt:lpstr>
      <vt:lpstr>伊藤仁城!ツモ数</vt:lpstr>
      <vt:lpstr>依田幸憲!ツモ数</vt:lpstr>
      <vt:lpstr>塩入悠!ツモ数</vt:lpstr>
      <vt:lpstr>巻島夢樹!ツモ数</vt:lpstr>
      <vt:lpstr>関谷洸佑!ツモ数</vt:lpstr>
      <vt:lpstr>吉澤諒!ツモ数</vt:lpstr>
      <vt:lpstr>宮澤七星!ツモ数</vt:lpstr>
      <vt:lpstr>高野源太!ツモ数</vt:lpstr>
      <vt:lpstr>佐藤成浩!ツモ数</vt:lpstr>
      <vt:lpstr>坂本羽弥斗!ツモ数</vt:lpstr>
      <vt:lpstr>山崎葵!ツモ数</vt:lpstr>
      <vt:lpstr>山本悠介!ツモ数</vt:lpstr>
      <vt:lpstr>市川大智!ツモ数</vt:lpstr>
      <vt:lpstr>所附快和!ツモ数</vt:lpstr>
      <vt:lpstr>小林郁斗!ツモ数</vt:lpstr>
      <vt:lpstr>松澤亮太!ツモ数</vt:lpstr>
      <vt:lpstr>清水常緑!ツモ数</vt:lpstr>
      <vt:lpstr>西沢武留!ツモ数</vt:lpstr>
      <vt:lpstr>石原凛人!ツモ数</vt:lpstr>
      <vt:lpstr>石澤巧望!ツモ数</vt:lpstr>
      <vt:lpstr>川上翔大!ツモ数</vt:lpstr>
      <vt:lpstr>全体!ツモ数</vt:lpstr>
      <vt:lpstr>多田洋輔!ツモ数</vt:lpstr>
      <vt:lpstr>大池陸斗!ツモ数</vt:lpstr>
      <vt:lpstr>滝沢悠人!ツモ数</vt:lpstr>
      <vt:lpstr>中川弘崇!ツモ数</vt:lpstr>
      <vt:lpstr>中村花菜!ツモ数</vt:lpstr>
      <vt:lpstr>中村季暉!ツモ数</vt:lpstr>
      <vt:lpstr>長野柊馬!ツモ数</vt:lpstr>
      <vt:lpstr>田名網新!ツモ数</vt:lpstr>
      <vt:lpstr>渡部陵瑛!ツモ数</vt:lpstr>
      <vt:lpstr>唐澤聖矢!ツモ数</vt:lpstr>
      <vt:lpstr>湯本咲蔵!ツモ数</vt:lpstr>
      <vt:lpstr>百瀬成空!ツモ数</vt:lpstr>
      <vt:lpstr>福澤大地!ツモ数</vt:lpstr>
      <vt:lpstr>保谷一貴!ツモ数</vt:lpstr>
      <vt:lpstr>北沢蓮太郎!ツモ数</vt:lpstr>
      <vt:lpstr>木角有希!ツモ数</vt:lpstr>
      <vt:lpstr>矢ヶ崎健!ツモ数</vt:lpstr>
      <vt:lpstr>柳澤颯吾!ツモ数</vt:lpstr>
      <vt:lpstr>両角慧太!ツモ数</vt:lpstr>
      <vt:lpstr>髙橋桜!ツモ数</vt:lpstr>
      <vt:lpstr>ツモ数</vt:lpstr>
      <vt:lpstr>'Template (3)'!ツモ率</vt:lpstr>
      <vt:lpstr>阿部圭太朗!ツモ率</vt:lpstr>
      <vt:lpstr>伊藤仁城!ツモ率</vt:lpstr>
      <vt:lpstr>依田幸憲!ツモ率</vt:lpstr>
      <vt:lpstr>塩入悠!ツモ率</vt:lpstr>
      <vt:lpstr>巻島夢樹!ツモ率</vt:lpstr>
      <vt:lpstr>関谷洸佑!ツモ率</vt:lpstr>
      <vt:lpstr>吉澤諒!ツモ率</vt:lpstr>
      <vt:lpstr>宮澤七星!ツモ率</vt:lpstr>
      <vt:lpstr>高野源太!ツモ率</vt:lpstr>
      <vt:lpstr>佐藤成浩!ツモ率</vt:lpstr>
      <vt:lpstr>坂本羽弥斗!ツモ率</vt:lpstr>
      <vt:lpstr>山崎葵!ツモ率</vt:lpstr>
      <vt:lpstr>山本悠介!ツモ率</vt:lpstr>
      <vt:lpstr>市川大智!ツモ率</vt:lpstr>
      <vt:lpstr>所附快和!ツモ率</vt:lpstr>
      <vt:lpstr>小林郁斗!ツモ率</vt:lpstr>
      <vt:lpstr>松澤亮太!ツモ率</vt:lpstr>
      <vt:lpstr>清水常緑!ツモ率</vt:lpstr>
      <vt:lpstr>西沢武留!ツモ率</vt:lpstr>
      <vt:lpstr>石原凛人!ツモ率</vt:lpstr>
      <vt:lpstr>石澤巧望!ツモ率</vt:lpstr>
      <vt:lpstr>川上翔大!ツモ率</vt:lpstr>
      <vt:lpstr>全体!ツモ率</vt:lpstr>
      <vt:lpstr>多田洋輔!ツモ率</vt:lpstr>
      <vt:lpstr>大池陸斗!ツモ率</vt:lpstr>
      <vt:lpstr>滝沢悠人!ツモ率</vt:lpstr>
      <vt:lpstr>中川弘崇!ツモ率</vt:lpstr>
      <vt:lpstr>中村花菜!ツモ率</vt:lpstr>
      <vt:lpstr>中村季暉!ツモ率</vt:lpstr>
      <vt:lpstr>長野柊馬!ツモ率</vt:lpstr>
      <vt:lpstr>田名網新!ツモ率</vt:lpstr>
      <vt:lpstr>渡部陵瑛!ツモ率</vt:lpstr>
      <vt:lpstr>唐澤聖矢!ツモ率</vt:lpstr>
      <vt:lpstr>湯本咲蔵!ツモ率</vt:lpstr>
      <vt:lpstr>百瀬成空!ツモ率</vt:lpstr>
      <vt:lpstr>福澤大地!ツモ率</vt:lpstr>
      <vt:lpstr>保谷一貴!ツモ率</vt:lpstr>
      <vt:lpstr>北沢蓮太郎!ツモ率</vt:lpstr>
      <vt:lpstr>木角有希!ツモ率</vt:lpstr>
      <vt:lpstr>矢ヶ崎健!ツモ率</vt:lpstr>
      <vt:lpstr>柳澤颯吾!ツモ率</vt:lpstr>
      <vt:lpstr>両角慧太!ツモ率</vt:lpstr>
      <vt:lpstr>髙橋桜!ツモ率</vt:lpstr>
      <vt:lpstr>ツモ率</vt:lpstr>
      <vt:lpstr>'Template (3)'!トップ数</vt:lpstr>
      <vt:lpstr>阿部圭太朗!トップ数</vt:lpstr>
      <vt:lpstr>伊藤仁城!トップ数</vt:lpstr>
      <vt:lpstr>依田幸憲!トップ数</vt:lpstr>
      <vt:lpstr>塩入悠!トップ数</vt:lpstr>
      <vt:lpstr>巻島夢樹!トップ数</vt:lpstr>
      <vt:lpstr>関谷洸佑!トップ数</vt:lpstr>
      <vt:lpstr>吉澤諒!トップ数</vt:lpstr>
      <vt:lpstr>宮澤七星!トップ数</vt:lpstr>
      <vt:lpstr>高野源太!トップ数</vt:lpstr>
      <vt:lpstr>佐藤成浩!トップ数</vt:lpstr>
      <vt:lpstr>坂本羽弥斗!トップ数</vt:lpstr>
      <vt:lpstr>山崎葵!トップ数</vt:lpstr>
      <vt:lpstr>山本悠介!トップ数</vt:lpstr>
      <vt:lpstr>市川大智!トップ数</vt:lpstr>
      <vt:lpstr>所附快和!トップ数</vt:lpstr>
      <vt:lpstr>小林郁斗!トップ数</vt:lpstr>
      <vt:lpstr>松澤亮太!トップ数</vt:lpstr>
      <vt:lpstr>清水常緑!トップ数</vt:lpstr>
      <vt:lpstr>西沢武留!トップ数</vt:lpstr>
      <vt:lpstr>石原凛人!トップ数</vt:lpstr>
      <vt:lpstr>石澤巧望!トップ数</vt:lpstr>
      <vt:lpstr>川上翔大!トップ数</vt:lpstr>
      <vt:lpstr>全体!トップ数</vt:lpstr>
      <vt:lpstr>多田洋輔!トップ数</vt:lpstr>
      <vt:lpstr>大池陸斗!トップ数</vt:lpstr>
      <vt:lpstr>滝沢悠人!トップ数</vt:lpstr>
      <vt:lpstr>中川弘崇!トップ数</vt:lpstr>
      <vt:lpstr>中村花菜!トップ数</vt:lpstr>
      <vt:lpstr>中村季暉!トップ数</vt:lpstr>
      <vt:lpstr>長野柊馬!トップ数</vt:lpstr>
      <vt:lpstr>田名網新!トップ数</vt:lpstr>
      <vt:lpstr>渡部陵瑛!トップ数</vt:lpstr>
      <vt:lpstr>唐澤聖矢!トップ数</vt:lpstr>
      <vt:lpstr>湯本咲蔵!トップ数</vt:lpstr>
      <vt:lpstr>百瀬成空!トップ数</vt:lpstr>
      <vt:lpstr>福澤大地!トップ数</vt:lpstr>
      <vt:lpstr>保谷一貴!トップ数</vt:lpstr>
      <vt:lpstr>北沢蓮太郎!トップ数</vt:lpstr>
      <vt:lpstr>木角有希!トップ数</vt:lpstr>
      <vt:lpstr>矢ヶ崎健!トップ数</vt:lpstr>
      <vt:lpstr>柳澤颯吾!トップ数</vt:lpstr>
      <vt:lpstr>両角慧太!トップ数</vt:lpstr>
      <vt:lpstr>髙橋桜!トップ数</vt:lpstr>
      <vt:lpstr>トップ数</vt:lpstr>
      <vt:lpstr>'Template (3)'!トップ率</vt:lpstr>
      <vt:lpstr>阿部圭太朗!トップ率</vt:lpstr>
      <vt:lpstr>伊藤仁城!トップ率</vt:lpstr>
      <vt:lpstr>依田幸憲!トップ率</vt:lpstr>
      <vt:lpstr>塩入悠!トップ率</vt:lpstr>
      <vt:lpstr>巻島夢樹!トップ率</vt:lpstr>
      <vt:lpstr>関谷洸佑!トップ率</vt:lpstr>
      <vt:lpstr>吉澤諒!トップ率</vt:lpstr>
      <vt:lpstr>宮澤七星!トップ率</vt:lpstr>
      <vt:lpstr>高野源太!トップ率</vt:lpstr>
      <vt:lpstr>佐藤成浩!トップ率</vt:lpstr>
      <vt:lpstr>坂本羽弥斗!トップ率</vt:lpstr>
      <vt:lpstr>山崎葵!トップ率</vt:lpstr>
      <vt:lpstr>山本悠介!トップ率</vt:lpstr>
      <vt:lpstr>市川大智!トップ率</vt:lpstr>
      <vt:lpstr>所附快和!トップ率</vt:lpstr>
      <vt:lpstr>小林郁斗!トップ率</vt:lpstr>
      <vt:lpstr>松澤亮太!トップ率</vt:lpstr>
      <vt:lpstr>清水常緑!トップ率</vt:lpstr>
      <vt:lpstr>西沢武留!トップ率</vt:lpstr>
      <vt:lpstr>石原凛人!トップ率</vt:lpstr>
      <vt:lpstr>石澤巧望!トップ率</vt:lpstr>
      <vt:lpstr>川上翔大!トップ率</vt:lpstr>
      <vt:lpstr>全体!トップ率</vt:lpstr>
      <vt:lpstr>多田洋輔!トップ率</vt:lpstr>
      <vt:lpstr>大池陸斗!トップ率</vt:lpstr>
      <vt:lpstr>滝沢悠人!トップ率</vt:lpstr>
      <vt:lpstr>中川弘崇!トップ率</vt:lpstr>
      <vt:lpstr>中村花菜!トップ率</vt:lpstr>
      <vt:lpstr>中村季暉!トップ率</vt:lpstr>
      <vt:lpstr>長野柊馬!トップ率</vt:lpstr>
      <vt:lpstr>田名網新!トップ率</vt:lpstr>
      <vt:lpstr>渡部陵瑛!トップ率</vt:lpstr>
      <vt:lpstr>唐澤聖矢!トップ率</vt:lpstr>
      <vt:lpstr>湯本咲蔵!トップ率</vt:lpstr>
      <vt:lpstr>百瀬成空!トップ率</vt:lpstr>
      <vt:lpstr>福澤大地!トップ率</vt:lpstr>
      <vt:lpstr>保谷一貴!トップ率</vt:lpstr>
      <vt:lpstr>北沢蓮太郎!トップ率</vt:lpstr>
      <vt:lpstr>木角有希!トップ率</vt:lpstr>
      <vt:lpstr>矢ヶ崎健!トップ率</vt:lpstr>
      <vt:lpstr>柳澤颯吾!トップ率</vt:lpstr>
      <vt:lpstr>両角慧太!トップ率</vt:lpstr>
      <vt:lpstr>髙橋桜!トップ率</vt:lpstr>
      <vt:lpstr>トップ率</vt:lpstr>
      <vt:lpstr>'Template (3)'!ふっとび数</vt:lpstr>
      <vt:lpstr>阿部圭太朗!ふっとび数</vt:lpstr>
      <vt:lpstr>伊藤仁城!ふっとび数</vt:lpstr>
      <vt:lpstr>依田幸憲!ふっとび数</vt:lpstr>
      <vt:lpstr>塩入悠!ふっとび数</vt:lpstr>
      <vt:lpstr>巻島夢樹!ふっとび数</vt:lpstr>
      <vt:lpstr>関谷洸佑!ふっとび数</vt:lpstr>
      <vt:lpstr>吉澤諒!ふっとび数</vt:lpstr>
      <vt:lpstr>宮澤七星!ふっとび数</vt:lpstr>
      <vt:lpstr>高野源太!ふっとび数</vt:lpstr>
      <vt:lpstr>佐藤成浩!ふっとび数</vt:lpstr>
      <vt:lpstr>坂本羽弥斗!ふっとび数</vt:lpstr>
      <vt:lpstr>山崎葵!ふっとび数</vt:lpstr>
      <vt:lpstr>山本悠介!ふっとび数</vt:lpstr>
      <vt:lpstr>市川大智!ふっとび数</vt:lpstr>
      <vt:lpstr>所附快和!ふっとび数</vt:lpstr>
      <vt:lpstr>小林郁斗!ふっとび数</vt:lpstr>
      <vt:lpstr>松澤亮太!ふっとび数</vt:lpstr>
      <vt:lpstr>清水常緑!ふっとび数</vt:lpstr>
      <vt:lpstr>西沢武留!ふっとび数</vt:lpstr>
      <vt:lpstr>石原凛人!ふっとび数</vt:lpstr>
      <vt:lpstr>石澤巧望!ふっとび数</vt:lpstr>
      <vt:lpstr>川上翔大!ふっとび数</vt:lpstr>
      <vt:lpstr>全体!ふっとび数</vt:lpstr>
      <vt:lpstr>多田洋輔!ふっとび数</vt:lpstr>
      <vt:lpstr>大池陸斗!ふっとび数</vt:lpstr>
      <vt:lpstr>滝沢悠人!ふっとび数</vt:lpstr>
      <vt:lpstr>中川弘崇!ふっとび数</vt:lpstr>
      <vt:lpstr>中村花菜!ふっとび数</vt:lpstr>
      <vt:lpstr>中村季暉!ふっとび数</vt:lpstr>
      <vt:lpstr>長野柊馬!ふっとび数</vt:lpstr>
      <vt:lpstr>田名網新!ふっとび数</vt:lpstr>
      <vt:lpstr>渡部陵瑛!ふっとび数</vt:lpstr>
      <vt:lpstr>唐澤聖矢!ふっとび数</vt:lpstr>
      <vt:lpstr>湯本咲蔵!ふっとび数</vt:lpstr>
      <vt:lpstr>百瀬成空!ふっとび数</vt:lpstr>
      <vt:lpstr>福澤大地!ふっとび数</vt:lpstr>
      <vt:lpstr>保谷一貴!ふっとび数</vt:lpstr>
      <vt:lpstr>北沢蓮太郎!ふっとび数</vt:lpstr>
      <vt:lpstr>木角有希!ふっとび数</vt:lpstr>
      <vt:lpstr>矢ヶ崎健!ふっとび数</vt:lpstr>
      <vt:lpstr>柳澤颯吾!ふっとび数</vt:lpstr>
      <vt:lpstr>両角慧太!ふっとび数</vt:lpstr>
      <vt:lpstr>髙橋桜!ふっとび数</vt:lpstr>
      <vt:lpstr>ふっとび数</vt:lpstr>
      <vt:lpstr>'Template (3)'!ふっとび率</vt:lpstr>
      <vt:lpstr>阿部圭太朗!ふっとび率</vt:lpstr>
      <vt:lpstr>伊藤仁城!ふっとび率</vt:lpstr>
      <vt:lpstr>依田幸憲!ふっとび率</vt:lpstr>
      <vt:lpstr>塩入悠!ふっとび率</vt:lpstr>
      <vt:lpstr>巻島夢樹!ふっとび率</vt:lpstr>
      <vt:lpstr>関谷洸佑!ふっとび率</vt:lpstr>
      <vt:lpstr>吉澤諒!ふっとび率</vt:lpstr>
      <vt:lpstr>宮澤七星!ふっとび率</vt:lpstr>
      <vt:lpstr>高野源太!ふっとび率</vt:lpstr>
      <vt:lpstr>佐藤成浩!ふっとび率</vt:lpstr>
      <vt:lpstr>坂本羽弥斗!ふっとび率</vt:lpstr>
      <vt:lpstr>山崎葵!ふっとび率</vt:lpstr>
      <vt:lpstr>山本悠介!ふっとび率</vt:lpstr>
      <vt:lpstr>市川大智!ふっとび率</vt:lpstr>
      <vt:lpstr>所附快和!ふっとび率</vt:lpstr>
      <vt:lpstr>小林郁斗!ふっとび率</vt:lpstr>
      <vt:lpstr>松澤亮太!ふっとび率</vt:lpstr>
      <vt:lpstr>清水常緑!ふっとび率</vt:lpstr>
      <vt:lpstr>西沢武留!ふっとび率</vt:lpstr>
      <vt:lpstr>石原凛人!ふっとび率</vt:lpstr>
      <vt:lpstr>石澤巧望!ふっとび率</vt:lpstr>
      <vt:lpstr>川上翔大!ふっとび率</vt:lpstr>
      <vt:lpstr>全体!ふっとび率</vt:lpstr>
      <vt:lpstr>多田洋輔!ふっとび率</vt:lpstr>
      <vt:lpstr>大池陸斗!ふっとび率</vt:lpstr>
      <vt:lpstr>滝沢悠人!ふっとび率</vt:lpstr>
      <vt:lpstr>中川弘崇!ふっとび率</vt:lpstr>
      <vt:lpstr>中村花菜!ふっとび率</vt:lpstr>
      <vt:lpstr>中村季暉!ふっとび率</vt:lpstr>
      <vt:lpstr>長野柊馬!ふっとび率</vt:lpstr>
      <vt:lpstr>田名網新!ふっとび率</vt:lpstr>
      <vt:lpstr>渡部陵瑛!ふっとび率</vt:lpstr>
      <vt:lpstr>唐澤聖矢!ふっとび率</vt:lpstr>
      <vt:lpstr>湯本咲蔵!ふっとび率</vt:lpstr>
      <vt:lpstr>百瀬成空!ふっとび率</vt:lpstr>
      <vt:lpstr>福澤大地!ふっとび率</vt:lpstr>
      <vt:lpstr>保谷一貴!ふっとび率</vt:lpstr>
      <vt:lpstr>北沢蓮太郎!ふっとび率</vt:lpstr>
      <vt:lpstr>木角有希!ふっとび率</vt:lpstr>
      <vt:lpstr>矢ヶ崎健!ふっとび率</vt:lpstr>
      <vt:lpstr>柳澤颯吾!ふっとび率</vt:lpstr>
      <vt:lpstr>両角慧太!ふっとび率</vt:lpstr>
      <vt:lpstr>髙橋桜!ふっとび率</vt:lpstr>
      <vt:lpstr>ふっとび率</vt:lpstr>
      <vt:lpstr>'Template (3)'!ラス数</vt:lpstr>
      <vt:lpstr>阿部圭太朗!ラス数</vt:lpstr>
      <vt:lpstr>伊藤仁城!ラス数</vt:lpstr>
      <vt:lpstr>依田幸憲!ラス数</vt:lpstr>
      <vt:lpstr>塩入悠!ラス数</vt:lpstr>
      <vt:lpstr>巻島夢樹!ラス数</vt:lpstr>
      <vt:lpstr>関谷洸佑!ラス数</vt:lpstr>
      <vt:lpstr>吉澤諒!ラス数</vt:lpstr>
      <vt:lpstr>宮澤七星!ラス数</vt:lpstr>
      <vt:lpstr>高野源太!ラス数</vt:lpstr>
      <vt:lpstr>佐藤成浩!ラス数</vt:lpstr>
      <vt:lpstr>坂本羽弥斗!ラス数</vt:lpstr>
      <vt:lpstr>山崎葵!ラス数</vt:lpstr>
      <vt:lpstr>山本悠介!ラス数</vt:lpstr>
      <vt:lpstr>市川大智!ラス数</vt:lpstr>
      <vt:lpstr>所附快和!ラス数</vt:lpstr>
      <vt:lpstr>小林郁斗!ラス数</vt:lpstr>
      <vt:lpstr>松澤亮太!ラス数</vt:lpstr>
      <vt:lpstr>清水常緑!ラス数</vt:lpstr>
      <vt:lpstr>西沢武留!ラス数</vt:lpstr>
      <vt:lpstr>石原凛人!ラス数</vt:lpstr>
      <vt:lpstr>石澤巧望!ラス数</vt:lpstr>
      <vt:lpstr>川上翔大!ラス数</vt:lpstr>
      <vt:lpstr>全体!ラス数</vt:lpstr>
      <vt:lpstr>多田洋輔!ラス数</vt:lpstr>
      <vt:lpstr>大池陸斗!ラス数</vt:lpstr>
      <vt:lpstr>滝沢悠人!ラス数</vt:lpstr>
      <vt:lpstr>中川弘崇!ラス数</vt:lpstr>
      <vt:lpstr>中村花菜!ラス数</vt:lpstr>
      <vt:lpstr>中村季暉!ラス数</vt:lpstr>
      <vt:lpstr>長野柊馬!ラス数</vt:lpstr>
      <vt:lpstr>田名網新!ラス数</vt:lpstr>
      <vt:lpstr>渡部陵瑛!ラス数</vt:lpstr>
      <vt:lpstr>唐澤聖矢!ラス数</vt:lpstr>
      <vt:lpstr>湯本咲蔵!ラス数</vt:lpstr>
      <vt:lpstr>百瀬成空!ラス数</vt:lpstr>
      <vt:lpstr>福澤大地!ラス数</vt:lpstr>
      <vt:lpstr>保谷一貴!ラス数</vt:lpstr>
      <vt:lpstr>北沢蓮太郎!ラス数</vt:lpstr>
      <vt:lpstr>木角有希!ラス数</vt:lpstr>
      <vt:lpstr>矢ヶ崎健!ラス数</vt:lpstr>
      <vt:lpstr>柳澤颯吾!ラス数</vt:lpstr>
      <vt:lpstr>両角慧太!ラス数</vt:lpstr>
      <vt:lpstr>髙橋桜!ラス数</vt:lpstr>
      <vt:lpstr>ラス数</vt:lpstr>
      <vt:lpstr>'Template (3)'!ラス率</vt:lpstr>
      <vt:lpstr>阿部圭太朗!ラス率</vt:lpstr>
      <vt:lpstr>伊藤仁城!ラス率</vt:lpstr>
      <vt:lpstr>依田幸憲!ラス率</vt:lpstr>
      <vt:lpstr>塩入悠!ラス率</vt:lpstr>
      <vt:lpstr>巻島夢樹!ラス率</vt:lpstr>
      <vt:lpstr>関谷洸佑!ラス率</vt:lpstr>
      <vt:lpstr>吉澤諒!ラス率</vt:lpstr>
      <vt:lpstr>宮澤七星!ラス率</vt:lpstr>
      <vt:lpstr>高野源太!ラス率</vt:lpstr>
      <vt:lpstr>佐藤成浩!ラス率</vt:lpstr>
      <vt:lpstr>坂本羽弥斗!ラス率</vt:lpstr>
      <vt:lpstr>山崎葵!ラス率</vt:lpstr>
      <vt:lpstr>山本悠介!ラス率</vt:lpstr>
      <vt:lpstr>市川大智!ラス率</vt:lpstr>
      <vt:lpstr>所附快和!ラス率</vt:lpstr>
      <vt:lpstr>小林郁斗!ラス率</vt:lpstr>
      <vt:lpstr>松澤亮太!ラス率</vt:lpstr>
      <vt:lpstr>清水常緑!ラス率</vt:lpstr>
      <vt:lpstr>西沢武留!ラス率</vt:lpstr>
      <vt:lpstr>石原凛人!ラス率</vt:lpstr>
      <vt:lpstr>石澤巧望!ラス率</vt:lpstr>
      <vt:lpstr>川上翔大!ラス率</vt:lpstr>
      <vt:lpstr>全体!ラス率</vt:lpstr>
      <vt:lpstr>多田洋輔!ラス率</vt:lpstr>
      <vt:lpstr>大池陸斗!ラス率</vt:lpstr>
      <vt:lpstr>滝沢悠人!ラス率</vt:lpstr>
      <vt:lpstr>中川弘崇!ラス率</vt:lpstr>
      <vt:lpstr>中村花菜!ラス率</vt:lpstr>
      <vt:lpstr>中村季暉!ラス率</vt:lpstr>
      <vt:lpstr>長野柊馬!ラス率</vt:lpstr>
      <vt:lpstr>田名網新!ラス率</vt:lpstr>
      <vt:lpstr>渡部陵瑛!ラス率</vt:lpstr>
      <vt:lpstr>唐澤聖矢!ラス率</vt:lpstr>
      <vt:lpstr>湯本咲蔵!ラス率</vt:lpstr>
      <vt:lpstr>百瀬成空!ラス率</vt:lpstr>
      <vt:lpstr>福澤大地!ラス率</vt:lpstr>
      <vt:lpstr>保谷一貴!ラス率</vt:lpstr>
      <vt:lpstr>北沢蓮太郎!ラス率</vt:lpstr>
      <vt:lpstr>木角有希!ラス率</vt:lpstr>
      <vt:lpstr>矢ヶ崎健!ラス率</vt:lpstr>
      <vt:lpstr>柳澤颯吾!ラス率</vt:lpstr>
      <vt:lpstr>両角慧太!ラス率</vt:lpstr>
      <vt:lpstr>髙橋桜!ラス率</vt:lpstr>
      <vt:lpstr>ラス率</vt:lpstr>
      <vt:lpstr>'Template (3)'!リーチアガリ数</vt:lpstr>
      <vt:lpstr>阿部圭太朗!リーチアガリ数</vt:lpstr>
      <vt:lpstr>伊藤仁城!リーチアガリ数</vt:lpstr>
      <vt:lpstr>依田幸憲!リーチアガリ数</vt:lpstr>
      <vt:lpstr>塩入悠!リーチアガリ数</vt:lpstr>
      <vt:lpstr>巻島夢樹!リーチアガリ数</vt:lpstr>
      <vt:lpstr>関谷洸佑!リーチアガリ数</vt:lpstr>
      <vt:lpstr>吉澤諒!リーチアガリ数</vt:lpstr>
      <vt:lpstr>宮澤七星!リーチアガリ数</vt:lpstr>
      <vt:lpstr>高野源太!リーチアガリ数</vt:lpstr>
      <vt:lpstr>佐藤成浩!リーチアガリ数</vt:lpstr>
      <vt:lpstr>坂本羽弥斗!リーチアガリ数</vt:lpstr>
      <vt:lpstr>山崎葵!リーチアガリ数</vt:lpstr>
      <vt:lpstr>山本悠介!リーチアガリ数</vt:lpstr>
      <vt:lpstr>市川大智!リーチアガリ数</vt:lpstr>
      <vt:lpstr>所附快和!リーチアガリ数</vt:lpstr>
      <vt:lpstr>小林郁斗!リーチアガリ数</vt:lpstr>
      <vt:lpstr>松澤亮太!リーチアガリ数</vt:lpstr>
      <vt:lpstr>清水常緑!リーチアガリ数</vt:lpstr>
      <vt:lpstr>西沢武留!リーチアガリ数</vt:lpstr>
      <vt:lpstr>石原凛人!リーチアガリ数</vt:lpstr>
      <vt:lpstr>石澤巧望!リーチアガリ数</vt:lpstr>
      <vt:lpstr>川上翔大!リーチアガリ数</vt:lpstr>
      <vt:lpstr>全体!リーチアガリ数</vt:lpstr>
      <vt:lpstr>多田洋輔!リーチアガリ数</vt:lpstr>
      <vt:lpstr>大池陸斗!リーチアガリ数</vt:lpstr>
      <vt:lpstr>滝沢悠人!リーチアガリ数</vt:lpstr>
      <vt:lpstr>中川弘崇!リーチアガリ数</vt:lpstr>
      <vt:lpstr>中村花菜!リーチアガリ数</vt:lpstr>
      <vt:lpstr>中村季暉!リーチアガリ数</vt:lpstr>
      <vt:lpstr>長野柊馬!リーチアガリ数</vt:lpstr>
      <vt:lpstr>田名網新!リーチアガリ数</vt:lpstr>
      <vt:lpstr>渡部陵瑛!リーチアガリ数</vt:lpstr>
      <vt:lpstr>唐澤聖矢!リーチアガリ数</vt:lpstr>
      <vt:lpstr>湯本咲蔵!リーチアガリ数</vt:lpstr>
      <vt:lpstr>百瀬成空!リーチアガリ数</vt:lpstr>
      <vt:lpstr>福澤大地!リーチアガリ数</vt:lpstr>
      <vt:lpstr>保谷一貴!リーチアガリ数</vt:lpstr>
      <vt:lpstr>北沢蓮太郎!リーチアガリ数</vt:lpstr>
      <vt:lpstr>木角有希!リーチアガリ数</vt:lpstr>
      <vt:lpstr>矢ヶ崎健!リーチアガリ数</vt:lpstr>
      <vt:lpstr>柳澤颯吾!リーチアガリ数</vt:lpstr>
      <vt:lpstr>両角慧太!リーチアガリ数</vt:lpstr>
      <vt:lpstr>髙橋桜!リーチアガリ数</vt:lpstr>
      <vt:lpstr>リーチアガリ数</vt:lpstr>
      <vt:lpstr>'Template (3)'!リーチアガリ率</vt:lpstr>
      <vt:lpstr>阿部圭太朗!リーチアガリ率</vt:lpstr>
      <vt:lpstr>伊藤仁城!リーチアガリ率</vt:lpstr>
      <vt:lpstr>依田幸憲!リーチアガリ率</vt:lpstr>
      <vt:lpstr>塩入悠!リーチアガリ率</vt:lpstr>
      <vt:lpstr>巻島夢樹!リーチアガリ率</vt:lpstr>
      <vt:lpstr>関谷洸佑!リーチアガリ率</vt:lpstr>
      <vt:lpstr>吉澤諒!リーチアガリ率</vt:lpstr>
      <vt:lpstr>宮澤七星!リーチアガリ率</vt:lpstr>
      <vt:lpstr>高野源太!リーチアガリ率</vt:lpstr>
      <vt:lpstr>佐藤成浩!リーチアガリ率</vt:lpstr>
      <vt:lpstr>坂本羽弥斗!リーチアガリ率</vt:lpstr>
      <vt:lpstr>山崎葵!リーチアガリ率</vt:lpstr>
      <vt:lpstr>山本悠介!リーチアガリ率</vt:lpstr>
      <vt:lpstr>市川大智!リーチアガリ率</vt:lpstr>
      <vt:lpstr>所附快和!リーチアガリ率</vt:lpstr>
      <vt:lpstr>小林郁斗!リーチアガリ率</vt:lpstr>
      <vt:lpstr>松澤亮太!リーチアガリ率</vt:lpstr>
      <vt:lpstr>清水常緑!リーチアガリ率</vt:lpstr>
      <vt:lpstr>西沢武留!リーチアガリ率</vt:lpstr>
      <vt:lpstr>石原凛人!リーチアガリ率</vt:lpstr>
      <vt:lpstr>石澤巧望!リーチアガリ率</vt:lpstr>
      <vt:lpstr>川上翔大!リーチアガリ率</vt:lpstr>
      <vt:lpstr>全体!リーチアガリ率</vt:lpstr>
      <vt:lpstr>多田洋輔!リーチアガリ率</vt:lpstr>
      <vt:lpstr>大池陸斗!リーチアガリ率</vt:lpstr>
      <vt:lpstr>滝沢悠人!リーチアガリ率</vt:lpstr>
      <vt:lpstr>中川弘崇!リーチアガリ率</vt:lpstr>
      <vt:lpstr>中村花菜!リーチアガリ率</vt:lpstr>
      <vt:lpstr>中村季暉!リーチアガリ率</vt:lpstr>
      <vt:lpstr>長野柊馬!リーチアガリ率</vt:lpstr>
      <vt:lpstr>田名網新!リーチアガリ率</vt:lpstr>
      <vt:lpstr>渡部陵瑛!リーチアガリ率</vt:lpstr>
      <vt:lpstr>唐澤聖矢!リーチアガリ率</vt:lpstr>
      <vt:lpstr>湯本咲蔵!リーチアガリ率</vt:lpstr>
      <vt:lpstr>百瀬成空!リーチアガリ率</vt:lpstr>
      <vt:lpstr>福澤大地!リーチアガリ率</vt:lpstr>
      <vt:lpstr>保谷一貴!リーチアガリ率</vt:lpstr>
      <vt:lpstr>北沢蓮太郎!リーチアガリ率</vt:lpstr>
      <vt:lpstr>木角有希!リーチアガリ率</vt:lpstr>
      <vt:lpstr>矢ヶ崎健!リーチアガリ率</vt:lpstr>
      <vt:lpstr>柳澤颯吾!リーチアガリ率</vt:lpstr>
      <vt:lpstr>両角慧太!リーチアガリ率</vt:lpstr>
      <vt:lpstr>髙橋桜!リーチアガリ率</vt:lpstr>
      <vt:lpstr>リーチアガリ率</vt:lpstr>
      <vt:lpstr>'Template (3)'!リーチ数</vt:lpstr>
      <vt:lpstr>阿部圭太朗!リーチ数</vt:lpstr>
      <vt:lpstr>伊藤仁城!リーチ数</vt:lpstr>
      <vt:lpstr>依田幸憲!リーチ数</vt:lpstr>
      <vt:lpstr>塩入悠!リーチ数</vt:lpstr>
      <vt:lpstr>巻島夢樹!リーチ数</vt:lpstr>
      <vt:lpstr>関谷洸佑!リーチ数</vt:lpstr>
      <vt:lpstr>吉澤諒!リーチ数</vt:lpstr>
      <vt:lpstr>宮澤七星!リーチ数</vt:lpstr>
      <vt:lpstr>高野源太!リーチ数</vt:lpstr>
      <vt:lpstr>佐藤成浩!リーチ数</vt:lpstr>
      <vt:lpstr>坂本羽弥斗!リーチ数</vt:lpstr>
      <vt:lpstr>山崎葵!リーチ数</vt:lpstr>
      <vt:lpstr>山本悠介!リーチ数</vt:lpstr>
      <vt:lpstr>市川大智!リーチ数</vt:lpstr>
      <vt:lpstr>所附快和!リーチ数</vt:lpstr>
      <vt:lpstr>小林郁斗!リーチ数</vt:lpstr>
      <vt:lpstr>松澤亮太!リーチ数</vt:lpstr>
      <vt:lpstr>清水常緑!リーチ数</vt:lpstr>
      <vt:lpstr>西沢武留!リーチ数</vt:lpstr>
      <vt:lpstr>石原凛人!リーチ数</vt:lpstr>
      <vt:lpstr>石澤巧望!リーチ数</vt:lpstr>
      <vt:lpstr>川上翔大!リーチ数</vt:lpstr>
      <vt:lpstr>全体!リーチ数</vt:lpstr>
      <vt:lpstr>多田洋輔!リーチ数</vt:lpstr>
      <vt:lpstr>大池陸斗!リーチ数</vt:lpstr>
      <vt:lpstr>滝沢悠人!リーチ数</vt:lpstr>
      <vt:lpstr>中川弘崇!リーチ数</vt:lpstr>
      <vt:lpstr>中村花菜!リーチ数</vt:lpstr>
      <vt:lpstr>中村季暉!リーチ数</vt:lpstr>
      <vt:lpstr>長野柊馬!リーチ数</vt:lpstr>
      <vt:lpstr>田名網新!リーチ数</vt:lpstr>
      <vt:lpstr>渡部陵瑛!リーチ数</vt:lpstr>
      <vt:lpstr>唐澤聖矢!リーチ数</vt:lpstr>
      <vt:lpstr>湯本咲蔵!リーチ数</vt:lpstr>
      <vt:lpstr>百瀬成空!リーチ数</vt:lpstr>
      <vt:lpstr>福澤大地!リーチ数</vt:lpstr>
      <vt:lpstr>保谷一貴!リーチ数</vt:lpstr>
      <vt:lpstr>北沢蓮太郎!リーチ数</vt:lpstr>
      <vt:lpstr>木角有希!リーチ数</vt:lpstr>
      <vt:lpstr>矢ヶ崎健!リーチ数</vt:lpstr>
      <vt:lpstr>柳澤颯吾!リーチ数</vt:lpstr>
      <vt:lpstr>両角慧太!リーチ数</vt:lpstr>
      <vt:lpstr>髙橋桜!リーチ数</vt:lpstr>
      <vt:lpstr>リーチ数</vt:lpstr>
      <vt:lpstr>'Template (3)'!リーチ成功数</vt:lpstr>
      <vt:lpstr>阿部圭太朗!リーチ成功数</vt:lpstr>
      <vt:lpstr>伊藤仁城!リーチ成功数</vt:lpstr>
      <vt:lpstr>依田幸憲!リーチ成功数</vt:lpstr>
      <vt:lpstr>塩入悠!リーチ成功数</vt:lpstr>
      <vt:lpstr>巻島夢樹!リーチ成功数</vt:lpstr>
      <vt:lpstr>関谷洸佑!リーチ成功数</vt:lpstr>
      <vt:lpstr>吉澤諒!リーチ成功数</vt:lpstr>
      <vt:lpstr>宮澤七星!リーチ成功数</vt:lpstr>
      <vt:lpstr>高野源太!リーチ成功数</vt:lpstr>
      <vt:lpstr>佐藤成浩!リーチ成功数</vt:lpstr>
      <vt:lpstr>坂本羽弥斗!リーチ成功数</vt:lpstr>
      <vt:lpstr>山崎葵!リーチ成功数</vt:lpstr>
      <vt:lpstr>山本悠介!リーチ成功数</vt:lpstr>
      <vt:lpstr>市川大智!リーチ成功数</vt:lpstr>
      <vt:lpstr>所附快和!リーチ成功数</vt:lpstr>
      <vt:lpstr>小林郁斗!リーチ成功数</vt:lpstr>
      <vt:lpstr>松澤亮太!リーチ成功数</vt:lpstr>
      <vt:lpstr>清水常緑!リーチ成功数</vt:lpstr>
      <vt:lpstr>西沢武留!リーチ成功数</vt:lpstr>
      <vt:lpstr>石原凛人!リーチ成功数</vt:lpstr>
      <vt:lpstr>石澤巧望!リーチ成功数</vt:lpstr>
      <vt:lpstr>川上翔大!リーチ成功数</vt:lpstr>
      <vt:lpstr>全体!リーチ成功数</vt:lpstr>
      <vt:lpstr>多田洋輔!リーチ成功数</vt:lpstr>
      <vt:lpstr>大池陸斗!リーチ成功数</vt:lpstr>
      <vt:lpstr>滝沢悠人!リーチ成功数</vt:lpstr>
      <vt:lpstr>中川弘崇!リーチ成功数</vt:lpstr>
      <vt:lpstr>中村花菜!リーチ成功数</vt:lpstr>
      <vt:lpstr>中村季暉!リーチ成功数</vt:lpstr>
      <vt:lpstr>長野柊馬!リーチ成功数</vt:lpstr>
      <vt:lpstr>田名網新!リーチ成功数</vt:lpstr>
      <vt:lpstr>渡部陵瑛!リーチ成功数</vt:lpstr>
      <vt:lpstr>唐澤聖矢!リーチ成功数</vt:lpstr>
      <vt:lpstr>湯本咲蔵!リーチ成功数</vt:lpstr>
      <vt:lpstr>百瀬成空!リーチ成功数</vt:lpstr>
      <vt:lpstr>福澤大地!リーチ成功数</vt:lpstr>
      <vt:lpstr>保谷一貴!リーチ成功数</vt:lpstr>
      <vt:lpstr>北沢蓮太郎!リーチ成功数</vt:lpstr>
      <vt:lpstr>木角有希!リーチ成功数</vt:lpstr>
      <vt:lpstr>矢ヶ崎健!リーチ成功数</vt:lpstr>
      <vt:lpstr>柳澤颯吾!リーチ成功数</vt:lpstr>
      <vt:lpstr>両角慧太!リーチ成功数</vt:lpstr>
      <vt:lpstr>髙橋桜!リーチ成功数</vt:lpstr>
      <vt:lpstr>リーチ成功数</vt:lpstr>
      <vt:lpstr>'Template (3)'!リーチ成功率</vt:lpstr>
      <vt:lpstr>阿部圭太朗!リーチ成功率</vt:lpstr>
      <vt:lpstr>伊藤仁城!リーチ成功率</vt:lpstr>
      <vt:lpstr>依田幸憲!リーチ成功率</vt:lpstr>
      <vt:lpstr>塩入悠!リーチ成功率</vt:lpstr>
      <vt:lpstr>巻島夢樹!リーチ成功率</vt:lpstr>
      <vt:lpstr>関谷洸佑!リーチ成功率</vt:lpstr>
      <vt:lpstr>吉澤諒!リーチ成功率</vt:lpstr>
      <vt:lpstr>宮澤七星!リーチ成功率</vt:lpstr>
      <vt:lpstr>高野源太!リーチ成功率</vt:lpstr>
      <vt:lpstr>佐藤成浩!リーチ成功率</vt:lpstr>
      <vt:lpstr>坂本羽弥斗!リーチ成功率</vt:lpstr>
      <vt:lpstr>山崎葵!リーチ成功率</vt:lpstr>
      <vt:lpstr>山本悠介!リーチ成功率</vt:lpstr>
      <vt:lpstr>市川大智!リーチ成功率</vt:lpstr>
      <vt:lpstr>所附快和!リーチ成功率</vt:lpstr>
      <vt:lpstr>小林郁斗!リーチ成功率</vt:lpstr>
      <vt:lpstr>松澤亮太!リーチ成功率</vt:lpstr>
      <vt:lpstr>清水常緑!リーチ成功率</vt:lpstr>
      <vt:lpstr>西沢武留!リーチ成功率</vt:lpstr>
      <vt:lpstr>石原凛人!リーチ成功率</vt:lpstr>
      <vt:lpstr>石澤巧望!リーチ成功率</vt:lpstr>
      <vt:lpstr>川上翔大!リーチ成功率</vt:lpstr>
      <vt:lpstr>全体!リーチ成功率</vt:lpstr>
      <vt:lpstr>多田洋輔!リーチ成功率</vt:lpstr>
      <vt:lpstr>大池陸斗!リーチ成功率</vt:lpstr>
      <vt:lpstr>滝沢悠人!リーチ成功率</vt:lpstr>
      <vt:lpstr>中川弘崇!リーチ成功率</vt:lpstr>
      <vt:lpstr>中村花菜!リーチ成功率</vt:lpstr>
      <vt:lpstr>中村季暉!リーチ成功率</vt:lpstr>
      <vt:lpstr>長野柊馬!リーチ成功率</vt:lpstr>
      <vt:lpstr>田名網新!リーチ成功率</vt:lpstr>
      <vt:lpstr>渡部陵瑛!リーチ成功率</vt:lpstr>
      <vt:lpstr>唐澤聖矢!リーチ成功率</vt:lpstr>
      <vt:lpstr>湯本咲蔵!リーチ成功率</vt:lpstr>
      <vt:lpstr>百瀬成空!リーチ成功率</vt:lpstr>
      <vt:lpstr>福澤大地!リーチ成功率</vt:lpstr>
      <vt:lpstr>保谷一貴!リーチ成功率</vt:lpstr>
      <vt:lpstr>北沢蓮太郎!リーチ成功率</vt:lpstr>
      <vt:lpstr>木角有希!リーチ成功率</vt:lpstr>
      <vt:lpstr>矢ヶ崎健!リーチ成功率</vt:lpstr>
      <vt:lpstr>柳澤颯吾!リーチ成功率</vt:lpstr>
      <vt:lpstr>両角慧太!リーチ成功率</vt:lpstr>
      <vt:lpstr>髙橋桜!リーチ成功率</vt:lpstr>
      <vt:lpstr>リーチ成功率</vt:lpstr>
      <vt:lpstr>'Template (3)'!リーチ率</vt:lpstr>
      <vt:lpstr>阿部圭太朗!リーチ率</vt:lpstr>
      <vt:lpstr>伊藤仁城!リーチ率</vt:lpstr>
      <vt:lpstr>依田幸憲!リーチ率</vt:lpstr>
      <vt:lpstr>塩入悠!リーチ率</vt:lpstr>
      <vt:lpstr>巻島夢樹!リーチ率</vt:lpstr>
      <vt:lpstr>関谷洸佑!リーチ率</vt:lpstr>
      <vt:lpstr>吉澤諒!リーチ率</vt:lpstr>
      <vt:lpstr>宮澤七星!リーチ率</vt:lpstr>
      <vt:lpstr>高野源太!リーチ率</vt:lpstr>
      <vt:lpstr>佐藤成浩!リーチ率</vt:lpstr>
      <vt:lpstr>坂本羽弥斗!リーチ率</vt:lpstr>
      <vt:lpstr>山崎葵!リーチ率</vt:lpstr>
      <vt:lpstr>山本悠介!リーチ率</vt:lpstr>
      <vt:lpstr>市川大智!リーチ率</vt:lpstr>
      <vt:lpstr>所附快和!リーチ率</vt:lpstr>
      <vt:lpstr>小林郁斗!リーチ率</vt:lpstr>
      <vt:lpstr>松澤亮太!リーチ率</vt:lpstr>
      <vt:lpstr>清水常緑!リーチ率</vt:lpstr>
      <vt:lpstr>西沢武留!リーチ率</vt:lpstr>
      <vt:lpstr>石原凛人!リーチ率</vt:lpstr>
      <vt:lpstr>石澤巧望!リーチ率</vt:lpstr>
      <vt:lpstr>川上翔大!リーチ率</vt:lpstr>
      <vt:lpstr>全体!リーチ率</vt:lpstr>
      <vt:lpstr>多田洋輔!リーチ率</vt:lpstr>
      <vt:lpstr>大池陸斗!リーチ率</vt:lpstr>
      <vt:lpstr>滝沢悠人!リーチ率</vt:lpstr>
      <vt:lpstr>中川弘崇!リーチ率</vt:lpstr>
      <vt:lpstr>中村花菜!リーチ率</vt:lpstr>
      <vt:lpstr>中村季暉!リーチ率</vt:lpstr>
      <vt:lpstr>長野柊馬!リーチ率</vt:lpstr>
      <vt:lpstr>田名網新!リーチ率</vt:lpstr>
      <vt:lpstr>渡部陵瑛!リーチ率</vt:lpstr>
      <vt:lpstr>唐澤聖矢!リーチ率</vt:lpstr>
      <vt:lpstr>湯本咲蔵!リーチ率</vt:lpstr>
      <vt:lpstr>百瀬成空!リーチ率</vt:lpstr>
      <vt:lpstr>福澤大地!リーチ率</vt:lpstr>
      <vt:lpstr>保谷一貴!リーチ率</vt:lpstr>
      <vt:lpstr>北沢蓮太郎!リーチ率</vt:lpstr>
      <vt:lpstr>木角有希!リーチ率</vt:lpstr>
      <vt:lpstr>矢ヶ崎健!リーチ率</vt:lpstr>
      <vt:lpstr>柳澤颯吾!リーチ率</vt:lpstr>
      <vt:lpstr>両角慧太!リーチ率</vt:lpstr>
      <vt:lpstr>髙橋桜!リーチ率</vt:lpstr>
      <vt:lpstr>リーチ率</vt:lpstr>
      <vt:lpstr>'Template (3)'!ロン数</vt:lpstr>
      <vt:lpstr>阿部圭太朗!ロン数</vt:lpstr>
      <vt:lpstr>伊藤仁城!ロン数</vt:lpstr>
      <vt:lpstr>依田幸憲!ロン数</vt:lpstr>
      <vt:lpstr>塩入悠!ロン数</vt:lpstr>
      <vt:lpstr>巻島夢樹!ロン数</vt:lpstr>
      <vt:lpstr>関谷洸佑!ロン数</vt:lpstr>
      <vt:lpstr>吉澤諒!ロン数</vt:lpstr>
      <vt:lpstr>宮澤七星!ロン数</vt:lpstr>
      <vt:lpstr>高野源太!ロン数</vt:lpstr>
      <vt:lpstr>佐藤成浩!ロン数</vt:lpstr>
      <vt:lpstr>坂本羽弥斗!ロン数</vt:lpstr>
      <vt:lpstr>山崎葵!ロン数</vt:lpstr>
      <vt:lpstr>山本悠介!ロン数</vt:lpstr>
      <vt:lpstr>市川大智!ロン数</vt:lpstr>
      <vt:lpstr>所附快和!ロン数</vt:lpstr>
      <vt:lpstr>小林郁斗!ロン数</vt:lpstr>
      <vt:lpstr>松澤亮太!ロン数</vt:lpstr>
      <vt:lpstr>清水常緑!ロン数</vt:lpstr>
      <vt:lpstr>西沢武留!ロン数</vt:lpstr>
      <vt:lpstr>石原凛人!ロン数</vt:lpstr>
      <vt:lpstr>石澤巧望!ロン数</vt:lpstr>
      <vt:lpstr>川上翔大!ロン数</vt:lpstr>
      <vt:lpstr>全体!ロン数</vt:lpstr>
      <vt:lpstr>多田洋輔!ロン数</vt:lpstr>
      <vt:lpstr>大池陸斗!ロン数</vt:lpstr>
      <vt:lpstr>滝沢悠人!ロン数</vt:lpstr>
      <vt:lpstr>中川弘崇!ロン数</vt:lpstr>
      <vt:lpstr>中村花菜!ロン数</vt:lpstr>
      <vt:lpstr>中村季暉!ロン数</vt:lpstr>
      <vt:lpstr>長野柊馬!ロン数</vt:lpstr>
      <vt:lpstr>田名網新!ロン数</vt:lpstr>
      <vt:lpstr>渡部陵瑛!ロン数</vt:lpstr>
      <vt:lpstr>唐澤聖矢!ロン数</vt:lpstr>
      <vt:lpstr>湯本咲蔵!ロン数</vt:lpstr>
      <vt:lpstr>百瀬成空!ロン数</vt:lpstr>
      <vt:lpstr>福澤大地!ロン数</vt:lpstr>
      <vt:lpstr>保谷一貴!ロン数</vt:lpstr>
      <vt:lpstr>北沢蓮太郎!ロン数</vt:lpstr>
      <vt:lpstr>木角有希!ロン数</vt:lpstr>
      <vt:lpstr>矢ヶ崎健!ロン数</vt:lpstr>
      <vt:lpstr>柳澤颯吾!ロン数</vt:lpstr>
      <vt:lpstr>両角慧太!ロン数</vt:lpstr>
      <vt:lpstr>髙橋桜!ロン数</vt:lpstr>
      <vt:lpstr>ロン数</vt:lpstr>
      <vt:lpstr>'Template (3)'!ロン率</vt:lpstr>
      <vt:lpstr>阿部圭太朗!ロン率</vt:lpstr>
      <vt:lpstr>伊藤仁城!ロン率</vt:lpstr>
      <vt:lpstr>依田幸憲!ロン率</vt:lpstr>
      <vt:lpstr>塩入悠!ロン率</vt:lpstr>
      <vt:lpstr>巻島夢樹!ロン率</vt:lpstr>
      <vt:lpstr>関谷洸佑!ロン率</vt:lpstr>
      <vt:lpstr>吉澤諒!ロン率</vt:lpstr>
      <vt:lpstr>宮澤七星!ロン率</vt:lpstr>
      <vt:lpstr>高野源太!ロン率</vt:lpstr>
      <vt:lpstr>佐藤成浩!ロン率</vt:lpstr>
      <vt:lpstr>坂本羽弥斗!ロン率</vt:lpstr>
      <vt:lpstr>山崎葵!ロン率</vt:lpstr>
      <vt:lpstr>山本悠介!ロン率</vt:lpstr>
      <vt:lpstr>市川大智!ロン率</vt:lpstr>
      <vt:lpstr>所附快和!ロン率</vt:lpstr>
      <vt:lpstr>小林郁斗!ロン率</vt:lpstr>
      <vt:lpstr>松澤亮太!ロン率</vt:lpstr>
      <vt:lpstr>清水常緑!ロン率</vt:lpstr>
      <vt:lpstr>西沢武留!ロン率</vt:lpstr>
      <vt:lpstr>石原凛人!ロン率</vt:lpstr>
      <vt:lpstr>石澤巧望!ロン率</vt:lpstr>
      <vt:lpstr>川上翔大!ロン率</vt:lpstr>
      <vt:lpstr>全体!ロン率</vt:lpstr>
      <vt:lpstr>多田洋輔!ロン率</vt:lpstr>
      <vt:lpstr>大池陸斗!ロン率</vt:lpstr>
      <vt:lpstr>滝沢悠人!ロン率</vt:lpstr>
      <vt:lpstr>中川弘崇!ロン率</vt:lpstr>
      <vt:lpstr>中村花菜!ロン率</vt:lpstr>
      <vt:lpstr>中村季暉!ロン率</vt:lpstr>
      <vt:lpstr>長野柊馬!ロン率</vt:lpstr>
      <vt:lpstr>田名網新!ロン率</vt:lpstr>
      <vt:lpstr>渡部陵瑛!ロン率</vt:lpstr>
      <vt:lpstr>唐澤聖矢!ロン率</vt:lpstr>
      <vt:lpstr>湯本咲蔵!ロン率</vt:lpstr>
      <vt:lpstr>百瀬成空!ロン率</vt:lpstr>
      <vt:lpstr>福澤大地!ロン率</vt:lpstr>
      <vt:lpstr>保谷一貴!ロン率</vt:lpstr>
      <vt:lpstr>北沢蓮太郎!ロン率</vt:lpstr>
      <vt:lpstr>木角有希!ロン率</vt:lpstr>
      <vt:lpstr>矢ヶ崎健!ロン率</vt:lpstr>
      <vt:lpstr>柳澤颯吾!ロン率</vt:lpstr>
      <vt:lpstr>両角慧太!ロン率</vt:lpstr>
      <vt:lpstr>髙橋桜!ロン率</vt:lpstr>
      <vt:lpstr>ロン率</vt:lpstr>
      <vt:lpstr>'Template (3)'!現行連続アガリ</vt:lpstr>
      <vt:lpstr>阿部圭太朗!現行連続アガリ</vt:lpstr>
      <vt:lpstr>伊藤仁城!現行連続アガリ</vt:lpstr>
      <vt:lpstr>依田幸憲!現行連続アガリ</vt:lpstr>
      <vt:lpstr>塩入悠!現行連続アガリ</vt:lpstr>
      <vt:lpstr>巻島夢樹!現行連続アガリ</vt:lpstr>
      <vt:lpstr>関谷洸佑!現行連続アガリ</vt:lpstr>
      <vt:lpstr>吉澤諒!現行連続アガリ</vt:lpstr>
      <vt:lpstr>宮澤七星!現行連続アガリ</vt:lpstr>
      <vt:lpstr>高野源太!現行連続アガリ</vt:lpstr>
      <vt:lpstr>佐藤成浩!現行連続アガリ</vt:lpstr>
      <vt:lpstr>坂本羽弥斗!現行連続アガリ</vt:lpstr>
      <vt:lpstr>山崎葵!現行連続アガリ</vt:lpstr>
      <vt:lpstr>山本悠介!現行連続アガリ</vt:lpstr>
      <vt:lpstr>市川大智!現行連続アガリ</vt:lpstr>
      <vt:lpstr>所附快和!現行連続アガリ</vt:lpstr>
      <vt:lpstr>小林郁斗!現行連続アガリ</vt:lpstr>
      <vt:lpstr>松澤亮太!現行連続アガリ</vt:lpstr>
      <vt:lpstr>清水常緑!現行連続アガリ</vt:lpstr>
      <vt:lpstr>西沢武留!現行連続アガリ</vt:lpstr>
      <vt:lpstr>石原凛人!現行連続アガリ</vt:lpstr>
      <vt:lpstr>石澤巧望!現行連続アガリ</vt:lpstr>
      <vt:lpstr>川上翔大!現行連続アガリ</vt:lpstr>
      <vt:lpstr>全体!現行連続アガリ</vt:lpstr>
      <vt:lpstr>多田洋輔!現行連続アガリ</vt:lpstr>
      <vt:lpstr>大池陸斗!現行連続アガリ</vt:lpstr>
      <vt:lpstr>滝沢悠人!現行連続アガリ</vt:lpstr>
      <vt:lpstr>中川弘崇!現行連続アガリ</vt:lpstr>
      <vt:lpstr>中村花菜!現行連続アガリ</vt:lpstr>
      <vt:lpstr>中村季暉!現行連続アガリ</vt:lpstr>
      <vt:lpstr>長野柊馬!現行連続アガリ</vt:lpstr>
      <vt:lpstr>田名網新!現行連続アガリ</vt:lpstr>
      <vt:lpstr>渡部陵瑛!現行連続アガリ</vt:lpstr>
      <vt:lpstr>唐澤聖矢!現行連続アガリ</vt:lpstr>
      <vt:lpstr>湯本咲蔵!現行連続アガリ</vt:lpstr>
      <vt:lpstr>百瀬成空!現行連続アガリ</vt:lpstr>
      <vt:lpstr>福澤大地!現行連続アガリ</vt:lpstr>
      <vt:lpstr>保谷一貴!現行連続アガリ</vt:lpstr>
      <vt:lpstr>北沢蓮太郎!現行連続アガリ</vt:lpstr>
      <vt:lpstr>木角有希!現行連続アガリ</vt:lpstr>
      <vt:lpstr>矢ヶ崎健!現行連続アガリ</vt:lpstr>
      <vt:lpstr>柳澤颯吾!現行連続アガリ</vt:lpstr>
      <vt:lpstr>両角慧太!現行連続アガリ</vt:lpstr>
      <vt:lpstr>髙橋桜!現行連続アガリ</vt:lpstr>
      <vt:lpstr>現行連続アガリ</vt:lpstr>
      <vt:lpstr>'Template (3)'!現行連続無放銃</vt:lpstr>
      <vt:lpstr>阿部圭太朗!現行連続無放銃</vt:lpstr>
      <vt:lpstr>伊藤仁城!現行連続無放銃</vt:lpstr>
      <vt:lpstr>依田幸憲!現行連続無放銃</vt:lpstr>
      <vt:lpstr>塩入悠!現行連続無放銃</vt:lpstr>
      <vt:lpstr>巻島夢樹!現行連続無放銃</vt:lpstr>
      <vt:lpstr>関谷洸佑!現行連続無放銃</vt:lpstr>
      <vt:lpstr>吉澤諒!現行連続無放銃</vt:lpstr>
      <vt:lpstr>宮澤七星!現行連続無放銃</vt:lpstr>
      <vt:lpstr>高野源太!現行連続無放銃</vt:lpstr>
      <vt:lpstr>佐藤成浩!現行連続無放銃</vt:lpstr>
      <vt:lpstr>坂本羽弥斗!現行連続無放銃</vt:lpstr>
      <vt:lpstr>山崎葵!現行連続無放銃</vt:lpstr>
      <vt:lpstr>山本悠介!現行連続無放銃</vt:lpstr>
      <vt:lpstr>市川大智!現行連続無放銃</vt:lpstr>
      <vt:lpstr>所附快和!現行連続無放銃</vt:lpstr>
      <vt:lpstr>小林郁斗!現行連続無放銃</vt:lpstr>
      <vt:lpstr>松澤亮太!現行連続無放銃</vt:lpstr>
      <vt:lpstr>清水常緑!現行連続無放銃</vt:lpstr>
      <vt:lpstr>西沢武留!現行連続無放銃</vt:lpstr>
      <vt:lpstr>石原凛人!現行連続無放銃</vt:lpstr>
      <vt:lpstr>石澤巧望!現行連続無放銃</vt:lpstr>
      <vt:lpstr>川上翔大!現行連続無放銃</vt:lpstr>
      <vt:lpstr>全体!現行連続無放銃</vt:lpstr>
      <vt:lpstr>多田洋輔!現行連続無放銃</vt:lpstr>
      <vt:lpstr>大池陸斗!現行連続無放銃</vt:lpstr>
      <vt:lpstr>滝沢悠人!現行連続無放銃</vt:lpstr>
      <vt:lpstr>中川弘崇!現行連続無放銃</vt:lpstr>
      <vt:lpstr>中村花菜!現行連続無放銃</vt:lpstr>
      <vt:lpstr>中村季暉!現行連続無放銃</vt:lpstr>
      <vt:lpstr>長野柊馬!現行連続無放銃</vt:lpstr>
      <vt:lpstr>田名網新!現行連続無放銃</vt:lpstr>
      <vt:lpstr>渡部陵瑛!現行連続無放銃</vt:lpstr>
      <vt:lpstr>唐澤聖矢!現行連続無放銃</vt:lpstr>
      <vt:lpstr>湯本咲蔵!現行連続無放銃</vt:lpstr>
      <vt:lpstr>百瀬成空!現行連続無放銃</vt:lpstr>
      <vt:lpstr>福澤大地!現行連続無放銃</vt:lpstr>
      <vt:lpstr>保谷一貴!現行連続無放銃</vt:lpstr>
      <vt:lpstr>北沢蓮太郎!現行連続無放銃</vt:lpstr>
      <vt:lpstr>木角有希!現行連続無放銃</vt:lpstr>
      <vt:lpstr>矢ヶ崎健!現行連続無放銃</vt:lpstr>
      <vt:lpstr>柳澤颯吾!現行連続無放銃</vt:lpstr>
      <vt:lpstr>両角慧太!現行連続無放銃</vt:lpstr>
      <vt:lpstr>髙橋桜!現行連続無放銃</vt:lpstr>
      <vt:lpstr>現行連続無放銃</vt:lpstr>
      <vt:lpstr>'Template (3)'!最高点</vt:lpstr>
      <vt:lpstr>阿部圭太朗!最高点</vt:lpstr>
      <vt:lpstr>伊藤仁城!最高点</vt:lpstr>
      <vt:lpstr>依田幸憲!最高点</vt:lpstr>
      <vt:lpstr>塩入悠!最高点</vt:lpstr>
      <vt:lpstr>巻島夢樹!最高点</vt:lpstr>
      <vt:lpstr>関谷洸佑!最高点</vt:lpstr>
      <vt:lpstr>吉澤諒!最高点</vt:lpstr>
      <vt:lpstr>宮澤七星!最高点</vt:lpstr>
      <vt:lpstr>高野源太!最高点</vt:lpstr>
      <vt:lpstr>佐藤成浩!最高点</vt:lpstr>
      <vt:lpstr>坂本羽弥斗!最高点</vt:lpstr>
      <vt:lpstr>山崎葵!最高点</vt:lpstr>
      <vt:lpstr>山本悠介!最高点</vt:lpstr>
      <vt:lpstr>市川大智!最高点</vt:lpstr>
      <vt:lpstr>所附快和!最高点</vt:lpstr>
      <vt:lpstr>小林郁斗!最高点</vt:lpstr>
      <vt:lpstr>松澤亮太!最高点</vt:lpstr>
      <vt:lpstr>清水常緑!最高点</vt:lpstr>
      <vt:lpstr>西沢武留!最高点</vt:lpstr>
      <vt:lpstr>石原凛人!最高点</vt:lpstr>
      <vt:lpstr>石澤巧望!最高点</vt:lpstr>
      <vt:lpstr>川上翔大!最高点</vt:lpstr>
      <vt:lpstr>全体!最高点</vt:lpstr>
      <vt:lpstr>多田洋輔!最高点</vt:lpstr>
      <vt:lpstr>大池陸斗!最高点</vt:lpstr>
      <vt:lpstr>滝沢悠人!最高点</vt:lpstr>
      <vt:lpstr>中川弘崇!最高点</vt:lpstr>
      <vt:lpstr>中村花菜!最高点</vt:lpstr>
      <vt:lpstr>中村季暉!最高点</vt:lpstr>
      <vt:lpstr>長野柊馬!最高点</vt:lpstr>
      <vt:lpstr>田名網新!最高点</vt:lpstr>
      <vt:lpstr>渡部陵瑛!最高点</vt:lpstr>
      <vt:lpstr>唐澤聖矢!最高点</vt:lpstr>
      <vt:lpstr>湯本咲蔵!最高点</vt:lpstr>
      <vt:lpstr>百瀬成空!最高点</vt:lpstr>
      <vt:lpstr>福澤大地!最高点</vt:lpstr>
      <vt:lpstr>保谷一貴!最高点</vt:lpstr>
      <vt:lpstr>北沢蓮太郎!最高点</vt:lpstr>
      <vt:lpstr>木角有希!最高点</vt:lpstr>
      <vt:lpstr>矢ヶ崎健!最高点</vt:lpstr>
      <vt:lpstr>柳澤颯吾!最高点</vt:lpstr>
      <vt:lpstr>両角慧太!最高点</vt:lpstr>
      <vt:lpstr>髙橋桜!最高点</vt:lpstr>
      <vt:lpstr>最高点</vt:lpstr>
      <vt:lpstr>'Template (3)'!最大ドラ数</vt:lpstr>
      <vt:lpstr>阿部圭太朗!最大ドラ数</vt:lpstr>
      <vt:lpstr>伊藤仁城!最大ドラ数</vt:lpstr>
      <vt:lpstr>依田幸憲!最大ドラ数</vt:lpstr>
      <vt:lpstr>塩入悠!最大ドラ数</vt:lpstr>
      <vt:lpstr>巻島夢樹!最大ドラ数</vt:lpstr>
      <vt:lpstr>関谷洸佑!最大ドラ数</vt:lpstr>
      <vt:lpstr>吉澤諒!最大ドラ数</vt:lpstr>
      <vt:lpstr>宮澤七星!最大ドラ数</vt:lpstr>
      <vt:lpstr>高野源太!最大ドラ数</vt:lpstr>
      <vt:lpstr>佐藤成浩!最大ドラ数</vt:lpstr>
      <vt:lpstr>坂本羽弥斗!最大ドラ数</vt:lpstr>
      <vt:lpstr>山崎葵!最大ドラ数</vt:lpstr>
      <vt:lpstr>山本悠介!最大ドラ数</vt:lpstr>
      <vt:lpstr>市川大智!最大ドラ数</vt:lpstr>
      <vt:lpstr>所附快和!最大ドラ数</vt:lpstr>
      <vt:lpstr>小林郁斗!最大ドラ数</vt:lpstr>
      <vt:lpstr>松澤亮太!最大ドラ数</vt:lpstr>
      <vt:lpstr>清水常緑!最大ドラ数</vt:lpstr>
      <vt:lpstr>西沢武留!最大ドラ数</vt:lpstr>
      <vt:lpstr>石原凛人!最大ドラ数</vt:lpstr>
      <vt:lpstr>石澤巧望!最大ドラ数</vt:lpstr>
      <vt:lpstr>川上翔大!最大ドラ数</vt:lpstr>
      <vt:lpstr>全体!最大ドラ数</vt:lpstr>
      <vt:lpstr>多田洋輔!最大ドラ数</vt:lpstr>
      <vt:lpstr>大池陸斗!最大ドラ数</vt:lpstr>
      <vt:lpstr>滝沢悠人!最大ドラ数</vt:lpstr>
      <vt:lpstr>中川弘崇!最大ドラ数</vt:lpstr>
      <vt:lpstr>中村花菜!最大ドラ数</vt:lpstr>
      <vt:lpstr>中村季暉!最大ドラ数</vt:lpstr>
      <vt:lpstr>長野柊馬!最大ドラ数</vt:lpstr>
      <vt:lpstr>田名網新!最大ドラ数</vt:lpstr>
      <vt:lpstr>渡部陵瑛!最大ドラ数</vt:lpstr>
      <vt:lpstr>唐澤聖矢!最大ドラ数</vt:lpstr>
      <vt:lpstr>湯本咲蔵!最大ドラ数</vt:lpstr>
      <vt:lpstr>百瀬成空!最大ドラ数</vt:lpstr>
      <vt:lpstr>福澤大地!最大ドラ数</vt:lpstr>
      <vt:lpstr>保谷一貴!最大ドラ数</vt:lpstr>
      <vt:lpstr>北沢蓮太郎!最大ドラ数</vt:lpstr>
      <vt:lpstr>木角有希!最大ドラ数</vt:lpstr>
      <vt:lpstr>矢ヶ崎健!最大ドラ数</vt:lpstr>
      <vt:lpstr>柳澤颯吾!最大ドラ数</vt:lpstr>
      <vt:lpstr>両角慧太!最大ドラ数</vt:lpstr>
      <vt:lpstr>髙橋桜!最大ドラ数</vt:lpstr>
      <vt:lpstr>最大ドラ数</vt:lpstr>
      <vt:lpstr>'Template (3)'!最大点数</vt:lpstr>
      <vt:lpstr>阿部圭太朗!最大点数</vt:lpstr>
      <vt:lpstr>伊藤仁城!最大点数</vt:lpstr>
      <vt:lpstr>依田幸憲!最大点数</vt:lpstr>
      <vt:lpstr>塩入悠!最大点数</vt:lpstr>
      <vt:lpstr>巻島夢樹!最大点数</vt:lpstr>
      <vt:lpstr>関谷洸佑!最大点数</vt:lpstr>
      <vt:lpstr>吉澤諒!最大点数</vt:lpstr>
      <vt:lpstr>宮澤七星!最大点数</vt:lpstr>
      <vt:lpstr>高野源太!最大点数</vt:lpstr>
      <vt:lpstr>佐藤成浩!最大点数</vt:lpstr>
      <vt:lpstr>坂本羽弥斗!最大点数</vt:lpstr>
      <vt:lpstr>山崎葵!最大点数</vt:lpstr>
      <vt:lpstr>山本悠介!最大点数</vt:lpstr>
      <vt:lpstr>市川大智!最大点数</vt:lpstr>
      <vt:lpstr>所附快和!最大点数</vt:lpstr>
      <vt:lpstr>小林郁斗!最大点数</vt:lpstr>
      <vt:lpstr>松澤亮太!最大点数</vt:lpstr>
      <vt:lpstr>清水常緑!最大点数</vt:lpstr>
      <vt:lpstr>西沢武留!最大点数</vt:lpstr>
      <vt:lpstr>石原凛人!最大点数</vt:lpstr>
      <vt:lpstr>石澤巧望!最大点数</vt:lpstr>
      <vt:lpstr>川上翔大!最大点数</vt:lpstr>
      <vt:lpstr>全体!最大点数</vt:lpstr>
      <vt:lpstr>多田洋輔!最大点数</vt:lpstr>
      <vt:lpstr>大池陸斗!最大点数</vt:lpstr>
      <vt:lpstr>滝沢悠人!最大点数</vt:lpstr>
      <vt:lpstr>中川弘崇!最大点数</vt:lpstr>
      <vt:lpstr>中村花菜!最大点数</vt:lpstr>
      <vt:lpstr>中村季暉!最大点数</vt:lpstr>
      <vt:lpstr>長野柊馬!最大点数</vt:lpstr>
      <vt:lpstr>田名網新!最大点数</vt:lpstr>
      <vt:lpstr>渡部陵瑛!最大点数</vt:lpstr>
      <vt:lpstr>唐澤聖矢!最大点数</vt:lpstr>
      <vt:lpstr>湯本咲蔵!最大点数</vt:lpstr>
      <vt:lpstr>百瀬成空!最大点数</vt:lpstr>
      <vt:lpstr>福澤大地!最大点数</vt:lpstr>
      <vt:lpstr>保谷一貴!最大点数</vt:lpstr>
      <vt:lpstr>北沢蓮太郎!最大点数</vt:lpstr>
      <vt:lpstr>木角有希!最大点数</vt:lpstr>
      <vt:lpstr>矢ヶ崎健!最大点数</vt:lpstr>
      <vt:lpstr>柳澤颯吾!最大点数</vt:lpstr>
      <vt:lpstr>両角慧太!最大点数</vt:lpstr>
      <vt:lpstr>髙橋桜!最大点数</vt:lpstr>
      <vt:lpstr>最大点数</vt:lpstr>
      <vt:lpstr>'Template (3)'!三位数</vt:lpstr>
      <vt:lpstr>阿部圭太朗!三位数</vt:lpstr>
      <vt:lpstr>伊藤仁城!三位数</vt:lpstr>
      <vt:lpstr>依田幸憲!三位数</vt:lpstr>
      <vt:lpstr>塩入悠!三位数</vt:lpstr>
      <vt:lpstr>巻島夢樹!三位数</vt:lpstr>
      <vt:lpstr>関谷洸佑!三位数</vt:lpstr>
      <vt:lpstr>吉澤諒!三位数</vt:lpstr>
      <vt:lpstr>宮澤七星!三位数</vt:lpstr>
      <vt:lpstr>高野源太!三位数</vt:lpstr>
      <vt:lpstr>佐藤成浩!三位数</vt:lpstr>
      <vt:lpstr>坂本羽弥斗!三位数</vt:lpstr>
      <vt:lpstr>山崎葵!三位数</vt:lpstr>
      <vt:lpstr>山本悠介!三位数</vt:lpstr>
      <vt:lpstr>市川大智!三位数</vt:lpstr>
      <vt:lpstr>所附快和!三位数</vt:lpstr>
      <vt:lpstr>小林郁斗!三位数</vt:lpstr>
      <vt:lpstr>松澤亮太!三位数</vt:lpstr>
      <vt:lpstr>清水常緑!三位数</vt:lpstr>
      <vt:lpstr>西沢武留!三位数</vt:lpstr>
      <vt:lpstr>石原凛人!三位数</vt:lpstr>
      <vt:lpstr>石澤巧望!三位数</vt:lpstr>
      <vt:lpstr>川上翔大!三位数</vt:lpstr>
      <vt:lpstr>全体!三位数</vt:lpstr>
      <vt:lpstr>多田洋輔!三位数</vt:lpstr>
      <vt:lpstr>大池陸斗!三位数</vt:lpstr>
      <vt:lpstr>滝沢悠人!三位数</vt:lpstr>
      <vt:lpstr>中川弘崇!三位数</vt:lpstr>
      <vt:lpstr>中村花菜!三位数</vt:lpstr>
      <vt:lpstr>中村季暉!三位数</vt:lpstr>
      <vt:lpstr>長野柊馬!三位数</vt:lpstr>
      <vt:lpstr>田名網新!三位数</vt:lpstr>
      <vt:lpstr>渡部陵瑛!三位数</vt:lpstr>
      <vt:lpstr>唐澤聖矢!三位数</vt:lpstr>
      <vt:lpstr>湯本咲蔵!三位数</vt:lpstr>
      <vt:lpstr>百瀬成空!三位数</vt:lpstr>
      <vt:lpstr>福澤大地!三位数</vt:lpstr>
      <vt:lpstr>保谷一貴!三位数</vt:lpstr>
      <vt:lpstr>北沢蓮太郎!三位数</vt:lpstr>
      <vt:lpstr>木角有希!三位数</vt:lpstr>
      <vt:lpstr>矢ヶ崎健!三位数</vt:lpstr>
      <vt:lpstr>柳澤颯吾!三位数</vt:lpstr>
      <vt:lpstr>両角慧太!三位数</vt:lpstr>
      <vt:lpstr>髙橋桜!三位数</vt:lpstr>
      <vt:lpstr>三位数</vt:lpstr>
      <vt:lpstr>'Template (3)'!三位率</vt:lpstr>
      <vt:lpstr>阿部圭太朗!三位率</vt:lpstr>
      <vt:lpstr>伊藤仁城!三位率</vt:lpstr>
      <vt:lpstr>依田幸憲!三位率</vt:lpstr>
      <vt:lpstr>塩入悠!三位率</vt:lpstr>
      <vt:lpstr>巻島夢樹!三位率</vt:lpstr>
      <vt:lpstr>関谷洸佑!三位率</vt:lpstr>
      <vt:lpstr>吉澤諒!三位率</vt:lpstr>
      <vt:lpstr>宮澤七星!三位率</vt:lpstr>
      <vt:lpstr>高野源太!三位率</vt:lpstr>
      <vt:lpstr>佐藤成浩!三位率</vt:lpstr>
      <vt:lpstr>坂本羽弥斗!三位率</vt:lpstr>
      <vt:lpstr>山崎葵!三位率</vt:lpstr>
      <vt:lpstr>山本悠介!三位率</vt:lpstr>
      <vt:lpstr>市川大智!三位率</vt:lpstr>
      <vt:lpstr>所附快和!三位率</vt:lpstr>
      <vt:lpstr>小林郁斗!三位率</vt:lpstr>
      <vt:lpstr>松澤亮太!三位率</vt:lpstr>
      <vt:lpstr>清水常緑!三位率</vt:lpstr>
      <vt:lpstr>西沢武留!三位率</vt:lpstr>
      <vt:lpstr>石原凛人!三位率</vt:lpstr>
      <vt:lpstr>石澤巧望!三位率</vt:lpstr>
      <vt:lpstr>川上翔大!三位率</vt:lpstr>
      <vt:lpstr>全体!三位率</vt:lpstr>
      <vt:lpstr>多田洋輔!三位率</vt:lpstr>
      <vt:lpstr>大池陸斗!三位率</vt:lpstr>
      <vt:lpstr>滝沢悠人!三位率</vt:lpstr>
      <vt:lpstr>中川弘崇!三位率</vt:lpstr>
      <vt:lpstr>中村花菜!三位率</vt:lpstr>
      <vt:lpstr>中村季暉!三位率</vt:lpstr>
      <vt:lpstr>長野柊馬!三位率</vt:lpstr>
      <vt:lpstr>田名網新!三位率</vt:lpstr>
      <vt:lpstr>渡部陵瑛!三位率</vt:lpstr>
      <vt:lpstr>唐澤聖矢!三位率</vt:lpstr>
      <vt:lpstr>湯本咲蔵!三位率</vt:lpstr>
      <vt:lpstr>百瀬成空!三位率</vt:lpstr>
      <vt:lpstr>福澤大地!三位率</vt:lpstr>
      <vt:lpstr>保谷一貴!三位率</vt:lpstr>
      <vt:lpstr>北沢蓮太郎!三位率</vt:lpstr>
      <vt:lpstr>木角有希!三位率</vt:lpstr>
      <vt:lpstr>矢ヶ崎健!三位率</vt:lpstr>
      <vt:lpstr>柳澤颯吾!三位率</vt:lpstr>
      <vt:lpstr>両角慧太!三位率</vt:lpstr>
      <vt:lpstr>髙橋桜!三位率</vt:lpstr>
      <vt:lpstr>三位率</vt:lpstr>
      <vt:lpstr>'Template (3)'!総局数</vt:lpstr>
      <vt:lpstr>阿部圭太朗!総局数</vt:lpstr>
      <vt:lpstr>伊藤仁城!総局数</vt:lpstr>
      <vt:lpstr>依田幸憲!総局数</vt:lpstr>
      <vt:lpstr>塩入悠!総局数</vt:lpstr>
      <vt:lpstr>巻島夢樹!総局数</vt:lpstr>
      <vt:lpstr>関谷洸佑!総局数</vt:lpstr>
      <vt:lpstr>吉澤諒!総局数</vt:lpstr>
      <vt:lpstr>宮澤七星!総局数</vt:lpstr>
      <vt:lpstr>高野源太!総局数</vt:lpstr>
      <vt:lpstr>佐藤成浩!総局数</vt:lpstr>
      <vt:lpstr>坂本羽弥斗!総局数</vt:lpstr>
      <vt:lpstr>山崎葵!総局数</vt:lpstr>
      <vt:lpstr>山本悠介!総局数</vt:lpstr>
      <vt:lpstr>市川大智!総局数</vt:lpstr>
      <vt:lpstr>所附快和!総局数</vt:lpstr>
      <vt:lpstr>小林郁斗!総局数</vt:lpstr>
      <vt:lpstr>松澤亮太!総局数</vt:lpstr>
      <vt:lpstr>清水常緑!総局数</vt:lpstr>
      <vt:lpstr>西沢武留!総局数</vt:lpstr>
      <vt:lpstr>石原凛人!総局数</vt:lpstr>
      <vt:lpstr>石澤巧望!総局数</vt:lpstr>
      <vt:lpstr>川上翔大!総局数</vt:lpstr>
      <vt:lpstr>全体!総局数</vt:lpstr>
      <vt:lpstr>多田洋輔!総局数</vt:lpstr>
      <vt:lpstr>大池陸斗!総局数</vt:lpstr>
      <vt:lpstr>滝沢悠人!総局数</vt:lpstr>
      <vt:lpstr>中川弘崇!総局数</vt:lpstr>
      <vt:lpstr>中村花菜!総局数</vt:lpstr>
      <vt:lpstr>中村季暉!総局数</vt:lpstr>
      <vt:lpstr>長野柊馬!総局数</vt:lpstr>
      <vt:lpstr>田名網新!総局数</vt:lpstr>
      <vt:lpstr>渡部陵瑛!総局数</vt:lpstr>
      <vt:lpstr>唐澤聖矢!総局数</vt:lpstr>
      <vt:lpstr>湯本咲蔵!総局数</vt:lpstr>
      <vt:lpstr>百瀬成空!総局数</vt:lpstr>
      <vt:lpstr>福澤大地!総局数</vt:lpstr>
      <vt:lpstr>保谷一貴!総局数</vt:lpstr>
      <vt:lpstr>北沢蓮太郎!総局数</vt:lpstr>
      <vt:lpstr>木角有希!総局数</vt:lpstr>
      <vt:lpstr>矢ヶ崎健!総局数</vt:lpstr>
      <vt:lpstr>柳澤颯吾!総局数</vt:lpstr>
      <vt:lpstr>両角慧太!総局数</vt:lpstr>
      <vt:lpstr>髙橋桜!総局数</vt:lpstr>
      <vt:lpstr>総局数</vt:lpstr>
      <vt:lpstr>'Template (3)'!対戦数</vt:lpstr>
      <vt:lpstr>阿部圭太朗!対戦数</vt:lpstr>
      <vt:lpstr>伊藤仁城!対戦数</vt:lpstr>
      <vt:lpstr>依田幸憲!対戦数</vt:lpstr>
      <vt:lpstr>塩入悠!対戦数</vt:lpstr>
      <vt:lpstr>巻島夢樹!対戦数</vt:lpstr>
      <vt:lpstr>関谷洸佑!対戦数</vt:lpstr>
      <vt:lpstr>吉澤諒!対戦数</vt:lpstr>
      <vt:lpstr>宮澤七星!対戦数</vt:lpstr>
      <vt:lpstr>高野源太!対戦数</vt:lpstr>
      <vt:lpstr>佐藤成浩!対戦数</vt:lpstr>
      <vt:lpstr>坂本羽弥斗!対戦数</vt:lpstr>
      <vt:lpstr>山崎葵!対戦数</vt:lpstr>
      <vt:lpstr>山本悠介!対戦数</vt:lpstr>
      <vt:lpstr>市川大智!対戦数</vt:lpstr>
      <vt:lpstr>所附快和!対戦数</vt:lpstr>
      <vt:lpstr>小林郁斗!対戦数</vt:lpstr>
      <vt:lpstr>松澤亮太!対戦数</vt:lpstr>
      <vt:lpstr>清水常緑!対戦数</vt:lpstr>
      <vt:lpstr>西沢武留!対戦数</vt:lpstr>
      <vt:lpstr>石原凛人!対戦数</vt:lpstr>
      <vt:lpstr>石澤巧望!対戦数</vt:lpstr>
      <vt:lpstr>川上翔大!対戦数</vt:lpstr>
      <vt:lpstr>全体!対戦数</vt:lpstr>
      <vt:lpstr>多田洋輔!対戦数</vt:lpstr>
      <vt:lpstr>大池陸斗!対戦数</vt:lpstr>
      <vt:lpstr>滝沢悠人!対戦数</vt:lpstr>
      <vt:lpstr>中川弘崇!対戦数</vt:lpstr>
      <vt:lpstr>中村花菜!対戦数</vt:lpstr>
      <vt:lpstr>中村季暉!対戦数</vt:lpstr>
      <vt:lpstr>長野柊馬!対戦数</vt:lpstr>
      <vt:lpstr>田名網新!対戦数</vt:lpstr>
      <vt:lpstr>渡部陵瑛!対戦数</vt:lpstr>
      <vt:lpstr>唐澤聖矢!対戦数</vt:lpstr>
      <vt:lpstr>湯本咲蔵!対戦数</vt:lpstr>
      <vt:lpstr>百瀬成空!対戦数</vt:lpstr>
      <vt:lpstr>福澤大地!対戦数</vt:lpstr>
      <vt:lpstr>保谷一貴!対戦数</vt:lpstr>
      <vt:lpstr>北沢蓮太郎!対戦数</vt:lpstr>
      <vt:lpstr>木角有希!対戦数</vt:lpstr>
      <vt:lpstr>矢ヶ崎健!対戦数</vt:lpstr>
      <vt:lpstr>柳澤颯吾!対戦数</vt:lpstr>
      <vt:lpstr>両角慧太!対戦数</vt:lpstr>
      <vt:lpstr>髙橋桜!対戦数</vt:lpstr>
      <vt:lpstr>対戦数</vt:lpstr>
      <vt:lpstr>'Template (3)'!通算アガリ点</vt:lpstr>
      <vt:lpstr>阿部圭太朗!通算アガリ点</vt:lpstr>
      <vt:lpstr>伊藤仁城!通算アガリ点</vt:lpstr>
      <vt:lpstr>依田幸憲!通算アガリ点</vt:lpstr>
      <vt:lpstr>塩入悠!通算アガリ点</vt:lpstr>
      <vt:lpstr>巻島夢樹!通算アガリ点</vt:lpstr>
      <vt:lpstr>関谷洸佑!通算アガリ点</vt:lpstr>
      <vt:lpstr>吉澤諒!通算アガリ点</vt:lpstr>
      <vt:lpstr>宮澤七星!通算アガリ点</vt:lpstr>
      <vt:lpstr>高野源太!通算アガリ点</vt:lpstr>
      <vt:lpstr>佐藤成浩!通算アガリ点</vt:lpstr>
      <vt:lpstr>坂本羽弥斗!通算アガリ点</vt:lpstr>
      <vt:lpstr>山崎葵!通算アガリ点</vt:lpstr>
      <vt:lpstr>山本悠介!通算アガリ点</vt:lpstr>
      <vt:lpstr>市川大智!通算アガリ点</vt:lpstr>
      <vt:lpstr>所附快和!通算アガリ点</vt:lpstr>
      <vt:lpstr>小林郁斗!通算アガリ点</vt:lpstr>
      <vt:lpstr>松澤亮太!通算アガリ点</vt:lpstr>
      <vt:lpstr>清水常緑!通算アガリ点</vt:lpstr>
      <vt:lpstr>西沢武留!通算アガリ点</vt:lpstr>
      <vt:lpstr>石原凛人!通算アガリ点</vt:lpstr>
      <vt:lpstr>石澤巧望!通算アガリ点</vt:lpstr>
      <vt:lpstr>川上翔大!通算アガリ点</vt:lpstr>
      <vt:lpstr>全体!通算アガリ点</vt:lpstr>
      <vt:lpstr>多田洋輔!通算アガリ点</vt:lpstr>
      <vt:lpstr>大池陸斗!通算アガリ点</vt:lpstr>
      <vt:lpstr>滝沢悠人!通算アガリ点</vt:lpstr>
      <vt:lpstr>中川弘崇!通算アガリ点</vt:lpstr>
      <vt:lpstr>中村花菜!通算アガリ点</vt:lpstr>
      <vt:lpstr>中村季暉!通算アガリ点</vt:lpstr>
      <vt:lpstr>長野柊馬!通算アガリ点</vt:lpstr>
      <vt:lpstr>田名網新!通算アガリ点</vt:lpstr>
      <vt:lpstr>渡部陵瑛!通算アガリ点</vt:lpstr>
      <vt:lpstr>唐澤聖矢!通算アガリ点</vt:lpstr>
      <vt:lpstr>湯本咲蔵!通算アガリ点</vt:lpstr>
      <vt:lpstr>百瀬成空!通算アガリ点</vt:lpstr>
      <vt:lpstr>福澤大地!通算アガリ点</vt:lpstr>
      <vt:lpstr>保谷一貴!通算アガリ点</vt:lpstr>
      <vt:lpstr>北沢蓮太郎!通算アガリ点</vt:lpstr>
      <vt:lpstr>木角有希!通算アガリ点</vt:lpstr>
      <vt:lpstr>矢ヶ崎健!通算アガリ点</vt:lpstr>
      <vt:lpstr>柳澤颯吾!通算アガリ点</vt:lpstr>
      <vt:lpstr>両角慧太!通算アガリ点</vt:lpstr>
      <vt:lpstr>髙橋桜!通算アガリ点</vt:lpstr>
      <vt:lpstr>通算アガリ点</vt:lpstr>
      <vt:lpstr>'Template (3)'!通算スコア</vt:lpstr>
      <vt:lpstr>阿部圭太朗!通算スコア</vt:lpstr>
      <vt:lpstr>伊藤仁城!通算スコア</vt:lpstr>
      <vt:lpstr>依田幸憲!通算スコア</vt:lpstr>
      <vt:lpstr>塩入悠!通算スコア</vt:lpstr>
      <vt:lpstr>巻島夢樹!通算スコア</vt:lpstr>
      <vt:lpstr>関谷洸佑!通算スコア</vt:lpstr>
      <vt:lpstr>吉澤諒!通算スコア</vt:lpstr>
      <vt:lpstr>宮澤七星!通算スコア</vt:lpstr>
      <vt:lpstr>高野源太!通算スコア</vt:lpstr>
      <vt:lpstr>佐藤成浩!通算スコア</vt:lpstr>
      <vt:lpstr>坂本羽弥斗!通算スコア</vt:lpstr>
      <vt:lpstr>山崎葵!通算スコア</vt:lpstr>
      <vt:lpstr>山本悠介!通算スコア</vt:lpstr>
      <vt:lpstr>市川大智!通算スコア</vt:lpstr>
      <vt:lpstr>所附快和!通算スコア</vt:lpstr>
      <vt:lpstr>小林郁斗!通算スコア</vt:lpstr>
      <vt:lpstr>松澤亮太!通算スコア</vt:lpstr>
      <vt:lpstr>清水常緑!通算スコア</vt:lpstr>
      <vt:lpstr>西沢武留!通算スコア</vt:lpstr>
      <vt:lpstr>石原凛人!通算スコア</vt:lpstr>
      <vt:lpstr>石澤巧望!通算スコア</vt:lpstr>
      <vt:lpstr>川上翔大!通算スコア</vt:lpstr>
      <vt:lpstr>全体!通算スコア</vt:lpstr>
      <vt:lpstr>多田洋輔!通算スコア</vt:lpstr>
      <vt:lpstr>大池陸斗!通算スコア</vt:lpstr>
      <vt:lpstr>滝沢悠人!通算スコア</vt:lpstr>
      <vt:lpstr>中川弘崇!通算スコア</vt:lpstr>
      <vt:lpstr>中村花菜!通算スコア</vt:lpstr>
      <vt:lpstr>中村季暉!通算スコア</vt:lpstr>
      <vt:lpstr>長野柊馬!通算スコア</vt:lpstr>
      <vt:lpstr>田名網新!通算スコア</vt:lpstr>
      <vt:lpstr>渡部陵瑛!通算スコア</vt:lpstr>
      <vt:lpstr>唐澤聖矢!通算スコア</vt:lpstr>
      <vt:lpstr>湯本咲蔵!通算スコア</vt:lpstr>
      <vt:lpstr>百瀬成空!通算スコア</vt:lpstr>
      <vt:lpstr>福澤大地!通算スコア</vt:lpstr>
      <vt:lpstr>保谷一貴!通算スコア</vt:lpstr>
      <vt:lpstr>北沢蓮太郎!通算スコア</vt:lpstr>
      <vt:lpstr>木角有希!通算スコア</vt:lpstr>
      <vt:lpstr>矢ヶ崎健!通算スコア</vt:lpstr>
      <vt:lpstr>柳澤颯吾!通算スコア</vt:lpstr>
      <vt:lpstr>両角慧太!通算スコア</vt:lpstr>
      <vt:lpstr>髙橋桜!通算スコア</vt:lpstr>
      <vt:lpstr>通算スコア</vt:lpstr>
      <vt:lpstr>'Template (3)'!通算副露アガリ点</vt:lpstr>
      <vt:lpstr>阿部圭太朗!通算副露アガリ点</vt:lpstr>
      <vt:lpstr>伊藤仁城!通算副露アガリ点</vt:lpstr>
      <vt:lpstr>依田幸憲!通算副露アガリ点</vt:lpstr>
      <vt:lpstr>塩入悠!通算副露アガリ点</vt:lpstr>
      <vt:lpstr>巻島夢樹!通算副露アガリ点</vt:lpstr>
      <vt:lpstr>関谷洸佑!通算副露アガリ点</vt:lpstr>
      <vt:lpstr>吉澤諒!通算副露アガリ点</vt:lpstr>
      <vt:lpstr>宮澤七星!通算副露アガリ点</vt:lpstr>
      <vt:lpstr>高野源太!通算副露アガリ点</vt:lpstr>
      <vt:lpstr>佐藤成浩!通算副露アガリ点</vt:lpstr>
      <vt:lpstr>坂本羽弥斗!通算副露アガリ点</vt:lpstr>
      <vt:lpstr>山崎葵!通算副露アガリ点</vt:lpstr>
      <vt:lpstr>山本悠介!通算副露アガリ点</vt:lpstr>
      <vt:lpstr>市川大智!通算副露アガリ点</vt:lpstr>
      <vt:lpstr>所附快和!通算副露アガリ点</vt:lpstr>
      <vt:lpstr>小林郁斗!通算副露アガリ点</vt:lpstr>
      <vt:lpstr>松澤亮太!通算副露アガリ点</vt:lpstr>
      <vt:lpstr>清水常緑!通算副露アガリ点</vt:lpstr>
      <vt:lpstr>西沢武留!通算副露アガリ点</vt:lpstr>
      <vt:lpstr>石原凛人!通算副露アガリ点</vt:lpstr>
      <vt:lpstr>石澤巧望!通算副露アガリ点</vt:lpstr>
      <vt:lpstr>川上翔大!通算副露アガリ点</vt:lpstr>
      <vt:lpstr>全体!通算副露アガリ点</vt:lpstr>
      <vt:lpstr>多田洋輔!通算副露アガリ点</vt:lpstr>
      <vt:lpstr>大池陸斗!通算副露アガリ点</vt:lpstr>
      <vt:lpstr>滝沢悠人!通算副露アガリ点</vt:lpstr>
      <vt:lpstr>中川弘崇!通算副露アガリ点</vt:lpstr>
      <vt:lpstr>中村花菜!通算副露アガリ点</vt:lpstr>
      <vt:lpstr>中村季暉!通算副露アガリ点</vt:lpstr>
      <vt:lpstr>長野柊馬!通算副露アガリ点</vt:lpstr>
      <vt:lpstr>田名網新!通算副露アガリ点</vt:lpstr>
      <vt:lpstr>渡部陵瑛!通算副露アガリ点</vt:lpstr>
      <vt:lpstr>唐澤聖矢!通算副露アガリ点</vt:lpstr>
      <vt:lpstr>湯本咲蔵!通算副露アガリ点</vt:lpstr>
      <vt:lpstr>百瀬成空!通算副露アガリ点</vt:lpstr>
      <vt:lpstr>福澤大地!通算副露アガリ点</vt:lpstr>
      <vt:lpstr>保谷一貴!通算副露アガリ点</vt:lpstr>
      <vt:lpstr>北沢蓮太郎!通算副露アガリ点</vt:lpstr>
      <vt:lpstr>木角有希!通算副露アガリ点</vt:lpstr>
      <vt:lpstr>矢ヶ崎健!通算副露アガリ点</vt:lpstr>
      <vt:lpstr>柳澤颯吾!通算副露アガリ点</vt:lpstr>
      <vt:lpstr>両角慧太!通算副露アガリ点</vt:lpstr>
      <vt:lpstr>髙橋桜!通算副露アガリ点</vt:lpstr>
      <vt:lpstr>通算副露アガリ点</vt:lpstr>
      <vt:lpstr>'Template (3)'!通算放銃点</vt:lpstr>
      <vt:lpstr>阿部圭太朗!通算放銃点</vt:lpstr>
      <vt:lpstr>伊藤仁城!通算放銃点</vt:lpstr>
      <vt:lpstr>依田幸憲!通算放銃点</vt:lpstr>
      <vt:lpstr>塩入悠!通算放銃点</vt:lpstr>
      <vt:lpstr>巻島夢樹!通算放銃点</vt:lpstr>
      <vt:lpstr>関谷洸佑!通算放銃点</vt:lpstr>
      <vt:lpstr>吉澤諒!通算放銃点</vt:lpstr>
      <vt:lpstr>宮澤七星!通算放銃点</vt:lpstr>
      <vt:lpstr>高野源太!通算放銃点</vt:lpstr>
      <vt:lpstr>佐藤成浩!通算放銃点</vt:lpstr>
      <vt:lpstr>坂本羽弥斗!通算放銃点</vt:lpstr>
      <vt:lpstr>山崎葵!通算放銃点</vt:lpstr>
      <vt:lpstr>山本悠介!通算放銃点</vt:lpstr>
      <vt:lpstr>市川大智!通算放銃点</vt:lpstr>
      <vt:lpstr>所附快和!通算放銃点</vt:lpstr>
      <vt:lpstr>小林郁斗!通算放銃点</vt:lpstr>
      <vt:lpstr>松澤亮太!通算放銃点</vt:lpstr>
      <vt:lpstr>清水常緑!通算放銃点</vt:lpstr>
      <vt:lpstr>西沢武留!通算放銃点</vt:lpstr>
      <vt:lpstr>石原凛人!通算放銃点</vt:lpstr>
      <vt:lpstr>石澤巧望!通算放銃点</vt:lpstr>
      <vt:lpstr>川上翔大!通算放銃点</vt:lpstr>
      <vt:lpstr>全体!通算放銃点</vt:lpstr>
      <vt:lpstr>多田洋輔!通算放銃点</vt:lpstr>
      <vt:lpstr>大池陸斗!通算放銃点</vt:lpstr>
      <vt:lpstr>滝沢悠人!通算放銃点</vt:lpstr>
      <vt:lpstr>中川弘崇!通算放銃点</vt:lpstr>
      <vt:lpstr>中村花菜!通算放銃点</vt:lpstr>
      <vt:lpstr>中村季暉!通算放銃点</vt:lpstr>
      <vt:lpstr>長野柊馬!通算放銃点</vt:lpstr>
      <vt:lpstr>田名網新!通算放銃点</vt:lpstr>
      <vt:lpstr>渡部陵瑛!通算放銃点</vt:lpstr>
      <vt:lpstr>唐澤聖矢!通算放銃点</vt:lpstr>
      <vt:lpstr>湯本咲蔵!通算放銃点</vt:lpstr>
      <vt:lpstr>百瀬成空!通算放銃点</vt:lpstr>
      <vt:lpstr>福澤大地!通算放銃点</vt:lpstr>
      <vt:lpstr>保谷一貴!通算放銃点</vt:lpstr>
      <vt:lpstr>北沢蓮太郎!通算放銃点</vt:lpstr>
      <vt:lpstr>木角有希!通算放銃点</vt:lpstr>
      <vt:lpstr>矢ヶ崎健!通算放銃点</vt:lpstr>
      <vt:lpstr>柳澤颯吾!通算放銃点</vt:lpstr>
      <vt:lpstr>両角慧太!通算放銃点</vt:lpstr>
      <vt:lpstr>髙橋桜!通算放銃点</vt:lpstr>
      <vt:lpstr>通算放銃点</vt:lpstr>
      <vt:lpstr>'Template (3)'!通算門前アガリ点</vt:lpstr>
      <vt:lpstr>阿部圭太朗!通算門前アガリ点</vt:lpstr>
      <vt:lpstr>伊藤仁城!通算門前アガリ点</vt:lpstr>
      <vt:lpstr>依田幸憲!通算門前アガリ点</vt:lpstr>
      <vt:lpstr>塩入悠!通算門前アガリ点</vt:lpstr>
      <vt:lpstr>巻島夢樹!通算門前アガリ点</vt:lpstr>
      <vt:lpstr>関谷洸佑!通算門前アガリ点</vt:lpstr>
      <vt:lpstr>吉澤諒!通算門前アガリ点</vt:lpstr>
      <vt:lpstr>宮澤七星!通算門前アガリ点</vt:lpstr>
      <vt:lpstr>高野源太!通算門前アガリ点</vt:lpstr>
      <vt:lpstr>佐藤成浩!通算門前アガリ点</vt:lpstr>
      <vt:lpstr>坂本羽弥斗!通算門前アガリ点</vt:lpstr>
      <vt:lpstr>山崎葵!通算門前アガリ点</vt:lpstr>
      <vt:lpstr>山本悠介!通算門前アガリ点</vt:lpstr>
      <vt:lpstr>市川大智!通算門前アガリ点</vt:lpstr>
      <vt:lpstr>所附快和!通算門前アガリ点</vt:lpstr>
      <vt:lpstr>小林郁斗!通算門前アガリ点</vt:lpstr>
      <vt:lpstr>松澤亮太!通算門前アガリ点</vt:lpstr>
      <vt:lpstr>清水常緑!通算門前アガリ点</vt:lpstr>
      <vt:lpstr>西沢武留!通算門前アガリ点</vt:lpstr>
      <vt:lpstr>石原凛人!通算門前アガリ点</vt:lpstr>
      <vt:lpstr>石澤巧望!通算門前アガリ点</vt:lpstr>
      <vt:lpstr>川上翔大!通算門前アガリ点</vt:lpstr>
      <vt:lpstr>全体!通算門前アガリ点</vt:lpstr>
      <vt:lpstr>多田洋輔!通算門前アガリ点</vt:lpstr>
      <vt:lpstr>大池陸斗!通算門前アガリ点</vt:lpstr>
      <vt:lpstr>滝沢悠人!通算門前アガリ点</vt:lpstr>
      <vt:lpstr>中川弘崇!通算門前アガリ点</vt:lpstr>
      <vt:lpstr>中村花菜!通算門前アガリ点</vt:lpstr>
      <vt:lpstr>中村季暉!通算門前アガリ点</vt:lpstr>
      <vt:lpstr>長野柊馬!通算門前アガリ点</vt:lpstr>
      <vt:lpstr>田名網新!通算門前アガリ点</vt:lpstr>
      <vt:lpstr>渡部陵瑛!通算門前アガリ点</vt:lpstr>
      <vt:lpstr>唐澤聖矢!通算門前アガリ点</vt:lpstr>
      <vt:lpstr>湯本咲蔵!通算門前アガリ点</vt:lpstr>
      <vt:lpstr>百瀬成空!通算門前アガリ点</vt:lpstr>
      <vt:lpstr>福澤大地!通算門前アガリ点</vt:lpstr>
      <vt:lpstr>保谷一貴!通算門前アガリ点</vt:lpstr>
      <vt:lpstr>北沢蓮太郎!通算門前アガリ点</vt:lpstr>
      <vt:lpstr>木角有希!通算門前アガリ点</vt:lpstr>
      <vt:lpstr>矢ヶ崎健!通算門前アガリ点</vt:lpstr>
      <vt:lpstr>柳澤颯吾!通算門前アガリ点</vt:lpstr>
      <vt:lpstr>両角慧太!通算門前アガリ点</vt:lpstr>
      <vt:lpstr>髙橋桜!通算門前アガリ点</vt:lpstr>
      <vt:lpstr>通算門前アガリ点</vt:lpstr>
      <vt:lpstr>'Template (3)'!二位数</vt:lpstr>
      <vt:lpstr>阿部圭太朗!二位数</vt:lpstr>
      <vt:lpstr>伊藤仁城!二位数</vt:lpstr>
      <vt:lpstr>依田幸憲!二位数</vt:lpstr>
      <vt:lpstr>塩入悠!二位数</vt:lpstr>
      <vt:lpstr>巻島夢樹!二位数</vt:lpstr>
      <vt:lpstr>関谷洸佑!二位数</vt:lpstr>
      <vt:lpstr>吉澤諒!二位数</vt:lpstr>
      <vt:lpstr>宮澤七星!二位数</vt:lpstr>
      <vt:lpstr>高野源太!二位数</vt:lpstr>
      <vt:lpstr>佐藤成浩!二位数</vt:lpstr>
      <vt:lpstr>坂本羽弥斗!二位数</vt:lpstr>
      <vt:lpstr>山崎葵!二位数</vt:lpstr>
      <vt:lpstr>山本悠介!二位数</vt:lpstr>
      <vt:lpstr>市川大智!二位数</vt:lpstr>
      <vt:lpstr>所附快和!二位数</vt:lpstr>
      <vt:lpstr>小林郁斗!二位数</vt:lpstr>
      <vt:lpstr>松澤亮太!二位数</vt:lpstr>
      <vt:lpstr>清水常緑!二位数</vt:lpstr>
      <vt:lpstr>西沢武留!二位数</vt:lpstr>
      <vt:lpstr>石原凛人!二位数</vt:lpstr>
      <vt:lpstr>石澤巧望!二位数</vt:lpstr>
      <vt:lpstr>川上翔大!二位数</vt:lpstr>
      <vt:lpstr>全体!二位数</vt:lpstr>
      <vt:lpstr>多田洋輔!二位数</vt:lpstr>
      <vt:lpstr>大池陸斗!二位数</vt:lpstr>
      <vt:lpstr>滝沢悠人!二位数</vt:lpstr>
      <vt:lpstr>中川弘崇!二位数</vt:lpstr>
      <vt:lpstr>中村花菜!二位数</vt:lpstr>
      <vt:lpstr>中村季暉!二位数</vt:lpstr>
      <vt:lpstr>長野柊馬!二位数</vt:lpstr>
      <vt:lpstr>田名網新!二位数</vt:lpstr>
      <vt:lpstr>渡部陵瑛!二位数</vt:lpstr>
      <vt:lpstr>唐澤聖矢!二位数</vt:lpstr>
      <vt:lpstr>湯本咲蔵!二位数</vt:lpstr>
      <vt:lpstr>百瀬成空!二位数</vt:lpstr>
      <vt:lpstr>福澤大地!二位数</vt:lpstr>
      <vt:lpstr>保谷一貴!二位数</vt:lpstr>
      <vt:lpstr>北沢蓮太郎!二位数</vt:lpstr>
      <vt:lpstr>木角有希!二位数</vt:lpstr>
      <vt:lpstr>矢ヶ崎健!二位数</vt:lpstr>
      <vt:lpstr>柳澤颯吾!二位数</vt:lpstr>
      <vt:lpstr>両角慧太!二位数</vt:lpstr>
      <vt:lpstr>髙橋桜!二位数</vt:lpstr>
      <vt:lpstr>二位数</vt:lpstr>
      <vt:lpstr>'Template (3)'!二位率</vt:lpstr>
      <vt:lpstr>阿部圭太朗!二位率</vt:lpstr>
      <vt:lpstr>伊藤仁城!二位率</vt:lpstr>
      <vt:lpstr>依田幸憲!二位率</vt:lpstr>
      <vt:lpstr>塩入悠!二位率</vt:lpstr>
      <vt:lpstr>巻島夢樹!二位率</vt:lpstr>
      <vt:lpstr>関谷洸佑!二位率</vt:lpstr>
      <vt:lpstr>吉澤諒!二位率</vt:lpstr>
      <vt:lpstr>宮澤七星!二位率</vt:lpstr>
      <vt:lpstr>高野源太!二位率</vt:lpstr>
      <vt:lpstr>佐藤成浩!二位率</vt:lpstr>
      <vt:lpstr>坂本羽弥斗!二位率</vt:lpstr>
      <vt:lpstr>山崎葵!二位率</vt:lpstr>
      <vt:lpstr>山本悠介!二位率</vt:lpstr>
      <vt:lpstr>市川大智!二位率</vt:lpstr>
      <vt:lpstr>所附快和!二位率</vt:lpstr>
      <vt:lpstr>小林郁斗!二位率</vt:lpstr>
      <vt:lpstr>松澤亮太!二位率</vt:lpstr>
      <vt:lpstr>清水常緑!二位率</vt:lpstr>
      <vt:lpstr>西沢武留!二位率</vt:lpstr>
      <vt:lpstr>石原凛人!二位率</vt:lpstr>
      <vt:lpstr>石澤巧望!二位率</vt:lpstr>
      <vt:lpstr>川上翔大!二位率</vt:lpstr>
      <vt:lpstr>全体!二位率</vt:lpstr>
      <vt:lpstr>多田洋輔!二位率</vt:lpstr>
      <vt:lpstr>大池陸斗!二位率</vt:lpstr>
      <vt:lpstr>滝沢悠人!二位率</vt:lpstr>
      <vt:lpstr>中川弘崇!二位率</vt:lpstr>
      <vt:lpstr>中村花菜!二位率</vt:lpstr>
      <vt:lpstr>中村季暉!二位率</vt:lpstr>
      <vt:lpstr>長野柊馬!二位率</vt:lpstr>
      <vt:lpstr>田名網新!二位率</vt:lpstr>
      <vt:lpstr>渡部陵瑛!二位率</vt:lpstr>
      <vt:lpstr>唐澤聖矢!二位率</vt:lpstr>
      <vt:lpstr>湯本咲蔵!二位率</vt:lpstr>
      <vt:lpstr>百瀬成空!二位率</vt:lpstr>
      <vt:lpstr>福澤大地!二位率</vt:lpstr>
      <vt:lpstr>保谷一貴!二位率</vt:lpstr>
      <vt:lpstr>北沢蓮太郎!二位率</vt:lpstr>
      <vt:lpstr>木角有希!二位率</vt:lpstr>
      <vt:lpstr>矢ヶ崎健!二位率</vt:lpstr>
      <vt:lpstr>柳澤颯吾!二位率</vt:lpstr>
      <vt:lpstr>両角慧太!二位率</vt:lpstr>
      <vt:lpstr>髙橋桜!二位率</vt:lpstr>
      <vt:lpstr>二位率</vt:lpstr>
      <vt:lpstr>'Template (3)'!副露アガリ数</vt:lpstr>
      <vt:lpstr>阿部圭太朗!副露アガリ数</vt:lpstr>
      <vt:lpstr>伊藤仁城!副露アガリ数</vt:lpstr>
      <vt:lpstr>依田幸憲!副露アガリ数</vt:lpstr>
      <vt:lpstr>塩入悠!副露アガリ数</vt:lpstr>
      <vt:lpstr>巻島夢樹!副露アガリ数</vt:lpstr>
      <vt:lpstr>関谷洸佑!副露アガリ数</vt:lpstr>
      <vt:lpstr>吉澤諒!副露アガリ数</vt:lpstr>
      <vt:lpstr>宮澤七星!副露アガリ数</vt:lpstr>
      <vt:lpstr>高野源太!副露アガリ数</vt:lpstr>
      <vt:lpstr>佐藤成浩!副露アガリ数</vt:lpstr>
      <vt:lpstr>坂本羽弥斗!副露アガリ数</vt:lpstr>
      <vt:lpstr>山崎葵!副露アガリ数</vt:lpstr>
      <vt:lpstr>山本悠介!副露アガリ数</vt:lpstr>
      <vt:lpstr>市川大智!副露アガリ数</vt:lpstr>
      <vt:lpstr>所附快和!副露アガリ数</vt:lpstr>
      <vt:lpstr>小林郁斗!副露アガリ数</vt:lpstr>
      <vt:lpstr>松澤亮太!副露アガリ数</vt:lpstr>
      <vt:lpstr>清水常緑!副露アガリ数</vt:lpstr>
      <vt:lpstr>西沢武留!副露アガリ数</vt:lpstr>
      <vt:lpstr>石原凛人!副露アガリ数</vt:lpstr>
      <vt:lpstr>石澤巧望!副露アガリ数</vt:lpstr>
      <vt:lpstr>川上翔大!副露アガリ数</vt:lpstr>
      <vt:lpstr>全体!副露アガリ数</vt:lpstr>
      <vt:lpstr>多田洋輔!副露アガリ数</vt:lpstr>
      <vt:lpstr>大池陸斗!副露アガリ数</vt:lpstr>
      <vt:lpstr>滝沢悠人!副露アガリ数</vt:lpstr>
      <vt:lpstr>中川弘崇!副露アガリ数</vt:lpstr>
      <vt:lpstr>中村花菜!副露アガリ数</vt:lpstr>
      <vt:lpstr>中村季暉!副露アガリ数</vt:lpstr>
      <vt:lpstr>長野柊馬!副露アガリ数</vt:lpstr>
      <vt:lpstr>田名網新!副露アガリ数</vt:lpstr>
      <vt:lpstr>渡部陵瑛!副露アガリ数</vt:lpstr>
      <vt:lpstr>唐澤聖矢!副露アガリ数</vt:lpstr>
      <vt:lpstr>湯本咲蔵!副露アガリ数</vt:lpstr>
      <vt:lpstr>百瀬成空!副露アガリ数</vt:lpstr>
      <vt:lpstr>福澤大地!副露アガリ数</vt:lpstr>
      <vt:lpstr>保谷一貴!副露アガリ数</vt:lpstr>
      <vt:lpstr>北沢蓮太郎!副露アガリ数</vt:lpstr>
      <vt:lpstr>木角有希!副露アガリ数</vt:lpstr>
      <vt:lpstr>矢ヶ崎健!副露アガリ数</vt:lpstr>
      <vt:lpstr>柳澤颯吾!副露アガリ数</vt:lpstr>
      <vt:lpstr>両角慧太!副露アガリ数</vt:lpstr>
      <vt:lpstr>髙橋桜!副露アガリ数</vt:lpstr>
      <vt:lpstr>副露アガリ数</vt:lpstr>
      <vt:lpstr>'Template (3)'!副露アガリ点</vt:lpstr>
      <vt:lpstr>阿部圭太朗!副露アガリ点</vt:lpstr>
      <vt:lpstr>伊藤仁城!副露アガリ点</vt:lpstr>
      <vt:lpstr>依田幸憲!副露アガリ点</vt:lpstr>
      <vt:lpstr>塩入悠!副露アガリ点</vt:lpstr>
      <vt:lpstr>巻島夢樹!副露アガリ点</vt:lpstr>
      <vt:lpstr>関谷洸佑!副露アガリ点</vt:lpstr>
      <vt:lpstr>吉澤諒!副露アガリ点</vt:lpstr>
      <vt:lpstr>宮澤七星!副露アガリ点</vt:lpstr>
      <vt:lpstr>高野源太!副露アガリ点</vt:lpstr>
      <vt:lpstr>佐藤成浩!副露アガリ点</vt:lpstr>
      <vt:lpstr>坂本羽弥斗!副露アガリ点</vt:lpstr>
      <vt:lpstr>山崎葵!副露アガリ点</vt:lpstr>
      <vt:lpstr>山本悠介!副露アガリ点</vt:lpstr>
      <vt:lpstr>市川大智!副露アガリ点</vt:lpstr>
      <vt:lpstr>所附快和!副露アガリ点</vt:lpstr>
      <vt:lpstr>小林郁斗!副露アガリ点</vt:lpstr>
      <vt:lpstr>松澤亮太!副露アガリ点</vt:lpstr>
      <vt:lpstr>清水常緑!副露アガリ点</vt:lpstr>
      <vt:lpstr>西沢武留!副露アガリ点</vt:lpstr>
      <vt:lpstr>石原凛人!副露アガリ点</vt:lpstr>
      <vt:lpstr>石澤巧望!副露アガリ点</vt:lpstr>
      <vt:lpstr>川上翔大!副露アガリ点</vt:lpstr>
      <vt:lpstr>全体!副露アガリ点</vt:lpstr>
      <vt:lpstr>多田洋輔!副露アガリ点</vt:lpstr>
      <vt:lpstr>大池陸斗!副露アガリ点</vt:lpstr>
      <vt:lpstr>滝沢悠人!副露アガリ点</vt:lpstr>
      <vt:lpstr>中川弘崇!副露アガリ点</vt:lpstr>
      <vt:lpstr>中村花菜!副露アガリ点</vt:lpstr>
      <vt:lpstr>中村季暉!副露アガリ点</vt:lpstr>
      <vt:lpstr>長野柊馬!副露アガリ点</vt:lpstr>
      <vt:lpstr>田名網新!副露アガリ点</vt:lpstr>
      <vt:lpstr>渡部陵瑛!副露アガリ点</vt:lpstr>
      <vt:lpstr>唐澤聖矢!副露アガリ点</vt:lpstr>
      <vt:lpstr>湯本咲蔵!副露アガリ点</vt:lpstr>
      <vt:lpstr>百瀬成空!副露アガリ点</vt:lpstr>
      <vt:lpstr>福澤大地!副露アガリ点</vt:lpstr>
      <vt:lpstr>保谷一貴!副露アガリ点</vt:lpstr>
      <vt:lpstr>北沢蓮太郎!副露アガリ点</vt:lpstr>
      <vt:lpstr>木角有希!副露アガリ点</vt:lpstr>
      <vt:lpstr>矢ヶ崎健!副露アガリ点</vt:lpstr>
      <vt:lpstr>柳澤颯吾!副露アガリ点</vt:lpstr>
      <vt:lpstr>両角慧太!副露アガリ点</vt:lpstr>
      <vt:lpstr>髙橋桜!副露アガリ点</vt:lpstr>
      <vt:lpstr>副露アガリ点</vt:lpstr>
      <vt:lpstr>'Template (3)'!副露アガリ率</vt:lpstr>
      <vt:lpstr>阿部圭太朗!副露アガリ率</vt:lpstr>
      <vt:lpstr>伊藤仁城!副露アガリ率</vt:lpstr>
      <vt:lpstr>依田幸憲!副露アガリ率</vt:lpstr>
      <vt:lpstr>塩入悠!副露アガリ率</vt:lpstr>
      <vt:lpstr>巻島夢樹!副露アガリ率</vt:lpstr>
      <vt:lpstr>関谷洸佑!副露アガリ率</vt:lpstr>
      <vt:lpstr>吉澤諒!副露アガリ率</vt:lpstr>
      <vt:lpstr>宮澤七星!副露アガリ率</vt:lpstr>
      <vt:lpstr>高野源太!副露アガリ率</vt:lpstr>
      <vt:lpstr>佐藤成浩!副露アガリ率</vt:lpstr>
      <vt:lpstr>坂本羽弥斗!副露アガリ率</vt:lpstr>
      <vt:lpstr>山崎葵!副露アガリ率</vt:lpstr>
      <vt:lpstr>山本悠介!副露アガリ率</vt:lpstr>
      <vt:lpstr>市川大智!副露アガリ率</vt:lpstr>
      <vt:lpstr>所附快和!副露アガリ率</vt:lpstr>
      <vt:lpstr>小林郁斗!副露アガリ率</vt:lpstr>
      <vt:lpstr>松澤亮太!副露アガリ率</vt:lpstr>
      <vt:lpstr>清水常緑!副露アガリ率</vt:lpstr>
      <vt:lpstr>西沢武留!副露アガリ率</vt:lpstr>
      <vt:lpstr>石原凛人!副露アガリ率</vt:lpstr>
      <vt:lpstr>石澤巧望!副露アガリ率</vt:lpstr>
      <vt:lpstr>川上翔大!副露アガリ率</vt:lpstr>
      <vt:lpstr>全体!副露アガリ率</vt:lpstr>
      <vt:lpstr>多田洋輔!副露アガリ率</vt:lpstr>
      <vt:lpstr>大池陸斗!副露アガリ率</vt:lpstr>
      <vt:lpstr>滝沢悠人!副露アガリ率</vt:lpstr>
      <vt:lpstr>中川弘崇!副露アガリ率</vt:lpstr>
      <vt:lpstr>中村花菜!副露アガリ率</vt:lpstr>
      <vt:lpstr>中村季暉!副露アガリ率</vt:lpstr>
      <vt:lpstr>長野柊馬!副露アガリ率</vt:lpstr>
      <vt:lpstr>田名網新!副露アガリ率</vt:lpstr>
      <vt:lpstr>渡部陵瑛!副露アガリ率</vt:lpstr>
      <vt:lpstr>唐澤聖矢!副露アガリ率</vt:lpstr>
      <vt:lpstr>湯本咲蔵!副露アガリ率</vt:lpstr>
      <vt:lpstr>百瀬成空!副露アガリ率</vt:lpstr>
      <vt:lpstr>福澤大地!副露アガリ率</vt:lpstr>
      <vt:lpstr>保谷一貴!副露アガリ率</vt:lpstr>
      <vt:lpstr>北沢蓮太郎!副露アガリ率</vt:lpstr>
      <vt:lpstr>木角有希!副露アガリ率</vt:lpstr>
      <vt:lpstr>矢ヶ崎健!副露アガリ率</vt:lpstr>
      <vt:lpstr>柳澤颯吾!副露アガリ率</vt:lpstr>
      <vt:lpstr>両角慧太!副露アガリ率</vt:lpstr>
      <vt:lpstr>髙橋桜!副露アガリ率</vt:lpstr>
      <vt:lpstr>副露アガリ率</vt:lpstr>
      <vt:lpstr>'Template (3)'!副露数</vt:lpstr>
      <vt:lpstr>阿部圭太朗!副露数</vt:lpstr>
      <vt:lpstr>伊藤仁城!副露数</vt:lpstr>
      <vt:lpstr>依田幸憲!副露数</vt:lpstr>
      <vt:lpstr>塩入悠!副露数</vt:lpstr>
      <vt:lpstr>巻島夢樹!副露数</vt:lpstr>
      <vt:lpstr>関谷洸佑!副露数</vt:lpstr>
      <vt:lpstr>吉澤諒!副露数</vt:lpstr>
      <vt:lpstr>宮澤七星!副露数</vt:lpstr>
      <vt:lpstr>高野源太!副露数</vt:lpstr>
      <vt:lpstr>佐藤成浩!副露数</vt:lpstr>
      <vt:lpstr>坂本羽弥斗!副露数</vt:lpstr>
      <vt:lpstr>山崎葵!副露数</vt:lpstr>
      <vt:lpstr>山本悠介!副露数</vt:lpstr>
      <vt:lpstr>市川大智!副露数</vt:lpstr>
      <vt:lpstr>所附快和!副露数</vt:lpstr>
      <vt:lpstr>小林郁斗!副露数</vt:lpstr>
      <vt:lpstr>松澤亮太!副露数</vt:lpstr>
      <vt:lpstr>清水常緑!副露数</vt:lpstr>
      <vt:lpstr>西沢武留!副露数</vt:lpstr>
      <vt:lpstr>石原凛人!副露数</vt:lpstr>
      <vt:lpstr>石澤巧望!副露数</vt:lpstr>
      <vt:lpstr>川上翔大!副露数</vt:lpstr>
      <vt:lpstr>全体!副露数</vt:lpstr>
      <vt:lpstr>多田洋輔!副露数</vt:lpstr>
      <vt:lpstr>大池陸斗!副露数</vt:lpstr>
      <vt:lpstr>滝沢悠人!副露数</vt:lpstr>
      <vt:lpstr>中川弘崇!副露数</vt:lpstr>
      <vt:lpstr>中村花菜!副露数</vt:lpstr>
      <vt:lpstr>中村季暉!副露数</vt:lpstr>
      <vt:lpstr>長野柊馬!副露数</vt:lpstr>
      <vt:lpstr>田名網新!副露数</vt:lpstr>
      <vt:lpstr>渡部陵瑛!副露数</vt:lpstr>
      <vt:lpstr>唐澤聖矢!副露数</vt:lpstr>
      <vt:lpstr>湯本咲蔵!副露数</vt:lpstr>
      <vt:lpstr>百瀬成空!副露数</vt:lpstr>
      <vt:lpstr>福澤大地!副露数</vt:lpstr>
      <vt:lpstr>保谷一貴!副露数</vt:lpstr>
      <vt:lpstr>北沢蓮太郎!副露数</vt:lpstr>
      <vt:lpstr>木角有希!副露数</vt:lpstr>
      <vt:lpstr>矢ヶ崎健!副露数</vt:lpstr>
      <vt:lpstr>柳澤颯吾!副露数</vt:lpstr>
      <vt:lpstr>両角慧太!副露数</vt:lpstr>
      <vt:lpstr>髙橋桜!副露数</vt:lpstr>
      <vt:lpstr>副露数</vt:lpstr>
      <vt:lpstr>'Template (3)'!副露成功数</vt:lpstr>
      <vt:lpstr>阿部圭太朗!副露成功数</vt:lpstr>
      <vt:lpstr>伊藤仁城!副露成功数</vt:lpstr>
      <vt:lpstr>依田幸憲!副露成功数</vt:lpstr>
      <vt:lpstr>塩入悠!副露成功数</vt:lpstr>
      <vt:lpstr>巻島夢樹!副露成功数</vt:lpstr>
      <vt:lpstr>関谷洸佑!副露成功数</vt:lpstr>
      <vt:lpstr>吉澤諒!副露成功数</vt:lpstr>
      <vt:lpstr>宮澤七星!副露成功数</vt:lpstr>
      <vt:lpstr>高野源太!副露成功数</vt:lpstr>
      <vt:lpstr>佐藤成浩!副露成功数</vt:lpstr>
      <vt:lpstr>坂本羽弥斗!副露成功数</vt:lpstr>
      <vt:lpstr>山崎葵!副露成功数</vt:lpstr>
      <vt:lpstr>山本悠介!副露成功数</vt:lpstr>
      <vt:lpstr>市川大智!副露成功数</vt:lpstr>
      <vt:lpstr>所附快和!副露成功数</vt:lpstr>
      <vt:lpstr>小林郁斗!副露成功数</vt:lpstr>
      <vt:lpstr>松澤亮太!副露成功数</vt:lpstr>
      <vt:lpstr>清水常緑!副露成功数</vt:lpstr>
      <vt:lpstr>西沢武留!副露成功数</vt:lpstr>
      <vt:lpstr>石原凛人!副露成功数</vt:lpstr>
      <vt:lpstr>石澤巧望!副露成功数</vt:lpstr>
      <vt:lpstr>川上翔大!副露成功数</vt:lpstr>
      <vt:lpstr>全体!副露成功数</vt:lpstr>
      <vt:lpstr>多田洋輔!副露成功数</vt:lpstr>
      <vt:lpstr>大池陸斗!副露成功数</vt:lpstr>
      <vt:lpstr>滝沢悠人!副露成功数</vt:lpstr>
      <vt:lpstr>中川弘崇!副露成功数</vt:lpstr>
      <vt:lpstr>中村花菜!副露成功数</vt:lpstr>
      <vt:lpstr>中村季暉!副露成功数</vt:lpstr>
      <vt:lpstr>長野柊馬!副露成功数</vt:lpstr>
      <vt:lpstr>田名網新!副露成功数</vt:lpstr>
      <vt:lpstr>渡部陵瑛!副露成功数</vt:lpstr>
      <vt:lpstr>唐澤聖矢!副露成功数</vt:lpstr>
      <vt:lpstr>湯本咲蔵!副露成功数</vt:lpstr>
      <vt:lpstr>百瀬成空!副露成功数</vt:lpstr>
      <vt:lpstr>福澤大地!副露成功数</vt:lpstr>
      <vt:lpstr>保谷一貴!副露成功数</vt:lpstr>
      <vt:lpstr>北沢蓮太郎!副露成功数</vt:lpstr>
      <vt:lpstr>木角有希!副露成功数</vt:lpstr>
      <vt:lpstr>矢ヶ崎健!副露成功数</vt:lpstr>
      <vt:lpstr>柳澤颯吾!副露成功数</vt:lpstr>
      <vt:lpstr>両角慧太!副露成功数</vt:lpstr>
      <vt:lpstr>髙橋桜!副露成功数</vt:lpstr>
      <vt:lpstr>副露成功数</vt:lpstr>
      <vt:lpstr>'Template (3)'!副露成功率</vt:lpstr>
      <vt:lpstr>阿部圭太朗!副露成功率</vt:lpstr>
      <vt:lpstr>伊藤仁城!副露成功率</vt:lpstr>
      <vt:lpstr>依田幸憲!副露成功率</vt:lpstr>
      <vt:lpstr>塩入悠!副露成功率</vt:lpstr>
      <vt:lpstr>巻島夢樹!副露成功率</vt:lpstr>
      <vt:lpstr>関谷洸佑!副露成功率</vt:lpstr>
      <vt:lpstr>吉澤諒!副露成功率</vt:lpstr>
      <vt:lpstr>宮澤七星!副露成功率</vt:lpstr>
      <vt:lpstr>高野源太!副露成功率</vt:lpstr>
      <vt:lpstr>佐藤成浩!副露成功率</vt:lpstr>
      <vt:lpstr>坂本羽弥斗!副露成功率</vt:lpstr>
      <vt:lpstr>山崎葵!副露成功率</vt:lpstr>
      <vt:lpstr>山本悠介!副露成功率</vt:lpstr>
      <vt:lpstr>市川大智!副露成功率</vt:lpstr>
      <vt:lpstr>所附快和!副露成功率</vt:lpstr>
      <vt:lpstr>小林郁斗!副露成功率</vt:lpstr>
      <vt:lpstr>松澤亮太!副露成功率</vt:lpstr>
      <vt:lpstr>清水常緑!副露成功率</vt:lpstr>
      <vt:lpstr>西沢武留!副露成功率</vt:lpstr>
      <vt:lpstr>石原凛人!副露成功率</vt:lpstr>
      <vt:lpstr>石澤巧望!副露成功率</vt:lpstr>
      <vt:lpstr>川上翔大!副露成功率</vt:lpstr>
      <vt:lpstr>全体!副露成功率</vt:lpstr>
      <vt:lpstr>多田洋輔!副露成功率</vt:lpstr>
      <vt:lpstr>大池陸斗!副露成功率</vt:lpstr>
      <vt:lpstr>滝沢悠人!副露成功率</vt:lpstr>
      <vt:lpstr>中川弘崇!副露成功率</vt:lpstr>
      <vt:lpstr>中村花菜!副露成功率</vt:lpstr>
      <vt:lpstr>中村季暉!副露成功率</vt:lpstr>
      <vt:lpstr>長野柊馬!副露成功率</vt:lpstr>
      <vt:lpstr>田名網新!副露成功率</vt:lpstr>
      <vt:lpstr>渡部陵瑛!副露成功率</vt:lpstr>
      <vt:lpstr>唐澤聖矢!副露成功率</vt:lpstr>
      <vt:lpstr>湯本咲蔵!副露成功率</vt:lpstr>
      <vt:lpstr>百瀬成空!副露成功率</vt:lpstr>
      <vt:lpstr>福澤大地!副露成功率</vt:lpstr>
      <vt:lpstr>保谷一貴!副露成功率</vt:lpstr>
      <vt:lpstr>北沢蓮太郎!副露成功率</vt:lpstr>
      <vt:lpstr>木角有希!副露成功率</vt:lpstr>
      <vt:lpstr>矢ヶ崎健!副露成功率</vt:lpstr>
      <vt:lpstr>柳澤颯吾!副露成功率</vt:lpstr>
      <vt:lpstr>両角慧太!副露成功率</vt:lpstr>
      <vt:lpstr>髙橋桜!副露成功率</vt:lpstr>
      <vt:lpstr>副露成功率</vt:lpstr>
      <vt:lpstr>'Template (3)'!副露率</vt:lpstr>
      <vt:lpstr>阿部圭太朗!副露率</vt:lpstr>
      <vt:lpstr>伊藤仁城!副露率</vt:lpstr>
      <vt:lpstr>依田幸憲!副露率</vt:lpstr>
      <vt:lpstr>塩入悠!副露率</vt:lpstr>
      <vt:lpstr>巻島夢樹!副露率</vt:lpstr>
      <vt:lpstr>関谷洸佑!副露率</vt:lpstr>
      <vt:lpstr>吉澤諒!副露率</vt:lpstr>
      <vt:lpstr>宮澤七星!副露率</vt:lpstr>
      <vt:lpstr>高野源太!副露率</vt:lpstr>
      <vt:lpstr>佐藤成浩!副露率</vt:lpstr>
      <vt:lpstr>坂本羽弥斗!副露率</vt:lpstr>
      <vt:lpstr>山崎葵!副露率</vt:lpstr>
      <vt:lpstr>山本悠介!副露率</vt:lpstr>
      <vt:lpstr>市川大智!副露率</vt:lpstr>
      <vt:lpstr>所附快和!副露率</vt:lpstr>
      <vt:lpstr>小林郁斗!副露率</vt:lpstr>
      <vt:lpstr>松澤亮太!副露率</vt:lpstr>
      <vt:lpstr>清水常緑!副露率</vt:lpstr>
      <vt:lpstr>西沢武留!副露率</vt:lpstr>
      <vt:lpstr>石原凛人!副露率</vt:lpstr>
      <vt:lpstr>石澤巧望!副露率</vt:lpstr>
      <vt:lpstr>川上翔大!副露率</vt:lpstr>
      <vt:lpstr>全体!副露率</vt:lpstr>
      <vt:lpstr>多田洋輔!副露率</vt:lpstr>
      <vt:lpstr>大池陸斗!副露率</vt:lpstr>
      <vt:lpstr>滝沢悠人!副露率</vt:lpstr>
      <vt:lpstr>中川弘崇!副露率</vt:lpstr>
      <vt:lpstr>中村花菜!副露率</vt:lpstr>
      <vt:lpstr>中村季暉!副露率</vt:lpstr>
      <vt:lpstr>長野柊馬!副露率</vt:lpstr>
      <vt:lpstr>田名網新!副露率</vt:lpstr>
      <vt:lpstr>渡部陵瑛!副露率</vt:lpstr>
      <vt:lpstr>唐澤聖矢!副露率</vt:lpstr>
      <vt:lpstr>湯本咲蔵!副露率</vt:lpstr>
      <vt:lpstr>百瀬成空!副露率</vt:lpstr>
      <vt:lpstr>福澤大地!副露率</vt:lpstr>
      <vt:lpstr>保谷一貴!副露率</vt:lpstr>
      <vt:lpstr>北沢蓮太郎!副露率</vt:lpstr>
      <vt:lpstr>木角有希!副露率</vt:lpstr>
      <vt:lpstr>矢ヶ崎健!副露率</vt:lpstr>
      <vt:lpstr>柳澤颯吾!副露率</vt:lpstr>
      <vt:lpstr>両角慧太!副露率</vt:lpstr>
      <vt:lpstr>髙橋桜!副露率</vt:lpstr>
      <vt:lpstr>副露率</vt:lpstr>
      <vt:lpstr>'Template (3)'!平均アガリ点</vt:lpstr>
      <vt:lpstr>阿部圭太朗!平均アガリ点</vt:lpstr>
      <vt:lpstr>伊藤仁城!平均アガリ点</vt:lpstr>
      <vt:lpstr>依田幸憲!平均アガリ点</vt:lpstr>
      <vt:lpstr>塩入悠!平均アガリ点</vt:lpstr>
      <vt:lpstr>巻島夢樹!平均アガリ点</vt:lpstr>
      <vt:lpstr>関谷洸佑!平均アガリ点</vt:lpstr>
      <vt:lpstr>吉澤諒!平均アガリ点</vt:lpstr>
      <vt:lpstr>宮澤七星!平均アガリ点</vt:lpstr>
      <vt:lpstr>高野源太!平均アガリ点</vt:lpstr>
      <vt:lpstr>佐藤成浩!平均アガリ点</vt:lpstr>
      <vt:lpstr>坂本羽弥斗!平均アガリ点</vt:lpstr>
      <vt:lpstr>山崎葵!平均アガリ点</vt:lpstr>
      <vt:lpstr>山本悠介!平均アガリ点</vt:lpstr>
      <vt:lpstr>市川大智!平均アガリ点</vt:lpstr>
      <vt:lpstr>所附快和!平均アガリ点</vt:lpstr>
      <vt:lpstr>小林郁斗!平均アガリ点</vt:lpstr>
      <vt:lpstr>松澤亮太!平均アガリ点</vt:lpstr>
      <vt:lpstr>清水常緑!平均アガリ点</vt:lpstr>
      <vt:lpstr>西沢武留!平均アガリ点</vt:lpstr>
      <vt:lpstr>石原凛人!平均アガリ点</vt:lpstr>
      <vt:lpstr>石澤巧望!平均アガリ点</vt:lpstr>
      <vt:lpstr>川上翔大!平均アガリ点</vt:lpstr>
      <vt:lpstr>全体!平均アガリ点</vt:lpstr>
      <vt:lpstr>多田洋輔!平均アガリ点</vt:lpstr>
      <vt:lpstr>大池陸斗!平均アガリ点</vt:lpstr>
      <vt:lpstr>滝沢悠人!平均アガリ点</vt:lpstr>
      <vt:lpstr>中川弘崇!平均アガリ点</vt:lpstr>
      <vt:lpstr>中村花菜!平均アガリ点</vt:lpstr>
      <vt:lpstr>中村季暉!平均アガリ点</vt:lpstr>
      <vt:lpstr>長野柊馬!平均アガリ点</vt:lpstr>
      <vt:lpstr>田名網新!平均アガリ点</vt:lpstr>
      <vt:lpstr>渡部陵瑛!平均アガリ点</vt:lpstr>
      <vt:lpstr>唐澤聖矢!平均アガリ点</vt:lpstr>
      <vt:lpstr>湯本咲蔵!平均アガリ点</vt:lpstr>
      <vt:lpstr>百瀬成空!平均アガリ点</vt:lpstr>
      <vt:lpstr>福澤大地!平均アガリ点</vt:lpstr>
      <vt:lpstr>保谷一貴!平均アガリ点</vt:lpstr>
      <vt:lpstr>北沢蓮太郎!平均アガリ点</vt:lpstr>
      <vt:lpstr>木角有希!平均アガリ点</vt:lpstr>
      <vt:lpstr>矢ヶ崎健!平均アガリ点</vt:lpstr>
      <vt:lpstr>柳澤颯吾!平均アガリ点</vt:lpstr>
      <vt:lpstr>両角慧太!平均アガリ点</vt:lpstr>
      <vt:lpstr>髙橋桜!平均アガリ点</vt:lpstr>
      <vt:lpstr>平均アガリ点</vt:lpstr>
      <vt:lpstr>'Template (3)'!平均スコア</vt:lpstr>
      <vt:lpstr>阿部圭太朗!平均スコア</vt:lpstr>
      <vt:lpstr>伊藤仁城!平均スコア</vt:lpstr>
      <vt:lpstr>依田幸憲!平均スコア</vt:lpstr>
      <vt:lpstr>塩入悠!平均スコア</vt:lpstr>
      <vt:lpstr>巻島夢樹!平均スコア</vt:lpstr>
      <vt:lpstr>関谷洸佑!平均スコア</vt:lpstr>
      <vt:lpstr>吉澤諒!平均スコア</vt:lpstr>
      <vt:lpstr>宮澤七星!平均スコア</vt:lpstr>
      <vt:lpstr>高野源太!平均スコア</vt:lpstr>
      <vt:lpstr>佐藤成浩!平均スコア</vt:lpstr>
      <vt:lpstr>坂本羽弥斗!平均スコア</vt:lpstr>
      <vt:lpstr>山崎葵!平均スコア</vt:lpstr>
      <vt:lpstr>山本悠介!平均スコア</vt:lpstr>
      <vt:lpstr>市川大智!平均スコア</vt:lpstr>
      <vt:lpstr>所附快和!平均スコア</vt:lpstr>
      <vt:lpstr>小林郁斗!平均スコア</vt:lpstr>
      <vt:lpstr>松澤亮太!平均スコア</vt:lpstr>
      <vt:lpstr>清水常緑!平均スコア</vt:lpstr>
      <vt:lpstr>西沢武留!平均スコア</vt:lpstr>
      <vt:lpstr>石原凛人!平均スコア</vt:lpstr>
      <vt:lpstr>石澤巧望!平均スコア</vt:lpstr>
      <vt:lpstr>川上翔大!平均スコア</vt:lpstr>
      <vt:lpstr>全体!平均スコア</vt:lpstr>
      <vt:lpstr>多田洋輔!平均スコア</vt:lpstr>
      <vt:lpstr>大池陸斗!平均スコア</vt:lpstr>
      <vt:lpstr>滝沢悠人!平均スコア</vt:lpstr>
      <vt:lpstr>中川弘崇!平均スコア</vt:lpstr>
      <vt:lpstr>中村花菜!平均スコア</vt:lpstr>
      <vt:lpstr>中村季暉!平均スコア</vt:lpstr>
      <vt:lpstr>長野柊馬!平均スコア</vt:lpstr>
      <vt:lpstr>田名網新!平均スコア</vt:lpstr>
      <vt:lpstr>渡部陵瑛!平均スコア</vt:lpstr>
      <vt:lpstr>唐澤聖矢!平均スコア</vt:lpstr>
      <vt:lpstr>湯本咲蔵!平均スコア</vt:lpstr>
      <vt:lpstr>百瀬成空!平均スコア</vt:lpstr>
      <vt:lpstr>福澤大地!平均スコア</vt:lpstr>
      <vt:lpstr>保谷一貴!平均スコア</vt:lpstr>
      <vt:lpstr>北沢蓮太郎!平均スコア</vt:lpstr>
      <vt:lpstr>木角有希!平均スコア</vt:lpstr>
      <vt:lpstr>矢ヶ崎健!平均スコア</vt:lpstr>
      <vt:lpstr>柳澤颯吾!平均スコア</vt:lpstr>
      <vt:lpstr>両角慧太!平均スコア</vt:lpstr>
      <vt:lpstr>髙橋桜!平均スコア</vt:lpstr>
      <vt:lpstr>平均スコア</vt:lpstr>
      <vt:lpstr>'Template (3)'!平均順位</vt:lpstr>
      <vt:lpstr>阿部圭太朗!平均順位</vt:lpstr>
      <vt:lpstr>伊藤仁城!平均順位</vt:lpstr>
      <vt:lpstr>依田幸憲!平均順位</vt:lpstr>
      <vt:lpstr>塩入悠!平均順位</vt:lpstr>
      <vt:lpstr>巻島夢樹!平均順位</vt:lpstr>
      <vt:lpstr>関谷洸佑!平均順位</vt:lpstr>
      <vt:lpstr>吉澤諒!平均順位</vt:lpstr>
      <vt:lpstr>宮澤七星!平均順位</vt:lpstr>
      <vt:lpstr>高野源太!平均順位</vt:lpstr>
      <vt:lpstr>佐藤成浩!平均順位</vt:lpstr>
      <vt:lpstr>坂本羽弥斗!平均順位</vt:lpstr>
      <vt:lpstr>山崎葵!平均順位</vt:lpstr>
      <vt:lpstr>山本悠介!平均順位</vt:lpstr>
      <vt:lpstr>市川大智!平均順位</vt:lpstr>
      <vt:lpstr>所附快和!平均順位</vt:lpstr>
      <vt:lpstr>小林郁斗!平均順位</vt:lpstr>
      <vt:lpstr>松澤亮太!平均順位</vt:lpstr>
      <vt:lpstr>清水常緑!平均順位</vt:lpstr>
      <vt:lpstr>西沢武留!平均順位</vt:lpstr>
      <vt:lpstr>石原凛人!平均順位</vt:lpstr>
      <vt:lpstr>石澤巧望!平均順位</vt:lpstr>
      <vt:lpstr>川上翔大!平均順位</vt:lpstr>
      <vt:lpstr>全体!平均順位</vt:lpstr>
      <vt:lpstr>多田洋輔!平均順位</vt:lpstr>
      <vt:lpstr>大池陸斗!平均順位</vt:lpstr>
      <vt:lpstr>滝沢悠人!平均順位</vt:lpstr>
      <vt:lpstr>中川弘崇!平均順位</vt:lpstr>
      <vt:lpstr>中村花菜!平均順位</vt:lpstr>
      <vt:lpstr>中村季暉!平均順位</vt:lpstr>
      <vt:lpstr>長野柊馬!平均順位</vt:lpstr>
      <vt:lpstr>田名網新!平均順位</vt:lpstr>
      <vt:lpstr>渡部陵瑛!平均順位</vt:lpstr>
      <vt:lpstr>唐澤聖矢!平均順位</vt:lpstr>
      <vt:lpstr>湯本咲蔵!平均順位</vt:lpstr>
      <vt:lpstr>百瀬成空!平均順位</vt:lpstr>
      <vt:lpstr>福澤大地!平均順位</vt:lpstr>
      <vt:lpstr>保谷一貴!平均順位</vt:lpstr>
      <vt:lpstr>北沢蓮太郎!平均順位</vt:lpstr>
      <vt:lpstr>木角有希!平均順位</vt:lpstr>
      <vt:lpstr>矢ヶ崎健!平均順位</vt:lpstr>
      <vt:lpstr>柳澤颯吾!平均順位</vt:lpstr>
      <vt:lpstr>両角慧太!平均順位</vt:lpstr>
      <vt:lpstr>髙橋桜!平均順位</vt:lpstr>
      <vt:lpstr>平均順位</vt:lpstr>
      <vt:lpstr>'Template (3)'!平均放銃点</vt:lpstr>
      <vt:lpstr>阿部圭太朗!平均放銃点</vt:lpstr>
      <vt:lpstr>伊藤仁城!平均放銃点</vt:lpstr>
      <vt:lpstr>依田幸憲!平均放銃点</vt:lpstr>
      <vt:lpstr>塩入悠!平均放銃点</vt:lpstr>
      <vt:lpstr>巻島夢樹!平均放銃点</vt:lpstr>
      <vt:lpstr>関谷洸佑!平均放銃点</vt:lpstr>
      <vt:lpstr>吉澤諒!平均放銃点</vt:lpstr>
      <vt:lpstr>宮澤七星!平均放銃点</vt:lpstr>
      <vt:lpstr>高野源太!平均放銃点</vt:lpstr>
      <vt:lpstr>佐藤成浩!平均放銃点</vt:lpstr>
      <vt:lpstr>坂本羽弥斗!平均放銃点</vt:lpstr>
      <vt:lpstr>山崎葵!平均放銃点</vt:lpstr>
      <vt:lpstr>山本悠介!平均放銃点</vt:lpstr>
      <vt:lpstr>市川大智!平均放銃点</vt:lpstr>
      <vt:lpstr>所附快和!平均放銃点</vt:lpstr>
      <vt:lpstr>小林郁斗!平均放銃点</vt:lpstr>
      <vt:lpstr>松澤亮太!平均放銃点</vt:lpstr>
      <vt:lpstr>清水常緑!平均放銃点</vt:lpstr>
      <vt:lpstr>西沢武留!平均放銃点</vt:lpstr>
      <vt:lpstr>石原凛人!平均放銃点</vt:lpstr>
      <vt:lpstr>石澤巧望!平均放銃点</vt:lpstr>
      <vt:lpstr>川上翔大!平均放銃点</vt:lpstr>
      <vt:lpstr>全体!平均放銃点</vt:lpstr>
      <vt:lpstr>多田洋輔!平均放銃点</vt:lpstr>
      <vt:lpstr>大池陸斗!平均放銃点</vt:lpstr>
      <vt:lpstr>滝沢悠人!平均放銃点</vt:lpstr>
      <vt:lpstr>中川弘崇!平均放銃点</vt:lpstr>
      <vt:lpstr>中村花菜!平均放銃点</vt:lpstr>
      <vt:lpstr>中村季暉!平均放銃点</vt:lpstr>
      <vt:lpstr>長野柊馬!平均放銃点</vt:lpstr>
      <vt:lpstr>田名網新!平均放銃点</vt:lpstr>
      <vt:lpstr>渡部陵瑛!平均放銃点</vt:lpstr>
      <vt:lpstr>唐澤聖矢!平均放銃点</vt:lpstr>
      <vt:lpstr>湯本咲蔵!平均放銃点</vt:lpstr>
      <vt:lpstr>百瀬成空!平均放銃点</vt:lpstr>
      <vt:lpstr>福澤大地!平均放銃点</vt:lpstr>
      <vt:lpstr>保谷一貴!平均放銃点</vt:lpstr>
      <vt:lpstr>北沢蓮太郎!平均放銃点</vt:lpstr>
      <vt:lpstr>木角有希!平均放銃点</vt:lpstr>
      <vt:lpstr>矢ヶ崎健!平均放銃点</vt:lpstr>
      <vt:lpstr>柳澤颯吾!平均放銃点</vt:lpstr>
      <vt:lpstr>両角慧太!平均放銃点</vt:lpstr>
      <vt:lpstr>髙橋桜!平均放銃点</vt:lpstr>
      <vt:lpstr>平均放銃点</vt:lpstr>
      <vt:lpstr>'Template (3)'!放銃数</vt:lpstr>
      <vt:lpstr>阿部圭太朗!放銃数</vt:lpstr>
      <vt:lpstr>伊藤仁城!放銃数</vt:lpstr>
      <vt:lpstr>依田幸憲!放銃数</vt:lpstr>
      <vt:lpstr>塩入悠!放銃数</vt:lpstr>
      <vt:lpstr>巻島夢樹!放銃数</vt:lpstr>
      <vt:lpstr>関谷洸佑!放銃数</vt:lpstr>
      <vt:lpstr>吉澤諒!放銃数</vt:lpstr>
      <vt:lpstr>宮澤七星!放銃数</vt:lpstr>
      <vt:lpstr>高野源太!放銃数</vt:lpstr>
      <vt:lpstr>佐藤成浩!放銃数</vt:lpstr>
      <vt:lpstr>坂本羽弥斗!放銃数</vt:lpstr>
      <vt:lpstr>山崎葵!放銃数</vt:lpstr>
      <vt:lpstr>山本悠介!放銃数</vt:lpstr>
      <vt:lpstr>市川大智!放銃数</vt:lpstr>
      <vt:lpstr>所附快和!放銃数</vt:lpstr>
      <vt:lpstr>小林郁斗!放銃数</vt:lpstr>
      <vt:lpstr>松澤亮太!放銃数</vt:lpstr>
      <vt:lpstr>清水常緑!放銃数</vt:lpstr>
      <vt:lpstr>西沢武留!放銃数</vt:lpstr>
      <vt:lpstr>石原凛人!放銃数</vt:lpstr>
      <vt:lpstr>石澤巧望!放銃数</vt:lpstr>
      <vt:lpstr>川上翔大!放銃数</vt:lpstr>
      <vt:lpstr>全体!放銃数</vt:lpstr>
      <vt:lpstr>多田洋輔!放銃数</vt:lpstr>
      <vt:lpstr>大池陸斗!放銃数</vt:lpstr>
      <vt:lpstr>滝沢悠人!放銃数</vt:lpstr>
      <vt:lpstr>中川弘崇!放銃数</vt:lpstr>
      <vt:lpstr>中村花菜!放銃数</vt:lpstr>
      <vt:lpstr>中村季暉!放銃数</vt:lpstr>
      <vt:lpstr>長野柊馬!放銃数</vt:lpstr>
      <vt:lpstr>田名網新!放銃数</vt:lpstr>
      <vt:lpstr>渡部陵瑛!放銃数</vt:lpstr>
      <vt:lpstr>唐澤聖矢!放銃数</vt:lpstr>
      <vt:lpstr>湯本咲蔵!放銃数</vt:lpstr>
      <vt:lpstr>百瀬成空!放銃数</vt:lpstr>
      <vt:lpstr>福澤大地!放銃数</vt:lpstr>
      <vt:lpstr>保谷一貴!放銃数</vt:lpstr>
      <vt:lpstr>北沢蓮太郎!放銃数</vt:lpstr>
      <vt:lpstr>木角有希!放銃数</vt:lpstr>
      <vt:lpstr>矢ヶ崎健!放銃数</vt:lpstr>
      <vt:lpstr>柳澤颯吾!放銃数</vt:lpstr>
      <vt:lpstr>両角慧太!放銃数</vt:lpstr>
      <vt:lpstr>髙橋桜!放銃数</vt:lpstr>
      <vt:lpstr>放銃数</vt:lpstr>
      <vt:lpstr>'Template (3)'!放銃率</vt:lpstr>
      <vt:lpstr>阿部圭太朗!放銃率</vt:lpstr>
      <vt:lpstr>伊藤仁城!放銃率</vt:lpstr>
      <vt:lpstr>依田幸憲!放銃率</vt:lpstr>
      <vt:lpstr>塩入悠!放銃率</vt:lpstr>
      <vt:lpstr>巻島夢樹!放銃率</vt:lpstr>
      <vt:lpstr>関谷洸佑!放銃率</vt:lpstr>
      <vt:lpstr>吉澤諒!放銃率</vt:lpstr>
      <vt:lpstr>宮澤七星!放銃率</vt:lpstr>
      <vt:lpstr>高野源太!放銃率</vt:lpstr>
      <vt:lpstr>佐藤成浩!放銃率</vt:lpstr>
      <vt:lpstr>坂本羽弥斗!放銃率</vt:lpstr>
      <vt:lpstr>山崎葵!放銃率</vt:lpstr>
      <vt:lpstr>山本悠介!放銃率</vt:lpstr>
      <vt:lpstr>市川大智!放銃率</vt:lpstr>
      <vt:lpstr>所附快和!放銃率</vt:lpstr>
      <vt:lpstr>小林郁斗!放銃率</vt:lpstr>
      <vt:lpstr>松澤亮太!放銃率</vt:lpstr>
      <vt:lpstr>清水常緑!放銃率</vt:lpstr>
      <vt:lpstr>西沢武留!放銃率</vt:lpstr>
      <vt:lpstr>石原凛人!放銃率</vt:lpstr>
      <vt:lpstr>石澤巧望!放銃率</vt:lpstr>
      <vt:lpstr>川上翔大!放銃率</vt:lpstr>
      <vt:lpstr>全体!放銃率</vt:lpstr>
      <vt:lpstr>多田洋輔!放銃率</vt:lpstr>
      <vt:lpstr>大池陸斗!放銃率</vt:lpstr>
      <vt:lpstr>滝沢悠人!放銃率</vt:lpstr>
      <vt:lpstr>中川弘崇!放銃率</vt:lpstr>
      <vt:lpstr>中村花菜!放銃率</vt:lpstr>
      <vt:lpstr>中村季暉!放銃率</vt:lpstr>
      <vt:lpstr>長野柊馬!放銃率</vt:lpstr>
      <vt:lpstr>田名網新!放銃率</vt:lpstr>
      <vt:lpstr>渡部陵瑛!放銃率</vt:lpstr>
      <vt:lpstr>唐澤聖矢!放銃率</vt:lpstr>
      <vt:lpstr>湯本咲蔵!放銃率</vt:lpstr>
      <vt:lpstr>百瀬成空!放銃率</vt:lpstr>
      <vt:lpstr>福澤大地!放銃率</vt:lpstr>
      <vt:lpstr>保谷一貴!放銃率</vt:lpstr>
      <vt:lpstr>北沢蓮太郎!放銃率</vt:lpstr>
      <vt:lpstr>木角有希!放銃率</vt:lpstr>
      <vt:lpstr>矢ヶ崎健!放銃率</vt:lpstr>
      <vt:lpstr>柳澤颯吾!放銃率</vt:lpstr>
      <vt:lpstr>両角慧太!放銃率</vt:lpstr>
      <vt:lpstr>髙橋桜!放銃率</vt:lpstr>
      <vt:lpstr>放銃率</vt:lpstr>
      <vt:lpstr>'Template (3)'!名前</vt:lpstr>
      <vt:lpstr>阿部圭太朗!名前</vt:lpstr>
      <vt:lpstr>伊藤仁城!名前</vt:lpstr>
      <vt:lpstr>依田幸憲!名前</vt:lpstr>
      <vt:lpstr>塩入悠!名前</vt:lpstr>
      <vt:lpstr>巻島夢樹!名前</vt:lpstr>
      <vt:lpstr>関谷洸佑!名前</vt:lpstr>
      <vt:lpstr>吉澤諒!名前</vt:lpstr>
      <vt:lpstr>宮澤七星!名前</vt:lpstr>
      <vt:lpstr>高野源太!名前</vt:lpstr>
      <vt:lpstr>佐藤成浩!名前</vt:lpstr>
      <vt:lpstr>坂本羽弥斗!名前</vt:lpstr>
      <vt:lpstr>山崎葵!名前</vt:lpstr>
      <vt:lpstr>山本悠介!名前</vt:lpstr>
      <vt:lpstr>市川大智!名前</vt:lpstr>
      <vt:lpstr>所附快和!名前</vt:lpstr>
      <vt:lpstr>小林郁斗!名前</vt:lpstr>
      <vt:lpstr>松澤亮太!名前</vt:lpstr>
      <vt:lpstr>清水常緑!名前</vt:lpstr>
      <vt:lpstr>西沢武留!名前</vt:lpstr>
      <vt:lpstr>石原凛人!名前</vt:lpstr>
      <vt:lpstr>石澤巧望!名前</vt:lpstr>
      <vt:lpstr>川上翔大!名前</vt:lpstr>
      <vt:lpstr>全体!名前</vt:lpstr>
      <vt:lpstr>多田洋輔!名前</vt:lpstr>
      <vt:lpstr>大池陸斗!名前</vt:lpstr>
      <vt:lpstr>滝沢悠人!名前</vt:lpstr>
      <vt:lpstr>中川弘崇!名前</vt:lpstr>
      <vt:lpstr>中村花菜!名前</vt:lpstr>
      <vt:lpstr>中村季暉!名前</vt:lpstr>
      <vt:lpstr>長野柊馬!名前</vt:lpstr>
      <vt:lpstr>田名網新!名前</vt:lpstr>
      <vt:lpstr>渡部陵瑛!名前</vt:lpstr>
      <vt:lpstr>唐澤聖矢!名前</vt:lpstr>
      <vt:lpstr>湯本咲蔵!名前</vt:lpstr>
      <vt:lpstr>百瀬成空!名前</vt:lpstr>
      <vt:lpstr>福澤大地!名前</vt:lpstr>
      <vt:lpstr>保谷一貴!名前</vt:lpstr>
      <vt:lpstr>北沢蓮太郎!名前</vt:lpstr>
      <vt:lpstr>木角有希!名前</vt:lpstr>
      <vt:lpstr>矢ヶ崎健!名前</vt:lpstr>
      <vt:lpstr>柳澤颯吾!名前</vt:lpstr>
      <vt:lpstr>両角慧太!名前</vt:lpstr>
      <vt:lpstr>髙橋桜!名前</vt:lpstr>
      <vt:lpstr>名前</vt:lpstr>
      <vt:lpstr>'Template (3)'!門前アガリ点</vt:lpstr>
      <vt:lpstr>阿部圭太朗!門前アガリ点</vt:lpstr>
      <vt:lpstr>伊藤仁城!門前アガリ点</vt:lpstr>
      <vt:lpstr>依田幸憲!門前アガリ点</vt:lpstr>
      <vt:lpstr>塩入悠!門前アガリ点</vt:lpstr>
      <vt:lpstr>巻島夢樹!門前アガリ点</vt:lpstr>
      <vt:lpstr>関谷洸佑!門前アガリ点</vt:lpstr>
      <vt:lpstr>吉澤諒!門前アガリ点</vt:lpstr>
      <vt:lpstr>宮澤七星!門前アガリ点</vt:lpstr>
      <vt:lpstr>高野源太!門前アガリ点</vt:lpstr>
      <vt:lpstr>佐藤成浩!門前アガリ点</vt:lpstr>
      <vt:lpstr>坂本羽弥斗!門前アガリ点</vt:lpstr>
      <vt:lpstr>山崎葵!門前アガリ点</vt:lpstr>
      <vt:lpstr>山本悠介!門前アガリ点</vt:lpstr>
      <vt:lpstr>市川大智!門前アガリ点</vt:lpstr>
      <vt:lpstr>所附快和!門前アガリ点</vt:lpstr>
      <vt:lpstr>小林郁斗!門前アガリ点</vt:lpstr>
      <vt:lpstr>松澤亮太!門前アガリ点</vt:lpstr>
      <vt:lpstr>清水常緑!門前アガリ点</vt:lpstr>
      <vt:lpstr>西沢武留!門前アガリ点</vt:lpstr>
      <vt:lpstr>石原凛人!門前アガリ点</vt:lpstr>
      <vt:lpstr>石澤巧望!門前アガリ点</vt:lpstr>
      <vt:lpstr>川上翔大!門前アガリ点</vt:lpstr>
      <vt:lpstr>全体!門前アガリ点</vt:lpstr>
      <vt:lpstr>多田洋輔!門前アガリ点</vt:lpstr>
      <vt:lpstr>大池陸斗!門前アガリ点</vt:lpstr>
      <vt:lpstr>滝沢悠人!門前アガリ点</vt:lpstr>
      <vt:lpstr>中川弘崇!門前アガリ点</vt:lpstr>
      <vt:lpstr>中村花菜!門前アガリ点</vt:lpstr>
      <vt:lpstr>中村季暉!門前アガリ点</vt:lpstr>
      <vt:lpstr>長野柊馬!門前アガリ点</vt:lpstr>
      <vt:lpstr>田名網新!門前アガリ点</vt:lpstr>
      <vt:lpstr>渡部陵瑛!門前アガリ点</vt:lpstr>
      <vt:lpstr>唐澤聖矢!門前アガリ点</vt:lpstr>
      <vt:lpstr>湯本咲蔵!門前アガリ点</vt:lpstr>
      <vt:lpstr>百瀬成空!門前アガリ点</vt:lpstr>
      <vt:lpstr>福澤大地!門前アガリ点</vt:lpstr>
      <vt:lpstr>保谷一貴!門前アガリ点</vt:lpstr>
      <vt:lpstr>北沢蓮太郎!門前アガリ点</vt:lpstr>
      <vt:lpstr>木角有希!門前アガリ点</vt:lpstr>
      <vt:lpstr>矢ヶ崎健!門前アガリ点</vt:lpstr>
      <vt:lpstr>柳澤颯吾!門前アガリ点</vt:lpstr>
      <vt:lpstr>両角慧太!門前アガリ点</vt:lpstr>
      <vt:lpstr>髙橋桜!門前アガリ点</vt:lpstr>
      <vt:lpstr>門前アガリ点</vt:lpstr>
      <vt:lpstr>'Template (3)'!連続アガリ</vt:lpstr>
      <vt:lpstr>阿部圭太朗!連続アガリ</vt:lpstr>
      <vt:lpstr>伊藤仁城!連続アガリ</vt:lpstr>
      <vt:lpstr>依田幸憲!連続アガリ</vt:lpstr>
      <vt:lpstr>塩入悠!連続アガリ</vt:lpstr>
      <vt:lpstr>巻島夢樹!連続アガリ</vt:lpstr>
      <vt:lpstr>関谷洸佑!連続アガリ</vt:lpstr>
      <vt:lpstr>吉澤諒!連続アガリ</vt:lpstr>
      <vt:lpstr>宮澤七星!連続アガリ</vt:lpstr>
      <vt:lpstr>高野源太!連続アガリ</vt:lpstr>
      <vt:lpstr>佐藤成浩!連続アガリ</vt:lpstr>
      <vt:lpstr>坂本羽弥斗!連続アガリ</vt:lpstr>
      <vt:lpstr>山崎葵!連続アガリ</vt:lpstr>
      <vt:lpstr>山本悠介!連続アガリ</vt:lpstr>
      <vt:lpstr>市川大智!連続アガリ</vt:lpstr>
      <vt:lpstr>所附快和!連続アガリ</vt:lpstr>
      <vt:lpstr>小林郁斗!連続アガリ</vt:lpstr>
      <vt:lpstr>松澤亮太!連続アガリ</vt:lpstr>
      <vt:lpstr>清水常緑!連続アガリ</vt:lpstr>
      <vt:lpstr>西沢武留!連続アガリ</vt:lpstr>
      <vt:lpstr>石原凛人!連続アガリ</vt:lpstr>
      <vt:lpstr>石澤巧望!連続アガリ</vt:lpstr>
      <vt:lpstr>川上翔大!連続アガリ</vt:lpstr>
      <vt:lpstr>全体!連続アガリ</vt:lpstr>
      <vt:lpstr>多田洋輔!連続アガリ</vt:lpstr>
      <vt:lpstr>大池陸斗!連続アガリ</vt:lpstr>
      <vt:lpstr>滝沢悠人!連続アガリ</vt:lpstr>
      <vt:lpstr>中川弘崇!連続アガリ</vt:lpstr>
      <vt:lpstr>中村花菜!連続アガリ</vt:lpstr>
      <vt:lpstr>中村季暉!連続アガリ</vt:lpstr>
      <vt:lpstr>長野柊馬!連続アガリ</vt:lpstr>
      <vt:lpstr>田名網新!連続アガリ</vt:lpstr>
      <vt:lpstr>渡部陵瑛!連続アガリ</vt:lpstr>
      <vt:lpstr>唐澤聖矢!連続アガリ</vt:lpstr>
      <vt:lpstr>湯本咲蔵!連続アガリ</vt:lpstr>
      <vt:lpstr>百瀬成空!連続アガリ</vt:lpstr>
      <vt:lpstr>福澤大地!連続アガリ</vt:lpstr>
      <vt:lpstr>保谷一貴!連続アガリ</vt:lpstr>
      <vt:lpstr>北沢蓮太郎!連続アガリ</vt:lpstr>
      <vt:lpstr>木角有希!連続アガリ</vt:lpstr>
      <vt:lpstr>矢ヶ崎健!連続アガリ</vt:lpstr>
      <vt:lpstr>柳澤颯吾!連続アガリ</vt:lpstr>
      <vt:lpstr>両角慧太!連続アガリ</vt:lpstr>
      <vt:lpstr>髙橋桜!連続アガリ</vt:lpstr>
      <vt:lpstr>連続アガリ</vt:lpstr>
      <vt:lpstr>'Template (3)'!連続無放銃</vt:lpstr>
      <vt:lpstr>阿部圭太朗!連続無放銃</vt:lpstr>
      <vt:lpstr>伊藤仁城!連続無放銃</vt:lpstr>
      <vt:lpstr>依田幸憲!連続無放銃</vt:lpstr>
      <vt:lpstr>塩入悠!連続無放銃</vt:lpstr>
      <vt:lpstr>巻島夢樹!連続無放銃</vt:lpstr>
      <vt:lpstr>関谷洸佑!連続無放銃</vt:lpstr>
      <vt:lpstr>吉澤諒!連続無放銃</vt:lpstr>
      <vt:lpstr>宮澤七星!連続無放銃</vt:lpstr>
      <vt:lpstr>高野源太!連続無放銃</vt:lpstr>
      <vt:lpstr>佐藤成浩!連続無放銃</vt:lpstr>
      <vt:lpstr>坂本羽弥斗!連続無放銃</vt:lpstr>
      <vt:lpstr>山崎葵!連続無放銃</vt:lpstr>
      <vt:lpstr>山本悠介!連続無放銃</vt:lpstr>
      <vt:lpstr>市川大智!連続無放銃</vt:lpstr>
      <vt:lpstr>所附快和!連続無放銃</vt:lpstr>
      <vt:lpstr>小林郁斗!連続無放銃</vt:lpstr>
      <vt:lpstr>松澤亮太!連続無放銃</vt:lpstr>
      <vt:lpstr>清水常緑!連続無放銃</vt:lpstr>
      <vt:lpstr>西沢武留!連続無放銃</vt:lpstr>
      <vt:lpstr>石原凛人!連続無放銃</vt:lpstr>
      <vt:lpstr>石澤巧望!連続無放銃</vt:lpstr>
      <vt:lpstr>川上翔大!連続無放銃</vt:lpstr>
      <vt:lpstr>全体!連続無放銃</vt:lpstr>
      <vt:lpstr>多田洋輔!連続無放銃</vt:lpstr>
      <vt:lpstr>大池陸斗!連続無放銃</vt:lpstr>
      <vt:lpstr>滝沢悠人!連続無放銃</vt:lpstr>
      <vt:lpstr>中川弘崇!連続無放銃</vt:lpstr>
      <vt:lpstr>中村花菜!連続無放銃</vt:lpstr>
      <vt:lpstr>中村季暉!連続無放銃</vt:lpstr>
      <vt:lpstr>長野柊馬!連続無放銃</vt:lpstr>
      <vt:lpstr>田名網新!連続無放銃</vt:lpstr>
      <vt:lpstr>渡部陵瑛!連続無放銃</vt:lpstr>
      <vt:lpstr>唐澤聖矢!連続無放銃</vt:lpstr>
      <vt:lpstr>湯本咲蔵!連続無放銃</vt:lpstr>
      <vt:lpstr>百瀬成空!連続無放銃</vt:lpstr>
      <vt:lpstr>福澤大地!連続無放銃</vt:lpstr>
      <vt:lpstr>保谷一貴!連続無放銃</vt:lpstr>
      <vt:lpstr>北沢蓮太郎!連続無放銃</vt:lpstr>
      <vt:lpstr>木角有希!連続無放銃</vt:lpstr>
      <vt:lpstr>矢ヶ崎健!連続無放銃</vt:lpstr>
      <vt:lpstr>柳澤颯吾!連続無放銃</vt:lpstr>
      <vt:lpstr>両角慧太!連続無放銃</vt:lpstr>
      <vt:lpstr>髙橋桜!連続無放銃</vt:lpstr>
      <vt:lpstr>連続無放銃</vt:lpstr>
      <vt:lpstr>'Template (3)'!連対数</vt:lpstr>
      <vt:lpstr>阿部圭太朗!連対数</vt:lpstr>
      <vt:lpstr>伊藤仁城!連対数</vt:lpstr>
      <vt:lpstr>依田幸憲!連対数</vt:lpstr>
      <vt:lpstr>塩入悠!連対数</vt:lpstr>
      <vt:lpstr>巻島夢樹!連対数</vt:lpstr>
      <vt:lpstr>関谷洸佑!連対数</vt:lpstr>
      <vt:lpstr>吉澤諒!連対数</vt:lpstr>
      <vt:lpstr>宮澤七星!連対数</vt:lpstr>
      <vt:lpstr>高野源太!連対数</vt:lpstr>
      <vt:lpstr>佐藤成浩!連対数</vt:lpstr>
      <vt:lpstr>坂本羽弥斗!連対数</vt:lpstr>
      <vt:lpstr>山崎葵!連対数</vt:lpstr>
      <vt:lpstr>山本悠介!連対数</vt:lpstr>
      <vt:lpstr>市川大智!連対数</vt:lpstr>
      <vt:lpstr>所附快和!連対数</vt:lpstr>
      <vt:lpstr>小林郁斗!連対数</vt:lpstr>
      <vt:lpstr>松澤亮太!連対数</vt:lpstr>
      <vt:lpstr>清水常緑!連対数</vt:lpstr>
      <vt:lpstr>西沢武留!連対数</vt:lpstr>
      <vt:lpstr>石原凛人!連対数</vt:lpstr>
      <vt:lpstr>石澤巧望!連対数</vt:lpstr>
      <vt:lpstr>川上翔大!連対数</vt:lpstr>
      <vt:lpstr>全体!連対数</vt:lpstr>
      <vt:lpstr>多田洋輔!連対数</vt:lpstr>
      <vt:lpstr>大池陸斗!連対数</vt:lpstr>
      <vt:lpstr>滝沢悠人!連対数</vt:lpstr>
      <vt:lpstr>中川弘崇!連対数</vt:lpstr>
      <vt:lpstr>中村花菜!連対数</vt:lpstr>
      <vt:lpstr>中村季暉!連対数</vt:lpstr>
      <vt:lpstr>長野柊馬!連対数</vt:lpstr>
      <vt:lpstr>田名網新!連対数</vt:lpstr>
      <vt:lpstr>渡部陵瑛!連対数</vt:lpstr>
      <vt:lpstr>唐澤聖矢!連対数</vt:lpstr>
      <vt:lpstr>湯本咲蔵!連対数</vt:lpstr>
      <vt:lpstr>百瀬成空!連対数</vt:lpstr>
      <vt:lpstr>福澤大地!連対数</vt:lpstr>
      <vt:lpstr>保谷一貴!連対数</vt:lpstr>
      <vt:lpstr>北沢蓮太郎!連対数</vt:lpstr>
      <vt:lpstr>木角有希!連対数</vt:lpstr>
      <vt:lpstr>矢ヶ崎健!連対数</vt:lpstr>
      <vt:lpstr>柳澤颯吾!連対数</vt:lpstr>
      <vt:lpstr>両角慧太!連対数</vt:lpstr>
      <vt:lpstr>髙橋桜!連対数</vt:lpstr>
      <vt:lpstr>連対数</vt:lpstr>
      <vt:lpstr>'Template (3)'!連対率</vt:lpstr>
      <vt:lpstr>阿部圭太朗!連対率</vt:lpstr>
      <vt:lpstr>伊藤仁城!連対率</vt:lpstr>
      <vt:lpstr>依田幸憲!連対率</vt:lpstr>
      <vt:lpstr>塩入悠!連対率</vt:lpstr>
      <vt:lpstr>巻島夢樹!連対率</vt:lpstr>
      <vt:lpstr>関谷洸佑!連対率</vt:lpstr>
      <vt:lpstr>吉澤諒!連対率</vt:lpstr>
      <vt:lpstr>宮澤七星!連対率</vt:lpstr>
      <vt:lpstr>高野源太!連対率</vt:lpstr>
      <vt:lpstr>佐藤成浩!連対率</vt:lpstr>
      <vt:lpstr>坂本羽弥斗!連対率</vt:lpstr>
      <vt:lpstr>山崎葵!連対率</vt:lpstr>
      <vt:lpstr>山本悠介!連対率</vt:lpstr>
      <vt:lpstr>市川大智!連対率</vt:lpstr>
      <vt:lpstr>所附快和!連対率</vt:lpstr>
      <vt:lpstr>小林郁斗!連対率</vt:lpstr>
      <vt:lpstr>松澤亮太!連対率</vt:lpstr>
      <vt:lpstr>清水常緑!連対率</vt:lpstr>
      <vt:lpstr>西沢武留!連対率</vt:lpstr>
      <vt:lpstr>石原凛人!連対率</vt:lpstr>
      <vt:lpstr>石澤巧望!連対率</vt:lpstr>
      <vt:lpstr>川上翔大!連対率</vt:lpstr>
      <vt:lpstr>全体!連対率</vt:lpstr>
      <vt:lpstr>多田洋輔!連対率</vt:lpstr>
      <vt:lpstr>大池陸斗!連対率</vt:lpstr>
      <vt:lpstr>滝沢悠人!連対率</vt:lpstr>
      <vt:lpstr>中川弘崇!連対率</vt:lpstr>
      <vt:lpstr>中村花菜!連対率</vt:lpstr>
      <vt:lpstr>中村季暉!連対率</vt:lpstr>
      <vt:lpstr>長野柊馬!連対率</vt:lpstr>
      <vt:lpstr>田名網新!連対率</vt:lpstr>
      <vt:lpstr>渡部陵瑛!連対率</vt:lpstr>
      <vt:lpstr>唐澤聖矢!連対率</vt:lpstr>
      <vt:lpstr>湯本咲蔵!連対率</vt:lpstr>
      <vt:lpstr>百瀬成空!連対率</vt:lpstr>
      <vt:lpstr>福澤大地!連対率</vt:lpstr>
      <vt:lpstr>保谷一貴!連対率</vt:lpstr>
      <vt:lpstr>北沢蓮太郎!連対率</vt:lpstr>
      <vt:lpstr>木角有希!連対率</vt:lpstr>
      <vt:lpstr>矢ヶ崎健!連対率</vt:lpstr>
      <vt:lpstr>柳澤颯吾!連対率</vt:lpstr>
      <vt:lpstr>両角慧太!連対率</vt:lpstr>
      <vt:lpstr>髙橋桜!連対率</vt:lpstr>
      <vt:lpstr>連対率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online024</cp:lastModifiedBy>
  <dcterms:created xsi:type="dcterms:W3CDTF">2018-11-18T09:24:12Z</dcterms:created>
  <dcterms:modified xsi:type="dcterms:W3CDTF">2023-08-10T09:37:07Z</dcterms:modified>
</cp:coreProperties>
</file>