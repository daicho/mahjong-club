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71C1DBA3-ED54-4967-8A8D-8C6CA9D4C74E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052" r:id="rId4"/>
    <sheet name="松澤亮太" sheetId="6053" r:id="rId5"/>
    <sheet name="滝沢悠人" sheetId="6054" r:id="rId6"/>
    <sheet name="大池陸斗" sheetId="6055" r:id="rId7"/>
    <sheet name="百瀬成空" sheetId="6056" r:id="rId8"/>
    <sheet name="佐藤成浩" sheetId="6057" r:id="rId9"/>
    <sheet name="依田幸憲" sheetId="6058" r:id="rId10"/>
    <sheet name="保谷一貴" sheetId="6059" r:id="rId11"/>
    <sheet name="高野源太" sheetId="6060" r:id="rId12"/>
    <sheet name="Template" sheetId="2228" state="hidden" r:id="rId13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0">保谷一貴!$B$17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0">保谷一貴!$C$17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0">保谷一貴!$B$23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0">保谷一貴!#REF!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0">保谷一貴!$C$23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0">保谷一貴!$B$32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0">保谷一貴!$C$32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0">保谷一貴!$B$19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0">保谷一貴!$C$19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0">保谷一貴!$B$7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0">保谷一貴!$C$7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0">保谷一貴!#REF!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0">保谷一貴!#REF!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0">保谷一貴!$B$12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0">保谷一貴!$C$12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0">保谷一貴!$B$10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0">保谷一貴!$C$10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0">保谷一貴!$B$21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0">保谷一貴!$C$21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0">保谷一貴!$B$13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0">保谷一貴!$B$15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0">保谷一貴!$C$15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0">保谷一貴!$C$13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0">保谷一貴!$B$20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0">保谷一貴!$C$20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0">保谷一貴!#REF!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0">保谷一貴!#REF!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0">保谷一貴!$C$28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0">保谷一貴!$C$29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0">保谷一貴!$B$31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0">保谷一貴!$B$30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0">保谷一貴!$B$31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0">保谷一貴!$B$9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0">保谷一貴!$C$9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0">保谷一貴!$B$3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0">保谷一貴!$B$2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0">保谷一貴!$C$24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0">保谷一貴!$B$4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0">保谷一貴!$C$26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0">保谷一貴!$C$27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0">保谷一貴!$C$25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0">保谷一貴!$B$8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0">保谷一貴!$C$8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0">保谷一貴!$B$22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0">保谷一貴!$B$26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0">保谷一貴!$C$22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0">保谷一貴!$B$14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0">保谷一貴!$B$16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0">保谷一貴!$C$16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0">保谷一貴!$C$14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0">保谷一貴!$B$24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0">保谷一貴!$B$5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0">保谷一貴!$B$6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0">保谷一貴!$B$27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0">保谷一貴!$B$18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0">保谷一貴!$C$18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0">保谷一貴!$B$1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0">保谷一貴!$B$25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0">保谷一貴!$B$28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0">保谷一貴!$B$29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0">保谷一貴!$B$11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0">保谷一貴!$C$11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60" l="1"/>
  <c r="O18" i="6060"/>
  <c r="O19" i="6060"/>
  <c r="C32" i="6060"/>
  <c r="B27" i="6060"/>
  <c r="C18" i="6060"/>
  <c r="B17" i="6060"/>
  <c r="C46" i="6060" s="1"/>
  <c r="C16" i="6060"/>
  <c r="B16" i="6060"/>
  <c r="B26" i="6060" s="1"/>
  <c r="O15" i="6060"/>
  <c r="C15" i="6060"/>
  <c r="B15" i="6060"/>
  <c r="O14" i="6060"/>
  <c r="C14" i="6060"/>
  <c r="O13" i="6060"/>
  <c r="C13" i="6060"/>
  <c r="O12" i="6060"/>
  <c r="C12" i="6060"/>
  <c r="C11" i="6060"/>
  <c r="B11" i="6060"/>
  <c r="C10" i="6060"/>
  <c r="O9" i="6060"/>
  <c r="C9" i="6060"/>
  <c r="O8" i="6060"/>
  <c r="C8" i="6060"/>
  <c r="O7" i="6060"/>
  <c r="C7" i="6060"/>
  <c r="O6" i="6060"/>
  <c r="B6" i="6060"/>
  <c r="O5" i="6060"/>
  <c r="B5" i="6060"/>
  <c r="O4" i="6060"/>
  <c r="O3" i="6060"/>
  <c r="H5" i="6060"/>
  <c r="O2" i="6060"/>
  <c r="O18" i="6059"/>
  <c r="O19" i="6059"/>
  <c r="O20" i="6059"/>
  <c r="C32" i="6059"/>
  <c r="B27" i="6059"/>
  <c r="C18" i="6059"/>
  <c r="C17" i="6059"/>
  <c r="B17" i="6059"/>
  <c r="C47" i="6059" s="1"/>
  <c r="C16" i="6059"/>
  <c r="B16" i="6059"/>
  <c r="B26" i="6059" s="1"/>
  <c r="O15" i="6059"/>
  <c r="C15" i="6059"/>
  <c r="B15" i="6059"/>
  <c r="O14" i="6059"/>
  <c r="C14" i="6059"/>
  <c r="O13" i="6059"/>
  <c r="H13" i="6059"/>
  <c r="C13" i="6059"/>
  <c r="O12" i="6059"/>
  <c r="C12" i="6059"/>
  <c r="B11" i="6059"/>
  <c r="C11" i="6059" s="1"/>
  <c r="H10" i="6059"/>
  <c r="C10" i="6059"/>
  <c r="O9" i="6059"/>
  <c r="C9" i="6059"/>
  <c r="O8" i="6059"/>
  <c r="C8" i="6059"/>
  <c r="O7" i="6059"/>
  <c r="C7" i="6059"/>
  <c r="O6" i="6059"/>
  <c r="H5" i="6059"/>
  <c r="B6" i="6059"/>
  <c r="O5" i="6059"/>
  <c r="B5" i="6059"/>
  <c r="O4" i="6059"/>
  <c r="O3" i="6059"/>
  <c r="H7" i="6059"/>
  <c r="O2" i="6059"/>
  <c r="O18" i="6058"/>
  <c r="O20" i="6058"/>
  <c r="O19" i="6058"/>
  <c r="C47" i="6058"/>
  <c r="H44" i="6058"/>
  <c r="H42" i="6058"/>
  <c r="H40" i="6058"/>
  <c r="H38" i="6058"/>
  <c r="H36" i="6058"/>
  <c r="H34" i="6058"/>
  <c r="C32" i="6058"/>
  <c r="H31" i="6058"/>
  <c r="H28" i="6058"/>
  <c r="H27" i="6058"/>
  <c r="B27" i="6058"/>
  <c r="H25" i="6058"/>
  <c r="B24" i="6058"/>
  <c r="H23" i="6058"/>
  <c r="C22" i="6058"/>
  <c r="H21" i="6058"/>
  <c r="C21" i="6058"/>
  <c r="C20" i="6058"/>
  <c r="H19" i="6058"/>
  <c r="C19" i="6058"/>
  <c r="C18" i="6058"/>
  <c r="H17" i="6058"/>
  <c r="C17" i="6058"/>
  <c r="B17" i="6058"/>
  <c r="C46" i="6058" s="1"/>
  <c r="H16" i="6058"/>
  <c r="C16" i="6058"/>
  <c r="B16" i="6058"/>
  <c r="B26" i="6058" s="1"/>
  <c r="O15" i="6058"/>
  <c r="H15" i="6058"/>
  <c r="C15" i="6058"/>
  <c r="B15" i="6058"/>
  <c r="O14" i="6058"/>
  <c r="H14" i="6058"/>
  <c r="C14" i="6058"/>
  <c r="O13" i="6058"/>
  <c r="H13" i="6058"/>
  <c r="C13" i="6058"/>
  <c r="O12" i="6058"/>
  <c r="H12" i="6058"/>
  <c r="C12" i="6058"/>
  <c r="H11" i="6058"/>
  <c r="C11" i="6058"/>
  <c r="B11" i="6058"/>
  <c r="H10" i="6058"/>
  <c r="C10" i="6058"/>
  <c r="O9" i="6058"/>
  <c r="H9" i="6058"/>
  <c r="C9" i="6058"/>
  <c r="O8" i="6058"/>
  <c r="H8" i="6058"/>
  <c r="C8" i="6058"/>
  <c r="O7" i="6058"/>
  <c r="H7" i="6058"/>
  <c r="C7" i="6058"/>
  <c r="O6" i="6058"/>
  <c r="H6" i="6058"/>
  <c r="B6" i="6058"/>
  <c r="O5" i="6058"/>
  <c r="H5" i="6058"/>
  <c r="B5" i="6058"/>
  <c r="O4" i="6058"/>
  <c r="H4" i="6058"/>
  <c r="O3" i="6058"/>
  <c r="H3" i="6058"/>
  <c r="O2" i="6058"/>
  <c r="H2" i="6058"/>
  <c r="O21" i="6052"/>
  <c r="O20" i="6057"/>
  <c r="O19" i="6057"/>
  <c r="O18" i="6057"/>
  <c r="H44" i="6057"/>
  <c r="H40" i="6057"/>
  <c r="H36" i="6057"/>
  <c r="C32" i="6057"/>
  <c r="H27" i="6057"/>
  <c r="B27" i="6057"/>
  <c r="H23" i="6057"/>
  <c r="C21" i="6057"/>
  <c r="C18" i="6057"/>
  <c r="B17" i="6057"/>
  <c r="H45" i="6057" s="1"/>
  <c r="H16" i="6057"/>
  <c r="C16" i="6057"/>
  <c r="B16" i="6057"/>
  <c r="B26" i="6057" s="1"/>
  <c r="O15" i="6057"/>
  <c r="H15" i="6057"/>
  <c r="C15" i="6057"/>
  <c r="B15" i="6057"/>
  <c r="O14" i="6057"/>
  <c r="H14" i="6057"/>
  <c r="C14" i="6057"/>
  <c r="O13" i="6057"/>
  <c r="C13" i="6057"/>
  <c r="O12" i="6057"/>
  <c r="C12" i="6057"/>
  <c r="H11" i="6057"/>
  <c r="C11" i="6057"/>
  <c r="B11" i="6057"/>
  <c r="H10" i="6057"/>
  <c r="C10" i="6057"/>
  <c r="O9" i="6057"/>
  <c r="C9" i="6057"/>
  <c r="O8" i="6057"/>
  <c r="C8" i="6057"/>
  <c r="O7" i="6057"/>
  <c r="H4" i="6057"/>
  <c r="C7" i="6057"/>
  <c r="O6" i="6057"/>
  <c r="H8" i="6057"/>
  <c r="B6" i="6057"/>
  <c r="O5" i="6057"/>
  <c r="B5" i="6057"/>
  <c r="O4" i="6057"/>
  <c r="O3" i="6057"/>
  <c r="H6" i="6057"/>
  <c r="O2" i="6057"/>
  <c r="O24" i="6052"/>
  <c r="O23" i="6052"/>
  <c r="O19" i="6052"/>
  <c r="H9" i="6060" l="1"/>
  <c r="H10" i="6060"/>
  <c r="C17" i="6060"/>
  <c r="H3" i="6060"/>
  <c r="H6" i="6060"/>
  <c r="H4" i="6060"/>
  <c r="H13" i="6060"/>
  <c r="H17" i="6060"/>
  <c r="H19" i="6060"/>
  <c r="H21" i="6060"/>
  <c r="H23" i="6060"/>
  <c r="H25" i="6060"/>
  <c r="H27" i="6060"/>
  <c r="H31" i="6060"/>
  <c r="H34" i="6060"/>
  <c r="H36" i="6060"/>
  <c r="H38" i="6060"/>
  <c r="H40" i="6060"/>
  <c r="H42" i="6060"/>
  <c r="H44" i="6060"/>
  <c r="C47" i="6060"/>
  <c r="H7" i="6060"/>
  <c r="H11" i="6060"/>
  <c r="H14" i="6060"/>
  <c r="H15" i="6060"/>
  <c r="H16" i="6060"/>
  <c r="C20" i="6060"/>
  <c r="C22" i="6060"/>
  <c r="B24" i="6060"/>
  <c r="H28" i="6060"/>
  <c r="C35" i="6060"/>
  <c r="C37" i="6060"/>
  <c r="C39" i="6060"/>
  <c r="C41" i="6060"/>
  <c r="C43" i="6060"/>
  <c r="C45" i="6060"/>
  <c r="H18" i="6060"/>
  <c r="H20" i="6060"/>
  <c r="H22" i="6060"/>
  <c r="H24" i="6060"/>
  <c r="H26" i="6060"/>
  <c r="H29" i="6060"/>
  <c r="H32" i="6060"/>
  <c r="H35" i="6060"/>
  <c r="H37" i="6060"/>
  <c r="H39" i="6060"/>
  <c r="H41" i="6060"/>
  <c r="H43" i="6060"/>
  <c r="H45" i="6060"/>
  <c r="H2" i="6060"/>
  <c r="H8" i="6060"/>
  <c r="H12" i="6060"/>
  <c r="C19" i="6060"/>
  <c r="C21" i="6060"/>
  <c r="C23" i="6060"/>
  <c r="B25" i="6060"/>
  <c r="H30" i="6060"/>
  <c r="H33" i="6060"/>
  <c r="C36" i="6060"/>
  <c r="C38" i="6060"/>
  <c r="C40" i="6060"/>
  <c r="C42" i="6060"/>
  <c r="C44" i="6060"/>
  <c r="H20" i="6059"/>
  <c r="H26" i="6059"/>
  <c r="H43" i="6059"/>
  <c r="B25" i="6059"/>
  <c r="H6" i="6059"/>
  <c r="H11" i="6059"/>
  <c r="H14" i="6059"/>
  <c r="H15" i="6059"/>
  <c r="H16" i="6059"/>
  <c r="C20" i="6059"/>
  <c r="C22" i="6059"/>
  <c r="B24" i="6059"/>
  <c r="H28" i="6059"/>
  <c r="C35" i="6059"/>
  <c r="C37" i="6059"/>
  <c r="C39" i="6059"/>
  <c r="C41" i="6059"/>
  <c r="C43" i="6059"/>
  <c r="C45" i="6059"/>
  <c r="H18" i="6059"/>
  <c r="H22" i="6059"/>
  <c r="H24" i="6059"/>
  <c r="H29" i="6059"/>
  <c r="H32" i="6059"/>
  <c r="H35" i="6059"/>
  <c r="H37" i="6059"/>
  <c r="H39" i="6059"/>
  <c r="H41" i="6059"/>
  <c r="H45" i="6059"/>
  <c r="H2" i="6059"/>
  <c r="H9" i="6059"/>
  <c r="H12" i="6059"/>
  <c r="C19" i="6059"/>
  <c r="C21" i="6059"/>
  <c r="C23" i="6059"/>
  <c r="H30" i="6059"/>
  <c r="H33" i="6059"/>
  <c r="C36" i="6059"/>
  <c r="C38" i="6059"/>
  <c r="C40" i="6059"/>
  <c r="C42" i="6059"/>
  <c r="C44" i="6059"/>
  <c r="C46" i="6059"/>
  <c r="H3" i="6059"/>
  <c r="H4" i="6059"/>
  <c r="H8" i="6059"/>
  <c r="H17" i="6059"/>
  <c r="H19" i="6059"/>
  <c r="H21" i="6059"/>
  <c r="H23" i="6059"/>
  <c r="H25" i="6059"/>
  <c r="H27" i="6059"/>
  <c r="H31" i="6059"/>
  <c r="H34" i="6059"/>
  <c r="H36" i="6059"/>
  <c r="H38" i="6059"/>
  <c r="H40" i="6059"/>
  <c r="H42" i="6059"/>
  <c r="H44" i="6059"/>
  <c r="C35" i="6058"/>
  <c r="C37" i="6058"/>
  <c r="C39" i="6058"/>
  <c r="C41" i="6058"/>
  <c r="C43" i="6058"/>
  <c r="C45" i="6058"/>
  <c r="H18" i="6058"/>
  <c r="H20" i="6058"/>
  <c r="H22" i="6058"/>
  <c r="H24" i="6058"/>
  <c r="H26" i="6058"/>
  <c r="H29" i="6058"/>
  <c r="H32" i="6058"/>
  <c r="H35" i="6058"/>
  <c r="H37" i="6058"/>
  <c r="H39" i="6058"/>
  <c r="H41" i="6058"/>
  <c r="H43" i="6058"/>
  <c r="H45" i="6058"/>
  <c r="C23" i="6058"/>
  <c r="B25" i="6058"/>
  <c r="H30" i="6058"/>
  <c r="H33" i="6058"/>
  <c r="C36" i="6058"/>
  <c r="C38" i="6058"/>
  <c r="C40" i="6058"/>
  <c r="C42" i="6058"/>
  <c r="C44" i="6058"/>
  <c r="H13" i="6057"/>
  <c r="C19" i="6057"/>
  <c r="H3" i="6057"/>
  <c r="H7" i="6057"/>
  <c r="H9" i="6057"/>
  <c r="H17" i="6057"/>
  <c r="C20" i="6057"/>
  <c r="C23" i="6057"/>
  <c r="H31" i="6057"/>
  <c r="C36" i="6057"/>
  <c r="C40" i="6057"/>
  <c r="C44" i="6057"/>
  <c r="H21" i="6057"/>
  <c r="B24" i="6057"/>
  <c r="H28" i="6057"/>
  <c r="H33" i="6057"/>
  <c r="C38" i="6057"/>
  <c r="C42" i="6057"/>
  <c r="C46" i="6057"/>
  <c r="H2" i="6057"/>
  <c r="H5" i="6057"/>
  <c r="H12" i="6057"/>
  <c r="C17" i="6057"/>
  <c r="H19" i="6057"/>
  <c r="C22" i="6057"/>
  <c r="H25" i="6057"/>
  <c r="H30" i="6057"/>
  <c r="H34" i="6057"/>
  <c r="H38" i="6057"/>
  <c r="H42" i="6057"/>
  <c r="C47" i="6057"/>
  <c r="B25" i="6057"/>
  <c r="C35" i="6057"/>
  <c r="C37" i="6057"/>
  <c r="C39" i="6057"/>
  <c r="C41" i="6057"/>
  <c r="C43" i="6057"/>
  <c r="C45" i="6057"/>
  <c r="H18" i="6057"/>
  <c r="H20" i="6057"/>
  <c r="H22" i="6057"/>
  <c r="H24" i="6057"/>
  <c r="H26" i="6057"/>
  <c r="H29" i="6057"/>
  <c r="H32" i="6057"/>
  <c r="H35" i="6057"/>
  <c r="H37" i="6057"/>
  <c r="H39" i="6057"/>
  <c r="H41" i="6057"/>
  <c r="H43" i="6057"/>
  <c r="O18" i="6056" l="1"/>
  <c r="O20" i="6056"/>
  <c r="O19" i="6056"/>
  <c r="C32" i="6056"/>
  <c r="B27" i="6056"/>
  <c r="C18" i="6056"/>
  <c r="B17" i="6056"/>
  <c r="C46" i="6056" s="1"/>
  <c r="C16" i="6056"/>
  <c r="B16" i="6056"/>
  <c r="B26" i="6056" s="1"/>
  <c r="O15" i="6056"/>
  <c r="B15" i="6056"/>
  <c r="C15" i="6056" s="1"/>
  <c r="O14" i="6056"/>
  <c r="C14" i="6056"/>
  <c r="O13" i="6056"/>
  <c r="C13" i="6056"/>
  <c r="O12" i="6056"/>
  <c r="C12" i="6056"/>
  <c r="C11" i="6056"/>
  <c r="B11" i="6056"/>
  <c r="C10" i="6056"/>
  <c r="O9" i="6056"/>
  <c r="C9" i="6056"/>
  <c r="O8" i="6056"/>
  <c r="C8" i="6056"/>
  <c r="O7" i="6056"/>
  <c r="C7" i="6056"/>
  <c r="O6" i="6056"/>
  <c r="B6" i="6056"/>
  <c r="O5" i="6056"/>
  <c r="B5" i="6056"/>
  <c r="O4" i="6056"/>
  <c r="O3" i="6056"/>
  <c r="O2" i="6056"/>
  <c r="O20" i="6055"/>
  <c r="O19" i="6055"/>
  <c r="O18" i="6055"/>
  <c r="C32" i="6055"/>
  <c r="B27" i="6055"/>
  <c r="C18" i="6055"/>
  <c r="H17" i="6055"/>
  <c r="B17" i="6055"/>
  <c r="C46" i="6055" s="1"/>
  <c r="C16" i="6055"/>
  <c r="B16" i="6055"/>
  <c r="B26" i="6055" s="1"/>
  <c r="O15" i="6055"/>
  <c r="B15" i="6055"/>
  <c r="C15" i="6055" s="1"/>
  <c r="O14" i="6055"/>
  <c r="C14" i="6055"/>
  <c r="O13" i="6055"/>
  <c r="C13" i="6055"/>
  <c r="O12" i="6055"/>
  <c r="C12" i="6055"/>
  <c r="C11" i="6055"/>
  <c r="B11" i="6055"/>
  <c r="C10" i="6055"/>
  <c r="O9" i="6055"/>
  <c r="C9" i="6055"/>
  <c r="O8" i="6055"/>
  <c r="H4" i="6055"/>
  <c r="C8" i="6055"/>
  <c r="O7" i="6055"/>
  <c r="C7" i="6055"/>
  <c r="O6" i="6055"/>
  <c r="H3" i="6055"/>
  <c r="B6" i="6055"/>
  <c r="O5" i="6055"/>
  <c r="B5" i="6055"/>
  <c r="O4" i="6055"/>
  <c r="H6" i="6055"/>
  <c r="O3" i="6055"/>
  <c r="H5" i="6055"/>
  <c r="O2" i="6055"/>
  <c r="H2" i="6055"/>
  <c r="O20" i="6054"/>
  <c r="O19" i="6054"/>
  <c r="O18" i="6054"/>
  <c r="C32" i="6054"/>
  <c r="B27" i="6054"/>
  <c r="C18" i="6054"/>
  <c r="B17" i="6054"/>
  <c r="C46" i="6054" s="1"/>
  <c r="C16" i="6054"/>
  <c r="B16" i="6054"/>
  <c r="B26" i="6054" s="1"/>
  <c r="O15" i="6054"/>
  <c r="C15" i="6054"/>
  <c r="B15" i="6054"/>
  <c r="O14" i="6054"/>
  <c r="C14" i="6054"/>
  <c r="O13" i="6054"/>
  <c r="C13" i="6054"/>
  <c r="O12" i="6054"/>
  <c r="C12" i="6054"/>
  <c r="C11" i="6054"/>
  <c r="B11" i="6054"/>
  <c r="C10" i="6054"/>
  <c r="O9" i="6054"/>
  <c r="C9" i="6054"/>
  <c r="O8" i="6054"/>
  <c r="C8" i="6054"/>
  <c r="O7" i="6054"/>
  <c r="C7" i="6054"/>
  <c r="O6" i="6054"/>
  <c r="B6" i="6054"/>
  <c r="O5" i="6054"/>
  <c r="B5" i="6054"/>
  <c r="O4" i="6054"/>
  <c r="O3" i="6054"/>
  <c r="O2" i="6054"/>
  <c r="O22" i="6052"/>
  <c r="O19" i="6053"/>
  <c r="O18" i="6053"/>
  <c r="O20" i="6053"/>
  <c r="C44" i="6053"/>
  <c r="H40" i="6053"/>
  <c r="C40" i="6053"/>
  <c r="H36" i="6053"/>
  <c r="C36" i="6053"/>
  <c r="C32" i="6053"/>
  <c r="H31" i="6053"/>
  <c r="H27" i="6053"/>
  <c r="B27" i="6053"/>
  <c r="H23" i="6053"/>
  <c r="C23" i="6053"/>
  <c r="C21" i="6053"/>
  <c r="C20" i="6053"/>
  <c r="C18" i="6053"/>
  <c r="H18" i="6053"/>
  <c r="B17" i="6053"/>
  <c r="H45" i="6053" s="1"/>
  <c r="H17" i="6053"/>
  <c r="C16" i="6053"/>
  <c r="B16" i="6053"/>
  <c r="O15" i="6053"/>
  <c r="H16" i="6053"/>
  <c r="C15" i="6053"/>
  <c r="B15" i="6053"/>
  <c r="O14" i="6053"/>
  <c r="H15" i="6053"/>
  <c r="C14" i="6053"/>
  <c r="O13" i="6053"/>
  <c r="H14" i="6053"/>
  <c r="C13" i="6053"/>
  <c r="O12" i="6053"/>
  <c r="C12" i="6053"/>
  <c r="H12" i="6053"/>
  <c r="C11" i="6053"/>
  <c r="B11" i="6053"/>
  <c r="H3" i="6053"/>
  <c r="C10" i="6053"/>
  <c r="O9" i="6053"/>
  <c r="C9" i="6053"/>
  <c r="O8" i="6053"/>
  <c r="H10" i="6053"/>
  <c r="C8" i="6053"/>
  <c r="O7" i="6053"/>
  <c r="H9" i="6053"/>
  <c r="C7" i="6053"/>
  <c r="O6" i="6053"/>
  <c r="H8" i="6053"/>
  <c r="B6" i="6053"/>
  <c r="O5" i="6053"/>
  <c r="B5" i="6053"/>
  <c r="O4" i="6053"/>
  <c r="H2" i="6053"/>
  <c r="O3" i="6053"/>
  <c r="H6" i="6053"/>
  <c r="O2" i="6053"/>
  <c r="H5" i="6053"/>
  <c r="O20" i="6052"/>
  <c r="O18" i="6052"/>
  <c r="O25" i="6052"/>
  <c r="C32" i="6052"/>
  <c r="B27" i="6052"/>
  <c r="C18" i="6052"/>
  <c r="B17" i="6052"/>
  <c r="C45" i="6052" s="1"/>
  <c r="C16" i="6052"/>
  <c r="B16" i="6052"/>
  <c r="B26" i="6052" s="1"/>
  <c r="O15" i="6052"/>
  <c r="B15" i="6052"/>
  <c r="C15" i="6052" s="1"/>
  <c r="O14" i="6052"/>
  <c r="C14" i="6052"/>
  <c r="O13" i="6052"/>
  <c r="C13" i="6052"/>
  <c r="O12" i="6052"/>
  <c r="C12" i="6052"/>
  <c r="B11" i="6052"/>
  <c r="C11" i="6052" s="1"/>
  <c r="C10" i="6052"/>
  <c r="O9" i="6052"/>
  <c r="C9" i="6052"/>
  <c r="O8" i="6052"/>
  <c r="C8" i="6052"/>
  <c r="O7" i="6052"/>
  <c r="C7" i="6052"/>
  <c r="O6" i="6052"/>
  <c r="B6" i="6052"/>
  <c r="O5" i="6052"/>
  <c r="B5" i="6052"/>
  <c r="O4" i="6052"/>
  <c r="O3" i="6052"/>
  <c r="O2" i="6052"/>
  <c r="H9" i="6056" l="1"/>
  <c r="H11" i="6056"/>
  <c r="C17" i="6056"/>
  <c r="H4" i="6056"/>
  <c r="H2" i="6056"/>
  <c r="H3" i="6056"/>
  <c r="H7" i="6056"/>
  <c r="H14" i="6056"/>
  <c r="H18" i="6056"/>
  <c r="H20" i="6056"/>
  <c r="H22" i="6056"/>
  <c r="H24" i="6056"/>
  <c r="H25" i="6056"/>
  <c r="H27" i="6056"/>
  <c r="H31" i="6056"/>
  <c r="H34" i="6056"/>
  <c r="H36" i="6056"/>
  <c r="H38" i="6056"/>
  <c r="H40" i="6056"/>
  <c r="H42" i="6056"/>
  <c r="H44" i="6056"/>
  <c r="C47" i="6056"/>
  <c r="H8" i="6056"/>
  <c r="H12" i="6056"/>
  <c r="H15" i="6056"/>
  <c r="H16" i="6056"/>
  <c r="H17" i="6056"/>
  <c r="C20" i="6056"/>
  <c r="C22" i="6056"/>
  <c r="B24" i="6056"/>
  <c r="H28" i="6056"/>
  <c r="C35" i="6056"/>
  <c r="C37" i="6056"/>
  <c r="C39" i="6056"/>
  <c r="C41" i="6056"/>
  <c r="C43" i="6056"/>
  <c r="C45" i="6056"/>
  <c r="H19" i="6056"/>
  <c r="H21" i="6056"/>
  <c r="H23" i="6056"/>
  <c r="H5" i="6056"/>
  <c r="H26" i="6056"/>
  <c r="H29" i="6056"/>
  <c r="H32" i="6056"/>
  <c r="H35" i="6056"/>
  <c r="H37" i="6056"/>
  <c r="H39" i="6056"/>
  <c r="H41" i="6056"/>
  <c r="H43" i="6056"/>
  <c r="H45" i="6056"/>
  <c r="H6" i="6056"/>
  <c r="H10" i="6056"/>
  <c r="H13" i="6056"/>
  <c r="C19" i="6056"/>
  <c r="C21" i="6056"/>
  <c r="C23" i="6056"/>
  <c r="B25" i="6056"/>
  <c r="H30" i="6056"/>
  <c r="H33" i="6056"/>
  <c r="C36" i="6056"/>
  <c r="C38" i="6056"/>
  <c r="C40" i="6056"/>
  <c r="C42" i="6056"/>
  <c r="C44" i="6056"/>
  <c r="H13" i="6055"/>
  <c r="H19" i="6055"/>
  <c r="H10" i="6055"/>
  <c r="C17" i="6055"/>
  <c r="H21" i="6055"/>
  <c r="H23" i="6055"/>
  <c r="H25" i="6055"/>
  <c r="H27" i="6055"/>
  <c r="H31" i="6055"/>
  <c r="H34" i="6055"/>
  <c r="H36" i="6055"/>
  <c r="H38" i="6055"/>
  <c r="H40" i="6055"/>
  <c r="H42" i="6055"/>
  <c r="H44" i="6055"/>
  <c r="C47" i="6055"/>
  <c r="H8" i="6055"/>
  <c r="H11" i="6055"/>
  <c r="H14" i="6055"/>
  <c r="H15" i="6055"/>
  <c r="H16" i="6055"/>
  <c r="C20" i="6055"/>
  <c r="C22" i="6055"/>
  <c r="B24" i="6055"/>
  <c r="H28" i="6055"/>
  <c r="C35" i="6055"/>
  <c r="C37" i="6055"/>
  <c r="C39" i="6055"/>
  <c r="C41" i="6055"/>
  <c r="C43" i="6055"/>
  <c r="C45" i="6055"/>
  <c r="H18" i="6055"/>
  <c r="H20" i="6055"/>
  <c r="H22" i="6055"/>
  <c r="H24" i="6055"/>
  <c r="H26" i="6055"/>
  <c r="H29" i="6055"/>
  <c r="H32" i="6055"/>
  <c r="H35" i="6055"/>
  <c r="H37" i="6055"/>
  <c r="H39" i="6055"/>
  <c r="H41" i="6055"/>
  <c r="H43" i="6055"/>
  <c r="H45" i="6055"/>
  <c r="H7" i="6055"/>
  <c r="H9" i="6055"/>
  <c r="H12" i="6055"/>
  <c r="C19" i="6055"/>
  <c r="C21" i="6055"/>
  <c r="C23" i="6055"/>
  <c r="B25" i="6055"/>
  <c r="H30" i="6055"/>
  <c r="H33" i="6055"/>
  <c r="C36" i="6055"/>
  <c r="C38" i="6055"/>
  <c r="C40" i="6055"/>
  <c r="C42" i="6055"/>
  <c r="C44" i="6055"/>
  <c r="H10" i="6052"/>
  <c r="H5" i="6052"/>
  <c r="H9" i="6054"/>
  <c r="H10" i="6054"/>
  <c r="C17" i="6054"/>
  <c r="H7" i="6054"/>
  <c r="H3" i="6054"/>
  <c r="H4" i="6054"/>
  <c r="H6" i="6054"/>
  <c r="H13" i="6054"/>
  <c r="H17" i="6054"/>
  <c r="H19" i="6054"/>
  <c r="H21" i="6054"/>
  <c r="H23" i="6054"/>
  <c r="H25" i="6054"/>
  <c r="H27" i="6054"/>
  <c r="H31" i="6054"/>
  <c r="H34" i="6054"/>
  <c r="H36" i="6054"/>
  <c r="H38" i="6054"/>
  <c r="H40" i="6054"/>
  <c r="H42" i="6054"/>
  <c r="H44" i="6054"/>
  <c r="C47" i="6054"/>
  <c r="H5" i="6054"/>
  <c r="H11" i="6054"/>
  <c r="H14" i="6054"/>
  <c r="H15" i="6054"/>
  <c r="H16" i="6054"/>
  <c r="C20" i="6054"/>
  <c r="C22" i="6054"/>
  <c r="B24" i="6054"/>
  <c r="H28" i="6054"/>
  <c r="C35" i="6054"/>
  <c r="C37" i="6054"/>
  <c r="C39" i="6054"/>
  <c r="C41" i="6054"/>
  <c r="C43" i="6054"/>
  <c r="C45" i="6054"/>
  <c r="H18" i="6054"/>
  <c r="H20" i="6054"/>
  <c r="H22" i="6054"/>
  <c r="H24" i="6054"/>
  <c r="H26" i="6054"/>
  <c r="H29" i="6054"/>
  <c r="H32" i="6054"/>
  <c r="H35" i="6054"/>
  <c r="H37" i="6054"/>
  <c r="H39" i="6054"/>
  <c r="H41" i="6054"/>
  <c r="H43" i="6054"/>
  <c r="H45" i="6054"/>
  <c r="H2" i="6054"/>
  <c r="H8" i="6054"/>
  <c r="H12" i="6054"/>
  <c r="C19" i="6054"/>
  <c r="C21" i="6054"/>
  <c r="C23" i="6054"/>
  <c r="B25" i="6054"/>
  <c r="H30" i="6054"/>
  <c r="H33" i="6054"/>
  <c r="C36" i="6054"/>
  <c r="C38" i="6054"/>
  <c r="C40" i="6054"/>
  <c r="C42" i="6054"/>
  <c r="C44" i="6054"/>
  <c r="H8" i="6052"/>
  <c r="H15" i="6052"/>
  <c r="C17" i="6052"/>
  <c r="H44" i="6053"/>
  <c r="C19" i="6053"/>
  <c r="H4" i="6053"/>
  <c r="B24" i="6053"/>
  <c r="H28" i="6053"/>
  <c r="H33" i="6053"/>
  <c r="C38" i="6053"/>
  <c r="C42" i="6053"/>
  <c r="C46" i="6053"/>
  <c r="H7" i="6053"/>
  <c r="H11" i="6053"/>
  <c r="H13" i="6053"/>
  <c r="B25" i="6053"/>
  <c r="C17" i="6053"/>
  <c r="H20" i="6053"/>
  <c r="C22" i="6053"/>
  <c r="H25" i="6053"/>
  <c r="H30" i="6053"/>
  <c r="H34" i="6053"/>
  <c r="H38" i="6053"/>
  <c r="H42" i="6053"/>
  <c r="C47" i="6053"/>
  <c r="B26" i="6053"/>
  <c r="C35" i="6053"/>
  <c r="C37" i="6053"/>
  <c r="C39" i="6053"/>
  <c r="C41" i="6053"/>
  <c r="C43" i="6053"/>
  <c r="C45" i="6053"/>
  <c r="H19" i="6053"/>
  <c r="H21" i="6053"/>
  <c r="H22" i="6053"/>
  <c r="H24" i="6053"/>
  <c r="H26" i="6053"/>
  <c r="H29" i="6053"/>
  <c r="H32" i="6053"/>
  <c r="H35" i="6053"/>
  <c r="H37" i="6053"/>
  <c r="H39" i="6053"/>
  <c r="H41" i="6053"/>
  <c r="H43" i="6053"/>
  <c r="H20" i="6052"/>
  <c r="H22" i="6052"/>
  <c r="H23" i="6052"/>
  <c r="H12" i="6052"/>
  <c r="H26" i="6052"/>
  <c r="H29" i="6052"/>
  <c r="H32" i="6052"/>
  <c r="H35" i="6052"/>
  <c r="H37" i="6052"/>
  <c r="H39" i="6052"/>
  <c r="H41" i="6052"/>
  <c r="H43" i="6052"/>
  <c r="H45" i="6052"/>
  <c r="H2" i="6052"/>
  <c r="H7" i="6052"/>
  <c r="H14" i="6052"/>
  <c r="C19" i="6052"/>
  <c r="C21" i="6052"/>
  <c r="C23" i="6052"/>
  <c r="B25" i="6052"/>
  <c r="H30" i="6052"/>
  <c r="H33" i="6052"/>
  <c r="C36" i="6052"/>
  <c r="C38" i="6052"/>
  <c r="C40" i="6052"/>
  <c r="C42" i="6052"/>
  <c r="C44" i="6052"/>
  <c r="C46" i="6052"/>
  <c r="H3" i="6052"/>
  <c r="H4" i="6052"/>
  <c r="H9" i="6052"/>
  <c r="H19" i="6052"/>
  <c r="H21" i="6052"/>
  <c r="H11" i="6052"/>
  <c r="H24" i="6052"/>
  <c r="H25" i="6052"/>
  <c r="H27" i="6052"/>
  <c r="H31" i="6052"/>
  <c r="H34" i="6052"/>
  <c r="H36" i="6052"/>
  <c r="H38" i="6052"/>
  <c r="H40" i="6052"/>
  <c r="H42" i="6052"/>
  <c r="H44" i="6052"/>
  <c r="C47" i="6052"/>
  <c r="H6" i="6052"/>
  <c r="H13" i="6052"/>
  <c r="H16" i="6052"/>
  <c r="H17" i="6052"/>
  <c r="H18" i="6052"/>
  <c r="C20" i="6052"/>
  <c r="C22" i="6052"/>
  <c r="B24" i="6052"/>
  <c r="H28" i="6052"/>
  <c r="C35" i="6052"/>
  <c r="C37" i="6052"/>
  <c r="C39" i="6052"/>
  <c r="C41" i="6052"/>
  <c r="C43" i="605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<sst xmlns="http://schemas.openxmlformats.org/spreadsheetml/2006/main" count="1899" uniqueCount="189">
  <si>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</si>
  <si>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</si>
  <si>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</si>
  <si>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</si>
  <si>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</si>
  <si>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</si>
  <si>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</si>
  <si>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</si>
  <si>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</si>
  <si>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</si>
  <si>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</si>
  <si>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</si>
  <si>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</si>
  <si>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</si>
  <si>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</si>
  <si>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</si>
  <si>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</si>
  <si>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</si>
  <si>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</si>
  <si>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</si>
  <si>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</si>
  <si>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</si>
  <si>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</si>
  <si>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</si>
  <si>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</si>
  <si>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</si>
  <si>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</si>
  <si>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</si>
  <si>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</si>
  <si>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</si>
  <si>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</si>
  <si>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</si>
  <si>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</si>
  <si>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</si>
  <si>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</si>
  <si>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</si>
  <si>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</si>
  <si>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</si>
  <si>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</si>
  <si>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</si>
  <si>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</si>
  <si>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</si>
  <si>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</si>
  <si>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</si>
  <si>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</si>
  <si>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</si>
  <si>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</si>
  <si>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</si>
  <si>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</si>
  <si>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</si>
  <si>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</si>
  <si>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</si>
  <si>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</si>
  <si>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</si>
  <si>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</si>
  <si>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2"/>
  </si>
  <si>
    <t>02</t>
    <phoneticPr fontId="2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</si>
  <si>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</si>
  <si>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</si>
  <si>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</si>
  <si>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</si>
  <si>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</si>
  <si>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</si>
  <si>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</si>
  <si>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</si>
  <si>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</si>
  <si>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</si>
  <si>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</si>
  <si>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</si>
  <si>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</si>
  <si>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</si>
  <si>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</si>
  <si>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</si>
  <si>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</si>
  <si>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</si>
  <si>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</si>
  <si>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</si>
  <si>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</si>
  <si>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</si>
  <si>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</si>
  <si>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</si>
  <si>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</si>
  <si>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</si>
  <si>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</si>
  <si>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</si>
  <si>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</si>
  <si>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</si>
  <si>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</si>
  <si>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</si>
  <si>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</si>
  <si>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</si>
  <si>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</si>
  <si>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</si>
  <si>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</si>
  <si>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</si>
  <si>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</si>
  <si>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</si>
  <si>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</si>
  <si>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</si>
  <si>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</si>
  <si>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</si>
  <si>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</si>
  <si>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</si>
  <si>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</si>
  <si>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</si>
  <si>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</si>
  <si>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</si>
  <si>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</si>
  <si>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</si>
  <si>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</si>
  <si>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</si>
  <si>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</si>
  <si>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</si>
  <si>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</si>
  <si>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</si>
  <si>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</si>
  <si>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</si>
  <si>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</si>
  <si>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</si>
  <si>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</si>
  <si>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</si>
  <si>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</si>
  <si>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</si>
  <si>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</si>
  <si>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</si>
  <si>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</si>
  <si>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</si>
  <si>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</si>
  <si>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</si>
  <si>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</si>
  <si>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</si>
  <si>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</si>
  <si>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</si>
  <si>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</si>
  <si>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</si>
  <si>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</si>
  <si>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</si>
  <si>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</si>
  <si>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</si>
  <si>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</si>
  <si>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赤ドラ</t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</si>
  <si>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</si>
  <si>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</si>
  <si>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</si>
  <si>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</si>
  <si>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</si>
  <si>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</si>
  <si>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</si>
  <si>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</si>
  <si>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</si>
  <si>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</si>
  <si>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</si>
  <si>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</si>
  <si>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</si>
  <si>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</si>
  <si>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</si>
  <si>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</si>
  <si>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</si>
  <si>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</si>
  <si>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</si>
  <si>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</si>
  <si>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</si>
  <si>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</si>
  <si>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</si>
  <si>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</si>
  <si>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</si>
  <si>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ツモ</t>
  </si>
  <si>
    <t>三色同順</t>
    <rPh sb="2" eb="4">
      <t>ドウジュン</t>
    </rPh>
    <phoneticPr fontId="1"/>
  </si>
  <si>
    <t>国士13面</t>
  </si>
  <si>
    <t>四暗刻単騎</t>
  </si>
  <si>
    <t>純正九蓮</t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</si>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</sst>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1-4661-8DA0-AD6F8DA34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9-41EB-9D9D-DA9C2F864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1-479F-8884-A1B66B128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松澤亮太!$L$2:$L$3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8-4C4D-A27B-F50E46079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500</c:v>
                </c:pt>
                <c:pt idx="3">
                  <c:v>-1100</c:v>
                </c:pt>
                <c:pt idx="4">
                  <c:v>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F4-4111-BF74-A4ACFF973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4D5-8A94-4C43E3351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滝沢悠人!$L$2:$L$3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81-4823-A899-62D1E8048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21800</c:v>
                </c:pt>
                <c:pt idx="2">
                  <c:v>-1500</c:v>
                </c:pt>
                <c:pt idx="3">
                  <c:v>-1100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7-4EA9-B3AE-E482C195D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32-45DB-B4E6-75C8C4FE6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大池陸斗!$L$2:$L$3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EA-4BE8-A389-C7F35285D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-12000</c:v>
                </c:pt>
                <c:pt idx="1">
                  <c:v>-8600</c:v>
                </c:pt>
                <c:pt idx="2">
                  <c:v>-1500</c:v>
                </c:pt>
                <c:pt idx="3">
                  <c:v>6300</c:v>
                </c:pt>
                <c:pt idx="4">
                  <c:v>-2600</c:v>
                </c:pt>
                <c:pt idx="5">
                  <c:v>-8300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D-4F6F-8029-8137615CE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32-4D88-80F6-4D44CE823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B-4FA7-96C6-21A47C96A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2-42DC-A73E-F34B01CA2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E-4CC9-9867-2E186C06F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佐藤成浩!$L$2:$L$3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97-471E-901F-783A08835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17200</c:v>
                </c:pt>
                <c:pt idx="1">
                  <c:v>0</c:v>
                </c:pt>
                <c:pt idx="2">
                  <c:v>-3000</c:v>
                </c:pt>
                <c:pt idx="3">
                  <c:v>-13400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9-4E36-84F7-EF974710B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1-4CFF-A83D-0F5041A0E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依田幸憲!$L$2:$L$3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87-4014-B238-5A2E24205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-20500</c:v>
                </c:pt>
                <c:pt idx="1">
                  <c:v>0</c:v>
                </c:pt>
                <c:pt idx="2">
                  <c:v>-4000</c:v>
                </c:pt>
                <c:pt idx="3">
                  <c:v>-1400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0-471A-B0FA-1069D5A92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6BD-9EE4-7BF6F3D9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46-4266-82C9-B4B501594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49-4800-AD7A-C389C30C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9-4AB0-A944-262F00054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高野源太!$L$2:$L$3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3-4DFD-B0C0-B36E9A0E9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5800</c:v>
                </c:pt>
                <c:pt idx="1">
                  <c:v>-13000</c:v>
                </c:pt>
                <c:pt idx="2">
                  <c:v>13000</c:v>
                </c:pt>
                <c:pt idx="3">
                  <c:v>10300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2-4915-AC6B-7E17ED0E5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3C-4E3A-A1F4-A598570B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1385F7-3484-4215-BFD1-B7E966882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E0F409-BEC0-428B-AFBB-ED7381E8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7326474-E410-40EB-8F7D-5D8D91FB2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833759-7339-425D-A786-8D4FD5C68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D5BA7B-2D3D-4013-A087-E3AC2E8C4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E36E00D-B21A-4423-BDA4-7690920C50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120550-0618-4FC1-B04D-CB3612247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ED64EC-4CC8-470E-BA94-AD479C771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24068D-3DBF-4197-8795-E2437A19D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6F26A6-635D-4324-82F6-B7281812BE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60732E-9766-4064-89AF-DFE2F0A8E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190AB4-84D0-4F33-9851-D43FDC161A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6BE9E2-C198-4AD5-90BF-660990548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735BBC-742C-4693-B17C-6572D81A4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C3E96D-4034-4C5F-BDF7-B0F982751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004673-9E59-4467-B868-3D7915871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B860DE-F8B6-409B-A1C8-1E0D462E96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D0791A-86C8-46B3-9363-DF25A2E86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C898FA-8157-4240-8ACE-5F5437B86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F6F6B0-2634-4D26-B9E3-C7FDA421D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0AC7C01-0335-41B5-9EA9-486C0E3AD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E3BD1C-E33D-4FEF-8EED-042E282D6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2F45EA-1937-44E7-AA8F-C66C1F3E85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86DE27-7819-4919-841B-98DF89B01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9412C2-7C3B-4AD4-9E81-938436BFE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340A15-868B-4402-B8D0-79546E41C7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BF6B99-7F43-4DCA-A1A1-0CEFAD1FD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3">
      <c r="A1" s="23">
        <v>32874</v>
      </c>
      <c r="B1" s="23">
        <v>2958465</v>
      </c>
    </row>
    <row r="2" spans="1:3">
      <c r="A2" s="24" t="s">
        <v>174</v>
      </c>
      <c r="B2" s="25">
        <v>43787.441250000003</v>
      </c>
      <c r="C2" s="24" t="s">
        <v>110</v>
      </c>
    </row>
    <row r="3" spans="1:3">
      <c r="A3" s="24" t="s">
        <v>179</v>
      </c>
      <c r="B3" s="25">
        <v>43786.923078703701</v>
      </c>
      <c r="C3" s="24" t="s">
        <v>110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122</v>
      </c>
      <c r="B1">
        <v>8</v>
      </c>
    </row>
    <row r="2" spans="1:2">
      <c r="A2" t="s">
        <v>178</v>
      </c>
      <c r="B2">
        <v>1</v>
      </c>
    </row>
    <row r="3" spans="1:2">
      <c r="A3" t="s">
        <v>175</v>
      </c>
      <c r="B3">
        <v>1</v>
      </c>
    </row>
    <row r="4" spans="1:2">
      <c r="A4" t="s">
        <v>176</v>
      </c>
      <c r="B4">
        <v>1</v>
      </c>
    </row>
    <row r="5" spans="1:2">
      <c r="A5" t="s">
        <v>177</v>
      </c>
      <c r="B5">
        <v>1</v>
      </c>
    </row>
    <row r="6" spans="1:2">
      <c r="A6" t="s">
        <v>183</v>
      </c>
      <c r="B6">
        <v>1</v>
      </c>
    </row>
    <row r="7" spans="1:2">
      <c r="A7" t="s">
        <v>180</v>
      </c>
      <c r="B7">
        <v>1</v>
      </c>
    </row>
    <row r="8" spans="1:2">
      <c r="A8" t="s">
        <v>181</v>
      </c>
      <c r="B8">
        <v>1</v>
      </c>
    </row>
    <row r="9" spans="1:2">
      <c r="A9" t="s">
        <v>182</v>
      </c>
      <c r="B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1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4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8" customWidth="1"/>
    <col min="34" max="16384" width="9" style="59"/>
  </cols>
  <sheetData>
    <row r="1" spans="1:33">
      <c r="A1" s="58"/>
      <c r="B1" s="135" t="s">
        <v>6</v>
      </c>
      <c r="C1" s="136"/>
      <c r="D1" s="135" t="s">
        <v>7</v>
      </c>
      <c r="E1" s="136"/>
      <c r="F1" s="135" t="s">
        <v>15</v>
      </c>
      <c r="G1" s="136"/>
      <c r="H1" s="135" t="s">
        <v>14</v>
      </c>
      <c r="I1" s="136"/>
      <c r="J1" s="135" t="s">
        <v>133</v>
      </c>
      <c r="K1" s="136"/>
      <c r="L1" s="135" t="s">
        <v>163</v>
      </c>
      <c r="M1" s="136"/>
      <c r="N1" s="135" t="s">
        <v>123</v>
      </c>
      <c r="O1" s="136"/>
      <c r="P1" s="135" t="s">
        <v>124</v>
      </c>
      <c r="Q1" s="136"/>
      <c r="R1" s="135" t="s">
        <v>5</v>
      </c>
      <c r="S1" s="136"/>
      <c r="T1" s="135" t="s">
        <v>16</v>
      </c>
      <c r="U1" s="136"/>
      <c r="V1" s="135" t="s">
        <v>106</v>
      </c>
      <c r="W1" s="136"/>
      <c r="X1" s="135" t="s">
        <v>103</v>
      </c>
      <c r="Y1" s="136"/>
      <c r="Z1" s="135" t="s">
        <v>109</v>
      </c>
      <c r="AA1" s="136"/>
      <c r="AB1" s="135" t="s">
        <v>125</v>
      </c>
      <c r="AC1" s="136"/>
      <c r="AD1" s="135" t="s">
        <v>121</v>
      </c>
      <c r="AE1" s="136"/>
      <c r="AF1" s="135" t="s">
        <v>157</v>
      </c>
      <c r="AG1" s="136"/>
    </row>
    <row r="2" spans="1:33">
      <c r="A2" s="58" t="s">
        <v>132</v>
      </c>
      <c r="B2" s="137"/>
      <c r="C2" s="138"/>
      <c r="D2" s="137"/>
      <c r="E2" s="138"/>
      <c r="F2" s="133" t="s">
        <v>184</v>
      </c>
      <c r="G2" s="134"/>
      <c r="H2" s="133" t="s">
        <v>184</v>
      </c>
      <c r="I2" s="134"/>
      <c r="J2" s="133" t="s">
        <v>184</v>
      </c>
      <c r="K2" s="134"/>
      <c r="L2" s="133" t="s">
        <v>184</v>
      </c>
      <c r="M2" s="134"/>
      <c r="N2" s="133" t="s">
        <v>184</v>
      </c>
      <c r="O2" s="134"/>
      <c r="P2" s="133" t="s">
        <v>184</v>
      </c>
      <c r="Q2" s="134"/>
      <c r="R2" s="133" t="s">
        <v>184</v>
      </c>
      <c r="S2" s="134"/>
      <c r="T2" s="133" t="s">
        <v>184</v>
      </c>
      <c r="U2" s="134"/>
      <c r="V2" s="133" t="s">
        <v>184</v>
      </c>
      <c r="W2" s="134"/>
      <c r="X2" s="133" t="s">
        <v>184</v>
      </c>
      <c r="Y2" s="134"/>
      <c r="Z2" s="133" t="s">
        <v>184</v>
      </c>
      <c r="AA2" s="134"/>
      <c r="AB2" s="133" t="s">
        <v>184</v>
      </c>
      <c r="AC2" s="134"/>
      <c r="AD2" s="133" t="s">
        <v>184</v>
      </c>
      <c r="AE2" s="134"/>
      <c r="AF2" s="133" t="s">
        <v>184</v>
      </c>
      <c r="AG2" s="134"/>
    </row>
    <row r="3" spans="1:33">
      <c r="A3" s="60">
        <v>1</v>
      </c>
      <c r="B3" s="61" t="s">
        <v>175</v>
      </c>
      <c r="C3" s="62">
        <v>74.900000000000006</v>
      </c>
      <c r="D3" s="63" t="s">
        <v>175</v>
      </c>
      <c r="E3" s="82">
        <v>74.900000000000006</v>
      </c>
      <c r="F3" s="63" t="s">
        <v>175</v>
      </c>
      <c r="G3" s="64">
        <v>1</v>
      </c>
      <c r="H3" s="63" t="s">
        <v>175</v>
      </c>
      <c r="I3" s="65">
        <v>1</v>
      </c>
      <c r="J3" s="63" t="s">
        <v>178</v>
      </c>
      <c r="K3" s="65">
        <v>0</v>
      </c>
      <c r="L3" s="63" t="s">
        <v>178</v>
      </c>
      <c r="M3" s="65">
        <v>1</v>
      </c>
      <c r="N3" s="63" t="s">
        <v>182</v>
      </c>
      <c r="O3" s="66">
        <v>0.42857142857142855</v>
      </c>
      <c r="P3" s="63" t="s">
        <v>178</v>
      </c>
      <c r="Q3" s="66">
        <v>0</v>
      </c>
      <c r="R3" s="63" t="s">
        <v>183</v>
      </c>
      <c r="S3" s="67">
        <v>18000</v>
      </c>
      <c r="T3" s="63" t="s">
        <v>178</v>
      </c>
      <c r="U3" s="67">
        <v>0</v>
      </c>
      <c r="V3" s="63" t="s">
        <v>180</v>
      </c>
      <c r="W3" s="66">
        <v>0.14285714285714285</v>
      </c>
      <c r="X3" s="63" t="s">
        <v>177</v>
      </c>
      <c r="Y3" s="66">
        <v>0.3</v>
      </c>
      <c r="Z3" s="63" t="s">
        <v>175</v>
      </c>
      <c r="AA3" s="66">
        <v>0.66666666666666663</v>
      </c>
      <c r="AB3" s="63" t="s">
        <v>178</v>
      </c>
      <c r="AC3" s="66">
        <v>1</v>
      </c>
      <c r="AD3" s="63" t="s">
        <v>176</v>
      </c>
      <c r="AE3" s="66">
        <v>1</v>
      </c>
      <c r="AF3" s="63" t="s">
        <v>122</v>
      </c>
      <c r="AG3" s="77">
        <v>54900</v>
      </c>
    </row>
    <row r="4" spans="1:33">
      <c r="A4" s="68">
        <v>2</v>
      </c>
      <c r="B4" s="69" t="s">
        <v>182</v>
      </c>
      <c r="C4" s="70">
        <v>61.1</v>
      </c>
      <c r="D4" s="71" t="s">
        <v>182</v>
      </c>
      <c r="E4" s="83">
        <v>61.1</v>
      </c>
      <c r="F4" s="71" t="s">
        <v>182</v>
      </c>
      <c r="G4" s="72">
        <v>1</v>
      </c>
      <c r="H4" s="71" t="s">
        <v>182</v>
      </c>
      <c r="I4" s="73">
        <v>1</v>
      </c>
      <c r="J4" s="71" t="s">
        <v>175</v>
      </c>
      <c r="K4" s="73">
        <v>0</v>
      </c>
      <c r="L4" s="71" t="s">
        <v>175</v>
      </c>
      <c r="M4" s="73">
        <v>1</v>
      </c>
      <c r="N4" s="71" t="s">
        <v>175</v>
      </c>
      <c r="O4" s="74">
        <v>0.3</v>
      </c>
      <c r="P4" s="71" t="s">
        <v>181</v>
      </c>
      <c r="Q4" s="74">
        <v>0</v>
      </c>
      <c r="R4" s="71" t="s">
        <v>178</v>
      </c>
      <c r="S4" s="75">
        <v>12000</v>
      </c>
      <c r="T4" s="71" t="s">
        <v>181</v>
      </c>
      <c r="U4" s="75">
        <v>0</v>
      </c>
      <c r="V4" s="71" t="s">
        <v>183</v>
      </c>
      <c r="W4" s="74">
        <v>0.2857142857142857</v>
      </c>
      <c r="X4" s="71" t="s">
        <v>183</v>
      </c>
      <c r="Y4" s="74">
        <v>0.2857142857142857</v>
      </c>
      <c r="Z4" s="71" t="s">
        <v>182</v>
      </c>
      <c r="AA4" s="74">
        <v>0.66666666666666663</v>
      </c>
      <c r="AB4" s="71" t="s">
        <v>122</v>
      </c>
      <c r="AC4" s="74">
        <v>0.1</v>
      </c>
      <c r="AD4" s="71" t="s">
        <v>182</v>
      </c>
      <c r="AE4" s="74">
        <v>0.66666666666666663</v>
      </c>
      <c r="AF4" s="71" t="s">
        <v>175</v>
      </c>
      <c r="AG4" s="78">
        <v>54900</v>
      </c>
    </row>
    <row r="5" spans="1:33">
      <c r="A5" s="68">
        <v>3</v>
      </c>
      <c r="B5" s="69" t="s">
        <v>181</v>
      </c>
      <c r="C5" s="70">
        <v>14</v>
      </c>
      <c r="D5" s="71" t="s">
        <v>181</v>
      </c>
      <c r="E5" s="83">
        <v>14</v>
      </c>
      <c r="F5" s="71" t="s">
        <v>178</v>
      </c>
      <c r="G5" s="72">
        <v>2</v>
      </c>
      <c r="H5" s="71" t="s">
        <v>122</v>
      </c>
      <c r="I5" s="73">
        <v>0.25</v>
      </c>
      <c r="J5" s="71" t="s">
        <v>177</v>
      </c>
      <c r="K5" s="73">
        <v>0</v>
      </c>
      <c r="L5" s="71" t="s">
        <v>181</v>
      </c>
      <c r="M5" s="73">
        <v>1</v>
      </c>
      <c r="N5" s="71" t="s">
        <v>181</v>
      </c>
      <c r="O5" s="74">
        <v>0.2857142857142857</v>
      </c>
      <c r="P5" s="71" t="s">
        <v>175</v>
      </c>
      <c r="Q5" s="74">
        <v>0.1</v>
      </c>
      <c r="R5" s="71" t="s">
        <v>175</v>
      </c>
      <c r="S5" s="75">
        <v>11933.333333333334</v>
      </c>
      <c r="T5" s="71" t="s">
        <v>176</v>
      </c>
      <c r="U5" s="75">
        <v>-6800</v>
      </c>
      <c r="V5" s="71" t="s">
        <v>181</v>
      </c>
      <c r="W5" s="74">
        <v>0.2857142857142857</v>
      </c>
      <c r="X5" s="71" t="s">
        <v>175</v>
      </c>
      <c r="Y5" s="74">
        <v>0.2</v>
      </c>
      <c r="Z5" s="71" t="s">
        <v>177</v>
      </c>
      <c r="AA5" s="74">
        <v>0.5</v>
      </c>
      <c r="AB5" s="71" t="s">
        <v>175</v>
      </c>
      <c r="AC5" s="74">
        <v>0</v>
      </c>
      <c r="AD5" s="71" t="s">
        <v>181</v>
      </c>
      <c r="AE5" s="74">
        <v>0.5</v>
      </c>
      <c r="AF5" s="71" t="s">
        <v>182</v>
      </c>
      <c r="AG5" s="78">
        <v>41100</v>
      </c>
    </row>
    <row r="6" spans="1:33">
      <c r="A6" s="68">
        <v>4</v>
      </c>
      <c r="B6" s="69" t="s">
        <v>178</v>
      </c>
      <c r="C6" s="70">
        <v>11.9</v>
      </c>
      <c r="D6" s="71" t="s">
        <v>178</v>
      </c>
      <c r="E6" s="83">
        <v>11.9</v>
      </c>
      <c r="F6" s="71" t="s">
        <v>181</v>
      </c>
      <c r="G6" s="72">
        <v>2</v>
      </c>
      <c r="H6" s="71" t="s">
        <v>178</v>
      </c>
      <c r="I6" s="73">
        <v>0</v>
      </c>
      <c r="J6" s="71" t="s">
        <v>183</v>
      </c>
      <c r="K6" s="73">
        <v>0</v>
      </c>
      <c r="L6" s="71" t="s">
        <v>182</v>
      </c>
      <c r="M6" s="73">
        <v>1</v>
      </c>
      <c r="N6" s="71" t="s">
        <v>177</v>
      </c>
      <c r="O6" s="74">
        <v>0.2</v>
      </c>
      <c r="P6" s="71" t="s">
        <v>177</v>
      </c>
      <c r="Q6" s="74">
        <v>0.1</v>
      </c>
      <c r="R6" s="71" t="s">
        <v>122</v>
      </c>
      <c r="S6" s="75">
        <v>9753.8461538461543</v>
      </c>
      <c r="T6" s="71" t="s">
        <v>175</v>
      </c>
      <c r="U6" s="75">
        <v>-8000</v>
      </c>
      <c r="V6" s="71" t="s">
        <v>175</v>
      </c>
      <c r="W6" s="74">
        <v>0.3</v>
      </c>
      <c r="X6" s="71" t="s">
        <v>122</v>
      </c>
      <c r="Y6" s="74">
        <v>0.14705882352941177</v>
      </c>
      <c r="Z6" s="71" t="s">
        <v>183</v>
      </c>
      <c r="AA6" s="74">
        <v>0.5</v>
      </c>
      <c r="AB6" s="71" t="s">
        <v>176</v>
      </c>
      <c r="AC6" s="74">
        <v>0</v>
      </c>
      <c r="AD6" s="71" t="s">
        <v>122</v>
      </c>
      <c r="AE6" s="74">
        <v>0.38461538461538464</v>
      </c>
      <c r="AF6" s="71" t="s">
        <v>181</v>
      </c>
      <c r="AG6" s="78">
        <v>34000</v>
      </c>
    </row>
    <row r="7" spans="1:33">
      <c r="A7" s="68">
        <v>5</v>
      </c>
      <c r="B7" s="69" t="s">
        <v>122</v>
      </c>
      <c r="C7" s="70">
        <v>7.1054273576010019E-15</v>
      </c>
      <c r="D7" s="71" t="s">
        <v>122</v>
      </c>
      <c r="E7" s="83">
        <v>8.8817841970012523E-16</v>
      </c>
      <c r="F7" s="71" t="s">
        <v>122</v>
      </c>
      <c r="G7" s="72">
        <v>2.5</v>
      </c>
      <c r="H7" s="71" t="s">
        <v>176</v>
      </c>
      <c r="I7" s="73">
        <v>0</v>
      </c>
      <c r="J7" s="71" t="s">
        <v>181</v>
      </c>
      <c r="K7" s="73">
        <v>0</v>
      </c>
      <c r="L7" s="71" t="s">
        <v>122</v>
      </c>
      <c r="M7" s="73">
        <v>0.5</v>
      </c>
      <c r="N7" s="71" t="s">
        <v>122</v>
      </c>
      <c r="O7" s="74">
        <v>0.19117647058823528</v>
      </c>
      <c r="P7" s="71" t="s">
        <v>122</v>
      </c>
      <c r="Q7" s="74">
        <v>0.11764705882352941</v>
      </c>
      <c r="R7" s="71" t="s">
        <v>182</v>
      </c>
      <c r="S7" s="75">
        <v>9733.3333333333339</v>
      </c>
      <c r="T7" s="71" t="s">
        <v>122</v>
      </c>
      <c r="U7" s="75">
        <v>-10300</v>
      </c>
      <c r="V7" s="71" t="s">
        <v>176</v>
      </c>
      <c r="W7" s="74">
        <v>0.3</v>
      </c>
      <c r="X7" s="71" t="s">
        <v>181</v>
      </c>
      <c r="Y7" s="74">
        <v>0.14285714285714285</v>
      </c>
      <c r="Z7" s="71" t="s">
        <v>181</v>
      </c>
      <c r="AA7" s="74">
        <v>0.5</v>
      </c>
      <c r="AB7" s="71" t="s">
        <v>177</v>
      </c>
      <c r="AC7" s="74">
        <v>0</v>
      </c>
      <c r="AD7" s="71" t="s">
        <v>175</v>
      </c>
      <c r="AE7" s="74">
        <v>0.33333333333333331</v>
      </c>
      <c r="AF7" s="71" t="s">
        <v>178</v>
      </c>
      <c r="AG7" s="78">
        <v>31900</v>
      </c>
    </row>
    <row r="8" spans="1:33">
      <c r="A8" s="68">
        <v>6</v>
      </c>
      <c r="B8" s="69" t="s">
        <v>183</v>
      </c>
      <c r="C8" s="70">
        <v>-14.2</v>
      </c>
      <c r="D8" s="71" t="s">
        <v>183</v>
      </c>
      <c r="E8" s="83">
        <v>-14.2</v>
      </c>
      <c r="F8" s="71" t="s">
        <v>177</v>
      </c>
      <c r="G8" s="72">
        <v>3</v>
      </c>
      <c r="H8" s="71" t="s">
        <v>177</v>
      </c>
      <c r="I8" s="73">
        <v>0</v>
      </c>
      <c r="J8" s="71" t="s">
        <v>182</v>
      </c>
      <c r="K8" s="73">
        <v>0</v>
      </c>
      <c r="L8" s="71" t="s">
        <v>176</v>
      </c>
      <c r="M8" s="73">
        <v>0</v>
      </c>
      <c r="N8" s="71" t="s">
        <v>183</v>
      </c>
      <c r="O8" s="74">
        <v>0.14285714285714285</v>
      </c>
      <c r="P8" s="71" t="s">
        <v>183</v>
      </c>
      <c r="Q8" s="74">
        <v>0.14285714285714285</v>
      </c>
      <c r="R8" s="71" t="s">
        <v>181</v>
      </c>
      <c r="S8" s="75">
        <v>8600</v>
      </c>
      <c r="T8" s="71" t="s">
        <v>177</v>
      </c>
      <c r="U8" s="75">
        <v>-12000</v>
      </c>
      <c r="V8" s="71" t="s">
        <v>122</v>
      </c>
      <c r="W8" s="74">
        <v>0.3235294117647059</v>
      </c>
      <c r="X8" s="71" t="s">
        <v>178</v>
      </c>
      <c r="Y8" s="74">
        <v>0.1</v>
      </c>
      <c r="Z8" s="71" t="s">
        <v>122</v>
      </c>
      <c r="AA8" s="74">
        <v>0.40909090909090912</v>
      </c>
      <c r="AB8" s="71" t="s">
        <v>183</v>
      </c>
      <c r="AC8" s="74">
        <v>0</v>
      </c>
      <c r="AD8" s="71" t="s">
        <v>178</v>
      </c>
      <c r="AE8" s="74">
        <v>0</v>
      </c>
      <c r="AF8" s="71" t="s">
        <v>183</v>
      </c>
      <c r="AG8" s="78">
        <v>25800</v>
      </c>
    </row>
    <row r="9" spans="1:33">
      <c r="A9" s="68">
        <v>7</v>
      </c>
      <c r="B9" s="69" t="s">
        <v>177</v>
      </c>
      <c r="C9" s="70">
        <v>-25.1</v>
      </c>
      <c r="D9" s="71" t="s">
        <v>177</v>
      </c>
      <c r="E9" s="83">
        <v>-25.1</v>
      </c>
      <c r="F9" s="71" t="s">
        <v>183</v>
      </c>
      <c r="G9" s="72">
        <v>3</v>
      </c>
      <c r="H9" s="71" t="s">
        <v>183</v>
      </c>
      <c r="I9" s="73">
        <v>0</v>
      </c>
      <c r="J9" s="71" t="s">
        <v>122</v>
      </c>
      <c r="K9" s="73">
        <v>0.25</v>
      </c>
      <c r="L9" s="71" t="s">
        <v>177</v>
      </c>
      <c r="M9" s="73">
        <v>0</v>
      </c>
      <c r="N9" s="71" t="s">
        <v>178</v>
      </c>
      <c r="O9" s="74">
        <v>0.1</v>
      </c>
      <c r="P9" s="71" t="s">
        <v>180</v>
      </c>
      <c r="Q9" s="74">
        <v>0.14285714285714285</v>
      </c>
      <c r="R9" s="71" t="s">
        <v>177</v>
      </c>
      <c r="S9" s="75">
        <v>5300</v>
      </c>
      <c r="T9" s="71" t="s">
        <v>183</v>
      </c>
      <c r="U9" s="75">
        <v>-12000</v>
      </c>
      <c r="V9" s="71" t="s">
        <v>178</v>
      </c>
      <c r="W9" s="74">
        <v>0.4</v>
      </c>
      <c r="X9" s="71" t="s">
        <v>176</v>
      </c>
      <c r="Y9" s="74">
        <v>0.1</v>
      </c>
      <c r="Z9" s="71" t="s">
        <v>176</v>
      </c>
      <c r="AA9" s="74">
        <v>0.33333333333333331</v>
      </c>
      <c r="AB9" s="71" t="s">
        <v>180</v>
      </c>
      <c r="AC9" s="74">
        <v>0</v>
      </c>
      <c r="AD9" s="71" t="s">
        <v>177</v>
      </c>
      <c r="AE9" s="74">
        <v>0</v>
      </c>
      <c r="AF9" s="71" t="s">
        <v>177</v>
      </c>
      <c r="AG9" s="78">
        <v>14900</v>
      </c>
    </row>
    <row r="10" spans="1:33">
      <c r="A10" s="68">
        <v>8</v>
      </c>
      <c r="B10" s="69" t="s">
        <v>180</v>
      </c>
      <c r="C10" s="70">
        <v>-60.9</v>
      </c>
      <c r="D10" s="71" t="s">
        <v>180</v>
      </c>
      <c r="E10" s="83">
        <v>-60.9</v>
      </c>
      <c r="F10" s="71" t="s">
        <v>176</v>
      </c>
      <c r="G10" s="72">
        <v>4</v>
      </c>
      <c r="H10" s="71" t="s">
        <v>180</v>
      </c>
      <c r="I10" s="73">
        <v>0</v>
      </c>
      <c r="J10" s="71" t="s">
        <v>176</v>
      </c>
      <c r="K10" s="73">
        <v>1</v>
      </c>
      <c r="L10" s="71" t="s">
        <v>183</v>
      </c>
      <c r="M10" s="73">
        <v>0</v>
      </c>
      <c r="N10" s="71" t="s">
        <v>176</v>
      </c>
      <c r="O10" s="74">
        <v>0.1</v>
      </c>
      <c r="P10" s="71" t="s">
        <v>182</v>
      </c>
      <c r="Q10" s="74">
        <v>0.14285714285714285</v>
      </c>
      <c r="R10" s="71" t="s">
        <v>176</v>
      </c>
      <c r="S10" s="75">
        <v>4000</v>
      </c>
      <c r="T10" s="71" t="s">
        <v>182</v>
      </c>
      <c r="U10" s="75">
        <v>-12000</v>
      </c>
      <c r="V10" s="71" t="s">
        <v>177</v>
      </c>
      <c r="W10" s="74">
        <v>0.4</v>
      </c>
      <c r="X10" s="71" t="s">
        <v>180</v>
      </c>
      <c r="Y10" s="74">
        <v>0</v>
      </c>
      <c r="Z10" s="71" t="s">
        <v>178</v>
      </c>
      <c r="AA10" s="74">
        <v>0</v>
      </c>
      <c r="AB10" s="71" t="s">
        <v>181</v>
      </c>
      <c r="AC10" s="74">
        <v>0</v>
      </c>
      <c r="AD10" s="71" t="s">
        <v>183</v>
      </c>
      <c r="AE10" s="74">
        <v>0</v>
      </c>
      <c r="AF10" s="71" t="s">
        <v>180</v>
      </c>
      <c r="AG10" s="78">
        <v>-900</v>
      </c>
    </row>
    <row r="11" spans="1:33">
      <c r="A11" s="68">
        <v>9</v>
      </c>
      <c r="B11" s="69" t="s">
        <v>176</v>
      </c>
      <c r="C11" s="70">
        <v>-61.7</v>
      </c>
      <c r="D11" s="71" t="s">
        <v>176</v>
      </c>
      <c r="E11" s="83">
        <v>-61.7</v>
      </c>
      <c r="F11" s="71" t="s">
        <v>180</v>
      </c>
      <c r="G11" s="72">
        <v>4</v>
      </c>
      <c r="H11" s="71" t="s">
        <v>181</v>
      </c>
      <c r="I11" s="73">
        <v>0</v>
      </c>
      <c r="J11" s="71" t="s">
        <v>180</v>
      </c>
      <c r="K11" s="73">
        <v>1</v>
      </c>
      <c r="L11" s="71" t="s">
        <v>180</v>
      </c>
      <c r="M11" s="73">
        <v>0</v>
      </c>
      <c r="N11" s="71" t="s">
        <v>180</v>
      </c>
      <c r="O11" s="74">
        <v>0</v>
      </c>
      <c r="P11" s="71" t="s">
        <v>176</v>
      </c>
      <c r="Q11" s="74">
        <v>0.3</v>
      </c>
      <c r="R11" s="71" t="s">
        <v>180</v>
      </c>
      <c r="S11" s="75">
        <v>0</v>
      </c>
      <c r="T11" s="71" t="s">
        <v>180</v>
      </c>
      <c r="U11" s="75">
        <v>-18000</v>
      </c>
      <c r="V11" s="71" t="s">
        <v>182</v>
      </c>
      <c r="W11" s="74">
        <v>0.42857142857142855</v>
      </c>
      <c r="X11" s="71" t="s">
        <v>182</v>
      </c>
      <c r="Y11" s="74">
        <v>0</v>
      </c>
      <c r="Z11" s="71" t="s">
        <v>180</v>
      </c>
      <c r="AA11" s="74">
        <v>0</v>
      </c>
      <c r="AB11" s="71" t="s">
        <v>182</v>
      </c>
      <c r="AC11" s="74">
        <v>0</v>
      </c>
      <c r="AD11" s="71" t="s">
        <v>180</v>
      </c>
      <c r="AE11" s="74">
        <v>0</v>
      </c>
      <c r="AF11" s="71" t="s">
        <v>176</v>
      </c>
      <c r="AG11" s="78">
        <v>-1700</v>
      </c>
    </row>
  </sheetData>
  <sortState xmlns:xlrd2="http://schemas.microsoft.com/office/spreadsheetml/2017/richdata2" ref="AF3:AG36">
    <sortCondition descending="1" ref="AG1"/>
  </sortState>
  <mergeCells count="32">
    <mergeCell ref="Z1:AA1"/>
    <mergeCell ref="AB1:AC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82447-2FA1-47F0-85BC-2AE99BE51264}">
  <sheetPr codeName="Sheet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122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8</v>
      </c>
      <c r="C2" s="146"/>
      <c r="E2" s="54" t="s">
        <v>58</v>
      </c>
      <c r="F2" s="51" t="s">
        <v>140</v>
      </c>
      <c r="G2" s="39">
        <v>11</v>
      </c>
      <c r="H2" s="117">
        <f>IF(B$17=0,0,G2/B$17)</f>
        <v>0.84615384615384615</v>
      </c>
      <c r="I2" s="79">
        <v>5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8</v>
      </c>
      <c r="Q2" s="87">
        <v>0</v>
      </c>
    </row>
    <row r="3" spans="1:17">
      <c r="A3" s="47" t="s">
        <v>8</v>
      </c>
      <c r="B3" s="147">
        <v>68</v>
      </c>
      <c r="C3" s="148"/>
      <c r="E3" s="55" t="s">
        <v>55</v>
      </c>
      <c r="F3" s="52" t="s">
        <v>164</v>
      </c>
      <c r="G3" s="40">
        <v>9</v>
      </c>
      <c r="H3" s="118">
        <f>IF(B$17=0,0,G3/B$17)</f>
        <v>0.69230769230769229</v>
      </c>
      <c r="I3" s="80">
        <v>4</v>
      </c>
      <c r="K3" s="32">
        <v>1</v>
      </c>
      <c r="L3" s="85">
        <v>11.9</v>
      </c>
      <c r="N3" s="100" t="s">
        <v>112</v>
      </c>
      <c r="O3" s="107">
        <f t="shared" si="0"/>
        <v>0</v>
      </c>
      <c r="P3" s="104">
        <v>8</v>
      </c>
      <c r="Q3" s="88">
        <v>0</v>
      </c>
    </row>
    <row r="4" spans="1:17">
      <c r="A4" s="47" t="s">
        <v>6</v>
      </c>
      <c r="B4" s="149">
        <v>7.1054273576010019E-15</v>
      </c>
      <c r="C4" s="150"/>
      <c r="E4" s="55" t="s">
        <v>57</v>
      </c>
      <c r="F4" s="52" t="s">
        <v>20</v>
      </c>
      <c r="G4" s="40">
        <v>9</v>
      </c>
      <c r="H4" s="118">
        <f>IF(B$17=0,0,G4/B$17)</f>
        <v>0.69230769230769229</v>
      </c>
      <c r="I4" s="80">
        <v>3</v>
      </c>
      <c r="K4" s="32">
        <v>2</v>
      </c>
      <c r="L4" s="85">
        <v>86.800000000000011</v>
      </c>
      <c r="N4" s="100" t="s">
        <v>113</v>
      </c>
      <c r="O4" s="107">
        <f t="shared" si="0"/>
        <v>-250</v>
      </c>
      <c r="P4" s="104">
        <v>8</v>
      </c>
      <c r="Q4" s="88">
        <v>-2000</v>
      </c>
    </row>
    <row r="5" spans="1:17">
      <c r="A5" s="47" t="s">
        <v>7</v>
      </c>
      <c r="B5" s="151">
        <f>IF(B$2=0,0,B$4/B$2)</f>
        <v>8.8817841970012523E-16</v>
      </c>
      <c r="C5" s="152"/>
      <c r="E5" s="55" t="s">
        <v>59</v>
      </c>
      <c r="F5" s="52" t="s">
        <v>166</v>
      </c>
      <c r="G5" s="40">
        <v>5</v>
      </c>
      <c r="H5" s="118">
        <f>IF(B$17=0,0,G5/B$17)</f>
        <v>0.38461538461538464</v>
      </c>
      <c r="I5" s="80">
        <v>4</v>
      </c>
      <c r="K5" s="32">
        <v>3</v>
      </c>
      <c r="L5" s="85">
        <v>25.100000000000009</v>
      </c>
      <c r="N5" s="100" t="s">
        <v>171</v>
      </c>
      <c r="O5" s="107">
        <f>IF(P5=0,0,Q5/P5)</f>
        <v>250</v>
      </c>
      <c r="P5" s="104">
        <v>8</v>
      </c>
      <c r="Q5" s="88">
        <v>2000</v>
      </c>
    </row>
    <row r="6" spans="1:17">
      <c r="A6" s="47" t="s">
        <v>1</v>
      </c>
      <c r="B6" s="153">
        <f>IF(B$2=0,0,(B$7*1+B$8*2+B$9*3+B$10*4)/B$2)</f>
        <v>2.5</v>
      </c>
      <c r="C6" s="154"/>
      <c r="E6" s="55" t="s">
        <v>60</v>
      </c>
      <c r="F6" s="52" t="s">
        <v>21</v>
      </c>
      <c r="G6" s="40">
        <v>5</v>
      </c>
      <c r="H6" s="118">
        <f>IF(B$17=0,0,G6/B$17)</f>
        <v>0.38461538461538464</v>
      </c>
      <c r="I6" s="80">
        <v>4</v>
      </c>
      <c r="K6" s="32">
        <v>4</v>
      </c>
      <c r="L6" s="85">
        <v>7.1054273576010019E-15</v>
      </c>
      <c r="N6" s="100" t="s">
        <v>114</v>
      </c>
      <c r="O6" s="107">
        <f t="shared" ref="O6" si="1">IF(P6=0,0,Q6/P6)</f>
        <v>0</v>
      </c>
      <c r="P6" s="104">
        <v>4</v>
      </c>
      <c r="Q6" s="88">
        <v>0</v>
      </c>
    </row>
    <row r="7" spans="1:17">
      <c r="A7" s="47" t="s">
        <v>2</v>
      </c>
      <c r="B7" s="40">
        <v>2</v>
      </c>
      <c r="C7" s="33">
        <f t="shared" ref="C7:C12" si="2">IF(B$2=0,0,B7/B$2)</f>
        <v>0.25</v>
      </c>
      <c r="E7" s="55" t="s">
        <v>62</v>
      </c>
      <c r="F7" s="52" t="s">
        <v>19</v>
      </c>
      <c r="G7" s="40">
        <v>3</v>
      </c>
      <c r="H7" s="118">
        <f>IF(B$17=0,0,G7/B$17)</f>
        <v>0.23076923076923078</v>
      </c>
      <c r="I7" s="80">
        <v>4</v>
      </c>
      <c r="K7" s="32">
        <v>5</v>
      </c>
      <c r="L7" s="85">
        <v>-14.199999999999992</v>
      </c>
      <c r="N7" s="100" t="s">
        <v>115</v>
      </c>
      <c r="O7" s="107">
        <f t="shared" si="0"/>
        <v>0</v>
      </c>
      <c r="P7" s="104">
        <v>4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0.25</v>
      </c>
      <c r="E8" s="55" t="s">
        <v>56</v>
      </c>
      <c r="F8" s="52" t="s">
        <v>165</v>
      </c>
      <c r="G8" s="40">
        <v>2</v>
      </c>
      <c r="H8" s="118">
        <f>IF(B$17=0,0,G8/B$17)</f>
        <v>0.15384615384615385</v>
      </c>
      <c r="I8" s="80">
        <v>3</v>
      </c>
      <c r="K8" s="32">
        <v>6</v>
      </c>
      <c r="L8" s="85">
        <v>-75.099999999999994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0.25</v>
      </c>
      <c r="E9" s="55" t="s">
        <v>61</v>
      </c>
      <c r="F9" s="52" t="s">
        <v>23</v>
      </c>
      <c r="G9" s="40">
        <v>2</v>
      </c>
      <c r="H9" s="118">
        <f>IF(B$17=0,0,G9/B$17)</f>
        <v>0.15384615384615385</v>
      </c>
      <c r="I9" s="80">
        <v>3</v>
      </c>
      <c r="K9" s="32">
        <v>7</v>
      </c>
      <c r="L9" s="85">
        <v>-61.099999999999994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2</v>
      </c>
      <c r="C10" s="34">
        <f>IF(B$2=0,0,B10/B$2)</f>
        <v>0.25</v>
      </c>
      <c r="E10" s="55" t="s">
        <v>63</v>
      </c>
      <c r="F10" s="52" t="s">
        <v>22</v>
      </c>
      <c r="G10" s="40">
        <v>1</v>
      </c>
      <c r="H10" s="118">
        <f>IF(B$17=0,0,G10/B$17)</f>
        <v>7.6923076923076927E-2</v>
      </c>
      <c r="I10" s="80">
        <v>2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4</v>
      </c>
      <c r="C11" s="34">
        <f>IF(B$2=0,0,B11/B$2)</f>
        <v>0.5</v>
      </c>
      <c r="E11" s="55" t="s">
        <v>74</v>
      </c>
      <c r="F11" s="52" t="s">
        <v>31</v>
      </c>
      <c r="G11" s="40">
        <v>1</v>
      </c>
      <c r="H11" s="118">
        <f>IF(B$17=0,0,G11/B$17)</f>
        <v>7.6923076923076927E-2</v>
      </c>
      <c r="I11" s="80">
        <v>2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2</v>
      </c>
      <c r="C12" s="36">
        <f t="shared" si="2"/>
        <v>0.25</v>
      </c>
      <c r="E12" s="55" t="s">
        <v>77</v>
      </c>
      <c r="F12" s="52" t="s">
        <v>34</v>
      </c>
      <c r="G12" s="40">
        <v>1</v>
      </c>
      <c r="H12" s="118">
        <f>IF(B$17=0,0,G12/B$17)</f>
        <v>7.6923076923076927E-2</v>
      </c>
      <c r="I12" s="80">
        <v>2</v>
      </c>
      <c r="N12" s="99" t="s">
        <v>134</v>
      </c>
      <c r="O12" s="109">
        <f>IF(P12=0,0,Q12/P12)</f>
        <v>-1.1499999999999995</v>
      </c>
      <c r="P12" s="103">
        <v>2</v>
      </c>
      <c r="Q12" s="91">
        <v>-2.2999999999999989</v>
      </c>
    </row>
    <row r="13" spans="1:17">
      <c r="A13" s="50" t="s">
        <v>105</v>
      </c>
      <c r="B13" s="43">
        <v>22</v>
      </c>
      <c r="C13" s="38">
        <f>IF(B$3=0,0,B13/B$3)</f>
        <v>0.3235294117647059</v>
      </c>
      <c r="E13" s="55" t="s">
        <v>64</v>
      </c>
      <c r="F13" s="52" t="s">
        <v>24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7.0000000000000036</v>
      </c>
      <c r="P13" s="104">
        <v>2</v>
      </c>
      <c r="Q13" s="92">
        <v>14.000000000000007</v>
      </c>
    </row>
    <row r="14" spans="1:17">
      <c r="A14" s="47" t="s">
        <v>102</v>
      </c>
      <c r="B14" s="40">
        <v>10</v>
      </c>
      <c r="C14" s="33">
        <f>IF(B$3=0,0,B14/B$3)</f>
        <v>0.14705882352941177</v>
      </c>
      <c r="E14" s="55" t="s">
        <v>65</v>
      </c>
      <c r="F14" s="52" t="s">
        <v>167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-23.85</v>
      </c>
      <c r="P14" s="104">
        <v>2</v>
      </c>
      <c r="Q14" s="92">
        <v>-47.7</v>
      </c>
    </row>
    <row r="15" spans="1:17">
      <c r="A15" s="46" t="s">
        <v>107</v>
      </c>
      <c r="B15" s="39">
        <f>B21</f>
        <v>9</v>
      </c>
      <c r="C15" s="31">
        <f>IF(B$13=0,0,B15/B$13)</f>
        <v>0.40909090909090912</v>
      </c>
      <c r="E15" s="55" t="s">
        <v>66</v>
      </c>
      <c r="F15" s="52" t="s">
        <v>35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18</v>
      </c>
      <c r="P15" s="105">
        <v>2</v>
      </c>
      <c r="Q15" s="93">
        <v>36</v>
      </c>
    </row>
    <row r="16" spans="1:17">
      <c r="A16" s="46" t="s">
        <v>108</v>
      </c>
      <c r="B16" s="39">
        <f>B22</f>
        <v>1</v>
      </c>
      <c r="C16" s="31">
        <f>IF(B$14=0,0,B16/B$14)</f>
        <v>0.1</v>
      </c>
      <c r="E16" s="55" t="s">
        <v>67</v>
      </c>
      <c r="F16" s="52" t="s">
        <v>38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0.19117647058823528</v>
      </c>
      <c r="E17" s="55" t="s">
        <v>68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8</v>
      </c>
      <c r="C18" s="33">
        <f>IF(B$3=0,0,B18/B$3)</f>
        <v>0.11764705882352941</v>
      </c>
      <c r="E18" s="55" t="s">
        <v>69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82.266666666666666</v>
      </c>
      <c r="P18" s="103">
        <v>3</v>
      </c>
      <c r="Q18" s="91">
        <v>246.8</v>
      </c>
    </row>
    <row r="19" spans="1:17">
      <c r="A19" s="47" t="s">
        <v>12</v>
      </c>
      <c r="B19" s="40">
        <v>5</v>
      </c>
      <c r="C19" s="33">
        <f>IF(B$17=0,0,B19/B$17)</f>
        <v>0.38461538461538464</v>
      </c>
      <c r="E19" s="55" t="s">
        <v>70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180</v>
      </c>
      <c r="O19" s="110">
        <f>IF(P19=0,0,Q19/P19)</f>
        <v>81.2</v>
      </c>
      <c r="P19" s="104">
        <v>3</v>
      </c>
      <c r="Q19" s="92">
        <v>243.6</v>
      </c>
    </row>
    <row r="20" spans="1:17">
      <c r="A20" s="47" t="s">
        <v>11</v>
      </c>
      <c r="B20" s="40">
        <v>8</v>
      </c>
      <c r="C20" s="33">
        <f>IF(B$17=0,0,B20/B$17)</f>
        <v>0.61538461538461542</v>
      </c>
      <c r="E20" s="55" t="s">
        <v>71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177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160</v>
      </c>
      <c r="B21" s="40">
        <v>9</v>
      </c>
      <c r="C21" s="33">
        <f>IF(B$17=0,0,B21/B$17)</f>
        <v>0.69230769230769229</v>
      </c>
      <c r="E21" s="55" t="s">
        <v>72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183</v>
      </c>
      <c r="O21" s="110">
        <f>IF(P21=0,0,Q21/P21)</f>
        <v>18.933333333333334</v>
      </c>
      <c r="P21" s="104">
        <v>3</v>
      </c>
      <c r="Q21" s="92">
        <v>56.8</v>
      </c>
    </row>
    <row r="22" spans="1:17">
      <c r="A22" s="47" t="s">
        <v>158</v>
      </c>
      <c r="B22" s="40">
        <v>1</v>
      </c>
      <c r="C22" s="33">
        <f>IF(B$17=0,0,B22/B$17)</f>
        <v>7.6923076923076927E-2</v>
      </c>
      <c r="E22" s="55" t="s">
        <v>73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N22" s="100" t="s">
        <v>178</v>
      </c>
      <c r="O22" s="110">
        <f>IF(P22=0,0,Q22/P22)</f>
        <v>-15.866666666666665</v>
      </c>
      <c r="P22" s="104">
        <v>3</v>
      </c>
      <c r="Q22" s="92">
        <v>-47.599999999999994</v>
      </c>
    </row>
    <row r="23" spans="1:17">
      <c r="A23" s="47" t="s">
        <v>159</v>
      </c>
      <c r="B23" s="40">
        <v>3</v>
      </c>
      <c r="C23" s="33">
        <f>IF(B$17=0,0,B23/B$17)</f>
        <v>0.23076923076923078</v>
      </c>
      <c r="E23" s="55" t="s">
        <v>75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181</v>
      </c>
      <c r="O23" s="110">
        <f>IF(P23=0,0,Q23/P23)</f>
        <v>-18.666666666666664</v>
      </c>
      <c r="P23" s="104">
        <v>3</v>
      </c>
      <c r="Q23" s="92">
        <v>-55.999999999999993</v>
      </c>
    </row>
    <row r="24" spans="1:17">
      <c r="A24" s="47" t="s">
        <v>5</v>
      </c>
      <c r="B24" s="44">
        <f>IF(B$17=0,0,C24/B$17)</f>
        <v>9753.8461538461543</v>
      </c>
      <c r="C24" s="35">
        <v>126800</v>
      </c>
      <c r="E24" s="55" t="s">
        <v>76</v>
      </c>
      <c r="F24" s="52" t="s">
        <v>33</v>
      </c>
      <c r="G24" s="40">
        <v>0</v>
      </c>
      <c r="H24" s="118">
        <f>IF(B$17=0,0,G24/B$17)</f>
        <v>0</v>
      </c>
      <c r="I24" s="80">
        <v>1</v>
      </c>
      <c r="N24" s="100" t="s">
        <v>182</v>
      </c>
      <c r="O24" s="110">
        <f>IF(P24=0,0,Q24/P24)</f>
        <v>-81.466666666666654</v>
      </c>
      <c r="P24" s="104">
        <v>3</v>
      </c>
      <c r="Q24" s="92">
        <v>-244.39999999999998</v>
      </c>
    </row>
    <row r="25" spans="1:17">
      <c r="A25" s="48" t="s">
        <v>142</v>
      </c>
      <c r="B25" s="121">
        <f>IF($B$17-B$16=0,0,C25/($B$17-B$16))</f>
        <v>9566.6666666666661</v>
      </c>
      <c r="C25" s="122">
        <v>114800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175</v>
      </c>
      <c r="O25" s="110">
        <f>IF(P25=0,0,Q25/P25)</f>
        <v>-99.866666666666674</v>
      </c>
      <c r="P25" s="104">
        <v>3</v>
      </c>
      <c r="Q25" s="92">
        <v>-299.60000000000002</v>
      </c>
    </row>
    <row r="26" spans="1:17">
      <c r="A26" s="48" t="s">
        <v>143</v>
      </c>
      <c r="B26" s="121">
        <f>IF(B$16=0,0,C26/B$16)</f>
        <v>12000</v>
      </c>
      <c r="C26" s="122">
        <v>12000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-10300</v>
      </c>
      <c r="C27" s="122">
        <v>-82400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2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19</v>
      </c>
      <c r="C29" s="120">
        <v>3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4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54900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7.6923076923076927E-2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3</v>
      </c>
      <c r="C37" s="33">
        <f t="shared" si="3"/>
        <v>0.23076923076923078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2</v>
      </c>
      <c r="C38" s="33">
        <f t="shared" si="3"/>
        <v>0.15384615384615385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1</v>
      </c>
      <c r="C39" s="33">
        <f t="shared" si="3"/>
        <v>7.6923076923076927E-2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6</v>
      </c>
      <c r="C40" s="33">
        <f t="shared" si="3"/>
        <v>0.46153846153846156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4DAC-17AC-414E-B43C-517E9FBD4D4C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178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57</v>
      </c>
      <c r="F2" s="51" t="s">
        <v>20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47">
        <v>10</v>
      </c>
      <c r="C3" s="148"/>
      <c r="E3" s="55" t="s">
        <v>63</v>
      </c>
      <c r="F3" s="52" t="s">
        <v>22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11.9</v>
      </c>
      <c r="N3" s="100" t="s">
        <v>112</v>
      </c>
      <c r="O3" s="107">
        <f t="shared" si="0"/>
        <v>8000</v>
      </c>
      <c r="P3" s="104">
        <v>1</v>
      </c>
      <c r="Q3" s="88">
        <v>8000</v>
      </c>
    </row>
    <row r="4" spans="1:17">
      <c r="A4" s="47" t="s">
        <v>6</v>
      </c>
      <c r="B4" s="149">
        <v>11.9</v>
      </c>
      <c r="C4" s="150"/>
      <c r="E4" s="55" t="s">
        <v>74</v>
      </c>
      <c r="F4" s="52" t="s">
        <v>31</v>
      </c>
      <c r="G4" s="40">
        <v>1</v>
      </c>
      <c r="H4" s="118">
        <f>IF(B$17=0,0,G4/B$17)</f>
        <v>1</v>
      </c>
      <c r="I4" s="80">
        <v>1</v>
      </c>
      <c r="N4" s="100" t="s">
        <v>113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1">
        <f>IF(B$2=0,0,B$4/B$2)</f>
        <v>11.9</v>
      </c>
      <c r="C5" s="152"/>
      <c r="E5" s="55" t="s">
        <v>55</v>
      </c>
      <c r="F5" s="52" t="s">
        <v>164</v>
      </c>
      <c r="G5" s="40">
        <v>0</v>
      </c>
      <c r="H5" s="118">
        <f>IF(B$17=0,0,G5/B$17)</f>
        <v>0</v>
      </c>
      <c r="I5" s="80">
        <v>8</v>
      </c>
      <c r="N5" s="100" t="s">
        <v>171</v>
      </c>
      <c r="O5" s="107">
        <f>IF(P5=0,0,Q5/P5)</f>
        <v>-1100</v>
      </c>
      <c r="P5" s="104">
        <v>1</v>
      </c>
      <c r="Q5" s="88">
        <v>-1100</v>
      </c>
    </row>
    <row r="6" spans="1:17">
      <c r="A6" s="47" t="s">
        <v>1</v>
      </c>
      <c r="B6" s="153">
        <f>IF(B$2=0,0,(B$7*1+B$8*2+B$9*3+B$10*4)/B$2)</f>
        <v>2</v>
      </c>
      <c r="C6" s="154"/>
      <c r="E6" s="55" t="s">
        <v>56</v>
      </c>
      <c r="F6" s="52" t="s">
        <v>165</v>
      </c>
      <c r="G6" s="40">
        <v>0</v>
      </c>
      <c r="H6" s="118">
        <f>IF(B$17=0,0,G6/B$17)</f>
        <v>0</v>
      </c>
      <c r="I6" s="80">
        <v>4</v>
      </c>
      <c r="N6" s="100" t="s">
        <v>114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140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-500</v>
      </c>
      <c r="P7" s="104">
        <v>1</v>
      </c>
      <c r="Q7" s="88">
        <v>-500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59</v>
      </c>
      <c r="F8" s="52" t="s">
        <v>166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21</v>
      </c>
      <c r="G9" s="40">
        <v>0</v>
      </c>
      <c r="H9" s="118">
        <f>IF(B$17=0,0,G9/B$17)</f>
        <v>0</v>
      </c>
      <c r="I9" s="80">
        <v>6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61</v>
      </c>
      <c r="F10" s="52" t="s">
        <v>23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62</v>
      </c>
      <c r="F11" s="52" t="s">
        <v>19</v>
      </c>
      <c r="G11" s="40">
        <v>0</v>
      </c>
      <c r="H11" s="118">
        <f>IF(B$17=0,0,G11/B$17)</f>
        <v>0</v>
      </c>
      <c r="I11" s="80">
        <v>5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64</v>
      </c>
      <c r="F12" s="52" t="s">
        <v>24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11.9</v>
      </c>
      <c r="P12" s="103">
        <v>1</v>
      </c>
      <c r="Q12" s="91">
        <v>11.9</v>
      </c>
    </row>
    <row r="13" spans="1:17">
      <c r="A13" s="50" t="s">
        <v>105</v>
      </c>
      <c r="B13" s="43">
        <v>4</v>
      </c>
      <c r="C13" s="38">
        <f>IF(B$3=0,0,B13/B$3)</f>
        <v>0.4</v>
      </c>
      <c r="E13" s="55" t="s">
        <v>65</v>
      </c>
      <c r="F13" s="52" t="s">
        <v>167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</v>
      </c>
      <c r="E14" s="55" t="s">
        <v>66</v>
      </c>
      <c r="F14" s="52" t="s">
        <v>35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0</v>
      </c>
      <c r="C15" s="31">
        <f>IF(B$13=0,0,B15/B$13)</f>
        <v>0</v>
      </c>
      <c r="E15" s="55" t="s">
        <v>67</v>
      </c>
      <c r="F15" s="52" t="s">
        <v>38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1</v>
      </c>
      <c r="C16" s="31">
        <f>IF(B$14=0,0,B16/B$14)</f>
        <v>1</v>
      </c>
      <c r="E16" s="55" t="s">
        <v>68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177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-63.000000000000007</v>
      </c>
      <c r="P20" s="104">
        <v>1</v>
      </c>
      <c r="Q20" s="92">
        <v>-63.000000000000007</v>
      </c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158</v>
      </c>
      <c r="B22" s="40">
        <v>1</v>
      </c>
      <c r="C22" s="33">
        <f>IF(B$17=0,0,B22/B$17)</f>
        <v>1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12000</v>
      </c>
      <c r="C26" s="122">
        <v>12000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10</v>
      </c>
      <c r="C29" s="120">
        <v>10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3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31900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E76-DF0C-433E-8BC5-707BE6FE4D0F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175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58</v>
      </c>
      <c r="F2" s="51" t="s">
        <v>140</v>
      </c>
      <c r="G2" s="39">
        <v>3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111</v>
      </c>
      <c r="O2" s="106">
        <f t="shared" ref="O2:O9" si="0">IF(P2=0,0,Q2/P2)</f>
        <v>12000</v>
      </c>
      <c r="P2" s="103">
        <v>1</v>
      </c>
      <c r="Q2" s="87">
        <v>12000</v>
      </c>
    </row>
    <row r="3" spans="1:17">
      <c r="A3" s="47" t="s">
        <v>8</v>
      </c>
      <c r="B3" s="147">
        <v>10</v>
      </c>
      <c r="C3" s="148"/>
      <c r="E3" s="55" t="s">
        <v>55</v>
      </c>
      <c r="F3" s="52" t="s">
        <v>164</v>
      </c>
      <c r="G3" s="40">
        <v>2</v>
      </c>
      <c r="H3" s="118">
        <f>IF(B$17=0,0,G3/B$17)</f>
        <v>0.66666666666666663</v>
      </c>
      <c r="I3" s="80">
        <v>5</v>
      </c>
      <c r="K3" s="32">
        <v>1</v>
      </c>
      <c r="L3" s="85">
        <v>74.900000000000006</v>
      </c>
      <c r="N3" s="100" t="s">
        <v>112</v>
      </c>
      <c r="O3" s="107">
        <f t="shared" si="0"/>
        <v>21800</v>
      </c>
      <c r="P3" s="104">
        <v>1</v>
      </c>
      <c r="Q3" s="88">
        <v>21800</v>
      </c>
    </row>
    <row r="4" spans="1:17">
      <c r="A4" s="47" t="s">
        <v>6</v>
      </c>
      <c r="B4" s="149">
        <v>74.900000000000006</v>
      </c>
      <c r="C4" s="150"/>
      <c r="E4" s="55" t="s">
        <v>57</v>
      </c>
      <c r="F4" s="52" t="s">
        <v>20</v>
      </c>
      <c r="G4" s="40">
        <v>2</v>
      </c>
      <c r="H4" s="118">
        <f>IF(B$17=0,0,G4/B$17)</f>
        <v>0.66666666666666663</v>
      </c>
      <c r="I4" s="80">
        <v>4</v>
      </c>
      <c r="N4" s="100" t="s">
        <v>113</v>
      </c>
      <c r="O4" s="107">
        <f t="shared" si="0"/>
        <v>-1500</v>
      </c>
      <c r="P4" s="104">
        <v>1</v>
      </c>
      <c r="Q4" s="88">
        <v>-1500</v>
      </c>
    </row>
    <row r="5" spans="1:17">
      <c r="A5" s="47" t="s">
        <v>7</v>
      </c>
      <c r="B5" s="151">
        <f>IF(B$2=0,0,B$4/B$2)</f>
        <v>74.900000000000006</v>
      </c>
      <c r="C5" s="152"/>
      <c r="E5" s="55" t="s">
        <v>60</v>
      </c>
      <c r="F5" s="52" t="s">
        <v>21</v>
      </c>
      <c r="G5" s="40">
        <v>2</v>
      </c>
      <c r="H5" s="118">
        <f>IF(B$17=0,0,G5/B$17)</f>
        <v>0.66666666666666663</v>
      </c>
      <c r="I5" s="80">
        <v>2</v>
      </c>
      <c r="N5" s="100" t="s">
        <v>171</v>
      </c>
      <c r="O5" s="107">
        <f>IF(P5=0,0,Q5/P5)</f>
        <v>-1100</v>
      </c>
      <c r="P5" s="104">
        <v>1</v>
      </c>
      <c r="Q5" s="88">
        <v>-1100</v>
      </c>
    </row>
    <row r="6" spans="1:17">
      <c r="A6" s="47" t="s">
        <v>1</v>
      </c>
      <c r="B6" s="153">
        <f>IF(B$2=0,0,(B$7*1+B$8*2+B$9*3+B$10*4)/B$2)</f>
        <v>1</v>
      </c>
      <c r="C6" s="154"/>
      <c r="E6" s="55" t="s">
        <v>59</v>
      </c>
      <c r="F6" s="52" t="s">
        <v>166</v>
      </c>
      <c r="G6" s="40">
        <v>1</v>
      </c>
      <c r="H6" s="118">
        <f>IF(B$17=0,0,G6/B$17)</f>
        <v>0.33333333333333331</v>
      </c>
      <c r="I6" s="80">
        <v>5</v>
      </c>
      <c r="N6" s="100" t="s">
        <v>114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61</v>
      </c>
      <c r="F7" s="52" t="s">
        <v>23</v>
      </c>
      <c r="G7" s="40">
        <v>1</v>
      </c>
      <c r="H7" s="118">
        <f>IF(B$17=0,0,G7/B$17)</f>
        <v>0.33333333333333331</v>
      </c>
      <c r="I7" s="80">
        <v>2</v>
      </c>
      <c r="N7" s="100" t="s">
        <v>115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62</v>
      </c>
      <c r="F8" s="52" t="s">
        <v>19</v>
      </c>
      <c r="G8" s="40">
        <v>1</v>
      </c>
      <c r="H8" s="118">
        <f>IF(B$17=0,0,G8/B$17)</f>
        <v>0.33333333333333331</v>
      </c>
      <c r="I8" s="80">
        <v>2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165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3</v>
      </c>
      <c r="C13" s="38">
        <f>IF(B$3=0,0,B13/B$3)</f>
        <v>0.3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102</v>
      </c>
      <c r="B14" s="40">
        <v>2</v>
      </c>
      <c r="C14" s="33">
        <f>IF(B$3=0,0,B14/B$3)</f>
        <v>0.2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0.66666666666666663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0.3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177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178</v>
      </c>
      <c r="O20" s="110">
        <f>IF(P20=0,0,Q20/P20)</f>
        <v>63.000000000000007</v>
      </c>
      <c r="P20" s="104">
        <v>1</v>
      </c>
      <c r="Q20" s="92">
        <v>63.000000000000007</v>
      </c>
    </row>
    <row r="21" spans="1:17">
      <c r="A21" s="47" t="s">
        <v>160</v>
      </c>
      <c r="B21" s="40">
        <v>2</v>
      </c>
      <c r="C21" s="33">
        <f>IF(B$17=0,0,B21/B$17)</f>
        <v>0.66666666666666663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0.33333333333333331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11933.333333333334</v>
      </c>
      <c r="C24" s="35">
        <v>35800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11933.333333333334</v>
      </c>
      <c r="C25" s="122">
        <v>35800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-8000</v>
      </c>
      <c r="C27" s="122">
        <v>-8000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9</v>
      </c>
      <c r="C29" s="120">
        <v>0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3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54900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1</v>
      </c>
      <c r="C37" s="33">
        <f t="shared" si="3"/>
        <v>0.33333333333333331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2</v>
      </c>
      <c r="C40" s="33">
        <f t="shared" si="3"/>
        <v>0.66666666666666663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C2BE6-41AA-4EF7-82E7-2C9AC3081BBE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176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55</v>
      </c>
      <c r="F2" s="51" t="s">
        <v>164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-12000</v>
      </c>
      <c r="P2" s="103">
        <v>1</v>
      </c>
      <c r="Q2" s="87">
        <v>-12000</v>
      </c>
    </row>
    <row r="3" spans="1:17">
      <c r="A3" s="47" t="s">
        <v>8</v>
      </c>
      <c r="B3" s="147">
        <v>10</v>
      </c>
      <c r="C3" s="148"/>
      <c r="E3" s="55" t="s">
        <v>59</v>
      </c>
      <c r="F3" s="52" t="s">
        <v>166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-61.7</v>
      </c>
      <c r="N3" s="100" t="s">
        <v>112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49">
        <v>-61.7</v>
      </c>
      <c r="C4" s="150"/>
      <c r="E4" s="55" t="s">
        <v>61</v>
      </c>
      <c r="F4" s="52" t="s">
        <v>23</v>
      </c>
      <c r="G4" s="40">
        <v>1</v>
      </c>
      <c r="H4" s="118">
        <f>IF(B$17=0,0,G4/B$17)</f>
        <v>1</v>
      </c>
      <c r="I4" s="80">
        <v>1</v>
      </c>
      <c r="N4" s="100" t="s">
        <v>113</v>
      </c>
      <c r="O4" s="107">
        <f t="shared" si="0"/>
        <v>-1500</v>
      </c>
      <c r="P4" s="104">
        <v>1</v>
      </c>
      <c r="Q4" s="88">
        <v>-1500</v>
      </c>
    </row>
    <row r="5" spans="1:17">
      <c r="A5" s="47" t="s">
        <v>7</v>
      </c>
      <c r="B5" s="151">
        <f>IF(B$2=0,0,B$4/B$2)</f>
        <v>-61.7</v>
      </c>
      <c r="C5" s="152"/>
      <c r="E5" s="55" t="s">
        <v>56</v>
      </c>
      <c r="F5" s="52" t="s">
        <v>165</v>
      </c>
      <c r="G5" s="40">
        <v>0</v>
      </c>
      <c r="H5" s="118">
        <f>IF(B$17=0,0,G5/B$17)</f>
        <v>0</v>
      </c>
      <c r="I5" s="80">
        <v>4</v>
      </c>
      <c r="N5" s="100" t="s">
        <v>171</v>
      </c>
      <c r="O5" s="107">
        <f>IF(P5=0,0,Q5/P5)</f>
        <v>6300</v>
      </c>
      <c r="P5" s="104">
        <v>1</v>
      </c>
      <c r="Q5" s="88">
        <v>6300</v>
      </c>
    </row>
    <row r="6" spans="1:17">
      <c r="A6" s="47" t="s">
        <v>1</v>
      </c>
      <c r="B6" s="153">
        <f>IF(B$2=0,0,(B$7*1+B$8*2+B$9*3+B$10*4)/B$2)</f>
        <v>4</v>
      </c>
      <c r="C6" s="154"/>
      <c r="E6" s="55" t="s">
        <v>57</v>
      </c>
      <c r="F6" s="52" t="s">
        <v>20</v>
      </c>
      <c r="G6" s="40">
        <v>0</v>
      </c>
      <c r="H6" s="118">
        <f>IF(B$17=0,0,G6/B$17)</f>
        <v>0</v>
      </c>
      <c r="I6" s="80">
        <v>7</v>
      </c>
      <c r="N6" s="100" t="s">
        <v>114</v>
      </c>
      <c r="O6" s="107">
        <f t="shared" ref="O6" si="1">IF(P6=0,0,Q6/P6)</f>
        <v>-2600</v>
      </c>
      <c r="P6" s="104">
        <v>1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140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-8300</v>
      </c>
      <c r="P7" s="104">
        <v>1</v>
      </c>
      <c r="Q7" s="88">
        <v>-8300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5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1</v>
      </c>
      <c r="C10" s="34">
        <f>IF(B$2=0,0,B10/B$2)</f>
        <v>1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1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3</v>
      </c>
      <c r="C13" s="38">
        <f>IF(B$3=0,0,B13/B$3)</f>
        <v>0.3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-61.7</v>
      </c>
      <c r="P14" s="104">
        <v>1</v>
      </c>
      <c r="Q14" s="92">
        <v>-61.7</v>
      </c>
    </row>
    <row r="15" spans="1:17">
      <c r="A15" s="46" t="s">
        <v>107</v>
      </c>
      <c r="B15" s="39">
        <f>B21</f>
        <v>1</v>
      </c>
      <c r="C15" s="31">
        <f>IF(B$13=0,0,B15/B$13)</f>
        <v>0.33333333333333331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3</v>
      </c>
      <c r="C18" s="33">
        <f>IF(B$3=0,0,B18/B$3)</f>
        <v>0.3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>IF(P18=0,0,Q18/P18)</f>
        <v>-36.6</v>
      </c>
      <c r="P18" s="103">
        <v>1</v>
      </c>
      <c r="Q18" s="91">
        <v>-36.6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178</v>
      </c>
      <c r="O19" s="110">
        <f>IF(P19=0,0,Q19/P19)</f>
        <v>-73.600000000000009</v>
      </c>
      <c r="P19" s="104">
        <v>1</v>
      </c>
      <c r="Q19" s="92">
        <v>-73.600000000000009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-136.60000000000002</v>
      </c>
      <c r="P20" s="104">
        <v>1</v>
      </c>
      <c r="Q20" s="92">
        <v>-136.60000000000002</v>
      </c>
    </row>
    <row r="21" spans="1:17">
      <c r="A21" s="47" t="s">
        <v>160</v>
      </c>
      <c r="B21" s="40">
        <v>1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4000</v>
      </c>
      <c r="C24" s="35">
        <v>4000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4000</v>
      </c>
      <c r="C25" s="122">
        <v>4000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-6800</v>
      </c>
      <c r="C27" s="122">
        <v>-20400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5</v>
      </c>
      <c r="C29" s="120">
        <v>2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0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-1700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1</v>
      </c>
      <c r="C37" s="33">
        <f t="shared" si="3"/>
        <v>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6F78F-E2FA-47E4-B891-3568FD7876E5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177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55</v>
      </c>
      <c r="F2" s="51" t="s">
        <v>164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47">
        <v>10</v>
      </c>
      <c r="C3" s="148"/>
      <c r="E3" s="55" t="s">
        <v>57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112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49">
        <v>-25.1</v>
      </c>
      <c r="C4" s="150"/>
      <c r="E4" s="55" t="s">
        <v>56</v>
      </c>
      <c r="F4" s="52" t="s">
        <v>165</v>
      </c>
      <c r="G4" s="40">
        <v>1</v>
      </c>
      <c r="H4" s="118">
        <f>IF(B$17=0,0,G4/B$17)</f>
        <v>0.5</v>
      </c>
      <c r="I4" s="80">
        <v>1</v>
      </c>
      <c r="N4" s="100" t="s">
        <v>113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1">
        <f>IF(B$2=0,0,B$4/B$2)</f>
        <v>-25.1</v>
      </c>
      <c r="C5" s="152"/>
      <c r="E5" s="55" t="s">
        <v>77</v>
      </c>
      <c r="F5" s="52" t="s">
        <v>34</v>
      </c>
      <c r="G5" s="40">
        <v>1</v>
      </c>
      <c r="H5" s="118">
        <f>IF(B$17=0,0,G5/B$17)</f>
        <v>0.5</v>
      </c>
      <c r="I5" s="80">
        <v>1</v>
      </c>
      <c r="N5" s="100" t="s">
        <v>171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3">
        <f>IF(B$2=0,0,(B$7*1+B$8*2+B$9*3+B$10*4)/B$2)</f>
        <v>3</v>
      </c>
      <c r="C6" s="154"/>
      <c r="E6" s="55" t="s">
        <v>58</v>
      </c>
      <c r="F6" s="52" t="s">
        <v>140</v>
      </c>
      <c r="G6" s="40">
        <v>0</v>
      </c>
      <c r="H6" s="118">
        <f>IF(B$17=0,0,G6/B$17)</f>
        <v>0</v>
      </c>
      <c r="I6" s="80">
        <v>6</v>
      </c>
      <c r="N6" s="100" t="s">
        <v>114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166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5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63</v>
      </c>
      <c r="F11" s="52" t="s">
        <v>22</v>
      </c>
      <c r="G11" s="40">
        <v>0</v>
      </c>
      <c r="H11" s="118">
        <f>IF(B$17=0,0,G11/B$17)</f>
        <v>0</v>
      </c>
      <c r="I11" s="80">
        <v>3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64</v>
      </c>
      <c r="F12" s="52" t="s">
        <v>24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4</v>
      </c>
      <c r="C13" s="38">
        <f>IF(B$3=0,0,B13/B$3)</f>
        <v>0.4</v>
      </c>
      <c r="E13" s="55" t="s">
        <v>65</v>
      </c>
      <c r="F13" s="52" t="s">
        <v>167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3</v>
      </c>
      <c r="C14" s="33">
        <f>IF(B$3=0,0,B14/B$3)</f>
        <v>0.3</v>
      </c>
      <c r="E14" s="55" t="s">
        <v>66</v>
      </c>
      <c r="F14" s="52" t="s">
        <v>35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0.5</v>
      </c>
      <c r="E15" s="55" t="s">
        <v>67</v>
      </c>
      <c r="F15" s="52" t="s">
        <v>38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68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160</v>
      </c>
      <c r="B21" s="40">
        <v>2</v>
      </c>
      <c r="C21" s="33">
        <f>IF(B$17=0,0,B21/B$17)</f>
        <v>1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74</v>
      </c>
      <c r="F22" s="52" t="s">
        <v>31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75</v>
      </c>
      <c r="F23" s="52" t="s">
        <v>32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76</v>
      </c>
      <c r="F24" s="52" t="s">
        <v>33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142</v>
      </c>
      <c r="B25" s="121">
        <f>IF($B$17-B$16=0,0,C25/($B$17-B$16))</f>
        <v>5300</v>
      </c>
      <c r="C25" s="122">
        <v>10600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6</v>
      </c>
      <c r="C29" s="120">
        <v>6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2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14900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0.5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1</v>
      </c>
      <c r="C39" s="33">
        <f t="shared" si="3"/>
        <v>0.5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A61-14BD-4CFE-A385-A5017189DEA1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183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58</v>
      </c>
      <c r="F2" s="51" t="s">
        <v>140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17200</v>
      </c>
      <c r="P2" s="103">
        <v>1</v>
      </c>
      <c r="Q2" s="87">
        <v>17200</v>
      </c>
    </row>
    <row r="3" spans="1:17">
      <c r="A3" s="47" t="s">
        <v>8</v>
      </c>
      <c r="B3" s="147">
        <v>7</v>
      </c>
      <c r="C3" s="148"/>
      <c r="E3" s="55" t="s">
        <v>55</v>
      </c>
      <c r="F3" s="52" t="s">
        <v>164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112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49">
        <v>-14.2</v>
      </c>
      <c r="C4" s="150"/>
      <c r="E4" s="55" t="s">
        <v>60</v>
      </c>
      <c r="F4" s="52" t="s">
        <v>21</v>
      </c>
      <c r="G4" s="40">
        <v>1</v>
      </c>
      <c r="H4" s="118">
        <f>IF(B$17=0,0,G4/B$17)</f>
        <v>1</v>
      </c>
      <c r="I4" s="80">
        <v>1</v>
      </c>
      <c r="N4" s="100" t="s">
        <v>113</v>
      </c>
      <c r="O4" s="107">
        <f t="shared" si="0"/>
        <v>-3000</v>
      </c>
      <c r="P4" s="104">
        <v>1</v>
      </c>
      <c r="Q4" s="88">
        <v>-3000</v>
      </c>
    </row>
    <row r="5" spans="1:17">
      <c r="A5" s="47" t="s">
        <v>7</v>
      </c>
      <c r="B5" s="151">
        <f>IF(B$2=0,0,B$4/B$2)</f>
        <v>-14.2</v>
      </c>
      <c r="C5" s="152"/>
      <c r="E5" s="55" t="s">
        <v>62</v>
      </c>
      <c r="F5" s="52" t="s">
        <v>19</v>
      </c>
      <c r="G5" s="40">
        <v>1</v>
      </c>
      <c r="H5" s="118">
        <f>IF(B$17=0,0,G5/B$17)</f>
        <v>1</v>
      </c>
      <c r="I5" s="80">
        <v>1</v>
      </c>
      <c r="N5" s="100" t="s">
        <v>171</v>
      </c>
      <c r="O5" s="107">
        <f>IF(P5=0,0,Q5/P5)</f>
        <v>-13400</v>
      </c>
      <c r="P5" s="104">
        <v>1</v>
      </c>
      <c r="Q5" s="88">
        <v>-13400</v>
      </c>
    </row>
    <row r="6" spans="1:17">
      <c r="A6" s="47" t="s">
        <v>1</v>
      </c>
      <c r="B6" s="153">
        <f>IF(B$2=0,0,(B$7*1+B$8*2+B$9*3+B$10*4)/B$2)</f>
        <v>3</v>
      </c>
      <c r="C6" s="154"/>
      <c r="E6" s="55" t="s">
        <v>56</v>
      </c>
      <c r="F6" s="52" t="s">
        <v>165</v>
      </c>
      <c r="G6" s="40">
        <v>0</v>
      </c>
      <c r="H6" s="118">
        <f>IF(B$17=0,0,G6/B$17)</f>
        <v>0</v>
      </c>
      <c r="I6" s="80">
        <v>4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20</v>
      </c>
      <c r="G7" s="40">
        <v>0</v>
      </c>
      <c r="H7" s="118">
        <f>IF(B$17=0,0,G7/B$17)</f>
        <v>0</v>
      </c>
      <c r="I7" s="80">
        <v>7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166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-14.2</v>
      </c>
      <c r="P12" s="103">
        <v>1</v>
      </c>
      <c r="Q12" s="91">
        <v>-14.2</v>
      </c>
    </row>
    <row r="13" spans="1:17">
      <c r="A13" s="50" t="s">
        <v>105</v>
      </c>
      <c r="B13" s="43">
        <v>2</v>
      </c>
      <c r="C13" s="38">
        <f>IF(B$3=0,0,B13/B$3)</f>
        <v>0.2857142857142857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2</v>
      </c>
      <c r="C14" s="33">
        <f>IF(B$3=0,0,B14/B$3)</f>
        <v>0.2857142857142857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0.14285714285714285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46.7</v>
      </c>
      <c r="P18" s="103">
        <v>1</v>
      </c>
      <c r="Q18" s="91">
        <v>46.7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181</v>
      </c>
      <c r="O19" s="110">
        <f>IF(P19=0,0,Q19/P19)</f>
        <v>-28.2</v>
      </c>
      <c r="P19" s="104">
        <v>1</v>
      </c>
      <c r="Q19" s="92">
        <v>-28.2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-75.3</v>
      </c>
      <c r="P20" s="104">
        <v>1</v>
      </c>
      <c r="Q20" s="92">
        <v>-75.3</v>
      </c>
    </row>
    <row r="21" spans="1:17">
      <c r="A21" s="47" t="s">
        <v>160</v>
      </c>
      <c r="B21" s="40">
        <v>1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18000</v>
      </c>
      <c r="C24" s="35">
        <v>18000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18000</v>
      </c>
      <c r="C25" s="122">
        <v>18000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5</v>
      </c>
      <c r="C29" s="120">
        <v>1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3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25800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C5F4E-B5AC-4638-A88B-A97D31FD2DF0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180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55</v>
      </c>
      <c r="F2" s="51" t="s">
        <v>164</v>
      </c>
      <c r="G2" s="39">
        <v>0</v>
      </c>
      <c r="H2" s="117">
        <f>IF(B$17=0,0,G2/B$17)</f>
        <v>0</v>
      </c>
      <c r="I2" s="79">
        <v>8</v>
      </c>
      <c r="K2" s="30">
        <v>0</v>
      </c>
      <c r="L2" s="84">
        <v>0</v>
      </c>
      <c r="N2" s="99" t="s">
        <v>111</v>
      </c>
      <c r="O2" s="106">
        <f t="shared" ref="O2:O9" si="0">IF(P2=0,0,Q2/P2)</f>
        <v>-20500</v>
      </c>
      <c r="P2" s="103">
        <v>1</v>
      </c>
      <c r="Q2" s="87">
        <v>-20500</v>
      </c>
    </row>
    <row r="3" spans="1:17">
      <c r="A3" s="47" t="s">
        <v>8</v>
      </c>
      <c r="B3" s="147">
        <v>7</v>
      </c>
      <c r="C3" s="148"/>
      <c r="E3" s="55" t="s">
        <v>56</v>
      </c>
      <c r="F3" s="52" t="s">
        <v>165</v>
      </c>
      <c r="G3" s="40">
        <v>0</v>
      </c>
      <c r="H3" s="118">
        <f>IF(B$17=0,0,G3/B$17)</f>
        <v>0</v>
      </c>
      <c r="I3" s="80">
        <v>4</v>
      </c>
      <c r="K3" s="32">
        <v>1</v>
      </c>
      <c r="L3" s="85">
        <v>-60.9</v>
      </c>
      <c r="N3" s="100" t="s">
        <v>112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49">
        <v>-60.9</v>
      </c>
      <c r="C4" s="150"/>
      <c r="E4" s="55" t="s">
        <v>57</v>
      </c>
      <c r="F4" s="52" t="s">
        <v>20</v>
      </c>
      <c r="G4" s="40">
        <v>0</v>
      </c>
      <c r="H4" s="118">
        <f>IF(B$17=0,0,G4/B$17)</f>
        <v>0</v>
      </c>
      <c r="I4" s="80">
        <v>7</v>
      </c>
      <c r="N4" s="100" t="s">
        <v>113</v>
      </c>
      <c r="O4" s="107">
        <f t="shared" si="0"/>
        <v>-4000</v>
      </c>
      <c r="P4" s="104">
        <v>1</v>
      </c>
      <c r="Q4" s="88">
        <v>-4000</v>
      </c>
    </row>
    <row r="5" spans="1:17">
      <c r="A5" s="47" t="s">
        <v>7</v>
      </c>
      <c r="B5" s="151">
        <f>IF(B$2=0,0,B$4/B$2)</f>
        <v>-60.9</v>
      </c>
      <c r="C5" s="152"/>
      <c r="E5" s="55" t="s">
        <v>58</v>
      </c>
      <c r="F5" s="52" t="s">
        <v>140</v>
      </c>
      <c r="G5" s="40">
        <v>0</v>
      </c>
      <c r="H5" s="118">
        <f>IF(B$17=0,0,G5/B$17)</f>
        <v>0</v>
      </c>
      <c r="I5" s="80">
        <v>6</v>
      </c>
      <c r="N5" s="100" t="s">
        <v>171</v>
      </c>
      <c r="O5" s="107">
        <f>IF(P5=0,0,Q5/P5)</f>
        <v>-1400</v>
      </c>
      <c r="P5" s="104">
        <v>1</v>
      </c>
      <c r="Q5" s="88">
        <v>-1400</v>
      </c>
    </row>
    <row r="6" spans="1:17">
      <c r="A6" s="47" t="s">
        <v>1</v>
      </c>
      <c r="B6" s="153">
        <f>IF(B$2=0,0,(B$7*1+B$8*2+B$9*3+B$10*4)/B$2)</f>
        <v>4</v>
      </c>
      <c r="C6" s="154"/>
      <c r="E6" s="55" t="s">
        <v>59</v>
      </c>
      <c r="F6" s="52" t="s">
        <v>166</v>
      </c>
      <c r="G6" s="40">
        <v>0</v>
      </c>
      <c r="H6" s="118">
        <f>IF(B$17=0,0,G6/B$17)</f>
        <v>0</v>
      </c>
      <c r="I6" s="80">
        <v>6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21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23</v>
      </c>
      <c r="G8" s="40">
        <v>0</v>
      </c>
      <c r="H8" s="118">
        <f>IF(B$17=0,0,G8/B$17)</f>
        <v>0</v>
      </c>
      <c r="I8" s="80">
        <v>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5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1</v>
      </c>
      <c r="C10" s="34">
        <f>IF(B$2=0,0,B10/B$2)</f>
        <v>1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1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1</v>
      </c>
      <c r="C13" s="38">
        <f>IF(B$3=0,0,B13/B$3)</f>
        <v>0.14285714285714285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102</v>
      </c>
      <c r="B14" s="40">
        <v>0</v>
      </c>
      <c r="C14" s="33">
        <f>IF(B$3=0,0,B14/B$3)</f>
        <v>0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0</v>
      </c>
      <c r="C15" s="31">
        <f>IF(B$13=0,0,B15/B$13)</f>
        <v>0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183</v>
      </c>
      <c r="O18" s="109">
        <f>IF(P18=0,0,Q18/P18)</f>
        <v>-46.7</v>
      </c>
      <c r="P18" s="103">
        <v>1</v>
      </c>
      <c r="Q18" s="91">
        <v>-46.7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181</v>
      </c>
      <c r="O19" s="110">
        <f>IF(P19=0,0,Q19/P19)</f>
        <v>-74.900000000000006</v>
      </c>
      <c r="P19" s="104">
        <v>1</v>
      </c>
      <c r="Q19" s="92">
        <v>-74.900000000000006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-122</v>
      </c>
      <c r="P20" s="104">
        <v>1</v>
      </c>
      <c r="Q20" s="92">
        <v>-122</v>
      </c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-18000</v>
      </c>
      <c r="C27" s="122">
        <v>-18000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0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6</v>
      </c>
      <c r="C29" s="120">
        <v>6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0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-900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B05B-4023-4E98-985E-C5DD6E0E11D0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181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58</v>
      </c>
      <c r="F2" s="51" t="s">
        <v>140</v>
      </c>
      <c r="G2" s="39">
        <v>2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111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47">
        <v>7</v>
      </c>
      <c r="C3" s="148"/>
      <c r="E3" s="55" t="s">
        <v>55</v>
      </c>
      <c r="F3" s="52" t="s">
        <v>164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14</v>
      </c>
      <c r="N3" s="100" t="s">
        <v>112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49">
        <v>14</v>
      </c>
      <c r="C4" s="150"/>
      <c r="E4" s="55" t="s">
        <v>57</v>
      </c>
      <c r="F4" s="52" t="s">
        <v>20</v>
      </c>
      <c r="G4" s="40">
        <v>1</v>
      </c>
      <c r="H4" s="118">
        <f>IF(B$17=0,0,G4/B$17)</f>
        <v>0.5</v>
      </c>
      <c r="I4" s="80">
        <v>5</v>
      </c>
      <c r="N4" s="100" t="s">
        <v>113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1">
        <f>IF(B$2=0,0,B$4/B$2)</f>
        <v>14</v>
      </c>
      <c r="C5" s="152"/>
      <c r="E5" s="55" t="s">
        <v>59</v>
      </c>
      <c r="F5" s="52" t="s">
        <v>166</v>
      </c>
      <c r="G5" s="40">
        <v>1</v>
      </c>
      <c r="H5" s="118">
        <f>IF(B$17=0,0,G5/B$17)</f>
        <v>0.5</v>
      </c>
      <c r="I5" s="80">
        <v>3</v>
      </c>
      <c r="N5" s="100" t="s">
        <v>171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3">
        <f>IF(B$2=0,0,(B$7*1+B$8*2+B$9*3+B$10*4)/B$2)</f>
        <v>2</v>
      </c>
      <c r="C6" s="154"/>
      <c r="E6" s="55" t="s">
        <v>60</v>
      </c>
      <c r="F6" s="52" t="s">
        <v>21</v>
      </c>
      <c r="G6" s="40">
        <v>1</v>
      </c>
      <c r="H6" s="118">
        <f>IF(B$17=0,0,G6/B$17)</f>
        <v>0.5</v>
      </c>
      <c r="I6" s="80">
        <v>3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165</v>
      </c>
      <c r="G7" s="40">
        <v>0</v>
      </c>
      <c r="H7" s="118">
        <f>IF(B$17=0,0,G7/B$17)</f>
        <v>0</v>
      </c>
      <c r="I7" s="80">
        <v>4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61</v>
      </c>
      <c r="F8" s="52" t="s">
        <v>23</v>
      </c>
      <c r="G8" s="40">
        <v>0</v>
      </c>
      <c r="H8" s="118">
        <f>IF(B$17=0,0,G8/B$17)</f>
        <v>0</v>
      </c>
      <c r="I8" s="80">
        <v>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5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2</v>
      </c>
      <c r="C13" s="38">
        <f>IF(B$3=0,0,B13/B$3)</f>
        <v>0.2857142857142857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0.14285714285714285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160</v>
      </c>
      <c r="B21" s="40">
        <v>1</v>
      </c>
      <c r="C21" s="33">
        <f>IF(B$17=0,0,B21/B$17)</f>
        <v>0.5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0.5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8600</v>
      </c>
      <c r="C25" s="122">
        <v>17200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7</v>
      </c>
      <c r="C29" s="120">
        <v>7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4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34000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1</v>
      </c>
      <c r="C37" s="33">
        <f t="shared" si="3"/>
        <v>0.5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0.5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EE3DB-F327-4B1D-BFDF-6226E1317E0A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3" t="s">
        <v>182</v>
      </c>
      <c r="C1" s="144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5">
        <v>1</v>
      </c>
      <c r="C2" s="146"/>
      <c r="E2" s="54" t="s">
        <v>58</v>
      </c>
      <c r="F2" s="51" t="s">
        <v>140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111</v>
      </c>
      <c r="O2" s="106">
        <f t="shared" ref="O2:O9" si="0">IF(P2=0,0,Q2/P2)</f>
        <v>5800</v>
      </c>
      <c r="P2" s="103">
        <v>1</v>
      </c>
      <c r="Q2" s="87">
        <v>5800</v>
      </c>
    </row>
    <row r="3" spans="1:17">
      <c r="A3" s="47" t="s">
        <v>8</v>
      </c>
      <c r="B3" s="147">
        <v>7</v>
      </c>
      <c r="C3" s="148"/>
      <c r="E3" s="55" t="s">
        <v>55</v>
      </c>
      <c r="F3" s="52" t="s">
        <v>164</v>
      </c>
      <c r="G3" s="40">
        <v>2</v>
      </c>
      <c r="H3" s="118">
        <f>IF(B$17=0,0,G3/B$17)</f>
        <v>0.66666666666666663</v>
      </c>
      <c r="I3" s="80">
        <v>5</v>
      </c>
      <c r="K3" s="32">
        <v>1</v>
      </c>
      <c r="L3" s="85">
        <v>61.1</v>
      </c>
      <c r="N3" s="100" t="s">
        <v>112</v>
      </c>
      <c r="O3" s="107">
        <f t="shared" si="0"/>
        <v>-13000</v>
      </c>
      <c r="P3" s="104">
        <v>1</v>
      </c>
      <c r="Q3" s="88">
        <v>-13000</v>
      </c>
    </row>
    <row r="4" spans="1:17">
      <c r="A4" s="47" t="s">
        <v>6</v>
      </c>
      <c r="B4" s="149">
        <v>61.1</v>
      </c>
      <c r="C4" s="150"/>
      <c r="E4" s="55" t="s">
        <v>59</v>
      </c>
      <c r="F4" s="52" t="s">
        <v>166</v>
      </c>
      <c r="G4" s="40">
        <v>2</v>
      </c>
      <c r="H4" s="118">
        <f>IF(B$17=0,0,G4/B$17)</f>
        <v>0.66666666666666663</v>
      </c>
      <c r="I4" s="80">
        <v>2</v>
      </c>
      <c r="N4" s="100" t="s">
        <v>113</v>
      </c>
      <c r="O4" s="107">
        <f t="shared" si="0"/>
        <v>13000</v>
      </c>
      <c r="P4" s="104">
        <v>1</v>
      </c>
      <c r="Q4" s="88">
        <v>13000</v>
      </c>
    </row>
    <row r="5" spans="1:17">
      <c r="A5" s="47" t="s">
        <v>7</v>
      </c>
      <c r="B5" s="151">
        <f>IF(B$2=0,0,B$4/B$2)</f>
        <v>61.1</v>
      </c>
      <c r="C5" s="152"/>
      <c r="E5" s="55" t="s">
        <v>56</v>
      </c>
      <c r="F5" s="52" t="s">
        <v>165</v>
      </c>
      <c r="G5" s="40">
        <v>1</v>
      </c>
      <c r="H5" s="118">
        <f>IF(B$17=0,0,G5/B$17)</f>
        <v>0.33333333333333331</v>
      </c>
      <c r="I5" s="80">
        <v>2</v>
      </c>
      <c r="N5" s="100" t="s">
        <v>171</v>
      </c>
      <c r="O5" s="107">
        <f>IF(P5=0,0,Q5/P5)</f>
        <v>10300</v>
      </c>
      <c r="P5" s="104">
        <v>1</v>
      </c>
      <c r="Q5" s="88">
        <v>10300</v>
      </c>
    </row>
    <row r="6" spans="1:17">
      <c r="A6" s="47" t="s">
        <v>1</v>
      </c>
      <c r="B6" s="153">
        <f>IF(B$2=0,0,(B$7*1+B$8*2+B$9*3+B$10*4)/B$2)</f>
        <v>1</v>
      </c>
      <c r="C6" s="154"/>
      <c r="E6" s="55" t="s">
        <v>57</v>
      </c>
      <c r="F6" s="52" t="s">
        <v>20</v>
      </c>
      <c r="G6" s="40">
        <v>1</v>
      </c>
      <c r="H6" s="118">
        <f>IF(B$17=0,0,G6/B$17)</f>
        <v>0.33333333333333331</v>
      </c>
      <c r="I6" s="80">
        <v>6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60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62</v>
      </c>
      <c r="F8" s="52" t="s">
        <v>19</v>
      </c>
      <c r="G8" s="40">
        <v>1</v>
      </c>
      <c r="H8" s="118">
        <f>IF(B$17=0,0,G8/B$17)</f>
        <v>0.33333333333333331</v>
      </c>
      <c r="I8" s="80">
        <v>2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3</v>
      </c>
      <c r="C13" s="38">
        <f>IF(B$3=0,0,B13/B$3)</f>
        <v>0.42857142857142855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0</v>
      </c>
      <c r="C14" s="33">
        <f>IF(B$3=0,0,B14/B$3)</f>
        <v>0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0.66666666666666663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61.1</v>
      </c>
      <c r="P15" s="105">
        <v>1</v>
      </c>
      <c r="Q15" s="93">
        <v>61.1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0.42857142857142855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75.3</v>
      </c>
      <c r="P19" s="104">
        <v>1</v>
      </c>
      <c r="Q19" s="92">
        <v>75.3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181</v>
      </c>
      <c r="O20" s="110">
        <f>IF(P20=0,0,Q20/P20)</f>
        <v>47.1</v>
      </c>
      <c r="P20" s="104">
        <v>1</v>
      </c>
      <c r="Q20" s="92">
        <v>47.1</v>
      </c>
    </row>
    <row r="21" spans="1:17">
      <c r="A21" s="47" t="s">
        <v>160</v>
      </c>
      <c r="B21" s="40">
        <v>2</v>
      </c>
      <c r="C21" s="33">
        <f>IF(B$17=0,0,B21/B$17)</f>
        <v>0.66666666666666663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0.33333333333333331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9733.3333333333339</v>
      </c>
      <c r="C24" s="35">
        <v>29200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9733.3333333333339</v>
      </c>
      <c r="C25" s="122">
        <v>29200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2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3</v>
      </c>
      <c r="C29" s="120">
        <v>3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39">
        <v>3</v>
      </c>
      <c r="C30" s="140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1">
        <v>41100</v>
      </c>
      <c r="C31" s="142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2</v>
      </c>
      <c r="C38" s="33">
        <f t="shared" si="3"/>
        <v>0.66666666666666663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0.33333333333333331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3"/>
      <c r="C1" s="144"/>
      <c r="E1" s="114" t="s">
        <v>137</v>
      </c>
      <c r="F1" s="128" t="s">
        <v>99</v>
      </c>
      <c r="G1" s="127" t="s">
        <v>100</v>
      </c>
      <c r="H1" s="115" t="s">
        <v>101</v>
      </c>
      <c r="I1" s="128" t="s">
        <v>126</v>
      </c>
      <c r="K1" s="2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131</v>
      </c>
    </row>
    <row r="2" spans="1:17">
      <c r="A2" s="18" t="s">
        <v>9</v>
      </c>
      <c r="B2" s="145">
        <v>0</v>
      </c>
      <c r="C2" s="146"/>
      <c r="E2" s="54" t="s">
        <v>55</v>
      </c>
      <c r="F2" s="51" t="s">
        <v>164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111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47">
        <v>0</v>
      </c>
      <c r="C3" s="148"/>
      <c r="E3" s="55" t="s">
        <v>56</v>
      </c>
      <c r="F3" s="52" t="s">
        <v>165</v>
      </c>
      <c r="G3" s="40">
        <v>0</v>
      </c>
      <c r="H3" s="118">
        <f t="shared" si="0"/>
        <v>0</v>
      </c>
      <c r="I3" s="80"/>
      <c r="N3" s="100" t="s">
        <v>112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49">
        <v>0</v>
      </c>
      <c r="C4" s="150"/>
      <c r="E4" s="55" t="s">
        <v>57</v>
      </c>
      <c r="F4" s="52" t="s">
        <v>20</v>
      </c>
      <c r="G4" s="40">
        <v>0</v>
      </c>
      <c r="H4" s="118">
        <f t="shared" si="0"/>
        <v>0</v>
      </c>
      <c r="I4" s="80"/>
      <c r="N4" s="100" t="s">
        <v>113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1">
        <f>IF(B$2=0,0,B$4/B$2)</f>
        <v>0</v>
      </c>
      <c r="C5" s="152"/>
      <c r="E5" s="55" t="s">
        <v>58</v>
      </c>
      <c r="F5" s="52" t="s">
        <v>140</v>
      </c>
      <c r="G5" s="40">
        <v>0</v>
      </c>
      <c r="H5" s="118">
        <f t="shared" si="0"/>
        <v>0</v>
      </c>
      <c r="I5" s="80"/>
      <c r="N5" s="100" t="s">
        <v>171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3">
        <f>IF(B$2=0,0,(B$7*1+B$8*2+B$9*3+B$10*4)/B$2)</f>
        <v>0</v>
      </c>
      <c r="C6" s="154"/>
      <c r="E6" s="55" t="s">
        <v>59</v>
      </c>
      <c r="F6" s="52" t="s">
        <v>166</v>
      </c>
      <c r="G6" s="40">
        <v>0</v>
      </c>
      <c r="H6" s="118">
        <f t="shared" si="0"/>
        <v>0</v>
      </c>
      <c r="I6" s="80"/>
      <c r="N6" s="100" t="s">
        <v>114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60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115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61</v>
      </c>
      <c r="F8" s="52" t="s">
        <v>23</v>
      </c>
      <c r="G8" s="40">
        <v>0</v>
      </c>
      <c r="H8" s="118">
        <f t="shared" si="0"/>
        <v>0</v>
      </c>
      <c r="I8" s="80"/>
      <c r="N8" s="100" t="s">
        <v>116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62</v>
      </c>
      <c r="F9" s="52" t="s">
        <v>19</v>
      </c>
      <c r="G9" s="40">
        <v>0</v>
      </c>
      <c r="H9" s="118">
        <f t="shared" si="0"/>
        <v>0</v>
      </c>
      <c r="I9" s="80"/>
      <c r="N9" s="101" t="s">
        <v>172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 t="shared" si="0"/>
        <v>0</v>
      </c>
      <c r="I11" s="80"/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65</v>
      </c>
      <c r="F12" s="52" t="s">
        <v>167</v>
      </c>
      <c r="G12" s="40">
        <v>0</v>
      </c>
      <c r="H12" s="118">
        <f t="shared" si="0"/>
        <v>0</v>
      </c>
      <c r="I12" s="80"/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105</v>
      </c>
      <c r="B13" s="15">
        <v>0</v>
      </c>
      <c r="C13" s="11">
        <f>IF(B$3=0,0,B13/B$3)</f>
        <v>0</v>
      </c>
      <c r="E13" s="55" t="s">
        <v>66</v>
      </c>
      <c r="F13" s="52" t="s">
        <v>35</v>
      </c>
      <c r="G13" s="40">
        <v>0</v>
      </c>
      <c r="H13" s="118">
        <f t="shared" si="0"/>
        <v>0</v>
      </c>
      <c r="I13" s="80"/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102</v>
      </c>
      <c r="B14" s="13">
        <v>0</v>
      </c>
      <c r="C14" s="6">
        <f>IF(B$3=0,0,B14/B$3)</f>
        <v>0</v>
      </c>
      <c r="E14" s="55" t="s">
        <v>67</v>
      </c>
      <c r="F14" s="52" t="s">
        <v>38</v>
      </c>
      <c r="G14" s="40">
        <v>0</v>
      </c>
      <c r="H14" s="118">
        <f t="shared" si="0"/>
        <v>0</v>
      </c>
      <c r="I14" s="80"/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107</v>
      </c>
      <c r="B15" s="12">
        <f>B21</f>
        <v>0</v>
      </c>
      <c r="C15" s="4">
        <f>IF(B$13=0,0,B15/B$13)</f>
        <v>0</v>
      </c>
      <c r="E15" s="55" t="s">
        <v>68</v>
      </c>
      <c r="F15" s="52" t="s">
        <v>25</v>
      </c>
      <c r="G15" s="40">
        <v>0</v>
      </c>
      <c r="H15" s="118">
        <f t="shared" si="0"/>
        <v>0</v>
      </c>
      <c r="I15" s="80"/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108</v>
      </c>
      <c r="B16" s="12">
        <f>B22</f>
        <v>0</v>
      </c>
      <c r="C16" s="4">
        <f>IF(B$14=0,0,B16/B$14)</f>
        <v>0</v>
      </c>
      <c r="E16" s="55" t="s">
        <v>69</v>
      </c>
      <c r="F16" s="52" t="s">
        <v>26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70</v>
      </c>
      <c r="F17" s="52" t="s">
        <v>27</v>
      </c>
      <c r="G17" s="40">
        <v>0</v>
      </c>
      <c r="H17" s="118">
        <f t="shared" si="0"/>
        <v>0</v>
      </c>
      <c r="I17" s="80"/>
      <c r="N17" s="98" t="s">
        <v>127</v>
      </c>
      <c r="O17" s="28" t="s">
        <v>128</v>
      </c>
      <c r="P17" s="102" t="s">
        <v>129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72</v>
      </c>
      <c r="F19" s="52" t="s">
        <v>29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73</v>
      </c>
      <c r="F20" s="52" t="s">
        <v>30</v>
      </c>
      <c r="G20" s="40">
        <v>0</v>
      </c>
      <c r="H20" s="118">
        <f t="shared" si="0"/>
        <v>0</v>
      </c>
      <c r="I20" s="80"/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 t="shared" si="0"/>
        <v>0</v>
      </c>
      <c r="I21" s="80"/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 t="shared" si="0"/>
        <v>0</v>
      </c>
      <c r="I22" s="80"/>
    </row>
    <row r="23" spans="1:17">
      <c r="A23" s="19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77</v>
      </c>
      <c r="F24" s="52" t="s">
        <v>34</v>
      </c>
      <c r="G24" s="40">
        <v>0</v>
      </c>
      <c r="H24" s="118">
        <f t="shared" si="0"/>
        <v>0</v>
      </c>
      <c r="I24" s="80"/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 t="shared" si="0"/>
        <v>0</v>
      </c>
      <c r="I25" s="80"/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 t="shared" si="0"/>
        <v>0</v>
      </c>
      <c r="I26" s="80"/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 t="shared" si="0"/>
        <v>0</v>
      </c>
      <c r="I27" s="80"/>
    </row>
    <row r="28" spans="1:17">
      <c r="A28" s="47" t="s">
        <v>138</v>
      </c>
      <c r="B28" s="40">
        <v>0</v>
      </c>
      <c r="C28" s="120">
        <v>0</v>
      </c>
      <c r="E28" s="55" t="s">
        <v>81</v>
      </c>
      <c r="F28" s="52" t="s">
        <v>40</v>
      </c>
      <c r="G28" s="40">
        <v>0</v>
      </c>
      <c r="H28" s="118">
        <f t="shared" si="0"/>
        <v>0</v>
      </c>
      <c r="I28" s="80"/>
    </row>
    <row r="29" spans="1:17">
      <c r="A29" s="47" t="s">
        <v>139</v>
      </c>
      <c r="B29" s="40">
        <v>0</v>
      </c>
      <c r="C29" s="120">
        <v>0</v>
      </c>
      <c r="E29" s="55" t="s">
        <v>82</v>
      </c>
      <c r="F29" s="52" t="s">
        <v>41</v>
      </c>
      <c r="G29" s="40">
        <v>0</v>
      </c>
      <c r="H29" s="118">
        <f t="shared" si="0"/>
        <v>0</v>
      </c>
      <c r="I29" s="80"/>
    </row>
    <row r="30" spans="1:17">
      <c r="A30" s="76" t="s">
        <v>119</v>
      </c>
      <c r="B30" s="139">
        <v>0</v>
      </c>
      <c r="C30" s="140"/>
      <c r="E30" s="55" t="s">
        <v>83</v>
      </c>
      <c r="F30" s="52" t="s">
        <v>42</v>
      </c>
      <c r="G30" s="40">
        <v>0</v>
      </c>
      <c r="H30" s="118">
        <f t="shared" si="0"/>
        <v>0</v>
      </c>
      <c r="I30" s="80"/>
    </row>
    <row r="31" spans="1:17">
      <c r="A31" s="50" t="s">
        <v>157</v>
      </c>
      <c r="B31" s="141">
        <v>-1000000</v>
      </c>
      <c r="C31" s="142"/>
      <c r="E31" s="55" t="s">
        <v>84</v>
      </c>
      <c r="F31" s="52" t="s">
        <v>43</v>
      </c>
      <c r="G31" s="40">
        <v>0</v>
      </c>
      <c r="H31" s="118">
        <f t="shared" si="0"/>
        <v>0</v>
      </c>
      <c r="I31" s="80"/>
    </row>
    <row r="32" spans="1:17">
      <c r="A32" s="21" t="s">
        <v>120</v>
      </c>
      <c r="B32" s="26">
        <v>0</v>
      </c>
      <c r="C32" s="9">
        <f>IF(B$3=0,0,B32/B$3)</f>
        <v>0</v>
      </c>
      <c r="E32" s="55" t="s">
        <v>85</v>
      </c>
      <c r="F32" s="52" t="s">
        <v>44</v>
      </c>
      <c r="G32" s="40">
        <v>0</v>
      </c>
      <c r="H32" s="118">
        <f t="shared" si="0"/>
        <v>0</v>
      </c>
      <c r="I32" s="80"/>
    </row>
    <row r="33" spans="1:9">
      <c r="E33" s="55" t="s">
        <v>86</v>
      </c>
      <c r="F33" s="52" t="s">
        <v>45</v>
      </c>
      <c r="G33" s="40">
        <v>0</v>
      </c>
      <c r="H33" s="118">
        <f t="shared" si="0"/>
        <v>0</v>
      </c>
      <c r="I33" s="80"/>
    </row>
    <row r="34" spans="1:9">
      <c r="A34" s="155" t="s">
        <v>186</v>
      </c>
      <c r="B34" s="156" t="s">
        <v>187</v>
      </c>
      <c r="C34" s="157" t="s">
        <v>188</v>
      </c>
      <c r="E34" s="55" t="s">
        <v>87</v>
      </c>
      <c r="F34" s="52" t="s">
        <v>46</v>
      </c>
      <c r="G34" s="40">
        <v>0</v>
      </c>
      <c r="H34" s="118">
        <f t="shared" si="0"/>
        <v>0</v>
      </c>
      <c r="I34" s="80"/>
    </row>
    <row r="35" spans="1:9">
      <c r="A35" s="76" t="s">
        <v>148</v>
      </c>
      <c r="B35" s="123">
        <v>0</v>
      </c>
      <c r="C35" s="126">
        <f t="shared" ref="C35:C47" si="4">IF(B$17=0,0,B35/B$17)</f>
        <v>0</v>
      </c>
      <c r="E35" s="55" t="s">
        <v>88</v>
      </c>
      <c r="F35" s="52" t="s">
        <v>47</v>
      </c>
      <c r="G35" s="40">
        <v>0</v>
      </c>
      <c r="H35" s="118">
        <f t="shared" si="0"/>
        <v>0</v>
      </c>
      <c r="I35" s="80"/>
    </row>
    <row r="36" spans="1:9">
      <c r="A36" s="47" t="s">
        <v>144</v>
      </c>
      <c r="B36" s="40">
        <v>0</v>
      </c>
      <c r="C36" s="33">
        <f t="shared" si="4"/>
        <v>0</v>
      </c>
      <c r="E36" s="55" t="s">
        <v>89</v>
      </c>
      <c r="F36" s="52" t="s">
        <v>48</v>
      </c>
      <c r="G36" s="40">
        <v>0</v>
      </c>
      <c r="H36" s="118">
        <f t="shared" si="0"/>
        <v>0</v>
      </c>
      <c r="I36" s="80"/>
    </row>
    <row r="37" spans="1:9">
      <c r="A37" s="47" t="s">
        <v>145</v>
      </c>
      <c r="B37" s="124">
        <v>0</v>
      </c>
      <c r="C37" s="33">
        <f t="shared" si="4"/>
        <v>0</v>
      </c>
      <c r="E37" s="55" t="s">
        <v>90</v>
      </c>
      <c r="F37" s="52" t="s">
        <v>49</v>
      </c>
      <c r="G37" s="40">
        <v>0</v>
      </c>
      <c r="H37" s="118">
        <f t="shared" si="0"/>
        <v>0</v>
      </c>
      <c r="I37" s="80"/>
    </row>
    <row r="38" spans="1:9">
      <c r="A38" s="47" t="s">
        <v>146</v>
      </c>
      <c r="B38" s="124">
        <v>0</v>
      </c>
      <c r="C38" s="33">
        <f t="shared" si="4"/>
        <v>0</v>
      </c>
      <c r="E38" s="55" t="s">
        <v>91</v>
      </c>
      <c r="F38" s="52" t="s">
        <v>50</v>
      </c>
      <c r="G38" s="40">
        <v>0</v>
      </c>
      <c r="H38" s="118">
        <f t="shared" si="0"/>
        <v>0</v>
      </c>
      <c r="I38" s="80"/>
    </row>
    <row r="39" spans="1:9">
      <c r="A39" s="47" t="s">
        <v>147</v>
      </c>
      <c r="B39" s="124">
        <v>0</v>
      </c>
      <c r="C39" s="33">
        <f t="shared" si="4"/>
        <v>0</v>
      </c>
      <c r="E39" s="55" t="s">
        <v>92</v>
      </c>
      <c r="F39" s="52" t="s">
        <v>51</v>
      </c>
      <c r="G39" s="40">
        <v>0</v>
      </c>
      <c r="H39" s="118">
        <f t="shared" si="0"/>
        <v>0</v>
      </c>
      <c r="I39" s="80"/>
    </row>
    <row r="40" spans="1:9">
      <c r="A40" s="47" t="s">
        <v>149</v>
      </c>
      <c r="B40" s="124">
        <v>0</v>
      </c>
      <c r="C40" s="33">
        <f t="shared" si="4"/>
        <v>0</v>
      </c>
      <c r="E40" s="55" t="s">
        <v>93</v>
      </c>
      <c r="F40" s="52" t="s">
        <v>52</v>
      </c>
      <c r="G40" s="40">
        <v>0</v>
      </c>
      <c r="H40" s="118">
        <f t="shared" si="0"/>
        <v>0</v>
      </c>
      <c r="I40" s="80"/>
    </row>
    <row r="41" spans="1:9">
      <c r="A41" s="47" t="s">
        <v>150</v>
      </c>
      <c r="B41" s="124">
        <v>0</v>
      </c>
      <c r="C41" s="33">
        <f t="shared" si="4"/>
        <v>0</v>
      </c>
      <c r="E41" s="55" t="s">
        <v>94</v>
      </c>
      <c r="F41" s="52" t="s">
        <v>53</v>
      </c>
      <c r="G41" s="40">
        <v>0</v>
      </c>
      <c r="H41" s="118">
        <f t="shared" si="0"/>
        <v>0</v>
      </c>
      <c r="I41" s="80"/>
    </row>
    <row r="42" spans="1:9">
      <c r="A42" s="47" t="s">
        <v>151</v>
      </c>
      <c r="B42" s="124">
        <v>0</v>
      </c>
      <c r="C42" s="33">
        <f t="shared" si="4"/>
        <v>0</v>
      </c>
      <c r="E42" s="55" t="s">
        <v>95</v>
      </c>
      <c r="F42" s="52" t="s">
        <v>54</v>
      </c>
      <c r="G42" s="40">
        <v>0</v>
      </c>
      <c r="H42" s="118">
        <f t="shared" si="0"/>
        <v>0</v>
      </c>
      <c r="I42" s="80"/>
    </row>
    <row r="43" spans="1:9">
      <c r="A43" s="47" t="s">
        <v>152</v>
      </c>
      <c r="B43" s="124">
        <v>0</v>
      </c>
      <c r="C43" s="33">
        <f t="shared" si="4"/>
        <v>0</v>
      </c>
      <c r="E43" s="55" t="s">
        <v>96</v>
      </c>
      <c r="F43" s="52" t="s">
        <v>168</v>
      </c>
      <c r="G43" s="40">
        <v>0</v>
      </c>
      <c r="H43" s="118">
        <f t="shared" si="0"/>
        <v>0</v>
      </c>
      <c r="I43" s="80"/>
    </row>
    <row r="44" spans="1:9">
      <c r="A44" s="47" t="s">
        <v>153</v>
      </c>
      <c r="B44" s="124">
        <v>0</v>
      </c>
      <c r="C44" s="33">
        <f t="shared" si="4"/>
        <v>0</v>
      </c>
      <c r="E44" s="55" t="s">
        <v>97</v>
      </c>
      <c r="F44" s="52" t="s">
        <v>169</v>
      </c>
      <c r="G44" s="40">
        <v>0</v>
      </c>
      <c r="H44" s="118">
        <f t="shared" si="0"/>
        <v>0</v>
      </c>
      <c r="I44" s="80"/>
    </row>
    <row r="45" spans="1:9">
      <c r="A45" s="47" t="s">
        <v>154</v>
      </c>
      <c r="B45" s="124">
        <v>0</v>
      </c>
      <c r="C45" s="33">
        <f t="shared" si="4"/>
        <v>0</v>
      </c>
      <c r="E45" s="56" t="s">
        <v>98</v>
      </c>
      <c r="F45" s="53" t="s">
        <v>170</v>
      </c>
      <c r="G45" s="42">
        <v>0</v>
      </c>
      <c r="H45" s="119">
        <f t="shared" si="0"/>
        <v>0</v>
      </c>
      <c r="I45" s="81"/>
    </row>
    <row r="46" spans="1:9">
      <c r="A46" s="47" t="s">
        <v>155</v>
      </c>
      <c r="B46" s="124">
        <v>0</v>
      </c>
      <c r="C46" s="33">
        <f t="shared" si="4"/>
        <v>0</v>
      </c>
    </row>
    <row r="47" spans="1:9">
      <c r="A47" s="49" t="s">
        <v>156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570</vt:i4>
      </vt:variant>
    </vt:vector>
  </HeadingPairs>
  <TitlesOfParts>
    <vt:vector size="5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Template</vt:lpstr>
      <vt:lpstr>依田幸憲!アガリ数</vt:lpstr>
      <vt:lpstr>高野源太!アガリ数</vt:lpstr>
      <vt:lpstr>佐藤成浩!アガリ数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保谷一貴!アガリ数</vt:lpstr>
      <vt:lpstr>アガリ数</vt:lpstr>
      <vt:lpstr>依田幸憲!アガリ率</vt:lpstr>
      <vt:lpstr>高野源太!アガリ率</vt:lpstr>
      <vt:lpstr>佐藤成浩!アガリ率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保谷一貴!アガリ率</vt:lpstr>
      <vt:lpstr>アガリ率</vt:lpstr>
      <vt:lpstr>依田幸憲!ダマアガリ数</vt:lpstr>
      <vt:lpstr>高野源太!ダマアガリ数</vt:lpstr>
      <vt:lpstr>佐藤成浩!ダマアガリ数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保谷一貴!ダマアガリ数</vt:lpstr>
      <vt:lpstr>ダマアガリ数</vt:lpstr>
      <vt:lpstr>依田幸憲!ダマアガリ率</vt:lpstr>
      <vt:lpstr>高野源太!ダマアガリ率</vt:lpstr>
      <vt:lpstr>佐藤成浩!ダマアガリ率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保谷一貴!ダマアガリ率</vt:lpstr>
      <vt:lpstr>ダマアガリ率</vt:lpstr>
      <vt:lpstr>依田幸憲!チョンボ数</vt:lpstr>
      <vt:lpstr>高野源太!チョンボ数</vt:lpstr>
      <vt:lpstr>佐藤成浩!チョンボ数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保谷一貴!チョンボ数</vt:lpstr>
      <vt:lpstr>チョンボ数</vt:lpstr>
      <vt:lpstr>依田幸憲!チョンボ率</vt:lpstr>
      <vt:lpstr>高野源太!チョンボ率</vt:lpstr>
      <vt:lpstr>佐藤成浩!チョンボ率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保谷一貴!チョンボ率</vt:lpstr>
      <vt:lpstr>チョンボ率</vt:lpstr>
      <vt:lpstr>依田幸憲!ツモ数</vt:lpstr>
      <vt:lpstr>高野源太!ツモ数</vt:lpstr>
      <vt:lpstr>佐藤成浩!ツモ数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保谷一貴!ツモ数</vt:lpstr>
      <vt:lpstr>ツモ数</vt:lpstr>
      <vt:lpstr>依田幸憲!ツモ率</vt:lpstr>
      <vt:lpstr>高野源太!ツモ率</vt:lpstr>
      <vt:lpstr>佐藤成浩!ツモ率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保谷一貴!ツモ率</vt:lpstr>
      <vt:lpstr>ツモ率</vt:lpstr>
      <vt:lpstr>依田幸憲!トップ数</vt:lpstr>
      <vt:lpstr>高野源太!トップ数</vt:lpstr>
      <vt:lpstr>佐藤成浩!トップ数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保谷一貴!トップ数</vt:lpstr>
      <vt:lpstr>トップ数</vt:lpstr>
      <vt:lpstr>依田幸憲!トップ率</vt:lpstr>
      <vt:lpstr>高野源太!トップ率</vt:lpstr>
      <vt:lpstr>佐藤成浩!トップ率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保谷一貴!トップ率</vt:lpstr>
      <vt:lpstr>トップ率</vt:lpstr>
      <vt:lpstr>依田幸憲!ふっとび数</vt:lpstr>
      <vt:lpstr>高野源太!ふっとび数</vt:lpstr>
      <vt:lpstr>佐藤成浩!ふっとび数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保谷一貴!ふっとび数</vt:lpstr>
      <vt:lpstr>ふっとび数</vt:lpstr>
      <vt:lpstr>依田幸憲!ふっとび率</vt:lpstr>
      <vt:lpstr>高野源太!ふっとび率</vt:lpstr>
      <vt:lpstr>佐藤成浩!ふっとび率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保谷一貴!ふっとび率</vt:lpstr>
      <vt:lpstr>ふっとび率</vt:lpstr>
      <vt:lpstr>依田幸憲!ラス数</vt:lpstr>
      <vt:lpstr>高野源太!ラス数</vt:lpstr>
      <vt:lpstr>佐藤成浩!ラス数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保谷一貴!ラス数</vt:lpstr>
      <vt:lpstr>ラス数</vt:lpstr>
      <vt:lpstr>依田幸憲!ラス率</vt:lpstr>
      <vt:lpstr>高野源太!ラス率</vt:lpstr>
      <vt:lpstr>佐藤成浩!ラス率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保谷一貴!ラス率</vt:lpstr>
      <vt:lpstr>ラス率</vt:lpstr>
      <vt:lpstr>依田幸憲!リーチアガリ数</vt:lpstr>
      <vt:lpstr>高野源太!リーチアガリ数</vt:lpstr>
      <vt:lpstr>佐藤成浩!リーチアガリ数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保谷一貴!リーチアガリ数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保谷一貴!リーチアガリ率</vt:lpstr>
      <vt:lpstr>リーチアガリ率</vt:lpstr>
      <vt:lpstr>依田幸憲!リーチ数</vt:lpstr>
      <vt:lpstr>高野源太!リーチ数</vt:lpstr>
      <vt:lpstr>佐藤成浩!リーチ数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保谷一貴!リーチ数</vt:lpstr>
      <vt:lpstr>リーチ数</vt:lpstr>
      <vt:lpstr>依田幸憲!リーチ成功数</vt:lpstr>
      <vt:lpstr>高野源太!リーチ成功数</vt:lpstr>
      <vt:lpstr>佐藤成浩!リーチ成功数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保谷一貴!リーチ成功数</vt:lpstr>
      <vt:lpstr>リーチ成功数</vt:lpstr>
      <vt:lpstr>依田幸憲!リーチ成功率</vt:lpstr>
      <vt:lpstr>高野源太!リーチ成功率</vt:lpstr>
      <vt:lpstr>佐藤成浩!リーチ成功率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保谷一貴!リーチ成功率</vt:lpstr>
      <vt:lpstr>リーチ成功率</vt:lpstr>
      <vt:lpstr>依田幸憲!リーチ率</vt:lpstr>
      <vt:lpstr>高野源太!リーチ率</vt:lpstr>
      <vt:lpstr>佐藤成浩!リーチ率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保谷一貴!リーチ率</vt:lpstr>
      <vt:lpstr>リーチ率</vt:lpstr>
      <vt:lpstr>依田幸憲!ロン数</vt:lpstr>
      <vt:lpstr>高野源太!ロン数</vt:lpstr>
      <vt:lpstr>佐藤成浩!ロン数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保谷一貴!ロン数</vt:lpstr>
      <vt:lpstr>ロン数</vt:lpstr>
      <vt:lpstr>依田幸憲!ロン率</vt:lpstr>
      <vt:lpstr>高野源太!ロン率</vt:lpstr>
      <vt:lpstr>佐藤成浩!ロン率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保谷一貴!ロン率</vt:lpstr>
      <vt:lpstr>ロン率</vt:lpstr>
      <vt:lpstr>依田幸憲!現行連続アガリ</vt:lpstr>
      <vt:lpstr>高野源太!現行連続アガリ</vt:lpstr>
      <vt:lpstr>佐藤成浩!現行連続アガリ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保谷一貴!現行連続アガリ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保谷一貴!現行連続無放銃</vt:lpstr>
      <vt:lpstr>現行連続無放銃</vt:lpstr>
      <vt:lpstr>依田幸憲!最高点</vt:lpstr>
      <vt:lpstr>高野源太!最高点</vt:lpstr>
      <vt:lpstr>佐藤成浩!最高点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保谷一貴!最高点</vt:lpstr>
      <vt:lpstr>最高点</vt:lpstr>
      <vt:lpstr>依田幸憲!最大ドラ数</vt:lpstr>
      <vt:lpstr>高野源太!最大ドラ数</vt:lpstr>
      <vt:lpstr>佐藤成浩!最大ドラ数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保谷一貴!最大ドラ数</vt:lpstr>
      <vt:lpstr>最大ドラ数</vt:lpstr>
      <vt:lpstr>依田幸憲!最大点数</vt:lpstr>
      <vt:lpstr>高野源太!最大点数</vt:lpstr>
      <vt:lpstr>佐藤成浩!最大点数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保谷一貴!最大点数</vt:lpstr>
      <vt:lpstr>最大点数</vt:lpstr>
      <vt:lpstr>依田幸憲!三位数</vt:lpstr>
      <vt:lpstr>高野源太!三位数</vt:lpstr>
      <vt:lpstr>佐藤成浩!三位数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保谷一貴!三位数</vt:lpstr>
      <vt:lpstr>三位数</vt:lpstr>
      <vt:lpstr>依田幸憲!三位率</vt:lpstr>
      <vt:lpstr>高野源太!三位率</vt:lpstr>
      <vt:lpstr>佐藤成浩!三位率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保谷一貴!三位率</vt:lpstr>
      <vt:lpstr>三位率</vt:lpstr>
      <vt:lpstr>依田幸憲!総局数</vt:lpstr>
      <vt:lpstr>高野源太!総局数</vt:lpstr>
      <vt:lpstr>佐藤成浩!総局数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保谷一貴!総局数</vt:lpstr>
      <vt:lpstr>総局数</vt:lpstr>
      <vt:lpstr>依田幸憲!対戦数</vt:lpstr>
      <vt:lpstr>高野源太!対戦数</vt:lpstr>
      <vt:lpstr>佐藤成浩!対戦数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保谷一貴!対戦数</vt:lpstr>
      <vt:lpstr>対戦数</vt:lpstr>
      <vt:lpstr>依田幸憲!通算アガリ点</vt:lpstr>
      <vt:lpstr>高野源太!通算アガリ点</vt:lpstr>
      <vt:lpstr>佐藤成浩!通算アガリ点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保谷一貴!通算アガリ点</vt:lpstr>
      <vt:lpstr>通算アガリ点</vt:lpstr>
      <vt:lpstr>依田幸憲!通算スコア</vt:lpstr>
      <vt:lpstr>高野源太!通算スコア</vt:lpstr>
      <vt:lpstr>佐藤成浩!通算スコア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保谷一貴!通算スコア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保谷一貴!通算副露アガリ点</vt:lpstr>
      <vt:lpstr>通算副露アガリ点</vt:lpstr>
      <vt:lpstr>依田幸憲!通算放銃点</vt:lpstr>
      <vt:lpstr>高野源太!通算放銃点</vt:lpstr>
      <vt:lpstr>佐藤成浩!通算放銃点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保谷一貴!通算放銃点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保谷一貴!通算門前アガリ点</vt:lpstr>
      <vt:lpstr>通算門前アガリ点</vt:lpstr>
      <vt:lpstr>依田幸憲!二位数</vt:lpstr>
      <vt:lpstr>高野源太!二位数</vt:lpstr>
      <vt:lpstr>佐藤成浩!二位数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保谷一貴!二位数</vt:lpstr>
      <vt:lpstr>二位数</vt:lpstr>
      <vt:lpstr>依田幸憲!二位率</vt:lpstr>
      <vt:lpstr>高野源太!二位率</vt:lpstr>
      <vt:lpstr>佐藤成浩!二位率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保谷一貴!二位率</vt:lpstr>
      <vt:lpstr>二位率</vt:lpstr>
      <vt:lpstr>依田幸憲!副露アガリ数</vt:lpstr>
      <vt:lpstr>高野源太!副露アガリ数</vt:lpstr>
      <vt:lpstr>佐藤成浩!副露アガリ数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保谷一貴!副露アガリ数</vt:lpstr>
      <vt:lpstr>副露アガリ数</vt:lpstr>
      <vt:lpstr>依田幸憲!副露アガリ点</vt:lpstr>
      <vt:lpstr>高野源太!副露アガリ点</vt:lpstr>
      <vt:lpstr>佐藤成浩!副露アガリ点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保谷一貴!副露アガリ点</vt:lpstr>
      <vt:lpstr>副露アガリ点</vt:lpstr>
      <vt:lpstr>依田幸憲!副露アガリ率</vt:lpstr>
      <vt:lpstr>高野源太!副露アガリ率</vt:lpstr>
      <vt:lpstr>佐藤成浩!副露アガリ率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保谷一貴!副露アガリ率</vt:lpstr>
      <vt:lpstr>副露アガリ率</vt:lpstr>
      <vt:lpstr>依田幸憲!副露数</vt:lpstr>
      <vt:lpstr>高野源太!副露数</vt:lpstr>
      <vt:lpstr>佐藤成浩!副露数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保谷一貴!副露数</vt:lpstr>
      <vt:lpstr>副露数</vt:lpstr>
      <vt:lpstr>依田幸憲!副露成功数</vt:lpstr>
      <vt:lpstr>高野源太!副露成功数</vt:lpstr>
      <vt:lpstr>佐藤成浩!副露成功数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保谷一貴!副露成功数</vt:lpstr>
      <vt:lpstr>副露成功数</vt:lpstr>
      <vt:lpstr>依田幸憲!副露成功率</vt:lpstr>
      <vt:lpstr>高野源太!副露成功率</vt:lpstr>
      <vt:lpstr>佐藤成浩!副露成功率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保谷一貴!副露成功率</vt:lpstr>
      <vt:lpstr>副露成功率</vt:lpstr>
      <vt:lpstr>依田幸憲!副露率</vt:lpstr>
      <vt:lpstr>高野源太!副露率</vt:lpstr>
      <vt:lpstr>佐藤成浩!副露率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保谷一貴!副露率</vt:lpstr>
      <vt:lpstr>副露率</vt:lpstr>
      <vt:lpstr>依田幸憲!平均アガリ点</vt:lpstr>
      <vt:lpstr>高野源太!平均アガリ点</vt:lpstr>
      <vt:lpstr>佐藤成浩!平均アガリ点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保谷一貴!平均アガリ点</vt:lpstr>
      <vt:lpstr>平均アガリ点</vt:lpstr>
      <vt:lpstr>依田幸憲!平均スコア</vt:lpstr>
      <vt:lpstr>高野源太!平均スコア</vt:lpstr>
      <vt:lpstr>佐藤成浩!平均スコア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保谷一貴!平均スコア</vt:lpstr>
      <vt:lpstr>平均スコア</vt:lpstr>
      <vt:lpstr>依田幸憲!平均順位</vt:lpstr>
      <vt:lpstr>高野源太!平均順位</vt:lpstr>
      <vt:lpstr>佐藤成浩!平均順位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保谷一貴!平均順位</vt:lpstr>
      <vt:lpstr>平均順位</vt:lpstr>
      <vt:lpstr>依田幸憲!平均放銃点</vt:lpstr>
      <vt:lpstr>高野源太!平均放銃点</vt:lpstr>
      <vt:lpstr>佐藤成浩!平均放銃点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保谷一貴!平均放銃点</vt:lpstr>
      <vt:lpstr>平均放銃点</vt:lpstr>
      <vt:lpstr>依田幸憲!放銃数</vt:lpstr>
      <vt:lpstr>高野源太!放銃数</vt:lpstr>
      <vt:lpstr>佐藤成浩!放銃数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保谷一貴!放銃数</vt:lpstr>
      <vt:lpstr>放銃数</vt:lpstr>
      <vt:lpstr>依田幸憲!放銃率</vt:lpstr>
      <vt:lpstr>高野源太!放銃率</vt:lpstr>
      <vt:lpstr>佐藤成浩!放銃率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保谷一貴!放銃率</vt:lpstr>
      <vt:lpstr>放銃率</vt:lpstr>
      <vt:lpstr>依田幸憲!名前</vt:lpstr>
      <vt:lpstr>高野源太!名前</vt:lpstr>
      <vt:lpstr>佐藤成浩!名前</vt:lpstr>
      <vt:lpstr>松澤亮太!名前</vt:lpstr>
      <vt:lpstr>全体!名前</vt:lpstr>
      <vt:lpstr>大池陸斗!名前</vt:lpstr>
      <vt:lpstr>滝沢悠人!名前</vt:lpstr>
      <vt:lpstr>百瀬成空!名前</vt:lpstr>
      <vt:lpstr>保谷一貴!名前</vt:lpstr>
      <vt:lpstr>名前</vt:lpstr>
      <vt:lpstr>依田幸憲!門前アガリ点</vt:lpstr>
      <vt:lpstr>高野源太!門前アガリ点</vt:lpstr>
      <vt:lpstr>佐藤成浩!門前アガリ点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保谷一貴!門前アガリ点</vt:lpstr>
      <vt:lpstr>門前アガリ点</vt:lpstr>
      <vt:lpstr>依田幸憲!連続アガリ</vt:lpstr>
      <vt:lpstr>高野源太!連続アガリ</vt:lpstr>
      <vt:lpstr>佐藤成浩!連続アガリ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保谷一貴!連続アガリ</vt:lpstr>
      <vt:lpstr>連続アガリ</vt:lpstr>
      <vt:lpstr>依田幸憲!連続無放銃</vt:lpstr>
      <vt:lpstr>高野源太!連続無放銃</vt:lpstr>
      <vt:lpstr>佐藤成浩!連続無放銃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保谷一貴!連続無放銃</vt:lpstr>
      <vt:lpstr>連続無放銃</vt:lpstr>
      <vt:lpstr>依田幸憲!連対数</vt:lpstr>
      <vt:lpstr>高野源太!連対数</vt:lpstr>
      <vt:lpstr>佐藤成浩!連対数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保谷一貴!連対数</vt:lpstr>
      <vt:lpstr>連対数</vt:lpstr>
      <vt:lpstr>依田幸憲!連対率</vt:lpstr>
      <vt:lpstr>高野源太!連対率</vt:lpstr>
      <vt:lpstr>佐藤成浩!連対率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保谷一貴!連対率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2019-11-23T14:37:54Z</dcterms:modified>
</cp:coreProperties>
</file>