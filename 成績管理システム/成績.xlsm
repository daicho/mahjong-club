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DB1284B-BAA6-4362-BEA0-B4964E1BDEEB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Template (3)" sheetId="6297" state="hidden" r:id="rId45"/>
    <sheet name="Template" sheetId="2228" state="hidden" r:id="rId46"/>
  </sheets>
  <definedNames>
    <definedName name="アガリ数" localSheetId="44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4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4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4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4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4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4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4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4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4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4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4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4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4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4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4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4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4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4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4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4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4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4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4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4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4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4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4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4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4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4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4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4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4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4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4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4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4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4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4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4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4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4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4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4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4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4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4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4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4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4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4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4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4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4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4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4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4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4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4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4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4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01" l="1"/>
  <c r="O18" i="6313"/>
  <c r="O19" i="6313" l="1"/>
  <c r="O21" i="6313"/>
  <c r="O2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1" i="6309"/>
  <c r="O22" i="6309"/>
  <c r="O47" i="6272"/>
  <c r="H2" i="6313" l="1"/>
  <c r="H11" i="6313"/>
  <c r="C35" i="6313"/>
  <c r="C20" i="6313"/>
  <c r="H10" i="6313"/>
  <c r="H40" i="6313"/>
  <c r="H14" i="6313"/>
  <c r="H16" i="6313"/>
  <c r="C21" i="6313"/>
  <c r="H27" i="6313"/>
  <c r="C36" i="6313"/>
  <c r="C41" i="6313"/>
  <c r="H21" i="6313"/>
  <c r="H28" i="6313"/>
  <c r="H36" i="6313"/>
  <c r="C42" i="6313"/>
  <c r="H30" i="6313"/>
  <c r="H8" i="6313"/>
  <c r="H12" i="6313"/>
  <c r="C37" i="6313"/>
  <c r="H7" i="6313"/>
  <c r="H17" i="6313"/>
  <c r="C23" i="6313"/>
  <c r="H31" i="6313"/>
  <c r="C38" i="6313"/>
  <c r="C43" i="6313"/>
  <c r="H3" i="6313"/>
  <c r="C22" i="6313"/>
  <c r="C45" i="6313"/>
  <c r="C17" i="6313"/>
  <c r="H6" i="6313"/>
  <c r="H5" i="6313"/>
  <c r="H42" i="6313"/>
  <c r="H9" i="6313"/>
  <c r="H15" i="6313"/>
  <c r="H23" i="6313"/>
  <c r="H38" i="6313"/>
  <c r="H13" i="6313"/>
  <c r="C19" i="6313"/>
  <c r="B24" i="6313"/>
  <c r="H33" i="6313"/>
  <c r="C39" i="6313"/>
  <c r="C46" i="6313"/>
  <c r="H4" i="6313"/>
  <c r="H19" i="6313"/>
  <c r="H25" i="6313"/>
  <c r="H34" i="6313"/>
  <c r="C40" i="6313"/>
  <c r="C47" i="6313"/>
  <c r="B25" i="6313"/>
  <c r="H18" i="6313"/>
  <c r="H22" i="6313"/>
  <c r="H26" i="6313"/>
  <c r="H32" i="6313"/>
  <c r="H37" i="6313"/>
  <c r="H41" i="6313"/>
  <c r="H20" i="6313"/>
  <c r="H24" i="6313"/>
  <c r="H29" i="6313"/>
  <c r="H35" i="6313"/>
  <c r="H39" i="6313"/>
  <c r="O20" i="6287" l="1"/>
  <c r="O18" i="6287"/>
  <c r="O23" i="6287"/>
  <c r="O19" i="6306"/>
  <c r="O26" i="6306"/>
  <c r="O27" i="6306"/>
  <c r="O23" i="6308"/>
  <c r="O21" i="6308"/>
  <c r="O25" i="6309"/>
  <c r="O18" i="6309"/>
  <c r="O23" i="6293" l="1"/>
  <c r="O27" i="6293"/>
  <c r="O18" i="6293"/>
  <c r="O23" i="6307"/>
  <c r="O19" i="6307"/>
  <c r="O20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1" i="6272"/>
  <c r="O18" i="6311"/>
  <c r="O19" i="6311"/>
  <c r="O20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5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9" i="6301"/>
  <c r="O27" i="6301"/>
  <c r="O19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20" i="6309"/>
  <c r="O23" i="6309"/>
  <c r="O2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6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24" i="6307"/>
  <c r="O22" i="6307"/>
  <c r="O21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4" i="6272"/>
  <c r="O27" i="6272"/>
  <c r="H18" i="6309" l="1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3" i="6309"/>
  <c r="C19" i="6309"/>
  <c r="H7" i="6309"/>
  <c r="H12" i="6309"/>
  <c r="H21" i="6309"/>
  <c r="H35" i="6309"/>
  <c r="H33" i="6309"/>
  <c r="C20" i="6309"/>
  <c r="C39" i="6309"/>
  <c r="H16" i="6309"/>
  <c r="H3" i="6309"/>
  <c r="B24" i="6309"/>
  <c r="H41" i="6309"/>
  <c r="C41" i="6309"/>
  <c r="H23" i="6309"/>
  <c r="H28" i="6309"/>
  <c r="C35" i="6309"/>
  <c r="H42" i="6309"/>
  <c r="H10" i="6309"/>
  <c r="C17" i="6309"/>
  <c r="H11" i="6309"/>
  <c r="H19" i="6309"/>
  <c r="H24" i="6309"/>
  <c r="H29" i="6309"/>
  <c r="C37" i="6309"/>
  <c r="C43" i="6309"/>
  <c r="H14" i="6309"/>
  <c r="C22" i="6309"/>
  <c r="H8" i="6309"/>
  <c r="H17" i="6309"/>
  <c r="C23" i="6309"/>
  <c r="H9" i="6309"/>
  <c r="H38" i="6309"/>
  <c r="C46" i="6309"/>
  <c r="H5" i="6309"/>
  <c r="H37" i="6309"/>
  <c r="H2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6" i="6301" l="1"/>
  <c r="O21" i="6301"/>
  <c r="O25" i="6303"/>
  <c r="O24" i="6303"/>
  <c r="O21" i="6298"/>
  <c r="O20" i="6298"/>
  <c r="O18" i="6298"/>
  <c r="O32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3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4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2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30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0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31" i="6287"/>
  <c r="O34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8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28" i="6301"/>
  <c r="O18" i="6301"/>
  <c r="C32" i="6301"/>
  <c r="B27" i="6301"/>
  <c r="C18" i="6301"/>
  <c r="B17" i="6301"/>
  <c r="C17" i="6301" s="1"/>
  <c r="H11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3" i="6272"/>
  <c r="B26" i="6301" l="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6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5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7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3" i="6272"/>
  <c r="O3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<sst xmlns="http://schemas.openxmlformats.org/spreadsheetml/2006/main" count="8251" uniqueCount="274">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</sst>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全体!$K$2:$K$335</c:f>
              <c:numCache>
                <c:formatCode>General</c:formatCode>
                <c:ptCount val="3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</c:numCache>
            </c:numRef>
          </c:xVal>
          <c:yVal>
            <c:numRef>
              <c:f>全体!$L$2:$L$335</c:f>
              <c:numCache>
                <c:formatCode>\+0.0;\-0.0;\±0</c:formatCode>
                <c:ptCount val="3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-75.075075075075077</c:v>
                </c:pt>
                <c:pt idx="1">
                  <c:v>0</c:v>
                </c:pt>
                <c:pt idx="2">
                  <c:v>-20.923076923076923</c:v>
                </c:pt>
                <c:pt idx="3">
                  <c:v>-69.767441860465112</c:v>
                </c:pt>
                <c:pt idx="4">
                  <c:v>-27.777777777777779</c:v>
                </c:pt>
                <c:pt idx="5">
                  <c:v>-57.142857142857146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56</c:v>
                </c:pt>
                <c:pt idx="1">
                  <c:v>97</c:v>
                </c:pt>
                <c:pt idx="2">
                  <c:v>120</c:v>
                </c:pt>
                <c:pt idx="3">
                  <c:v>108</c:v>
                </c:pt>
                <c:pt idx="4">
                  <c:v>50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中村花菜!$L$2:$L$12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-2900</c:v>
                </c:pt>
                <c:pt idx="1">
                  <c:v>-3110</c:v>
                </c:pt>
                <c:pt idx="2">
                  <c:v>-4020</c:v>
                </c:pt>
                <c:pt idx="3">
                  <c:v>-1430</c:v>
                </c:pt>
                <c:pt idx="4">
                  <c:v>-887.5</c:v>
                </c:pt>
                <c:pt idx="5">
                  <c:v>2625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湯本咲蔵!$L$2:$L$5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0</c:v>
                </c:pt>
                <c:pt idx="2">
                  <c:v>3700</c:v>
                </c:pt>
                <c:pt idx="3">
                  <c:v>-2133.3333333333335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山本悠介!$L$2:$L$7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-1040</c:v>
                </c:pt>
                <c:pt idx="1">
                  <c:v>-200</c:v>
                </c:pt>
                <c:pt idx="2">
                  <c:v>140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渡部陵瑛!$L$2:$L$3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-16000</c:v>
                </c:pt>
                <c:pt idx="3">
                  <c:v>8000</c:v>
                </c:pt>
                <c:pt idx="4">
                  <c:v>-500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清水常緑!$L$2:$L$4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-1650</c:v>
                </c:pt>
                <c:pt idx="1">
                  <c:v>650</c:v>
                </c:pt>
                <c:pt idx="2">
                  <c:v>4150</c:v>
                </c:pt>
                <c:pt idx="3">
                  <c:v>-150</c:v>
                </c:pt>
                <c:pt idx="4">
                  <c:v>0</c:v>
                </c:pt>
                <c:pt idx="5">
                  <c:v>-750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20DF6F-44D1-4350-A615-73121118B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EB58BB-08BB-4943-BEF7-19CF932CC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7F7ED4-B171-4F97-BEA8-B8A0C6E65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3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</v>
      </c>
    </row>
    <row r="38" spans="1:2">
      <c r="A38" t="s">
        <v>264</v>
      </c>
      <c r="B38">
        <v>1</v>
      </c>
    </row>
    <row r="39" spans="1:2">
      <c r="A39" t="s">
        <v>269</v>
      </c>
      <c r="B39">
        <v>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3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0.7539062157988965</v>
      </c>
      <c r="C2" s="111"/>
      <c r="D2" s="112"/>
      <c r="E2" s="113"/>
      <c r="F2" s="112"/>
      <c r="G2" s="113"/>
      <c r="H2" s="110">
        <v>0.81307323936970688</v>
      </c>
      <c r="I2" s="111"/>
      <c r="J2" s="110">
        <v>0.68920043486851634</v>
      </c>
      <c r="K2" s="111"/>
      <c r="L2" s="110">
        <v>0.57301480457752496</v>
      </c>
      <c r="M2" s="111"/>
      <c r="N2" s="110">
        <v>0.70332569119881116</v>
      </c>
      <c r="O2" s="111"/>
      <c r="P2" s="110">
        <v>0.6395178110121037</v>
      </c>
      <c r="Q2" s="111"/>
      <c r="R2" s="110">
        <v>0.52015091304457062</v>
      </c>
      <c r="S2" s="111"/>
      <c r="T2" s="110">
        <v>0.23631946273295268</v>
      </c>
      <c r="U2" s="111"/>
      <c r="V2" s="110">
        <v>0.44487154722634736</v>
      </c>
      <c r="W2" s="111"/>
      <c r="X2" s="110">
        <v>0.1851642912768498</v>
      </c>
      <c r="Y2" s="111"/>
      <c r="Z2" s="110">
        <v>0.2346898764977553</v>
      </c>
      <c r="AA2" s="111"/>
      <c r="AB2" s="110">
        <v>0.24402212925433403</v>
      </c>
      <c r="AC2" s="111"/>
      <c r="AD2" s="110">
        <v>0.44876391898819751</v>
      </c>
      <c r="AE2" s="111"/>
      <c r="AF2" s="110">
        <v>-0.37475645874785163</v>
      </c>
      <c r="AG2" s="111"/>
      <c r="AH2" s="110">
        <v>0.67382777938178529</v>
      </c>
      <c r="AI2" s="111"/>
    </row>
    <row r="3" spans="1:35">
      <c r="A3" s="36">
        <v>1</v>
      </c>
      <c r="B3" s="37" t="s">
        <v>114</v>
      </c>
      <c r="C3" s="106">
        <v>83.25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265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268</v>
      </c>
      <c r="G5" s="59">
        <v>52.1</v>
      </c>
      <c r="H5" s="47" t="s">
        <v>268</v>
      </c>
      <c r="I5" s="48">
        <v>1</v>
      </c>
      <c r="J5" s="47" t="s">
        <v>268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167</v>
      </c>
      <c r="U5" s="51">
        <v>8600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269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205</v>
      </c>
      <c r="I6" s="48">
        <v>1.75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263</v>
      </c>
      <c r="S6" s="50">
        <v>5.128205128205128E-2</v>
      </c>
      <c r="T6" s="47" t="s">
        <v>268</v>
      </c>
      <c r="U6" s="51">
        <v>8550</v>
      </c>
      <c r="V6" s="47" t="s">
        <v>272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268</v>
      </c>
      <c r="AC6" s="50">
        <v>1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272</v>
      </c>
      <c r="O7" s="49">
        <v>1</v>
      </c>
      <c r="P7" s="47" t="s">
        <v>167</v>
      </c>
      <c r="Q7" s="50">
        <v>0.2857142857142857</v>
      </c>
      <c r="R7" s="47" t="s">
        <v>265</v>
      </c>
      <c r="S7" s="50">
        <v>5.2631578947368418E-2</v>
      </c>
      <c r="T7" s="47" t="s">
        <v>216</v>
      </c>
      <c r="U7" s="51">
        <v>8496.2962962962956</v>
      </c>
      <c r="V7" s="47" t="s">
        <v>263</v>
      </c>
      <c r="W7" s="51">
        <v>-1150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205</v>
      </c>
      <c r="AC7" s="50">
        <v>0.8571428571428571</v>
      </c>
      <c r="AD7" s="47" t="s">
        <v>241</v>
      </c>
      <c r="AE7" s="50">
        <v>0.53846153846153844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255</v>
      </c>
      <c r="Q8" s="50">
        <v>0.27500000000000002</v>
      </c>
      <c r="R8" s="47" t="s">
        <v>272</v>
      </c>
      <c r="S8" s="50">
        <v>6.25E-2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175</v>
      </c>
      <c r="Y8" s="50">
        <v>0.26666666666666666</v>
      </c>
      <c r="Z8" s="47" t="s">
        <v>195</v>
      </c>
      <c r="AA8" s="50">
        <v>0.29657794676806082</v>
      </c>
      <c r="AB8" s="47" t="s">
        <v>162</v>
      </c>
      <c r="AC8" s="50">
        <v>0.75</v>
      </c>
      <c r="AD8" s="47" t="s">
        <v>196</v>
      </c>
      <c r="AE8" s="50">
        <v>0.5</v>
      </c>
      <c r="AF8" s="47" t="s">
        <v>235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231</v>
      </c>
      <c r="E9" s="46">
        <v>112.5</v>
      </c>
      <c r="F9" s="47" t="s">
        <v>169</v>
      </c>
      <c r="G9" s="59">
        <v>15.856410256410255</v>
      </c>
      <c r="H9" s="47" t="s">
        <v>255</v>
      </c>
      <c r="I9" s="48">
        <v>2</v>
      </c>
      <c r="J9" s="47" t="s">
        <v>255</v>
      </c>
      <c r="K9" s="49">
        <v>0.5</v>
      </c>
      <c r="L9" s="47" t="s">
        <v>263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0.27376425855513309</v>
      </c>
      <c r="R9" s="47" t="s">
        <v>231</v>
      </c>
      <c r="S9" s="50">
        <v>7.6923076923076927E-2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166</v>
      </c>
      <c r="AC9" s="50">
        <v>0.75</v>
      </c>
      <c r="AD9" s="47" t="s">
        <v>263</v>
      </c>
      <c r="AE9" s="50">
        <v>0.5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191</v>
      </c>
      <c r="E10" s="46">
        <v>79.299999999999983</v>
      </c>
      <c r="F10" s="47" t="s">
        <v>167</v>
      </c>
      <c r="G10" s="59">
        <v>14</v>
      </c>
      <c r="H10" s="47" t="s">
        <v>272</v>
      </c>
      <c r="I10" s="48">
        <v>2</v>
      </c>
      <c r="J10" s="47" t="s">
        <v>168</v>
      </c>
      <c r="K10" s="49">
        <v>0.3888888888888889</v>
      </c>
      <c r="L10" s="47" t="s">
        <v>264</v>
      </c>
      <c r="M10" s="49">
        <v>0</v>
      </c>
      <c r="N10" s="47" t="s">
        <v>162</v>
      </c>
      <c r="O10" s="49">
        <v>0.66666666666666663</v>
      </c>
      <c r="P10" s="47" t="s">
        <v>162</v>
      </c>
      <c r="Q10" s="50">
        <v>0.26923076923076922</v>
      </c>
      <c r="R10" s="47" t="s">
        <v>169</v>
      </c>
      <c r="S10" s="50">
        <v>8.191126279863481E-2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0.25675675675675674</v>
      </c>
      <c r="AB10" s="47" t="s">
        <v>175</v>
      </c>
      <c r="AC10" s="50">
        <v>0.75</v>
      </c>
      <c r="AD10" s="47" t="s">
        <v>272</v>
      </c>
      <c r="AE10" s="50">
        <v>0.5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265</v>
      </c>
      <c r="G11" s="59">
        <v>9.1333333333333346</v>
      </c>
      <c r="H11" s="47" t="s">
        <v>169</v>
      </c>
      <c r="I11" s="48">
        <v>2.1282051282051282</v>
      </c>
      <c r="J11" s="47" t="s">
        <v>163</v>
      </c>
      <c r="K11" s="49">
        <v>0.375</v>
      </c>
      <c r="L11" s="47" t="s">
        <v>268</v>
      </c>
      <c r="M11" s="49">
        <v>0</v>
      </c>
      <c r="N11" s="47" t="s">
        <v>241</v>
      </c>
      <c r="O11" s="49">
        <v>0.66666666666666663</v>
      </c>
      <c r="P11" s="47" t="s">
        <v>265</v>
      </c>
      <c r="Q11" s="50">
        <v>0.26315789473684209</v>
      </c>
      <c r="R11" s="47" t="s">
        <v>164</v>
      </c>
      <c r="S11" s="50">
        <v>9.0909090909090912E-2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195</v>
      </c>
      <c r="Y11" s="50">
        <v>0.2509505703422053</v>
      </c>
      <c r="Z11" s="47" t="s">
        <v>263</v>
      </c>
      <c r="AA11" s="50">
        <v>0.25641025641025639</v>
      </c>
      <c r="AB11" s="47" t="s">
        <v>177</v>
      </c>
      <c r="AC11" s="50">
        <v>0.75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268</v>
      </c>
      <c r="E12" s="46">
        <v>52.1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244</v>
      </c>
      <c r="K12" s="49">
        <v>0.375</v>
      </c>
      <c r="L12" s="47" t="s">
        <v>272</v>
      </c>
      <c r="M12" s="49">
        <v>0</v>
      </c>
      <c r="N12" s="47" t="s">
        <v>255</v>
      </c>
      <c r="O12" s="49">
        <v>0.66666666666666663</v>
      </c>
      <c r="P12" s="47" t="s">
        <v>179</v>
      </c>
      <c r="Q12" s="50">
        <v>0.24427480916030533</v>
      </c>
      <c r="R12" s="47" t="s">
        <v>255</v>
      </c>
      <c r="S12" s="50">
        <v>0.1</v>
      </c>
      <c r="T12" s="47" t="s">
        <v>231</v>
      </c>
      <c r="U12" s="51">
        <v>7975</v>
      </c>
      <c r="V12" s="47" t="s">
        <v>258</v>
      </c>
      <c r="W12" s="51">
        <v>-4022.2222222222222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168</v>
      </c>
      <c r="AC12" s="50">
        <v>0.7142857142857143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265</v>
      </c>
      <c r="E13" s="46">
        <v>27.400000000000002</v>
      </c>
      <c r="F13" s="47" t="s">
        <v>272</v>
      </c>
      <c r="G13" s="59">
        <v>7.9</v>
      </c>
      <c r="H13" s="47" t="s">
        <v>263</v>
      </c>
      <c r="I13" s="48">
        <v>2.2000000000000002</v>
      </c>
      <c r="J13" s="47" t="s">
        <v>169</v>
      </c>
      <c r="K13" s="49">
        <v>0.35897435897435898</v>
      </c>
      <c r="L13" s="47" t="s">
        <v>191</v>
      </c>
      <c r="M13" s="49">
        <v>7.1428571428571425E-2</v>
      </c>
      <c r="N13" s="47" t="s">
        <v>265</v>
      </c>
      <c r="O13" s="49">
        <v>0.66666666666666663</v>
      </c>
      <c r="P13" s="47" t="s">
        <v>241</v>
      </c>
      <c r="Q13" s="50">
        <v>0.23809523809523808</v>
      </c>
      <c r="R13" s="47" t="s">
        <v>177</v>
      </c>
      <c r="S13" s="50">
        <v>0.10526315789473684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272</v>
      </c>
      <c r="AC13" s="50">
        <v>0.66666666666666663</v>
      </c>
      <c r="AD13" s="47" t="s">
        <v>195</v>
      </c>
      <c r="AE13" s="50">
        <v>0.38461538461538464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263</v>
      </c>
      <c r="E14" s="46">
        <v>26.900000000000002</v>
      </c>
      <c r="F14" s="47" t="s">
        <v>195</v>
      </c>
      <c r="G14" s="59">
        <v>6.4270270270270267</v>
      </c>
      <c r="H14" s="47" t="s">
        <v>168</v>
      </c>
      <c r="I14" s="48">
        <v>2.3333333333333335</v>
      </c>
      <c r="J14" s="47" t="s">
        <v>265</v>
      </c>
      <c r="K14" s="49">
        <v>0.33333333333333331</v>
      </c>
      <c r="L14" s="47" t="s">
        <v>169</v>
      </c>
      <c r="M14" s="49">
        <v>0.12820512820512819</v>
      </c>
      <c r="N14" s="47" t="s">
        <v>169</v>
      </c>
      <c r="O14" s="49">
        <v>0.64102564102564108</v>
      </c>
      <c r="P14" s="47" t="s">
        <v>263</v>
      </c>
      <c r="Q14" s="50">
        <v>0.23076923076923078</v>
      </c>
      <c r="R14" s="47" t="s">
        <v>179</v>
      </c>
      <c r="S14" s="50">
        <v>0.10687022900763359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255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0.63461538461538458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164</v>
      </c>
      <c r="E15" s="46">
        <v>22.499999999999993</v>
      </c>
      <c r="F15" s="47" t="s">
        <v>191</v>
      </c>
      <c r="G15" s="59">
        <v>5.6642857142857128</v>
      </c>
      <c r="H15" s="47" t="s">
        <v>265</v>
      </c>
      <c r="I15" s="48">
        <v>2.3333333333333335</v>
      </c>
      <c r="J15" s="47" t="s">
        <v>161</v>
      </c>
      <c r="K15" s="49">
        <v>0.3</v>
      </c>
      <c r="L15" s="47" t="s">
        <v>195</v>
      </c>
      <c r="M15" s="49">
        <v>0.13513513513513514</v>
      </c>
      <c r="N15" s="47" t="s">
        <v>164</v>
      </c>
      <c r="O15" s="49">
        <v>0.6</v>
      </c>
      <c r="P15" s="47" t="s">
        <v>227</v>
      </c>
      <c r="Q15" s="50">
        <v>0.22580645161290322</v>
      </c>
      <c r="R15" s="47" t="s">
        <v>205</v>
      </c>
      <c r="S15" s="50">
        <v>0.10714285714285714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213</v>
      </c>
      <c r="Y15" s="50">
        <v>0.22222222222222221</v>
      </c>
      <c r="Z15" s="47" t="s">
        <v>191</v>
      </c>
      <c r="AA15" s="50">
        <v>0.24347826086956523</v>
      </c>
      <c r="AB15" s="47" t="s">
        <v>228</v>
      </c>
      <c r="AC15" s="50">
        <v>0.61904761904761907</v>
      </c>
      <c r="AD15" s="47" t="s">
        <v>255</v>
      </c>
      <c r="AE15" s="50">
        <v>0.375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235</v>
      </c>
      <c r="C16" s="107">
        <v>10</v>
      </c>
      <c r="D16" s="45" t="s">
        <v>163</v>
      </c>
      <c r="E16" s="46">
        <v>20.300000000000004</v>
      </c>
      <c r="F16" s="47" t="s">
        <v>263</v>
      </c>
      <c r="G16" s="59">
        <v>5.3800000000000008</v>
      </c>
      <c r="H16" s="47" t="s">
        <v>195</v>
      </c>
      <c r="I16" s="48">
        <v>2.3513513513513513</v>
      </c>
      <c r="J16" s="47" t="s">
        <v>195</v>
      </c>
      <c r="K16" s="49">
        <v>0.29729729729729731</v>
      </c>
      <c r="L16" s="47" t="s">
        <v>238</v>
      </c>
      <c r="M16" s="49">
        <v>0.16666666666666666</v>
      </c>
      <c r="N16" s="47" t="s">
        <v>263</v>
      </c>
      <c r="O16" s="49">
        <v>0.6</v>
      </c>
      <c r="P16" s="47" t="s">
        <v>169</v>
      </c>
      <c r="Q16" s="50">
        <v>0.22525597269624573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177</v>
      </c>
      <c r="Y16" s="50">
        <v>0.21052631578947367</v>
      </c>
      <c r="Z16" s="47" t="s">
        <v>161</v>
      </c>
      <c r="AA16" s="50">
        <v>0.23376623376623376</v>
      </c>
      <c r="AB16" s="47" t="s">
        <v>255</v>
      </c>
      <c r="AC16" s="50">
        <v>0.6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162</v>
      </c>
      <c r="C17" s="107">
        <v>9</v>
      </c>
      <c r="D17" s="45" t="s">
        <v>272</v>
      </c>
      <c r="E17" s="46">
        <v>15.8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216</v>
      </c>
      <c r="K17" s="49">
        <v>0.25925925925925924</v>
      </c>
      <c r="L17" s="47" t="s">
        <v>241</v>
      </c>
      <c r="M17" s="49">
        <v>0.16666666666666666</v>
      </c>
      <c r="N17" s="47" t="s">
        <v>227</v>
      </c>
      <c r="O17" s="49">
        <v>0.5714285714285714</v>
      </c>
      <c r="P17" s="47" t="s">
        <v>163</v>
      </c>
      <c r="Q17" s="50">
        <v>0.21739130434782608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203</v>
      </c>
      <c r="Y17" s="50">
        <v>0.20930232558139536</v>
      </c>
      <c r="Z17" s="47" t="s">
        <v>244</v>
      </c>
      <c r="AA17" s="50">
        <v>0.21818181818181817</v>
      </c>
      <c r="AB17" s="47" t="s">
        <v>263</v>
      </c>
      <c r="AC17" s="50">
        <v>0.5714285714285714</v>
      </c>
      <c r="AD17" s="47" t="s">
        <v>191</v>
      </c>
      <c r="AE17" s="50">
        <v>0.35714285714285715</v>
      </c>
      <c r="AF17" s="47" t="s">
        <v>241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114</v>
      </c>
      <c r="K18" s="49">
        <v>0.25525525525525528</v>
      </c>
      <c r="L18" s="47" t="s">
        <v>255</v>
      </c>
      <c r="M18" s="49">
        <v>0.16666666666666666</v>
      </c>
      <c r="N18" s="47" t="s">
        <v>168</v>
      </c>
      <c r="O18" s="49">
        <v>0.55555555555555558</v>
      </c>
      <c r="P18" s="47" t="s">
        <v>177</v>
      </c>
      <c r="Q18" s="50">
        <v>0.21052631578947367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163</v>
      </c>
      <c r="Y18" s="50">
        <v>0.20289855072463769</v>
      </c>
      <c r="Z18" s="47" t="s">
        <v>205</v>
      </c>
      <c r="AA18" s="50">
        <v>0.21428571428571427</v>
      </c>
      <c r="AB18" s="47" t="s">
        <v>195</v>
      </c>
      <c r="AC18" s="50">
        <v>0.54545454545454541</v>
      </c>
      <c r="AD18" s="47" t="s">
        <v>114</v>
      </c>
      <c r="AE18" s="50">
        <v>0.34942084942084944</v>
      </c>
      <c r="AF18" s="47" t="s">
        <v>244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244</v>
      </c>
      <c r="E19" s="46">
        <v>10.600000000000001</v>
      </c>
      <c r="F19" s="47" t="s">
        <v>164</v>
      </c>
      <c r="G19" s="59">
        <v>1.4999999999999996</v>
      </c>
      <c r="H19" s="47" t="s">
        <v>114</v>
      </c>
      <c r="I19" s="48">
        <v>2.4894894894894897</v>
      </c>
      <c r="J19" s="47" t="s">
        <v>179</v>
      </c>
      <c r="K19" s="49">
        <v>0.25</v>
      </c>
      <c r="L19" s="47" t="s">
        <v>179</v>
      </c>
      <c r="M19" s="49">
        <v>0.1875</v>
      </c>
      <c r="N19" s="47" t="s">
        <v>114</v>
      </c>
      <c r="O19" s="49">
        <v>0.50150150150150152</v>
      </c>
      <c r="P19" s="47" t="s">
        <v>114</v>
      </c>
      <c r="Q19" s="50">
        <v>0.20865659452837892</v>
      </c>
      <c r="R19" s="47" t="s">
        <v>195</v>
      </c>
      <c r="S19" s="50">
        <v>0.12167300380228137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269</v>
      </c>
      <c r="Y19" s="50">
        <v>0.2</v>
      </c>
      <c r="Z19" s="47" t="s">
        <v>114</v>
      </c>
      <c r="AA19" s="50">
        <v>0.21151490404246631</v>
      </c>
      <c r="AB19" s="47" t="s">
        <v>238</v>
      </c>
      <c r="AC19" s="50">
        <v>0.54545454545454541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177</v>
      </c>
      <c r="E20" s="46">
        <v>3.8999999999999986</v>
      </c>
      <c r="F20" s="47" t="s">
        <v>244</v>
      </c>
      <c r="G20" s="59">
        <v>1.3250000000000002</v>
      </c>
      <c r="H20" s="47" t="s">
        <v>161</v>
      </c>
      <c r="I20" s="48">
        <v>2.5</v>
      </c>
      <c r="J20" s="47" t="s">
        <v>228</v>
      </c>
      <c r="K20" s="49">
        <v>0.23529411764705882</v>
      </c>
      <c r="L20" s="47" t="s">
        <v>213</v>
      </c>
      <c r="M20" s="49">
        <v>0.2</v>
      </c>
      <c r="N20" s="47" t="s">
        <v>161</v>
      </c>
      <c r="O20" s="49">
        <v>0.5</v>
      </c>
      <c r="P20" s="47" t="s">
        <v>161</v>
      </c>
      <c r="Q20" s="50">
        <v>0.20779220779220781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268</v>
      </c>
      <c r="Y20" s="50">
        <v>0.2</v>
      </c>
      <c r="Z20" s="47" t="s">
        <v>255</v>
      </c>
      <c r="AA20" s="50">
        <v>0.2</v>
      </c>
      <c r="AB20" s="47" t="s">
        <v>161</v>
      </c>
      <c r="AC20" s="50">
        <v>0.53846153846153844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163</v>
      </c>
      <c r="I21" s="48">
        <v>2.5</v>
      </c>
      <c r="J21" s="47" t="s">
        <v>191</v>
      </c>
      <c r="K21" s="49">
        <v>0.21428571428571427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166</v>
      </c>
      <c r="Q21" s="50">
        <v>0.2</v>
      </c>
      <c r="R21" s="47" t="s">
        <v>191</v>
      </c>
      <c r="S21" s="50">
        <v>0.13043478260869565</v>
      </c>
      <c r="T21" s="47" t="s">
        <v>114</v>
      </c>
      <c r="U21" s="51">
        <v>6783.5616438356165</v>
      </c>
      <c r="V21" s="47" t="s">
        <v>168</v>
      </c>
      <c r="W21" s="51">
        <v>-5835.7142857142853</v>
      </c>
      <c r="X21" s="47" t="s">
        <v>114</v>
      </c>
      <c r="Y21" s="50">
        <v>0.19804001633319723</v>
      </c>
      <c r="Z21" s="47" t="s">
        <v>228</v>
      </c>
      <c r="AA21" s="50">
        <v>0.19834710743801653</v>
      </c>
      <c r="AB21" s="47" t="s">
        <v>114</v>
      </c>
      <c r="AC21" s="50">
        <v>0.53402061855670102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231</v>
      </c>
      <c r="AI21" s="54">
        <v>41300</v>
      </c>
    </row>
    <row r="22" spans="1:35">
      <c r="A22" s="44">
        <v>20</v>
      </c>
      <c r="B22" s="45" t="s">
        <v>258</v>
      </c>
      <c r="C22" s="107">
        <v>6</v>
      </c>
      <c r="D22" s="45" t="s">
        <v>175</v>
      </c>
      <c r="E22" s="46">
        <v>-2.2000000000000011</v>
      </c>
      <c r="F22" s="47" t="s">
        <v>114</v>
      </c>
      <c r="G22" s="59">
        <v>-0.24024024024024049</v>
      </c>
      <c r="H22" s="47" t="s">
        <v>175</v>
      </c>
      <c r="I22" s="48">
        <v>2.5</v>
      </c>
      <c r="J22" s="47" t="s">
        <v>164</v>
      </c>
      <c r="K22" s="49">
        <v>0.2</v>
      </c>
      <c r="L22" s="47" t="s">
        <v>114</v>
      </c>
      <c r="M22" s="49">
        <v>0.24624624624624625</v>
      </c>
      <c r="N22" s="47" t="s">
        <v>213</v>
      </c>
      <c r="O22" s="49">
        <v>0.5</v>
      </c>
      <c r="P22" s="47" t="s">
        <v>175</v>
      </c>
      <c r="Q22" s="50">
        <v>0.2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177</v>
      </c>
      <c r="W22" s="51">
        <v>-5950</v>
      </c>
      <c r="X22" s="47" t="s">
        <v>168</v>
      </c>
      <c r="Y22" s="50">
        <v>0.19718309859154928</v>
      </c>
      <c r="Z22" s="47" t="s">
        <v>169</v>
      </c>
      <c r="AA22" s="50">
        <v>0.18088737201365188</v>
      </c>
      <c r="AB22" s="47" t="s">
        <v>227</v>
      </c>
      <c r="AC22" s="50">
        <v>0.53125</v>
      </c>
      <c r="AD22" s="47" t="s">
        <v>244</v>
      </c>
      <c r="AE22" s="50">
        <v>0.33333333333333331</v>
      </c>
      <c r="AF22" s="47" t="s">
        <v>213</v>
      </c>
      <c r="AG22" s="50">
        <v>0.375</v>
      </c>
      <c r="AH22" s="47" t="s">
        <v>258</v>
      </c>
      <c r="AI22" s="54">
        <v>37500</v>
      </c>
    </row>
    <row r="23" spans="1:35">
      <c r="A23" s="44">
        <v>21</v>
      </c>
      <c r="B23" s="45" t="s">
        <v>203</v>
      </c>
      <c r="C23" s="107">
        <v>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177</v>
      </c>
      <c r="I23" s="48">
        <v>2.5</v>
      </c>
      <c r="J23" s="47" t="s">
        <v>263</v>
      </c>
      <c r="K23" s="49">
        <v>0.2</v>
      </c>
      <c r="L23" s="47" t="s">
        <v>223</v>
      </c>
      <c r="M23" s="49">
        <v>0.25</v>
      </c>
      <c r="N23" s="47" t="s">
        <v>163</v>
      </c>
      <c r="O23" s="49">
        <v>0.5</v>
      </c>
      <c r="P23" s="47" t="s">
        <v>269</v>
      </c>
      <c r="Q23" s="50">
        <v>0.2</v>
      </c>
      <c r="R23" s="47" t="s">
        <v>199</v>
      </c>
      <c r="S23" s="50">
        <v>0.13333333333333333</v>
      </c>
      <c r="T23" s="47" t="s">
        <v>195</v>
      </c>
      <c r="U23" s="51">
        <v>6559.7222222222226</v>
      </c>
      <c r="V23" s="47" t="s">
        <v>213</v>
      </c>
      <c r="W23" s="51">
        <v>-5966.666666666667</v>
      </c>
      <c r="X23" s="47" t="s">
        <v>179</v>
      </c>
      <c r="Y23" s="50">
        <v>0.19083969465648856</v>
      </c>
      <c r="Z23" s="47" t="s">
        <v>202</v>
      </c>
      <c r="AA23" s="50">
        <v>0.17647058823529413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114</v>
      </c>
      <c r="AG23" s="50">
        <v>0.34833659491193736</v>
      </c>
      <c r="AH23" s="47" t="s">
        <v>264</v>
      </c>
      <c r="AI23" s="54">
        <v>35600</v>
      </c>
    </row>
    <row r="24" spans="1:35">
      <c r="A24" s="44">
        <v>22</v>
      </c>
      <c r="B24" s="45" t="s">
        <v>263</v>
      </c>
      <c r="C24" s="107">
        <v>5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241</v>
      </c>
      <c r="I24" s="48">
        <v>2.5</v>
      </c>
      <c r="J24" s="47" t="s">
        <v>258</v>
      </c>
      <c r="K24" s="49">
        <v>0.16666666666666666</v>
      </c>
      <c r="L24" s="47" t="s">
        <v>244</v>
      </c>
      <c r="M24" s="49">
        <v>0.25</v>
      </c>
      <c r="N24" s="47" t="s">
        <v>175</v>
      </c>
      <c r="O24" s="49">
        <v>0.5</v>
      </c>
      <c r="P24" s="47" t="s">
        <v>258</v>
      </c>
      <c r="Q24" s="50">
        <v>0.19047619047619047</v>
      </c>
      <c r="R24" s="47" t="s">
        <v>216</v>
      </c>
      <c r="S24" s="50">
        <v>0.13407821229050279</v>
      </c>
      <c r="T24" s="47" t="s">
        <v>203</v>
      </c>
      <c r="U24" s="51">
        <v>6275</v>
      </c>
      <c r="V24" s="47" t="s">
        <v>227</v>
      </c>
      <c r="W24" s="51">
        <v>-5992.8571428571431</v>
      </c>
      <c r="X24" s="47" t="s">
        <v>272</v>
      </c>
      <c r="Y24" s="50">
        <v>0.1875</v>
      </c>
      <c r="Z24" s="47" t="s">
        <v>262</v>
      </c>
      <c r="AA24" s="50">
        <v>0.17391304347826086</v>
      </c>
      <c r="AB24" s="47" t="s">
        <v>213</v>
      </c>
      <c r="AC24" s="50">
        <v>0.5</v>
      </c>
      <c r="AD24" s="47" t="s">
        <v>238</v>
      </c>
      <c r="AE24" s="50">
        <v>0.2857142857142857</v>
      </c>
      <c r="AF24" s="47" t="s">
        <v>238</v>
      </c>
      <c r="AG24" s="50">
        <v>0.33333333333333331</v>
      </c>
      <c r="AH24" s="47" t="s">
        <v>213</v>
      </c>
      <c r="AI24" s="54">
        <v>34800</v>
      </c>
    </row>
    <row r="25" spans="1:35">
      <c r="A25" s="44">
        <v>23</v>
      </c>
      <c r="B25" s="45" t="s">
        <v>166</v>
      </c>
      <c r="C25" s="107">
        <v>4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244</v>
      </c>
      <c r="I25" s="48">
        <v>2.5</v>
      </c>
      <c r="J25" s="47" t="s">
        <v>227</v>
      </c>
      <c r="K25" s="49">
        <v>0.14285714285714285</v>
      </c>
      <c r="L25" s="47" t="s">
        <v>164</v>
      </c>
      <c r="M25" s="49">
        <v>0.26666666666666666</v>
      </c>
      <c r="N25" s="47" t="s">
        <v>177</v>
      </c>
      <c r="O25" s="49">
        <v>0.5</v>
      </c>
      <c r="P25" s="47" t="s">
        <v>272</v>
      </c>
      <c r="Q25" s="50">
        <v>0.1875</v>
      </c>
      <c r="R25" s="47" t="s">
        <v>114</v>
      </c>
      <c r="S25" s="50">
        <v>0.13597386688444263</v>
      </c>
      <c r="T25" s="47" t="s">
        <v>238</v>
      </c>
      <c r="U25" s="51">
        <v>6141.666666666667</v>
      </c>
      <c r="V25" s="47" t="s">
        <v>208</v>
      </c>
      <c r="W25" s="51">
        <v>-6340</v>
      </c>
      <c r="X25" s="47" t="s">
        <v>216</v>
      </c>
      <c r="Y25" s="50">
        <v>0.18435754189944134</v>
      </c>
      <c r="Z25" s="47" t="s">
        <v>166</v>
      </c>
      <c r="AA25" s="50">
        <v>0.17142857142857143</v>
      </c>
      <c r="AB25" s="47" t="s">
        <v>235</v>
      </c>
      <c r="AC25" s="50">
        <v>0.5</v>
      </c>
      <c r="AD25" s="47" t="s">
        <v>228</v>
      </c>
      <c r="AE25" s="50">
        <v>0.25</v>
      </c>
      <c r="AF25" s="47" t="s">
        <v>175</v>
      </c>
      <c r="AG25" s="50">
        <v>0.33333333333333331</v>
      </c>
      <c r="AH25" s="47" t="s">
        <v>167</v>
      </c>
      <c r="AI25" s="54">
        <v>34000</v>
      </c>
    </row>
    <row r="26" spans="1:35">
      <c r="A26" s="44">
        <v>24</v>
      </c>
      <c r="B26" s="45" t="s">
        <v>205</v>
      </c>
      <c r="C26" s="107">
        <v>4</v>
      </c>
      <c r="D26" s="45" t="s">
        <v>241</v>
      </c>
      <c r="E26" s="46">
        <v>-35.700000000000003</v>
      </c>
      <c r="F26" s="47" t="s">
        <v>216</v>
      </c>
      <c r="G26" s="59">
        <v>-4.9481481481481469</v>
      </c>
      <c r="H26" s="47" t="s">
        <v>227</v>
      </c>
      <c r="I26" s="48">
        <v>2.5714285714285716</v>
      </c>
      <c r="J26" s="47" t="s">
        <v>235</v>
      </c>
      <c r="K26" s="49">
        <v>0.1</v>
      </c>
      <c r="L26" s="47" t="s">
        <v>168</v>
      </c>
      <c r="M26" s="49">
        <v>0.27777777777777779</v>
      </c>
      <c r="N26" s="47" t="s">
        <v>223</v>
      </c>
      <c r="O26" s="49">
        <v>0.5</v>
      </c>
      <c r="P26" s="47" t="s">
        <v>191</v>
      </c>
      <c r="Q26" s="50">
        <v>0.18260869565217391</v>
      </c>
      <c r="R26" s="47" t="s">
        <v>238</v>
      </c>
      <c r="S26" s="50">
        <v>0.14285714285714285</v>
      </c>
      <c r="T26" s="47" t="s">
        <v>163</v>
      </c>
      <c r="U26" s="51">
        <v>5993.333333333333</v>
      </c>
      <c r="V26" s="47" t="s">
        <v>114</v>
      </c>
      <c r="W26" s="51">
        <v>-6383.4834834834837</v>
      </c>
      <c r="X26" s="47" t="s">
        <v>263</v>
      </c>
      <c r="Y26" s="50">
        <v>0.17948717948717949</v>
      </c>
      <c r="Z26" s="47" t="s">
        <v>238</v>
      </c>
      <c r="AA26" s="50">
        <v>0.16666666666666666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228</v>
      </c>
      <c r="AG26" s="50">
        <v>0.31818181818181818</v>
      </c>
      <c r="AH26" s="47" t="s">
        <v>241</v>
      </c>
      <c r="AI26" s="54">
        <v>34000</v>
      </c>
    </row>
    <row r="27" spans="1:35">
      <c r="A27" s="44">
        <v>25</v>
      </c>
      <c r="B27" s="45" t="s">
        <v>223</v>
      </c>
      <c r="C27" s="107">
        <v>4</v>
      </c>
      <c r="D27" s="45" t="s">
        <v>269</v>
      </c>
      <c r="E27" s="46">
        <v>-47.4</v>
      </c>
      <c r="F27" s="47" t="s">
        <v>241</v>
      </c>
      <c r="G27" s="59">
        <v>-5.95</v>
      </c>
      <c r="H27" s="47" t="s">
        <v>216</v>
      </c>
      <c r="I27" s="48">
        <v>2.6296296296296298</v>
      </c>
      <c r="J27" s="47" t="s">
        <v>213</v>
      </c>
      <c r="K27" s="49">
        <v>0</v>
      </c>
      <c r="L27" s="47" t="s">
        <v>227</v>
      </c>
      <c r="M27" s="49">
        <v>0.2857142857142857</v>
      </c>
      <c r="N27" s="47" t="s">
        <v>195</v>
      </c>
      <c r="O27" s="49">
        <v>0.48648648648648651</v>
      </c>
      <c r="P27" s="47" t="s">
        <v>228</v>
      </c>
      <c r="Q27" s="50">
        <v>0.18181818181818182</v>
      </c>
      <c r="R27" s="47" t="s">
        <v>241</v>
      </c>
      <c r="S27" s="50">
        <v>0.14285714285714285</v>
      </c>
      <c r="T27" s="47" t="s">
        <v>168</v>
      </c>
      <c r="U27" s="51">
        <v>5988.3720930232557</v>
      </c>
      <c r="V27" s="47" t="s">
        <v>161</v>
      </c>
      <c r="W27" s="51">
        <v>-6514.2857142857147</v>
      </c>
      <c r="X27" s="47" t="s">
        <v>169</v>
      </c>
      <c r="Y27" s="50">
        <v>0.17747440273037543</v>
      </c>
      <c r="Z27" s="47" t="s">
        <v>215</v>
      </c>
      <c r="AA27" s="50">
        <v>0.16666666666666666</v>
      </c>
      <c r="AB27" s="47" t="s">
        <v>167</v>
      </c>
      <c r="AC27" s="50">
        <v>0.5</v>
      </c>
      <c r="AD27" s="47" t="s">
        <v>227</v>
      </c>
      <c r="AE27" s="50">
        <v>0.23076923076923078</v>
      </c>
      <c r="AF27" s="47" t="s">
        <v>177</v>
      </c>
      <c r="AG27" s="50">
        <v>0.25</v>
      </c>
      <c r="AH27" s="47" t="s">
        <v>175</v>
      </c>
      <c r="AI27" s="54">
        <v>33600</v>
      </c>
    </row>
    <row r="28" spans="1:35">
      <c r="A28" s="44">
        <v>26</v>
      </c>
      <c r="B28" s="45" t="s">
        <v>208</v>
      </c>
      <c r="C28" s="107">
        <v>3</v>
      </c>
      <c r="D28" s="45" t="s">
        <v>227</v>
      </c>
      <c r="E28" s="46">
        <v>-51.900000000000013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238</v>
      </c>
      <c r="K28" s="49">
        <v>0</v>
      </c>
      <c r="L28" s="47" t="s">
        <v>216</v>
      </c>
      <c r="M28" s="49">
        <v>0.29629629629629628</v>
      </c>
      <c r="N28" s="47" t="s">
        <v>228</v>
      </c>
      <c r="O28" s="49">
        <v>0.41176470588235292</v>
      </c>
      <c r="P28" s="47" t="s">
        <v>244</v>
      </c>
      <c r="Q28" s="50">
        <v>0.18181818181818182</v>
      </c>
      <c r="R28" s="47" t="s">
        <v>244</v>
      </c>
      <c r="S28" s="50">
        <v>0.14545454545454545</v>
      </c>
      <c r="T28" s="47" t="s">
        <v>177</v>
      </c>
      <c r="U28" s="51">
        <v>5900</v>
      </c>
      <c r="V28" s="47" t="s">
        <v>180</v>
      </c>
      <c r="W28" s="51">
        <v>-6600</v>
      </c>
      <c r="X28" s="47" t="s">
        <v>262</v>
      </c>
      <c r="Y28" s="50">
        <v>0.17391304347826086</v>
      </c>
      <c r="Z28" s="47" t="s">
        <v>258</v>
      </c>
      <c r="AA28" s="50">
        <v>0.16666666666666666</v>
      </c>
      <c r="AB28" s="47" t="s">
        <v>244</v>
      </c>
      <c r="AC28" s="50">
        <v>0.5</v>
      </c>
      <c r="AD28" s="47" t="s">
        <v>164</v>
      </c>
      <c r="AE28" s="50">
        <v>0.22580645161290322</v>
      </c>
      <c r="AF28" s="47" t="s">
        <v>231</v>
      </c>
      <c r="AG28" s="50">
        <v>0.25</v>
      </c>
      <c r="AH28" s="47" t="s">
        <v>238</v>
      </c>
      <c r="AI28" s="54">
        <v>32400</v>
      </c>
    </row>
    <row r="29" spans="1:35">
      <c r="A29" s="44">
        <v>27</v>
      </c>
      <c r="B29" s="45" t="s">
        <v>265</v>
      </c>
      <c r="C29" s="107">
        <v>3</v>
      </c>
      <c r="D29" s="45" t="s">
        <v>180</v>
      </c>
      <c r="E29" s="46">
        <v>-52.6</v>
      </c>
      <c r="F29" s="47" t="s">
        <v>213</v>
      </c>
      <c r="G29" s="59">
        <v>-11.670000000000002</v>
      </c>
      <c r="H29" s="47" t="s">
        <v>228</v>
      </c>
      <c r="I29" s="48">
        <v>2.7058823529411766</v>
      </c>
      <c r="J29" s="47" t="s">
        <v>166</v>
      </c>
      <c r="K29" s="49">
        <v>0</v>
      </c>
      <c r="L29" s="47" t="s">
        <v>161</v>
      </c>
      <c r="M29" s="49">
        <v>0.3</v>
      </c>
      <c r="N29" s="47" t="s">
        <v>216</v>
      </c>
      <c r="O29" s="49">
        <v>0.40740740740740738</v>
      </c>
      <c r="P29" s="47" t="s">
        <v>262</v>
      </c>
      <c r="Q29" s="50">
        <v>0.17391304347826086</v>
      </c>
      <c r="R29" s="47" t="s">
        <v>227</v>
      </c>
      <c r="S29" s="50">
        <v>0.15053763440860216</v>
      </c>
      <c r="T29" s="47" t="s">
        <v>258</v>
      </c>
      <c r="U29" s="51">
        <v>5837.5</v>
      </c>
      <c r="V29" s="47" t="s">
        <v>235</v>
      </c>
      <c r="W29" s="51">
        <v>-6623.5294117647063</v>
      </c>
      <c r="X29" s="47" t="s">
        <v>228</v>
      </c>
      <c r="Y29" s="50">
        <v>0.17355371900826447</v>
      </c>
      <c r="Z29" s="47" t="s">
        <v>177</v>
      </c>
      <c r="AA29" s="50">
        <v>0.15789473684210525</v>
      </c>
      <c r="AB29" s="47" t="s">
        <v>262</v>
      </c>
      <c r="AC29" s="50">
        <v>0.5</v>
      </c>
      <c r="AD29" s="47" t="s">
        <v>231</v>
      </c>
      <c r="AE29" s="50">
        <v>0.2</v>
      </c>
      <c r="AF29" s="47" t="s">
        <v>262</v>
      </c>
      <c r="AG29" s="50">
        <v>0.25</v>
      </c>
      <c r="AH29" s="47" t="s">
        <v>268</v>
      </c>
      <c r="AI29" s="54">
        <v>32100</v>
      </c>
    </row>
    <row r="30" spans="1:35">
      <c r="A30" s="44">
        <v>28</v>
      </c>
      <c r="B30" s="45" t="s">
        <v>262</v>
      </c>
      <c r="C30" s="107">
        <v>3</v>
      </c>
      <c r="D30" s="45" t="s">
        <v>262</v>
      </c>
      <c r="E30" s="46">
        <v>-59.2</v>
      </c>
      <c r="F30" s="47" t="s">
        <v>258</v>
      </c>
      <c r="G30" s="59">
        <v>-12.299999999999999</v>
      </c>
      <c r="H30" s="47" t="s">
        <v>223</v>
      </c>
      <c r="I30" s="48">
        <v>2.75</v>
      </c>
      <c r="J30" s="47" t="s">
        <v>167</v>
      </c>
      <c r="K30" s="49">
        <v>0</v>
      </c>
      <c r="L30" s="47" t="s">
        <v>258</v>
      </c>
      <c r="M30" s="49">
        <v>0.33333333333333331</v>
      </c>
      <c r="N30" s="47" t="s">
        <v>244</v>
      </c>
      <c r="O30" s="49">
        <v>0.375</v>
      </c>
      <c r="P30" s="47" t="s">
        <v>215</v>
      </c>
      <c r="Q30" s="50">
        <v>0.16666666666666666</v>
      </c>
      <c r="R30" s="47" t="s">
        <v>215</v>
      </c>
      <c r="S30" s="50">
        <v>0.16666666666666666</v>
      </c>
      <c r="T30" s="47" t="s">
        <v>241</v>
      </c>
      <c r="U30" s="51">
        <v>5340</v>
      </c>
      <c r="V30" s="47" t="s">
        <v>228</v>
      </c>
      <c r="W30" s="51">
        <v>-6926.9230769230771</v>
      </c>
      <c r="X30" s="47" t="s">
        <v>161</v>
      </c>
      <c r="Y30" s="50">
        <v>0.16883116883116883</v>
      </c>
      <c r="Z30" s="47" t="s">
        <v>265</v>
      </c>
      <c r="AA30" s="50">
        <v>0.15789473684210525</v>
      </c>
      <c r="AB30" s="47" t="s">
        <v>258</v>
      </c>
      <c r="AC30" s="50">
        <v>0.46666666666666667</v>
      </c>
      <c r="AD30" s="47" t="s">
        <v>203</v>
      </c>
      <c r="AE30" s="50">
        <v>0.16666666666666666</v>
      </c>
      <c r="AF30" s="47" t="s">
        <v>169</v>
      </c>
      <c r="AG30" s="50">
        <v>0.24242424242424243</v>
      </c>
      <c r="AH30" s="47" t="s">
        <v>263</v>
      </c>
      <c r="AI30" s="54">
        <v>30300</v>
      </c>
    </row>
    <row r="31" spans="1:35">
      <c r="A31" s="44">
        <v>29</v>
      </c>
      <c r="B31" s="45" t="s">
        <v>175</v>
      </c>
      <c r="C31" s="107">
        <v>2</v>
      </c>
      <c r="D31" s="45" t="s">
        <v>223</v>
      </c>
      <c r="E31" s="46">
        <v>-72.5</v>
      </c>
      <c r="F31" s="47" t="s">
        <v>215</v>
      </c>
      <c r="G31" s="59">
        <v>-14.4</v>
      </c>
      <c r="H31" s="47" t="s">
        <v>238</v>
      </c>
      <c r="I31" s="48">
        <v>2.8333333333333335</v>
      </c>
      <c r="J31" s="47" t="s">
        <v>175</v>
      </c>
      <c r="K31" s="49">
        <v>0</v>
      </c>
      <c r="L31" s="47" t="s">
        <v>265</v>
      </c>
      <c r="M31" s="49">
        <v>0.33333333333333331</v>
      </c>
      <c r="N31" s="47" t="s">
        <v>238</v>
      </c>
      <c r="O31" s="49">
        <v>0.33333333333333331</v>
      </c>
      <c r="P31" s="47" t="s">
        <v>164</v>
      </c>
      <c r="Q31" s="50">
        <v>0.16528925619834711</v>
      </c>
      <c r="R31" s="47" t="s">
        <v>202</v>
      </c>
      <c r="S31" s="50">
        <v>0.17647058823529413</v>
      </c>
      <c r="T31" s="47" t="s">
        <v>265</v>
      </c>
      <c r="U31" s="51">
        <v>5280</v>
      </c>
      <c r="V31" s="47" t="s">
        <v>195</v>
      </c>
      <c r="W31" s="51">
        <v>-7068.75</v>
      </c>
      <c r="X31" s="47" t="s">
        <v>231</v>
      </c>
      <c r="Y31" s="50">
        <v>0.15384615384615385</v>
      </c>
      <c r="Z31" s="47" t="s">
        <v>216</v>
      </c>
      <c r="AA31" s="50">
        <v>0.14525139664804471</v>
      </c>
      <c r="AB31" s="47" t="s">
        <v>179</v>
      </c>
      <c r="AC31" s="50">
        <v>0.4</v>
      </c>
      <c r="AD31" s="47" t="s">
        <v>235</v>
      </c>
      <c r="AE31" s="50">
        <v>0.15789473684210525</v>
      </c>
      <c r="AF31" s="47" t="s">
        <v>263</v>
      </c>
      <c r="AG31" s="50">
        <v>0.22222222222222221</v>
      </c>
      <c r="AH31" s="47" t="s">
        <v>272</v>
      </c>
      <c r="AI31" s="54">
        <v>29500</v>
      </c>
    </row>
    <row r="32" spans="1:35">
      <c r="A32" s="44">
        <v>30</v>
      </c>
      <c r="B32" s="45" t="s">
        <v>177</v>
      </c>
      <c r="C32" s="107">
        <v>2</v>
      </c>
      <c r="D32" s="45" t="s">
        <v>258</v>
      </c>
      <c r="E32" s="46">
        <v>-73.8</v>
      </c>
      <c r="F32" s="47" t="s">
        <v>223</v>
      </c>
      <c r="G32" s="59">
        <v>-18.125</v>
      </c>
      <c r="H32" s="47" t="s">
        <v>258</v>
      </c>
      <c r="I32" s="48">
        <v>2.8333333333333335</v>
      </c>
      <c r="J32" s="47" t="s">
        <v>180</v>
      </c>
      <c r="K32" s="49">
        <v>0</v>
      </c>
      <c r="L32" s="47" t="s">
        <v>262</v>
      </c>
      <c r="M32" s="49">
        <v>0.33333333333333331</v>
      </c>
      <c r="N32" s="47" t="s">
        <v>258</v>
      </c>
      <c r="O32" s="49">
        <v>0.33333333333333331</v>
      </c>
      <c r="P32" s="47" t="s">
        <v>216</v>
      </c>
      <c r="Q32" s="50">
        <v>0.15083798882681565</v>
      </c>
      <c r="R32" s="47" t="s">
        <v>161</v>
      </c>
      <c r="S32" s="50">
        <v>0.18181818181818182</v>
      </c>
      <c r="T32" s="47" t="s">
        <v>235</v>
      </c>
      <c r="U32" s="51">
        <v>5212.5</v>
      </c>
      <c r="V32" s="47" t="s">
        <v>244</v>
      </c>
      <c r="W32" s="51">
        <v>-7100</v>
      </c>
      <c r="X32" s="47" t="s">
        <v>244</v>
      </c>
      <c r="Y32" s="50">
        <v>0.14545454545454545</v>
      </c>
      <c r="Z32" s="47" t="s">
        <v>167</v>
      </c>
      <c r="AA32" s="50">
        <v>0.14285714285714285</v>
      </c>
      <c r="AB32" s="47" t="s">
        <v>191</v>
      </c>
      <c r="AC32" s="50">
        <v>0.33333333333333331</v>
      </c>
      <c r="AD32" s="47" t="s">
        <v>258</v>
      </c>
      <c r="AE32" s="50">
        <v>0.14285714285714285</v>
      </c>
      <c r="AF32" s="47" t="s">
        <v>164</v>
      </c>
      <c r="AG32" s="50">
        <v>0.2</v>
      </c>
      <c r="AH32" s="47" t="s">
        <v>262</v>
      </c>
      <c r="AI32" s="54">
        <v>28000</v>
      </c>
    </row>
    <row r="33" spans="1:35">
      <c r="A33" s="44">
        <v>31</v>
      </c>
      <c r="B33" s="45" t="s">
        <v>199</v>
      </c>
      <c r="C33" s="107">
        <v>2</v>
      </c>
      <c r="D33" s="45" t="s">
        <v>114</v>
      </c>
      <c r="E33" s="46">
        <v>-80.000000000000085</v>
      </c>
      <c r="F33" s="47" t="s">
        <v>262</v>
      </c>
      <c r="G33" s="59">
        <v>-19.733333333333334</v>
      </c>
      <c r="H33" s="47" t="s">
        <v>196</v>
      </c>
      <c r="I33" s="48">
        <v>3</v>
      </c>
      <c r="J33" s="47" t="s">
        <v>199</v>
      </c>
      <c r="K33" s="49">
        <v>0</v>
      </c>
      <c r="L33" s="47" t="s">
        <v>228</v>
      </c>
      <c r="M33" s="49">
        <v>0.35294117647058826</v>
      </c>
      <c r="N33" s="47" t="s">
        <v>262</v>
      </c>
      <c r="O33" s="49">
        <v>0.33333333333333331</v>
      </c>
      <c r="P33" s="47" t="s">
        <v>213</v>
      </c>
      <c r="Q33" s="50">
        <v>0.14814814814814814</v>
      </c>
      <c r="R33" s="47" t="s">
        <v>223</v>
      </c>
      <c r="S33" s="50">
        <v>0.19047619047619047</v>
      </c>
      <c r="T33" s="47" t="s">
        <v>179</v>
      </c>
      <c r="U33" s="51">
        <v>4909.375</v>
      </c>
      <c r="V33" s="47" t="s">
        <v>163</v>
      </c>
      <c r="W33" s="51">
        <v>-7212.5</v>
      </c>
      <c r="X33" s="47" t="s">
        <v>180</v>
      </c>
      <c r="Y33" s="50">
        <v>0.14285714285714285</v>
      </c>
      <c r="Z33" s="47" t="s">
        <v>227</v>
      </c>
      <c r="AA33" s="50">
        <v>0.13978494623655913</v>
      </c>
      <c r="AB33" s="47" t="s">
        <v>203</v>
      </c>
      <c r="AC33" s="50">
        <v>0.33333333333333331</v>
      </c>
      <c r="AD33" s="47" t="s">
        <v>213</v>
      </c>
      <c r="AE33" s="50">
        <v>0</v>
      </c>
      <c r="AF33" s="47" t="s">
        <v>265</v>
      </c>
      <c r="AG33" s="50">
        <v>0.2</v>
      </c>
      <c r="AH33" s="47" t="s">
        <v>235</v>
      </c>
      <c r="AI33" s="54">
        <v>26900</v>
      </c>
    </row>
    <row r="34" spans="1:35">
      <c r="A34" s="44">
        <v>32</v>
      </c>
      <c r="B34" s="45" t="s">
        <v>202</v>
      </c>
      <c r="C34" s="107">
        <v>2</v>
      </c>
      <c r="D34" s="45" t="s">
        <v>199</v>
      </c>
      <c r="E34" s="46">
        <v>-97.4</v>
      </c>
      <c r="F34" s="47" t="s">
        <v>238</v>
      </c>
      <c r="G34" s="59">
        <v>-19.824999999999999</v>
      </c>
      <c r="H34" s="47" t="s">
        <v>215</v>
      </c>
      <c r="I34" s="48">
        <v>3</v>
      </c>
      <c r="J34" s="47" t="s">
        <v>196</v>
      </c>
      <c r="K34" s="49">
        <v>0</v>
      </c>
      <c r="L34" s="47" t="s">
        <v>163</v>
      </c>
      <c r="M34" s="49">
        <v>0.375</v>
      </c>
      <c r="N34" s="47" t="s">
        <v>166</v>
      </c>
      <c r="O34" s="49">
        <v>0.25</v>
      </c>
      <c r="P34" s="47" t="s">
        <v>238</v>
      </c>
      <c r="Q34" s="50">
        <v>0.14285714285714285</v>
      </c>
      <c r="R34" s="47" t="s">
        <v>168</v>
      </c>
      <c r="S34" s="50">
        <v>0.19718309859154928</v>
      </c>
      <c r="T34" s="47" t="s">
        <v>262</v>
      </c>
      <c r="U34" s="51">
        <v>4525</v>
      </c>
      <c r="V34" s="47" t="s">
        <v>216</v>
      </c>
      <c r="W34" s="51">
        <v>-7266.666666666667</v>
      </c>
      <c r="X34" s="47" t="s">
        <v>241</v>
      </c>
      <c r="Y34" s="50">
        <v>0.14285714285714285</v>
      </c>
      <c r="Z34" s="47" t="s">
        <v>203</v>
      </c>
      <c r="AA34" s="50">
        <v>0.13953488372093023</v>
      </c>
      <c r="AB34" s="47" t="s">
        <v>223</v>
      </c>
      <c r="AC34" s="50">
        <v>0.33333333333333331</v>
      </c>
      <c r="AD34" s="47" t="s">
        <v>167</v>
      </c>
      <c r="AE34" s="50">
        <v>0</v>
      </c>
      <c r="AF34" s="47" t="s">
        <v>227</v>
      </c>
      <c r="AG34" s="50">
        <v>0.19047619047619047</v>
      </c>
      <c r="AH34" s="47" t="s">
        <v>215</v>
      </c>
      <c r="AI34" s="54">
        <v>25600</v>
      </c>
    </row>
    <row r="35" spans="1:35">
      <c r="A35" s="44">
        <v>33</v>
      </c>
      <c r="B35" s="45" t="s">
        <v>231</v>
      </c>
      <c r="C35" s="107">
        <v>2</v>
      </c>
      <c r="D35" s="45" t="s">
        <v>202</v>
      </c>
      <c r="E35" s="46">
        <v>-105.9</v>
      </c>
      <c r="F35" s="47" t="s">
        <v>196</v>
      </c>
      <c r="G35" s="59">
        <v>-27.1</v>
      </c>
      <c r="H35" s="47" t="s">
        <v>262</v>
      </c>
      <c r="I35" s="48">
        <v>3</v>
      </c>
      <c r="J35" s="47" t="s">
        <v>203</v>
      </c>
      <c r="K35" s="49">
        <v>0</v>
      </c>
      <c r="L35" s="47" t="s">
        <v>203</v>
      </c>
      <c r="M35" s="49">
        <v>0.4</v>
      </c>
      <c r="N35" s="47" t="s">
        <v>235</v>
      </c>
      <c r="O35" s="49">
        <v>0.2</v>
      </c>
      <c r="P35" s="47" t="s">
        <v>264</v>
      </c>
      <c r="Q35" s="50">
        <v>0.14285714285714285</v>
      </c>
      <c r="R35" s="47" t="s">
        <v>268</v>
      </c>
      <c r="S35" s="50">
        <v>0.2</v>
      </c>
      <c r="T35" s="47" t="s">
        <v>215</v>
      </c>
      <c r="U35" s="51">
        <v>3900</v>
      </c>
      <c r="V35" s="47" t="s">
        <v>255</v>
      </c>
      <c r="W35" s="51">
        <v>-7425</v>
      </c>
      <c r="X35" s="47" t="s">
        <v>238</v>
      </c>
      <c r="Y35" s="50">
        <v>0.13095238095238096</v>
      </c>
      <c r="Z35" s="47" t="s">
        <v>272</v>
      </c>
      <c r="AA35" s="50">
        <v>0.125</v>
      </c>
      <c r="AB35" s="47" t="s">
        <v>241</v>
      </c>
      <c r="AC35" s="50">
        <v>0.33333333333333331</v>
      </c>
      <c r="AD35" s="47" t="s">
        <v>175</v>
      </c>
      <c r="AE35" s="50">
        <v>0</v>
      </c>
      <c r="AF35" s="47" t="s">
        <v>191</v>
      </c>
      <c r="AG35" s="50">
        <v>0.14285714285714285</v>
      </c>
      <c r="AH35" s="47" t="s">
        <v>203</v>
      </c>
      <c r="AI35" s="54">
        <v>25000</v>
      </c>
    </row>
    <row r="36" spans="1:35">
      <c r="A36" s="44">
        <v>34</v>
      </c>
      <c r="B36" s="45" t="s">
        <v>272</v>
      </c>
      <c r="C36" s="107">
        <v>2</v>
      </c>
      <c r="D36" s="45" t="s">
        <v>213</v>
      </c>
      <c r="E36" s="46">
        <v>-116.70000000000002</v>
      </c>
      <c r="F36" s="47" t="s">
        <v>166</v>
      </c>
      <c r="G36" s="59">
        <v>-31.999999999999996</v>
      </c>
      <c r="H36" s="47" t="s">
        <v>166</v>
      </c>
      <c r="I36" s="48">
        <v>3.25</v>
      </c>
      <c r="J36" s="47" t="s">
        <v>202</v>
      </c>
      <c r="K36" s="49">
        <v>0</v>
      </c>
      <c r="L36" s="47" t="s">
        <v>166</v>
      </c>
      <c r="M36" s="49">
        <v>0.5</v>
      </c>
      <c r="N36" s="47" t="s">
        <v>180</v>
      </c>
      <c r="O36" s="49">
        <v>0</v>
      </c>
      <c r="P36" s="47" t="s">
        <v>196</v>
      </c>
      <c r="Q36" s="50">
        <v>0.125</v>
      </c>
      <c r="R36" s="47" t="s">
        <v>258</v>
      </c>
      <c r="S36" s="50">
        <v>0.21428571428571427</v>
      </c>
      <c r="T36" s="47" t="s">
        <v>272</v>
      </c>
      <c r="U36" s="51">
        <v>3533.3333333333335</v>
      </c>
      <c r="V36" s="47" t="s">
        <v>268</v>
      </c>
      <c r="W36" s="51">
        <v>-8000</v>
      </c>
      <c r="X36" s="47" t="s">
        <v>202</v>
      </c>
      <c r="Y36" s="50">
        <v>0.11764705882352941</v>
      </c>
      <c r="Z36" s="47" t="s">
        <v>162</v>
      </c>
      <c r="AA36" s="50">
        <v>0.11538461538461539</v>
      </c>
      <c r="AB36" s="47" t="s">
        <v>164</v>
      </c>
      <c r="AC36" s="50">
        <v>0.3125</v>
      </c>
      <c r="AD36" s="47" t="s">
        <v>180</v>
      </c>
      <c r="AE36" s="50">
        <v>0</v>
      </c>
      <c r="AF36" s="47" t="s">
        <v>180</v>
      </c>
      <c r="AG36" s="50">
        <v>0</v>
      </c>
      <c r="AH36" s="47" t="s">
        <v>166</v>
      </c>
      <c r="AI36" s="54">
        <v>23700</v>
      </c>
    </row>
    <row r="37" spans="1:35">
      <c r="A37" s="44">
        <v>35</v>
      </c>
      <c r="B37" s="45" t="s">
        <v>167</v>
      </c>
      <c r="C37" s="107">
        <v>1</v>
      </c>
      <c r="D37" s="45" t="s">
        <v>166</v>
      </c>
      <c r="E37" s="46">
        <v>-127.99999999999999</v>
      </c>
      <c r="F37" s="47" t="s">
        <v>203</v>
      </c>
      <c r="G37" s="59">
        <v>-32.279999999999994</v>
      </c>
      <c r="H37" s="47" t="s">
        <v>235</v>
      </c>
      <c r="I37" s="48">
        <v>3.4</v>
      </c>
      <c r="J37" s="47" t="s">
        <v>208</v>
      </c>
      <c r="K37" s="49">
        <v>0</v>
      </c>
      <c r="L37" s="47" t="s">
        <v>177</v>
      </c>
      <c r="M37" s="49">
        <v>0.5</v>
      </c>
      <c r="N37" s="47" t="s">
        <v>199</v>
      </c>
      <c r="O37" s="49">
        <v>0</v>
      </c>
      <c r="P37" s="47" t="s">
        <v>235</v>
      </c>
      <c r="Q37" s="50">
        <v>0.10810810810810811</v>
      </c>
      <c r="R37" s="47" t="s">
        <v>228</v>
      </c>
      <c r="S37" s="50">
        <v>0.21487603305785125</v>
      </c>
      <c r="T37" s="47" t="s">
        <v>263</v>
      </c>
      <c r="U37" s="51">
        <v>3344.4444444444443</v>
      </c>
      <c r="V37" s="47" t="s">
        <v>179</v>
      </c>
      <c r="W37" s="51">
        <v>-8157.1428571428569</v>
      </c>
      <c r="X37" s="47" t="s">
        <v>166</v>
      </c>
      <c r="Y37" s="50">
        <v>0.11428571428571428</v>
      </c>
      <c r="Z37" s="47" t="s">
        <v>213</v>
      </c>
      <c r="AA37" s="50">
        <v>3.7037037037037035E-2</v>
      </c>
      <c r="AB37" s="47" t="s">
        <v>180</v>
      </c>
      <c r="AC37" s="50">
        <v>0</v>
      </c>
      <c r="AD37" s="47" t="s">
        <v>199</v>
      </c>
      <c r="AE37" s="50">
        <v>0</v>
      </c>
      <c r="AF37" s="47" t="s">
        <v>199</v>
      </c>
      <c r="AG37" s="50">
        <v>0</v>
      </c>
      <c r="AH37" s="47" t="s">
        <v>223</v>
      </c>
      <c r="AI37" s="54">
        <v>22100</v>
      </c>
    </row>
    <row r="38" spans="1:35">
      <c r="A38" s="44">
        <v>36</v>
      </c>
      <c r="B38" s="45" t="s">
        <v>180</v>
      </c>
      <c r="C38" s="107">
        <v>1</v>
      </c>
      <c r="D38" s="45" t="s">
        <v>208</v>
      </c>
      <c r="E38" s="46">
        <v>-132.69999999999999</v>
      </c>
      <c r="F38" s="47" t="s">
        <v>235</v>
      </c>
      <c r="G38" s="59">
        <v>-33.320000000000007</v>
      </c>
      <c r="H38" s="47" t="s">
        <v>203</v>
      </c>
      <c r="I38" s="48">
        <v>3.4</v>
      </c>
      <c r="J38" s="47" t="s">
        <v>215</v>
      </c>
      <c r="K38" s="49">
        <v>0</v>
      </c>
      <c r="L38" s="47" t="s">
        <v>208</v>
      </c>
      <c r="M38" s="49">
        <v>0.66666666666666663</v>
      </c>
      <c r="N38" s="47" t="s">
        <v>196</v>
      </c>
      <c r="O38" s="49">
        <v>0</v>
      </c>
      <c r="P38" s="47" t="s">
        <v>223</v>
      </c>
      <c r="Q38" s="50">
        <v>9.5238095238095233E-2</v>
      </c>
      <c r="R38" s="47" t="s">
        <v>208</v>
      </c>
      <c r="S38" s="50">
        <v>0.21739130434782608</v>
      </c>
      <c r="T38" s="47" t="s">
        <v>166</v>
      </c>
      <c r="U38" s="51">
        <v>2928.5714285714284</v>
      </c>
      <c r="V38" s="47" t="s">
        <v>238</v>
      </c>
      <c r="W38" s="51">
        <v>-8516.6666666666661</v>
      </c>
      <c r="X38" s="47" t="s">
        <v>235</v>
      </c>
      <c r="Y38" s="50">
        <v>0.10810810810810811</v>
      </c>
      <c r="Z38" s="47" t="s">
        <v>175</v>
      </c>
      <c r="AA38" s="50">
        <v>0</v>
      </c>
      <c r="AB38" s="47" t="s">
        <v>199</v>
      </c>
      <c r="AC38" s="50">
        <v>0</v>
      </c>
      <c r="AD38" s="47" t="s">
        <v>202</v>
      </c>
      <c r="AE38" s="50">
        <v>0</v>
      </c>
      <c r="AF38" s="47" t="s">
        <v>196</v>
      </c>
      <c r="AG38" s="50">
        <v>0</v>
      </c>
      <c r="AH38" s="47" t="s">
        <v>199</v>
      </c>
      <c r="AI38" s="54">
        <v>14100</v>
      </c>
    </row>
    <row r="39" spans="1:35">
      <c r="A39" s="44">
        <v>37</v>
      </c>
      <c r="B39" s="45" t="s">
        <v>196</v>
      </c>
      <c r="C39" s="107">
        <v>1</v>
      </c>
      <c r="D39" s="45" t="s">
        <v>216</v>
      </c>
      <c r="E39" s="46">
        <v>-133.59999999999997</v>
      </c>
      <c r="F39" s="47" t="s">
        <v>208</v>
      </c>
      <c r="G39" s="59">
        <v>-44.233333333333327</v>
      </c>
      <c r="H39" s="47" t="s">
        <v>208</v>
      </c>
      <c r="I39" s="48">
        <v>3.6666666666666665</v>
      </c>
      <c r="J39" s="47" t="s">
        <v>223</v>
      </c>
      <c r="K39" s="49">
        <v>0</v>
      </c>
      <c r="L39" s="47" t="s">
        <v>235</v>
      </c>
      <c r="M39" s="49">
        <v>0.7</v>
      </c>
      <c r="N39" s="47" t="s">
        <v>203</v>
      </c>
      <c r="O39" s="49">
        <v>0</v>
      </c>
      <c r="P39" s="47" t="s">
        <v>203</v>
      </c>
      <c r="Q39" s="50">
        <v>9.3023255813953487E-2</v>
      </c>
      <c r="R39" s="47" t="s">
        <v>262</v>
      </c>
      <c r="S39" s="50">
        <v>0.21739130434782608</v>
      </c>
      <c r="T39" s="47" t="s">
        <v>202</v>
      </c>
      <c r="U39" s="51">
        <v>1300</v>
      </c>
      <c r="V39" s="47" t="s">
        <v>241</v>
      </c>
      <c r="W39" s="51">
        <v>-8900</v>
      </c>
      <c r="X39" s="47" t="s">
        <v>265</v>
      </c>
      <c r="Y39" s="50">
        <v>0.10526315789473684</v>
      </c>
      <c r="Z39" s="47" t="s">
        <v>208</v>
      </c>
      <c r="AA39" s="50">
        <v>0</v>
      </c>
      <c r="AB39" s="47" t="s">
        <v>196</v>
      </c>
      <c r="AC39" s="50">
        <v>0</v>
      </c>
      <c r="AD39" s="47" t="s">
        <v>208</v>
      </c>
      <c r="AE39" s="50">
        <v>0</v>
      </c>
      <c r="AF39" s="47" t="s">
        <v>202</v>
      </c>
      <c r="AG39" s="50">
        <v>0</v>
      </c>
      <c r="AH39" s="47" t="s">
        <v>202</v>
      </c>
      <c r="AI39" s="54">
        <v>13500</v>
      </c>
    </row>
    <row r="40" spans="1:35">
      <c r="A40" s="44">
        <v>38</v>
      </c>
      <c r="B40" s="45" t="s">
        <v>215</v>
      </c>
      <c r="C40" s="107">
        <v>1</v>
      </c>
      <c r="D40" s="45" t="s">
        <v>228</v>
      </c>
      <c r="E40" s="46">
        <v>-149.19999999999999</v>
      </c>
      <c r="F40" s="47" t="s">
        <v>269</v>
      </c>
      <c r="G40" s="59">
        <v>-47.4</v>
      </c>
      <c r="H40" s="47" t="s">
        <v>180</v>
      </c>
      <c r="I40" s="48">
        <v>4</v>
      </c>
      <c r="J40" s="47" t="s">
        <v>241</v>
      </c>
      <c r="K40" s="49">
        <v>0</v>
      </c>
      <c r="L40" s="47" t="s">
        <v>180</v>
      </c>
      <c r="M40" s="49">
        <v>1</v>
      </c>
      <c r="N40" s="47" t="s">
        <v>202</v>
      </c>
      <c r="O40" s="49">
        <v>0</v>
      </c>
      <c r="P40" s="47" t="s">
        <v>202</v>
      </c>
      <c r="Q40" s="50">
        <v>5.8823529411764705E-2</v>
      </c>
      <c r="R40" s="47" t="s">
        <v>235</v>
      </c>
      <c r="S40" s="50">
        <v>0.22972972972972974</v>
      </c>
      <c r="T40" s="47" t="s">
        <v>196</v>
      </c>
      <c r="U40" s="51">
        <v>1000</v>
      </c>
      <c r="V40" s="47" t="s">
        <v>205</v>
      </c>
      <c r="W40" s="51">
        <v>-9466.6666666666661</v>
      </c>
      <c r="X40" s="47" t="s">
        <v>191</v>
      </c>
      <c r="Y40" s="50">
        <v>0.10434782608695652</v>
      </c>
      <c r="Z40" s="47" t="s">
        <v>223</v>
      </c>
      <c r="AA40" s="50">
        <v>0</v>
      </c>
      <c r="AB40" s="47" t="s">
        <v>202</v>
      </c>
      <c r="AC40" s="50">
        <v>0</v>
      </c>
      <c r="AD40" s="47" t="s">
        <v>223</v>
      </c>
      <c r="AE40" s="50">
        <v>0</v>
      </c>
      <c r="AF40" s="47" t="s">
        <v>208</v>
      </c>
      <c r="AG40" s="50">
        <v>0</v>
      </c>
      <c r="AH40" s="47" t="s">
        <v>196</v>
      </c>
      <c r="AI40" s="54">
        <v>12900</v>
      </c>
    </row>
    <row r="41" spans="1:35">
      <c r="A41" s="44">
        <v>39</v>
      </c>
      <c r="B41" s="45" t="s">
        <v>264</v>
      </c>
      <c r="C41" s="107">
        <v>1</v>
      </c>
      <c r="D41" s="45" t="s">
        <v>203</v>
      </c>
      <c r="E41" s="46">
        <v>-161.39999999999998</v>
      </c>
      <c r="F41" s="47" t="s">
        <v>199</v>
      </c>
      <c r="G41" s="59">
        <v>-48.7</v>
      </c>
      <c r="H41" s="47" t="s">
        <v>199</v>
      </c>
      <c r="I41" s="48">
        <v>4</v>
      </c>
      <c r="J41" s="47" t="s">
        <v>262</v>
      </c>
      <c r="K41" s="49">
        <v>0</v>
      </c>
      <c r="L41" s="47" t="s">
        <v>199</v>
      </c>
      <c r="M41" s="49">
        <v>1</v>
      </c>
      <c r="N41" s="47" t="s">
        <v>208</v>
      </c>
      <c r="O41" s="49">
        <v>0</v>
      </c>
      <c r="P41" s="47" t="s">
        <v>180</v>
      </c>
      <c r="Q41" s="50">
        <v>0</v>
      </c>
      <c r="R41" s="47" t="s">
        <v>203</v>
      </c>
      <c r="S41" s="50">
        <v>0.23255813953488372</v>
      </c>
      <c r="T41" s="47" t="s">
        <v>180</v>
      </c>
      <c r="U41" s="51">
        <v>0</v>
      </c>
      <c r="V41" s="47" t="s">
        <v>269</v>
      </c>
      <c r="W41" s="51">
        <v>-9950</v>
      </c>
      <c r="X41" s="47" t="s">
        <v>199</v>
      </c>
      <c r="Y41" s="50">
        <v>6.6666666666666666E-2</v>
      </c>
      <c r="Z41" s="47" t="s">
        <v>264</v>
      </c>
      <c r="AA41" s="50">
        <v>0</v>
      </c>
      <c r="AB41" s="47" t="s">
        <v>208</v>
      </c>
      <c r="AC41" s="50">
        <v>0</v>
      </c>
      <c r="AD41" s="47" t="s">
        <v>264</v>
      </c>
      <c r="AE41" s="50">
        <v>0</v>
      </c>
      <c r="AF41" s="47" t="s">
        <v>215</v>
      </c>
      <c r="AG41" s="50">
        <v>0</v>
      </c>
      <c r="AH41" s="47" t="s">
        <v>269</v>
      </c>
      <c r="AI41" s="54">
        <v>12600</v>
      </c>
    </row>
    <row r="42" spans="1:35">
      <c r="A42" s="44">
        <v>40</v>
      </c>
      <c r="B42" s="45" t="s">
        <v>269</v>
      </c>
      <c r="C42" s="107">
        <v>1</v>
      </c>
      <c r="D42" s="45" t="s">
        <v>238</v>
      </c>
      <c r="E42" s="46">
        <v>-237.89999999999998</v>
      </c>
      <c r="F42" s="47" t="s">
        <v>180</v>
      </c>
      <c r="G42" s="59">
        <v>-52.6</v>
      </c>
      <c r="H42" s="47" t="s">
        <v>202</v>
      </c>
      <c r="I42" s="48">
        <v>4</v>
      </c>
      <c r="J42" s="47" t="s">
        <v>269</v>
      </c>
      <c r="K42" s="49">
        <v>0</v>
      </c>
      <c r="L42" s="47" t="s">
        <v>202</v>
      </c>
      <c r="M42" s="49">
        <v>1</v>
      </c>
      <c r="N42" s="47" t="s">
        <v>215</v>
      </c>
      <c r="O42" s="49">
        <v>0</v>
      </c>
      <c r="P42" s="47" t="s">
        <v>199</v>
      </c>
      <c r="Q42" s="50">
        <v>0</v>
      </c>
      <c r="R42" s="47" t="s">
        <v>180</v>
      </c>
      <c r="S42" s="50">
        <v>0.2857142857142857</v>
      </c>
      <c r="T42" s="47" t="s">
        <v>199</v>
      </c>
      <c r="U42" s="51">
        <v>0</v>
      </c>
      <c r="V42" s="47" t="s">
        <v>199</v>
      </c>
      <c r="W42" s="51">
        <v>-10000</v>
      </c>
      <c r="X42" s="47" t="s">
        <v>208</v>
      </c>
      <c r="Y42" s="50">
        <v>4.3478260869565216E-2</v>
      </c>
      <c r="Z42" s="47" t="s">
        <v>269</v>
      </c>
      <c r="AA42" s="50">
        <v>0</v>
      </c>
      <c r="AB42" s="47" t="s">
        <v>215</v>
      </c>
      <c r="AC42" s="50">
        <v>0</v>
      </c>
      <c r="AD42" s="47" t="s">
        <v>269</v>
      </c>
      <c r="AE42" s="50">
        <v>0</v>
      </c>
      <c r="AF42" s="47" t="s">
        <v>258</v>
      </c>
      <c r="AG42" s="50">
        <v>0</v>
      </c>
      <c r="AH42" s="47" t="s">
        <v>208</v>
      </c>
      <c r="AI42" s="54">
        <v>10700</v>
      </c>
    </row>
    <row r="43" spans="1:35">
      <c r="A43" s="44">
        <v>41</v>
      </c>
      <c r="B43" s="45" t="s">
        <v>268</v>
      </c>
      <c r="C43" s="107">
        <v>1</v>
      </c>
      <c r="D43" s="45" t="s">
        <v>235</v>
      </c>
      <c r="E43" s="46">
        <v>-333.20000000000005</v>
      </c>
      <c r="F43" s="47" t="s">
        <v>202</v>
      </c>
      <c r="G43" s="59">
        <v>-52.95</v>
      </c>
      <c r="H43" s="47" t="s">
        <v>269</v>
      </c>
      <c r="I43" s="48">
        <v>4</v>
      </c>
      <c r="J43" s="47" t="s">
        <v>272</v>
      </c>
      <c r="K43" s="49">
        <v>0</v>
      </c>
      <c r="L43" s="47" t="s">
        <v>269</v>
      </c>
      <c r="M43" s="49">
        <v>1</v>
      </c>
      <c r="N43" s="47" t="s">
        <v>269</v>
      </c>
      <c r="O43" s="49">
        <v>0</v>
      </c>
      <c r="P43" s="47" t="s">
        <v>208</v>
      </c>
      <c r="Q43" s="50">
        <v>0</v>
      </c>
      <c r="R43" s="47" t="s">
        <v>269</v>
      </c>
      <c r="S43" s="50">
        <v>0.4</v>
      </c>
      <c r="T43" s="47" t="s">
        <v>208</v>
      </c>
      <c r="U43" s="51">
        <v>0</v>
      </c>
      <c r="V43" s="47" t="s">
        <v>166</v>
      </c>
      <c r="W43" s="51">
        <v>-11400</v>
      </c>
      <c r="X43" s="47" t="s">
        <v>264</v>
      </c>
      <c r="Y43" s="50">
        <v>0</v>
      </c>
      <c r="Z43" s="47" t="s">
        <v>268</v>
      </c>
      <c r="AA43" s="50">
        <v>0</v>
      </c>
      <c r="AB43" s="47" t="s">
        <v>264</v>
      </c>
      <c r="AC43" s="50">
        <v>0</v>
      </c>
      <c r="AD43" s="47" t="s">
        <v>268</v>
      </c>
      <c r="AE43" s="50">
        <v>0</v>
      </c>
      <c r="AF43" s="47" t="s">
        <v>272</v>
      </c>
      <c r="AG43" s="50">
        <v>0</v>
      </c>
      <c r="AH43" s="47" t="s">
        <v>180</v>
      </c>
      <c r="AI43" s="54">
        <v>7400</v>
      </c>
    </row>
  </sheetData>
  <sortState xmlns:xlrd2="http://schemas.microsoft.com/office/spreadsheetml/2017/richdata2" ref="AH3:AI10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333</v>
      </c>
      <c r="C2" s="121"/>
      <c r="E2" s="32" t="s">
        <v>54</v>
      </c>
      <c r="F2" s="29" t="s">
        <v>20</v>
      </c>
      <c r="G2" s="12">
        <v>303</v>
      </c>
      <c r="H2" s="93">
        <f>IF(B$17=0,0,G2/B$17)</f>
        <v>0.59295499021526421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-75.075075075075077</v>
      </c>
      <c r="P2" s="79">
        <v>333</v>
      </c>
      <c r="Q2" s="63">
        <v>-25000</v>
      </c>
    </row>
    <row r="3" spans="1:17">
      <c r="A3" s="19" t="s">
        <v>8</v>
      </c>
      <c r="B3" s="122">
        <v>2449</v>
      </c>
      <c r="C3" s="123"/>
      <c r="E3" s="33" t="s">
        <v>181</v>
      </c>
      <c r="F3" s="30" t="s">
        <v>156</v>
      </c>
      <c r="G3" s="13">
        <v>257</v>
      </c>
      <c r="H3" s="94">
        <f>IF(B$17=0,0,G3/B$17)</f>
        <v>0.50293542074363995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333</v>
      </c>
      <c r="Q3" s="64">
        <v>0</v>
      </c>
    </row>
    <row r="4" spans="1:17">
      <c r="A4" s="19" t="s">
        <v>6</v>
      </c>
      <c r="B4" s="124">
        <v>-80.000000000000085</v>
      </c>
      <c r="C4" s="125"/>
      <c r="E4" s="33" t="s">
        <v>184</v>
      </c>
      <c r="F4" s="30" t="s">
        <v>187</v>
      </c>
      <c r="G4" s="13">
        <v>249</v>
      </c>
      <c r="H4" s="94">
        <f>IF(B$17=0,0,G4/B$17)</f>
        <v>0.48727984344422698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-20.923076923076923</v>
      </c>
      <c r="P4" s="80">
        <v>325</v>
      </c>
      <c r="Q4" s="64">
        <v>-6800</v>
      </c>
    </row>
    <row r="5" spans="1:17">
      <c r="A5" s="19" t="s">
        <v>7</v>
      </c>
      <c r="B5" s="126">
        <f>IF(B$2=0,0,B$4/B$2)</f>
        <v>-0.24024024024024049</v>
      </c>
      <c r="C5" s="127"/>
      <c r="E5" s="33" t="s">
        <v>60</v>
      </c>
      <c r="F5" s="30" t="s">
        <v>24</v>
      </c>
      <c r="G5" s="13">
        <v>210</v>
      </c>
      <c r="H5" s="94">
        <f>IF(B$17=0,0,G5/B$17)</f>
        <v>0.41095890410958902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-69.767441860465112</v>
      </c>
      <c r="P5" s="80">
        <v>301</v>
      </c>
      <c r="Q5" s="64">
        <v>-21000</v>
      </c>
    </row>
    <row r="6" spans="1:17">
      <c r="A6" s="19" t="s">
        <v>1</v>
      </c>
      <c r="B6" s="128">
        <f>IF(B$2=0,0,(B$7*1+B$8*2+B$9*3+B$10*4)/B$2)</f>
        <v>2.4894894894894897</v>
      </c>
      <c r="C6" s="129"/>
      <c r="E6" s="33" t="s">
        <v>57</v>
      </c>
      <c r="F6" s="30" t="s">
        <v>21</v>
      </c>
      <c r="G6" s="13">
        <v>128</v>
      </c>
      <c r="H6" s="94">
        <f>IF(B$17=0,0,G6/B$17)</f>
        <v>0.25048923679060664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-27.777777777777779</v>
      </c>
      <c r="P6" s="80">
        <v>216</v>
      </c>
      <c r="Q6" s="64">
        <v>-6000</v>
      </c>
    </row>
    <row r="7" spans="1:17">
      <c r="A7" s="19" t="s">
        <v>2</v>
      </c>
      <c r="B7" s="13">
        <v>85</v>
      </c>
      <c r="C7" s="6">
        <f t="shared" ref="C7:C12" si="2">IF(B$2=0,0,B7/B$2)</f>
        <v>0.25525525525525528</v>
      </c>
      <c r="E7" s="33" t="s">
        <v>55</v>
      </c>
      <c r="F7" s="30" t="s">
        <v>155</v>
      </c>
      <c r="G7" s="13">
        <v>123</v>
      </c>
      <c r="H7" s="94">
        <f>IF(B$17=0,0,G7/B$17)</f>
        <v>0.24070450097847357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-57.142857142857146</v>
      </c>
      <c r="P7" s="80">
        <v>140</v>
      </c>
      <c r="Q7" s="64">
        <v>-8000</v>
      </c>
    </row>
    <row r="8" spans="1:17">
      <c r="A8" s="19" t="s">
        <v>3</v>
      </c>
      <c r="B8" s="13">
        <v>82</v>
      </c>
      <c r="C8" s="6">
        <f>IF(B$2=0,0,B8/B$2)</f>
        <v>0.24624624624624625</v>
      </c>
      <c r="E8" s="33" t="s">
        <v>56</v>
      </c>
      <c r="F8" s="30" t="s">
        <v>185</v>
      </c>
      <c r="G8" s="13">
        <v>119</v>
      </c>
      <c r="H8" s="94">
        <f>IF(B$17=0,0,G8/B$17)</f>
        <v>0.23287671232876711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84</v>
      </c>
      <c r="C9" s="7">
        <f>IF(B$2=0,0,B9/B$2)</f>
        <v>0.25225225225225223</v>
      </c>
      <c r="E9" s="33" t="s">
        <v>59</v>
      </c>
      <c r="F9" s="30" t="s">
        <v>23</v>
      </c>
      <c r="G9" s="13">
        <v>88</v>
      </c>
      <c r="H9" s="94">
        <f>IF(B$17=0,0,G9/B$17)</f>
        <v>0.17221135029354206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82</v>
      </c>
      <c r="C10" s="7">
        <f>IF(B$2=0,0,B10/B$2)</f>
        <v>0.24624624624624625</v>
      </c>
      <c r="E10" s="33" t="s">
        <v>182</v>
      </c>
      <c r="F10" s="30" t="s">
        <v>19</v>
      </c>
      <c r="G10" s="13">
        <v>57</v>
      </c>
      <c r="H10" s="94">
        <f>IF(B$17=0,0,G10/B$17)</f>
        <v>0.11154598825831702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167</v>
      </c>
      <c r="C11" s="7">
        <f>IF(B$2=0,0,B11/B$2)</f>
        <v>0.50150150150150152</v>
      </c>
      <c r="E11" s="33" t="s">
        <v>58</v>
      </c>
      <c r="F11" s="30" t="s">
        <v>22</v>
      </c>
      <c r="G11" s="13">
        <v>34</v>
      </c>
      <c r="H11" s="94">
        <f>IF(B$17=0,0,G11/B$17)</f>
        <v>6.6536203522504889E-2</v>
      </c>
      <c r="I11" s="56">
        <v>14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5.1051051051051052E-2</v>
      </c>
      <c r="E12" s="33" t="s">
        <v>77</v>
      </c>
      <c r="F12" s="30" t="s">
        <v>41</v>
      </c>
      <c r="G12" s="13">
        <v>25</v>
      </c>
      <c r="H12" s="94">
        <f>IF(B$17=0,0,G12/B$17)</f>
        <v>4.8923679060665359E-2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-3.2226190476190468</v>
      </c>
      <c r="P12" s="79">
        <v>84</v>
      </c>
      <c r="Q12" s="67">
        <v>-270.69999999999993</v>
      </c>
    </row>
    <row r="13" spans="1:17">
      <c r="A13" s="22" t="s">
        <v>97</v>
      </c>
      <c r="B13" s="15">
        <v>485</v>
      </c>
      <c r="C13" s="11">
        <f>IF(B$3=0,0,B13/B$3)</f>
        <v>0.19804001633319723</v>
      </c>
      <c r="E13" s="33" t="s">
        <v>71</v>
      </c>
      <c r="F13" s="30" t="s">
        <v>35</v>
      </c>
      <c r="G13" s="13">
        <v>19</v>
      </c>
      <c r="H13" s="94">
        <f>IF(B$17=0,0,G13/B$17)</f>
        <v>3.7181996086105673E-2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4.1607142857142838</v>
      </c>
      <c r="P13" s="80">
        <v>84</v>
      </c>
      <c r="Q13" s="68">
        <v>349.49999999999983</v>
      </c>
    </row>
    <row r="14" spans="1:17">
      <c r="A14" s="19" t="s">
        <v>94</v>
      </c>
      <c r="B14" s="13">
        <v>518</v>
      </c>
      <c r="C14" s="6">
        <f>IF(B$3=0,0,B14/B$3)</f>
        <v>0.21151490404246631</v>
      </c>
      <c r="E14" s="33" t="s">
        <v>183</v>
      </c>
      <c r="F14" s="30" t="s">
        <v>186</v>
      </c>
      <c r="G14" s="13">
        <v>18</v>
      </c>
      <c r="H14" s="94">
        <f>IF(B$17=0,0,G14/B$17)</f>
        <v>3.5225048923679059E-2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-3.2154761904761888</v>
      </c>
      <c r="P14" s="80">
        <v>84</v>
      </c>
      <c r="Q14" s="68">
        <v>-270.09999999999985</v>
      </c>
    </row>
    <row r="15" spans="1:17">
      <c r="A15" s="18" t="s">
        <v>99</v>
      </c>
      <c r="B15" s="12">
        <f>B21</f>
        <v>259</v>
      </c>
      <c r="C15" s="4">
        <f>IF(B$13=0,0,B15/B$13)</f>
        <v>0.53402061855670102</v>
      </c>
      <c r="E15" s="33" t="s">
        <v>74</v>
      </c>
      <c r="F15" s="30" t="s">
        <v>38</v>
      </c>
      <c r="G15" s="13">
        <v>11</v>
      </c>
      <c r="H15" s="94">
        <f>IF(B$17=0,0,G15/B$17)</f>
        <v>2.1526418786692758E-2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1.3250000000000004</v>
      </c>
      <c r="P15" s="81">
        <v>84</v>
      </c>
      <c r="Q15" s="69">
        <v>111.30000000000004</v>
      </c>
    </row>
    <row r="16" spans="1:17">
      <c r="A16" s="18" t="s">
        <v>100</v>
      </c>
      <c r="B16" s="12">
        <f>B22</f>
        <v>181</v>
      </c>
      <c r="C16" s="4">
        <f>IF(B$14=0,0,B16/B$14)</f>
        <v>0.34942084942084944</v>
      </c>
      <c r="E16" s="33" t="s">
        <v>67</v>
      </c>
      <c r="F16" s="30" t="s">
        <v>31</v>
      </c>
      <c r="G16" s="13">
        <v>7</v>
      </c>
      <c r="H16" s="94">
        <f>IF(B$17=0,0,G16/B$17)</f>
        <v>1.3698630136986301E-2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511</v>
      </c>
      <c r="C17" s="4">
        <f>IF(B$3=0,0,B17/B$3)</f>
        <v>0.20865659452837892</v>
      </c>
      <c r="E17" s="33" t="s">
        <v>66</v>
      </c>
      <c r="F17" s="30" t="s">
        <v>30</v>
      </c>
      <c r="G17" s="13">
        <v>6</v>
      </c>
      <c r="H17" s="94">
        <f>IF(B$17=0,0,G17/B$17)</f>
        <v>1.1741682974559686E-2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333</v>
      </c>
      <c r="C18" s="6">
        <f>IF(B$3=0,0,B18/B$3)</f>
        <v>0.13597386688444263</v>
      </c>
      <c r="E18" s="33" t="s">
        <v>62</v>
      </c>
      <c r="F18" s="30" t="s">
        <v>26</v>
      </c>
      <c r="G18" s="13">
        <v>4</v>
      </c>
      <c r="H18" s="94">
        <f>IF(B$17=0,0,G18/B$17)</f>
        <v>7.8277886497064575E-3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178</v>
      </c>
      <c r="C19" s="6">
        <f>IF(B$17=0,0,B19/B$17)</f>
        <v>0.34833659491193736</v>
      </c>
      <c r="E19" s="33" t="s">
        <v>69</v>
      </c>
      <c r="F19" s="30" t="s">
        <v>33</v>
      </c>
      <c r="G19" s="13">
        <v>4</v>
      </c>
      <c r="H19" s="94">
        <f>IF(B$17=0,0,G19/B$17)</f>
        <v>7.8277886497064575E-3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333</v>
      </c>
      <c r="C20" s="6">
        <f>IF(B$17=0,0,B20/B$17)</f>
        <v>0.65166340508806264</v>
      </c>
      <c r="E20" s="33" t="s">
        <v>78</v>
      </c>
      <c r="F20" s="30" t="s">
        <v>42</v>
      </c>
      <c r="G20" s="13">
        <v>4</v>
      </c>
      <c r="H20" s="94">
        <f>IF(B$17=0,0,G20/B$17)</f>
        <v>7.8277886497064575E-3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259</v>
      </c>
      <c r="C21" s="6">
        <f>IF(B$17=0,0,B21/B$17)</f>
        <v>0.50684931506849318</v>
      </c>
      <c r="E21" s="33" t="s">
        <v>61</v>
      </c>
      <c r="F21" s="30" t="s">
        <v>25</v>
      </c>
      <c r="G21" s="13">
        <v>3</v>
      </c>
      <c r="H21" s="94">
        <f>IF(B$17=0,0,G21/B$17)</f>
        <v>5.8708414872798431E-3</v>
      </c>
      <c r="I21" s="56">
        <v>4</v>
      </c>
      <c r="K21" s="5">
        <v>19</v>
      </c>
      <c r="L21" s="61">
        <v>-3.6999999999999886</v>
      </c>
      <c r="N21" s="76" t="s">
        <v>269</v>
      </c>
      <c r="O21" s="86">
        <f>IF(P21=0,0,Q21/P21)</f>
        <v>59.866666666666667</v>
      </c>
      <c r="P21" s="80">
        <v>3</v>
      </c>
      <c r="Q21" s="68">
        <v>179.6</v>
      </c>
    </row>
    <row r="22" spans="1:17">
      <c r="A22" s="19" t="s">
        <v>149</v>
      </c>
      <c r="B22" s="13">
        <v>181</v>
      </c>
      <c r="C22" s="6">
        <f>IF(B$17=0,0,B22/B$17)</f>
        <v>0.3542074363992172</v>
      </c>
      <c r="E22" s="33" t="s">
        <v>72</v>
      </c>
      <c r="F22" s="30" t="s">
        <v>36</v>
      </c>
      <c r="G22" s="13">
        <v>2</v>
      </c>
      <c r="H22" s="94">
        <f>IF(B$17=0,0,G22/B$17)</f>
        <v>3.9138943248532287E-3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71</v>
      </c>
      <c r="C23" s="6">
        <f>IF(B$17=0,0,B23/B$17)</f>
        <v>0.13894324853228962</v>
      </c>
      <c r="E23" s="33" t="s">
        <v>75</v>
      </c>
      <c r="F23" s="30" t="s">
        <v>39</v>
      </c>
      <c r="G23" s="13">
        <v>2</v>
      </c>
      <c r="H23" s="94">
        <f>IF(B$17=0,0,G23/B$17)</f>
        <v>3.9138943248532287E-3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43.426666666666662</v>
      </c>
      <c r="P23" s="80">
        <v>30</v>
      </c>
      <c r="Q23" s="68">
        <v>1302.8</v>
      </c>
    </row>
    <row r="24" spans="1:17">
      <c r="A24" s="19" t="s">
        <v>5</v>
      </c>
      <c r="B24" s="16">
        <f>IF(B$17=0,0,C24/B$17)</f>
        <v>6783.5616438356165</v>
      </c>
      <c r="C24" s="8">
        <v>3466400</v>
      </c>
      <c r="E24" s="33" t="s">
        <v>76</v>
      </c>
      <c r="F24" s="30" t="s">
        <v>40</v>
      </c>
      <c r="G24" s="13">
        <v>2</v>
      </c>
      <c r="H24" s="94">
        <f>IF(B$17=0,0,G24/B$17)</f>
        <v>3.9138943248532287E-3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7720.606060606061</v>
      </c>
      <c r="C25" s="98">
        <v>2547800</v>
      </c>
      <c r="E25" s="33" t="s">
        <v>80</v>
      </c>
      <c r="F25" s="30" t="s">
        <v>44</v>
      </c>
      <c r="G25" s="13">
        <v>1</v>
      </c>
      <c r="H25" s="94">
        <f>IF(B$17=0,0,G25/B$17)</f>
        <v>1.9569471624266144E-3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5075.138121546961</v>
      </c>
      <c r="C26" s="98">
        <v>918600</v>
      </c>
      <c r="E26" s="33" t="s">
        <v>82</v>
      </c>
      <c r="F26" s="30" t="s">
        <v>46</v>
      </c>
      <c r="G26" s="13">
        <v>1</v>
      </c>
      <c r="H26" s="94">
        <f>IF(B$17=0,0,G26/B$17)</f>
        <v>1.9569471624266144E-3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-6383.4834834834837</v>
      </c>
      <c r="C27" s="98">
        <v>-2125700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238</v>
      </c>
      <c r="O28" s="86">
        <f>IF(P28=0,0,Q28/P28)</f>
        <v>26.155555555555548</v>
      </c>
      <c r="P28" s="80">
        <v>36</v>
      </c>
      <c r="Q28" s="68">
        <v>941.59999999999968</v>
      </c>
    </row>
    <row r="29" spans="1:17">
      <c r="A29" s="19" t="s">
        <v>131</v>
      </c>
      <c r="B29" s="13">
        <v>37</v>
      </c>
      <c r="C29" s="96">
        <v>6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8</v>
      </c>
      <c r="C32" s="9">
        <f>IF(B$3=0,0,B32/B$3)</f>
        <v>3.2666394446712946E-3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14.733333333333336</v>
      </c>
      <c r="P32" s="80">
        <v>18</v>
      </c>
      <c r="Q32" s="68">
        <v>265.20000000000005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228</v>
      </c>
      <c r="O33" s="86">
        <f>IF(P33=0,0,Q33/P33)</f>
        <v>11.113725490196078</v>
      </c>
      <c r="P33" s="80">
        <v>51</v>
      </c>
      <c r="Q33" s="68">
        <v>566.79999999999995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7.9333333333333327</v>
      </c>
      <c r="P34" s="80">
        <v>18</v>
      </c>
      <c r="Q34" s="68">
        <v>142.79999999999998</v>
      </c>
    </row>
    <row r="35" spans="1:17">
      <c r="A35" s="52" t="s">
        <v>139</v>
      </c>
      <c r="B35" s="99">
        <v>56</v>
      </c>
      <c r="C35" s="102">
        <f t="shared" ref="C35:C47" si="3">IF(B$17=0,0,B35/B$17)</f>
        <v>0.1095890410958904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216</v>
      </c>
      <c r="O35" s="86">
        <f>IF(P35=0,0,Q35/P35)</f>
        <v>6.4740740740740694</v>
      </c>
      <c r="P35" s="80">
        <v>81</v>
      </c>
      <c r="Q35" s="68">
        <v>524.39999999999964</v>
      </c>
    </row>
    <row r="36" spans="1:17">
      <c r="A36" s="19" t="s">
        <v>135</v>
      </c>
      <c r="B36" s="13">
        <v>97</v>
      </c>
      <c r="C36" s="6">
        <f t="shared" si="3"/>
        <v>0.18982387475538159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>IF(P36=0,0,Q36/P36)</f>
        <v>4.704761904761904</v>
      </c>
      <c r="P36" s="80">
        <v>42</v>
      </c>
      <c r="Q36" s="68">
        <v>197.59999999999997</v>
      </c>
    </row>
    <row r="37" spans="1:17">
      <c r="A37" s="19" t="s">
        <v>136</v>
      </c>
      <c r="B37" s="100">
        <v>120</v>
      </c>
      <c r="C37" s="6">
        <f t="shared" si="3"/>
        <v>0.23483365949119372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179</v>
      </c>
      <c r="O37" s="86">
        <f>IF(P37=0,0,Q37/P37)</f>
        <v>2.4666666666666663</v>
      </c>
      <c r="P37" s="80">
        <v>48</v>
      </c>
      <c r="Q37" s="68">
        <v>118.39999999999998</v>
      </c>
    </row>
    <row r="38" spans="1:17">
      <c r="A38" s="19" t="s">
        <v>137</v>
      </c>
      <c r="B38" s="100">
        <v>108</v>
      </c>
      <c r="C38" s="6">
        <f t="shared" si="3"/>
        <v>0.21135029354207435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175</v>
      </c>
      <c r="O38" s="86">
        <f>IF(P38=0,0,Q38/P38)</f>
        <v>1.4666666666666668</v>
      </c>
      <c r="P38" s="80">
        <v>6</v>
      </c>
      <c r="Q38" s="68">
        <v>8.8000000000000007</v>
      </c>
    </row>
    <row r="39" spans="1:17">
      <c r="A39" s="19" t="s">
        <v>138</v>
      </c>
      <c r="B39" s="100">
        <v>50</v>
      </c>
      <c r="C39" s="6">
        <f t="shared" si="3"/>
        <v>9.7847358121330719E-2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161</v>
      </c>
      <c r="O39" s="86">
        <f>IF(P39=0,0,Q39/P39)</f>
        <v>-0.57333333333333036</v>
      </c>
      <c r="P39" s="80">
        <v>30</v>
      </c>
      <c r="Q39" s="68">
        <v>-17.19999999999991</v>
      </c>
    </row>
    <row r="40" spans="1:17">
      <c r="A40" s="19" t="s">
        <v>140</v>
      </c>
      <c r="B40" s="100">
        <v>56</v>
      </c>
      <c r="C40" s="6">
        <f t="shared" si="3"/>
        <v>0.1095890410958904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>IF(P40=0,0,Q40/P40)</f>
        <v>-2.1833333333333345</v>
      </c>
      <c r="P40" s="80">
        <v>24</v>
      </c>
      <c r="Q40" s="68">
        <v>-52.400000000000027</v>
      </c>
    </row>
    <row r="41" spans="1:17">
      <c r="A41" s="19" t="s">
        <v>141</v>
      </c>
      <c r="B41" s="100">
        <v>18</v>
      </c>
      <c r="C41" s="6">
        <f t="shared" si="3"/>
        <v>3.5225048923679059E-2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2</v>
      </c>
      <c r="C42" s="6">
        <f t="shared" si="3"/>
        <v>3.9138943248532287E-3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2</v>
      </c>
      <c r="C43" s="6">
        <f t="shared" si="3"/>
        <v>3.9138943248532287E-3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263</v>
      </c>
      <c r="O44" s="86">
        <f>IF(P44=0,0,Q44/P44)</f>
        <v>-7.1733333333333338</v>
      </c>
      <c r="P44" s="80">
        <v>15</v>
      </c>
      <c r="Q44" s="68">
        <v>-107.60000000000001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195</v>
      </c>
      <c r="O46" s="86">
        <f>IF(P46=0,0,Q46/P46)</f>
        <v>-8.6594594594594625</v>
      </c>
      <c r="P46" s="80">
        <v>111</v>
      </c>
      <c r="Q46" s="68">
        <v>-961.20000000000027</v>
      </c>
    </row>
    <row r="47" spans="1:17">
      <c r="A47" s="21" t="s">
        <v>147</v>
      </c>
      <c r="B47" s="101">
        <v>2</v>
      </c>
      <c r="C47" s="9">
        <f t="shared" si="3"/>
        <v>3.9138943248532287E-3</v>
      </c>
      <c r="K47" s="5">
        <v>45</v>
      </c>
      <c r="L47" s="61">
        <v>-52.099999999999987</v>
      </c>
      <c r="N47" s="76" t="s">
        <v>272</v>
      </c>
      <c r="O47" s="86">
        <f>IF(P47=0,0,Q47/P47)</f>
        <v>-10.533333333333333</v>
      </c>
      <c r="P47" s="80">
        <v>6</v>
      </c>
      <c r="Q47" s="68">
        <v>-63.199999999999996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265</v>
      </c>
      <c r="O49" s="86">
        <f>IF(P49=0,0,Q49/P49)</f>
        <v>-13.28888888888889</v>
      </c>
      <c r="P49" s="80">
        <v>9</v>
      </c>
      <c r="Q49" s="68">
        <v>-119.60000000000001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-29.999999999999982</v>
      </c>
      <c r="P52" s="80">
        <v>18</v>
      </c>
      <c r="Q52" s="68">
        <v>-539.99999999999966</v>
      </c>
    </row>
    <row r="53" spans="11:17">
      <c r="K53" s="5">
        <v>51</v>
      </c>
      <c r="L53" s="61">
        <v>10</v>
      </c>
      <c r="N53" s="76" t="s">
        <v>162</v>
      </c>
      <c r="O53" s="86">
        <f>IF(P53=0,0,Q53/P53)</f>
        <v>-39.703703703703681</v>
      </c>
      <c r="P53" s="80">
        <v>27</v>
      </c>
      <c r="Q53" s="68">
        <v>-1071.9999999999993</v>
      </c>
    </row>
    <row r="54" spans="11:17">
      <c r="K54" s="5">
        <v>52</v>
      </c>
      <c r="L54" s="61">
        <v>-20</v>
      </c>
      <c r="N54" s="76" t="s">
        <v>205</v>
      </c>
      <c r="O54" s="86">
        <f>IF(P54=0,0,Q54/P54)</f>
        <v>-47.866666666666667</v>
      </c>
      <c r="P54" s="80">
        <v>12</v>
      </c>
      <c r="Q54" s="68">
        <v>-574.4</v>
      </c>
    </row>
    <row r="55" spans="11:17">
      <c r="K55" s="5">
        <v>53</v>
      </c>
      <c r="L55" s="61">
        <v>-10.1</v>
      </c>
      <c r="N55" s="76" t="s">
        <v>268</v>
      </c>
      <c r="O55" s="86">
        <f>IF(P55=0,0,Q55/P55)</f>
        <v>-72.8</v>
      </c>
      <c r="P55" s="80">
        <v>3</v>
      </c>
      <c r="Q55" s="68">
        <v>-218.4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-74.133333333333326</v>
      </c>
      <c r="P56" s="80">
        <v>3</v>
      </c>
      <c r="Q56" s="68">
        <v>-222.39999999999998</v>
      </c>
    </row>
    <row r="57" spans="11:17">
      <c r="K57" s="5">
        <v>55</v>
      </c>
      <c r="L57" s="61">
        <v>20.799999999999997</v>
      </c>
      <c r="N57" s="76" t="s">
        <v>231</v>
      </c>
      <c r="O57" s="86">
        <f>IF(P57=0,0,Q57/P57)</f>
        <v>-75</v>
      </c>
      <c r="P57" s="80">
        <v>6</v>
      </c>
      <c r="Q57" s="68">
        <v>-450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</sheetData>
  <sortState xmlns:xlrd2="http://schemas.microsoft.com/office/spreadsheetml/2017/richdata2" ref="N18:Q5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7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27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3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9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29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24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14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15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30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32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24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30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15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23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13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22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3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10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8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23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>IF(P19=0,0,Q19/P19)</f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>IF(P20=0,0,Q20/P20)</f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>IF(P21=0,0,Q21/P21)</f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>IF(P23=0,0,Q23/P23)</f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>IF(P24=0,0,Q24/P24)</f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238</v>
      </c>
      <c r="O25" s="86">
        <f>IF(P25=0,0,Q25/P25)</f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>IF(P26=0,0,Q26/P26)</f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>IF(P27=0,0,Q27/P27)</f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195</v>
      </c>
      <c r="O28" s="86">
        <f>IF(P28=0,0,Q28/P28)</f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>IF(P30=0,0,Q30/P30)</f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>IF(P31=0,0,Q31/P31)</f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4.5454545454545456E-2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-2900</v>
      </c>
      <c r="P2" s="79">
        <v>10</v>
      </c>
      <c r="Q2" s="63">
        <v>-29000</v>
      </c>
    </row>
    <row r="3" spans="1:17">
      <c r="A3" s="19" t="s">
        <v>8</v>
      </c>
      <c r="B3" s="122">
        <v>74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-3110</v>
      </c>
      <c r="P3" s="80">
        <v>10</v>
      </c>
      <c r="Q3" s="64">
        <v>-31100</v>
      </c>
    </row>
    <row r="4" spans="1:17">
      <c r="A4" s="19" t="s">
        <v>6</v>
      </c>
      <c r="B4" s="124">
        <v>-333.20000000000005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-4020</v>
      </c>
      <c r="P4" s="80">
        <v>10</v>
      </c>
      <c r="Q4" s="64">
        <v>-40200</v>
      </c>
    </row>
    <row r="5" spans="1:17">
      <c r="A5" s="19" t="s">
        <v>7</v>
      </c>
      <c r="B5" s="126">
        <f>IF(B$2=0,0,B$4/B$2)</f>
        <v>-33.320000000000007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-67.200000000000017</v>
      </c>
      <c r="N5" s="76" t="s">
        <v>157</v>
      </c>
      <c r="O5" s="83">
        <f>IF(P5=0,0,Q5/P5)</f>
        <v>-1430</v>
      </c>
      <c r="P5" s="80">
        <v>10</v>
      </c>
      <c r="Q5" s="64">
        <v>-14300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0.25</v>
      </c>
      <c r="I6" s="56">
        <v>28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-887.5</v>
      </c>
      <c r="P6" s="80">
        <v>8</v>
      </c>
      <c r="Q6" s="64">
        <v>-7100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55</v>
      </c>
      <c r="F7" s="30" t="s">
        <v>155</v>
      </c>
      <c r="G7" s="13">
        <v>1</v>
      </c>
      <c r="H7" s="94">
        <f>IF(B$17=0,0,G7/B$17)</f>
        <v>0.125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2625</v>
      </c>
      <c r="P7" s="80">
        <v>4</v>
      </c>
      <c r="Q7" s="64">
        <v>10500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0.7</v>
      </c>
      <c r="E10" s="33" t="s">
        <v>61</v>
      </c>
      <c r="F10" s="30" t="s">
        <v>25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66</v>
      </c>
      <c r="F11" s="30" t="s">
        <v>30</v>
      </c>
      <c r="G11" s="13">
        <v>1</v>
      </c>
      <c r="H11" s="94">
        <f>IF(B$17=0,0,G11/B$17)</f>
        <v>0.125</v>
      </c>
      <c r="I11" s="56">
        <v>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71</v>
      </c>
      <c r="F12" s="30" t="s">
        <v>35</v>
      </c>
      <c r="G12" s="13">
        <v>1</v>
      </c>
      <c r="H12" s="94">
        <f>IF(B$17=0,0,G12/B$17)</f>
        <v>0.125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8</v>
      </c>
      <c r="C13" s="11">
        <f>IF(B$3=0,0,B13/B$3)</f>
        <v>0.10810810810810811</v>
      </c>
      <c r="E13" s="33" t="s">
        <v>184</v>
      </c>
      <c r="F13" s="30" t="s">
        <v>187</v>
      </c>
      <c r="G13" s="13">
        <v>1</v>
      </c>
      <c r="H13" s="94">
        <f>IF(B$17=0,0,G13/B$17)</f>
        <v>0.125</v>
      </c>
      <c r="I13" s="56">
        <v>30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0.25675675675675674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20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0.10810810810810811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0.22972972972972974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>IF(P22=0,0,Q22/P22)</f>
        <v>-32.75</v>
      </c>
      <c r="P22" s="80">
        <v>2</v>
      </c>
      <c r="Q22" s="68">
        <v>-65.5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>IF(P23=0,0,Q23/P23)</f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5212.5</v>
      </c>
      <c r="C24" s="8">
        <v>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-46.175000000000011</v>
      </c>
      <c r="P24" s="80">
        <v>4</v>
      </c>
      <c r="Q24" s="68">
        <v>-184.70000000000005</v>
      </c>
    </row>
    <row r="25" spans="1:17">
      <c r="A25" s="20" t="s">
        <v>133</v>
      </c>
      <c r="B25" s="97">
        <f>IF($B$17-B$16=0,0,C25/($B$17-B$16))</f>
        <v>6600</v>
      </c>
      <c r="C25" s="98">
        <v>33000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-56.8</v>
      </c>
      <c r="P25" s="80">
        <v>1</v>
      </c>
      <c r="Q25" s="68">
        <v>-56.8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>IF(P26=0,0,Q26/P26)</f>
        <v>-59.824999999999996</v>
      </c>
      <c r="P26" s="80">
        <v>4</v>
      </c>
      <c r="Q26" s="68">
        <v>-239.29999999999998</v>
      </c>
    </row>
    <row r="27" spans="1:17">
      <c r="A27" s="20" t="s">
        <v>132</v>
      </c>
      <c r="B27" s="97">
        <f>IF(B$18=0,0,C27/B$18)</f>
        <v>-6623.5294117647063</v>
      </c>
      <c r="C27" s="98">
        <v>-112600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262</v>
      </c>
      <c r="O27" s="86">
        <f>IF(P27=0,0,Q27/P27)</f>
        <v>-64.5</v>
      </c>
      <c r="P27" s="80">
        <v>1</v>
      </c>
      <c r="Q27" s="68">
        <v>-64.5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>IF(P28=0,0,Q28/P28)</f>
        <v>-102.8</v>
      </c>
      <c r="P28" s="80">
        <v>3</v>
      </c>
      <c r="Q28" s="68">
        <v>-308.39999999999998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265</v>
      </c>
      <c r="O29" s="86">
        <f>IF(P29=0,0,Q29/P29)</f>
        <v>-127</v>
      </c>
      <c r="P29" s="80">
        <v>1</v>
      </c>
      <c r="Q29" s="68">
        <v>-127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1.3513513513513514E-2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33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29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29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6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12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22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22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29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24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3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34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>IF(P19=0,0,Q19/P19)</f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>IF(P20=0,0,Q20/P20)</f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>IF(P21=0,0,Q21/P21)</f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>IF(P22=0,0,Q22/P22)</f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>IF(P23=0,0,Q23/P23)</f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>IF(P24=0,0,Q24/P24)</f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>IF(P26=0,0,Q26/P26)</f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0.125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19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3</v>
      </c>
      <c r="Q3" s="64">
        <v>0</v>
      </c>
    </row>
    <row r="4" spans="1:17">
      <c r="A4" s="19" t="s">
        <v>6</v>
      </c>
      <c r="B4" s="124">
        <v>27.400000000000002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3700</v>
      </c>
      <c r="P4" s="80">
        <v>3</v>
      </c>
      <c r="Q4" s="64">
        <v>11100</v>
      </c>
    </row>
    <row r="5" spans="1:17">
      <c r="A5" s="19" t="s">
        <v>7</v>
      </c>
      <c r="B5" s="126">
        <f>IF(B$2=0,0,B$4/B$2)</f>
        <v>9.1333333333333346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26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0.10526315789473684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0.26315789473684209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5.2631578947368418E-2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 t="shared" si="3"/>
        <v>50.1</v>
      </c>
      <c r="P19" s="80">
        <v>1</v>
      </c>
      <c r="Q19" s="68">
        <v>50.1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20.099999999999998</v>
      </c>
      <c r="P20" s="80">
        <v>1</v>
      </c>
      <c r="Q20" s="68">
        <v>20.099999999999998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262</v>
      </c>
      <c r="O21" s="86">
        <f t="shared" si="3"/>
        <v>18.400000000000002</v>
      </c>
      <c r="P21" s="80">
        <v>2</v>
      </c>
      <c r="Q21" s="68">
        <v>36.800000000000004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18.200000000000003</v>
      </c>
      <c r="P22" s="80">
        <v>2</v>
      </c>
      <c r="Q22" s="68">
        <v>36.400000000000006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268</v>
      </c>
      <c r="O23" s="86">
        <f t="shared" si="3"/>
        <v>-49.4</v>
      </c>
      <c r="P23" s="80">
        <v>1</v>
      </c>
      <c r="Q23" s="68">
        <v>-49.4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264</v>
      </c>
      <c r="O24" s="86">
        <f t="shared" si="3"/>
        <v>-101.4</v>
      </c>
      <c r="P24" s="80">
        <v>1</v>
      </c>
      <c r="Q24" s="68">
        <v>-101.4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0.55555555555555558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-1040</v>
      </c>
      <c r="P2" s="79">
        <v>5</v>
      </c>
      <c r="Q2" s="63">
        <v>-5200</v>
      </c>
    </row>
    <row r="3" spans="1:17">
      <c r="A3" s="19" t="s">
        <v>8</v>
      </c>
      <c r="B3" s="122">
        <v>39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26</v>
      </c>
      <c r="K3" s="5">
        <v>1</v>
      </c>
      <c r="L3" s="61">
        <v>10.3</v>
      </c>
      <c r="N3" s="76" t="s">
        <v>104</v>
      </c>
      <c r="O3" s="83">
        <f t="shared" si="0"/>
        <v>-200</v>
      </c>
      <c r="P3" s="80">
        <v>5</v>
      </c>
      <c r="Q3" s="64">
        <v>-1000</v>
      </c>
    </row>
    <row r="4" spans="1:17">
      <c r="A4" s="19" t="s">
        <v>6</v>
      </c>
      <c r="B4" s="124">
        <v>26.900000000000002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0.22222222222222221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140</v>
      </c>
      <c r="P4" s="80">
        <v>5</v>
      </c>
      <c r="Q4" s="64">
        <v>700</v>
      </c>
    </row>
    <row r="5" spans="1:17">
      <c r="A5" s="19" t="s">
        <v>7</v>
      </c>
      <c r="B5" s="126">
        <f>IF(B$2=0,0,B$4/B$2)</f>
        <v>5.3800000000000008</v>
      </c>
      <c r="C5" s="127"/>
      <c r="E5" s="33" t="s">
        <v>59</v>
      </c>
      <c r="F5" s="30" t="s">
        <v>23</v>
      </c>
      <c r="G5" s="13">
        <v>2</v>
      </c>
      <c r="H5" s="94">
        <f>IF(B$17=0,0,G5/B$17)</f>
        <v>0.22222222222222221</v>
      </c>
      <c r="I5" s="56">
        <v>13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0.1111111111111111</v>
      </c>
      <c r="I6" s="56">
        <v>15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26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77</v>
      </c>
      <c r="F9" s="30" t="s">
        <v>41</v>
      </c>
      <c r="G9" s="13">
        <v>1</v>
      </c>
      <c r="H9" s="94">
        <f>IF(B$17=0,0,G9/B$17)</f>
        <v>0.1111111111111111</v>
      </c>
      <c r="I9" s="56">
        <v>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184</v>
      </c>
      <c r="F10" s="30" t="s">
        <v>187</v>
      </c>
      <c r="G10" s="13">
        <v>1</v>
      </c>
      <c r="H10" s="94">
        <f>IF(B$17=0,0,G10/B$17)</f>
        <v>0.1111111111111111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12.866666666666665</v>
      </c>
      <c r="P12" s="79">
        <v>3</v>
      </c>
      <c r="Q12" s="67">
        <v>38.599999999999994</v>
      </c>
    </row>
    <row r="13" spans="1:17">
      <c r="A13" s="22" t="s">
        <v>97</v>
      </c>
      <c r="B13" s="15">
        <v>7</v>
      </c>
      <c r="C13" s="11">
        <f>IF(B$3=0,0,B13/B$3)</f>
        <v>0.17948717948717949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10</v>
      </c>
      <c r="C14" s="6">
        <f>IF(B$3=0,0,B14/B$3)</f>
        <v>0.25641025641025639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0.23076923076923078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5.128205128205128E-2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258</v>
      </c>
      <c r="O18" s="85">
        <f>IF(P18=0,0,Q18/P18)</f>
        <v>57.3</v>
      </c>
      <c r="P18" s="79">
        <v>2</v>
      </c>
      <c r="Q18" s="67">
        <v>114.6</v>
      </c>
    </row>
    <row r="19" spans="1:17">
      <c r="A19" s="19" t="s">
        <v>12</v>
      </c>
      <c r="B19" s="13">
        <v>2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>IF(P19=0,0,Q19/P19)</f>
        <v>32.75</v>
      </c>
      <c r="P19" s="80">
        <v>2</v>
      </c>
      <c r="Q19" s="68">
        <v>65.5</v>
      </c>
    </row>
    <row r="20" spans="1:17">
      <c r="A20" s="19" t="s">
        <v>11</v>
      </c>
      <c r="B20" s="13">
        <v>7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262</v>
      </c>
      <c r="O20" s="86">
        <f>IF(P20=0,0,Q20/P20)</f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>IF(P21=0,0,Q21/P21)</f>
        <v>8.0000000000000018</v>
      </c>
      <c r="P21" s="80">
        <v>2</v>
      </c>
      <c r="Q21" s="68">
        <v>16.000000000000004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228</v>
      </c>
      <c r="O22" s="86">
        <f>IF(P22=0,0,Q22/P22)</f>
        <v>-2.7499999999999964</v>
      </c>
      <c r="P22" s="80">
        <v>2</v>
      </c>
      <c r="Q22" s="68">
        <v>-5.4999999999999929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>IF(P23=0,0,Q23/P23)</f>
        <v>-18.200000000000003</v>
      </c>
      <c r="P23" s="80">
        <v>2</v>
      </c>
      <c r="Q23" s="68">
        <v>-36.400000000000006</v>
      </c>
    </row>
    <row r="24" spans="1:17">
      <c r="A24" s="19" t="s">
        <v>5</v>
      </c>
      <c r="B24" s="16">
        <f>IF(B$17=0,0,C24/B$17)</f>
        <v>3344.4444444444443</v>
      </c>
      <c r="C24" s="8">
        <v>30100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264</v>
      </c>
      <c r="O24" s="86">
        <f>IF(P24=0,0,Q24/P24)</f>
        <v>-45.3</v>
      </c>
      <c r="P24" s="80">
        <v>1</v>
      </c>
      <c r="Q24" s="68">
        <v>-45.3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>IF(P25=0,0,Q25/P25)</f>
        <v>-55.6</v>
      </c>
      <c r="P25" s="80">
        <v>1</v>
      </c>
      <c r="Q25" s="68">
        <v>-55.6</v>
      </c>
    </row>
    <row r="26" spans="1:17">
      <c r="A26" s="20" t="s">
        <v>134</v>
      </c>
      <c r="B26" s="97">
        <f>IF(B$16=0,0,C26/B$16)</f>
        <v>1380</v>
      </c>
      <c r="C26" s="98">
        <v>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27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0.55555555555555558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-47.4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-16000</v>
      </c>
      <c r="P4" s="80">
        <v>1</v>
      </c>
      <c r="Q4" s="64">
        <v>-16000</v>
      </c>
    </row>
    <row r="5" spans="1:17">
      <c r="A5" s="19" t="s">
        <v>7</v>
      </c>
      <c r="B5" s="126">
        <f>IF(B$2=0,0,B$4/B$2)</f>
        <v>-47.4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213</v>
      </c>
      <c r="O18" s="85">
        <f>IF(P18=0,0,Q18/P18)</f>
        <v>-30</v>
      </c>
      <c r="P18" s="79">
        <v>1</v>
      </c>
      <c r="Q18" s="67">
        <v>-30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-50.1</v>
      </c>
      <c r="P19" s="80">
        <v>1</v>
      </c>
      <c r="Q19" s="68">
        <v>-50.1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268</v>
      </c>
      <c r="O20" s="86">
        <f>IF(P20=0,0,Q20/P20)</f>
        <v>-99.5</v>
      </c>
      <c r="P20" s="80">
        <v>1</v>
      </c>
      <c r="Q20" s="68">
        <v>-99.5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-9950</v>
      </c>
      <c r="C27" s="98">
        <v>-19900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-1650</v>
      </c>
      <c r="P2" s="79">
        <v>2</v>
      </c>
      <c r="Q2" s="63">
        <v>-3300</v>
      </c>
    </row>
    <row r="3" spans="1:17">
      <c r="A3" s="19" t="s">
        <v>8</v>
      </c>
      <c r="B3" s="122">
        <v>16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0.33333333333333331</v>
      </c>
      <c r="I3" s="56">
        <v>2</v>
      </c>
      <c r="K3" s="5">
        <v>1</v>
      </c>
      <c r="L3" s="61">
        <v>6.3</v>
      </c>
      <c r="N3" s="76" t="s">
        <v>104</v>
      </c>
      <c r="O3" s="83">
        <f t="shared" si="0"/>
        <v>650</v>
      </c>
      <c r="P3" s="80">
        <v>2</v>
      </c>
      <c r="Q3" s="64">
        <v>1300</v>
      </c>
    </row>
    <row r="4" spans="1:17">
      <c r="A4" s="19" t="s">
        <v>6</v>
      </c>
      <c r="B4" s="124">
        <v>15.8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7</v>
      </c>
      <c r="K4" s="5">
        <v>2</v>
      </c>
      <c r="L4" s="61">
        <v>15.8</v>
      </c>
      <c r="N4" s="76" t="s">
        <v>105</v>
      </c>
      <c r="O4" s="83">
        <f t="shared" si="0"/>
        <v>4150</v>
      </c>
      <c r="P4" s="80">
        <v>2</v>
      </c>
      <c r="Q4" s="64">
        <v>8300</v>
      </c>
    </row>
    <row r="5" spans="1:17">
      <c r="A5" s="19" t="s">
        <v>7</v>
      </c>
      <c r="B5" s="126">
        <f>IF(B$2=0,0,B$4/B$2)</f>
        <v>7.9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3</v>
      </c>
      <c r="N5" s="76" t="s">
        <v>157</v>
      </c>
      <c r="O5" s="83">
        <f>IF(P5=0,0,Q5/P5)</f>
        <v>-150</v>
      </c>
      <c r="P5" s="80">
        <v>2</v>
      </c>
      <c r="Q5" s="64">
        <v>-300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23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-750</v>
      </c>
      <c r="P7" s="80">
        <v>2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2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6.3</v>
      </c>
      <c r="P15" s="81">
        <v>1</v>
      </c>
      <c r="Q15" s="69">
        <v>6.3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56.8</v>
      </c>
      <c r="P18" s="79">
        <v>1</v>
      </c>
      <c r="Q18" s="67">
        <v>56.8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>IF(P19=0,0,Q19/P19)</f>
        <v>43.9</v>
      </c>
      <c r="P19" s="80">
        <v>1</v>
      </c>
      <c r="Q19" s="68">
        <v>43.9</v>
      </c>
    </row>
    <row r="20" spans="1:17">
      <c r="A20" s="19" t="s">
        <v>11</v>
      </c>
      <c r="B20" s="13">
        <v>3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263</v>
      </c>
      <c r="O20" s="86">
        <f>IF(P20=0,0,Q20/P20)</f>
        <v>-8.0000000000000018</v>
      </c>
      <c r="P20" s="80">
        <v>2</v>
      </c>
      <c r="Q20" s="68">
        <v>-16.000000000000004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-10.75</v>
      </c>
      <c r="P21" s="80">
        <v>2</v>
      </c>
      <c r="Q21" s="68">
        <v>-21.5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3533.3333333333335</v>
      </c>
      <c r="C24" s="8">
        <v>10600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4650</v>
      </c>
      <c r="C25" s="98">
        <v>9300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29500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0.66666666666666663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46</vt:i4>
      </vt:variant>
      <vt:variant>
        <vt:lpstr>名前付き一覧</vt:lpstr>
      </vt:variant>
      <vt:variant>
        <vt:i4>2451</vt:i4>
      </vt:variant>
    </vt:vector>
  </HeadingPairs>
  <TitlesOfParts>
    <vt:vector size="249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2023-06-22T09:28:01Z</dcterms:modified>
</cp:coreProperties>
</file>