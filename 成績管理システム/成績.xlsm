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50CCC8F-DA55-425D-9FD6-A00BD25F29B6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1" l="1"/>
  <c r="O23" i="6311"/>
  <c r="O43" i="6277"/>
  <c r="O22" i="6309"/>
  <c r="O28" i="6287"/>
  <c r="O21" i="6311"/>
  <c r="O24" i="6307" l="1"/>
  <c r="O31" i="6307"/>
  <c r="O44" i="6287"/>
  <c r="O27" i="6287"/>
  <c r="O38" i="6287"/>
  <c r="O20" i="6315"/>
  <c r="O25" i="6315"/>
  <c r="O21" i="6314"/>
  <c r="O31" i="6277"/>
  <c r="O46" i="6277"/>
  <c r="O38" i="6277"/>
  <c r="O27" i="6315"/>
  <c r="O21" i="6313"/>
  <c r="O25" i="6309"/>
  <c r="O19" i="6315" l="1"/>
  <c r="O22" i="6315"/>
  <c r="O28" i="6305"/>
  <c r="O27" i="6306"/>
  <c r="O19" i="6302" l="1"/>
  <c r="O28" i="6315"/>
  <c r="O25" i="6314" l="1"/>
  <c r="O26" i="6309"/>
  <c r="O21" i="6307"/>
  <c r="O20" i="6305"/>
  <c r="O23" i="6305"/>
  <c r="O26" i="6305"/>
  <c r="O30" i="6307" l="1"/>
  <c r="O22" i="6307"/>
  <c r="O20" i="6302"/>
  <c r="O28" i="6302"/>
  <c r="O18" i="6302"/>
  <c r="O23" i="6314"/>
  <c r="O22" i="6314"/>
  <c r="O23" i="6313"/>
  <c r="O18" i="6315" l="1"/>
  <c r="O26" i="6315"/>
  <c r="O27" i="6304"/>
  <c r="O28" i="6304"/>
  <c r="O29" i="6304"/>
  <c r="O24" i="6314"/>
  <c r="O18" i="6314"/>
  <c r="O27" i="6309"/>
  <c r="O18" i="6309"/>
  <c r="O19" i="6309"/>
  <c r="O18" i="6311" l="1"/>
  <c r="O21" i="6315"/>
  <c r="O20" i="6314"/>
  <c r="O23" i="6301"/>
  <c r="O29" i="6301"/>
  <c r="O18" i="6301"/>
  <c r="O29" i="6315" l="1"/>
  <c r="O24" i="6315"/>
  <c r="O23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0" i="6313"/>
  <c r="O20" i="6311"/>
  <c r="O24" i="6311"/>
  <c r="O26" i="6311"/>
  <c r="O26" i="6272"/>
  <c r="O26" i="6314"/>
  <c r="O27" i="6314"/>
  <c r="O19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H12" i="6315" l="1"/>
  <c r="H30" i="6315"/>
  <c r="H19" i="6315"/>
  <c r="H10" i="6315"/>
  <c r="H37" i="6315"/>
  <c r="H22" i="6315"/>
  <c r="C37" i="6315"/>
  <c r="H16" i="6315"/>
  <c r="H11" i="6315"/>
  <c r="C19" i="6315"/>
  <c r="H18" i="6315"/>
  <c r="C39" i="6315"/>
  <c r="H7" i="6315"/>
  <c r="H2" i="6315"/>
  <c r="H20" i="6315"/>
  <c r="H9" i="6315"/>
  <c r="C20" i="6315"/>
  <c r="H5" i="6315"/>
  <c r="H8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6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5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6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3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4" i="6314"/>
  <c r="H12" i="6314"/>
  <c r="H15" i="6314"/>
  <c r="H17" i="6314"/>
  <c r="C20" i="6314"/>
  <c r="B24" i="6314"/>
  <c r="H29" i="6314"/>
  <c r="C35" i="6314"/>
  <c r="C39" i="6314"/>
  <c r="O29" i="6313" l="1"/>
  <c r="O27" i="6313"/>
  <c r="O26" i="6313"/>
  <c r="O19" i="6310"/>
  <c r="O22" i="6310"/>
  <c r="O27" i="6303"/>
  <c r="O24" i="6303"/>
  <c r="O26" i="6303"/>
  <c r="O27" i="6307"/>
  <c r="O19" i="6307"/>
  <c r="O30" i="6301" l="1"/>
  <c r="O22" i="6313"/>
  <c r="O24" i="6313" l="1"/>
  <c r="O28" i="6313"/>
  <c r="O2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8" i="6309"/>
  <c r="O24" i="6309"/>
  <c r="O57" i="6272"/>
  <c r="H2" i="6313" l="1"/>
  <c r="H16" i="6313"/>
  <c r="C35" i="6313"/>
  <c r="C20" i="6313"/>
  <c r="H10" i="6313"/>
  <c r="H41" i="6313"/>
  <c r="H19" i="6313"/>
  <c r="H21" i="6313"/>
  <c r="C21" i="6313"/>
  <c r="H15" i="6313"/>
  <c r="C36" i="6313"/>
  <c r="C41" i="6313"/>
  <c r="H24" i="6313"/>
  <c r="H29" i="6313"/>
  <c r="H37" i="6313"/>
  <c r="C42" i="6313"/>
  <c r="H31" i="6313"/>
  <c r="H5" i="6313"/>
  <c r="H17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0" i="6313"/>
  <c r="H26" i="6313"/>
  <c r="H39" i="6313"/>
  <c r="H18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4" i="6313"/>
  <c r="H27" i="6313"/>
  <c r="H30" i="6313"/>
  <c r="H36" i="6313"/>
  <c r="H40" i="6313"/>
  <c r="O20" i="6287" l="1"/>
  <c r="O18" i="6287"/>
  <c r="O23" i="6287"/>
  <c r="O19" i="6306"/>
  <c r="O24" i="6306"/>
  <c r="O28" i="6306"/>
  <c r="O23" i="6308"/>
  <c r="O21" i="6308"/>
  <c r="O31" i="6309"/>
  <c r="O21" i="6309"/>
  <c r="O23" i="6293" l="1"/>
  <c r="O27" i="6293"/>
  <c r="O18" i="6293"/>
  <c r="O29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2" i="6311"/>
  <c r="O25" i="6311"/>
  <c r="O27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6" i="6301"/>
  <c r="O32" i="6301"/>
  <c r="O28" i="6301"/>
  <c r="O20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30" i="6309"/>
  <c r="O29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H9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28" i="6307"/>
  <c r="O23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42" i="6272"/>
  <c r="O28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9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7" i="6307"/>
  <c r="H19" i="6307"/>
  <c r="H3" i="6307"/>
  <c r="C21" i="6307"/>
  <c r="H14" i="6307"/>
  <c r="H7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7" i="6309"/>
  <c r="H13" i="6309"/>
  <c r="H21" i="6309"/>
  <c r="H35" i="6309"/>
  <c r="H33" i="6309"/>
  <c r="C20" i="6309"/>
  <c r="C39" i="6309"/>
  <c r="H17" i="6309"/>
  <c r="H2" i="6309"/>
  <c r="B24" i="6309"/>
  <c r="H41" i="6309"/>
  <c r="C41" i="6309"/>
  <c r="H23" i="6309"/>
  <c r="H28" i="6309"/>
  <c r="C35" i="6309"/>
  <c r="H42" i="6309"/>
  <c r="H3" i="6309"/>
  <c r="C17" i="6309"/>
  <c r="H10" i="6309"/>
  <c r="H20" i="6309"/>
  <c r="H24" i="6309"/>
  <c r="H29" i="6309"/>
  <c r="C37" i="6309"/>
  <c r="C43" i="6309"/>
  <c r="H15" i="6309"/>
  <c r="C22" i="6309"/>
  <c r="H8" i="6309"/>
  <c r="H18" i="6309"/>
  <c r="C23" i="6309"/>
  <c r="H12" i="6309"/>
  <c r="H38" i="6309"/>
  <c r="C46" i="6309"/>
  <c r="H6" i="6309"/>
  <c r="H37" i="6309"/>
  <c r="H4" i="6309"/>
  <c r="H16" i="6309"/>
  <c r="H11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3" i="6307"/>
  <c r="C42" i="6307"/>
  <c r="H6" i="6307"/>
  <c r="H23" i="6307"/>
  <c r="C22" i="6307"/>
  <c r="H31" i="6307"/>
  <c r="C37" i="6307"/>
  <c r="H5" i="6307"/>
  <c r="C43" i="6307"/>
  <c r="H37" i="6307"/>
  <c r="H15" i="6307"/>
  <c r="H2" i="6307"/>
  <c r="H32" i="6307"/>
  <c r="H9" i="6307"/>
  <c r="H18" i="6307"/>
  <c r="H25" i="6307"/>
  <c r="H39" i="6307"/>
  <c r="C45" i="6307"/>
  <c r="H29" i="6307"/>
  <c r="H10" i="6307"/>
  <c r="C23" i="6307"/>
  <c r="H4" i="6307"/>
  <c r="H16" i="6307"/>
  <c r="C19" i="6307"/>
  <c r="B24" i="6307"/>
  <c r="H34" i="6307"/>
  <c r="C39" i="6307"/>
  <c r="C46" i="6307"/>
  <c r="C17" i="6307"/>
  <c r="H20" i="6307"/>
  <c r="C38" i="6307"/>
  <c r="H8" i="6307"/>
  <c r="H21" i="6307"/>
  <c r="H12" i="6307"/>
  <c r="H35" i="6307"/>
  <c r="C40" i="6307"/>
  <c r="C47" i="6307"/>
  <c r="B25" i="6307"/>
  <c r="H11" i="6307"/>
  <c r="H24" i="6307"/>
  <c r="H27" i="6307"/>
  <c r="H33" i="6307"/>
  <c r="H38" i="6307"/>
  <c r="H42" i="6307"/>
  <c r="H22" i="6307"/>
  <c r="H26" i="6307"/>
  <c r="H30" i="6307"/>
  <c r="H36" i="6307"/>
  <c r="H40" i="6307"/>
  <c r="O25" i="6305" l="1"/>
  <c r="O23" i="6298"/>
  <c r="O29" i="6305" l="1"/>
  <c r="O27" i="6305"/>
  <c r="O18" i="6295"/>
  <c r="O21" i="6287"/>
  <c r="O24" i="6305"/>
  <c r="O22" i="6305"/>
  <c r="O20" i="6306"/>
  <c r="O25" i="6306"/>
  <c r="O22" i="6306"/>
  <c r="O26" i="6304"/>
  <c r="O24" i="6304"/>
  <c r="O23" i="6304"/>
  <c r="O32" i="6277"/>
  <c r="O23" i="6277"/>
  <c r="O27" i="6301" l="1"/>
  <c r="O22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1" i="6302" l="1"/>
  <c r="O30" i="6302"/>
  <c r="O25" i="6301"/>
  <c r="O21" i="6301"/>
  <c r="O18" i="6305"/>
  <c r="O19" i="6305"/>
  <c r="O21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H8" i="6305"/>
  <c r="C9" i="6305"/>
  <c r="O8" i="6305"/>
  <c r="H11" i="6305"/>
  <c r="C8" i="6305"/>
  <c r="O7" i="6305"/>
  <c r="C7" i="6305"/>
  <c r="O6" i="6305"/>
  <c r="H5" i="6305"/>
  <c r="B6" i="6305"/>
  <c r="O5" i="6305"/>
  <c r="B5" i="6305"/>
  <c r="O4" i="6305"/>
  <c r="H4" i="6305"/>
  <c r="O3" i="6305"/>
  <c r="H10" i="6305"/>
  <c r="O2" i="6305"/>
  <c r="H3" i="6305"/>
  <c r="O47" i="6277"/>
  <c r="O49" i="6272"/>
  <c r="H18" i="6305" l="1"/>
  <c r="H6" i="6305"/>
  <c r="H15" i="6305"/>
  <c r="H7" i="6305"/>
  <c r="H9" i="6305"/>
  <c r="H13" i="6305"/>
  <c r="H16" i="6305"/>
  <c r="B26" i="6305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6" i="6302" l="1"/>
  <c r="O20" i="6304"/>
  <c r="O30" i="6298" l="1"/>
  <c r="O43" i="6287"/>
  <c r="O18" i="6304"/>
  <c r="O19" i="6304"/>
  <c r="O21" i="6277" l="1"/>
  <c r="O37" i="6277"/>
  <c r="O26" i="6299"/>
  <c r="O23" i="6302"/>
  <c r="O25" i="6295" l="1"/>
  <c r="O21" i="6299"/>
  <c r="O20" i="6299"/>
  <c r="O18" i="6303"/>
  <c r="O21" i="6303"/>
  <c r="O36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7" i="6302" l="1"/>
  <c r="O24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3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2" i="6302"/>
  <c r="O29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9" i="6302"/>
  <c r="B5" i="6302"/>
  <c r="O4" i="6302"/>
  <c r="O3" i="6302"/>
  <c r="H10" i="6302"/>
  <c r="O2" i="6302"/>
  <c r="H3" i="6302"/>
  <c r="O19" i="6299"/>
  <c r="O31" i="6272"/>
  <c r="H14" i="6302" l="1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20" i="6301"/>
  <c r="O31" i="6301"/>
  <c r="O19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9" i="6301"/>
  <c r="C7" i="6301"/>
  <c r="O6" i="6301"/>
  <c r="H4" i="6301"/>
  <c r="B6" i="6301"/>
  <c r="O5" i="6301"/>
  <c r="H8" i="6301"/>
  <c r="B5" i="6301"/>
  <c r="O4" i="6301"/>
  <c r="H2" i="6301"/>
  <c r="O3" i="6301"/>
  <c r="H5" i="6301"/>
  <c r="O2" i="6301"/>
  <c r="H3" i="6301"/>
  <c r="O36" i="6277"/>
  <c r="O24" i="6272"/>
  <c r="H12" i="6301" l="1"/>
  <c r="B26" i="6301"/>
  <c r="C16" i="6301"/>
  <c r="C47" i="6301"/>
  <c r="C46" i="6301"/>
  <c r="C45" i="6301"/>
  <c r="C44" i="6301"/>
  <c r="C43" i="6301"/>
  <c r="H7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7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2" i="6277"/>
  <c r="O37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6" i="6287" l="1"/>
  <c r="O31" i="6284"/>
  <c r="O20" i="6273"/>
  <c r="O5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7" i="6272"/>
  <c r="O45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9" i="6277" l="1"/>
  <c r="O36" i="6287"/>
  <c r="O34" i="6287"/>
  <c r="O21" i="6273"/>
  <c r="O40" i="6287"/>
  <c r="O39" i="6287"/>
  <c r="O42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1" i="6277"/>
  <c r="O40" i="6277"/>
  <c r="O28" i="6277"/>
  <c r="O4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2" i="6277"/>
  <c r="O44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5" i="6272"/>
  <c r="O54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7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<sst xmlns="http://schemas.openxmlformats.org/spreadsheetml/2006/main" count="8717" uniqueCount="288">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</sst>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全体!$K$2:$K$391</c:f>
              <c:numCache>
                <c:formatCode>General</c:formatCode>
                <c:ptCount val="3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</c:numCache>
            </c:numRef>
          </c:xVal>
          <c:yVal>
            <c:numRef>
              <c:f>全体!$L$2:$L$391</c:f>
              <c:numCache>
                <c:formatCode>\+0.0;\-0.0;\±0</c:formatCode>
                <c:ptCount val="39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-66.838046272493571</c:v>
                </c:pt>
                <c:pt idx="1">
                  <c:v>2.5706940874035991</c:v>
                </c:pt>
                <c:pt idx="2">
                  <c:v>-17.84776902887139</c:v>
                </c:pt>
                <c:pt idx="3">
                  <c:v>-63.03724928366762</c:v>
                </c:pt>
                <c:pt idx="4">
                  <c:v>-20.833333333333332</c:v>
                </c:pt>
                <c:pt idx="5">
                  <c:v>-50</c:v>
                </c:pt>
                <c:pt idx="6">
                  <c:v>0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68</c:v>
                </c:pt>
                <c:pt idx="1">
                  <c:v>115</c:v>
                </c:pt>
                <c:pt idx="2">
                  <c:v>141</c:v>
                </c:pt>
                <c:pt idx="3">
                  <c:v>128</c:v>
                </c:pt>
                <c:pt idx="4">
                  <c:v>63</c:v>
                </c:pt>
                <c:pt idx="5">
                  <c:v>61</c:v>
                </c:pt>
                <c:pt idx="6">
                  <c:v>18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佐藤成浩!$L$2:$L$43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778.04878048780483</c:v>
                </c:pt>
                <c:pt idx="1">
                  <c:v>1487.8048780487804</c:v>
                </c:pt>
                <c:pt idx="2">
                  <c:v>1520</c:v>
                </c:pt>
                <c:pt idx="3">
                  <c:v>944.44444444444446</c:v>
                </c:pt>
                <c:pt idx="4">
                  <c:v>1212</c:v>
                </c:pt>
                <c:pt idx="5">
                  <c:v>1741.1764705882354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14</c:v>
                </c:pt>
                <c:pt idx="3">
                  <c:v>21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柳澤颯吾!$L$2:$L$41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1184.6153846153845</c:v>
                </c:pt>
                <c:pt idx="1">
                  <c:v>930.76923076923072</c:v>
                </c:pt>
                <c:pt idx="2">
                  <c:v>750</c:v>
                </c:pt>
                <c:pt idx="3">
                  <c:v>138.23529411764707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23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中村花菜!$L$2:$L$15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-3523.0769230769229</c:v>
                </c:pt>
                <c:pt idx="1">
                  <c:v>-2384.6153846153848</c:v>
                </c:pt>
                <c:pt idx="2">
                  <c:v>-3376.9230769230771</c:v>
                </c:pt>
                <c:pt idx="3">
                  <c:v>-1458.3333333333333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中村季暉!$L$2:$L$17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-440</c:v>
                </c:pt>
                <c:pt idx="1">
                  <c:v>-860</c:v>
                </c:pt>
                <c:pt idx="2">
                  <c:v>-400</c:v>
                </c:pt>
                <c:pt idx="3">
                  <c:v>-769.23076923076928</c:v>
                </c:pt>
                <c:pt idx="4">
                  <c:v>-2516.6666666666665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塩入悠!$L$2:$L$11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-5177.7777777777774</c:v>
                </c:pt>
                <c:pt idx="1">
                  <c:v>-2233.3333333333335</c:v>
                </c:pt>
                <c:pt idx="2">
                  <c:v>-262.5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宮澤七星!$L$2:$L$10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-2625</c:v>
                </c:pt>
                <c:pt idx="1">
                  <c:v>1387.5</c:v>
                </c:pt>
                <c:pt idx="2">
                  <c:v>471.42857142857144</c:v>
                </c:pt>
                <c:pt idx="3">
                  <c:v>885.71428571428567</c:v>
                </c:pt>
                <c:pt idx="4">
                  <c:v>2440</c:v>
                </c:pt>
                <c:pt idx="5">
                  <c:v>1566.6666666666667</c:v>
                </c:pt>
                <c:pt idx="6">
                  <c:v>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湯本咲蔵!$L$2:$L$10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1962.5</c:v>
                </c:pt>
                <c:pt idx="1">
                  <c:v>-862.5</c:v>
                </c:pt>
                <c:pt idx="2">
                  <c:v>912.5</c:v>
                </c:pt>
                <c:pt idx="3">
                  <c:v>-137.5</c:v>
                </c:pt>
                <c:pt idx="4">
                  <c:v>780</c:v>
                </c:pt>
                <c:pt idx="5">
                  <c:v>6000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山本悠介!$L$2:$L$13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-209.09090909090909</c:v>
                </c:pt>
                <c:pt idx="1">
                  <c:v>1700</c:v>
                </c:pt>
                <c:pt idx="2">
                  <c:v>-81.818181818181813</c:v>
                </c:pt>
                <c:pt idx="3">
                  <c:v>277.77777777777777</c:v>
                </c:pt>
                <c:pt idx="4">
                  <c:v>-1050</c:v>
                </c:pt>
                <c:pt idx="5">
                  <c:v>-214.28571428571428</c:v>
                </c:pt>
                <c:pt idx="6">
                  <c:v>-575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渡部陵瑛!$L$2:$L$7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-660</c:v>
                </c:pt>
                <c:pt idx="2">
                  <c:v>-5080</c:v>
                </c:pt>
                <c:pt idx="3">
                  <c:v>-1420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清水常緑!$L$2:$L$11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1855.5555555555557</c:v>
                </c:pt>
                <c:pt idx="1">
                  <c:v>4877.7777777777774</c:v>
                </c:pt>
                <c:pt idx="2">
                  <c:v>2866.6666666666665</c:v>
                </c:pt>
                <c:pt idx="3">
                  <c:v>2855.5555555555557</c:v>
                </c:pt>
                <c:pt idx="4">
                  <c:v>1140</c:v>
                </c:pt>
                <c:pt idx="5">
                  <c:v>-375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所附快和!$L$2:$L$12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-3210</c:v>
                </c:pt>
                <c:pt idx="1">
                  <c:v>-3130</c:v>
                </c:pt>
                <c:pt idx="2">
                  <c:v>-3140</c:v>
                </c:pt>
                <c:pt idx="3">
                  <c:v>-275</c:v>
                </c:pt>
                <c:pt idx="4">
                  <c:v>-375</c:v>
                </c:pt>
                <c:pt idx="5">
                  <c:v>-1333.3333333333333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長野柊馬!$L$2:$L$10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4437.5</c:v>
                </c:pt>
                <c:pt idx="1">
                  <c:v>1350</c:v>
                </c:pt>
                <c:pt idx="2">
                  <c:v>2375</c:v>
                </c:pt>
                <c:pt idx="3">
                  <c:v>266.66666666666669</c:v>
                </c:pt>
                <c:pt idx="4">
                  <c:v>-100</c:v>
                </c:pt>
                <c:pt idx="5">
                  <c:v>1300</c:v>
                </c:pt>
                <c:pt idx="6">
                  <c:v>2600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389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13</v>
      </c>
    </row>
    <row r="30" spans="1:2">
      <c r="A30" t="s">
        <v>238</v>
      </c>
      <c r="B30">
        <v>15</v>
      </c>
    </row>
    <row r="31" spans="1:2">
      <c r="A31" t="s">
        <v>241</v>
      </c>
      <c r="B31">
        <v>7</v>
      </c>
    </row>
    <row r="32" spans="1:2">
      <c r="A32" t="s">
        <v>244</v>
      </c>
      <c r="B32">
        <v>9</v>
      </c>
    </row>
    <row r="33" spans="1:2">
      <c r="A33" t="s">
        <v>255</v>
      </c>
      <c r="B33">
        <v>8</v>
      </c>
    </row>
    <row r="34" spans="1:2">
      <c r="A34" t="s">
        <v>258</v>
      </c>
      <c r="B34">
        <v>7</v>
      </c>
    </row>
    <row r="35" spans="1:2">
      <c r="A35" t="s">
        <v>265</v>
      </c>
      <c r="B35">
        <v>8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5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</v>
      </c>
    </row>
    <row r="42" spans="1:2">
      <c r="A42" t="s">
        <v>277</v>
      </c>
      <c r="B42">
        <v>10</v>
      </c>
    </row>
    <row r="43" spans="1:2">
      <c r="A43" t="s">
        <v>276</v>
      </c>
      <c r="B43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0.70438051331583473</v>
      </c>
      <c r="C2" s="113"/>
      <c r="D2" s="110"/>
      <c r="E2" s="111"/>
      <c r="F2" s="110"/>
      <c r="G2" s="111"/>
      <c r="H2" s="112">
        <v>0.83432052843465898</v>
      </c>
      <c r="I2" s="113"/>
      <c r="J2" s="112">
        <v>0.71094348769054827</v>
      </c>
      <c r="K2" s="113"/>
      <c r="L2" s="112">
        <v>0.64648309973885409</v>
      </c>
      <c r="M2" s="113"/>
      <c r="N2" s="112">
        <v>0.74356216071768799</v>
      </c>
      <c r="O2" s="113"/>
      <c r="P2" s="112">
        <v>0.67244323589847999</v>
      </c>
      <c r="Q2" s="113"/>
      <c r="R2" s="112">
        <v>0.52096656721633061</v>
      </c>
      <c r="S2" s="113"/>
      <c r="T2" s="112">
        <v>0.15899304274322551</v>
      </c>
      <c r="U2" s="113"/>
      <c r="V2" s="112">
        <v>0.19933474199546142</v>
      </c>
      <c r="W2" s="113"/>
      <c r="X2" s="112">
        <v>0.16659737882046174</v>
      </c>
      <c r="Y2" s="113"/>
      <c r="Z2" s="112">
        <v>0.28965151650144344</v>
      </c>
      <c r="AA2" s="113"/>
      <c r="AB2" s="112">
        <v>0.23361112397567788</v>
      </c>
      <c r="AC2" s="113"/>
      <c r="AD2" s="112">
        <v>0.51420753287697141</v>
      </c>
      <c r="AE2" s="113"/>
      <c r="AF2" s="112">
        <v>-0.43552401158648402</v>
      </c>
      <c r="AG2" s="113"/>
      <c r="AH2" s="112">
        <v>0.72289180563760291</v>
      </c>
      <c r="AI2" s="113"/>
    </row>
    <row r="3" spans="1:35">
      <c r="A3" s="36">
        <v>1</v>
      </c>
      <c r="B3" s="37" t="s">
        <v>114</v>
      </c>
      <c r="C3" s="106">
        <v>97.25</v>
      </c>
      <c r="D3" s="37" t="s">
        <v>169</v>
      </c>
      <c r="E3" s="38">
        <v>584.79999999999995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9100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41</v>
      </c>
      <c r="D4" s="45" t="s">
        <v>272</v>
      </c>
      <c r="E4" s="46">
        <v>381.6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0.8</v>
      </c>
      <c r="AF4" s="47" t="s">
        <v>235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39</v>
      </c>
      <c r="D5" s="45" t="s">
        <v>162</v>
      </c>
      <c r="E5" s="46">
        <v>268</v>
      </c>
      <c r="F5" s="47" t="s">
        <v>272</v>
      </c>
      <c r="G5" s="59">
        <v>42.400000000000006</v>
      </c>
      <c r="H5" s="47" t="s">
        <v>272</v>
      </c>
      <c r="I5" s="48">
        <v>1.4444444444444444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272</v>
      </c>
      <c r="Q5" s="50">
        <v>0.34375</v>
      </c>
      <c r="R5" s="47" t="s">
        <v>265</v>
      </c>
      <c r="S5" s="50">
        <v>7.407407407407407E-2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236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272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265</v>
      </c>
      <c r="Q6" s="50">
        <v>0.31481481481481483</v>
      </c>
      <c r="R6" s="47" t="s">
        <v>231</v>
      </c>
      <c r="S6" s="50">
        <v>7.6923076923076927E-2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0.3125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218.10000000000002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272</v>
      </c>
      <c r="O7" s="49">
        <v>0.88888888888888884</v>
      </c>
      <c r="P7" s="47" t="s">
        <v>231</v>
      </c>
      <c r="Q7" s="50">
        <v>0.30769230769230771</v>
      </c>
      <c r="R7" s="47" t="s">
        <v>263</v>
      </c>
      <c r="S7" s="50">
        <v>8.3333333333333329E-2</v>
      </c>
      <c r="T7" s="47" t="s">
        <v>216</v>
      </c>
      <c r="U7" s="51">
        <v>8496.2962962962956</v>
      </c>
      <c r="V7" s="47" t="s">
        <v>272</v>
      </c>
      <c r="W7" s="51">
        <v>-3616.6666666666665</v>
      </c>
      <c r="X7" s="47" t="s">
        <v>167</v>
      </c>
      <c r="Y7" s="50">
        <v>0.2857142857142857</v>
      </c>
      <c r="Z7" s="47" t="s">
        <v>195</v>
      </c>
      <c r="AA7" s="50">
        <v>0.31046931407942241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0.53846153846153844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168</v>
      </c>
      <c r="E8" s="46">
        <v>154.39999999999998</v>
      </c>
      <c r="F8" s="47" t="s">
        <v>162</v>
      </c>
      <c r="G8" s="59">
        <v>29.777777777777779</v>
      </c>
      <c r="H8" s="47" t="s">
        <v>276</v>
      </c>
      <c r="I8" s="48">
        <v>1.875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168</v>
      </c>
      <c r="Q8" s="50">
        <v>0.30281690140845069</v>
      </c>
      <c r="R8" s="47" t="s">
        <v>276</v>
      </c>
      <c r="S8" s="50">
        <v>8.6206896551724144E-2</v>
      </c>
      <c r="T8" s="47" t="s">
        <v>175</v>
      </c>
      <c r="U8" s="51">
        <v>8400</v>
      </c>
      <c r="V8" s="47" t="s">
        <v>191</v>
      </c>
      <c r="W8" s="51">
        <v>-3740</v>
      </c>
      <c r="X8" s="47" t="s">
        <v>223</v>
      </c>
      <c r="Y8" s="50">
        <v>0.2857142857142857</v>
      </c>
      <c r="Z8" s="47" t="s">
        <v>276</v>
      </c>
      <c r="AA8" s="50">
        <v>0.31034482758620691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205</v>
      </c>
      <c r="E9" s="46">
        <v>141.1</v>
      </c>
      <c r="F9" s="47" t="s">
        <v>276</v>
      </c>
      <c r="G9" s="59">
        <v>27.262500000000003</v>
      </c>
      <c r="H9" s="47" t="s">
        <v>162</v>
      </c>
      <c r="I9" s="48">
        <v>1.8888888888888888</v>
      </c>
      <c r="J9" s="47" t="s">
        <v>265</v>
      </c>
      <c r="K9" s="49">
        <v>0.5</v>
      </c>
      <c r="L9" s="47" t="s">
        <v>264</v>
      </c>
      <c r="M9" s="49">
        <v>0</v>
      </c>
      <c r="N9" s="47" t="s">
        <v>276</v>
      </c>
      <c r="O9" s="49">
        <v>0.75</v>
      </c>
      <c r="P9" s="47" t="s">
        <v>167</v>
      </c>
      <c r="Q9" s="50">
        <v>0.2857142857142857</v>
      </c>
      <c r="R9" s="47" t="s">
        <v>169</v>
      </c>
      <c r="S9" s="50">
        <v>8.8235294117647065E-2</v>
      </c>
      <c r="T9" s="47" t="s">
        <v>205</v>
      </c>
      <c r="U9" s="51">
        <v>8333.3333333333339</v>
      </c>
      <c r="V9" s="47" t="s">
        <v>258</v>
      </c>
      <c r="W9" s="51">
        <v>-3880</v>
      </c>
      <c r="X9" s="47" t="s">
        <v>175</v>
      </c>
      <c r="Y9" s="50">
        <v>0.26666666666666666</v>
      </c>
      <c r="Z9" s="47" t="s">
        <v>263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265</v>
      </c>
      <c r="E10" s="46">
        <v>135.80000000000001</v>
      </c>
      <c r="F10" s="47" t="s">
        <v>265</v>
      </c>
      <c r="G10" s="59">
        <v>16.975000000000001</v>
      </c>
      <c r="H10" s="47" t="s">
        <v>167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191</v>
      </c>
      <c r="O10" s="49">
        <v>0.7142857142857143</v>
      </c>
      <c r="P10" s="47" t="s">
        <v>195</v>
      </c>
      <c r="Q10" s="50">
        <v>0.27797833935018051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272</v>
      </c>
      <c r="AE10" s="50">
        <v>0.46666666666666667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238</v>
      </c>
      <c r="C11" s="107">
        <v>15</v>
      </c>
      <c r="D11" s="45" t="s">
        <v>231</v>
      </c>
      <c r="E11" s="46">
        <v>112.5</v>
      </c>
      <c r="F11" s="47" t="s">
        <v>169</v>
      </c>
      <c r="G11" s="59">
        <v>14.26341463414634</v>
      </c>
      <c r="H11" s="47" t="s">
        <v>265</v>
      </c>
      <c r="I11" s="48">
        <v>2.125</v>
      </c>
      <c r="J11" s="47" t="s">
        <v>276</v>
      </c>
      <c r="K11" s="49">
        <v>0.5</v>
      </c>
      <c r="L11" s="47" t="s">
        <v>272</v>
      </c>
      <c r="M11" s="49">
        <v>0</v>
      </c>
      <c r="N11" s="47" t="s">
        <v>162</v>
      </c>
      <c r="O11" s="49">
        <v>0.66666666666666663</v>
      </c>
      <c r="P11" s="47" t="s">
        <v>162</v>
      </c>
      <c r="Q11" s="50">
        <v>0.26923076923076922</v>
      </c>
      <c r="R11" s="47" t="s">
        <v>272</v>
      </c>
      <c r="S11" s="50">
        <v>9.375E-2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265</v>
      </c>
      <c r="Y11" s="50">
        <v>0.25925925925925924</v>
      </c>
      <c r="Z11" s="47" t="s">
        <v>241</v>
      </c>
      <c r="AA11" s="50">
        <v>0.27083333333333331</v>
      </c>
      <c r="AB11" s="47" t="s">
        <v>276</v>
      </c>
      <c r="AC11" s="50">
        <v>0.7142857142857143</v>
      </c>
      <c r="AD11" s="47" t="s">
        <v>179</v>
      </c>
      <c r="AE11" s="50">
        <v>0.45454545454545453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191</v>
      </c>
      <c r="C12" s="107">
        <v>14</v>
      </c>
      <c r="D12" s="45" t="s">
        <v>255</v>
      </c>
      <c r="E12" s="46">
        <v>91.5</v>
      </c>
      <c r="F12" s="47" t="s">
        <v>167</v>
      </c>
      <c r="G12" s="59">
        <v>14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169</v>
      </c>
      <c r="O12" s="49">
        <v>0.63414634146341464</v>
      </c>
      <c r="P12" s="47" t="s">
        <v>263</v>
      </c>
      <c r="Q12" s="50">
        <v>0.26190476190476192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277</v>
      </c>
      <c r="W12" s="51">
        <v>-4492.3076923076924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272</v>
      </c>
      <c r="AC12" s="50">
        <v>0.7</v>
      </c>
      <c r="AD12" s="47" t="s">
        <v>263</v>
      </c>
      <c r="AE12" s="50">
        <v>0.41666666666666669</v>
      </c>
      <c r="AF12" s="47" t="s">
        <v>268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227</v>
      </c>
      <c r="C13" s="107">
        <v>14</v>
      </c>
      <c r="D13" s="45" t="s">
        <v>191</v>
      </c>
      <c r="E13" s="46">
        <v>79.299999999999983</v>
      </c>
      <c r="F13" s="47" t="s">
        <v>255</v>
      </c>
      <c r="G13" s="59">
        <v>11.4375</v>
      </c>
      <c r="H13" s="47" t="s">
        <v>169</v>
      </c>
      <c r="I13" s="48">
        <v>2.1707317073170733</v>
      </c>
      <c r="J13" s="47" t="s">
        <v>163</v>
      </c>
      <c r="K13" s="49">
        <v>0.375</v>
      </c>
      <c r="L13" s="47" t="s">
        <v>263</v>
      </c>
      <c r="M13" s="49">
        <v>9.0909090909090912E-2</v>
      </c>
      <c r="N13" s="47" t="s">
        <v>255</v>
      </c>
      <c r="O13" s="49">
        <v>0.625</v>
      </c>
      <c r="P13" s="47" t="s">
        <v>276</v>
      </c>
      <c r="Q13" s="50">
        <v>0.25862068965517243</v>
      </c>
      <c r="R13" s="47" t="s">
        <v>179</v>
      </c>
      <c r="S13" s="50">
        <v>0.10687022900763359</v>
      </c>
      <c r="T13" s="47" t="s">
        <v>264</v>
      </c>
      <c r="U13" s="51">
        <v>7966.666666666667</v>
      </c>
      <c r="V13" s="47" t="s">
        <v>202</v>
      </c>
      <c r="W13" s="51">
        <v>-4800</v>
      </c>
      <c r="X13" s="47" t="s">
        <v>195</v>
      </c>
      <c r="Y13" s="50">
        <v>0.25270758122743681</v>
      </c>
      <c r="Z13" s="47" t="s">
        <v>179</v>
      </c>
      <c r="AA13" s="50">
        <v>0.25190839694656486</v>
      </c>
      <c r="AB13" s="47" t="s">
        <v>263</v>
      </c>
      <c r="AC13" s="50">
        <v>0.66666666666666663</v>
      </c>
      <c r="AD13" s="47" t="s">
        <v>161</v>
      </c>
      <c r="AE13" s="50">
        <v>0.3888888888888889</v>
      </c>
      <c r="AF13" s="47" t="s">
        <v>276</v>
      </c>
      <c r="AG13" s="50">
        <v>0.46666666666666667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13</v>
      </c>
      <c r="D14" s="45" t="s">
        <v>264</v>
      </c>
      <c r="E14" s="46">
        <v>63.300000000000004</v>
      </c>
      <c r="F14" s="47" t="s">
        <v>168</v>
      </c>
      <c r="G14" s="59">
        <v>8.5777777777777757</v>
      </c>
      <c r="H14" s="47" t="s">
        <v>255</v>
      </c>
      <c r="I14" s="48">
        <v>2.25</v>
      </c>
      <c r="J14" s="47" t="s">
        <v>255</v>
      </c>
      <c r="K14" s="49">
        <v>0.375</v>
      </c>
      <c r="L14" s="47" t="s">
        <v>276</v>
      </c>
      <c r="M14" s="49">
        <v>0.125</v>
      </c>
      <c r="N14" s="47" t="s">
        <v>265</v>
      </c>
      <c r="O14" s="49">
        <v>0.625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255</v>
      </c>
      <c r="U14" s="51">
        <v>7953.8461538461543</v>
      </c>
      <c r="V14" s="47" t="s">
        <v>162</v>
      </c>
      <c r="W14" s="51">
        <v>-5000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265</v>
      </c>
      <c r="AC14" s="50">
        <v>0.6428571428571429</v>
      </c>
      <c r="AD14" s="47" t="s">
        <v>195</v>
      </c>
      <c r="AE14" s="50">
        <v>0.38372093023255816</v>
      </c>
      <c r="AF14" s="47" t="s">
        <v>216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263</v>
      </c>
      <c r="C15" s="107">
        <v>11</v>
      </c>
      <c r="D15" s="45" t="s">
        <v>268</v>
      </c>
      <c r="E15" s="46">
        <v>52.1</v>
      </c>
      <c r="F15" s="47" t="s">
        <v>195</v>
      </c>
      <c r="G15" s="59">
        <v>6.0512820512820511</v>
      </c>
      <c r="H15" s="47" t="s">
        <v>168</v>
      </c>
      <c r="I15" s="48">
        <v>2.3333333333333335</v>
      </c>
      <c r="J15" s="47" t="s">
        <v>169</v>
      </c>
      <c r="K15" s="49">
        <v>0.34146341463414637</v>
      </c>
      <c r="L15" s="47" t="s">
        <v>195</v>
      </c>
      <c r="M15" s="49">
        <v>0.12820512820512819</v>
      </c>
      <c r="N15" s="47" t="s">
        <v>164</v>
      </c>
      <c r="O15" s="49">
        <v>0.6</v>
      </c>
      <c r="P15" s="47" t="s">
        <v>255</v>
      </c>
      <c r="Q15" s="50">
        <v>0.23214285714285715</v>
      </c>
      <c r="R15" s="47" t="s">
        <v>255</v>
      </c>
      <c r="S15" s="50">
        <v>0.10714285714285714</v>
      </c>
      <c r="T15" s="47" t="s">
        <v>162</v>
      </c>
      <c r="U15" s="51">
        <v>7942.8571428571431</v>
      </c>
      <c r="V15" s="47" t="s">
        <v>203</v>
      </c>
      <c r="W15" s="51">
        <v>-5080</v>
      </c>
      <c r="X15" s="47" t="s">
        <v>205</v>
      </c>
      <c r="Y15" s="50">
        <v>0.25</v>
      </c>
      <c r="Z15" s="47" t="s">
        <v>235</v>
      </c>
      <c r="AA15" s="50">
        <v>0.24742268041237114</v>
      </c>
      <c r="AB15" s="47" t="s">
        <v>169</v>
      </c>
      <c r="AC15" s="50">
        <v>0.64150943396226412</v>
      </c>
      <c r="AD15" s="47" t="s">
        <v>168</v>
      </c>
      <c r="AE15" s="50">
        <v>0.38297872340425532</v>
      </c>
      <c r="AF15" s="47" t="s">
        <v>161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161</v>
      </c>
      <c r="C16" s="107">
        <v>10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2.358974358974359</v>
      </c>
      <c r="J16" s="47" t="s">
        <v>244</v>
      </c>
      <c r="K16" s="49">
        <v>0.33333333333333331</v>
      </c>
      <c r="L16" s="47" t="s">
        <v>238</v>
      </c>
      <c r="M16" s="49">
        <v>0.13333333333333333</v>
      </c>
      <c r="N16" s="47" t="s">
        <v>227</v>
      </c>
      <c r="O16" s="49">
        <v>0.5714285714285714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169</v>
      </c>
      <c r="U16" s="51">
        <v>7679.710144927536</v>
      </c>
      <c r="V16" s="47" t="s">
        <v>169</v>
      </c>
      <c r="W16" s="51">
        <v>-5129.6296296296296</v>
      </c>
      <c r="X16" s="47" t="s">
        <v>255</v>
      </c>
      <c r="Y16" s="50">
        <v>0.25</v>
      </c>
      <c r="Z16" s="47" t="s">
        <v>191</v>
      </c>
      <c r="AA16" s="50">
        <v>0.24347826086956523</v>
      </c>
      <c r="AB16" s="47" t="s">
        <v>228</v>
      </c>
      <c r="AC16" s="50">
        <v>0.61904761904761907</v>
      </c>
      <c r="AD16" s="47" t="s">
        <v>238</v>
      </c>
      <c r="AE16" s="50">
        <v>0.36842105263157893</v>
      </c>
      <c r="AF16" s="47" t="s">
        <v>162</v>
      </c>
      <c r="AG16" s="50">
        <v>0.42857142857142855</v>
      </c>
      <c r="AH16" s="47" t="s">
        <v>265</v>
      </c>
      <c r="AI16" s="54">
        <v>53900</v>
      </c>
    </row>
    <row r="17" spans="1:35">
      <c r="A17" s="44">
        <v>15</v>
      </c>
      <c r="B17" s="45" t="s">
        <v>213</v>
      </c>
      <c r="C17" s="107">
        <v>10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263</v>
      </c>
      <c r="I17" s="48">
        <v>2.3636363636363638</v>
      </c>
      <c r="J17" s="47" t="s">
        <v>161</v>
      </c>
      <c r="K17" s="49">
        <v>0.3</v>
      </c>
      <c r="L17" s="47" t="s">
        <v>169</v>
      </c>
      <c r="M17" s="49">
        <v>0.14634146341463414</v>
      </c>
      <c r="N17" s="47" t="s">
        <v>241</v>
      </c>
      <c r="O17" s="49">
        <v>0.5714285714285714</v>
      </c>
      <c r="P17" s="47" t="s">
        <v>241</v>
      </c>
      <c r="Q17" s="50">
        <v>0.22916666666666666</v>
      </c>
      <c r="R17" s="47" t="s">
        <v>166</v>
      </c>
      <c r="S17" s="50">
        <v>0.11428571428571428</v>
      </c>
      <c r="T17" s="47" t="s">
        <v>164</v>
      </c>
      <c r="U17" s="51">
        <v>7355</v>
      </c>
      <c r="V17" s="47" t="s">
        <v>276</v>
      </c>
      <c r="W17" s="51">
        <v>-5220</v>
      </c>
      <c r="X17" s="47" t="s">
        <v>276</v>
      </c>
      <c r="Y17" s="50">
        <v>0.2413793103448276</v>
      </c>
      <c r="Z17" s="47" t="s">
        <v>272</v>
      </c>
      <c r="AA17" s="50">
        <v>0.234375</v>
      </c>
      <c r="AB17" s="47" t="s">
        <v>238</v>
      </c>
      <c r="AC17" s="50">
        <v>0.58823529411764708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179</v>
      </c>
      <c r="AI17" s="54">
        <v>53200</v>
      </c>
    </row>
    <row r="18" spans="1:35">
      <c r="A18" s="44">
        <v>16</v>
      </c>
      <c r="B18" s="45" t="s">
        <v>277</v>
      </c>
      <c r="C18" s="107">
        <v>10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0.28205128205128205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163</v>
      </c>
      <c r="S18" s="50">
        <v>0.11594202898550725</v>
      </c>
      <c r="T18" s="47" t="s">
        <v>277</v>
      </c>
      <c r="U18" s="51">
        <v>7285.7142857142853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161</v>
      </c>
      <c r="AA18" s="50">
        <v>0.23376623376623376</v>
      </c>
      <c r="AB18" s="47" t="s">
        <v>235</v>
      </c>
      <c r="AC18" s="50">
        <v>0.55555555555555558</v>
      </c>
      <c r="AD18" s="47" t="s">
        <v>169</v>
      </c>
      <c r="AE18" s="50">
        <v>0.3559322033898305</v>
      </c>
      <c r="AF18" s="47" t="s">
        <v>238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162</v>
      </c>
      <c r="C19" s="107">
        <v>9</v>
      </c>
      <c r="D19" s="45" t="s">
        <v>263</v>
      </c>
      <c r="E19" s="46">
        <v>13.699999999999989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263</v>
      </c>
      <c r="O19" s="49">
        <v>0.54545454545454541</v>
      </c>
      <c r="P19" s="47" t="s">
        <v>169</v>
      </c>
      <c r="Q19" s="50">
        <v>0.22549019607843138</v>
      </c>
      <c r="R19" s="47" t="s">
        <v>195</v>
      </c>
      <c r="S19" s="50">
        <v>0.11913357400722022</v>
      </c>
      <c r="T19" s="47" t="s">
        <v>223</v>
      </c>
      <c r="U19" s="51">
        <v>7200</v>
      </c>
      <c r="V19" s="47" t="s">
        <v>223</v>
      </c>
      <c r="W19" s="51">
        <v>-5450</v>
      </c>
      <c r="X19" s="47" t="s">
        <v>277</v>
      </c>
      <c r="Y19" s="50">
        <v>0.21621621621621623</v>
      </c>
      <c r="Z19" s="47" t="s">
        <v>255</v>
      </c>
      <c r="AA19" s="50">
        <v>0.23214285714285715</v>
      </c>
      <c r="AB19" s="47" t="s">
        <v>114</v>
      </c>
      <c r="AC19" s="50">
        <v>0.54058721934369602</v>
      </c>
      <c r="AD19" s="47" t="s">
        <v>216</v>
      </c>
      <c r="AE19" s="50">
        <v>0.34615384615384615</v>
      </c>
      <c r="AF19" s="47" t="s">
        <v>244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244</v>
      </c>
      <c r="C20" s="107">
        <v>9</v>
      </c>
      <c r="D20" s="45" t="s">
        <v>177</v>
      </c>
      <c r="E20" s="46">
        <v>3.8999999999999986</v>
      </c>
      <c r="F20" s="47" t="s">
        <v>263</v>
      </c>
      <c r="G20" s="59">
        <v>1.2454545454545445</v>
      </c>
      <c r="H20" s="47" t="s">
        <v>114</v>
      </c>
      <c r="I20" s="48">
        <v>2.4910025706940875</v>
      </c>
      <c r="J20" s="47" t="s">
        <v>114</v>
      </c>
      <c r="K20" s="49">
        <v>0.25449871465295631</v>
      </c>
      <c r="L20" s="47" t="s">
        <v>162</v>
      </c>
      <c r="M20" s="49">
        <v>0.22222222222222221</v>
      </c>
      <c r="N20" s="47" t="s">
        <v>114</v>
      </c>
      <c r="O20" s="49">
        <v>0.50128534704370176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227</v>
      </c>
      <c r="U20" s="51">
        <v>7161.9047619047615</v>
      </c>
      <c r="V20" s="47" t="s">
        <v>164</v>
      </c>
      <c r="W20" s="51">
        <v>-5500</v>
      </c>
      <c r="X20" s="47" t="s">
        <v>263</v>
      </c>
      <c r="Y20" s="50">
        <v>0.21428571428571427</v>
      </c>
      <c r="Z20" s="47" t="s">
        <v>264</v>
      </c>
      <c r="AA20" s="50">
        <v>0.23076923076923078</v>
      </c>
      <c r="AB20" s="47" t="s">
        <v>161</v>
      </c>
      <c r="AC20" s="50">
        <v>0.53846153846153844</v>
      </c>
      <c r="AD20" s="47" t="s">
        <v>114</v>
      </c>
      <c r="AE20" s="50">
        <v>0.33922829581993569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272</v>
      </c>
      <c r="C21" s="107">
        <v>9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114</v>
      </c>
      <c r="M21" s="49">
        <v>0.2467866323907455</v>
      </c>
      <c r="N21" s="47" t="s">
        <v>161</v>
      </c>
      <c r="O21" s="49">
        <v>0.5</v>
      </c>
      <c r="P21" s="47" t="s">
        <v>114</v>
      </c>
      <c r="Q21" s="50">
        <v>0.21100595864002805</v>
      </c>
      <c r="R21" s="47" t="s">
        <v>191</v>
      </c>
      <c r="S21" s="50">
        <v>0.13043478260869565</v>
      </c>
      <c r="T21" s="47" t="s">
        <v>161</v>
      </c>
      <c r="U21" s="51">
        <v>7025</v>
      </c>
      <c r="V21" s="47" t="s">
        <v>168</v>
      </c>
      <c r="W21" s="51">
        <v>-5835.7142857142853</v>
      </c>
      <c r="X21" s="47" t="s">
        <v>177</v>
      </c>
      <c r="Y21" s="50">
        <v>0.21052631578947367</v>
      </c>
      <c r="Z21" s="47" t="s">
        <v>114</v>
      </c>
      <c r="AA21" s="50">
        <v>0.21801612337889942</v>
      </c>
      <c r="AB21" s="47" t="s">
        <v>227</v>
      </c>
      <c r="AC21" s="50">
        <v>0.53125</v>
      </c>
      <c r="AD21" s="47" t="s">
        <v>177</v>
      </c>
      <c r="AE21" s="50">
        <v>0.33333333333333331</v>
      </c>
      <c r="AF21" s="47" t="s">
        <v>195</v>
      </c>
      <c r="AG21" s="50">
        <v>0.37662337662337664</v>
      </c>
      <c r="AH21" s="47" t="s">
        <v>263</v>
      </c>
      <c r="AI21" s="54">
        <v>44100</v>
      </c>
    </row>
    <row r="22" spans="1:35">
      <c r="A22" s="44">
        <v>20</v>
      </c>
      <c r="B22" s="45" t="s">
        <v>163</v>
      </c>
      <c r="C22" s="107">
        <v>8</v>
      </c>
      <c r="D22" s="45" t="s">
        <v>175</v>
      </c>
      <c r="E22" s="46">
        <v>-2.2000000000000011</v>
      </c>
      <c r="F22" s="47" t="s">
        <v>114</v>
      </c>
      <c r="G22" s="59">
        <v>-0.20565552699228826</v>
      </c>
      <c r="H22" s="47" t="s">
        <v>163</v>
      </c>
      <c r="I22" s="48">
        <v>2.5</v>
      </c>
      <c r="J22" s="47" t="s">
        <v>228</v>
      </c>
      <c r="K22" s="49">
        <v>0.23529411764705882</v>
      </c>
      <c r="L22" s="47" t="s">
        <v>223</v>
      </c>
      <c r="M22" s="49">
        <v>0.25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238</v>
      </c>
      <c r="S22" s="50">
        <v>0.13207547169811321</v>
      </c>
      <c r="T22" s="47" t="s">
        <v>213</v>
      </c>
      <c r="U22" s="51">
        <v>6962.5</v>
      </c>
      <c r="V22" s="47" t="s">
        <v>177</v>
      </c>
      <c r="W22" s="51">
        <v>-5950</v>
      </c>
      <c r="X22" s="47" t="s">
        <v>203</v>
      </c>
      <c r="Y22" s="50">
        <v>0.20930232558139536</v>
      </c>
      <c r="Z22" s="47" t="s">
        <v>205</v>
      </c>
      <c r="AA22" s="50">
        <v>0.21428571428571427</v>
      </c>
      <c r="AB22" s="47" t="s">
        <v>195</v>
      </c>
      <c r="AC22" s="50">
        <v>0.52857142857142858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255</v>
      </c>
      <c r="C23" s="107">
        <v>8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255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114</v>
      </c>
      <c r="U23" s="51">
        <v>6747.5083056478406</v>
      </c>
      <c r="V23" s="47" t="s">
        <v>213</v>
      </c>
      <c r="W23" s="51">
        <v>-5966.666666666667</v>
      </c>
      <c r="X23" s="47" t="s">
        <v>114</v>
      </c>
      <c r="Y23" s="50">
        <v>0.20294426919032596</v>
      </c>
      <c r="Z23" s="47" t="s">
        <v>244</v>
      </c>
      <c r="AA23" s="50">
        <v>0.20634920634920634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265</v>
      </c>
      <c r="C24" s="107">
        <v>8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164</v>
      </c>
      <c r="K24" s="49">
        <v>0.2</v>
      </c>
      <c r="L24" s="47" t="s">
        <v>265</v>
      </c>
      <c r="M24" s="49">
        <v>0.25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227</v>
      </c>
      <c r="W24" s="51">
        <v>-5992.8571428571431</v>
      </c>
      <c r="X24" s="47" t="s">
        <v>163</v>
      </c>
      <c r="Y24" s="50">
        <v>0.20289855072463769</v>
      </c>
      <c r="Z24" s="47" t="s">
        <v>228</v>
      </c>
      <c r="AA24" s="50">
        <v>0.19834710743801653</v>
      </c>
      <c r="AB24" s="47" t="s">
        <v>213</v>
      </c>
      <c r="AC24" s="50">
        <v>0.5</v>
      </c>
      <c r="AD24" s="47" t="s">
        <v>244</v>
      </c>
      <c r="AE24" s="50">
        <v>0.30769230769230771</v>
      </c>
      <c r="AF24" s="47" t="s">
        <v>241</v>
      </c>
      <c r="AG24" s="50">
        <v>0.36363636363636365</v>
      </c>
      <c r="AH24" s="47" t="s">
        <v>231</v>
      </c>
      <c r="AI24" s="54">
        <v>41300</v>
      </c>
    </row>
    <row r="25" spans="1:35">
      <c r="A25" s="44">
        <v>23</v>
      </c>
      <c r="B25" s="45" t="s">
        <v>276</v>
      </c>
      <c r="C25" s="107">
        <v>8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263</v>
      </c>
      <c r="K25" s="49">
        <v>0.18181818181818182</v>
      </c>
      <c r="L25" s="47" t="s">
        <v>164</v>
      </c>
      <c r="M25" s="49">
        <v>0.26666666666666666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216</v>
      </c>
      <c r="S25" s="50">
        <v>0.13407821229050279</v>
      </c>
      <c r="T25" s="47" t="s">
        <v>195</v>
      </c>
      <c r="U25" s="51">
        <v>6490.909090909091</v>
      </c>
      <c r="V25" s="47" t="s">
        <v>235</v>
      </c>
      <c r="W25" s="51">
        <v>-6118.181818181818</v>
      </c>
      <c r="X25" s="47" t="s">
        <v>268</v>
      </c>
      <c r="Y25" s="50">
        <v>0.2</v>
      </c>
      <c r="Z25" s="47" t="s">
        <v>169</v>
      </c>
      <c r="AA25" s="50">
        <v>0.19281045751633988</v>
      </c>
      <c r="AB25" s="47" t="s">
        <v>163</v>
      </c>
      <c r="AC25" s="50">
        <v>0.5</v>
      </c>
      <c r="AD25" s="47" t="s">
        <v>228</v>
      </c>
      <c r="AE25" s="50">
        <v>0.25</v>
      </c>
      <c r="AF25" s="47" t="s">
        <v>114</v>
      </c>
      <c r="AG25" s="50">
        <v>0.35548172757475083</v>
      </c>
      <c r="AH25" s="47" t="s">
        <v>258</v>
      </c>
      <c r="AI25" s="54">
        <v>37500</v>
      </c>
    </row>
    <row r="26" spans="1:35">
      <c r="A26" s="44">
        <v>24</v>
      </c>
      <c r="B26" s="45" t="s">
        <v>241</v>
      </c>
      <c r="C26" s="107">
        <v>7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227</v>
      </c>
      <c r="K26" s="49">
        <v>0.14285714285714285</v>
      </c>
      <c r="L26" s="47" t="s">
        <v>168</v>
      </c>
      <c r="M26" s="49">
        <v>0.27777777777777779</v>
      </c>
      <c r="N26" s="47" t="s">
        <v>177</v>
      </c>
      <c r="O26" s="49">
        <v>0.5</v>
      </c>
      <c r="P26" s="47" t="s">
        <v>238</v>
      </c>
      <c r="Q26" s="50">
        <v>0.18867924528301888</v>
      </c>
      <c r="R26" s="47" t="s">
        <v>114</v>
      </c>
      <c r="S26" s="50">
        <v>0.13599719593410445</v>
      </c>
      <c r="T26" s="47" t="s">
        <v>272</v>
      </c>
      <c r="U26" s="51">
        <v>6345.454545454545</v>
      </c>
      <c r="V26" s="47" t="s">
        <v>269</v>
      </c>
      <c r="W26" s="51">
        <v>-6180</v>
      </c>
      <c r="X26" s="47" t="s">
        <v>168</v>
      </c>
      <c r="Y26" s="50">
        <v>0.19718309859154928</v>
      </c>
      <c r="Z26" s="47" t="s">
        <v>265</v>
      </c>
      <c r="AA26" s="50">
        <v>0.18518518518518517</v>
      </c>
      <c r="AB26" s="47" t="s">
        <v>167</v>
      </c>
      <c r="AC26" s="50">
        <v>0.5</v>
      </c>
      <c r="AD26" s="47" t="s">
        <v>262</v>
      </c>
      <c r="AE26" s="50">
        <v>0.25</v>
      </c>
      <c r="AF26" s="47" t="s">
        <v>265</v>
      </c>
      <c r="AG26" s="50">
        <v>0.35294117647058826</v>
      </c>
      <c r="AH26" s="47" t="s">
        <v>238</v>
      </c>
      <c r="AI26" s="54">
        <v>35800</v>
      </c>
    </row>
    <row r="27" spans="1:35">
      <c r="A27" s="44">
        <v>25</v>
      </c>
      <c r="B27" s="45" t="s">
        <v>258</v>
      </c>
      <c r="C27" s="107">
        <v>7</v>
      </c>
      <c r="D27" s="45" t="s">
        <v>180</v>
      </c>
      <c r="E27" s="46">
        <v>-52.6</v>
      </c>
      <c r="F27" s="47" t="s">
        <v>244</v>
      </c>
      <c r="G27" s="59">
        <v>-7.7111111111111121</v>
      </c>
      <c r="H27" s="47" t="s">
        <v>238</v>
      </c>
      <c r="I27" s="48">
        <v>2.6666666666666665</v>
      </c>
      <c r="J27" s="47" t="s">
        <v>258</v>
      </c>
      <c r="K27" s="49">
        <v>0.14285714285714285</v>
      </c>
      <c r="L27" s="47" t="s">
        <v>227</v>
      </c>
      <c r="M27" s="49">
        <v>0.2857142857142857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227</v>
      </c>
      <c r="S27" s="50">
        <v>0.15053763440860216</v>
      </c>
      <c r="T27" s="47" t="s">
        <v>203</v>
      </c>
      <c r="U27" s="51">
        <v>6275</v>
      </c>
      <c r="V27" s="47" t="s">
        <v>114</v>
      </c>
      <c r="W27" s="51">
        <v>-6192.5257731958764</v>
      </c>
      <c r="X27" s="47" t="s">
        <v>179</v>
      </c>
      <c r="Y27" s="50">
        <v>0.19083969465648856</v>
      </c>
      <c r="Z27" s="47" t="s">
        <v>238</v>
      </c>
      <c r="AA27" s="50">
        <v>0.17924528301886791</v>
      </c>
      <c r="AB27" s="47" t="s">
        <v>255</v>
      </c>
      <c r="AC27" s="50">
        <v>0.5</v>
      </c>
      <c r="AD27" s="47" t="s">
        <v>227</v>
      </c>
      <c r="AE27" s="50">
        <v>0.23076923076923078</v>
      </c>
      <c r="AF27" s="47" t="s">
        <v>175</v>
      </c>
      <c r="AG27" s="50">
        <v>0.33333333333333331</v>
      </c>
      <c r="AH27" s="47" t="s">
        <v>264</v>
      </c>
      <c r="AI27" s="54">
        <v>35600</v>
      </c>
    </row>
    <row r="28" spans="1:35">
      <c r="A28" s="44">
        <v>26</v>
      </c>
      <c r="B28" s="45" t="s">
        <v>203</v>
      </c>
      <c r="C28" s="107">
        <v>5</v>
      </c>
      <c r="D28" s="45" t="s">
        <v>262</v>
      </c>
      <c r="E28" s="46">
        <v>-59.2</v>
      </c>
      <c r="F28" s="47" t="s">
        <v>228</v>
      </c>
      <c r="G28" s="59">
        <v>-8.7764705882352931</v>
      </c>
      <c r="H28" s="47" t="s">
        <v>244</v>
      </c>
      <c r="I28" s="48">
        <v>2.6666666666666665</v>
      </c>
      <c r="J28" s="47" t="s">
        <v>235</v>
      </c>
      <c r="K28" s="49">
        <v>7.6923076923076927E-2</v>
      </c>
      <c r="L28" s="47" t="s">
        <v>241</v>
      </c>
      <c r="M28" s="49">
        <v>0.2857142857142857</v>
      </c>
      <c r="N28" s="47" t="s">
        <v>195</v>
      </c>
      <c r="O28" s="49">
        <v>0.48717948717948717</v>
      </c>
      <c r="P28" s="47" t="s">
        <v>228</v>
      </c>
      <c r="Q28" s="50">
        <v>0.18181818181818182</v>
      </c>
      <c r="R28" s="47" t="s">
        <v>269</v>
      </c>
      <c r="S28" s="50">
        <v>0.15151515151515152</v>
      </c>
      <c r="T28" s="47" t="s">
        <v>163</v>
      </c>
      <c r="U28" s="51">
        <v>5993.333333333333</v>
      </c>
      <c r="V28" s="47" t="s">
        <v>263</v>
      </c>
      <c r="W28" s="51">
        <v>-6214.2857142857147</v>
      </c>
      <c r="X28" s="47" t="s">
        <v>216</v>
      </c>
      <c r="Y28" s="50">
        <v>0.18435754189944134</v>
      </c>
      <c r="Z28" s="47" t="s">
        <v>202</v>
      </c>
      <c r="AA28" s="50">
        <v>0.17647058823529413</v>
      </c>
      <c r="AB28" s="47" t="s">
        <v>258</v>
      </c>
      <c r="AC28" s="50">
        <v>0.5</v>
      </c>
      <c r="AD28" s="47" t="s">
        <v>255</v>
      </c>
      <c r="AE28" s="50">
        <v>0.23076923076923078</v>
      </c>
      <c r="AF28" s="47" t="s">
        <v>228</v>
      </c>
      <c r="AG28" s="50">
        <v>0.31818181818181818</v>
      </c>
      <c r="AH28" s="47" t="s">
        <v>213</v>
      </c>
      <c r="AI28" s="54">
        <v>34800</v>
      </c>
    </row>
    <row r="29" spans="1:35">
      <c r="A29" s="44">
        <v>27</v>
      </c>
      <c r="B29" s="45" t="s">
        <v>269</v>
      </c>
      <c r="C29" s="107">
        <v>5</v>
      </c>
      <c r="D29" s="45" t="s">
        <v>244</v>
      </c>
      <c r="E29" s="46">
        <v>-69.400000000000006</v>
      </c>
      <c r="F29" s="47" t="s">
        <v>258</v>
      </c>
      <c r="G29" s="59">
        <v>-10.6</v>
      </c>
      <c r="H29" s="47" t="s">
        <v>213</v>
      </c>
      <c r="I29" s="48">
        <v>2.7</v>
      </c>
      <c r="J29" s="47" t="s">
        <v>213</v>
      </c>
      <c r="K29" s="49">
        <v>0</v>
      </c>
      <c r="L29" s="47" t="s">
        <v>258</v>
      </c>
      <c r="M29" s="49">
        <v>0.2857142857142857</v>
      </c>
      <c r="N29" s="47" t="s">
        <v>238</v>
      </c>
      <c r="O29" s="49">
        <v>0.46666666666666667</v>
      </c>
      <c r="P29" s="47" t="s">
        <v>258</v>
      </c>
      <c r="Q29" s="50">
        <v>0.18</v>
      </c>
      <c r="R29" s="47" t="s">
        <v>264</v>
      </c>
      <c r="S29" s="50">
        <v>0.15384615384615385</v>
      </c>
      <c r="T29" s="47" t="s">
        <v>168</v>
      </c>
      <c r="U29" s="51">
        <v>5988.3720930232557</v>
      </c>
      <c r="V29" s="47" t="s">
        <v>265</v>
      </c>
      <c r="W29" s="51">
        <v>-6275</v>
      </c>
      <c r="X29" s="47" t="s">
        <v>262</v>
      </c>
      <c r="Y29" s="50">
        <v>0.17391304347826086</v>
      </c>
      <c r="Z29" s="47" t="s">
        <v>277</v>
      </c>
      <c r="AA29" s="50">
        <v>0.17567567567567569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272</v>
      </c>
      <c r="AG29" s="50">
        <v>0.31818181818181818</v>
      </c>
      <c r="AH29" s="47" t="s">
        <v>167</v>
      </c>
      <c r="AI29" s="54">
        <v>34000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228</v>
      </c>
      <c r="I30" s="48">
        <v>2.7058823529411766</v>
      </c>
      <c r="J30" s="47" t="s">
        <v>238</v>
      </c>
      <c r="K30" s="49">
        <v>0</v>
      </c>
      <c r="L30" s="47" t="s">
        <v>216</v>
      </c>
      <c r="M30" s="49">
        <v>0.29629629629629628</v>
      </c>
      <c r="N30" s="47" t="s">
        <v>258</v>
      </c>
      <c r="O30" s="49">
        <v>0.42857142857142855</v>
      </c>
      <c r="P30" s="47" t="s">
        <v>262</v>
      </c>
      <c r="Q30" s="50">
        <v>0.17391304347826086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208</v>
      </c>
      <c r="W30" s="51">
        <v>-6340</v>
      </c>
      <c r="X30" s="47" t="s">
        <v>228</v>
      </c>
      <c r="Y30" s="50">
        <v>0.17355371900826447</v>
      </c>
      <c r="Z30" s="47" t="s">
        <v>262</v>
      </c>
      <c r="AA30" s="50">
        <v>0.17391304347826086</v>
      </c>
      <c r="AB30" s="47" t="s">
        <v>244</v>
      </c>
      <c r="AC30" s="50">
        <v>0.44444444444444442</v>
      </c>
      <c r="AD30" s="47" t="s">
        <v>231</v>
      </c>
      <c r="AE30" s="50">
        <v>0.2</v>
      </c>
      <c r="AF30" s="47" t="s">
        <v>277</v>
      </c>
      <c r="AG30" s="50">
        <v>0.2857142857142857</v>
      </c>
      <c r="AH30" s="47" t="s">
        <v>241</v>
      </c>
      <c r="AI30" s="54">
        <v>34000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241</v>
      </c>
      <c r="I31" s="48">
        <v>2.7142857142857144</v>
      </c>
      <c r="J31" s="47" t="s">
        <v>277</v>
      </c>
      <c r="K31" s="49">
        <v>0</v>
      </c>
      <c r="L31" s="47" t="s">
        <v>161</v>
      </c>
      <c r="M31" s="49">
        <v>0.3</v>
      </c>
      <c r="N31" s="47" t="s">
        <v>228</v>
      </c>
      <c r="O31" s="49">
        <v>0.41176470588235292</v>
      </c>
      <c r="P31" s="47" t="s">
        <v>215</v>
      </c>
      <c r="Q31" s="50">
        <v>0.16666666666666666</v>
      </c>
      <c r="R31" s="47" t="s">
        <v>241</v>
      </c>
      <c r="S31" s="50">
        <v>0.16666666666666666</v>
      </c>
      <c r="T31" s="47" t="s">
        <v>258</v>
      </c>
      <c r="U31" s="51">
        <v>5766.666666666667</v>
      </c>
      <c r="V31" s="47" t="s">
        <v>161</v>
      </c>
      <c r="W31" s="51">
        <v>-6514.2857142857147</v>
      </c>
      <c r="X31" s="47" t="s">
        <v>169</v>
      </c>
      <c r="Y31" s="50">
        <v>0.17320261437908496</v>
      </c>
      <c r="Z31" s="47" t="s">
        <v>166</v>
      </c>
      <c r="AA31" s="50">
        <v>0.17142857142857143</v>
      </c>
      <c r="AB31" s="47" t="s">
        <v>179</v>
      </c>
      <c r="AC31" s="50">
        <v>0.4</v>
      </c>
      <c r="AD31" s="47" t="s">
        <v>203</v>
      </c>
      <c r="AE31" s="50">
        <v>0.16666666666666666</v>
      </c>
      <c r="AF31" s="47" t="s">
        <v>263</v>
      </c>
      <c r="AG31" s="50">
        <v>0.27272727272727271</v>
      </c>
      <c r="AH31" s="47" t="s">
        <v>175</v>
      </c>
      <c r="AI31" s="54">
        <v>33600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238</v>
      </c>
      <c r="G32" s="59">
        <v>-13.566666666666663</v>
      </c>
      <c r="H32" s="47" t="s">
        <v>258</v>
      </c>
      <c r="I32" s="48">
        <v>2.7142857142857144</v>
      </c>
      <c r="J32" s="47" t="s">
        <v>166</v>
      </c>
      <c r="K32" s="49">
        <v>0</v>
      </c>
      <c r="L32" s="47" t="s">
        <v>244</v>
      </c>
      <c r="M32" s="49">
        <v>0.33333333333333331</v>
      </c>
      <c r="N32" s="47" t="s">
        <v>216</v>
      </c>
      <c r="O32" s="49">
        <v>0.40740740740740738</v>
      </c>
      <c r="P32" s="47" t="s">
        <v>164</v>
      </c>
      <c r="Q32" s="50">
        <v>0.16528925619834711</v>
      </c>
      <c r="R32" s="47" t="s">
        <v>244</v>
      </c>
      <c r="S32" s="50">
        <v>0.17460317460317459</v>
      </c>
      <c r="T32" s="47" t="s">
        <v>238</v>
      </c>
      <c r="U32" s="51">
        <v>5695</v>
      </c>
      <c r="V32" s="47" t="s">
        <v>180</v>
      </c>
      <c r="W32" s="51">
        <v>-6600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269</v>
      </c>
      <c r="AC32" s="50">
        <v>0.4</v>
      </c>
      <c r="AD32" s="47" t="s">
        <v>276</v>
      </c>
      <c r="AE32" s="50">
        <v>0.16666666666666666</v>
      </c>
      <c r="AF32" s="47" t="s">
        <v>177</v>
      </c>
      <c r="AG32" s="50">
        <v>0.25</v>
      </c>
      <c r="AH32" s="47" t="s">
        <v>268</v>
      </c>
      <c r="AI32" s="54">
        <v>32100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-80.000000000000128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167</v>
      </c>
      <c r="K33" s="49">
        <v>0</v>
      </c>
      <c r="L33" s="47" t="s">
        <v>262</v>
      </c>
      <c r="M33" s="49">
        <v>0.33333333333333331</v>
      </c>
      <c r="N33" s="47" t="s">
        <v>244</v>
      </c>
      <c r="O33" s="49">
        <v>0.33333333333333331</v>
      </c>
      <c r="P33" s="47" t="s">
        <v>244</v>
      </c>
      <c r="Q33" s="50">
        <v>0.15873015873015872</v>
      </c>
      <c r="R33" s="47" t="s">
        <v>277</v>
      </c>
      <c r="S33" s="50">
        <v>0.17567567567567569</v>
      </c>
      <c r="T33" s="47" t="s">
        <v>265</v>
      </c>
      <c r="U33" s="51">
        <v>5652.9411764705883</v>
      </c>
      <c r="V33" s="47" t="s">
        <v>195</v>
      </c>
      <c r="W33" s="51">
        <v>-6900</v>
      </c>
      <c r="X33" s="47" t="s">
        <v>241</v>
      </c>
      <c r="Y33" s="50">
        <v>0.16666666666666666</v>
      </c>
      <c r="Z33" s="47" t="s">
        <v>258</v>
      </c>
      <c r="AA33" s="50">
        <v>0.16</v>
      </c>
      <c r="AB33" s="47" t="s">
        <v>277</v>
      </c>
      <c r="AC33" s="50">
        <v>0.375</v>
      </c>
      <c r="AD33" s="47" t="s">
        <v>235</v>
      </c>
      <c r="AE33" s="50">
        <v>0.125</v>
      </c>
      <c r="AF33" s="47" t="s">
        <v>231</v>
      </c>
      <c r="AG33" s="50">
        <v>0.25</v>
      </c>
      <c r="AH33" s="47" t="s">
        <v>277</v>
      </c>
      <c r="AI33" s="54">
        <v>29000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175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202</v>
      </c>
      <c r="S34" s="50">
        <v>0.17647058823529413</v>
      </c>
      <c r="T34" s="47" t="s">
        <v>235</v>
      </c>
      <c r="U34" s="51">
        <v>5170</v>
      </c>
      <c r="V34" s="47" t="s">
        <v>228</v>
      </c>
      <c r="W34" s="51">
        <v>-6926.9230769230771</v>
      </c>
      <c r="X34" s="47" t="s">
        <v>238</v>
      </c>
      <c r="Y34" s="50">
        <v>0.16037735849056603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258</v>
      </c>
      <c r="AE34" s="50">
        <v>0.125</v>
      </c>
      <c r="AF34" s="47" t="s">
        <v>262</v>
      </c>
      <c r="AG34" s="50">
        <v>0.25</v>
      </c>
      <c r="AH34" s="47" t="s">
        <v>262</v>
      </c>
      <c r="AI34" s="54">
        <v>28000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180</v>
      </c>
      <c r="K35" s="49">
        <v>0</v>
      </c>
      <c r="L35" s="47" t="s">
        <v>163</v>
      </c>
      <c r="M35" s="49">
        <v>0.375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161</v>
      </c>
      <c r="S35" s="50">
        <v>0.18181818181818182</v>
      </c>
      <c r="T35" s="47" t="s">
        <v>241</v>
      </c>
      <c r="U35" s="51">
        <v>5090.909090909091</v>
      </c>
      <c r="V35" s="47" t="s">
        <v>163</v>
      </c>
      <c r="W35" s="51">
        <v>-7212.5</v>
      </c>
      <c r="X35" s="47" t="s">
        <v>231</v>
      </c>
      <c r="Y35" s="50">
        <v>0.15384615384615385</v>
      </c>
      <c r="Z35" s="47" t="s">
        <v>269</v>
      </c>
      <c r="AA35" s="50">
        <v>0.15151515151515152</v>
      </c>
      <c r="AB35" s="47" t="s">
        <v>191</v>
      </c>
      <c r="AC35" s="50">
        <v>0.33333333333333331</v>
      </c>
      <c r="AD35" s="47" t="s">
        <v>277</v>
      </c>
      <c r="AE35" s="50">
        <v>7.6923076923076927E-2</v>
      </c>
      <c r="AF35" s="47" t="s">
        <v>169</v>
      </c>
      <c r="AG35" s="50">
        <v>0.24637681159420291</v>
      </c>
      <c r="AH35" s="47" t="s">
        <v>235</v>
      </c>
      <c r="AI35" s="54">
        <v>26900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196</v>
      </c>
      <c r="G36" s="59">
        <v>-27.1</v>
      </c>
      <c r="H36" s="47" t="s">
        <v>262</v>
      </c>
      <c r="I36" s="48">
        <v>3</v>
      </c>
      <c r="J36" s="47" t="s">
        <v>199</v>
      </c>
      <c r="K36" s="49">
        <v>0</v>
      </c>
      <c r="L36" s="47" t="s">
        <v>203</v>
      </c>
      <c r="M36" s="49">
        <v>0.4</v>
      </c>
      <c r="N36" s="47" t="s">
        <v>277</v>
      </c>
      <c r="O36" s="49">
        <v>0.2</v>
      </c>
      <c r="P36" s="47" t="s">
        <v>196</v>
      </c>
      <c r="Q36" s="50">
        <v>0.125</v>
      </c>
      <c r="R36" s="47" t="s">
        <v>223</v>
      </c>
      <c r="S36" s="50">
        <v>0.19047619047619047</v>
      </c>
      <c r="T36" s="47" t="s">
        <v>179</v>
      </c>
      <c r="U36" s="51">
        <v>4909.375</v>
      </c>
      <c r="V36" s="47" t="s">
        <v>216</v>
      </c>
      <c r="W36" s="51">
        <v>-7266.666666666667</v>
      </c>
      <c r="X36" s="47" t="s">
        <v>269</v>
      </c>
      <c r="Y36" s="50">
        <v>0.15151515151515152</v>
      </c>
      <c r="Z36" s="47" t="s">
        <v>216</v>
      </c>
      <c r="AA36" s="50">
        <v>0.14525139664804471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277</v>
      </c>
      <c r="G37" s="59">
        <v>-31.509999999999998</v>
      </c>
      <c r="H37" s="47" t="s">
        <v>166</v>
      </c>
      <c r="I37" s="48">
        <v>3.25</v>
      </c>
      <c r="J37" s="47" t="s">
        <v>196</v>
      </c>
      <c r="K37" s="49">
        <v>0</v>
      </c>
      <c r="L37" s="47" t="s">
        <v>269</v>
      </c>
      <c r="M37" s="49">
        <v>0.4</v>
      </c>
      <c r="N37" s="47" t="s">
        <v>235</v>
      </c>
      <c r="O37" s="49">
        <v>0.15384615384615385</v>
      </c>
      <c r="P37" s="47" t="s">
        <v>235</v>
      </c>
      <c r="Q37" s="50">
        <v>0.10309278350515463</v>
      </c>
      <c r="R37" s="47" t="s">
        <v>168</v>
      </c>
      <c r="S37" s="50">
        <v>0.19718309859154928</v>
      </c>
      <c r="T37" s="47" t="s">
        <v>263</v>
      </c>
      <c r="U37" s="51">
        <v>4822.727272727273</v>
      </c>
      <c r="V37" s="47" t="s">
        <v>244</v>
      </c>
      <c r="W37" s="51">
        <v>-7436.363636363636</v>
      </c>
      <c r="X37" s="47" t="s">
        <v>180</v>
      </c>
      <c r="Y37" s="50">
        <v>0.14285714285714285</v>
      </c>
      <c r="Z37" s="47" t="s">
        <v>167</v>
      </c>
      <c r="AA37" s="50">
        <v>0.14285714285714285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227</v>
      </c>
      <c r="AG37" s="50">
        <v>0.19047619047619047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166</v>
      </c>
      <c r="G38" s="59">
        <v>-31.999999999999996</v>
      </c>
      <c r="H38" s="47" t="s">
        <v>277</v>
      </c>
      <c r="I38" s="48">
        <v>3.3</v>
      </c>
      <c r="J38" s="47" t="s">
        <v>203</v>
      </c>
      <c r="K38" s="49">
        <v>0</v>
      </c>
      <c r="L38" s="47" t="s">
        <v>277</v>
      </c>
      <c r="M38" s="49">
        <v>0.5</v>
      </c>
      <c r="N38" s="47" t="s">
        <v>180</v>
      </c>
      <c r="O38" s="49">
        <v>0</v>
      </c>
      <c r="P38" s="47" t="s">
        <v>223</v>
      </c>
      <c r="Q38" s="50">
        <v>9.5238095238095233E-2</v>
      </c>
      <c r="R38" s="47" t="s">
        <v>258</v>
      </c>
      <c r="S38" s="50">
        <v>0.2</v>
      </c>
      <c r="T38" s="47" t="s">
        <v>262</v>
      </c>
      <c r="U38" s="51">
        <v>4525</v>
      </c>
      <c r="V38" s="47" t="s">
        <v>255</v>
      </c>
      <c r="W38" s="51">
        <v>-7600</v>
      </c>
      <c r="X38" s="47" t="s">
        <v>244</v>
      </c>
      <c r="Y38" s="50">
        <v>0.14285714285714285</v>
      </c>
      <c r="Z38" s="47" t="s">
        <v>227</v>
      </c>
      <c r="AA38" s="50">
        <v>0.13978494623655913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203</v>
      </c>
      <c r="G39" s="59">
        <v>-32.279999999999994</v>
      </c>
      <c r="H39" s="47" t="s">
        <v>235</v>
      </c>
      <c r="I39" s="48">
        <v>3.3846153846153846</v>
      </c>
      <c r="J39" s="47" t="s">
        <v>202</v>
      </c>
      <c r="K39" s="49">
        <v>0</v>
      </c>
      <c r="L39" s="47" t="s">
        <v>166</v>
      </c>
      <c r="M39" s="49">
        <v>0.5</v>
      </c>
      <c r="N39" s="47" t="s">
        <v>199</v>
      </c>
      <c r="O39" s="49">
        <v>0</v>
      </c>
      <c r="P39" s="47" t="s">
        <v>277</v>
      </c>
      <c r="Q39" s="50">
        <v>9.45945945945946E-2</v>
      </c>
      <c r="R39" s="47" t="s">
        <v>268</v>
      </c>
      <c r="S39" s="50">
        <v>0.2</v>
      </c>
      <c r="T39" s="47" t="s">
        <v>215</v>
      </c>
      <c r="U39" s="51">
        <v>3900</v>
      </c>
      <c r="V39" s="47" t="s">
        <v>241</v>
      </c>
      <c r="W39" s="51">
        <v>-7687.5</v>
      </c>
      <c r="X39" s="47" t="s">
        <v>202</v>
      </c>
      <c r="Y39" s="50">
        <v>0.11764705882352941</v>
      </c>
      <c r="Z39" s="47" t="s">
        <v>203</v>
      </c>
      <c r="AA39" s="50">
        <v>0.13953488372093023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235</v>
      </c>
      <c r="G40" s="59">
        <v>-32.830769230769235</v>
      </c>
      <c r="H40" s="47" t="s">
        <v>203</v>
      </c>
      <c r="I40" s="48">
        <v>3.4</v>
      </c>
      <c r="J40" s="47" t="s">
        <v>208</v>
      </c>
      <c r="K40" s="49">
        <v>0</v>
      </c>
      <c r="L40" s="47" t="s">
        <v>177</v>
      </c>
      <c r="M40" s="49">
        <v>0.5</v>
      </c>
      <c r="N40" s="47" t="s">
        <v>196</v>
      </c>
      <c r="O40" s="49">
        <v>0</v>
      </c>
      <c r="P40" s="47" t="s">
        <v>203</v>
      </c>
      <c r="Q40" s="50">
        <v>9.3023255813953487E-2</v>
      </c>
      <c r="R40" s="47" t="s">
        <v>228</v>
      </c>
      <c r="S40" s="50">
        <v>0.21487603305785125</v>
      </c>
      <c r="T40" s="47" t="s">
        <v>166</v>
      </c>
      <c r="U40" s="51">
        <v>2928.5714285714284</v>
      </c>
      <c r="V40" s="47" t="s">
        <v>238</v>
      </c>
      <c r="W40" s="51">
        <v>-7942.8571428571431</v>
      </c>
      <c r="X40" s="47" t="s">
        <v>166</v>
      </c>
      <c r="Y40" s="50">
        <v>0.11428571428571428</v>
      </c>
      <c r="Z40" s="47" t="s">
        <v>162</v>
      </c>
      <c r="AA40" s="50">
        <v>0.11538461538461539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-32.96</v>
      </c>
      <c r="H41" s="47" t="s">
        <v>269</v>
      </c>
      <c r="I41" s="48">
        <v>3.4</v>
      </c>
      <c r="J41" s="47" t="s">
        <v>215</v>
      </c>
      <c r="K41" s="49">
        <v>0</v>
      </c>
      <c r="L41" s="47" t="s">
        <v>235</v>
      </c>
      <c r="M41" s="49">
        <v>0.61538461538461542</v>
      </c>
      <c r="N41" s="47" t="s">
        <v>203</v>
      </c>
      <c r="O41" s="49">
        <v>0</v>
      </c>
      <c r="P41" s="47" t="s">
        <v>269</v>
      </c>
      <c r="Q41" s="50">
        <v>6.0606060606060608E-2</v>
      </c>
      <c r="R41" s="47" t="s">
        <v>208</v>
      </c>
      <c r="S41" s="50">
        <v>0.21739130434782608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269</v>
      </c>
      <c r="E42" s="46">
        <v>-164.8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223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262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235</v>
      </c>
      <c r="Y42" s="50">
        <v>9.2783505154639179E-2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238</v>
      </c>
      <c r="E43" s="46">
        <v>-203.49999999999994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241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235</v>
      </c>
      <c r="S43" s="50">
        <v>0.22680412371134021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-315.09999999999997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262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-426.8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269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389</v>
      </c>
      <c r="C2" s="121"/>
      <c r="E2" s="32" t="s">
        <v>54</v>
      </c>
      <c r="F2" s="29" t="s">
        <v>20</v>
      </c>
      <c r="G2" s="12">
        <v>344</v>
      </c>
      <c r="H2" s="93">
        <f>IF(B$17=0,0,G2/B$17)</f>
        <v>0.5714285714285714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-66.838046272493571</v>
      </c>
      <c r="P2" s="79">
        <v>389</v>
      </c>
      <c r="Q2" s="63">
        <v>-26000</v>
      </c>
    </row>
    <row r="3" spans="1:17">
      <c r="A3" s="19" t="s">
        <v>8</v>
      </c>
      <c r="B3" s="122">
        <v>2853</v>
      </c>
      <c r="C3" s="123"/>
      <c r="E3" s="33" t="s">
        <v>181</v>
      </c>
      <c r="F3" s="30" t="s">
        <v>156</v>
      </c>
      <c r="G3" s="13">
        <v>310</v>
      </c>
      <c r="H3" s="94">
        <f>IF(B$17=0,0,G3/B$17)</f>
        <v>0.51495016611295685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2.5706940874035991</v>
      </c>
      <c r="P3" s="80">
        <v>389</v>
      </c>
      <c r="Q3" s="64">
        <v>1000</v>
      </c>
    </row>
    <row r="4" spans="1:17">
      <c r="A4" s="19" t="s">
        <v>6</v>
      </c>
      <c r="B4" s="124">
        <v>-80.000000000000128</v>
      </c>
      <c r="C4" s="125"/>
      <c r="E4" s="33" t="s">
        <v>184</v>
      </c>
      <c r="F4" s="30" t="s">
        <v>187</v>
      </c>
      <c r="G4" s="13">
        <v>292</v>
      </c>
      <c r="H4" s="94">
        <f>IF(B$17=0,0,G4/B$17)</f>
        <v>0.4850498338870432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-17.84776902887139</v>
      </c>
      <c r="P4" s="80">
        <v>381</v>
      </c>
      <c r="Q4" s="64">
        <v>-6800</v>
      </c>
    </row>
    <row r="5" spans="1:17">
      <c r="A5" s="19" t="s">
        <v>7</v>
      </c>
      <c r="B5" s="126">
        <f>IF(B$2=0,0,B$4/B$2)</f>
        <v>-0.20565552699228826</v>
      </c>
      <c r="C5" s="127"/>
      <c r="E5" s="33" t="s">
        <v>60</v>
      </c>
      <c r="F5" s="30" t="s">
        <v>24</v>
      </c>
      <c r="G5" s="13">
        <v>243</v>
      </c>
      <c r="H5" s="94">
        <f>IF(B$17=0,0,G5/B$17)</f>
        <v>0.40365448504983387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-63.03724928366762</v>
      </c>
      <c r="P5" s="80">
        <v>349</v>
      </c>
      <c r="Q5" s="64">
        <v>-22000</v>
      </c>
    </row>
    <row r="6" spans="1:17">
      <c r="A6" s="19" t="s">
        <v>1</v>
      </c>
      <c r="B6" s="128">
        <f>IF(B$2=0,0,(B$7*1+B$8*2+B$9*3+B$10*4)/B$2)</f>
        <v>2.4910025706940875</v>
      </c>
      <c r="C6" s="129"/>
      <c r="E6" s="33" t="s">
        <v>56</v>
      </c>
      <c r="F6" s="30" t="s">
        <v>185</v>
      </c>
      <c r="G6" s="13">
        <v>147</v>
      </c>
      <c r="H6" s="94">
        <f>IF(B$17=0,0,G6/B$17)</f>
        <v>0.2441860465116279</v>
      </c>
      <c r="I6" s="56">
        <v>27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-20.833333333333332</v>
      </c>
      <c r="P6" s="80">
        <v>240</v>
      </c>
      <c r="Q6" s="64">
        <v>-5000</v>
      </c>
    </row>
    <row r="7" spans="1:17">
      <c r="A7" s="19" t="s">
        <v>2</v>
      </c>
      <c r="B7" s="13">
        <v>99</v>
      </c>
      <c r="C7" s="6">
        <f t="shared" ref="C7:C12" si="2">IF(B$2=0,0,B7/B$2)</f>
        <v>0.25449871465295631</v>
      </c>
      <c r="E7" s="33" t="s">
        <v>57</v>
      </c>
      <c r="F7" s="30" t="s">
        <v>21</v>
      </c>
      <c r="G7" s="13">
        <v>145</v>
      </c>
      <c r="H7" s="94">
        <f>IF(B$17=0,0,G7/B$17)</f>
        <v>0.24086378737541528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-50</v>
      </c>
      <c r="P7" s="80">
        <v>160</v>
      </c>
      <c r="Q7" s="64">
        <v>-8000</v>
      </c>
    </row>
    <row r="8" spans="1:17">
      <c r="A8" s="19" t="s">
        <v>3</v>
      </c>
      <c r="B8" s="13">
        <v>96</v>
      </c>
      <c r="C8" s="6">
        <f>IF(B$2=0,0,B8/B$2)</f>
        <v>0.2467866323907455</v>
      </c>
      <c r="E8" s="33" t="s">
        <v>55</v>
      </c>
      <c r="F8" s="30" t="s">
        <v>155</v>
      </c>
      <c r="G8" s="13">
        <v>142</v>
      </c>
      <c r="H8" s="94">
        <f>IF(B$17=0,0,G8/B$17)</f>
        <v>0.23588039867109634</v>
      </c>
      <c r="I8" s="56">
        <v>17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92</v>
      </c>
      <c r="Q8" s="64">
        <v>0</v>
      </c>
    </row>
    <row r="9" spans="1:17">
      <c r="A9" s="20" t="s">
        <v>4</v>
      </c>
      <c r="B9" s="14">
        <v>98</v>
      </c>
      <c r="C9" s="7">
        <f>IF(B$2=0,0,B9/B$2)</f>
        <v>0.25192802056555269</v>
      </c>
      <c r="E9" s="33" t="s">
        <v>59</v>
      </c>
      <c r="F9" s="30" t="s">
        <v>23</v>
      </c>
      <c r="G9" s="13">
        <v>96</v>
      </c>
      <c r="H9" s="94">
        <f>IF(B$17=0,0,G9/B$17)</f>
        <v>0.15946843853820597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25</v>
      </c>
      <c r="P9" s="81">
        <v>40</v>
      </c>
      <c r="Q9" s="65">
        <v>1000</v>
      </c>
    </row>
    <row r="10" spans="1:17">
      <c r="A10" s="20" t="s">
        <v>152</v>
      </c>
      <c r="B10" s="14">
        <v>96</v>
      </c>
      <c r="C10" s="7">
        <f>IF(B$2=0,0,B10/B$2)</f>
        <v>0.2467866323907455</v>
      </c>
      <c r="E10" s="33" t="s">
        <v>182</v>
      </c>
      <c r="F10" s="30" t="s">
        <v>19</v>
      </c>
      <c r="G10" s="13">
        <v>62</v>
      </c>
      <c r="H10" s="94">
        <f>IF(B$17=0,0,G10/B$17)</f>
        <v>0.10299003322259136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195</v>
      </c>
      <c r="C11" s="7">
        <f>IF(B$2=0,0,B11/B$2)</f>
        <v>0.50128534704370176</v>
      </c>
      <c r="E11" s="33" t="s">
        <v>58</v>
      </c>
      <c r="F11" s="30" t="s">
        <v>22</v>
      </c>
      <c r="G11" s="13">
        <v>43</v>
      </c>
      <c r="H11" s="94">
        <f>IF(B$17=0,0,G11/B$17)</f>
        <v>7.1428571428571425E-2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4.6272493573264781E-2</v>
      </c>
      <c r="E12" s="33" t="s">
        <v>77</v>
      </c>
      <c r="F12" s="30" t="s">
        <v>41</v>
      </c>
      <c r="G12" s="13">
        <v>29</v>
      </c>
      <c r="H12" s="94">
        <f>IF(B$17=0,0,G12/B$17)</f>
        <v>4.817275747508306E-2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-2.7551020408163254</v>
      </c>
      <c r="P12" s="79">
        <v>98</v>
      </c>
      <c r="Q12" s="67">
        <v>-269.99999999999989</v>
      </c>
    </row>
    <row r="13" spans="1:17">
      <c r="A13" s="22" t="s">
        <v>97</v>
      </c>
      <c r="B13" s="15">
        <v>579</v>
      </c>
      <c r="C13" s="11">
        <f>IF(B$3=0,0,B13/B$3)</f>
        <v>0.20294426919032596</v>
      </c>
      <c r="E13" s="33" t="s">
        <v>183</v>
      </c>
      <c r="F13" s="30" t="s">
        <v>186</v>
      </c>
      <c r="G13" s="13">
        <v>23</v>
      </c>
      <c r="H13" s="94">
        <f>IF(B$17=0,0,G13/B$17)</f>
        <v>3.8205980066445183E-2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6.063265306122446</v>
      </c>
      <c r="P13" s="80">
        <v>98</v>
      </c>
      <c r="Q13" s="68">
        <v>594.1999999999997</v>
      </c>
    </row>
    <row r="14" spans="1:17">
      <c r="A14" s="19" t="s">
        <v>94</v>
      </c>
      <c r="B14" s="13">
        <v>622</v>
      </c>
      <c r="C14" s="6">
        <f>IF(B$3=0,0,B14/B$3)</f>
        <v>0.21801612337889942</v>
      </c>
      <c r="E14" s="33" t="s">
        <v>71</v>
      </c>
      <c r="F14" s="30" t="s">
        <v>35</v>
      </c>
      <c r="G14" s="13">
        <v>21</v>
      </c>
      <c r="H14" s="94">
        <f>IF(B$17=0,0,G14/B$17)</f>
        <v>3.4883720930232558E-2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-5.0030612244897945</v>
      </c>
      <c r="P14" s="80">
        <v>98</v>
      </c>
      <c r="Q14" s="68">
        <v>-490.29999999999984</v>
      </c>
    </row>
    <row r="15" spans="1:17">
      <c r="A15" s="18" t="s">
        <v>99</v>
      </c>
      <c r="B15" s="12">
        <f>B21</f>
        <v>313</v>
      </c>
      <c r="C15" s="4">
        <f>IF(B$13=0,0,B15/B$13)</f>
        <v>0.54058721934369602</v>
      </c>
      <c r="E15" s="33" t="s">
        <v>74</v>
      </c>
      <c r="F15" s="30" t="s">
        <v>38</v>
      </c>
      <c r="G15" s="13">
        <v>14</v>
      </c>
      <c r="H15" s="94">
        <f>IF(B$17=0,0,G15/B$17)</f>
        <v>2.3255813953488372E-2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0.87857142857142856</v>
      </c>
      <c r="P15" s="81">
        <v>98</v>
      </c>
      <c r="Q15" s="69">
        <v>86.1</v>
      </c>
    </row>
    <row r="16" spans="1:17">
      <c r="A16" s="18" t="s">
        <v>100</v>
      </c>
      <c r="B16" s="12">
        <f>B22</f>
        <v>211</v>
      </c>
      <c r="C16" s="4">
        <f>IF(B$14=0,0,B16/B$14)</f>
        <v>0.33922829581993569</v>
      </c>
      <c r="E16" s="33" t="s">
        <v>66</v>
      </c>
      <c r="F16" s="30" t="s">
        <v>30</v>
      </c>
      <c r="G16" s="13">
        <v>7</v>
      </c>
      <c r="H16" s="94">
        <f>IF(B$17=0,0,G16/B$17)</f>
        <v>1.1627906976744186E-2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602</v>
      </c>
      <c r="C17" s="4">
        <f>IF(B$3=0,0,B17/B$3)</f>
        <v>0.21100595864002805</v>
      </c>
      <c r="E17" s="33" t="s">
        <v>67</v>
      </c>
      <c r="F17" s="30" t="s">
        <v>31</v>
      </c>
      <c r="G17" s="13">
        <v>7</v>
      </c>
      <c r="H17" s="94">
        <f>IF(B$17=0,0,G17/B$17)</f>
        <v>1.1627906976744186E-2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388</v>
      </c>
      <c r="C18" s="6">
        <f>IF(B$3=0,0,B18/B$3)</f>
        <v>0.13599719593410445</v>
      </c>
      <c r="E18" s="33" t="s">
        <v>69</v>
      </c>
      <c r="F18" s="30" t="s">
        <v>33</v>
      </c>
      <c r="G18" s="13">
        <v>5</v>
      </c>
      <c r="H18" s="94">
        <f>IF(B$17=0,0,G18/B$17)</f>
        <v>8.3056478405315621E-3</v>
      </c>
      <c r="I18" s="56">
        <v>6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214</v>
      </c>
      <c r="C19" s="6">
        <f>IF(B$17=0,0,B19/B$17)</f>
        <v>0.35548172757475083</v>
      </c>
      <c r="E19" s="33" t="s">
        <v>78</v>
      </c>
      <c r="F19" s="30" t="s">
        <v>42</v>
      </c>
      <c r="G19" s="13">
        <v>5</v>
      </c>
      <c r="H19" s="94">
        <f>IF(B$17=0,0,G19/B$17)</f>
        <v>8.3056478405315621E-3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388</v>
      </c>
      <c r="C20" s="6">
        <f>IF(B$17=0,0,B20/B$17)</f>
        <v>0.64451827242524917</v>
      </c>
      <c r="E20" s="33" t="s">
        <v>62</v>
      </c>
      <c r="F20" s="30" t="s">
        <v>26</v>
      </c>
      <c r="G20" s="13">
        <v>4</v>
      </c>
      <c r="H20" s="94">
        <f>IF(B$17=0,0,G20/B$17)</f>
        <v>6.6445182724252493E-3</v>
      </c>
      <c r="I20" s="56">
        <v>5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313</v>
      </c>
      <c r="C21" s="6">
        <f>IF(B$17=0,0,B21/B$17)</f>
        <v>0.51993355481727577</v>
      </c>
      <c r="E21" s="33" t="s">
        <v>61</v>
      </c>
      <c r="F21" s="30" t="s">
        <v>25</v>
      </c>
      <c r="G21" s="13">
        <v>3</v>
      </c>
      <c r="H21" s="94">
        <f>IF(B$17=0,0,G21/B$17)</f>
        <v>4.9833887043189366E-3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211</v>
      </c>
      <c r="C22" s="6">
        <f>IF(B$17=0,0,B22/B$17)</f>
        <v>0.35049833887043191</v>
      </c>
      <c r="E22" s="33" t="s">
        <v>76</v>
      </c>
      <c r="F22" s="30" t="s">
        <v>40</v>
      </c>
      <c r="G22" s="13">
        <v>3</v>
      </c>
      <c r="H22" s="94">
        <f>IF(B$17=0,0,G22/B$17)</f>
        <v>4.9833887043189366E-3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43.280000000000008</v>
      </c>
      <c r="P22" s="80">
        <v>15</v>
      </c>
      <c r="Q22" s="68">
        <v>649.20000000000016</v>
      </c>
    </row>
    <row r="23" spans="1:17">
      <c r="A23" s="19" t="s">
        <v>150</v>
      </c>
      <c r="B23" s="13">
        <v>78</v>
      </c>
      <c r="C23" s="6">
        <f>IF(B$17=0,0,B23/B$17)</f>
        <v>0.12956810631229235</v>
      </c>
      <c r="E23" s="33" t="s">
        <v>72</v>
      </c>
      <c r="F23" s="30" t="s">
        <v>36</v>
      </c>
      <c r="G23" s="13">
        <v>2</v>
      </c>
      <c r="H23" s="94">
        <f>IF(B$17=0,0,G23/B$17)</f>
        <v>3.3222591362126247E-3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6747.5083056478406</v>
      </c>
      <c r="C24" s="8">
        <v>4062000</v>
      </c>
      <c r="E24" s="33" t="s">
        <v>75</v>
      </c>
      <c r="F24" s="30" t="s">
        <v>39</v>
      </c>
      <c r="G24" s="13">
        <v>2</v>
      </c>
      <c r="H24" s="94">
        <f>IF(B$17=0,0,G24/B$17)</f>
        <v>3.3222591362126247E-3</v>
      </c>
      <c r="I24" s="56">
        <v>3</v>
      </c>
      <c r="K24" s="5">
        <v>22</v>
      </c>
      <c r="L24" s="61">
        <v>-68.399999999999991</v>
      </c>
      <c r="N24" s="76" t="s">
        <v>235</v>
      </c>
      <c r="O24" s="86">
        <f>IF(P24=0,0,Q24/P24)</f>
        <v>43.005128205128209</v>
      </c>
      <c r="P24" s="80">
        <v>39</v>
      </c>
      <c r="Q24" s="68">
        <v>1677.2</v>
      </c>
    </row>
    <row r="25" spans="1:17">
      <c r="A25" s="20" t="s">
        <v>133</v>
      </c>
      <c r="B25" s="97">
        <f>IF($B$17-B$16=0,0,C25/($B$17-B$16))</f>
        <v>7768.0306905370844</v>
      </c>
      <c r="C25" s="98">
        <v>3037300</v>
      </c>
      <c r="E25" s="33" t="s">
        <v>79</v>
      </c>
      <c r="F25" s="30" t="s">
        <v>43</v>
      </c>
      <c r="G25" s="13">
        <v>1</v>
      </c>
      <c r="H25" s="94">
        <f>IF(B$17=0,0,G25/B$17)</f>
        <v>1.6611295681063123E-3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4856.3981042654032</v>
      </c>
      <c r="C26" s="98">
        <v>1024700</v>
      </c>
      <c r="E26" s="33" t="s">
        <v>80</v>
      </c>
      <c r="F26" s="30" t="s">
        <v>44</v>
      </c>
      <c r="G26" s="13">
        <v>1</v>
      </c>
      <c r="H26" s="94">
        <f>IF(B$17=0,0,G26/B$17)</f>
        <v>1.6611295681063123E-3</v>
      </c>
      <c r="I26" s="56">
        <v>2</v>
      </c>
      <c r="K26" s="5">
        <v>24</v>
      </c>
      <c r="L26" s="61">
        <v>1.0658141036401503E-14</v>
      </c>
      <c r="N26" s="76" t="s">
        <v>277</v>
      </c>
      <c r="O26" s="86">
        <f>IF(P26=0,0,Q26/P26)</f>
        <v>42.013333333333335</v>
      </c>
      <c r="P26" s="80">
        <v>30</v>
      </c>
      <c r="Q26" s="68">
        <v>1260.4000000000001</v>
      </c>
    </row>
    <row r="27" spans="1:17">
      <c r="A27" s="20" t="s">
        <v>132</v>
      </c>
      <c r="B27" s="97">
        <f>IF(B$18=0,0,C27/B$18)</f>
        <v>-6192.5257731958764</v>
      </c>
      <c r="C27" s="98">
        <v>-2402700</v>
      </c>
      <c r="E27" s="33" t="s">
        <v>82</v>
      </c>
      <c r="F27" s="30" t="s">
        <v>46</v>
      </c>
      <c r="G27" s="13">
        <v>1</v>
      </c>
      <c r="H27" s="94">
        <f>IF(B$17=0,0,G27/B$17)</f>
        <v>1.6611295681063123E-3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9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17.866666666666667</v>
      </c>
      <c r="P31" s="80">
        <v>45</v>
      </c>
      <c r="Q31" s="68">
        <v>804</v>
      </c>
    </row>
    <row r="32" spans="1:17">
      <c r="A32" s="21" t="s">
        <v>112</v>
      </c>
      <c r="B32" s="26">
        <v>8</v>
      </c>
      <c r="C32" s="9">
        <f>IF(B$3=0,0,B32/B$3)</f>
        <v>2.8040658955485456E-3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68</v>
      </c>
      <c r="C35" s="102">
        <f t="shared" ref="C35:C47" si="3">IF(B$17=0,0,B35/B$17)</f>
        <v>0.11295681063122924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115</v>
      </c>
      <c r="C36" s="6">
        <f t="shared" si="3"/>
        <v>0.19102990033222592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244</v>
      </c>
      <c r="O36" s="86">
        <f>IF(P36=0,0,Q36/P36)</f>
        <v>9.9111111111111097</v>
      </c>
      <c r="P36" s="80">
        <v>27</v>
      </c>
      <c r="Q36" s="68">
        <v>267.59999999999997</v>
      </c>
    </row>
    <row r="37" spans="1:17">
      <c r="A37" s="19" t="s">
        <v>136</v>
      </c>
      <c r="B37" s="100">
        <v>141</v>
      </c>
      <c r="C37" s="6">
        <f t="shared" si="3"/>
        <v>0.23421926910299004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128</v>
      </c>
      <c r="C38" s="6">
        <f t="shared" si="3"/>
        <v>0.21262458471760798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63</v>
      </c>
      <c r="C39" s="6">
        <f t="shared" si="3"/>
        <v>0.10465116279069768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61</v>
      </c>
      <c r="C40" s="6">
        <f t="shared" si="3"/>
        <v>0.10132890365448505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18</v>
      </c>
      <c r="C41" s="6">
        <f t="shared" si="3"/>
        <v>2.9900332225913623E-2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3</v>
      </c>
      <c r="C42" s="6">
        <f t="shared" si="3"/>
        <v>4.9833887043189366E-3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263</v>
      </c>
      <c r="O42" s="86">
        <f>IF(P42=0,0,Q42/P42)</f>
        <v>-1.6606060606060609</v>
      </c>
      <c r="P42" s="80">
        <v>33</v>
      </c>
      <c r="Q42" s="68">
        <v>-54.800000000000011</v>
      </c>
    </row>
    <row r="43" spans="1:17">
      <c r="A43" s="19" t="s">
        <v>143</v>
      </c>
      <c r="B43" s="100">
        <v>2</v>
      </c>
      <c r="C43" s="6">
        <f t="shared" si="3"/>
        <v>3.3222591362126247E-3</v>
      </c>
      <c r="K43" s="5">
        <v>41</v>
      </c>
      <c r="L43" s="61">
        <v>-66.399999999999991</v>
      </c>
      <c r="N43" s="76" t="s">
        <v>164</v>
      </c>
      <c r="O43" s="86">
        <f>IF(P43=0,0,Q43/P43)</f>
        <v>-2.2222222222222197</v>
      </c>
      <c r="P43" s="80">
        <v>45</v>
      </c>
      <c r="Q43" s="68">
        <v>-99.999999999999886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177</v>
      </c>
      <c r="O44" s="86">
        <f>IF(P44=0,0,Q44/P44)</f>
        <v>-2.6</v>
      </c>
      <c r="P44" s="80">
        <v>6</v>
      </c>
      <c r="Q44" s="68">
        <v>-15.600000000000001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163</v>
      </c>
      <c r="O45" s="86">
        <f>IF(P45=0,0,Q45/P45)</f>
        <v>-3.7999999999999949</v>
      </c>
      <c r="P45" s="80">
        <v>24</v>
      </c>
      <c r="Q45" s="68">
        <v>-91.199999999999875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4.9833887043189366E-3</v>
      </c>
      <c r="K47" s="5">
        <v>45</v>
      </c>
      <c r="L47" s="61">
        <v>-52.099999999999987</v>
      </c>
      <c r="N47" s="76" t="s">
        <v>195</v>
      </c>
      <c r="O47" s="86">
        <f>IF(P47=0,0,Q47/P47)</f>
        <v>-8.1538461538461551</v>
      </c>
      <c r="P47" s="80">
        <v>117</v>
      </c>
      <c r="Q47" s="68">
        <v>-954.00000000000023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-16.499999999999982</v>
      </c>
      <c r="P49" s="80">
        <v>24</v>
      </c>
      <c r="Q49" s="68">
        <v>-395.9999999999996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-19.099186991869935</v>
      </c>
      <c r="P51" s="80">
        <v>123</v>
      </c>
      <c r="Q51" s="68">
        <v>-2349.2000000000021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-23.05</v>
      </c>
      <c r="P52" s="80">
        <v>24</v>
      </c>
      <c r="Q52" s="68">
        <v>-553.20000000000005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-36.35</v>
      </c>
      <c r="P53" s="80">
        <v>24</v>
      </c>
      <c r="Q53" s="68">
        <v>-872.40000000000009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205</v>
      </c>
      <c r="O56" s="86">
        <f>IF(P56=0,0,Q56/P56)</f>
        <v>-47.866666666666667</v>
      </c>
      <c r="P56" s="80">
        <v>12</v>
      </c>
      <c r="Q56" s="68">
        <v>-574.4</v>
      </c>
    </row>
    <row r="57" spans="11:17">
      <c r="K57" s="5">
        <v>55</v>
      </c>
      <c r="L57" s="61">
        <v>20.799999999999997</v>
      </c>
      <c r="N57" s="76" t="s">
        <v>272</v>
      </c>
      <c r="O57" s="86">
        <f>IF(P57=0,0,Q57/P57)</f>
        <v>-56.533333333333331</v>
      </c>
      <c r="P57" s="80">
        <v>27</v>
      </c>
      <c r="Q57" s="68">
        <v>-1526.3999999999999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21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29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0.81159420289855078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778.04878048780483</v>
      </c>
      <c r="P2" s="79">
        <v>41</v>
      </c>
      <c r="Q2" s="63">
        <v>31900</v>
      </c>
    </row>
    <row r="3" spans="1:17">
      <c r="A3" s="19" t="s">
        <v>8</v>
      </c>
      <c r="B3" s="122">
        <v>306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0.6811594202898551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1487.8048780487804</v>
      </c>
      <c r="P3" s="80">
        <v>41</v>
      </c>
      <c r="Q3" s="64">
        <v>61000</v>
      </c>
    </row>
    <row r="4" spans="1:17">
      <c r="A4" s="19" t="s">
        <v>6</v>
      </c>
      <c r="B4" s="124">
        <v>584.79999999999995</v>
      </c>
      <c r="C4" s="125"/>
      <c r="E4" s="33" t="s">
        <v>181</v>
      </c>
      <c r="F4" s="30" t="s">
        <v>156</v>
      </c>
      <c r="G4" s="13">
        <v>34</v>
      </c>
      <c r="H4" s="94">
        <f>IF(B$17=0,0,G4/B$17)</f>
        <v>0.49275362318840582</v>
      </c>
      <c r="I4" s="56">
        <v>27</v>
      </c>
      <c r="K4" s="5">
        <v>2</v>
      </c>
      <c r="L4" s="61">
        <v>0.60000000000000142</v>
      </c>
      <c r="N4" s="76" t="s">
        <v>105</v>
      </c>
      <c r="O4" s="83">
        <f t="shared" si="0"/>
        <v>1520</v>
      </c>
      <c r="P4" s="80">
        <v>40</v>
      </c>
      <c r="Q4" s="64">
        <v>60800</v>
      </c>
    </row>
    <row r="5" spans="1:17">
      <c r="A5" s="19" t="s">
        <v>7</v>
      </c>
      <c r="B5" s="126">
        <f>IF(B$2=0,0,B$4/B$2)</f>
        <v>14.26341463414634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0.36231884057971014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944.44444444444446</v>
      </c>
      <c r="P5" s="80">
        <v>36</v>
      </c>
      <c r="Q5" s="64">
        <v>34000</v>
      </c>
    </row>
    <row r="6" spans="1:17">
      <c r="A6" s="19" t="s">
        <v>1</v>
      </c>
      <c r="B6" s="128">
        <f>IF(B$2=0,0,(B$7*1+B$8*2+B$9*3+B$10*4)/B$2)</f>
        <v>2.1707317073170733</v>
      </c>
      <c r="C6" s="129"/>
      <c r="E6" s="33" t="s">
        <v>57</v>
      </c>
      <c r="F6" s="30" t="s">
        <v>21</v>
      </c>
      <c r="G6" s="13">
        <v>23</v>
      </c>
      <c r="H6" s="94">
        <f>IF(B$17=0,0,G6/B$17)</f>
        <v>0.33333333333333331</v>
      </c>
      <c r="I6" s="56">
        <v>8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1212</v>
      </c>
      <c r="P6" s="80">
        <v>25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0.34146341463414637</v>
      </c>
      <c r="E7" s="33" t="s">
        <v>55</v>
      </c>
      <c r="F7" s="30" t="s">
        <v>155</v>
      </c>
      <c r="G7" s="13">
        <v>18</v>
      </c>
      <c r="H7" s="94">
        <f>IF(B$17=0,0,G7/B$17)</f>
        <v>0.2608695652173913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1741.1764705882354</v>
      </c>
      <c r="P7" s="80">
        <v>17</v>
      </c>
      <c r="Q7" s="64">
        <v>29600</v>
      </c>
    </row>
    <row r="8" spans="1:17">
      <c r="A8" s="19" t="s">
        <v>3</v>
      </c>
      <c r="B8" s="13">
        <v>12</v>
      </c>
      <c r="C8" s="6">
        <f>IF(B$2=0,0,B8/B$2)</f>
        <v>0.29268292682926828</v>
      </c>
      <c r="E8" s="33" t="s">
        <v>59</v>
      </c>
      <c r="F8" s="30" t="s">
        <v>23</v>
      </c>
      <c r="G8" s="13">
        <v>15</v>
      </c>
      <c r="H8" s="94">
        <f>IF(B$17=0,0,G8/B$17)</f>
        <v>0.21739130434782608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0.21951219512195122</v>
      </c>
      <c r="E9" s="33" t="s">
        <v>56</v>
      </c>
      <c r="F9" s="30" t="s">
        <v>185</v>
      </c>
      <c r="G9" s="13">
        <v>12</v>
      </c>
      <c r="H9" s="94">
        <f>IF(B$17=0,0,G9/B$17)</f>
        <v>0.17391304347826086</v>
      </c>
      <c r="I9" s="56">
        <v>33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0.14634146341463414</v>
      </c>
      <c r="E10" s="33" t="s">
        <v>58</v>
      </c>
      <c r="F10" s="30" t="s">
        <v>22</v>
      </c>
      <c r="G10" s="13">
        <v>8</v>
      </c>
      <c r="H10" s="94">
        <f>IF(B$17=0,0,G10/B$17)</f>
        <v>0.11594202898550725</v>
      </c>
      <c r="I10" s="56">
        <v>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0.63414634146341464</v>
      </c>
      <c r="E11" s="33" t="s">
        <v>182</v>
      </c>
      <c r="F11" s="30" t="s">
        <v>19</v>
      </c>
      <c r="G11" s="13">
        <v>6</v>
      </c>
      <c r="H11" s="94">
        <f>IF(B$17=0,0,G11/B$17)</f>
        <v>8.6956521739130432E-2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6</v>
      </c>
      <c r="H12" s="94">
        <f>IF(B$17=0,0,G12/B$17)</f>
        <v>8.6956521739130432E-2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53</v>
      </c>
      <c r="C13" s="11">
        <f>IF(B$3=0,0,B13/B$3)</f>
        <v>0.17320261437908496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59</v>
      </c>
      <c r="C14" s="6">
        <f>IF(B$3=0,0,B14/B$3)</f>
        <v>0.19281045751633988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1.9428571428571411</v>
      </c>
      <c r="P14" s="80">
        <v>7</v>
      </c>
      <c r="Q14" s="68">
        <v>13.599999999999987</v>
      </c>
    </row>
    <row r="15" spans="1:17">
      <c r="A15" s="18" t="s">
        <v>99</v>
      </c>
      <c r="B15" s="12">
        <f>B21</f>
        <v>34</v>
      </c>
      <c r="C15" s="4">
        <f>IF(B$13=0,0,B15/B$13)</f>
        <v>0.64150943396226412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17.899999999999999</v>
      </c>
      <c r="P15" s="81">
        <v>14</v>
      </c>
      <c r="Q15" s="69">
        <v>250.6</v>
      </c>
    </row>
    <row r="16" spans="1:17">
      <c r="A16" s="18" t="s">
        <v>100</v>
      </c>
      <c r="B16" s="12">
        <f>B22</f>
        <v>21</v>
      </c>
      <c r="C16" s="4">
        <f>IF(B$14=0,0,B16/B$14)</f>
        <v>0.3559322033898305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0.22549019607843138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8.8235294117647065E-2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17</v>
      </c>
      <c r="C19" s="6">
        <f>IF(B$17=0,0,B19/B$17)</f>
        <v>0.24637681159420291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52</v>
      </c>
      <c r="C20" s="6">
        <f>IF(B$17=0,0,B20/B$17)</f>
        <v>0.75362318840579712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34</v>
      </c>
      <c r="C21" s="6">
        <f>IF(B$17=0,0,B21/B$17)</f>
        <v>0.49275362318840582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21</v>
      </c>
      <c r="C22" s="6">
        <f>IF(B$17=0,0,B22/B$17)</f>
        <v>0.30434782608695654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0.20289855072463769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244</v>
      </c>
      <c r="O23" s="86">
        <f>IF(P23=0,0,Q23/P23)</f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7679.710144927536</v>
      </c>
      <c r="C24" s="8">
        <v>529900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8427.0833333333339</v>
      </c>
      <c r="C25" s="98">
        <v>404500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5971.4285714285716</v>
      </c>
      <c r="C26" s="98">
        <v>125400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-5129.6296296296296</v>
      </c>
      <c r="C27" s="98">
        <v>-138500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K27" s="5">
        <v>25</v>
      </c>
      <c r="L27" s="61">
        <v>464.20000000000005</v>
      </c>
      <c r="N27" s="76" t="s">
        <v>223</v>
      </c>
      <c r="O27" s="86">
        <f>IF(P27=0,0,Q27/P27)</f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>IF(P28=0,0,Q28/P28)</f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228</v>
      </c>
      <c r="O29" s="86">
        <f>IF(P29=0,0,Q29/P29)</f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530.50000000000011</v>
      </c>
      <c r="N30" s="76" t="s">
        <v>213</v>
      </c>
      <c r="O30" s="86">
        <f>IF(P30=0,0,Q30/P30)</f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276</v>
      </c>
      <c r="O31" s="86">
        <f>IF(P31=0,0,Q31/P31)</f>
        <v>37.4</v>
      </c>
      <c r="P31" s="80">
        <v>1</v>
      </c>
      <c r="Q31" s="68">
        <v>37.4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2</v>
      </c>
      <c r="C35" s="102">
        <f t="shared" ref="C35:C47" si="3">IF(B$17=0,0,B35/B$17)</f>
        <v>2.8985507246376812E-2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>IF(P35=0,0,Q35/P35)</f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13</v>
      </c>
      <c r="C36" s="6">
        <f t="shared" si="3"/>
        <v>0.18840579710144928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235</v>
      </c>
      <c r="O36" s="86">
        <f>IF(P36=0,0,Q36/P36)</f>
        <v>16.225000000000001</v>
      </c>
      <c r="P36" s="80">
        <v>4</v>
      </c>
      <c r="Q36" s="68">
        <v>64.900000000000006</v>
      </c>
    </row>
    <row r="37" spans="1:17">
      <c r="A37" s="19" t="s">
        <v>136</v>
      </c>
      <c r="B37" s="100">
        <v>14</v>
      </c>
      <c r="C37" s="6">
        <f t="shared" si="3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>IF(P37=0,0,Q37/P37)</f>
        <v>7.25</v>
      </c>
      <c r="P37" s="80">
        <v>4</v>
      </c>
      <c r="Q37" s="68">
        <v>29</v>
      </c>
    </row>
    <row r="38" spans="1:17">
      <c r="A38" s="19" t="s">
        <v>137</v>
      </c>
      <c r="B38" s="100">
        <v>21</v>
      </c>
      <c r="C38" s="6">
        <f t="shared" si="3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>IF(P38=0,0,Q38/P38)</f>
        <v>5.0500000000000007</v>
      </c>
      <c r="P38" s="80">
        <v>2</v>
      </c>
      <c r="Q38" s="68">
        <v>10.100000000000001</v>
      </c>
    </row>
    <row r="39" spans="1:17">
      <c r="A39" s="19" t="s">
        <v>138</v>
      </c>
      <c r="B39" s="100">
        <v>5</v>
      </c>
      <c r="C39" s="6">
        <f t="shared" si="3"/>
        <v>7.2463768115942032E-2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195</v>
      </c>
      <c r="O39" s="86">
        <f>IF(P39=0,0,Q39/P39)</f>
        <v>-4.2812500000000053</v>
      </c>
      <c r="P39" s="80">
        <v>16</v>
      </c>
      <c r="Q39" s="68">
        <v>-68.500000000000085</v>
      </c>
    </row>
    <row r="40" spans="1:17">
      <c r="A40" s="19" t="s">
        <v>140</v>
      </c>
      <c r="B40" s="100">
        <v>10</v>
      </c>
      <c r="C40" s="6">
        <f t="shared" si="3"/>
        <v>0.14492753623188406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164</v>
      </c>
      <c r="O40" s="86">
        <f>IF(P40=0,0,Q40/P40)</f>
        <v>-7.6999999999999975</v>
      </c>
      <c r="P40" s="80">
        <v>7</v>
      </c>
      <c r="Q40" s="68">
        <v>-53.899999999999984</v>
      </c>
    </row>
    <row r="41" spans="1:17">
      <c r="A41" s="19" t="s">
        <v>141</v>
      </c>
      <c r="B41" s="100">
        <v>4</v>
      </c>
      <c r="C41" s="6">
        <f t="shared" si="3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177</v>
      </c>
      <c r="O41" s="86">
        <f>IF(P41=0,0,Q41/P41)</f>
        <v>-10.999999999999996</v>
      </c>
      <c r="P41" s="80">
        <v>2</v>
      </c>
      <c r="Q41" s="68">
        <v>-21.999999999999993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168</v>
      </c>
      <c r="O42" s="86">
        <f>IF(P42=0,0,Q42/P42)</f>
        <v>-14.5625</v>
      </c>
      <c r="P42" s="80">
        <v>8</v>
      </c>
      <c r="Q42" s="68">
        <v>-116.5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584.79999999999995</v>
      </c>
      <c r="N43" s="76" t="s">
        <v>269</v>
      </c>
      <c r="O43" s="86">
        <f>IF(P43=0,0,Q43/P43)</f>
        <v>-22.5</v>
      </c>
      <c r="P43" s="80">
        <v>1</v>
      </c>
      <c r="Q43" s="68">
        <v>-22.5</v>
      </c>
    </row>
    <row r="44" spans="1:17">
      <c r="A44" s="19" t="s">
        <v>144</v>
      </c>
      <c r="B44" s="100">
        <v>0</v>
      </c>
      <c r="C44" s="6">
        <f t="shared" si="3"/>
        <v>0</v>
      </c>
      <c r="N44" s="76" t="s">
        <v>167</v>
      </c>
      <c r="O44" s="86">
        <f>IF(P44=0,0,Q44/P44)</f>
        <v>-28.2</v>
      </c>
      <c r="P44" s="80">
        <v>1</v>
      </c>
      <c r="Q44" s="68">
        <v>-28.2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162</v>
      </c>
      <c r="O45" s="86">
        <f>IF(P45=0,0,Q45/P45)</f>
        <v>-38.020000000000003</v>
      </c>
      <c r="P45" s="80">
        <v>5</v>
      </c>
      <c r="Q45" s="68">
        <v>-190.10000000000002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272</v>
      </c>
      <c r="O46" s="86">
        <f>IF(P46=0,0,Q46/P46)</f>
        <v>-79.7</v>
      </c>
      <c r="P46" s="80">
        <v>2</v>
      </c>
      <c r="Q46" s="68">
        <v>-159.4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255</v>
      </c>
      <c r="O47" s="86">
        <f>IF(P47=0,0,Q47/P47)</f>
        <v>-86.333333333333314</v>
      </c>
      <c r="P47" s="80">
        <v>3</v>
      </c>
      <c r="Q47" s="68">
        <v>-258.99999999999994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21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25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25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7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44</v>
      </c>
      <c r="H2" s="93">
        <f>IF(B$17=0,0,G2/B$17)</f>
        <v>0.5714285714285714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1184.6153846153845</v>
      </c>
      <c r="P2" s="79">
        <v>39</v>
      </c>
      <c r="Q2" s="63">
        <v>46200</v>
      </c>
    </row>
    <row r="3" spans="1:17">
      <c r="A3" s="19" t="s">
        <v>8</v>
      </c>
      <c r="B3" s="122">
        <v>277</v>
      </c>
      <c r="C3" s="123"/>
      <c r="E3" s="33" t="s">
        <v>181</v>
      </c>
      <c r="F3" s="30" t="s">
        <v>156</v>
      </c>
      <c r="G3" s="13">
        <v>37</v>
      </c>
      <c r="H3" s="94">
        <f>IF(B$17=0,0,G3/B$17)</f>
        <v>0.48051948051948051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930.76923076923072</v>
      </c>
      <c r="P3" s="80">
        <v>39</v>
      </c>
      <c r="Q3" s="64">
        <v>36300</v>
      </c>
    </row>
    <row r="4" spans="1:17">
      <c r="A4" s="19" t="s">
        <v>6</v>
      </c>
      <c r="B4" s="124">
        <v>236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0.45454545454545453</v>
      </c>
      <c r="I4" s="56">
        <v>20</v>
      </c>
      <c r="K4" s="5">
        <v>2</v>
      </c>
      <c r="L4" s="61">
        <v>-12.200000000000001</v>
      </c>
      <c r="N4" s="76" t="s">
        <v>105</v>
      </c>
      <c r="O4" s="83">
        <f t="shared" si="0"/>
        <v>750</v>
      </c>
      <c r="P4" s="80">
        <v>38</v>
      </c>
      <c r="Q4" s="64">
        <v>28500</v>
      </c>
    </row>
    <row r="5" spans="1:17">
      <c r="A5" s="19" t="s">
        <v>7</v>
      </c>
      <c r="B5" s="126">
        <f>IF(B$2=0,0,B$4/B$2)</f>
        <v>6.0512820512820511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0.40259740259740262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138.23529411764707</v>
      </c>
      <c r="P5" s="80">
        <v>34</v>
      </c>
      <c r="Q5" s="64">
        <v>4700</v>
      </c>
    </row>
    <row r="6" spans="1:17">
      <c r="A6" s="19" t="s">
        <v>1</v>
      </c>
      <c r="B6" s="128">
        <f>IF(B$2=0,0,(B$7*1+B$8*2+B$9*3+B$10*4)/B$2)</f>
        <v>2.358974358974359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0.23376623376623376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0.28205128205128205</v>
      </c>
      <c r="E7" s="33" t="s">
        <v>56</v>
      </c>
      <c r="F7" s="30" t="s">
        <v>185</v>
      </c>
      <c r="G7" s="13">
        <v>18</v>
      </c>
      <c r="H7" s="94">
        <f>IF(B$17=0,0,G7/B$17)</f>
        <v>0.23376623376623376</v>
      </c>
      <c r="I7" s="56">
        <v>28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8</v>
      </c>
      <c r="C8" s="6">
        <f>IF(B$2=0,0,B8/B$2)</f>
        <v>0.20512820512820512</v>
      </c>
      <c r="E8" s="33" t="s">
        <v>59</v>
      </c>
      <c r="F8" s="30" t="s">
        <v>23</v>
      </c>
      <c r="G8" s="13">
        <v>14</v>
      </c>
      <c r="H8" s="94">
        <f>IF(B$17=0,0,G8/B$17)</f>
        <v>0.18181818181818182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15</v>
      </c>
      <c r="C9" s="7">
        <f>IF(B$2=0,0,B9/B$2)</f>
        <v>0.38461538461538464</v>
      </c>
      <c r="E9" s="33" t="s">
        <v>57</v>
      </c>
      <c r="F9" s="30" t="s">
        <v>21</v>
      </c>
      <c r="G9" s="13">
        <v>12</v>
      </c>
      <c r="H9" s="94">
        <f>IF(B$17=0,0,G9/B$17)</f>
        <v>0.15584415584415584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182</v>
      </c>
      <c r="F10" s="30" t="s">
        <v>19</v>
      </c>
      <c r="G10" s="13">
        <v>8</v>
      </c>
      <c r="H10" s="94">
        <f>IF(B$17=0,0,G10/B$17)</f>
        <v>0.1038961038961039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0.48717948717948717</v>
      </c>
      <c r="E11" s="33" t="s">
        <v>58</v>
      </c>
      <c r="F11" s="30" t="s">
        <v>22</v>
      </c>
      <c r="G11" s="13">
        <v>6</v>
      </c>
      <c r="H11" s="94">
        <f>IF(B$17=0,0,G11/B$17)</f>
        <v>7.792207792207792E-2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7.6923076923076927E-2</v>
      </c>
      <c r="E12" s="33" t="s">
        <v>77</v>
      </c>
      <c r="F12" s="30" t="s">
        <v>41</v>
      </c>
      <c r="G12" s="13">
        <v>6</v>
      </c>
      <c r="H12" s="94">
        <f>IF(B$17=0,0,G12/B$17)</f>
        <v>7.792207792207792E-2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70</v>
      </c>
      <c r="C13" s="11">
        <f>IF(B$3=0,0,B13/B$3)</f>
        <v>0.25270758122743681</v>
      </c>
      <c r="E13" s="33" t="s">
        <v>71</v>
      </c>
      <c r="F13" s="30" t="s">
        <v>35</v>
      </c>
      <c r="G13" s="13">
        <v>5</v>
      </c>
      <c r="H13" s="94">
        <f>IF(B$17=0,0,G13/B$17)</f>
        <v>6.4935064935064929E-2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86</v>
      </c>
      <c r="C14" s="6">
        <f>IF(B$3=0,0,B14/B$3)</f>
        <v>0.31046931407942241</v>
      </c>
      <c r="E14" s="33" t="s">
        <v>74</v>
      </c>
      <c r="F14" s="30" t="s">
        <v>38</v>
      </c>
      <c r="G14" s="13">
        <v>3</v>
      </c>
      <c r="H14" s="94">
        <f>IF(B$17=0,0,G14/B$17)</f>
        <v>3.896103896103896E-2</v>
      </c>
      <c r="I14" s="56">
        <v>9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37</v>
      </c>
      <c r="C15" s="4">
        <f>IF(B$13=0,0,B15/B$13)</f>
        <v>0.52857142857142858</v>
      </c>
      <c r="E15" s="33" t="s">
        <v>183</v>
      </c>
      <c r="F15" s="30" t="s">
        <v>186</v>
      </c>
      <c r="G15" s="13">
        <v>2</v>
      </c>
      <c r="H15" s="94">
        <f>IF(B$17=0,0,G15/B$17)</f>
        <v>2.5974025974025976E-2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33</v>
      </c>
      <c r="C16" s="4">
        <f>IF(B$14=0,0,B16/B$14)</f>
        <v>0.38372093023255816</v>
      </c>
      <c r="E16" s="33" t="s">
        <v>78</v>
      </c>
      <c r="F16" s="30" t="s">
        <v>42</v>
      </c>
      <c r="G16" s="13">
        <v>2</v>
      </c>
      <c r="H16" s="94">
        <f>IF(B$17=0,0,G16/B$17)</f>
        <v>2.5974025974025976E-2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0.27797833935018051</v>
      </c>
      <c r="E17" s="33" t="s">
        <v>62</v>
      </c>
      <c r="F17" s="30" t="s">
        <v>26</v>
      </c>
      <c r="G17" s="13">
        <v>1</v>
      </c>
      <c r="H17" s="94">
        <f>IF(B$17=0,0,G17/B$17)</f>
        <v>1.2987012987012988E-2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0.11913357400722022</v>
      </c>
      <c r="E18" s="33" t="s">
        <v>66</v>
      </c>
      <c r="F18" s="30" t="s">
        <v>30</v>
      </c>
      <c r="G18" s="13">
        <v>1</v>
      </c>
      <c r="H18" s="94">
        <f>IF(B$17=0,0,G18/B$17)</f>
        <v>1.2987012987012988E-2</v>
      </c>
      <c r="I18" s="56">
        <v>7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29</v>
      </c>
      <c r="C19" s="6">
        <f>IF(B$17=0,0,B19/B$17)</f>
        <v>0.37662337662337664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>IF(P19=0,0,Q19/P19)</f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48</v>
      </c>
      <c r="C20" s="6">
        <f>IF(B$17=0,0,B20/B$17)</f>
        <v>0.62337662337662336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>IF(P20=0,0,Q20/P20)</f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37</v>
      </c>
      <c r="C21" s="6">
        <f>IF(B$17=0,0,B21/B$17)</f>
        <v>0.48051948051948051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>IF(P21=0,0,Q21/P21)</f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33</v>
      </c>
      <c r="C22" s="6">
        <f>IF(B$17=0,0,B22/B$17)</f>
        <v>0.42857142857142855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9.0909090909090912E-2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>IF(P23=0,0,Q23/P23)</f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6490.909090909091</v>
      </c>
      <c r="C24" s="8">
        <v>499800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>IF(P24=0,0,Q24/P24)</f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7825</v>
      </c>
      <c r="C25" s="98">
        <v>344300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7</v>
      </c>
      <c r="K25" s="5">
        <v>23</v>
      </c>
      <c r="L25" s="61">
        <v>-280</v>
      </c>
      <c r="N25" s="76" t="s">
        <v>208</v>
      </c>
      <c r="O25" s="86">
        <f>IF(P25=0,0,Q25/P25)</f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4712.121212121212</v>
      </c>
      <c r="C26" s="98">
        <v>155500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-6900</v>
      </c>
      <c r="C27" s="98">
        <v>-227700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277</v>
      </c>
      <c r="O27" s="86">
        <f>IF(P27=0,0,Q27/P27)</f>
        <v>28.3</v>
      </c>
      <c r="P27" s="80">
        <v>2</v>
      </c>
      <c r="Q27" s="68">
        <v>56.6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269</v>
      </c>
      <c r="O28" s="86">
        <f>IF(P28=0,0,Q28/P28)</f>
        <v>28.200000000000003</v>
      </c>
      <c r="P28" s="80">
        <v>1</v>
      </c>
      <c r="Q28" s="68">
        <v>28.200000000000003</v>
      </c>
    </row>
    <row r="29" spans="1:17">
      <c r="A29" s="19" t="s">
        <v>131</v>
      </c>
      <c r="B29" s="13">
        <v>34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>IF(P29=0,0,Q29/P29)</f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1</v>
      </c>
      <c r="C32" s="9">
        <f>IF(B$3=0,0,B32/B$3)</f>
        <v>3.6101083032490976E-3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241</v>
      </c>
      <c r="O33" s="86">
        <f>IF(P33=0,0,Q33/P33)</f>
        <v>14.16666666666667</v>
      </c>
      <c r="P33" s="80">
        <v>3</v>
      </c>
      <c r="Q33" s="68">
        <v>42.500000000000007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169</v>
      </c>
      <c r="O34" s="86">
        <f>IF(P34=0,0,Q34/P34)</f>
        <v>4.2812500000000044</v>
      </c>
      <c r="P34" s="80">
        <v>16</v>
      </c>
      <c r="Q34" s="68">
        <v>68.500000000000071</v>
      </c>
    </row>
    <row r="35" spans="1:17">
      <c r="A35" s="52" t="s">
        <v>139</v>
      </c>
      <c r="B35" s="99">
        <v>6</v>
      </c>
      <c r="C35" s="102">
        <f t="shared" ref="C35:C47" si="3">IF(B$17=0,0,B35/B$17)</f>
        <v>7.792207792207792E-2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>IF(P35=0,0,Q35/P35)</f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19</v>
      </c>
      <c r="C36" s="6">
        <f t="shared" si="3"/>
        <v>0.24675324675324675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164</v>
      </c>
      <c r="O36" s="86">
        <f>IF(P36=0,0,Q36/P36)</f>
        <v>-19.399999999999999</v>
      </c>
      <c r="P36" s="80">
        <v>4</v>
      </c>
      <c r="Q36" s="68">
        <v>-77.599999999999994</v>
      </c>
    </row>
    <row r="37" spans="1:17">
      <c r="A37" s="19" t="s">
        <v>136</v>
      </c>
      <c r="B37" s="100">
        <v>23</v>
      </c>
      <c r="C37" s="6">
        <f t="shared" si="3"/>
        <v>0.29870129870129869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161</v>
      </c>
      <c r="O37" s="86">
        <f>IF(P37=0,0,Q37/P37)</f>
        <v>-20.650000000000006</v>
      </c>
      <c r="P37" s="80">
        <v>2</v>
      </c>
      <c r="Q37" s="68">
        <v>-41.300000000000011</v>
      </c>
    </row>
    <row r="38" spans="1:17">
      <c r="A38" s="19" t="s">
        <v>137</v>
      </c>
      <c r="B38" s="100">
        <v>6</v>
      </c>
      <c r="C38" s="6">
        <f t="shared" si="3"/>
        <v>7.792207792207792E-2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>IF(P38=0,0,Q38/P38)</f>
        <v>-21.75</v>
      </c>
      <c r="P38" s="80">
        <v>2</v>
      </c>
      <c r="Q38" s="68">
        <v>-43.5</v>
      </c>
    </row>
    <row r="39" spans="1:17">
      <c r="A39" s="19" t="s">
        <v>138</v>
      </c>
      <c r="B39" s="100">
        <v>11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>IF(P39=0,0,Q39/P39)</f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8</v>
      </c>
      <c r="C40" s="6">
        <f t="shared" si="3"/>
        <v>0.1038961038961039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>IF(P40=0,0,Q40/P40)</f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3"/>
        <v>5.1948051948051951E-2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>IF(P41=0,0,Q41/P41)</f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>IF(P42=0,0,Q42/P42)</f>
        <v>-43.699999999999996</v>
      </c>
      <c r="P42" s="80">
        <v>4</v>
      </c>
      <c r="Q42" s="68">
        <v>-174.79999999999998</v>
      </c>
    </row>
    <row r="43" spans="1:17">
      <c r="A43" s="19" t="s">
        <v>143</v>
      </c>
      <c r="B43" s="100">
        <v>0</v>
      </c>
      <c r="C43" s="6">
        <f t="shared" si="3"/>
        <v>0</v>
      </c>
      <c r="N43" s="76" t="s">
        <v>244</v>
      </c>
      <c r="O43" s="86">
        <f>IF(P43=0,0,Q43/P43)</f>
        <v>-48.366666666666667</v>
      </c>
      <c r="P43" s="80">
        <v>3</v>
      </c>
      <c r="Q43" s="68">
        <v>-145.1</v>
      </c>
    </row>
    <row r="44" spans="1:17">
      <c r="A44" s="19" t="s">
        <v>144</v>
      </c>
      <c r="B44" s="100">
        <v>0</v>
      </c>
      <c r="C44" s="6">
        <f t="shared" si="3"/>
        <v>0</v>
      </c>
      <c r="N44" s="76" t="s">
        <v>276</v>
      </c>
      <c r="O44" s="86">
        <f>IF(P44=0,0,Q44/P44)</f>
        <v>-48.5</v>
      </c>
      <c r="P44" s="80">
        <v>1</v>
      </c>
      <c r="Q44" s="68">
        <v>-48.5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191</v>
      </c>
      <c r="O45" s="86">
        <f>IF(P45=0,0,Q45/P45)</f>
        <v>-65.966666666666669</v>
      </c>
      <c r="P45" s="80">
        <v>3</v>
      </c>
      <c r="Q45" s="68">
        <v>-197.9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205</v>
      </c>
      <c r="O46" s="86">
        <f>IF(P46=0,0,Q46/P46)</f>
        <v>-66.05</v>
      </c>
      <c r="P46" s="80">
        <v>4</v>
      </c>
      <c r="Q46" s="68">
        <v>-264.2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20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10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6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11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-3523.0769230769229</v>
      </c>
      <c r="P2" s="79">
        <v>13</v>
      </c>
      <c r="Q2" s="63">
        <v>-45800</v>
      </c>
    </row>
    <row r="3" spans="1:17">
      <c r="A3" s="19" t="s">
        <v>8</v>
      </c>
      <c r="B3" s="122">
        <v>97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0.5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-2384.6153846153848</v>
      </c>
      <c r="P3" s="80">
        <v>13</v>
      </c>
      <c r="Q3" s="64">
        <v>-31000</v>
      </c>
    </row>
    <row r="4" spans="1:17">
      <c r="A4" s="19" t="s">
        <v>6</v>
      </c>
      <c r="B4" s="124">
        <v>-426.8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0.4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-3376.9230769230771</v>
      </c>
      <c r="P4" s="80">
        <v>13</v>
      </c>
      <c r="Q4" s="64">
        <v>-43900</v>
      </c>
    </row>
    <row r="5" spans="1:17">
      <c r="A5" s="19" t="s">
        <v>7</v>
      </c>
      <c r="B5" s="126">
        <f>IF(B$2=0,0,B$4/B$2)</f>
        <v>-32.830769230769235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</v>
      </c>
      <c r="I5" s="56">
        <v>8</v>
      </c>
      <c r="K5" s="5">
        <v>3</v>
      </c>
      <c r="L5" s="61">
        <v>-67.200000000000017</v>
      </c>
      <c r="N5" s="76" t="s">
        <v>157</v>
      </c>
      <c r="O5" s="83">
        <f>IF(P5=0,0,Q5/P5)</f>
        <v>-1458.3333333333333</v>
      </c>
      <c r="P5" s="80">
        <v>12</v>
      </c>
      <c r="Q5" s="64">
        <v>-17500</v>
      </c>
    </row>
    <row r="6" spans="1:17">
      <c r="A6" s="19" t="s">
        <v>1</v>
      </c>
      <c r="B6" s="128">
        <f>IF(B$2=0,0,(B$7*1+B$8*2+B$9*3+B$10*4)/B$2)</f>
        <v>3.3846153846153846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184</v>
      </c>
      <c r="F7" s="30" t="s">
        <v>187</v>
      </c>
      <c r="G7" s="13">
        <v>2</v>
      </c>
      <c r="H7" s="94">
        <f>IF(B$17=0,0,G7/B$17)</f>
        <v>0.2</v>
      </c>
      <c r="I7" s="56">
        <v>35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55</v>
      </c>
      <c r="F8" s="30" t="s">
        <v>155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57</v>
      </c>
      <c r="F9" s="30" t="s">
        <v>21</v>
      </c>
      <c r="G9" s="13">
        <v>1</v>
      </c>
      <c r="H9" s="94">
        <f>IF(B$17=0,0,G9/B$17)</f>
        <v>0.1</v>
      </c>
      <c r="I9" s="56">
        <v>30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0.61538461538461542</v>
      </c>
      <c r="E10" s="33" t="s">
        <v>59</v>
      </c>
      <c r="F10" s="30" t="s">
        <v>23</v>
      </c>
      <c r="G10" s="13">
        <v>1</v>
      </c>
      <c r="H10" s="94">
        <f>IF(B$17=0,0,G10/B$17)</f>
        <v>0.1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0.15384615384615385</v>
      </c>
      <c r="E11" s="33" t="s">
        <v>61</v>
      </c>
      <c r="F11" s="30" t="s">
        <v>25</v>
      </c>
      <c r="G11" s="13">
        <v>1</v>
      </c>
      <c r="H11" s="94">
        <f>IF(B$17=0,0,G11/B$17)</f>
        <v>0.1</v>
      </c>
      <c r="I11" s="56">
        <v>1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7.6923076923076927E-2</v>
      </c>
      <c r="E12" s="33" t="s">
        <v>66</v>
      </c>
      <c r="F12" s="30" t="s">
        <v>30</v>
      </c>
      <c r="G12" s="13">
        <v>1</v>
      </c>
      <c r="H12" s="94">
        <f>IF(B$17=0,0,G12/B$17)</f>
        <v>0.1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-20.700000000000003</v>
      </c>
      <c r="P12" s="79">
        <v>4</v>
      </c>
      <c r="Q12" s="67">
        <v>-82.800000000000011</v>
      </c>
    </row>
    <row r="13" spans="1:17">
      <c r="A13" s="22" t="s">
        <v>97</v>
      </c>
      <c r="B13" s="15">
        <v>9</v>
      </c>
      <c r="C13" s="11">
        <f>IF(B$3=0,0,B13/B$3)</f>
        <v>9.2783505154639179E-2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24</v>
      </c>
      <c r="C14" s="6">
        <f>IF(B$3=0,0,B14/B$3)</f>
        <v>0.24742268041237114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5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3</v>
      </c>
      <c r="C16" s="4">
        <f>IF(B$14=0,0,B16/B$14)</f>
        <v>0.125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0.10309278350515463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0.22680412371134021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 t="shared" ref="O18:O32" si="3">IF(P18=0,0,Q18/P18)</f>
        <v>-0.46666666666666384</v>
      </c>
      <c r="P18" s="79">
        <v>3</v>
      </c>
      <c r="Q18" s="67">
        <v>-1.3999999999999915</v>
      </c>
    </row>
    <row r="19" spans="1:17">
      <c r="A19" s="19" t="s">
        <v>12</v>
      </c>
      <c r="B19" s="13">
        <v>6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 t="shared" si="3"/>
        <v>-4.3000000000000016</v>
      </c>
      <c r="P19" s="80">
        <v>3</v>
      </c>
      <c r="Q19" s="68">
        <v>-12.900000000000006</v>
      </c>
    </row>
    <row r="20" spans="1:17">
      <c r="A20" s="19" t="s">
        <v>11</v>
      </c>
      <c r="B20" s="13">
        <v>4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 t="shared" si="3"/>
        <v>-16.224999999999998</v>
      </c>
      <c r="P20" s="80">
        <v>4</v>
      </c>
      <c r="Q20" s="68">
        <v>-64.899999999999991</v>
      </c>
    </row>
    <row r="21" spans="1:17">
      <c r="A21" s="19" t="s">
        <v>151</v>
      </c>
      <c r="B21" s="13">
        <v>5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-22.766666666666666</v>
      </c>
      <c r="P21" s="80">
        <v>3</v>
      </c>
      <c r="Q21" s="68">
        <v>-68.3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258</v>
      </c>
      <c r="O22" s="86">
        <f t="shared" si="3"/>
        <v>-23.5</v>
      </c>
      <c r="P22" s="80">
        <v>3</v>
      </c>
      <c r="Q22" s="68">
        <v>-70.5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-28.300000000000004</v>
      </c>
      <c r="P23" s="80">
        <v>1</v>
      </c>
      <c r="Q23" s="68">
        <v>-28.300000000000004</v>
      </c>
    </row>
    <row r="24" spans="1:17">
      <c r="A24" s="19" t="s">
        <v>5</v>
      </c>
      <c r="B24" s="16">
        <f>IF(B$17=0,0,C24/B$17)</f>
        <v>5170</v>
      </c>
      <c r="C24" s="8">
        <v>51700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 t="shared" si="3"/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6142.8571428571431</v>
      </c>
      <c r="C25" s="98">
        <v>43000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 t="shared" si="3"/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263</v>
      </c>
      <c r="O26" s="86">
        <f t="shared" si="3"/>
        <v>-51.666666666666664</v>
      </c>
      <c r="P26" s="80">
        <v>3</v>
      </c>
      <c r="Q26" s="68">
        <v>-155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 t="shared" si="3"/>
        <v>-59.824999999999996</v>
      </c>
      <c r="P27" s="80">
        <v>4</v>
      </c>
      <c r="Q27" s="68">
        <v>-239.29999999999998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262</v>
      </c>
      <c r="O28" s="86">
        <f t="shared" si="3"/>
        <v>-64.5</v>
      </c>
      <c r="P28" s="80">
        <v>1</v>
      </c>
      <c r="Q28" s="68">
        <v>-64.5</v>
      </c>
    </row>
    <row r="29" spans="1:17">
      <c r="A29" s="19" t="s">
        <v>131</v>
      </c>
      <c r="B29" s="13">
        <v>12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 t="shared" si="3"/>
        <v>-67.750000000000014</v>
      </c>
      <c r="P29" s="80">
        <v>2</v>
      </c>
      <c r="Q29" s="68">
        <v>-135.50000000000003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272</v>
      </c>
      <c r="O30" s="86">
        <f t="shared" si="3"/>
        <v>-72.849999999999994</v>
      </c>
      <c r="P30" s="80">
        <v>2</v>
      </c>
      <c r="Q30" s="68">
        <v>-145.69999999999999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1.0309278350515464E-2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</v>
      </c>
      <c r="P2" s="79">
        <v>15</v>
      </c>
      <c r="Q2" s="63">
        <v>-6600</v>
      </c>
    </row>
    <row r="3" spans="1:17">
      <c r="A3" s="19" t="s">
        <v>8</v>
      </c>
      <c r="B3" s="122">
        <v>106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-860</v>
      </c>
      <c r="P3" s="80">
        <v>15</v>
      </c>
      <c r="Q3" s="64">
        <v>-12900</v>
      </c>
    </row>
    <row r="4" spans="1:17">
      <c r="A4" s="19" t="s">
        <v>6</v>
      </c>
      <c r="B4" s="124">
        <v>-203.49999999999994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-400</v>
      </c>
      <c r="P4" s="80">
        <v>14</v>
      </c>
      <c r="Q4" s="64">
        <v>-5600</v>
      </c>
    </row>
    <row r="5" spans="1:17">
      <c r="A5" s="19" t="s">
        <v>7</v>
      </c>
      <c r="B5" s="126">
        <f>IF(B$2=0,0,B$4/B$2)</f>
        <v>-13.566666666666663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0.35</v>
      </c>
      <c r="I5" s="56">
        <v>7</v>
      </c>
      <c r="K5" s="5">
        <v>3</v>
      </c>
      <c r="L5" s="61">
        <v>-44.9</v>
      </c>
      <c r="N5" s="76" t="s">
        <v>157</v>
      </c>
      <c r="O5" s="83">
        <f>IF(P5=0,0,Q5/P5)</f>
        <v>-769.23076923076928</v>
      </c>
      <c r="P5" s="80">
        <v>13</v>
      </c>
      <c r="Q5" s="64">
        <v>-10000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0.35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-2516.6666666666665</v>
      </c>
      <c r="P6" s="80">
        <v>6</v>
      </c>
      <c r="Q6" s="64">
        <v>-15100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6</v>
      </c>
      <c r="H7" s="94">
        <f>IF(B$17=0,0,G7/B$17)</f>
        <v>0.3</v>
      </c>
      <c r="I7" s="56">
        <v>5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7</v>
      </c>
      <c r="C8" s="6">
        <f>IF(B$2=0,0,B8/B$2)</f>
        <v>0.46666666666666667</v>
      </c>
      <c r="E8" s="33" t="s">
        <v>56</v>
      </c>
      <c r="F8" s="30" t="s">
        <v>185</v>
      </c>
      <c r="G8" s="13">
        <v>5</v>
      </c>
      <c r="H8" s="94">
        <f>IF(B$17=0,0,G8/B$17)</f>
        <v>0.25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0.4</v>
      </c>
      <c r="E9" s="33" t="s">
        <v>55</v>
      </c>
      <c r="F9" s="30" t="s">
        <v>155</v>
      </c>
      <c r="G9" s="13">
        <v>4</v>
      </c>
      <c r="H9" s="94">
        <f>IF(B$17=0,0,G9/B$17)</f>
        <v>0.2</v>
      </c>
      <c r="I9" s="56">
        <v>23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0.13333333333333333</v>
      </c>
      <c r="E10" s="33" t="s">
        <v>182</v>
      </c>
      <c r="F10" s="30" t="s">
        <v>19</v>
      </c>
      <c r="G10" s="13">
        <v>2</v>
      </c>
      <c r="H10" s="94">
        <f>IF(B$17=0,0,G10/B$17)</f>
        <v>0.1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0.46666666666666667</v>
      </c>
      <c r="E11" s="33" t="s">
        <v>69</v>
      </c>
      <c r="F11" s="30" t="s">
        <v>33</v>
      </c>
      <c r="G11" s="13">
        <v>1</v>
      </c>
      <c r="H11" s="94">
        <f>IF(B$17=0,0,G11/B$17)</f>
        <v>0.05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17</v>
      </c>
      <c r="C13" s="11">
        <f>IF(B$3=0,0,B13/B$3)</f>
        <v>0.16037735849056603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19</v>
      </c>
      <c r="C14" s="6">
        <f>IF(B$3=0,0,B14/B$3)</f>
        <v>0.17924528301886791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-14.549999999999999</v>
      </c>
      <c r="P14" s="80">
        <v>6</v>
      </c>
      <c r="Q14" s="68">
        <v>-87.3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7</v>
      </c>
      <c r="C16" s="4">
        <f>IF(B$14=0,0,B16/B$14)</f>
        <v>0.36842105263157893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0.18867924528301888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0.13207547169811321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265</v>
      </c>
      <c r="O18" s="85">
        <f t="shared" ref="O18:O30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276</v>
      </c>
      <c r="O19" s="86">
        <f t="shared" si="3"/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277</v>
      </c>
      <c r="O20" s="86">
        <f t="shared" si="3"/>
        <v>43.733333333333327</v>
      </c>
      <c r="P20" s="80">
        <v>3</v>
      </c>
      <c r="Q20" s="68">
        <v>131.19999999999999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 t="shared" si="3"/>
        <v>22.766666666666666</v>
      </c>
      <c r="P21" s="80">
        <v>3</v>
      </c>
      <c r="Q21" s="68">
        <v>68.3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 t="shared" si="3"/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-7.2500000000000009</v>
      </c>
      <c r="P23" s="80">
        <v>4</v>
      </c>
      <c r="Q23" s="68">
        <v>-29.000000000000004</v>
      </c>
    </row>
    <row r="24" spans="1:17">
      <c r="A24" s="19" t="s">
        <v>5</v>
      </c>
      <c r="B24" s="16">
        <f>IF(B$17=0,0,C24/B$17)</f>
        <v>5695</v>
      </c>
      <c r="C24" s="8">
        <v>113900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 t="shared" si="3"/>
        <v>-10.849999999999998</v>
      </c>
      <c r="P24" s="80">
        <v>2</v>
      </c>
      <c r="Q24" s="68">
        <v>-21.699999999999996</v>
      </c>
    </row>
    <row r="25" spans="1:17">
      <c r="A25" s="20" t="s">
        <v>133</v>
      </c>
      <c r="B25" s="97">
        <f>IF($B$17-B$16=0,0,C25/($B$17-B$16))</f>
        <v>7430.7692307692305</v>
      </c>
      <c r="C25" s="98">
        <v>96600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244</v>
      </c>
      <c r="O26" s="86">
        <f t="shared" si="3"/>
        <v>-21.75</v>
      </c>
      <c r="P26" s="80">
        <v>2</v>
      </c>
      <c r="Q26" s="68">
        <v>-43.5</v>
      </c>
    </row>
    <row r="27" spans="1:17">
      <c r="A27" s="20" t="s">
        <v>132</v>
      </c>
      <c r="B27" s="97">
        <f>IF(B$18=0,0,C27/B$18)</f>
        <v>-7942.8571428571431</v>
      </c>
      <c r="C27" s="98">
        <v>-111200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216</v>
      </c>
      <c r="O27" s="86">
        <f t="shared" si="3"/>
        <v>-39.633333333333333</v>
      </c>
      <c r="P27" s="80">
        <v>6</v>
      </c>
      <c r="Q27" s="68">
        <v>-237.8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-52.866666666666674</v>
      </c>
      <c r="P28" s="80">
        <v>3</v>
      </c>
      <c r="Q28" s="68">
        <v>-158.60000000000002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 t="shared" si="3"/>
        <v>-66.066666666666649</v>
      </c>
      <c r="P29" s="80">
        <v>6</v>
      </c>
      <c r="Q29" s="68">
        <v>-396.39999999999992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255</v>
      </c>
      <c r="O30" s="86">
        <f t="shared" si="3"/>
        <v>-82.800000000000011</v>
      </c>
      <c r="P30" s="80">
        <v>2</v>
      </c>
      <c r="Q30" s="68">
        <v>-165.60000000000002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9.433962264150943E-3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-5177.7777777777774</v>
      </c>
      <c r="P2" s="79">
        <v>9</v>
      </c>
      <c r="Q2" s="63">
        <v>-46600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-72.8</v>
      </c>
      <c r="N3" s="76" t="s">
        <v>104</v>
      </c>
      <c r="O3" s="83">
        <f t="shared" si="0"/>
        <v>-2233.3333333333335</v>
      </c>
      <c r="P3" s="80">
        <v>9</v>
      </c>
      <c r="Q3" s="64">
        <v>-20100</v>
      </c>
    </row>
    <row r="4" spans="1:17">
      <c r="A4" s="19" t="s">
        <v>6</v>
      </c>
      <c r="B4" s="124">
        <v>-69.400000000000006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32</v>
      </c>
      <c r="K4" s="5">
        <v>2</v>
      </c>
      <c r="L4" s="61">
        <v>-92.5</v>
      </c>
      <c r="N4" s="76" t="s">
        <v>105</v>
      </c>
      <c r="O4" s="83">
        <f t="shared" si="0"/>
        <v>-262.5</v>
      </c>
      <c r="P4" s="80">
        <v>8</v>
      </c>
      <c r="Q4" s="64">
        <v>-2100</v>
      </c>
    </row>
    <row r="5" spans="1:17">
      <c r="A5" s="19" t="s">
        <v>7</v>
      </c>
      <c r="B5" s="126">
        <f>IF(B$2=0,0,B$4/B$2)</f>
        <v>-7.7111111111111121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22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0.22222222222222221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9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13</v>
      </c>
      <c r="C14" s="6">
        <f>IF(B$3=0,0,B14/B$3)</f>
        <v>0.20634920634920634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-80</v>
      </c>
      <c r="P14" s="80">
        <v>1</v>
      </c>
      <c r="Q14" s="68">
        <v>-80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0.15873015873015872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0.17460317460317459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9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-7436.363636363636</v>
      </c>
      <c r="C27" s="98">
        <v>-81800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 t="shared" si="3"/>
        <v>-61.6</v>
      </c>
      <c r="P27" s="80">
        <v>1</v>
      </c>
      <c r="Q27" s="68">
        <v>-61.6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-97.6</v>
      </c>
      <c r="P28" s="80">
        <v>1</v>
      </c>
      <c r="Q28" s="68">
        <v>-97.6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 t="shared" si="3"/>
        <v>-160.80000000000001</v>
      </c>
      <c r="P29" s="80">
        <v>1</v>
      </c>
      <c r="Q29" s="68">
        <v>-160.80000000000001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184</v>
      </c>
      <c r="F2" s="29" t="s">
        <v>187</v>
      </c>
      <c r="G2" s="12">
        <v>8</v>
      </c>
      <c r="H2" s="93">
        <f>IF(B$17=0,0,G2/B$17)</f>
        <v>0.61538461538461542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-2625</v>
      </c>
      <c r="P2" s="79">
        <v>8</v>
      </c>
      <c r="Q2" s="63">
        <v>-21000</v>
      </c>
    </row>
    <row r="3" spans="1:17">
      <c r="A3" s="19" t="s">
        <v>8</v>
      </c>
      <c r="B3" s="122">
        <v>56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0.53846153846153844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1387.5</v>
      </c>
      <c r="P3" s="80">
        <v>8</v>
      </c>
      <c r="Q3" s="64">
        <v>11100</v>
      </c>
    </row>
    <row r="4" spans="1:17">
      <c r="A4" s="19" t="s">
        <v>6</v>
      </c>
      <c r="B4" s="124">
        <v>91.5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0.53846153846153844</v>
      </c>
      <c r="I4" s="56">
        <v>18</v>
      </c>
      <c r="K4" s="5">
        <v>2</v>
      </c>
      <c r="L4" s="61">
        <v>145.19999999999999</v>
      </c>
      <c r="N4" s="76" t="s">
        <v>105</v>
      </c>
      <c r="O4" s="83">
        <f t="shared" si="0"/>
        <v>471.42857142857144</v>
      </c>
      <c r="P4" s="80">
        <v>7</v>
      </c>
      <c r="Q4" s="64">
        <v>3300</v>
      </c>
    </row>
    <row r="5" spans="1:17">
      <c r="A5" s="19" t="s">
        <v>7</v>
      </c>
      <c r="B5" s="126">
        <f>IF(B$2=0,0,B$4/B$2)</f>
        <v>11.4375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0.46153846153846156</v>
      </c>
      <c r="I5" s="56">
        <v>6</v>
      </c>
      <c r="K5" s="5">
        <v>3</v>
      </c>
      <c r="L5" s="61">
        <v>204.6</v>
      </c>
      <c r="N5" s="76" t="s">
        <v>157</v>
      </c>
      <c r="O5" s="83">
        <f>IF(P5=0,0,Q5/P5)</f>
        <v>885.71428571428567</v>
      </c>
      <c r="P5" s="80">
        <v>7</v>
      </c>
      <c r="Q5" s="64">
        <v>6200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0.46153846153846156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2440</v>
      </c>
      <c r="P6" s="80">
        <v>5</v>
      </c>
      <c r="Q6" s="64">
        <v>12200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57</v>
      </c>
      <c r="F7" s="30" t="s">
        <v>21</v>
      </c>
      <c r="G7" s="13">
        <v>4</v>
      </c>
      <c r="H7" s="94">
        <f>IF(B$17=0,0,G7/B$17)</f>
        <v>0.30769230769230771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1566.6666666666667</v>
      </c>
      <c r="P7" s="80">
        <v>3</v>
      </c>
      <c r="Q7" s="64">
        <v>4700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59</v>
      </c>
      <c r="F8" s="30" t="s">
        <v>23</v>
      </c>
      <c r="G8" s="13">
        <v>4</v>
      </c>
      <c r="H8" s="94">
        <f>IF(B$17=0,0,G8/B$17)</f>
        <v>0.30769230769230771</v>
      </c>
      <c r="I8" s="56">
        <v>4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55</v>
      </c>
      <c r="F9" s="30" t="s">
        <v>155</v>
      </c>
      <c r="G9" s="13">
        <v>3</v>
      </c>
      <c r="H9" s="94">
        <f>IF(B$17=0,0,G9/B$17)</f>
        <v>0.23076923076923078</v>
      </c>
      <c r="I9" s="56">
        <v>19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182</v>
      </c>
      <c r="F10" s="30" t="s">
        <v>19</v>
      </c>
      <c r="G10" s="13">
        <v>2</v>
      </c>
      <c r="H10" s="94">
        <f>IF(B$17=0,0,G10/B$17)</f>
        <v>0.15384615384615385</v>
      </c>
      <c r="I10" s="56">
        <v>11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0.625</v>
      </c>
      <c r="E11" s="33" t="s">
        <v>58</v>
      </c>
      <c r="F11" s="30" t="s">
        <v>22</v>
      </c>
      <c r="G11" s="13">
        <v>1</v>
      </c>
      <c r="H11" s="94">
        <f>IF(B$17=0,0,G11/B$17)</f>
        <v>7.6923076923076927E-2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7.6923076923076927E-2</v>
      </c>
      <c r="I12" s="56">
        <v>6</v>
      </c>
      <c r="N12" s="75" t="s">
        <v>126</v>
      </c>
      <c r="O12" s="85">
        <f>IF(P12=0,0,Q12/P12)</f>
        <v>-9.35</v>
      </c>
      <c r="P12" s="79">
        <v>2</v>
      </c>
      <c r="Q12" s="67">
        <v>-18.7</v>
      </c>
    </row>
    <row r="13" spans="1:17">
      <c r="A13" s="22" t="s">
        <v>97</v>
      </c>
      <c r="B13" s="15">
        <v>14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13</v>
      </c>
      <c r="C14" s="6">
        <f>IF(B$3=0,0,B14/B$3)</f>
        <v>0.23214285714285715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0.23214285714285715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0.10714285714285714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169</v>
      </c>
      <c r="O18" s="85">
        <f t="shared" ref="O18:O29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0.53846153846153844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6</v>
      </c>
      <c r="C20" s="6">
        <f>IF(B$17=0,0,B20/B$17)</f>
        <v>0.46153846153846156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 t="shared" si="3"/>
        <v>61</v>
      </c>
      <c r="P20" s="80">
        <v>1</v>
      </c>
      <c r="Q20" s="68">
        <v>61</v>
      </c>
    </row>
    <row r="21" spans="1:17">
      <c r="A21" s="19" t="s">
        <v>151</v>
      </c>
      <c r="B21" s="13">
        <v>7</v>
      </c>
      <c r="C21" s="6">
        <f>IF(B$17=0,0,B21/B$17)</f>
        <v>0.53846153846153844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235</v>
      </c>
      <c r="O21" s="86">
        <f t="shared" si="3"/>
        <v>46.175000000000011</v>
      </c>
      <c r="P21" s="80">
        <v>4</v>
      </c>
      <c r="Q21" s="68">
        <v>184.70000000000005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37.549999999999997</v>
      </c>
      <c r="P22" s="80">
        <v>2</v>
      </c>
      <c r="Q22" s="68">
        <v>75.099999999999994</v>
      </c>
    </row>
    <row r="23" spans="1:17">
      <c r="A23" s="19" t="s">
        <v>150</v>
      </c>
      <c r="B23" s="13">
        <v>3</v>
      </c>
      <c r="C23" s="6">
        <f>IF(B$17=0,0,B23/B$17)</f>
        <v>0.23076923076923078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7.6</v>
      </c>
      <c r="P23" s="80">
        <v>2</v>
      </c>
      <c r="Q23" s="68">
        <v>15.2</v>
      </c>
    </row>
    <row r="24" spans="1:17">
      <c r="A24" s="19" t="s">
        <v>5</v>
      </c>
      <c r="B24" s="16">
        <f>IF(B$17=0,0,C24/B$17)</f>
        <v>7953.8461538461543</v>
      </c>
      <c r="C24" s="8">
        <v>103400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8750</v>
      </c>
      <c r="C25" s="98">
        <v>87500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-5.8999999999999995</v>
      </c>
      <c r="P25" s="80">
        <v>2</v>
      </c>
      <c r="Q25" s="68">
        <v>-11.799999999999999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265</v>
      </c>
      <c r="O26" s="86">
        <f t="shared" si="3"/>
        <v>-65.900000000000006</v>
      </c>
      <c r="P26" s="80">
        <v>1</v>
      </c>
      <c r="Q26" s="68">
        <v>-65.900000000000006</v>
      </c>
    </row>
    <row r="27" spans="1:17">
      <c r="A27" s="20" t="s">
        <v>132</v>
      </c>
      <c r="B27" s="97">
        <f>IF(B$18=0,0,C27/B$18)</f>
        <v>-7600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 t="shared" si="3"/>
        <v>-72.7</v>
      </c>
      <c r="P27" s="80">
        <v>1</v>
      </c>
      <c r="Q27" s="68">
        <v>-72.7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276</v>
      </c>
      <c r="O28" s="86">
        <f t="shared" si="3"/>
        <v>-110.7</v>
      </c>
      <c r="P28" s="80">
        <v>1</v>
      </c>
      <c r="Q28" s="68">
        <v>-110.7</v>
      </c>
    </row>
    <row r="29" spans="1:17">
      <c r="A29" s="19" t="s">
        <v>131</v>
      </c>
      <c r="B29" s="13">
        <v>17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216</v>
      </c>
      <c r="O29" s="86">
        <f t="shared" si="3"/>
        <v>-116</v>
      </c>
      <c r="P29" s="80">
        <v>1</v>
      </c>
      <c r="Q29" s="68">
        <v>-116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7.6923076923076927E-2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0.46153846153846156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29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31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1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29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0.82352941176470584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1962.5</v>
      </c>
      <c r="P2" s="79">
        <v>8</v>
      </c>
      <c r="Q2" s="63">
        <v>15700</v>
      </c>
    </row>
    <row r="3" spans="1:17">
      <c r="A3" s="19" t="s">
        <v>8</v>
      </c>
      <c r="B3" s="122">
        <v>54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0.52941176470588236</v>
      </c>
      <c r="I3" s="56">
        <v>17</v>
      </c>
      <c r="K3" s="5">
        <v>1</v>
      </c>
      <c r="L3" s="61">
        <v>-45.8</v>
      </c>
      <c r="N3" s="76" t="s">
        <v>104</v>
      </c>
      <c r="O3" s="83">
        <f t="shared" si="0"/>
        <v>-862.5</v>
      </c>
      <c r="P3" s="80">
        <v>8</v>
      </c>
      <c r="Q3" s="64">
        <v>-6900</v>
      </c>
    </row>
    <row r="4" spans="1:17">
      <c r="A4" s="19" t="s">
        <v>6</v>
      </c>
      <c r="B4" s="124">
        <v>135.80000000000001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0.52941176470588236</v>
      </c>
      <c r="I4" s="56">
        <v>10</v>
      </c>
      <c r="K4" s="5">
        <v>2</v>
      </c>
      <c r="L4" s="61">
        <v>24.700000000000003</v>
      </c>
      <c r="N4" s="76" t="s">
        <v>105</v>
      </c>
      <c r="O4" s="83">
        <f t="shared" si="0"/>
        <v>912.5</v>
      </c>
      <c r="P4" s="80">
        <v>8</v>
      </c>
      <c r="Q4" s="64">
        <v>7300</v>
      </c>
    </row>
    <row r="5" spans="1:17">
      <c r="A5" s="19" t="s">
        <v>7</v>
      </c>
      <c r="B5" s="126">
        <f>IF(B$2=0,0,B$4/B$2)</f>
        <v>16.975000000000001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0.41176470588235292</v>
      </c>
      <c r="I5" s="56">
        <v>24</v>
      </c>
      <c r="K5" s="5">
        <v>3</v>
      </c>
      <c r="L5" s="61">
        <v>27.400000000000002</v>
      </c>
      <c r="N5" s="76" t="s">
        <v>157</v>
      </c>
      <c r="O5" s="83">
        <f>IF(P5=0,0,Q5/P5)</f>
        <v>-137.5</v>
      </c>
      <c r="P5" s="80">
        <v>8</v>
      </c>
      <c r="Q5" s="64">
        <v>-1100</v>
      </c>
    </row>
    <row r="6" spans="1:17">
      <c r="A6" s="19" t="s">
        <v>1</v>
      </c>
      <c r="B6" s="128">
        <f>IF(B$2=0,0,(B$7*1+B$8*2+B$9*3+B$10*4)/B$2)</f>
        <v>2.125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0.29411764705882354</v>
      </c>
      <c r="I6" s="56">
        <v>16</v>
      </c>
      <c r="K6" s="5">
        <v>4</v>
      </c>
      <c r="L6" s="61">
        <v>78.2</v>
      </c>
      <c r="N6" s="76" t="s">
        <v>106</v>
      </c>
      <c r="O6" s="83">
        <f t="shared" ref="O6" si="1">IF(P6=0,0,Q6/P6)</f>
        <v>780</v>
      </c>
      <c r="P6" s="80">
        <v>5</v>
      </c>
      <c r="Q6" s="64">
        <v>3900</v>
      </c>
    </row>
    <row r="7" spans="1:17">
      <c r="A7" s="19" t="s">
        <v>2</v>
      </c>
      <c r="B7" s="13">
        <v>4</v>
      </c>
      <c r="C7" s="6">
        <f t="shared" ref="C7:C12" si="2">IF(B$2=0,0,B7/B$2)</f>
        <v>0.5</v>
      </c>
      <c r="E7" s="33" t="s">
        <v>58</v>
      </c>
      <c r="F7" s="30" t="s">
        <v>22</v>
      </c>
      <c r="G7" s="13">
        <v>3</v>
      </c>
      <c r="H7" s="94">
        <f>IF(B$17=0,0,G7/B$17)</f>
        <v>0.17647058823529413</v>
      </c>
      <c r="I7" s="56">
        <v>3</v>
      </c>
      <c r="K7" s="5">
        <v>5</v>
      </c>
      <c r="L7" s="61">
        <v>20.200000000000003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55</v>
      </c>
      <c r="F8" s="30" t="s">
        <v>155</v>
      </c>
      <c r="G8" s="13">
        <v>2</v>
      </c>
      <c r="H8" s="94">
        <f>IF(B$17=0,0,G8/B$17)</f>
        <v>0.11764705882352941</v>
      </c>
      <c r="I8" s="56">
        <v>31</v>
      </c>
      <c r="K8" s="5">
        <v>6</v>
      </c>
      <c r="L8" s="61">
        <v>94.100000000000009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57</v>
      </c>
      <c r="F9" s="30" t="s">
        <v>21</v>
      </c>
      <c r="G9" s="13">
        <v>1</v>
      </c>
      <c r="H9" s="94">
        <f>IF(B$17=0,0,G9/B$17)</f>
        <v>5.8823529411764705E-2</v>
      </c>
      <c r="I9" s="56">
        <v>31</v>
      </c>
      <c r="K9" s="5">
        <v>7</v>
      </c>
      <c r="L9" s="61">
        <v>66.700000000000017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59</v>
      </c>
      <c r="F10" s="30" t="s">
        <v>23</v>
      </c>
      <c r="G10" s="13">
        <v>1</v>
      </c>
      <c r="H10" s="94">
        <f>IF(B$17=0,0,G10/B$17)</f>
        <v>5.8823529411764705E-2</v>
      </c>
      <c r="I10" s="56">
        <v>24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0.625</v>
      </c>
      <c r="E11" s="33" t="s">
        <v>183</v>
      </c>
      <c r="F11" s="30" t="s">
        <v>186</v>
      </c>
      <c r="G11" s="13">
        <v>1</v>
      </c>
      <c r="H11" s="94">
        <f>IF(B$17=0,0,G11/B$17)</f>
        <v>5.8823529411764705E-2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5.8823529411764705E-2</v>
      </c>
      <c r="I12" s="56">
        <v>7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14</v>
      </c>
      <c r="C13" s="11">
        <f>IF(B$3=0,0,B13/B$3)</f>
        <v>0.25925925925925924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73.900000000000006</v>
      </c>
      <c r="P13" s="80">
        <v>1</v>
      </c>
      <c r="Q13" s="68">
        <v>73.900000000000006</v>
      </c>
    </row>
    <row r="14" spans="1:17">
      <c r="A14" s="19" t="s">
        <v>94</v>
      </c>
      <c r="B14" s="13">
        <v>10</v>
      </c>
      <c r="C14" s="6">
        <f>IF(B$3=0,0,B14/B$3)</f>
        <v>0.18518518518518517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9</v>
      </c>
      <c r="C15" s="4">
        <f>IF(B$13=0,0,B15/B$13)</f>
        <v>0.6428571428571429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-42.7</v>
      </c>
      <c r="P15" s="81">
        <v>2</v>
      </c>
      <c r="Q15" s="69">
        <v>-85.4</v>
      </c>
    </row>
    <row r="16" spans="1:17">
      <c r="A16" s="18" t="s">
        <v>100</v>
      </c>
      <c r="B16" s="12">
        <f>B22</f>
        <v>8</v>
      </c>
      <c r="C16" s="4">
        <f>IF(B$14=0,0,B16/B$14)</f>
        <v>0.8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0.31481481481481483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7.407407407407407E-2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6</v>
      </c>
      <c r="C19" s="6">
        <f>IF(B$17=0,0,B19/B$17)</f>
        <v>0.35294117647058826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241</v>
      </c>
      <c r="O19" s="86">
        <f>IF(P19=0,0,Q19/P19)</f>
        <v>94.1</v>
      </c>
      <c r="P19" s="80">
        <v>1</v>
      </c>
      <c r="Q19" s="68">
        <v>94.1</v>
      </c>
    </row>
    <row r="20" spans="1:17">
      <c r="A20" s="19" t="s">
        <v>11</v>
      </c>
      <c r="B20" s="13">
        <v>11</v>
      </c>
      <c r="C20" s="6">
        <f>IF(B$17=0,0,B20/B$17)</f>
        <v>0.6470588235294118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269</v>
      </c>
      <c r="O20" s="86">
        <f>IF(P20=0,0,Q20/P20)</f>
        <v>83.949999999999989</v>
      </c>
      <c r="P20" s="80">
        <v>2</v>
      </c>
      <c r="Q20" s="68">
        <v>167.89999999999998</v>
      </c>
    </row>
    <row r="21" spans="1:17">
      <c r="A21" s="19" t="s">
        <v>151</v>
      </c>
      <c r="B21" s="13">
        <v>9</v>
      </c>
      <c r="C21" s="6">
        <f>IF(B$17=0,0,B21/B$17)</f>
        <v>0.52941176470588236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255</v>
      </c>
      <c r="O21" s="86">
        <f>IF(P21=0,0,Q21/P21)</f>
        <v>65.900000000000006</v>
      </c>
      <c r="P21" s="80">
        <v>1</v>
      </c>
      <c r="Q21" s="68">
        <v>65.900000000000006</v>
      </c>
    </row>
    <row r="22" spans="1:17">
      <c r="A22" s="19" t="s">
        <v>149</v>
      </c>
      <c r="B22" s="13">
        <v>8</v>
      </c>
      <c r="C22" s="6">
        <f>IF(B$17=0,0,B22/B$17)</f>
        <v>0.47058823529411764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277</v>
      </c>
      <c r="O22" s="86">
        <f>IF(P22=0,0,Q22/P22)</f>
        <v>47</v>
      </c>
      <c r="P22" s="80">
        <v>4</v>
      </c>
      <c r="Q22" s="68">
        <v>188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46.400000000000006</v>
      </c>
      <c r="P23" s="80">
        <v>3</v>
      </c>
      <c r="Q23" s="68">
        <v>139.20000000000002</v>
      </c>
    </row>
    <row r="24" spans="1:17">
      <c r="A24" s="19" t="s">
        <v>5</v>
      </c>
      <c r="B24" s="16">
        <f>IF(B$17=0,0,C24/B$17)</f>
        <v>5652.9411764705883</v>
      </c>
      <c r="C24" s="8">
        <v>96100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195</v>
      </c>
      <c r="O24" s="86">
        <f>IF(P24=0,0,Q24/P24)</f>
        <v>21.75</v>
      </c>
      <c r="P24" s="80">
        <v>2</v>
      </c>
      <c r="Q24" s="68">
        <v>43.5</v>
      </c>
    </row>
    <row r="25" spans="1:17">
      <c r="A25" s="20" t="s">
        <v>133</v>
      </c>
      <c r="B25" s="97">
        <f>IF($B$17-B$16=0,0,C25/($B$17-B$16))</f>
        <v>8711.1111111111113</v>
      </c>
      <c r="C25" s="98">
        <v>78400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>IF(P25=0,0,Q25/P25)</f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2212.5</v>
      </c>
      <c r="C26" s="98">
        <v>17700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262</v>
      </c>
      <c r="O26" s="86">
        <f>IF(P26=0,0,Q26/P26)</f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-6275</v>
      </c>
      <c r="C27" s="98">
        <v>-25100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-29.1</v>
      </c>
      <c r="P27" s="80">
        <v>2</v>
      </c>
      <c r="Q27" s="68">
        <v>-58.2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264</v>
      </c>
      <c r="O28" s="86">
        <f>IF(P28=0,0,Q28/P28)</f>
        <v>-29.150000000000006</v>
      </c>
      <c r="P28" s="80">
        <v>2</v>
      </c>
      <c r="Q28" s="68">
        <v>-58.300000000000011</v>
      </c>
    </row>
    <row r="29" spans="1:17">
      <c r="A29" s="19" t="s">
        <v>131</v>
      </c>
      <c r="B29" s="13">
        <v>21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268</v>
      </c>
      <c r="O29" s="86">
        <f>IF(P29=0,0,Q29/P29)</f>
        <v>-49.4</v>
      </c>
      <c r="P29" s="80">
        <v>1</v>
      </c>
      <c r="Q29" s="68">
        <v>-49.4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238</v>
      </c>
      <c r="O30" s="86">
        <f>IF(P30=0,0,Q30/P30)</f>
        <v>-68.8</v>
      </c>
      <c r="P30" s="80">
        <v>1</v>
      </c>
      <c r="Q30" s="68">
        <v>-68.8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-94.6</v>
      </c>
      <c r="P31" s="80">
        <v>1</v>
      </c>
      <c r="Q31" s="68">
        <v>-94.6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0.23529411764705882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5.8823529411764705E-2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5.8823529411764705E-2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0.54545454545454541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-209.09090909090909</v>
      </c>
      <c r="P2" s="79">
        <v>11</v>
      </c>
      <c r="Q2" s="63">
        <v>-2300</v>
      </c>
    </row>
    <row r="3" spans="1:17">
      <c r="A3" s="19" t="s">
        <v>8</v>
      </c>
      <c r="B3" s="122">
        <v>84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</v>
      </c>
      <c r="I3" s="56">
        <v>13</v>
      </c>
      <c r="K3" s="5">
        <v>1</v>
      </c>
      <c r="L3" s="61">
        <v>10.3</v>
      </c>
      <c r="N3" s="76" t="s">
        <v>104</v>
      </c>
      <c r="O3" s="83">
        <f t="shared" si="0"/>
        <v>1700</v>
      </c>
      <c r="P3" s="80">
        <v>11</v>
      </c>
      <c r="Q3" s="64">
        <v>18700</v>
      </c>
    </row>
    <row r="4" spans="1:17">
      <c r="A4" s="19" t="s">
        <v>6</v>
      </c>
      <c r="B4" s="124">
        <v>13.699999999999989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0.40909090909090912</v>
      </c>
      <c r="I4" s="56">
        <v>19</v>
      </c>
      <c r="K4" s="5">
        <v>2</v>
      </c>
      <c r="L4" s="61">
        <v>-11.7</v>
      </c>
      <c r="N4" s="76" t="s">
        <v>105</v>
      </c>
      <c r="O4" s="83">
        <f t="shared" si="0"/>
        <v>-81.818181818181813</v>
      </c>
      <c r="P4" s="80">
        <v>11</v>
      </c>
      <c r="Q4" s="64">
        <v>-900</v>
      </c>
    </row>
    <row r="5" spans="1:17">
      <c r="A5" s="19" t="s">
        <v>7</v>
      </c>
      <c r="B5" s="126">
        <f>IF(B$2=0,0,B$4/B$2)</f>
        <v>1.2454545454545445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0.22727272727272727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277.77777777777777</v>
      </c>
      <c r="P5" s="80">
        <v>9</v>
      </c>
      <c r="Q5" s="64">
        <v>2500</v>
      </c>
    </row>
    <row r="6" spans="1:17">
      <c r="A6" s="19" t="s">
        <v>1</v>
      </c>
      <c r="B6" s="128">
        <f>IF(B$2=0,0,(B$7*1+B$8*2+B$9*3+B$10*4)/B$2)</f>
        <v>2.3636363636363638</v>
      </c>
      <c r="C6" s="129"/>
      <c r="E6" s="33" t="s">
        <v>59</v>
      </c>
      <c r="F6" s="30" t="s">
        <v>23</v>
      </c>
      <c r="G6" s="13">
        <v>5</v>
      </c>
      <c r="H6" s="94">
        <f>IF(B$17=0,0,G6/B$17)</f>
        <v>0.22727272727272727</v>
      </c>
      <c r="I6" s="56">
        <v>11</v>
      </c>
      <c r="K6" s="5">
        <v>4</v>
      </c>
      <c r="L6" s="61">
        <v>43.2</v>
      </c>
      <c r="N6" s="76" t="s">
        <v>106</v>
      </c>
      <c r="O6" s="83">
        <f t="shared" ref="O6" si="1">IF(P6=0,0,Q6/P6)</f>
        <v>-1050</v>
      </c>
      <c r="P6" s="80">
        <v>8</v>
      </c>
      <c r="Q6" s="64">
        <v>-8400</v>
      </c>
    </row>
    <row r="7" spans="1:17">
      <c r="A7" s="19" t="s">
        <v>2</v>
      </c>
      <c r="B7" s="13">
        <v>2</v>
      </c>
      <c r="C7" s="6">
        <f t="shared" ref="C7:C12" si="2">IF(B$2=0,0,B7/B$2)</f>
        <v>0.18181818181818182</v>
      </c>
      <c r="E7" s="33" t="s">
        <v>55</v>
      </c>
      <c r="F7" s="30" t="s">
        <v>155</v>
      </c>
      <c r="G7" s="13">
        <v>4</v>
      </c>
      <c r="H7" s="94">
        <f>IF(B$17=0,0,G7/B$17)</f>
        <v>0.18181818181818182</v>
      </c>
      <c r="I7" s="56">
        <v>25</v>
      </c>
      <c r="K7" s="5">
        <v>5</v>
      </c>
      <c r="L7" s="61">
        <v>26.900000000000002</v>
      </c>
      <c r="N7" s="76" t="s">
        <v>107</v>
      </c>
      <c r="O7" s="83">
        <f t="shared" si="0"/>
        <v>-214.28571428571428</v>
      </c>
      <c r="P7" s="80">
        <v>7</v>
      </c>
      <c r="Q7" s="64">
        <v>-1500</v>
      </c>
    </row>
    <row r="8" spans="1:17">
      <c r="A8" s="19" t="s">
        <v>3</v>
      </c>
      <c r="B8" s="13">
        <v>4</v>
      </c>
      <c r="C8" s="6">
        <f>IF(B$2=0,0,B8/B$2)</f>
        <v>0.36363636363636365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22</v>
      </c>
      <c r="K8" s="5">
        <v>6</v>
      </c>
      <c r="L8" s="61">
        <v>44.5</v>
      </c>
      <c r="N8" s="76" t="s">
        <v>108</v>
      </c>
      <c r="O8" s="83">
        <f t="shared" si="0"/>
        <v>-575</v>
      </c>
      <c r="P8" s="80">
        <v>4</v>
      </c>
      <c r="Q8" s="64">
        <v>-2300</v>
      </c>
    </row>
    <row r="9" spans="1:17">
      <c r="A9" s="20" t="s">
        <v>4</v>
      </c>
      <c r="B9" s="14">
        <v>4</v>
      </c>
      <c r="C9" s="7">
        <f>IF(B$2=0,0,B9/B$2)</f>
        <v>0.36363636363636365</v>
      </c>
      <c r="E9" s="33" t="s">
        <v>182</v>
      </c>
      <c r="F9" s="30" t="s">
        <v>19</v>
      </c>
      <c r="G9" s="13">
        <v>3</v>
      </c>
      <c r="H9" s="94">
        <f>IF(B$17=0,0,G9/B$17)</f>
        <v>0.13636363636363635</v>
      </c>
      <c r="I9" s="56">
        <v>12</v>
      </c>
      <c r="K9" s="5">
        <v>7</v>
      </c>
      <c r="L9" s="61">
        <v>108.6</v>
      </c>
      <c r="N9" s="77" t="s">
        <v>158</v>
      </c>
      <c r="O9" s="84">
        <f t="shared" si="0"/>
        <v>-2250</v>
      </c>
      <c r="P9" s="81">
        <v>2</v>
      </c>
      <c r="Q9" s="65">
        <v>-4500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54</v>
      </c>
      <c r="F10" s="30" t="s">
        <v>20</v>
      </c>
      <c r="G10" s="13">
        <v>2</v>
      </c>
      <c r="H10" s="94">
        <f>IF(B$17=0,0,G10/B$17)</f>
        <v>9.0909090909090912E-2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183</v>
      </c>
      <c r="F11" s="30" t="s">
        <v>186</v>
      </c>
      <c r="G11" s="13">
        <v>1</v>
      </c>
      <c r="H11" s="94">
        <f>IF(B$17=0,0,G11/B$17)</f>
        <v>4.5454545454545456E-2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4.5454545454545456E-2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-2.300000000000002</v>
      </c>
      <c r="P12" s="79">
        <v>6</v>
      </c>
      <c r="Q12" s="67">
        <v>-13.800000000000011</v>
      </c>
    </row>
    <row r="13" spans="1:17">
      <c r="A13" s="22" t="s">
        <v>97</v>
      </c>
      <c r="B13" s="15">
        <v>18</v>
      </c>
      <c r="C13" s="11">
        <f>IF(B$3=0,0,B13/B$3)</f>
        <v>0.21428571428571427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K13" s="5">
        <v>11</v>
      </c>
      <c r="L13" s="61">
        <v>13.699999999999989</v>
      </c>
      <c r="N13" s="76" t="s">
        <v>127</v>
      </c>
      <c r="O13" s="86">
        <f>IF(P13=0,0,Q13/P13)</f>
        <v>15.366666666666665</v>
      </c>
      <c r="P13" s="80">
        <v>3</v>
      </c>
      <c r="Q13" s="68">
        <v>46.099999999999994</v>
      </c>
    </row>
    <row r="14" spans="1:17">
      <c r="A14" s="19" t="s">
        <v>94</v>
      </c>
      <c r="B14" s="13">
        <v>24</v>
      </c>
      <c r="C14" s="6">
        <f>IF(B$3=0,0,B14/B$3)</f>
        <v>0.2857142857142857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12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0.26190476190476192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8.3333333333333329E-2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97.6</v>
      </c>
      <c r="P18" s="79">
        <v>1</v>
      </c>
      <c r="Q18" s="67">
        <v>97.6</v>
      </c>
    </row>
    <row r="19" spans="1:17">
      <c r="A19" s="19" t="s">
        <v>12</v>
      </c>
      <c r="B19" s="13">
        <v>6</v>
      </c>
      <c r="C19" s="6">
        <f>IF(B$17=0,0,B19/B$17)</f>
        <v>0.27272727272727271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277</v>
      </c>
      <c r="O19" s="86">
        <f>IF(P19=0,0,Q19/P19)</f>
        <v>58.233333333333327</v>
      </c>
      <c r="P19" s="80">
        <v>3</v>
      </c>
      <c r="Q19" s="68">
        <v>174.7</v>
      </c>
    </row>
    <row r="20" spans="1:17">
      <c r="A20" s="19" t="s">
        <v>11</v>
      </c>
      <c r="B20" s="13">
        <v>16</v>
      </c>
      <c r="C20" s="6">
        <f>IF(B$17=0,0,B20/B$17)</f>
        <v>0.72727272727272729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>IF(P20=0,0,Q20/P20)</f>
        <v>51.666666666666664</v>
      </c>
      <c r="P20" s="80">
        <v>3</v>
      </c>
      <c r="Q20" s="68">
        <v>155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10</v>
      </c>
      <c r="C22" s="6">
        <f>IF(B$17=0,0,B22/B$17)</f>
        <v>0.45454545454545453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269</v>
      </c>
      <c r="O22" s="86">
        <f>IF(P22=0,0,Q22/P22)</f>
        <v>30</v>
      </c>
      <c r="P22" s="80">
        <v>1</v>
      </c>
      <c r="Q22" s="68">
        <v>30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>IF(P23=0,0,Q23/P23)</f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4822.727272727273</v>
      </c>
      <c r="C24" s="8">
        <v>106100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7275</v>
      </c>
      <c r="C25" s="98">
        <v>87300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>IF(P25=0,0,Q25/P25)</f>
        <v>-5.0500000000000007</v>
      </c>
      <c r="P25" s="80">
        <v>2</v>
      </c>
      <c r="Q25" s="68">
        <v>-10.100000000000001</v>
      </c>
    </row>
    <row r="26" spans="1:17">
      <c r="A26" s="20" t="s">
        <v>134</v>
      </c>
      <c r="B26" s="97">
        <f>IF(B$16=0,0,C26/B$16)</f>
        <v>1880</v>
      </c>
      <c r="C26" s="98">
        <v>18800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-7.6000000000000014</v>
      </c>
      <c r="P26" s="80">
        <v>2</v>
      </c>
      <c r="Q26" s="68">
        <v>-15.200000000000003</v>
      </c>
    </row>
    <row r="27" spans="1:17">
      <c r="A27" s="20" t="s">
        <v>132</v>
      </c>
      <c r="B27" s="97">
        <f>IF(B$18=0,0,C27/B$18)</f>
        <v>-6214.2857142857147</v>
      </c>
      <c r="C27" s="98">
        <v>-43500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  <c r="N27" s="76" t="s">
        <v>276</v>
      </c>
      <c r="O27" s="86">
        <f>IF(P27=0,0,Q27/P27)</f>
        <v>-31.275000000000006</v>
      </c>
      <c r="P27" s="80">
        <v>4</v>
      </c>
      <c r="Q27" s="68">
        <v>-125.10000000000002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-38.375</v>
      </c>
      <c r="P28" s="80">
        <v>4</v>
      </c>
      <c r="Q28" s="68">
        <v>-153.5</v>
      </c>
    </row>
    <row r="29" spans="1:17">
      <c r="A29" s="19" t="s">
        <v>131</v>
      </c>
      <c r="B29" s="13">
        <v>30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264</v>
      </c>
      <c r="O29" s="86">
        <f>IF(P29=0,0,Q29/P29)</f>
        <v>-45.3</v>
      </c>
      <c r="P29" s="80">
        <v>1</v>
      </c>
      <c r="Q29" s="68">
        <v>-45.3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265</v>
      </c>
      <c r="O30" s="86">
        <f>IF(P30=0,0,Q30/P30)</f>
        <v>-46.400000000000006</v>
      </c>
      <c r="P30" s="80">
        <v>3</v>
      </c>
      <c r="Q30" s="68">
        <v>-139.20000000000002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-55.6</v>
      </c>
      <c r="P31" s="80">
        <v>1</v>
      </c>
      <c r="Q31" s="68">
        <v>-55.6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0.31818181818181818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0.13636363636363635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4.5454545454545456E-2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33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-660</v>
      </c>
      <c r="P3" s="80">
        <v>5</v>
      </c>
      <c r="Q3" s="64">
        <v>-3300</v>
      </c>
    </row>
    <row r="4" spans="1:17">
      <c r="A4" s="19" t="s">
        <v>6</v>
      </c>
      <c r="B4" s="124">
        <v>-164.8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K4" s="5">
        <v>2</v>
      </c>
      <c r="L4" s="61">
        <v>-73.2</v>
      </c>
      <c r="N4" s="76" t="s">
        <v>105</v>
      </c>
      <c r="O4" s="83">
        <f t="shared" si="0"/>
        <v>-5080</v>
      </c>
      <c r="P4" s="80">
        <v>5</v>
      </c>
      <c r="Q4" s="64">
        <v>-25400</v>
      </c>
    </row>
    <row r="5" spans="1:17">
      <c r="A5" s="19" t="s">
        <v>7</v>
      </c>
      <c r="B5" s="126">
        <f>IF(B$2=0,0,B$4/B$2)</f>
        <v>-32.96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-1420</v>
      </c>
      <c r="P5" s="80">
        <v>5</v>
      </c>
      <c r="Q5" s="64">
        <v>-7100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K7" s="5">
        <v>5</v>
      </c>
      <c r="L7" s="61">
        <v>-164.8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5</v>
      </c>
      <c r="C13" s="11">
        <f>IF(B$3=0,0,B13/B$3)</f>
        <v>0.15151515151515152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-37.25</v>
      </c>
      <c r="P13" s="80">
        <v>2</v>
      </c>
      <c r="Q13" s="68">
        <v>-74.5</v>
      </c>
    </row>
    <row r="14" spans="1:17">
      <c r="A14" s="19" t="s">
        <v>94</v>
      </c>
      <c r="B14" s="13">
        <v>5</v>
      </c>
      <c r="C14" s="6">
        <f>IF(B$3=0,0,B14/B$3)</f>
        <v>0.15151515151515152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-21.45</v>
      </c>
      <c r="P15" s="81">
        <v>2</v>
      </c>
      <c r="Q15" s="69">
        <v>-42.9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6.0606060606060608E-2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0.15151515151515152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22.5</v>
      </c>
      <c r="P19" s="80">
        <v>1</v>
      </c>
      <c r="Q19" s="68">
        <v>22.5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-17.833333333333336</v>
      </c>
      <c r="P20" s="80">
        <v>3</v>
      </c>
      <c r="Q20" s="68">
        <v>-53.500000000000007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>IF(P21=0,0,Q21/P21)</f>
        <v>-28.200000000000003</v>
      </c>
      <c r="P21" s="80">
        <v>1</v>
      </c>
      <c r="Q21" s="68">
        <v>-28.200000000000003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213</v>
      </c>
      <c r="O22" s="86">
        <f>IF(P22=0,0,Q22/P22)</f>
        <v>-30</v>
      </c>
      <c r="P22" s="80">
        <v>1</v>
      </c>
      <c r="Q22" s="68">
        <v>-30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-53.2</v>
      </c>
      <c r="P24" s="80">
        <v>2</v>
      </c>
      <c r="Q24" s="68">
        <v>-106.4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>IF(P25=0,0,Q25/P25)</f>
        <v>-83.95</v>
      </c>
      <c r="P25" s="80">
        <v>2</v>
      </c>
      <c r="Q25" s="68">
        <v>-167.9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272</v>
      </c>
      <c r="O26" s="86">
        <f>IF(P26=0,0,Q26/P26)</f>
        <v>-92.25</v>
      </c>
      <c r="P26" s="80">
        <v>2</v>
      </c>
      <c r="Q26" s="68">
        <v>-184.5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>IF(P27=0,0,Q27/P27)</f>
        <v>-99.5</v>
      </c>
      <c r="P27" s="80">
        <v>1</v>
      </c>
      <c r="Q27" s="68">
        <v>-99.5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21</v>
      </c>
      <c r="C29" s="96">
        <v>21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0.63636363636363635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1855.5555555555557</v>
      </c>
      <c r="P2" s="79">
        <v>9</v>
      </c>
      <c r="Q2" s="63">
        <v>16700</v>
      </c>
    </row>
    <row r="3" spans="1:17">
      <c r="A3" s="19" t="s">
        <v>8</v>
      </c>
      <c r="B3" s="122">
        <v>64</v>
      </c>
      <c r="C3" s="123"/>
      <c r="E3" s="33" t="s">
        <v>54</v>
      </c>
      <c r="F3" s="30" t="s">
        <v>20</v>
      </c>
      <c r="G3" s="13">
        <v>11</v>
      </c>
      <c r="H3" s="94">
        <f>IF(B$17=0,0,G3/B$17)</f>
        <v>0.5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4877.7777777777774</v>
      </c>
      <c r="P3" s="80">
        <v>9</v>
      </c>
      <c r="Q3" s="64">
        <v>43900</v>
      </c>
    </row>
    <row r="4" spans="1:17">
      <c r="A4" s="19" t="s">
        <v>6</v>
      </c>
      <c r="B4" s="124">
        <v>381.6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0.45454545454545453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2866.6666666666665</v>
      </c>
      <c r="P4" s="80">
        <v>9</v>
      </c>
      <c r="Q4" s="64">
        <v>25800</v>
      </c>
    </row>
    <row r="5" spans="1:17">
      <c r="A5" s="19" t="s">
        <v>7</v>
      </c>
      <c r="B5" s="126">
        <f>IF(B$2=0,0,B$4/B$2)</f>
        <v>42.400000000000006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0.27272727272727271</v>
      </c>
      <c r="I5" s="56">
        <v>18</v>
      </c>
      <c r="K5" s="5">
        <v>3</v>
      </c>
      <c r="L5" s="61">
        <v>0.60000000000000142</v>
      </c>
      <c r="N5" s="76" t="s">
        <v>157</v>
      </c>
      <c r="O5" s="83">
        <f>IF(P5=0,0,Q5/P5)</f>
        <v>2855.5555555555557</v>
      </c>
      <c r="P5" s="80">
        <v>9</v>
      </c>
      <c r="Q5" s="64">
        <v>25700</v>
      </c>
    </row>
    <row r="6" spans="1:17">
      <c r="A6" s="19" t="s">
        <v>1</v>
      </c>
      <c r="B6" s="128">
        <f>IF(B$2=0,0,(B$7*1+B$8*2+B$9*3+B$10*4)/B$2)</f>
        <v>1.4444444444444444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0.27272727272727271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1140</v>
      </c>
      <c r="P6" s="80">
        <v>5</v>
      </c>
      <c r="Q6" s="64">
        <v>5700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55</v>
      </c>
      <c r="F7" s="30" t="s">
        <v>155</v>
      </c>
      <c r="G7" s="13">
        <v>5</v>
      </c>
      <c r="H7" s="94">
        <f>IF(B$17=0,0,G7/B$17)</f>
        <v>0.22727272727272727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-375</v>
      </c>
      <c r="P7" s="80">
        <v>4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57</v>
      </c>
      <c r="F8" s="30" t="s">
        <v>21</v>
      </c>
      <c r="G8" s="13">
        <v>3</v>
      </c>
      <c r="H8" s="94">
        <f>IF(B$17=0,0,G8/B$17)</f>
        <v>0.13636363636363635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182</v>
      </c>
      <c r="F9" s="30" t="s">
        <v>19</v>
      </c>
      <c r="G9" s="13">
        <v>2</v>
      </c>
      <c r="H9" s="94">
        <f>IF(B$17=0,0,G9/B$17)</f>
        <v>9.0909090909090912E-2</v>
      </c>
      <c r="I9" s="56">
        <v>17</v>
      </c>
      <c r="K9" s="5">
        <v>7</v>
      </c>
      <c r="L9" s="61">
        <v>255.8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0.88888888888888884</v>
      </c>
      <c r="E11" s="33" t="s">
        <v>59</v>
      </c>
      <c r="F11" s="30" t="s">
        <v>23</v>
      </c>
      <c r="G11" s="13">
        <v>2</v>
      </c>
      <c r="H11" s="94">
        <f>IF(B$17=0,0,G11/B$17)</f>
        <v>9.0909090909090912E-2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68.349999999999994</v>
      </c>
      <c r="P12" s="79">
        <v>2</v>
      </c>
      <c r="Q12" s="67">
        <v>136.69999999999999</v>
      </c>
    </row>
    <row r="13" spans="1:17">
      <c r="A13" s="22" t="s">
        <v>97</v>
      </c>
      <c r="B13" s="15">
        <v>20</v>
      </c>
      <c r="C13" s="11">
        <f>IF(B$3=0,0,B13/B$3)</f>
        <v>0.3125</v>
      </c>
      <c r="E13" s="33" t="s">
        <v>74</v>
      </c>
      <c r="F13" s="30" t="s">
        <v>38</v>
      </c>
      <c r="G13" s="13">
        <v>2</v>
      </c>
      <c r="H13" s="94">
        <f>IF(B$17=0,0,G13/B$17)</f>
        <v>9.0909090909090912E-2</v>
      </c>
      <c r="I13" s="56">
        <v>4</v>
      </c>
      <c r="N13" s="76" t="s">
        <v>127</v>
      </c>
      <c r="O13" s="86">
        <f>IF(P13=0,0,Q13/P13)</f>
        <v>47.900000000000006</v>
      </c>
      <c r="P13" s="80">
        <v>4</v>
      </c>
      <c r="Q13" s="68">
        <v>191.60000000000002</v>
      </c>
    </row>
    <row r="14" spans="1:17">
      <c r="A14" s="19" t="s">
        <v>94</v>
      </c>
      <c r="B14" s="13">
        <v>15</v>
      </c>
      <c r="C14" s="6">
        <f>IF(B$3=0,0,B14/B$3)</f>
        <v>0.234375</v>
      </c>
      <c r="E14" s="33" t="s">
        <v>69</v>
      </c>
      <c r="F14" s="30" t="s">
        <v>33</v>
      </c>
      <c r="G14" s="13">
        <v>1</v>
      </c>
      <c r="H14" s="94">
        <f>IF(B$17=0,0,G14/B$17)</f>
        <v>4.5454545454545456E-2</v>
      </c>
      <c r="I14" s="56">
        <v>4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14</v>
      </c>
      <c r="C15" s="4">
        <f>IF(B$13=0,0,B15/B$13)</f>
        <v>0.7</v>
      </c>
      <c r="E15" s="33" t="s">
        <v>76</v>
      </c>
      <c r="F15" s="30" t="s">
        <v>40</v>
      </c>
      <c r="G15" s="13">
        <v>1</v>
      </c>
      <c r="H15" s="94">
        <f>IF(B$17=0,0,G15/B$17)</f>
        <v>4.5454545454545456E-2</v>
      </c>
      <c r="I15" s="56">
        <v>2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0.34375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9.375E-2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99.750000000000014</v>
      </c>
      <c r="P18" s="79">
        <v>4</v>
      </c>
      <c r="Q18" s="67">
        <v>399.00000000000006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269</v>
      </c>
      <c r="O19" s="86">
        <f>IF(P19=0,0,Q19/P19)</f>
        <v>92.25</v>
      </c>
      <c r="P19" s="80">
        <v>2</v>
      </c>
      <c r="Q19" s="68">
        <v>184.5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79.966666666666654</v>
      </c>
      <c r="P20" s="80">
        <v>3</v>
      </c>
      <c r="Q20" s="68">
        <v>239.89999999999998</v>
      </c>
    </row>
    <row r="21" spans="1:17">
      <c r="A21" s="19" t="s">
        <v>151</v>
      </c>
      <c r="B21" s="13">
        <v>14</v>
      </c>
      <c r="C21" s="6">
        <f>IF(B$17=0,0,B21/B$17)</f>
        <v>0.63636363636363635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169</v>
      </c>
      <c r="O21" s="86">
        <f>IF(P21=0,0,Q21/P21)</f>
        <v>79.7</v>
      </c>
      <c r="P21" s="80">
        <v>2</v>
      </c>
      <c r="Q21" s="68">
        <v>159.4</v>
      </c>
    </row>
    <row r="22" spans="1:17">
      <c r="A22" s="19" t="s">
        <v>149</v>
      </c>
      <c r="B22" s="13">
        <v>7</v>
      </c>
      <c r="C22" s="6">
        <f>IF(B$17=0,0,B22/B$17)</f>
        <v>0.31818181818181818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72.849999999999994</v>
      </c>
      <c r="P22" s="80">
        <v>2</v>
      </c>
      <c r="Q22" s="68">
        <v>145.69999999999999</v>
      </c>
    </row>
    <row r="23" spans="1:17">
      <c r="A23" s="19" t="s">
        <v>150</v>
      </c>
      <c r="B23" s="13">
        <v>1</v>
      </c>
      <c r="C23" s="6">
        <f>IF(B$17=0,0,B23/B$17)</f>
        <v>4.5454545454545456E-2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238</v>
      </c>
      <c r="O23" s="86">
        <f>IF(P23=0,0,Q23/P23)</f>
        <v>52.866666666666674</v>
      </c>
      <c r="P23" s="80">
        <v>3</v>
      </c>
      <c r="Q23" s="68">
        <v>158.60000000000002</v>
      </c>
    </row>
    <row r="24" spans="1:17">
      <c r="A24" s="19" t="s">
        <v>5</v>
      </c>
      <c r="B24" s="16">
        <f>IF(B$17=0,0,C24/B$17)</f>
        <v>6345.454545454545</v>
      </c>
      <c r="C24" s="8">
        <v>139600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>IF(P24=0,0,Q24/P24)</f>
        <v>43.9</v>
      </c>
      <c r="P24" s="80">
        <v>1</v>
      </c>
      <c r="Q24" s="68">
        <v>43.9</v>
      </c>
    </row>
    <row r="25" spans="1:17">
      <c r="A25" s="20" t="s">
        <v>133</v>
      </c>
      <c r="B25" s="97">
        <f>IF($B$17-B$16=0,0,C25/($B$17-B$16))</f>
        <v>7773.333333333333</v>
      </c>
      <c r="C25" s="98">
        <v>116600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263</v>
      </c>
      <c r="O25" s="86">
        <f>IF(P25=0,0,Q25/P25)</f>
        <v>38.375</v>
      </c>
      <c r="P25" s="80">
        <v>4</v>
      </c>
      <c r="Q25" s="68">
        <v>153.5</v>
      </c>
    </row>
    <row r="26" spans="1:17">
      <c r="A26" s="20" t="s">
        <v>134</v>
      </c>
      <c r="B26" s="97">
        <f>IF(B$16=0,0,C26/B$16)</f>
        <v>3285.7142857142858</v>
      </c>
      <c r="C26" s="98">
        <v>23000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265</v>
      </c>
      <c r="O26" s="86">
        <f>IF(P26=0,0,Q26/P26)</f>
        <v>29.1</v>
      </c>
      <c r="P26" s="80">
        <v>2</v>
      </c>
      <c r="Q26" s="68">
        <v>58.2</v>
      </c>
    </row>
    <row r="27" spans="1:17">
      <c r="A27" s="20" t="s">
        <v>132</v>
      </c>
      <c r="B27" s="97">
        <f>IF(B$18=0,0,C27/B$18)</f>
        <v>-3616.6666666666665</v>
      </c>
      <c r="C27" s="98">
        <v>-21700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241</v>
      </c>
      <c r="O27" s="86">
        <f>IF(P27=0,0,Q27/P27)</f>
        <v>28.099999999999998</v>
      </c>
      <c r="P27" s="80">
        <v>1</v>
      </c>
      <c r="Q27" s="68">
        <v>28.099999999999998</v>
      </c>
    </row>
    <row r="28" spans="1:17">
      <c r="A28" s="19" t="s">
        <v>130</v>
      </c>
      <c r="B28" s="13">
        <v>4</v>
      </c>
      <c r="C28" s="96">
        <v>3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-10.75</v>
      </c>
      <c r="P28" s="80">
        <v>2</v>
      </c>
      <c r="Q28" s="68">
        <v>-21.5</v>
      </c>
    </row>
    <row r="29" spans="1:17">
      <c r="A29" s="19" t="s">
        <v>131</v>
      </c>
      <c r="B29" s="13">
        <v>16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264</v>
      </c>
      <c r="O29" s="86">
        <f>IF(P29=0,0,Q29/P29)</f>
        <v>-22.9</v>
      </c>
      <c r="P29" s="80">
        <v>1</v>
      </c>
      <c r="Q29" s="68">
        <v>-22.9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0.22727272727272727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0.8571428571428571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-3210</v>
      </c>
      <c r="P2" s="79">
        <v>10</v>
      </c>
      <c r="Q2" s="63">
        <v>-32100</v>
      </c>
    </row>
    <row r="3" spans="1:17">
      <c r="A3" s="19" t="s">
        <v>8</v>
      </c>
      <c r="B3" s="122">
        <v>74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-3130</v>
      </c>
      <c r="P3" s="80">
        <v>10</v>
      </c>
      <c r="Q3" s="64">
        <v>-31300</v>
      </c>
    </row>
    <row r="4" spans="1:17">
      <c r="A4" s="19" t="s">
        <v>6</v>
      </c>
      <c r="B4" s="124">
        <v>-315.09999999999997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-38</v>
      </c>
      <c r="N4" s="76" t="s">
        <v>105</v>
      </c>
      <c r="O4" s="83">
        <f t="shared" si="0"/>
        <v>-3140</v>
      </c>
      <c r="P4" s="80">
        <v>10</v>
      </c>
      <c r="Q4" s="64">
        <v>-31400</v>
      </c>
    </row>
    <row r="5" spans="1:17">
      <c r="A5" s="19" t="s">
        <v>7</v>
      </c>
      <c r="B5" s="126">
        <f>IF(B$2=0,0,B$4/B$2)</f>
        <v>-31.509999999999998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0.42857142857142855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-275</v>
      </c>
      <c r="P5" s="80">
        <v>8</v>
      </c>
      <c r="Q5" s="64">
        <v>-2200</v>
      </c>
    </row>
    <row r="6" spans="1:17">
      <c r="A6" s="19" t="s">
        <v>1</v>
      </c>
      <c r="B6" s="128">
        <f>IF(B$2=0,0,(B$7*1+B$8*2+B$9*3+B$10*4)/B$2)</f>
        <v>3.3</v>
      </c>
      <c r="C6" s="129"/>
      <c r="E6" s="33" t="s">
        <v>60</v>
      </c>
      <c r="F6" s="30" t="s">
        <v>24</v>
      </c>
      <c r="G6" s="13">
        <v>3</v>
      </c>
      <c r="H6" s="94">
        <f>IF(B$17=0,0,G6/B$17)</f>
        <v>0.42857142857142855</v>
      </c>
      <c r="I6" s="56">
        <v>15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0.2857142857142857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-1333.3333333333333</v>
      </c>
      <c r="P7" s="80">
        <v>3</v>
      </c>
      <c r="Q7" s="64">
        <v>-4000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27</v>
      </c>
      <c r="K8" s="5">
        <v>6</v>
      </c>
      <c r="L8" s="61">
        <v>-178.9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16</v>
      </c>
      <c r="C13" s="11">
        <f>IF(B$3=0,0,B13/B$3)</f>
        <v>0.21621621621621623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-9.4666666666666668</v>
      </c>
      <c r="P13" s="80">
        <v>3</v>
      </c>
      <c r="Q13" s="68">
        <v>-28.4</v>
      </c>
    </row>
    <row r="14" spans="1:17">
      <c r="A14" s="19" t="s">
        <v>94</v>
      </c>
      <c r="B14" s="13">
        <v>13</v>
      </c>
      <c r="C14" s="6">
        <f>IF(B$3=0,0,B14/B$3)</f>
        <v>0.17567567567567569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6</v>
      </c>
      <c r="C15" s="4">
        <f>IF(B$13=0,0,B15/B$13)</f>
        <v>0.375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-26.45</v>
      </c>
      <c r="P15" s="81">
        <v>2</v>
      </c>
      <c r="Q15" s="69">
        <v>-52.9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9.45945945945946E-2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0.17567567567567569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2</v>
      </c>
      <c r="C19" s="6">
        <f>IF(B$17=0,0,B19/B$17)</f>
        <v>0.2857142857142857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>IF(P19=0,0,Q19/P19)</f>
        <v>17.833333333333332</v>
      </c>
      <c r="P19" s="80">
        <v>3</v>
      </c>
      <c r="Q19" s="68">
        <v>53.5</v>
      </c>
    </row>
    <row r="20" spans="1:17">
      <c r="A20" s="19" t="s">
        <v>11</v>
      </c>
      <c r="B20" s="13">
        <v>5</v>
      </c>
      <c r="C20" s="6">
        <f>IF(B$17=0,0,B20/B$17)</f>
        <v>0.7142857142857143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6</v>
      </c>
      <c r="C21" s="6">
        <f>IF(B$17=0,0,B21/B$17)</f>
        <v>0.8571428571428571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>IF(P21=0,0,Q21/P21)</f>
        <v>-28.300000000000004</v>
      </c>
      <c r="P21" s="80">
        <v>2</v>
      </c>
      <c r="Q21" s="68">
        <v>-56.600000000000009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-43.733333333333341</v>
      </c>
      <c r="P22" s="80">
        <v>3</v>
      </c>
      <c r="Q22" s="68">
        <v>-131.20000000000002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>IF(P23=0,0,Q23/P23)</f>
        <v>-47</v>
      </c>
      <c r="P23" s="80">
        <v>4</v>
      </c>
      <c r="Q23" s="68">
        <v>-188</v>
      </c>
    </row>
    <row r="24" spans="1:17">
      <c r="A24" s="19" t="s">
        <v>5</v>
      </c>
      <c r="B24" s="16">
        <f>IF(B$17=0,0,C24/B$17)</f>
        <v>7285.7142857142853</v>
      </c>
      <c r="C24" s="8">
        <v>51000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-58.233333333333327</v>
      </c>
      <c r="P24" s="80">
        <v>3</v>
      </c>
      <c r="Q24" s="68">
        <v>-174.7</v>
      </c>
    </row>
    <row r="25" spans="1:17">
      <c r="A25" s="20" t="s">
        <v>133</v>
      </c>
      <c r="B25" s="97">
        <f>IF($B$17-B$16=0,0,C25/($B$17-B$16))</f>
        <v>7533.333333333333</v>
      </c>
      <c r="C25" s="98">
        <v>45200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-61</v>
      </c>
      <c r="P25" s="80">
        <v>1</v>
      </c>
      <c r="Q25" s="68">
        <v>-61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12</v>
      </c>
      <c r="N26" s="76" t="s">
        <v>276</v>
      </c>
      <c r="O26" s="86">
        <f>IF(P26=0,0,Q26/P26)</f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-4492.3076923076924</v>
      </c>
      <c r="C27" s="98">
        <v>-58400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-99.75</v>
      </c>
      <c r="P27" s="80">
        <v>4</v>
      </c>
      <c r="Q27" s="68">
        <v>-399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4437.5</v>
      </c>
      <c r="P2" s="79">
        <v>8</v>
      </c>
      <c r="Q2" s="63">
        <v>35500</v>
      </c>
    </row>
    <row r="3" spans="1:17">
      <c r="A3" s="19" t="s">
        <v>8</v>
      </c>
      <c r="B3" s="122">
        <v>58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1350</v>
      </c>
      <c r="P3" s="80">
        <v>8</v>
      </c>
      <c r="Q3" s="64">
        <v>10800</v>
      </c>
    </row>
    <row r="4" spans="1:17">
      <c r="A4" s="19" t="s">
        <v>6</v>
      </c>
      <c r="B4" s="124">
        <v>218.10000000000002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0.4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2375</v>
      </c>
      <c r="P4" s="80">
        <v>8</v>
      </c>
      <c r="Q4" s="64">
        <v>19000</v>
      </c>
    </row>
    <row r="5" spans="1:17">
      <c r="A5" s="19" t="s">
        <v>7</v>
      </c>
      <c r="B5" s="126">
        <f>IF(B$2=0,0,B$4/B$2)</f>
        <v>27.262500000000003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0.33333333333333331</v>
      </c>
      <c r="I5" s="56">
        <v>8</v>
      </c>
      <c r="K5" s="5">
        <v>3</v>
      </c>
      <c r="L5" s="61">
        <v>144.5</v>
      </c>
      <c r="N5" s="76" t="s">
        <v>157</v>
      </c>
      <c r="O5" s="83">
        <f>IF(P5=0,0,Q5/P5)</f>
        <v>266.66666666666669</v>
      </c>
      <c r="P5" s="80">
        <v>6</v>
      </c>
      <c r="Q5" s="64">
        <v>1600</v>
      </c>
    </row>
    <row r="6" spans="1:17">
      <c r="A6" s="19" t="s">
        <v>1</v>
      </c>
      <c r="B6" s="128">
        <f>IF(B$2=0,0,(B$7*1+B$8*2+B$9*3+B$10*4)/B$2)</f>
        <v>1.875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-100</v>
      </c>
      <c r="P6" s="80">
        <v>4</v>
      </c>
      <c r="Q6" s="64">
        <v>-400</v>
      </c>
    </row>
    <row r="7" spans="1:17">
      <c r="A7" s="19" t="s">
        <v>2</v>
      </c>
      <c r="B7" s="13">
        <v>4</v>
      </c>
      <c r="C7" s="6">
        <f t="shared" ref="C7:C12" si="2">IF(B$2=0,0,B7/B$2)</f>
        <v>0.5</v>
      </c>
      <c r="E7" s="33" t="s">
        <v>58</v>
      </c>
      <c r="F7" s="30" t="s">
        <v>22</v>
      </c>
      <c r="G7" s="13">
        <v>3</v>
      </c>
      <c r="H7" s="94">
        <f>IF(B$17=0,0,G7/B$17)</f>
        <v>0.2</v>
      </c>
      <c r="I7" s="56">
        <v>2</v>
      </c>
      <c r="K7" s="5">
        <v>5</v>
      </c>
      <c r="L7" s="61">
        <v>106.70000000000002</v>
      </c>
      <c r="N7" s="76" t="s">
        <v>107</v>
      </c>
      <c r="O7" s="83">
        <f t="shared" si="0"/>
        <v>1300</v>
      </c>
      <c r="P7" s="80">
        <v>4</v>
      </c>
      <c r="Q7" s="64">
        <v>5200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60</v>
      </c>
      <c r="F8" s="30" t="s">
        <v>24</v>
      </c>
      <c r="G8" s="13">
        <v>3</v>
      </c>
      <c r="H8" s="94">
        <f>IF(B$17=0,0,G8/B$17)</f>
        <v>0.2</v>
      </c>
      <c r="I8" s="56">
        <v>32</v>
      </c>
      <c r="K8" s="5">
        <v>6</v>
      </c>
      <c r="L8" s="61">
        <v>173.40000000000003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13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29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0.75</v>
      </c>
      <c r="E11" s="33" t="s">
        <v>77</v>
      </c>
      <c r="F11" s="30" t="s">
        <v>41</v>
      </c>
      <c r="G11" s="13">
        <v>2</v>
      </c>
      <c r="H11" s="94">
        <f>IF(B$17=0,0,G11/B$17)</f>
        <v>0.13333333333333333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-18.899999999999999</v>
      </c>
      <c r="P12" s="79">
        <v>2</v>
      </c>
      <c r="Q12" s="67">
        <v>-37.799999999999997</v>
      </c>
    </row>
    <row r="13" spans="1:17">
      <c r="A13" s="22" t="s">
        <v>97</v>
      </c>
      <c r="B13" s="15">
        <v>14</v>
      </c>
      <c r="C13" s="11">
        <f>IF(B$3=0,0,B13/B$3)</f>
        <v>0.2413793103448276</v>
      </c>
      <c r="E13" s="33" t="s">
        <v>78</v>
      </c>
      <c r="F13" s="30" t="s">
        <v>42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18</v>
      </c>
      <c r="C14" s="6">
        <f>IF(B$3=0,0,B14/B$3)</f>
        <v>0.31034482758620691</v>
      </c>
      <c r="E14" s="33" t="s">
        <v>79</v>
      </c>
      <c r="F14" s="30" t="s">
        <v>43</v>
      </c>
      <c r="G14" s="13">
        <v>1</v>
      </c>
      <c r="H14" s="94">
        <f>IF(B$17=0,0,G14/B$17)</f>
        <v>6.6666666666666666E-2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10</v>
      </c>
      <c r="C15" s="4">
        <f>IF(B$13=0,0,B15/B$13)</f>
        <v>0.7142857142857143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0.16666666666666666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0.25862068965517243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8.6206896551724144E-2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160.80000000000001</v>
      </c>
      <c r="P18" s="79">
        <v>1</v>
      </c>
      <c r="Q18" s="67">
        <v>160.80000000000001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255</v>
      </c>
      <c r="O19" s="86">
        <f>IF(P19=0,0,Q19/P19)</f>
        <v>110.7</v>
      </c>
      <c r="P19" s="80">
        <v>1</v>
      </c>
      <c r="Q19" s="68">
        <v>110.7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94.6</v>
      </c>
      <c r="P20" s="80">
        <v>1</v>
      </c>
      <c r="Q20" s="68">
        <v>94.6</v>
      </c>
    </row>
    <row r="21" spans="1:17">
      <c r="A21" s="19" t="s">
        <v>151</v>
      </c>
      <c r="B21" s="13">
        <v>10</v>
      </c>
      <c r="C21" s="6">
        <f>IF(B$17=0,0,B21/B$17)</f>
        <v>0.66666666666666663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>IF(P21=0,0,Q21/P21)</f>
        <v>67.75</v>
      </c>
      <c r="P21" s="80">
        <v>2</v>
      </c>
      <c r="Q21" s="68">
        <v>135.5</v>
      </c>
    </row>
    <row r="22" spans="1:17">
      <c r="A22" s="19" t="s">
        <v>149</v>
      </c>
      <c r="B22" s="13">
        <v>3</v>
      </c>
      <c r="C22" s="6">
        <f>IF(B$17=0,0,B22/B$17)</f>
        <v>0.2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258</v>
      </c>
      <c r="O22" s="86">
        <f>IF(P22=0,0,Q22/P22)</f>
        <v>67.100000000000009</v>
      </c>
      <c r="P22" s="80">
        <v>1</v>
      </c>
      <c r="Q22" s="68">
        <v>67.100000000000009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>IF(P23=0,0,Q23/P23)</f>
        <v>61.06666666666667</v>
      </c>
      <c r="P23" s="80">
        <v>6</v>
      </c>
      <c r="Q23" s="68">
        <v>366.40000000000003</v>
      </c>
    </row>
    <row r="24" spans="1:17">
      <c r="A24" s="19" t="s">
        <v>5</v>
      </c>
      <c r="B24" s="16">
        <f>IF(B$17=0,0,C24/B$17)</f>
        <v>9100</v>
      </c>
      <c r="C24" s="8">
        <v>136500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269</v>
      </c>
      <c r="O24" s="86">
        <f>IF(P24=0,0,Q24/P24)</f>
        <v>53.2</v>
      </c>
      <c r="P24" s="80">
        <v>2</v>
      </c>
      <c r="Q24" s="68">
        <v>106.4</v>
      </c>
    </row>
    <row r="25" spans="1:17">
      <c r="A25" s="20" t="s">
        <v>133</v>
      </c>
      <c r="B25" s="97">
        <f>IF($B$17-B$16=0,0,C25/($B$17-B$16))</f>
        <v>9541.6666666666661</v>
      </c>
      <c r="C25" s="98">
        <v>114500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>IF(P25=0,0,Q25/P25)</f>
        <v>48.5</v>
      </c>
      <c r="P25" s="80">
        <v>1</v>
      </c>
      <c r="Q25" s="68">
        <v>48.5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14</v>
      </c>
      <c r="N26" s="76" t="s">
        <v>263</v>
      </c>
      <c r="O26" s="86">
        <f>IF(P26=0,0,Q26/P26)</f>
        <v>31.275000000000002</v>
      </c>
      <c r="P26" s="80">
        <v>4</v>
      </c>
      <c r="Q26" s="68">
        <v>125.10000000000001</v>
      </c>
    </row>
    <row r="27" spans="1:17">
      <c r="A27" s="20" t="s">
        <v>132</v>
      </c>
      <c r="B27" s="97">
        <f>IF(B$18=0,0,C27/B$18)</f>
        <v>-5220</v>
      </c>
      <c r="C27" s="98">
        <v>-26100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>IF(P28=0,0,Q28/P28)</f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8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12</v>
      </c>
      <c r="N29" s="76" t="s">
        <v>272</v>
      </c>
      <c r="O29" s="86">
        <f>IF(P29=0,0,Q29/P29)</f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6.6666666666666666E-2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2023-08-08T09:47:12Z</dcterms:modified>
</cp:coreProperties>
</file>