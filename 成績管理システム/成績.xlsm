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11E67B73-D0A8-4B9D-A90A-515BBBC12E1C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304" r:id="rId4"/>
    <sheet name="松澤亮太" sheetId="6305" r:id="rId5"/>
    <sheet name="滝沢悠人" sheetId="6306" r:id="rId6"/>
    <sheet name="大池陸斗" sheetId="6307" r:id="rId7"/>
    <sheet name="百瀬成空" sheetId="6308" r:id="rId8"/>
    <sheet name="佐藤成浩" sheetId="6309" r:id="rId9"/>
    <sheet name="依田幸憲" sheetId="6310" r:id="rId10"/>
    <sheet name="保谷一貴" sheetId="6311" r:id="rId11"/>
    <sheet name="高野源太" sheetId="6312" r:id="rId12"/>
    <sheet name="矢ヶ崎健" sheetId="6313" r:id="rId13"/>
    <sheet name="小林郁斗" sheetId="6314" r:id="rId14"/>
    <sheet name="木角有希" sheetId="6315" r:id="rId15"/>
    <sheet name="福澤大地" sheetId="6316" r:id="rId16"/>
    <sheet name="髙橋桜" sheetId="6317" r:id="rId17"/>
    <sheet name="多田洋輔" sheetId="6318" r:id="rId18"/>
    <sheet name="柳澤颯吾" sheetId="6319" r:id="rId19"/>
    <sheet name="石澤巧望" sheetId="6320" r:id="rId20"/>
    <sheet name="川上翔大" sheetId="6321" r:id="rId21"/>
    <sheet name="北沢蓮太郎" sheetId="6322" r:id="rId22"/>
    <sheet name="市川大智" sheetId="6323" r:id="rId23"/>
    <sheet name="中川弘崇" sheetId="6324" r:id="rId24"/>
    <sheet name="阿部圭太朗" sheetId="6325" r:id="rId25"/>
    <sheet name="山崎葵" sheetId="6326" r:id="rId26"/>
    <sheet name="関谷洸佑" sheetId="6327" r:id="rId27"/>
    <sheet name="Template" sheetId="2228" state="hidden" r:id="rId28"/>
  </sheets>
  <definedNames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6325" l="1"/>
  <c r="O18" i="6327"/>
  <c r="O20" i="6327" l="1"/>
  <c r="O28" i="6307"/>
  <c r="O25" i="6319" l="1"/>
  <c r="O24" i="6306"/>
  <c r="O21" i="6306"/>
  <c r="O18" i="6325"/>
  <c r="O19" i="6327" l="1"/>
  <c r="O21" i="6327"/>
  <c r="O22" i="6327"/>
  <c r="H34" i="6327"/>
  <c r="H33" i="6327"/>
  <c r="C32" i="6327"/>
  <c r="B27" i="6327"/>
  <c r="H27" i="6327"/>
  <c r="H24" i="6327"/>
  <c r="C18" i="6327"/>
  <c r="B17" i="6327"/>
  <c r="C47" i="6327" s="1"/>
  <c r="B16" i="6327"/>
  <c r="B26" i="6327" s="1"/>
  <c r="O15" i="6327"/>
  <c r="H16" i="6327"/>
  <c r="B15" i="6327"/>
  <c r="C15" i="6327" s="1"/>
  <c r="O14" i="6327"/>
  <c r="H15" i="6327"/>
  <c r="C14" i="6327"/>
  <c r="O13" i="6327"/>
  <c r="C13" i="6327"/>
  <c r="O12" i="6327"/>
  <c r="C12" i="6327"/>
  <c r="B11" i="6327"/>
  <c r="C11" i="6327" s="1"/>
  <c r="C10" i="6327"/>
  <c r="O9" i="6327"/>
  <c r="H4" i="6327"/>
  <c r="C9" i="6327"/>
  <c r="O8" i="6327"/>
  <c r="H11" i="6327"/>
  <c r="C8" i="6327"/>
  <c r="O7" i="6327"/>
  <c r="C7" i="6327"/>
  <c r="O6" i="6327"/>
  <c r="B6" i="6327"/>
  <c r="O5" i="6327"/>
  <c r="B5" i="6327"/>
  <c r="O4" i="6327"/>
  <c r="O3" i="6327"/>
  <c r="O2" i="6327"/>
  <c r="H3" i="6327"/>
  <c r="O19" i="6326"/>
  <c r="O20" i="6326"/>
  <c r="O18" i="6326"/>
  <c r="C39" i="6326"/>
  <c r="H38" i="6326"/>
  <c r="C38" i="6326"/>
  <c r="H37" i="6326"/>
  <c r="C35" i="6326"/>
  <c r="H34" i="6326"/>
  <c r="H33" i="6326"/>
  <c r="H32" i="6326"/>
  <c r="C32" i="6326"/>
  <c r="H31" i="6326"/>
  <c r="B27" i="6326"/>
  <c r="H26" i="6326"/>
  <c r="B24" i="6326"/>
  <c r="H23" i="6326"/>
  <c r="C23" i="6326"/>
  <c r="H22" i="6326"/>
  <c r="C22" i="6326"/>
  <c r="H21" i="6326"/>
  <c r="C21" i="6326"/>
  <c r="H20" i="6326"/>
  <c r="C20" i="6326"/>
  <c r="H19" i="6326"/>
  <c r="C18" i="6326"/>
  <c r="B17" i="6326"/>
  <c r="C47" i="6326" s="1"/>
  <c r="H16" i="6326"/>
  <c r="C16" i="6326"/>
  <c r="B16" i="6326"/>
  <c r="B26" i="6326" s="1"/>
  <c r="O15" i="6326"/>
  <c r="H15" i="6326"/>
  <c r="C15" i="6326"/>
  <c r="B15" i="6326"/>
  <c r="O14" i="6326"/>
  <c r="H14" i="6326"/>
  <c r="C14" i="6326"/>
  <c r="O13" i="6326"/>
  <c r="C13" i="6326"/>
  <c r="O12" i="6326"/>
  <c r="C12" i="6326"/>
  <c r="H11" i="6326"/>
  <c r="C11" i="6326"/>
  <c r="B11" i="6326"/>
  <c r="H2" i="6326"/>
  <c r="C10" i="6326"/>
  <c r="O9" i="6326"/>
  <c r="H10" i="6326"/>
  <c r="C9" i="6326"/>
  <c r="O8" i="6326"/>
  <c r="H9" i="6326"/>
  <c r="C8" i="6326"/>
  <c r="O7" i="6326"/>
  <c r="C7" i="6326"/>
  <c r="O6" i="6326"/>
  <c r="B6" i="6326"/>
  <c r="O5" i="6326"/>
  <c r="H6" i="6326"/>
  <c r="B5" i="6326"/>
  <c r="O4" i="6326"/>
  <c r="H5" i="6326"/>
  <c r="O3" i="6326"/>
  <c r="H4" i="6326"/>
  <c r="O2" i="6326"/>
  <c r="H3" i="6326"/>
  <c r="O19" i="6319"/>
  <c r="O20" i="6319"/>
  <c r="O25" i="6309"/>
  <c r="O21" i="6309"/>
  <c r="O25" i="6304"/>
  <c r="O26" i="6304"/>
  <c r="C38" i="6327" l="1"/>
  <c r="H39" i="6327"/>
  <c r="C39" i="6327"/>
  <c r="H7" i="6327"/>
  <c r="C21" i="6327"/>
  <c r="H40" i="6327"/>
  <c r="C20" i="6327"/>
  <c r="C40" i="6327"/>
  <c r="H38" i="6327"/>
  <c r="H8" i="6327"/>
  <c r="C22" i="6327"/>
  <c r="H6" i="6327"/>
  <c r="H12" i="6327"/>
  <c r="H23" i="6327"/>
  <c r="H35" i="6327"/>
  <c r="H5" i="6327"/>
  <c r="H21" i="6327"/>
  <c r="H22" i="6327"/>
  <c r="C23" i="6327"/>
  <c r="C16" i="6327"/>
  <c r="H17" i="6327"/>
  <c r="H41" i="6327"/>
  <c r="H28" i="6327"/>
  <c r="C41" i="6327"/>
  <c r="C17" i="6327"/>
  <c r="H29" i="6327"/>
  <c r="H42" i="6327"/>
  <c r="H30" i="6327"/>
  <c r="C42" i="6327"/>
  <c r="H13" i="6327"/>
  <c r="H10" i="6327"/>
  <c r="H19" i="6327"/>
  <c r="H31" i="6327"/>
  <c r="H9" i="6327"/>
  <c r="H14" i="6327"/>
  <c r="C19" i="6327"/>
  <c r="H32" i="6327"/>
  <c r="H20" i="6327"/>
  <c r="H2" i="6327"/>
  <c r="B24" i="6327"/>
  <c r="C35" i="6327"/>
  <c r="C43" i="6327"/>
  <c r="H25" i="6327"/>
  <c r="H36" i="6327"/>
  <c r="C44" i="6327"/>
  <c r="B25" i="6327"/>
  <c r="C36" i="6327"/>
  <c r="C45" i="6327"/>
  <c r="H18" i="6327"/>
  <c r="H26" i="6327"/>
  <c r="H37" i="6327"/>
  <c r="C46" i="6327"/>
  <c r="C37" i="6327"/>
  <c r="H39" i="6326"/>
  <c r="C40" i="6326"/>
  <c r="C17" i="6326"/>
  <c r="H27" i="6326"/>
  <c r="H40" i="6326"/>
  <c r="H28" i="6326"/>
  <c r="C41" i="6326"/>
  <c r="H7" i="6326"/>
  <c r="H12" i="6326"/>
  <c r="H8" i="6326"/>
  <c r="H18" i="6326"/>
  <c r="H29" i="6326"/>
  <c r="H41" i="6326"/>
  <c r="H13" i="6326"/>
  <c r="C19" i="6326"/>
  <c r="H30" i="6326"/>
  <c r="C42" i="6326"/>
  <c r="H42" i="6326"/>
  <c r="C43" i="6326"/>
  <c r="H24" i="6326"/>
  <c r="H35" i="6326"/>
  <c r="C44" i="6326"/>
  <c r="B25" i="6326"/>
  <c r="C36" i="6326"/>
  <c r="C45" i="6326"/>
  <c r="H17" i="6326"/>
  <c r="H25" i="6326"/>
  <c r="H36" i="6326"/>
  <c r="C46" i="6326"/>
  <c r="C37" i="6326"/>
  <c r="O21" i="6325" l="1"/>
  <c r="O19" i="6325"/>
  <c r="O22" i="6325"/>
  <c r="C32" i="6325"/>
  <c r="B27" i="6325"/>
  <c r="C18" i="6325"/>
  <c r="B17" i="6325"/>
  <c r="C47" i="6325" s="1"/>
  <c r="C16" i="6325"/>
  <c r="B16" i="6325"/>
  <c r="B26" i="6325" s="1"/>
  <c r="O15" i="6325"/>
  <c r="B15" i="6325"/>
  <c r="C15" i="6325" s="1"/>
  <c r="O14" i="6325"/>
  <c r="C14" i="6325"/>
  <c r="O13" i="6325"/>
  <c r="C13" i="6325"/>
  <c r="O12" i="6325"/>
  <c r="C12" i="6325"/>
  <c r="B11" i="6325"/>
  <c r="C11" i="6325" s="1"/>
  <c r="C10" i="6325"/>
  <c r="O9" i="6325"/>
  <c r="C9" i="6325"/>
  <c r="O8" i="6325"/>
  <c r="C8" i="6325"/>
  <c r="O7" i="6325"/>
  <c r="C7" i="6325"/>
  <c r="O6" i="6325"/>
  <c r="B6" i="6325"/>
  <c r="O5" i="6325"/>
  <c r="B5" i="6325"/>
  <c r="O4" i="6325"/>
  <c r="O3" i="6325"/>
  <c r="O2" i="6325"/>
  <c r="O28" i="6309"/>
  <c r="O22" i="6319"/>
  <c r="O21" i="6307"/>
  <c r="O28" i="6304"/>
  <c r="H35" i="6325" l="1"/>
  <c r="H38" i="6325"/>
  <c r="B24" i="6325"/>
  <c r="C38" i="6325"/>
  <c r="C23" i="6325"/>
  <c r="H7" i="6325"/>
  <c r="H16" i="6325"/>
  <c r="H8" i="6325"/>
  <c r="H24" i="6325"/>
  <c r="H27" i="6325"/>
  <c r="C35" i="6325"/>
  <c r="H39" i="6325"/>
  <c r="C39" i="6325"/>
  <c r="H40" i="6325"/>
  <c r="H17" i="6325"/>
  <c r="H6" i="6325"/>
  <c r="H22" i="6325"/>
  <c r="H12" i="6325"/>
  <c r="C22" i="6325"/>
  <c r="H11" i="6325"/>
  <c r="H23" i="6325"/>
  <c r="C40" i="6325"/>
  <c r="C17" i="6325"/>
  <c r="H41" i="6325"/>
  <c r="C41" i="6325"/>
  <c r="H42" i="6325"/>
  <c r="H13" i="6325"/>
  <c r="C19" i="6325"/>
  <c r="C42" i="6325"/>
  <c r="H28" i="6325"/>
  <c r="H19" i="6325"/>
  <c r="H20" i="6325"/>
  <c r="H3" i="6325"/>
  <c r="H30" i="6325"/>
  <c r="H14" i="6325"/>
  <c r="H4" i="6325"/>
  <c r="C20" i="6325"/>
  <c r="H5" i="6325"/>
  <c r="H29" i="6325"/>
  <c r="H2" i="6325"/>
  <c r="H32" i="6325"/>
  <c r="H15" i="6325"/>
  <c r="H21" i="6325"/>
  <c r="H33" i="6325"/>
  <c r="H31" i="6325"/>
  <c r="H10" i="6325"/>
  <c r="H9" i="6325"/>
  <c r="C21" i="6325"/>
  <c r="H34" i="6325"/>
  <c r="C43" i="6325"/>
  <c r="H25" i="6325"/>
  <c r="H36" i="6325"/>
  <c r="C44" i="6325"/>
  <c r="B25" i="6325"/>
  <c r="C36" i="6325"/>
  <c r="C45" i="6325"/>
  <c r="H18" i="6325"/>
  <c r="H26" i="6325"/>
  <c r="H37" i="6325"/>
  <c r="C46" i="6325"/>
  <c r="C37" i="6325"/>
  <c r="O18" i="6309" l="1"/>
  <c r="O21" i="6318"/>
  <c r="O23" i="6324"/>
  <c r="O21" i="6324"/>
  <c r="O22" i="6324"/>
  <c r="O18" i="6323"/>
  <c r="O32" i="6312" l="1"/>
  <c r="O19" i="6323"/>
  <c r="O22" i="6308" l="1"/>
  <c r="O19" i="6321"/>
  <c r="O18" i="6319" l="1"/>
  <c r="O18" i="6324"/>
  <c r="O19" i="6324"/>
  <c r="O20" i="6324"/>
  <c r="C42" i="6324"/>
  <c r="H41" i="6324"/>
  <c r="C41" i="6324"/>
  <c r="H40" i="6324"/>
  <c r="C40" i="6324"/>
  <c r="H39" i="6324"/>
  <c r="C39" i="6324"/>
  <c r="H38" i="6324"/>
  <c r="C38" i="6324"/>
  <c r="H37" i="6324"/>
  <c r="H33" i="6324"/>
  <c r="H32" i="6324"/>
  <c r="C32" i="6324"/>
  <c r="H31" i="6324"/>
  <c r="H30" i="6324"/>
  <c r="H29" i="6324"/>
  <c r="H28" i="6324"/>
  <c r="H27" i="6324"/>
  <c r="B27" i="6324"/>
  <c r="H26" i="6324"/>
  <c r="B24" i="6324"/>
  <c r="H23" i="6324"/>
  <c r="C23" i="6324"/>
  <c r="H22" i="6324"/>
  <c r="C22" i="6324"/>
  <c r="H21" i="6324"/>
  <c r="C21" i="6324"/>
  <c r="H20" i="6324"/>
  <c r="C20" i="6324"/>
  <c r="H19" i="6324"/>
  <c r="C19" i="6324"/>
  <c r="H18" i="6324"/>
  <c r="C18" i="6324"/>
  <c r="C17" i="6324"/>
  <c r="B17" i="6324"/>
  <c r="C47" i="6324" s="1"/>
  <c r="H16" i="6324"/>
  <c r="C16" i="6324"/>
  <c r="B16" i="6324"/>
  <c r="B26" i="6324" s="1"/>
  <c r="O15" i="6324"/>
  <c r="H15" i="6324"/>
  <c r="C15" i="6324"/>
  <c r="B15" i="6324"/>
  <c r="O14" i="6324"/>
  <c r="H14" i="6324"/>
  <c r="C14" i="6324"/>
  <c r="O13" i="6324"/>
  <c r="H13" i="6324"/>
  <c r="C13" i="6324"/>
  <c r="O12" i="6324"/>
  <c r="H12" i="6324"/>
  <c r="C12" i="6324"/>
  <c r="H11" i="6324"/>
  <c r="C11" i="6324"/>
  <c r="B11" i="6324"/>
  <c r="H10" i="6324"/>
  <c r="C10" i="6324"/>
  <c r="O9" i="6324"/>
  <c r="H9" i="6324"/>
  <c r="C9" i="6324"/>
  <c r="O8" i="6324"/>
  <c r="H8" i="6324"/>
  <c r="C8" i="6324"/>
  <c r="O7" i="6324"/>
  <c r="H7" i="6324"/>
  <c r="C7" i="6324"/>
  <c r="O6" i="6324"/>
  <c r="H6" i="6324"/>
  <c r="B6" i="6324"/>
  <c r="O5" i="6324"/>
  <c r="H5" i="6324"/>
  <c r="B5" i="6324"/>
  <c r="O4" i="6324"/>
  <c r="H4" i="6324"/>
  <c r="O3" i="6324"/>
  <c r="H3" i="6324"/>
  <c r="O2" i="6324"/>
  <c r="H2" i="6324"/>
  <c r="O26" i="6312"/>
  <c r="O20" i="6316"/>
  <c r="O21" i="6304"/>
  <c r="H34" i="6324" l="1"/>
  <c r="H42" i="6324"/>
  <c r="C35" i="6324"/>
  <c r="C43" i="6324"/>
  <c r="H24" i="6324"/>
  <c r="H35" i="6324"/>
  <c r="C44" i="6324"/>
  <c r="B25" i="6324"/>
  <c r="C36" i="6324"/>
  <c r="C45" i="6324"/>
  <c r="H17" i="6324"/>
  <c r="H25" i="6324"/>
  <c r="H36" i="6324"/>
  <c r="C46" i="6324"/>
  <c r="C37" i="6324"/>
  <c r="O23" i="6318" l="1"/>
  <c r="O21" i="6319"/>
  <c r="O20" i="6323"/>
  <c r="O24" i="6323"/>
  <c r="O20" i="6321"/>
  <c r="O24" i="6321"/>
  <c r="O21" i="6312"/>
  <c r="O22" i="6321"/>
  <c r="O31" i="6319" l="1"/>
  <c r="O31" i="6316"/>
  <c r="O20" i="6305"/>
  <c r="O40" i="6304"/>
  <c r="O21" i="6323"/>
  <c r="O22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H26" i="6323" l="1"/>
  <c r="H28" i="6323"/>
  <c r="H33" i="6323"/>
  <c r="B24" i="6323"/>
  <c r="H17" i="6323"/>
  <c r="C23" i="6323"/>
  <c r="H10" i="6323"/>
  <c r="H18" i="6323"/>
  <c r="H11" i="6323"/>
  <c r="C16" i="6323"/>
  <c r="H3" i="6323"/>
  <c r="H4" i="6323"/>
  <c r="H19" i="6323"/>
  <c r="C22" i="6323"/>
  <c r="H7" i="6323"/>
  <c r="H9" i="6323"/>
  <c r="H25" i="6323"/>
  <c r="H34" i="6323"/>
  <c r="H35" i="6323"/>
  <c r="H8" i="6323"/>
  <c r="H12" i="6323"/>
  <c r="C35" i="6323"/>
  <c r="C20" i="6323"/>
  <c r="H38" i="6323"/>
  <c r="H23" i="6323"/>
  <c r="C38" i="6323"/>
  <c r="C21" i="6323"/>
  <c r="H39" i="6323"/>
  <c r="H24" i="6323"/>
  <c r="C39" i="6323"/>
  <c r="H40" i="6323"/>
  <c r="C40" i="6323"/>
  <c r="C17" i="6323"/>
  <c r="H29" i="6323"/>
  <c r="H41" i="6323"/>
  <c r="H5" i="6323"/>
  <c r="H30" i="6323"/>
  <c r="C41" i="6323"/>
  <c r="H21" i="6323"/>
  <c r="H31" i="6323"/>
  <c r="H42" i="6323"/>
  <c r="H16" i="6323"/>
  <c r="C19" i="6323"/>
  <c r="H32" i="6323"/>
  <c r="C42" i="6323"/>
  <c r="H22" i="6323"/>
  <c r="H14" i="6323"/>
  <c r="H2" i="6323"/>
  <c r="C43" i="6323"/>
  <c r="H27" i="6323"/>
  <c r="H36" i="6323"/>
  <c r="C44" i="6323"/>
  <c r="H15" i="6323"/>
  <c r="B25" i="6323"/>
  <c r="C36" i="6323"/>
  <c r="C45" i="6323"/>
  <c r="H20" i="6323"/>
  <c r="H13" i="6323"/>
  <c r="H37" i="6323"/>
  <c r="C46" i="6323"/>
  <c r="H6" i="6323"/>
  <c r="C37" i="6323"/>
  <c r="O20" i="6318" l="1"/>
  <c r="O22" i="6318"/>
  <c r="O20" i="6322"/>
  <c r="O18" i="6322"/>
  <c r="O19" i="6322"/>
  <c r="H39" i="6322"/>
  <c r="C39" i="6322"/>
  <c r="H38" i="6322"/>
  <c r="C38" i="6322"/>
  <c r="H37" i="6322"/>
  <c r="H34" i="6322"/>
  <c r="H33" i="6322"/>
  <c r="H32" i="6322"/>
  <c r="C32" i="6322"/>
  <c r="H31" i="6322"/>
  <c r="B27" i="6322"/>
  <c r="B24" i="6322"/>
  <c r="H23" i="6322"/>
  <c r="C23" i="6322"/>
  <c r="H22" i="6322"/>
  <c r="C22" i="6322"/>
  <c r="H21" i="6322"/>
  <c r="C21" i="6322"/>
  <c r="H20" i="6322"/>
  <c r="C20" i="6322"/>
  <c r="H19" i="6322"/>
  <c r="C18" i="6322"/>
  <c r="B17" i="6322"/>
  <c r="C47" i="6322" s="1"/>
  <c r="H16" i="6322"/>
  <c r="C16" i="6322"/>
  <c r="B16" i="6322"/>
  <c r="B26" i="6322" s="1"/>
  <c r="O15" i="6322"/>
  <c r="H15" i="6322"/>
  <c r="C15" i="6322"/>
  <c r="B15" i="6322"/>
  <c r="O14" i="6322"/>
  <c r="H14" i="6322"/>
  <c r="C14" i="6322"/>
  <c r="O13" i="6322"/>
  <c r="C13" i="6322"/>
  <c r="O12" i="6322"/>
  <c r="C12" i="6322"/>
  <c r="H11" i="6322"/>
  <c r="C11" i="6322"/>
  <c r="B11" i="6322"/>
  <c r="H10" i="6322"/>
  <c r="C10" i="6322"/>
  <c r="O9" i="6322"/>
  <c r="H2" i="6322"/>
  <c r="C9" i="6322"/>
  <c r="O8" i="6322"/>
  <c r="H9" i="6322"/>
  <c r="C8" i="6322"/>
  <c r="O7" i="6322"/>
  <c r="C7" i="6322"/>
  <c r="O6" i="6322"/>
  <c r="B6" i="6322"/>
  <c r="O5" i="6322"/>
  <c r="H6" i="6322"/>
  <c r="B5" i="6322"/>
  <c r="O4" i="6322"/>
  <c r="H5" i="6322"/>
  <c r="O3" i="6322"/>
  <c r="H4" i="6322"/>
  <c r="O2" i="6322"/>
  <c r="H3" i="6322"/>
  <c r="O20" i="6309"/>
  <c r="O19" i="6309"/>
  <c r="O22" i="6304"/>
  <c r="O21" i="6321"/>
  <c r="O18" i="6321"/>
  <c r="O23" i="6321"/>
  <c r="C32" i="6321"/>
  <c r="B27" i="6321"/>
  <c r="C18" i="6321"/>
  <c r="B17" i="6321"/>
  <c r="C47" i="6321" s="1"/>
  <c r="C16" i="6321"/>
  <c r="B16" i="6321"/>
  <c r="B26" i="6321" s="1"/>
  <c r="O15" i="6321"/>
  <c r="B15" i="6321"/>
  <c r="C15" i="6321" s="1"/>
  <c r="O14" i="6321"/>
  <c r="C14" i="6321"/>
  <c r="O13" i="6321"/>
  <c r="C13" i="6321"/>
  <c r="O12" i="6321"/>
  <c r="C12" i="6321"/>
  <c r="C11" i="6321"/>
  <c r="B11" i="632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O2" i="6321"/>
  <c r="O18" i="6304"/>
  <c r="H17" i="6321" l="1"/>
  <c r="H5" i="6321"/>
  <c r="H8" i="6321"/>
  <c r="H33" i="6321"/>
  <c r="H34" i="6321"/>
  <c r="H35" i="6321"/>
  <c r="C35" i="6321"/>
  <c r="C20" i="6321"/>
  <c r="H38" i="6321"/>
  <c r="H3" i="6321"/>
  <c r="H21" i="6321"/>
  <c r="C38" i="6321"/>
  <c r="C21" i="6321"/>
  <c r="H39" i="6321"/>
  <c r="H22" i="6321"/>
  <c r="C39" i="6321"/>
  <c r="C22" i="6321"/>
  <c r="H23" i="6321"/>
  <c r="H15" i="6321"/>
  <c r="C23" i="6321"/>
  <c r="H10" i="6321"/>
  <c r="H24" i="6321"/>
  <c r="H2" i="6321"/>
  <c r="B24" i="6321"/>
  <c r="H12" i="6321"/>
  <c r="H4" i="6321"/>
  <c r="H16" i="6321"/>
  <c r="H27" i="6321"/>
  <c r="H11" i="6321"/>
  <c r="H7" i="6321"/>
  <c r="H26" i="6322"/>
  <c r="C40" i="6322"/>
  <c r="H40" i="6322"/>
  <c r="C17" i="6322"/>
  <c r="H27" i="6322"/>
  <c r="C41" i="6322"/>
  <c r="H7" i="6322"/>
  <c r="H28" i="6322"/>
  <c r="H41" i="6322"/>
  <c r="H18" i="6322"/>
  <c r="H29" i="6322"/>
  <c r="C42" i="6322"/>
  <c r="H13" i="6322"/>
  <c r="C19" i="6322"/>
  <c r="H30" i="6322"/>
  <c r="H42" i="6322"/>
  <c r="C35" i="6322"/>
  <c r="C43" i="6322"/>
  <c r="H24" i="6322"/>
  <c r="H35" i="6322"/>
  <c r="C44" i="6322"/>
  <c r="H12" i="6322"/>
  <c r="B25" i="6322"/>
  <c r="C36" i="6322"/>
  <c r="C45" i="6322"/>
  <c r="H17" i="6322"/>
  <c r="H25" i="6322"/>
  <c r="H36" i="6322"/>
  <c r="C46" i="6322"/>
  <c r="H8" i="6322"/>
  <c r="C37" i="6322"/>
  <c r="H40" i="6321"/>
  <c r="C40" i="6321"/>
  <c r="H13" i="6321"/>
  <c r="C17" i="6321"/>
  <c r="H28" i="6321"/>
  <c r="H41" i="6321"/>
  <c r="H29" i="6321"/>
  <c r="C41" i="6321"/>
  <c r="H9" i="6321"/>
  <c r="H19" i="6321"/>
  <c r="H30" i="6321"/>
  <c r="H42" i="6321"/>
  <c r="H14" i="6321"/>
  <c r="C19" i="6321"/>
  <c r="H31" i="6321"/>
  <c r="C42" i="6321"/>
  <c r="H20" i="6321"/>
  <c r="H32" i="6321"/>
  <c r="H6" i="6321"/>
  <c r="C43" i="6321"/>
  <c r="H25" i="6321"/>
  <c r="H36" i="6321"/>
  <c r="C44" i="6321"/>
  <c r="B25" i="6321"/>
  <c r="C36" i="6321"/>
  <c r="C45" i="6321"/>
  <c r="H18" i="6321"/>
  <c r="H26" i="6321"/>
  <c r="H37" i="6321"/>
  <c r="C46" i="6321"/>
  <c r="C37" i="6321"/>
  <c r="O18" i="6320" l="1"/>
  <c r="O20" i="6320"/>
  <c r="O19" i="6320"/>
  <c r="C39" i="6320"/>
  <c r="H38" i="6320"/>
  <c r="C38" i="6320"/>
  <c r="H37" i="6320"/>
  <c r="H34" i="6320"/>
  <c r="H33" i="6320"/>
  <c r="H32" i="6320"/>
  <c r="C32" i="6320"/>
  <c r="H31" i="6320"/>
  <c r="H30" i="6320"/>
  <c r="B27" i="6320"/>
  <c r="H26" i="6320"/>
  <c r="H23" i="6320"/>
  <c r="C23" i="6320"/>
  <c r="H22" i="6320"/>
  <c r="C22" i="6320"/>
  <c r="H21" i="6320"/>
  <c r="C21" i="6320"/>
  <c r="H20" i="6320"/>
  <c r="C20" i="6320"/>
  <c r="H19" i="6320"/>
  <c r="C19" i="6320"/>
  <c r="H18" i="6320"/>
  <c r="C18" i="6320"/>
  <c r="B17" i="6320"/>
  <c r="C47" i="6320" s="1"/>
  <c r="B16" i="6320"/>
  <c r="B26" i="6320" s="1"/>
  <c r="O15" i="6320"/>
  <c r="H15" i="6320"/>
  <c r="C15" i="6320"/>
  <c r="B15" i="6320"/>
  <c r="O14" i="6320"/>
  <c r="H14" i="6320"/>
  <c r="C14" i="6320"/>
  <c r="O13" i="6320"/>
  <c r="H13" i="6320"/>
  <c r="C13" i="6320"/>
  <c r="O12" i="6320"/>
  <c r="C12" i="6320"/>
  <c r="C11" i="6320"/>
  <c r="B11" i="6320"/>
  <c r="H2" i="6320"/>
  <c r="C10" i="6320"/>
  <c r="O9" i="6320"/>
  <c r="H10" i="6320"/>
  <c r="C9" i="6320"/>
  <c r="O8" i="6320"/>
  <c r="H9" i="6320"/>
  <c r="C8" i="6320"/>
  <c r="O7" i="6320"/>
  <c r="C7" i="6320"/>
  <c r="O6" i="6320"/>
  <c r="H7" i="6320"/>
  <c r="B6" i="6320"/>
  <c r="O5" i="6320"/>
  <c r="H6" i="6320"/>
  <c r="B5" i="6320"/>
  <c r="O4" i="6320"/>
  <c r="H5" i="6320"/>
  <c r="O3" i="6320"/>
  <c r="H4" i="6320"/>
  <c r="O2" i="6320"/>
  <c r="H3" i="6320"/>
  <c r="O29" i="6316"/>
  <c r="O18" i="6318"/>
  <c r="O23" i="6309"/>
  <c r="O24" i="6304"/>
  <c r="O30" i="6319"/>
  <c r="O28" i="6319"/>
  <c r="O19" i="6318"/>
  <c r="O22" i="6316"/>
  <c r="C16" i="6320" l="1"/>
  <c r="H39" i="6320"/>
  <c r="C40" i="6320"/>
  <c r="H40" i="6320"/>
  <c r="H27" i="6320"/>
  <c r="C41" i="6320"/>
  <c r="H11" i="6320"/>
  <c r="C17" i="6320"/>
  <c r="H28" i="6320"/>
  <c r="H41" i="6320"/>
  <c r="H29" i="6320"/>
  <c r="C42" i="6320"/>
  <c r="H42" i="6320"/>
  <c r="H16" i="6320"/>
  <c r="B24" i="6320"/>
  <c r="C35" i="6320"/>
  <c r="C43" i="6320"/>
  <c r="H24" i="6320"/>
  <c r="H35" i="6320"/>
  <c r="C44" i="6320"/>
  <c r="H12" i="6320"/>
  <c r="B25" i="6320"/>
  <c r="C36" i="6320"/>
  <c r="C45" i="6320"/>
  <c r="H17" i="6320"/>
  <c r="H25" i="6320"/>
  <c r="H36" i="6320"/>
  <c r="C46" i="6320"/>
  <c r="H8" i="6320"/>
  <c r="C37" i="6320"/>
  <c r="O30" i="6309" l="1"/>
  <c r="O24" i="6319"/>
  <c r="O23" i="6319"/>
  <c r="O21" i="6305"/>
  <c r="O27" i="6319"/>
  <c r="O26" i="6319"/>
  <c r="O29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19" i="6308"/>
  <c r="O33" i="6312"/>
  <c r="O27" i="6312"/>
  <c r="O25" i="6307"/>
  <c r="O19" i="6307"/>
  <c r="O27" i="6304"/>
  <c r="C16" i="6319" l="1"/>
  <c r="H27" i="6319"/>
  <c r="H5" i="6319"/>
  <c r="H4" i="6319"/>
  <c r="H31" i="6319"/>
  <c r="H32" i="6319"/>
  <c r="H6" i="6319"/>
  <c r="H21" i="6319"/>
  <c r="H33" i="6319"/>
  <c r="C19" i="6319"/>
  <c r="H34" i="6319"/>
  <c r="H7" i="6319"/>
  <c r="H22" i="6319"/>
  <c r="H35" i="6319"/>
  <c r="H38" i="6319"/>
  <c r="H23" i="6319"/>
  <c r="C38" i="6319"/>
  <c r="C21" i="6319"/>
  <c r="H39" i="6319"/>
  <c r="H17" i="6319"/>
  <c r="H24" i="6319"/>
  <c r="C39" i="6319"/>
  <c r="H11" i="6319"/>
  <c r="C22" i="6319"/>
  <c r="H2" i="6319"/>
  <c r="H10" i="6319"/>
  <c r="H16" i="6319"/>
  <c r="C23" i="6319"/>
  <c r="C20" i="6319"/>
  <c r="H9" i="6319"/>
  <c r="H8" i="6319"/>
  <c r="H18" i="6319"/>
  <c r="H25" i="6319"/>
  <c r="H40" i="6319"/>
  <c r="C40" i="6319"/>
  <c r="H41" i="6319"/>
  <c r="H28" i="6319"/>
  <c r="C41" i="6319"/>
  <c r="H14" i="6319"/>
  <c r="C17" i="6319"/>
  <c r="H29" i="6319"/>
  <c r="H42" i="6319"/>
  <c r="H30" i="6319"/>
  <c r="C42" i="6319"/>
  <c r="H3" i="6319"/>
  <c r="H19" i="6319"/>
  <c r="B24" i="6319"/>
  <c r="C35" i="6319"/>
  <c r="C43" i="6319"/>
  <c r="H26" i="6319"/>
  <c r="H36" i="6319"/>
  <c r="C44" i="6319"/>
  <c r="H15" i="6319"/>
  <c r="B25" i="6319"/>
  <c r="C36" i="6319"/>
  <c r="C45" i="6319"/>
  <c r="H20" i="6319"/>
  <c r="H12" i="6319"/>
  <c r="H37" i="6319"/>
  <c r="C46" i="6319"/>
  <c r="H13" i="6319"/>
  <c r="C37" i="6319"/>
  <c r="O29" i="6318" l="1"/>
  <c r="O24" i="6316"/>
  <c r="O24" i="6307"/>
  <c r="O24" i="6308"/>
  <c r="O27" i="6309"/>
  <c r="O28" i="6316"/>
  <c r="O27" i="6318"/>
  <c r="O24" i="6318"/>
  <c r="O20" i="6310" l="1"/>
  <c r="O19" i="6310"/>
  <c r="O24" i="6309"/>
  <c r="O23" i="6316"/>
  <c r="O30" i="6316"/>
  <c r="O23" i="6306"/>
  <c r="O20" i="6308" l="1"/>
  <c r="O25" i="6318"/>
  <c r="O28" i="6318"/>
  <c r="O26" i="6318"/>
  <c r="C32" i="6318"/>
  <c r="B27" i="6318"/>
  <c r="C18" i="6318"/>
  <c r="B17" i="6318"/>
  <c r="C47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5" i="6305"/>
  <c r="O24" i="6312"/>
  <c r="O35" i="6304"/>
  <c r="H20" i="6318" l="1"/>
  <c r="H11" i="6318"/>
  <c r="H5" i="6318"/>
  <c r="C16" i="6318"/>
  <c r="H7" i="6318"/>
  <c r="H23" i="6318"/>
  <c r="H15" i="6318"/>
  <c r="C22" i="6318"/>
  <c r="H24" i="6318"/>
  <c r="C23" i="6318"/>
  <c r="H25" i="6318"/>
  <c r="H4" i="6318"/>
  <c r="H19" i="6318"/>
  <c r="H31" i="6318"/>
  <c r="H2" i="6318"/>
  <c r="H32" i="6318"/>
  <c r="H16" i="6318"/>
  <c r="H33" i="6318"/>
  <c r="H13" i="6318"/>
  <c r="H34" i="6318"/>
  <c r="C19" i="6318"/>
  <c r="H35" i="6318"/>
  <c r="H21" i="6318"/>
  <c r="H38" i="6318"/>
  <c r="H18" i="6318"/>
  <c r="C20" i="6318"/>
  <c r="C38" i="6318"/>
  <c r="H22" i="6318"/>
  <c r="H39" i="6318"/>
  <c r="C21" i="6318"/>
  <c r="C39" i="6318"/>
  <c r="H40" i="6318"/>
  <c r="H28" i="6318"/>
  <c r="C40" i="6318"/>
  <c r="H8" i="6318"/>
  <c r="H12" i="6318"/>
  <c r="H41" i="6318"/>
  <c r="H29" i="6318"/>
  <c r="C41" i="6318"/>
  <c r="C17" i="6318"/>
  <c r="H14" i="6318"/>
  <c r="H42" i="6318"/>
  <c r="H10" i="6318"/>
  <c r="H30" i="6318"/>
  <c r="C42" i="6318"/>
  <c r="H3" i="6318"/>
  <c r="B24" i="6318"/>
  <c r="C35" i="6318"/>
  <c r="C43" i="6318"/>
  <c r="H26" i="6318"/>
  <c r="H36" i="6318"/>
  <c r="C44" i="6318"/>
  <c r="H17" i="6318"/>
  <c r="B25" i="6318"/>
  <c r="C36" i="6318"/>
  <c r="C45" i="6318"/>
  <c r="H9" i="6318"/>
  <c r="H27" i="6318"/>
  <c r="H37" i="6318"/>
  <c r="C46" i="6318"/>
  <c r="H6" i="6318"/>
  <c r="C37" i="6318"/>
  <c r="O25" i="6306" l="1"/>
  <c r="O19" i="6306"/>
  <c r="O19" i="6312"/>
  <c r="O25" i="6316"/>
  <c r="O18" i="6317"/>
  <c r="O22" i="6317"/>
  <c r="O31" i="6312"/>
  <c r="O18" i="6308"/>
  <c r="O29" i="6309" l="1"/>
  <c r="O25" i="6308"/>
  <c r="O32" i="6316"/>
  <c r="O27" i="6316"/>
  <c r="O21" i="6316"/>
  <c r="O20" i="6307"/>
  <c r="O23" i="6307"/>
  <c r="O18" i="6305"/>
  <c r="O22" i="6305"/>
  <c r="O20" i="6304"/>
  <c r="O19" i="6317"/>
  <c r="O21" i="6317"/>
  <c r="O20" i="6317"/>
  <c r="C42" i="6317"/>
  <c r="H41" i="6317"/>
  <c r="C41" i="6317"/>
  <c r="H40" i="6317"/>
  <c r="C40" i="6317"/>
  <c r="H39" i="6317"/>
  <c r="C39" i="6317"/>
  <c r="H38" i="6317"/>
  <c r="C38" i="6317"/>
  <c r="H37" i="6317"/>
  <c r="H34" i="6317"/>
  <c r="H33" i="6317"/>
  <c r="H32" i="6317"/>
  <c r="C32" i="6317"/>
  <c r="H31" i="6317"/>
  <c r="H30" i="6317"/>
  <c r="H29" i="6317"/>
  <c r="H28" i="6317"/>
  <c r="H27" i="6317"/>
  <c r="B27" i="6317"/>
  <c r="H26" i="6317"/>
  <c r="H23" i="6317"/>
  <c r="C23" i="6317"/>
  <c r="H22" i="6317"/>
  <c r="C22" i="6317"/>
  <c r="H21" i="6317"/>
  <c r="C21" i="6317"/>
  <c r="H20" i="6317"/>
  <c r="C20" i="6317"/>
  <c r="H19" i="6317"/>
  <c r="C19" i="6317"/>
  <c r="H18" i="6317"/>
  <c r="C18" i="6317"/>
  <c r="C17" i="6317"/>
  <c r="B17" i="6317"/>
  <c r="C47" i="6317" s="1"/>
  <c r="C16" i="6317"/>
  <c r="B16" i="6317"/>
  <c r="B26" i="6317" s="1"/>
  <c r="O15" i="6317"/>
  <c r="H15" i="6317"/>
  <c r="C15" i="6317"/>
  <c r="B15" i="6317"/>
  <c r="O14" i="6317"/>
  <c r="H14" i="6317"/>
  <c r="C14" i="6317"/>
  <c r="O13" i="6317"/>
  <c r="H13" i="6317"/>
  <c r="C13" i="6317"/>
  <c r="O12" i="6317"/>
  <c r="C12" i="6317"/>
  <c r="H11" i="6317"/>
  <c r="C11" i="6317"/>
  <c r="B11" i="6317"/>
  <c r="H10" i="6317"/>
  <c r="C10" i="6317"/>
  <c r="O9" i="6317"/>
  <c r="H9" i="6317"/>
  <c r="C9" i="6317"/>
  <c r="O8" i="6317"/>
  <c r="H8" i="6317"/>
  <c r="C8" i="6317"/>
  <c r="O7" i="6317"/>
  <c r="C7" i="6317"/>
  <c r="O6" i="6317"/>
  <c r="B6" i="6317"/>
  <c r="O5" i="6317"/>
  <c r="H5" i="6317"/>
  <c r="B5" i="6317"/>
  <c r="O4" i="6317"/>
  <c r="H4" i="6317"/>
  <c r="O3" i="6317"/>
  <c r="H3" i="6317"/>
  <c r="O2" i="6317"/>
  <c r="H2" i="6317"/>
  <c r="H42" i="6317" l="1"/>
  <c r="C43" i="6317"/>
  <c r="H24" i="6317"/>
  <c r="H35" i="6317"/>
  <c r="C44" i="6317"/>
  <c r="B24" i="6317"/>
  <c r="H6" i="6317"/>
  <c r="H12" i="6317"/>
  <c r="B25" i="6317"/>
  <c r="C36" i="6317"/>
  <c r="C45" i="6317"/>
  <c r="H16" i="6317"/>
  <c r="H17" i="6317"/>
  <c r="H25" i="6317"/>
  <c r="H36" i="6317"/>
  <c r="C46" i="6317"/>
  <c r="C35" i="6317"/>
  <c r="H7" i="6317"/>
  <c r="C37" i="6317"/>
  <c r="O30" i="6312" l="1"/>
  <c r="O20" i="6312"/>
  <c r="O19" i="6316"/>
  <c r="O18" i="6316"/>
  <c r="O26" i="6316"/>
  <c r="C32" i="6316"/>
  <c r="B27" i="6316"/>
  <c r="C18" i="6316"/>
  <c r="B17" i="6316"/>
  <c r="C47" i="6316" s="1"/>
  <c r="B16" i="6316"/>
  <c r="B26" i="6316" s="1"/>
  <c r="O15" i="6316"/>
  <c r="H21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19" i="6313"/>
  <c r="O22" i="6313"/>
  <c r="O19" i="6304"/>
  <c r="O19" i="6315"/>
  <c r="O20" i="6315"/>
  <c r="O18" i="6315"/>
  <c r="H42" i="6315"/>
  <c r="C42" i="6315"/>
  <c r="H41" i="6315"/>
  <c r="C41" i="6315"/>
  <c r="H40" i="6315"/>
  <c r="C40" i="6315"/>
  <c r="H39" i="6315"/>
  <c r="C39" i="6315"/>
  <c r="H38" i="6315"/>
  <c r="C38" i="6315"/>
  <c r="H37" i="6315"/>
  <c r="C35" i="6315"/>
  <c r="H34" i="6315"/>
  <c r="H33" i="6315"/>
  <c r="H32" i="6315"/>
  <c r="C32" i="6315"/>
  <c r="H31" i="6315"/>
  <c r="H30" i="6315"/>
  <c r="H29" i="6315"/>
  <c r="H28" i="6315"/>
  <c r="H27" i="6315"/>
  <c r="B27" i="6315"/>
  <c r="H26" i="6315"/>
  <c r="B24" i="6315"/>
  <c r="H23" i="6315"/>
  <c r="C23" i="6315"/>
  <c r="H22" i="6315"/>
  <c r="C22" i="6315"/>
  <c r="H21" i="6315"/>
  <c r="C21" i="6315"/>
  <c r="H20" i="6315"/>
  <c r="C20" i="6315"/>
  <c r="H19" i="6315"/>
  <c r="C19" i="6315"/>
  <c r="H18" i="6315"/>
  <c r="C18" i="6315"/>
  <c r="C17" i="6315"/>
  <c r="B17" i="6315"/>
  <c r="C47" i="6315" s="1"/>
  <c r="H16" i="6315"/>
  <c r="C16" i="6315"/>
  <c r="B16" i="6315"/>
  <c r="B26" i="6315" s="1"/>
  <c r="O15" i="6315"/>
  <c r="H15" i="6315"/>
  <c r="C15" i="6315"/>
  <c r="B15" i="6315"/>
  <c r="O14" i="6315"/>
  <c r="H14" i="6315"/>
  <c r="C14" i="6315"/>
  <c r="O13" i="6315"/>
  <c r="H13" i="6315"/>
  <c r="C13" i="6315"/>
  <c r="O12" i="6315"/>
  <c r="C12" i="6315"/>
  <c r="H11" i="6315"/>
  <c r="C11" i="6315"/>
  <c r="B11" i="6315"/>
  <c r="H10" i="6315"/>
  <c r="C10" i="6315"/>
  <c r="O9" i="6315"/>
  <c r="H9" i="6315"/>
  <c r="C9" i="6315"/>
  <c r="O8" i="6315"/>
  <c r="H8" i="6315"/>
  <c r="C8" i="6315"/>
  <c r="O7" i="6315"/>
  <c r="C7" i="6315"/>
  <c r="O6" i="6315"/>
  <c r="H6" i="6315"/>
  <c r="B6" i="6315"/>
  <c r="O5" i="6315"/>
  <c r="H5" i="6315"/>
  <c r="B5" i="6315"/>
  <c r="O4" i="6315"/>
  <c r="H4" i="6315"/>
  <c r="O3" i="6315"/>
  <c r="H3" i="6315"/>
  <c r="O2" i="6315"/>
  <c r="H2" i="6315"/>
  <c r="O30" i="6304"/>
  <c r="O23" i="6310"/>
  <c r="O18" i="6310"/>
  <c r="O18" i="6307"/>
  <c r="O26" i="6307"/>
  <c r="O22" i="6307"/>
  <c r="O21" i="6314"/>
  <c r="O22" i="6314"/>
  <c r="O35" i="6309"/>
  <c r="H22" i="6316" l="1"/>
  <c r="H10" i="6316"/>
  <c r="H33" i="6316"/>
  <c r="H34" i="6316"/>
  <c r="H20" i="6316"/>
  <c r="H11" i="6316"/>
  <c r="C16" i="6316"/>
  <c r="H9" i="6316"/>
  <c r="B24" i="6316"/>
  <c r="H14" i="6316"/>
  <c r="H5" i="6316"/>
  <c r="H2" i="6316"/>
  <c r="H28" i="6316"/>
  <c r="C23" i="6316"/>
  <c r="H3" i="6316"/>
  <c r="H13" i="6316"/>
  <c r="H35" i="6316"/>
  <c r="H8" i="6316"/>
  <c r="C35" i="6316"/>
  <c r="H18" i="6316"/>
  <c r="C20" i="6316"/>
  <c r="H38" i="6316"/>
  <c r="H26" i="6316"/>
  <c r="C38" i="6316"/>
  <c r="H7" i="6316"/>
  <c r="C21" i="6316"/>
  <c r="H39" i="6316"/>
  <c r="H27" i="6316"/>
  <c r="C39" i="6316"/>
  <c r="C22" i="6316"/>
  <c r="H40" i="6316"/>
  <c r="C40" i="6316"/>
  <c r="H12" i="6316"/>
  <c r="C17" i="6316"/>
  <c r="H15" i="6316"/>
  <c r="H41" i="6316"/>
  <c r="H16" i="6316"/>
  <c r="C41" i="6316"/>
  <c r="H6" i="6316"/>
  <c r="H24" i="6316"/>
  <c r="H17" i="6316"/>
  <c r="H42" i="6316"/>
  <c r="H19" i="6316"/>
  <c r="C19" i="6316"/>
  <c r="H31" i="6316"/>
  <c r="C42" i="6316"/>
  <c r="H25" i="6316"/>
  <c r="H32" i="6316"/>
  <c r="H4" i="6316"/>
  <c r="C43" i="6316"/>
  <c r="H29" i="6316"/>
  <c r="H36" i="6316"/>
  <c r="C44" i="6316"/>
  <c r="B25" i="6316"/>
  <c r="C36" i="6316"/>
  <c r="C45" i="6316"/>
  <c r="H23" i="6316"/>
  <c r="H30" i="6316"/>
  <c r="H37" i="6316"/>
  <c r="C46" i="6316"/>
  <c r="C37" i="6316"/>
  <c r="C43" i="6315"/>
  <c r="H24" i="6315"/>
  <c r="H35" i="6315"/>
  <c r="C44" i="6315"/>
  <c r="H12" i="6315"/>
  <c r="B25" i="6315"/>
  <c r="C36" i="6315"/>
  <c r="C45" i="6315"/>
  <c r="H17" i="6315"/>
  <c r="H25" i="6315"/>
  <c r="H36" i="6315"/>
  <c r="C46" i="6315"/>
  <c r="H7" i="6315"/>
  <c r="C37" i="6315"/>
  <c r="O24" i="6305" l="1"/>
  <c r="O29" i="6305"/>
  <c r="O28" i="6306"/>
  <c r="O29" i="6306"/>
  <c r="O32" i="6309"/>
  <c r="O31" i="6309"/>
  <c r="O26" i="6309"/>
  <c r="O33" i="6304"/>
  <c r="O19" i="6314"/>
  <c r="O18" i="6314"/>
  <c r="O20" i="6314"/>
  <c r="C32" i="6314"/>
  <c r="B27" i="6314"/>
  <c r="C18" i="6314"/>
  <c r="B17" i="6314"/>
  <c r="C47" i="6314" s="1"/>
  <c r="B16" i="6314"/>
  <c r="B26" i="6314" s="1"/>
  <c r="O15" i="6314"/>
  <c r="H17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H12" i="6314"/>
  <c r="C8" i="6314"/>
  <c r="O7" i="6314"/>
  <c r="C7" i="6314"/>
  <c r="O6" i="6314"/>
  <c r="B6" i="6314"/>
  <c r="O5" i="6314"/>
  <c r="B5" i="6314"/>
  <c r="O4" i="6314"/>
  <c r="O3" i="6314"/>
  <c r="H11" i="6314"/>
  <c r="O2" i="6314"/>
  <c r="O26" i="6306"/>
  <c r="O27" i="6306"/>
  <c r="O23" i="6312"/>
  <c r="O28" i="6312"/>
  <c r="O25" i="6312"/>
  <c r="O18" i="6313"/>
  <c r="O20" i="6313"/>
  <c r="O21" i="6313"/>
  <c r="C32" i="6313"/>
  <c r="B27" i="6313"/>
  <c r="H27" i="6313"/>
  <c r="B24" i="6313"/>
  <c r="H24" i="6313"/>
  <c r="C23" i="6313"/>
  <c r="C18" i="6313"/>
  <c r="B17" i="6313"/>
  <c r="C47" i="6313" s="1"/>
  <c r="H17" i="6313"/>
  <c r="C16" i="6313"/>
  <c r="B16" i="6313"/>
  <c r="B26" i="6313" s="1"/>
  <c r="O15" i="6313"/>
  <c r="H16" i="6313"/>
  <c r="B15" i="6313"/>
  <c r="C15" i="6313" s="1"/>
  <c r="O14" i="6313"/>
  <c r="C14" i="6313"/>
  <c r="O13" i="6313"/>
  <c r="C13" i="6313"/>
  <c r="O12" i="6313"/>
  <c r="C12" i="6313"/>
  <c r="B11" i="6313"/>
  <c r="C11" i="6313" s="1"/>
  <c r="H8" i="6313"/>
  <c r="C10" i="6313"/>
  <c r="O9" i="6313"/>
  <c r="H11" i="6313"/>
  <c r="C9" i="6313"/>
  <c r="O8" i="6313"/>
  <c r="C8" i="6313"/>
  <c r="O7" i="6313"/>
  <c r="C7" i="6313"/>
  <c r="O6" i="6313"/>
  <c r="B6" i="6313"/>
  <c r="O5" i="6313"/>
  <c r="H5" i="6313"/>
  <c r="B5" i="6313"/>
  <c r="O4" i="6313"/>
  <c r="H2" i="6313"/>
  <c r="O3" i="6313"/>
  <c r="O2" i="6313"/>
  <c r="H3" i="6313"/>
  <c r="O27" i="6305"/>
  <c r="O28" i="6305"/>
  <c r="O31" i="6304"/>
  <c r="H4" i="6313" l="1"/>
  <c r="H23" i="6313"/>
  <c r="H7" i="6314"/>
  <c r="H2" i="6314"/>
  <c r="C16" i="6314"/>
  <c r="H8" i="6314"/>
  <c r="H22" i="6314"/>
  <c r="C22" i="6314"/>
  <c r="H23" i="6314"/>
  <c r="C23" i="6314"/>
  <c r="H24" i="6314"/>
  <c r="H3" i="6314"/>
  <c r="H31" i="6314"/>
  <c r="H16" i="6314"/>
  <c r="H32" i="6314"/>
  <c r="H13" i="6314"/>
  <c r="H33" i="6314"/>
  <c r="H20" i="6314"/>
  <c r="H34" i="6314"/>
  <c r="C19" i="6314"/>
  <c r="H35" i="6314"/>
  <c r="H21" i="6314"/>
  <c r="H38" i="6314"/>
  <c r="H15" i="6314"/>
  <c r="C20" i="6314"/>
  <c r="C38" i="6314"/>
  <c r="H9" i="6314"/>
  <c r="H39" i="6314"/>
  <c r="C21" i="6314"/>
  <c r="C39" i="6314"/>
  <c r="H40" i="6314"/>
  <c r="H27" i="6314"/>
  <c r="C40" i="6314"/>
  <c r="H4" i="6314"/>
  <c r="H18" i="6314"/>
  <c r="H41" i="6314"/>
  <c r="H28" i="6314"/>
  <c r="C41" i="6314"/>
  <c r="C17" i="6314"/>
  <c r="H29" i="6314"/>
  <c r="H42" i="6314"/>
  <c r="H5" i="6314"/>
  <c r="H30" i="6314"/>
  <c r="C42" i="6314"/>
  <c r="H10" i="6314"/>
  <c r="B24" i="6314"/>
  <c r="C35" i="6314"/>
  <c r="C43" i="6314"/>
  <c r="H25" i="6314"/>
  <c r="H36" i="6314"/>
  <c r="C44" i="6314"/>
  <c r="H14" i="6314"/>
  <c r="B25" i="6314"/>
  <c r="C36" i="6314"/>
  <c r="C45" i="6314"/>
  <c r="H19" i="6314"/>
  <c r="H26" i="6314"/>
  <c r="H37" i="6314"/>
  <c r="C46" i="6314"/>
  <c r="H6" i="6314"/>
  <c r="C37" i="6314"/>
  <c r="H31" i="6313"/>
  <c r="H32" i="6313"/>
  <c r="H12" i="6313"/>
  <c r="C19" i="6313"/>
  <c r="H33" i="6313"/>
  <c r="H20" i="6313"/>
  <c r="H34" i="6313"/>
  <c r="C20" i="6313"/>
  <c r="H35" i="6313"/>
  <c r="H6" i="6313"/>
  <c r="H14" i="6313"/>
  <c r="H21" i="6313"/>
  <c r="H38" i="6313"/>
  <c r="C21" i="6313"/>
  <c r="C38" i="6313"/>
  <c r="H22" i="6313"/>
  <c r="H39" i="6313"/>
  <c r="H10" i="6313"/>
  <c r="H15" i="6313"/>
  <c r="C22" i="6313"/>
  <c r="C39" i="6313"/>
  <c r="H40" i="6313"/>
  <c r="C40" i="6313"/>
  <c r="H41" i="6313"/>
  <c r="H13" i="6313"/>
  <c r="C17" i="6313"/>
  <c r="H28" i="6313"/>
  <c r="C41" i="6313"/>
  <c r="H29" i="6313"/>
  <c r="H42" i="6313"/>
  <c r="H7" i="6313"/>
  <c r="H19" i="6313"/>
  <c r="H30" i="6313"/>
  <c r="C42" i="6313"/>
  <c r="H9" i="6313"/>
  <c r="C35" i="6313"/>
  <c r="C43" i="6313"/>
  <c r="H25" i="6313"/>
  <c r="H36" i="6313"/>
  <c r="C44" i="6313"/>
  <c r="B25" i="6313"/>
  <c r="C36" i="6313"/>
  <c r="C45" i="6313"/>
  <c r="H18" i="6313"/>
  <c r="H26" i="6313"/>
  <c r="H37" i="6313"/>
  <c r="C46" i="6313"/>
  <c r="C37" i="6313"/>
  <c r="O22" i="6312" l="1"/>
  <c r="O18" i="6312"/>
  <c r="O29" i="6312"/>
  <c r="C32" i="6312"/>
  <c r="B27" i="6312"/>
  <c r="C18" i="6312"/>
  <c r="B17" i="6312"/>
  <c r="C47" i="6312" s="1"/>
  <c r="B16" i="6312"/>
  <c r="B26" i="6312" s="1"/>
  <c r="O15" i="6312"/>
  <c r="H21" i="6312"/>
  <c r="B15" i="6312"/>
  <c r="C15" i="6312" s="1"/>
  <c r="O14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18" i="6311"/>
  <c r="O19" i="6311"/>
  <c r="O20" i="6311"/>
  <c r="C32" i="6311"/>
  <c r="B27" i="6311"/>
  <c r="H27" i="6311"/>
  <c r="H24" i="6311"/>
  <c r="C23" i="6311"/>
  <c r="H23" i="6311"/>
  <c r="C22" i="6311"/>
  <c r="C18" i="6311"/>
  <c r="B17" i="6311"/>
  <c r="C47" i="6311" s="1"/>
  <c r="C16" i="6311"/>
  <c r="B16" i="6311"/>
  <c r="B26" i="6311" s="1"/>
  <c r="O15" i="6311"/>
  <c r="H16" i="6311"/>
  <c r="C15" i="6311"/>
  <c r="B15" i="6311"/>
  <c r="O14" i="6311"/>
  <c r="C14" i="6311"/>
  <c r="O13" i="6311"/>
  <c r="C13" i="6311"/>
  <c r="O12" i="6311"/>
  <c r="C12" i="6311"/>
  <c r="B11" i="6311"/>
  <c r="C11" i="6311" s="1"/>
  <c r="H11" i="6311"/>
  <c r="C10" i="6311"/>
  <c r="O9" i="6311"/>
  <c r="H10" i="6311"/>
  <c r="C9" i="6311"/>
  <c r="O8" i="6311"/>
  <c r="C8" i="6311"/>
  <c r="O7" i="6311"/>
  <c r="C7" i="6311"/>
  <c r="O6" i="6311"/>
  <c r="B6" i="6311"/>
  <c r="O5" i="6311"/>
  <c r="B5" i="6311"/>
  <c r="O4" i="6311"/>
  <c r="H5" i="6311"/>
  <c r="O3" i="6311"/>
  <c r="H8" i="6311"/>
  <c r="O2" i="6311"/>
  <c r="H4" i="6311"/>
  <c r="O21" i="6310"/>
  <c r="O24" i="6310"/>
  <c r="O22" i="6310"/>
  <c r="C43" i="6310"/>
  <c r="C32" i="6310"/>
  <c r="B27" i="6310"/>
  <c r="C18" i="6310"/>
  <c r="B17" i="6310"/>
  <c r="C47" i="6310" s="1"/>
  <c r="B16" i="6310"/>
  <c r="B26" i="6310" s="1"/>
  <c r="O15" i="6310"/>
  <c r="B15" i="6310"/>
  <c r="C15" i="6310" s="1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8" i="6304"/>
  <c r="O33" i="6309"/>
  <c r="O34" i="6309"/>
  <c r="O22" i="6309"/>
  <c r="C32" i="6309"/>
  <c r="B27" i="6309"/>
  <c r="C18" i="6309"/>
  <c r="B17" i="6309"/>
  <c r="C47" i="6309" s="1"/>
  <c r="B16" i="6309"/>
  <c r="B2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H4" i="6309"/>
  <c r="O36" i="6304"/>
  <c r="O37" i="6304"/>
  <c r="O23" i="6304"/>
  <c r="C16" i="6309" l="1"/>
  <c r="H14" i="6309"/>
  <c r="H9" i="6309"/>
  <c r="H5" i="6309"/>
  <c r="C23" i="6309"/>
  <c r="H10" i="6309"/>
  <c r="H2" i="6309"/>
  <c r="H31" i="6309"/>
  <c r="H28" i="6309"/>
  <c r="C22" i="6309"/>
  <c r="H15" i="6309"/>
  <c r="H25" i="6309"/>
  <c r="B24" i="6309"/>
  <c r="H19" i="6309"/>
  <c r="C39" i="6309"/>
  <c r="H2" i="6310"/>
  <c r="H18" i="6310"/>
  <c r="H23" i="6310"/>
  <c r="H12" i="6310"/>
  <c r="H9" i="6310"/>
  <c r="H24" i="6310"/>
  <c r="H16" i="6310"/>
  <c r="B24" i="6310"/>
  <c r="C22" i="6310"/>
  <c r="H33" i="6310"/>
  <c r="H22" i="6310"/>
  <c r="C23" i="6310"/>
  <c r="H27" i="6310"/>
  <c r="H7" i="6310"/>
  <c r="H17" i="6310"/>
  <c r="H34" i="6310"/>
  <c r="H35" i="6310"/>
  <c r="C35" i="6310"/>
  <c r="C20" i="6310"/>
  <c r="H38" i="6310"/>
  <c r="H5" i="6310"/>
  <c r="H4" i="6310"/>
  <c r="H21" i="6310"/>
  <c r="C38" i="6310"/>
  <c r="H10" i="6310"/>
  <c r="C21" i="6310"/>
  <c r="H39" i="6310"/>
  <c r="C16" i="6310"/>
  <c r="C39" i="6310"/>
  <c r="H40" i="6310"/>
  <c r="C40" i="6310"/>
  <c r="H28" i="6310"/>
  <c r="H41" i="6310"/>
  <c r="H3" i="6310"/>
  <c r="H29" i="6310"/>
  <c r="C41" i="6310"/>
  <c r="C17" i="6310"/>
  <c r="H19" i="6310"/>
  <c r="H30" i="6310"/>
  <c r="H42" i="6310"/>
  <c r="H13" i="6310"/>
  <c r="C19" i="6310"/>
  <c r="H31" i="6310"/>
  <c r="C42" i="6310"/>
  <c r="H15" i="6310"/>
  <c r="H20" i="6310"/>
  <c r="H32" i="6310"/>
  <c r="H6" i="6310"/>
  <c r="H33" i="6309"/>
  <c r="H16" i="6309"/>
  <c r="H34" i="6309"/>
  <c r="C20" i="6309"/>
  <c r="H35" i="6309"/>
  <c r="H7" i="6309"/>
  <c r="H22" i="6309"/>
  <c r="H23" i="6309"/>
  <c r="H38" i="6309"/>
  <c r="H17" i="6309"/>
  <c r="C21" i="6309"/>
  <c r="C38" i="6309"/>
  <c r="H32" i="6309"/>
  <c r="C19" i="6309"/>
  <c r="H11" i="6309"/>
  <c r="H18" i="6309"/>
  <c r="H24" i="6309"/>
  <c r="H39" i="6309"/>
  <c r="C16" i="6312"/>
  <c r="H8" i="6312"/>
  <c r="H3" i="6312"/>
  <c r="H12" i="6312"/>
  <c r="C23" i="6312"/>
  <c r="H9" i="6312"/>
  <c r="H28" i="6312"/>
  <c r="H2" i="6312"/>
  <c r="H30" i="6312"/>
  <c r="H31" i="6312"/>
  <c r="H32" i="6312"/>
  <c r="H5" i="6312"/>
  <c r="H11" i="6312"/>
  <c r="H33" i="6312"/>
  <c r="C19" i="6312"/>
  <c r="H34" i="6312"/>
  <c r="H7" i="6312"/>
  <c r="H19" i="6312"/>
  <c r="H23" i="6312"/>
  <c r="H38" i="6312"/>
  <c r="C17" i="6312"/>
  <c r="C20" i="6312"/>
  <c r="C38" i="6312"/>
  <c r="H15" i="6312"/>
  <c r="H39" i="6312"/>
  <c r="H20" i="6312"/>
  <c r="C21" i="6312"/>
  <c r="C39" i="6312"/>
  <c r="H24" i="6312"/>
  <c r="H40" i="6312"/>
  <c r="H13" i="6312"/>
  <c r="C22" i="6312"/>
  <c r="C40" i="6312"/>
  <c r="H41" i="6312"/>
  <c r="C41" i="6312"/>
  <c r="H6" i="6312"/>
  <c r="H29" i="6312"/>
  <c r="H42" i="6312"/>
  <c r="H16" i="6312"/>
  <c r="C42" i="6312"/>
  <c r="H25" i="6312"/>
  <c r="H35" i="6312"/>
  <c r="H4" i="6312"/>
  <c r="H17" i="6312"/>
  <c r="H22" i="6312"/>
  <c r="B24" i="6312"/>
  <c r="C35" i="6312"/>
  <c r="C43" i="6312"/>
  <c r="H26" i="6312"/>
  <c r="H36" i="6312"/>
  <c r="C44" i="6312"/>
  <c r="H18" i="6312"/>
  <c r="B25" i="6312"/>
  <c r="C36" i="6312"/>
  <c r="C45" i="6312"/>
  <c r="H14" i="6312"/>
  <c r="H27" i="6312"/>
  <c r="H37" i="6312"/>
  <c r="C46" i="6312"/>
  <c r="H10" i="6312"/>
  <c r="C37" i="6312"/>
  <c r="H32" i="6311"/>
  <c r="H17" i="6311"/>
  <c r="H33" i="6311"/>
  <c r="H34" i="6311"/>
  <c r="C19" i="6311"/>
  <c r="H35" i="6311"/>
  <c r="H20" i="6311"/>
  <c r="H38" i="6311"/>
  <c r="H14" i="6311"/>
  <c r="C20" i="6311"/>
  <c r="C38" i="6311"/>
  <c r="H3" i="6311"/>
  <c r="H21" i="6311"/>
  <c r="H39" i="6311"/>
  <c r="H12" i="6311"/>
  <c r="C21" i="6311"/>
  <c r="C39" i="6311"/>
  <c r="H9" i="6311"/>
  <c r="H15" i="6311"/>
  <c r="H22" i="6311"/>
  <c r="H40" i="6311"/>
  <c r="C40" i="6311"/>
  <c r="H41" i="6311"/>
  <c r="H28" i="6311"/>
  <c r="C41" i="6311"/>
  <c r="C17" i="6311"/>
  <c r="H29" i="6311"/>
  <c r="H42" i="6311"/>
  <c r="H6" i="6311"/>
  <c r="H30" i="6311"/>
  <c r="C42" i="6311"/>
  <c r="H19" i="6311"/>
  <c r="H31" i="6311"/>
  <c r="H2" i="6311"/>
  <c r="B24" i="6311"/>
  <c r="C35" i="6311"/>
  <c r="C43" i="6311"/>
  <c r="H25" i="6311"/>
  <c r="H36" i="6311"/>
  <c r="C44" i="6311"/>
  <c r="H13" i="6311"/>
  <c r="B25" i="6311"/>
  <c r="C36" i="6311"/>
  <c r="C45" i="6311"/>
  <c r="H18" i="6311"/>
  <c r="H26" i="6311"/>
  <c r="H37" i="6311"/>
  <c r="C46" i="6311"/>
  <c r="H7" i="6311"/>
  <c r="C37" i="6311"/>
  <c r="H25" i="6310"/>
  <c r="H36" i="6310"/>
  <c r="C44" i="6310"/>
  <c r="H14" i="6310"/>
  <c r="B25" i="6310"/>
  <c r="C36" i="6310"/>
  <c r="C45" i="6310"/>
  <c r="H8" i="6310"/>
  <c r="H26" i="6310"/>
  <c r="H37" i="6310"/>
  <c r="C46" i="6310"/>
  <c r="H11" i="6310"/>
  <c r="C37" i="6310"/>
  <c r="H40" i="6309"/>
  <c r="C40" i="6309"/>
  <c r="H41" i="6309"/>
  <c r="C17" i="6309"/>
  <c r="H29" i="6309"/>
  <c r="C41" i="6309"/>
  <c r="H8" i="6309"/>
  <c r="H12" i="6309"/>
  <c r="H42" i="6309"/>
  <c r="H21" i="6309"/>
  <c r="H30" i="6309"/>
  <c r="C42" i="6309"/>
  <c r="H3" i="6309"/>
  <c r="C35" i="6309"/>
  <c r="C43" i="6309"/>
  <c r="H26" i="6309"/>
  <c r="H36" i="6309"/>
  <c r="C44" i="6309"/>
  <c r="H13" i="6309"/>
  <c r="B25" i="6309"/>
  <c r="C36" i="6309"/>
  <c r="C45" i="6309"/>
  <c r="H20" i="6309"/>
  <c r="H27" i="6309"/>
  <c r="H37" i="6309"/>
  <c r="C46" i="6309"/>
  <c r="H6" i="6309"/>
  <c r="C37" i="6309"/>
  <c r="O26" i="6308" l="1"/>
  <c r="O23" i="6308"/>
  <c r="O21" i="6308"/>
  <c r="C32" i="6308"/>
  <c r="B27" i="6308"/>
  <c r="C18" i="6308"/>
  <c r="B17" i="6308"/>
  <c r="C47" i="6308" s="1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30" i="6307"/>
  <c r="O29" i="6307"/>
  <c r="O27" i="6307"/>
  <c r="C32" i="6307"/>
  <c r="B27" i="6307"/>
  <c r="C18" i="6307"/>
  <c r="B17" i="6307"/>
  <c r="C47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22" i="6306"/>
  <c r="O20" i="6306"/>
  <c r="O18" i="6306"/>
  <c r="C32" i="6306"/>
  <c r="B27" i="6306"/>
  <c r="C18" i="6306"/>
  <c r="B17" i="6306"/>
  <c r="C47" i="6306" s="1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2" i="6304"/>
  <c r="O23" i="6305"/>
  <c r="O19" i="6305"/>
  <c r="O26" i="6305"/>
  <c r="C32" i="6305"/>
  <c r="B27" i="6305"/>
  <c r="C18" i="6305"/>
  <c r="B17" i="6305"/>
  <c r="C47" i="6305" s="1"/>
  <c r="B16" i="6305"/>
  <c r="B26" i="6305" s="1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34" i="6304"/>
  <c r="O39" i="6304"/>
  <c r="O29" i="6304"/>
  <c r="C32" i="6304"/>
  <c r="B27" i="6304"/>
  <c r="C18" i="6304"/>
  <c r="B17" i="6304"/>
  <c r="C47" i="6304" s="1"/>
  <c r="B16" i="6304"/>
  <c r="B26" i="6304" s="1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21" i="6305" l="1"/>
  <c r="H20" i="6306"/>
  <c r="H21" i="6308"/>
  <c r="C16" i="6306"/>
  <c r="H11" i="6306"/>
  <c r="C16" i="6308"/>
  <c r="H11" i="6308"/>
  <c r="H2" i="6308"/>
  <c r="H4" i="6308"/>
  <c r="B24" i="6308"/>
  <c r="H27" i="6308"/>
  <c r="H19" i="6308"/>
  <c r="H13" i="6308"/>
  <c r="H15" i="6308"/>
  <c r="H33" i="6308"/>
  <c r="H34" i="6308"/>
  <c r="C22" i="6308"/>
  <c r="C23" i="6308"/>
  <c r="H20" i="6308"/>
  <c r="H8" i="6308"/>
  <c r="H9" i="6308"/>
  <c r="H3" i="6308"/>
  <c r="C16" i="6307"/>
  <c r="C16" i="6305"/>
  <c r="H8" i="6305"/>
  <c r="C38" i="6305"/>
  <c r="H39" i="6305"/>
  <c r="H12" i="6305"/>
  <c r="C39" i="6305"/>
  <c r="H3" i="6305"/>
  <c r="H32" i="6307"/>
  <c r="H20" i="6307"/>
  <c r="H3" i="6307"/>
  <c r="H27" i="6307"/>
  <c r="H5" i="6307"/>
  <c r="H33" i="6307"/>
  <c r="H34" i="6307"/>
  <c r="H9" i="6307"/>
  <c r="H35" i="6307"/>
  <c r="C20" i="6307"/>
  <c r="C35" i="6307"/>
  <c r="H38" i="6307"/>
  <c r="C21" i="6307"/>
  <c r="C38" i="6307"/>
  <c r="H6" i="6307"/>
  <c r="H24" i="6307"/>
  <c r="H39" i="6307"/>
  <c r="H23" i="6307"/>
  <c r="H18" i="6307"/>
  <c r="C22" i="6307"/>
  <c r="H15" i="6307"/>
  <c r="H10" i="6307"/>
  <c r="H13" i="6307"/>
  <c r="H2" i="6307"/>
  <c r="C23" i="6307"/>
  <c r="H22" i="6307"/>
  <c r="H25" i="6307"/>
  <c r="H8" i="6307"/>
  <c r="H11" i="6307"/>
  <c r="H19" i="6307"/>
  <c r="B24" i="6307"/>
  <c r="C22" i="6305"/>
  <c r="C21" i="6305"/>
  <c r="H24" i="6305"/>
  <c r="B24" i="6305"/>
  <c r="H28" i="6305"/>
  <c r="H19" i="6305"/>
  <c r="H5" i="6305"/>
  <c r="H2" i="6305"/>
  <c r="H25" i="6305"/>
  <c r="H10" i="6305"/>
  <c r="H31" i="6305"/>
  <c r="H11" i="6305"/>
  <c r="C23" i="6305"/>
  <c r="H20" i="6305"/>
  <c r="H32" i="6305"/>
  <c r="H6" i="6305"/>
  <c r="H33" i="6305"/>
  <c r="H22" i="6305"/>
  <c r="H34" i="6305"/>
  <c r="H18" i="6305"/>
  <c r="C20" i="6305"/>
  <c r="H35" i="6305"/>
  <c r="H16" i="6305"/>
  <c r="C19" i="6305"/>
  <c r="H23" i="6305"/>
  <c r="H38" i="6305"/>
  <c r="H5" i="6306"/>
  <c r="H4" i="6306"/>
  <c r="H14" i="6306"/>
  <c r="H19" i="6306"/>
  <c r="C16" i="6304"/>
  <c r="H35" i="6308"/>
  <c r="C35" i="6308"/>
  <c r="H10" i="6308"/>
  <c r="H16" i="6308"/>
  <c r="C20" i="6308"/>
  <c r="H38" i="6308"/>
  <c r="H24" i="6308"/>
  <c r="C38" i="6308"/>
  <c r="C21" i="6308"/>
  <c r="H39" i="6308"/>
  <c r="H25" i="6308"/>
  <c r="C39" i="6308"/>
  <c r="H40" i="6308"/>
  <c r="C40" i="6308"/>
  <c r="C17" i="6308"/>
  <c r="H28" i="6308"/>
  <c r="H41" i="6308"/>
  <c r="H5" i="6308"/>
  <c r="H29" i="6308"/>
  <c r="C41" i="6308"/>
  <c r="H22" i="6308"/>
  <c r="H30" i="6308"/>
  <c r="H42" i="6308"/>
  <c r="H18" i="6308"/>
  <c r="C19" i="6308"/>
  <c r="H31" i="6308"/>
  <c r="C42" i="6308"/>
  <c r="H23" i="6308"/>
  <c r="H32" i="6308"/>
  <c r="H7" i="6308"/>
  <c r="C43" i="6308"/>
  <c r="H26" i="6308"/>
  <c r="H36" i="6308"/>
  <c r="C44" i="6308"/>
  <c r="H17" i="6308"/>
  <c r="B25" i="6308"/>
  <c r="C36" i="6308"/>
  <c r="C45" i="6308"/>
  <c r="H12" i="6308"/>
  <c r="H14" i="6308"/>
  <c r="H37" i="6308"/>
  <c r="C46" i="6308"/>
  <c r="H6" i="6308"/>
  <c r="C37" i="6308"/>
  <c r="C39" i="6307"/>
  <c r="H40" i="6307"/>
  <c r="C40" i="6307"/>
  <c r="C17" i="6307"/>
  <c r="H28" i="6307"/>
  <c r="H41" i="6307"/>
  <c r="H29" i="6307"/>
  <c r="C41" i="6307"/>
  <c r="H7" i="6307"/>
  <c r="H12" i="6307"/>
  <c r="H30" i="6307"/>
  <c r="H42" i="6307"/>
  <c r="H16" i="6307"/>
  <c r="H17" i="6307"/>
  <c r="C19" i="6307"/>
  <c r="H31" i="6307"/>
  <c r="C42" i="6307"/>
  <c r="H4" i="6307"/>
  <c r="C43" i="6307"/>
  <c r="H26" i="6307"/>
  <c r="H36" i="6307"/>
  <c r="C44" i="6307"/>
  <c r="B25" i="6307"/>
  <c r="C36" i="6307"/>
  <c r="C45" i="6307"/>
  <c r="H21" i="6307"/>
  <c r="H14" i="6307"/>
  <c r="H37" i="6307"/>
  <c r="C46" i="6307"/>
  <c r="C37" i="6307"/>
  <c r="H26" i="6306"/>
  <c r="B24" i="6306"/>
  <c r="H13" i="6306"/>
  <c r="H3" i="6306"/>
  <c r="H18" i="6306"/>
  <c r="H25" i="6306"/>
  <c r="C22" i="6306"/>
  <c r="C23" i="6306"/>
  <c r="H10" i="6306"/>
  <c r="H33" i="6306"/>
  <c r="H34" i="6306"/>
  <c r="H35" i="6306"/>
  <c r="C35" i="6306"/>
  <c r="H38" i="6306"/>
  <c r="H23" i="6306"/>
  <c r="C38" i="6306"/>
  <c r="H6" i="6306"/>
  <c r="C21" i="6306"/>
  <c r="H39" i="6306"/>
  <c r="H15" i="6306"/>
  <c r="C20" i="6306"/>
  <c r="H24" i="6306"/>
  <c r="C39" i="6306"/>
  <c r="H40" i="6306"/>
  <c r="C40" i="6306"/>
  <c r="H28" i="6306"/>
  <c r="H41" i="6306"/>
  <c r="H7" i="6306"/>
  <c r="H29" i="6306"/>
  <c r="C41" i="6306"/>
  <c r="H12" i="6306"/>
  <c r="H30" i="6306"/>
  <c r="H42" i="6306"/>
  <c r="H17" i="6306"/>
  <c r="C19" i="6306"/>
  <c r="H31" i="6306"/>
  <c r="C42" i="6306"/>
  <c r="C17" i="6306"/>
  <c r="H22" i="6306"/>
  <c r="H32" i="6306"/>
  <c r="H2" i="6306"/>
  <c r="C43" i="6306"/>
  <c r="H27" i="6306"/>
  <c r="H36" i="6306"/>
  <c r="C44" i="6306"/>
  <c r="H16" i="6306"/>
  <c r="B25" i="6306"/>
  <c r="C36" i="6306"/>
  <c r="C45" i="6306"/>
  <c r="H21" i="6306"/>
  <c r="H9" i="6306"/>
  <c r="H37" i="6306"/>
  <c r="C46" i="6306"/>
  <c r="H8" i="6306"/>
  <c r="C37" i="6306"/>
  <c r="H7" i="6304"/>
  <c r="C19" i="6304"/>
  <c r="H34" i="6304"/>
  <c r="C21" i="6304"/>
  <c r="H26" i="6304"/>
  <c r="H25" i="6304"/>
  <c r="H19" i="6304"/>
  <c r="H40" i="6304"/>
  <c r="H23" i="6304"/>
  <c r="H29" i="6304"/>
  <c r="H35" i="6304"/>
  <c r="H27" i="6304"/>
  <c r="C23" i="6304"/>
  <c r="H18" i="6304"/>
  <c r="C20" i="6304"/>
  <c r="H38" i="6304"/>
  <c r="C38" i="6304"/>
  <c r="H30" i="6304"/>
  <c r="H20" i="6304"/>
  <c r="H11" i="6304"/>
  <c r="H4" i="6304"/>
  <c r="B24" i="6304"/>
  <c r="H32" i="6304"/>
  <c r="H6" i="6304"/>
  <c r="H39" i="6304"/>
  <c r="C22" i="6304"/>
  <c r="H12" i="6304"/>
  <c r="H9" i="6304"/>
  <c r="H5" i="6304"/>
  <c r="H33" i="6304"/>
  <c r="C39" i="6304"/>
  <c r="H10" i="6304"/>
  <c r="H28" i="6304"/>
  <c r="H2" i="6304"/>
  <c r="H21" i="6304"/>
  <c r="H40" i="6305"/>
  <c r="C40" i="6305"/>
  <c r="H41" i="6305"/>
  <c r="C17" i="6305"/>
  <c r="H29" i="6305"/>
  <c r="C41" i="6305"/>
  <c r="H9" i="6305"/>
  <c r="H30" i="6305"/>
  <c r="H42" i="6305"/>
  <c r="H14" i="6305"/>
  <c r="H15" i="6305"/>
  <c r="C42" i="6305"/>
  <c r="H4" i="6305"/>
  <c r="C35" i="6305"/>
  <c r="C43" i="6305"/>
  <c r="H26" i="6305"/>
  <c r="H36" i="6305"/>
  <c r="C44" i="6305"/>
  <c r="H17" i="6305"/>
  <c r="B25" i="6305"/>
  <c r="C36" i="6305"/>
  <c r="C45" i="6305"/>
  <c r="H13" i="6305"/>
  <c r="H27" i="6305"/>
  <c r="H37" i="6305"/>
  <c r="C46" i="6305"/>
  <c r="H7" i="6305"/>
  <c r="C37" i="6305"/>
  <c r="C40" i="6304"/>
  <c r="H41" i="6304"/>
  <c r="H24" i="6304"/>
  <c r="C41" i="6304"/>
  <c r="H8" i="6304"/>
  <c r="H14" i="6304"/>
  <c r="H42" i="6304"/>
  <c r="C17" i="6304"/>
  <c r="H13" i="6304"/>
  <c r="H22" i="6304"/>
  <c r="C42" i="6304"/>
  <c r="H3" i="6304"/>
  <c r="C35" i="6304"/>
  <c r="C43" i="6304"/>
  <c r="H31" i="6304"/>
  <c r="H36" i="6304"/>
  <c r="C44" i="6304"/>
  <c r="H17" i="6304"/>
  <c r="B25" i="6304"/>
  <c r="C36" i="6304"/>
  <c r="C45" i="6304"/>
  <c r="H15" i="6304"/>
  <c r="H16" i="6304"/>
  <c r="H37" i="6304"/>
  <c r="C46" i="6304"/>
  <c r="C37" i="6304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<sst xmlns="http://schemas.openxmlformats.org/spreadsheetml/2006/main" count="4778" uniqueCount="221">
  <si>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</si>
  <si>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</si>
  <si>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</si>
  <si>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</si>
  <si>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</si>
  <si>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</si>
  <si>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</si>
  <si>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</si>
  <si>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</si>
  <si>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</si>
  <si>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</si>
  <si>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</si>
  <si>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</si>
  <si>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</si>
  <si>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</si>
  <si>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</si>
  <si>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</si>
  <si>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</si>
  <si>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</si>
  <si>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</si>
  <si>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</si>
  <si>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</si>
  <si>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</si>
  <si>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</si>
  <si>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</si>
  <si>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</si>
  <si>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</si>
  <si>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</si>
  <si>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</si>
  <si>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</si>
  <si>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</si>
  <si>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</si>
  <si>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</si>
  <si>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</si>
  <si>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</si>
  <si>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</si>
  <si>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</si>
  <si>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</si>
  <si>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</si>
  <si>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</si>
  <si>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</si>
  <si>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</si>
  <si>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</si>
  <si>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</si>
  <si>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</si>
  <si>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</si>
  <si>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</si>
  <si>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</si>
  <si>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</si>
  <si>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</si>
  <si>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</si>
  <si>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</si>
  <si>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</si>
  <si>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</si>
  <si>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</si>
  <si>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</si>
  <si>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</si>
  <si>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</si>
  <si>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</si>
  <si>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</si>
  <si>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</si>
  <si>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</si>
  <si>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</si>
  <si>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</si>
  <si>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</si>
  <si>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</si>
  <si>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</si>
  <si>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</si>
  <si>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</si>
  <si>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</si>
  <si>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</si>
  <si>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</si>
  <si>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</si>
  <si>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</si>
  <si>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</si>
  <si>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</si>
  <si>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</si>
  <si>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</si>
  <si>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</si>
  <si>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</si>
  <si>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</si>
  <si>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</si>
  <si>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</si>
  <si>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</si>
  <si>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</si>
  <si>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</si>
  <si>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</si>
  <si>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</si>
  <si>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</si>
  <si>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</si>
  <si>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</si>
  <si>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</si>
  <si>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</si>
  <si>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</si>
  <si>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</si>
  <si>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</si>
  <si>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</si>
  <si>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</si>
  <si>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</si>
  <si>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</si>
  <si>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</si>
  <si>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</si>
  <si>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</si>
  <si>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</si>
  <si>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</si>
  <si>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</si>
  <si>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</si>
  <si>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</si>
  <si>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</si>
  <si>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</si>
  <si>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</si>
  <si>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</si>
  <si>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</si>
  <si>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</si>
  <si>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</si>
  <si>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</si>
  <si>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</si>
  <si>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</si>
  <si>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</si>
  <si>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</si>
  <si>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</si>
  <si>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</si>
  <si>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</si>
  <si>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</si>
  <si>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</si>
  <si>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</si>
  <si>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</si>
  <si>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</si>
  <si>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</si>
  <si>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</si>
  <si>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</si>
  <si>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</si>
  <si>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</si>
  <si>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</si>
  <si>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</si>
  <si>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</si>
  <si>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</si>
  <si>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</si>
  <si>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</si>
  <si>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</si>
  <si>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</si>
  <si>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</si>
  <si>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</si>
  <si>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</si>
  <si>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</si>
  <si>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</si>
  <si>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</si>
  <si>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</si>
  <si>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</si>
  <si>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</si>
  <si>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</si>
  <si>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</si>
  <si>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</si>
  <si>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</si>
  <si>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</si>
  <si>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</si>
  <si>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</si>
  <si>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</si>
  <si>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</si>
  <si>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</si>
  <si>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滝沢悠人</t>
  </si>
  <si>
    <t>大池陸斗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</si>
  <si>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</si>
  <si>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</si>
  <si>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</si>
  <si>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</si>
  <si>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</si>
  <si>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Sheet2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</si>
  <si>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</si>
  <si>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</si>
  <si>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</si>
  <si>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</si>
  <si>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</si>
  <si>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</si>
  <si>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</si>
  <si>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柳澤颯吾</t>
  </si>
  <si>
    <t>地和</t>
    <phoneticPr fontId="2"/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</si>
  <si>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</si>
  <si>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</si>
  <si>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</si>
  <si>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</si>
  <si>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</si>
  <si>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</si>
  <si>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</si>
  <si>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</si>
  <si>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2019-11-15@A.xlsm</t>
  </si>
  <si>
    <t>百瀬成空</t>
  </si>
  <si>
    <t>松澤亮太</t>
  </si>
  <si>
    <t>2019-11-15@B.xlsm</t>
  </si>
  <si>
    <t>依田幸憲</t>
  </si>
  <si>
    <t>保谷一貴</t>
  </si>
  <si>
    <t>高野源太</t>
  </si>
  <si>
    <t>2019-12-06@A.xlsm</t>
  </si>
  <si>
    <t>矢ヶ崎健</t>
  </si>
  <si>
    <t>小林郁斗</t>
  </si>
  <si>
    <t>2019-12-06@B.xlsm</t>
  </si>
  <si>
    <t>福澤大地</t>
  </si>
  <si>
    <t>木角有希</t>
  </si>
  <si>
    <t>2019-12-20@A.xlsm</t>
  </si>
  <si>
    <t>髙橋桜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</si>
  <si>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</si>
  <si>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</si>
  <si>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</si>
  <si>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</si>
  <si>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</si>
  <si>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</si>
  <si>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2020-01-31@B.xlsm</t>
  </si>
  <si>
    <t>石澤巧望</t>
  </si>
  <si>
    <t>2020-02-21@A.xlsm</t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</si>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</sst>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全体!$L$2:$L$174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9-4C76-AC71-6EA41CD8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-34.883720930232556</c:v>
                </c:pt>
                <c:pt idx="1">
                  <c:v>11.627906976744185</c:v>
                </c:pt>
                <c:pt idx="2">
                  <c:v>-46.511627906976742</c:v>
                </c:pt>
                <c:pt idx="3">
                  <c:v>-25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7-4074-A455-F533D7977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59</c:v>
                </c:pt>
                <c:pt idx="2">
                  <c:v>65</c:v>
                </c:pt>
                <c:pt idx="3">
                  <c:v>52</c:v>
                </c:pt>
                <c:pt idx="4">
                  <c:v>28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4-4366-9FA2-10319670D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D7A-8980-A6347BB0A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6-4696-B77D-F5EB6D16E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A-4CEC-96B0-F7AF45A1D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8-41F1-B614-1D0941FE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C7B-B9EE-0DAE37245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5-4DDC-BD5F-96E55136E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E0-42F8-98DE-7C670DF77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4-4F70-A00A-606F6384E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F-4513-8E20-D5CC07D11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3-4A59-9C80-FB054F17D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5-4996-9A75-B19A651DD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B-4567-B25C-721861131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佐藤成浩!$L$2:$L$29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39-4CA1-BB35-FFCA065C2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1088.8888888888889</c:v>
                </c:pt>
                <c:pt idx="1">
                  <c:v>1177.7777777777778</c:v>
                </c:pt>
                <c:pt idx="2">
                  <c:v>1577.7777777777778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F-4072-90DB-B426D9CD5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12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4-40D5-9F69-B17FD1196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8-4974-B569-2E2F7A67A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3-416F-9298-AEEF3DC8A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7CF-B457-D88B5EE26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D-473C-8D6D-3878B5F4A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EA-4C1A-9156-1D70CED2C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1-40E7-A71C-2B4562585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28-4DCB-B5AB-646FD755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94-4185-8594-4D70FEF4B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3-4CB9-8E9D-F2030318D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2-4EE3-A533-3AC407D7A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5-43C2-99EF-91FA12FD3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0-45AA-874C-E9DA99C7B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9-4E73-A162-39FABA88D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5-48FF-A25F-0279BB8F3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E-4A95-8FBF-D90DCFA51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5A-4E09-BDE6-ACA3245C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B-4839-BB5E-B2E1E42FB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33-4652-BE29-3B41B27D9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11-4B56-B2F4-76AA881AC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ED-4978-84B7-8E6716BA1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C-4BB7-8BFF-911BCBDF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9-4E33-9793-EE95535A0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1-472A-AC91-BB6EEE4A7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6-407F-9CE8-3D6207BF6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C3B-B759-10E641909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5-4A54-AE29-46BF6E3E0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E-4D64-8ADB-7457C08DF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柳澤颯吾!$L$2:$L$20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7-482E-BEB2-02D9D26CE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544.44444444444446</c:v>
                </c:pt>
                <c:pt idx="1">
                  <c:v>-1127.7777777777778</c:v>
                </c:pt>
                <c:pt idx="2">
                  <c:v>-1100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C-42F1-93D6-7A67F34B4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13-4EEC-952A-15E396C23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9-45FB-A3DB-D36837A42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6-4D91-9B7B-974B2B856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C-419B-8A3C-56C2827E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4-4FC4-8F2B-3D653945F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75-461E-BB5B-5C55BD7A6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E-45B9-B3CF-4C7FAD0EB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9-4B27-A57E-4E3518B97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86-42D0-AFDF-22B64907D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9-4076-BA83-26E37EEB3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3-4CE8-8BF1-AE9F9BF7B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6-4360-8266-DF53B9DA9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A-4A67-A3A8-CA0CF4B26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D-4C23-9C6A-99E5CEE92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F-4CCA-AA00-E8DB3F7B4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6E-466A-9DF5-2ED64CE85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B-4E13-92CC-D23F6CA11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4C-4DED-9546-7EB1DA829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9-4A4E-B9BA-982760BF0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A0-497C-A15F-2BC43A6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6B-40E0-8786-866951402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F-447C-924C-8A47F8440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関谷洸佑!$L$2:$L$7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0-47D0-A594-3B4B1E902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-1520</c:v>
                </c:pt>
                <c:pt idx="1">
                  <c:v>500</c:v>
                </c:pt>
                <c:pt idx="2">
                  <c:v>-2540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7A-4577-BE87-A87C9B16D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46-412C-855C-1262CB833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315DFC-F15F-4D81-9BEC-FB5AF1ED9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47B24D-FEA8-45D7-875E-90DA24D05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0CD002-A904-429D-951B-1FE5F64EA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81D73C-B38E-4FF1-869D-EFDE2F085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026171-DCE7-463E-8981-E6DE38BF98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E0D81A-C8C6-43BC-9E6A-6840E980B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1B89F5-A480-40F0-894F-64EB188B3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3F2C0B-80FC-44DF-9693-F68581037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760984-2AEF-4AFA-86DD-C8222FD55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DBDEC6-C122-4329-8202-BEDDDD4B5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F3AA22-A0CB-4C2D-9413-2CECF24AB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8C7A17-0A5F-4923-983A-5B1AA6C9AB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25B29E-F574-4369-BC38-C299BC111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9A078E-D2A6-4117-9B69-C8C01959C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04F2C4-82DD-422C-AF58-BBB77CEB0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6501C3-97A5-4CB3-B5FF-017E30C05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602011-BA1F-4884-9059-5472159F4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AE8971-5BA5-4E8C-ADDD-C72BCEBF6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BD2CDE-6CF1-4C60-BC5F-A7E40B06E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92F407-6F63-4AB2-BA06-073229EAF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B2E6A79-B328-4772-AC4A-36DCE3F75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C67428-DD06-4AFB-96C5-6E25A1C27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1E7541-71FD-4808-8A53-122E6DDA2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33329E-6EE2-442C-BE75-78E574609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AEDFBA-11DA-4E76-A9E2-3334B3DB8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714111-5D50-479D-AB02-8F022A5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E784B5-036D-4DC3-BA0F-17A6D0EF6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F2195F-CDF6-4BE4-82A6-4B6805867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0F7160-F9F1-4C07-B5B2-CAADB4FEB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DA35BA0-23CD-48D3-94C4-28DAA55B6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4165EB-B0B8-40AA-B1F8-207CAF9A5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082169-1116-4A39-A04D-6EBB81C9C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1D94FA-51AF-41C6-B296-9B1C66E00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92AD23-1424-4986-8C16-277ED88BE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CC52C4-5A63-46CA-AF80-6A050433E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1A17C2-7A03-4598-B8DC-046E7AFE4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88D3E9-7121-4DCF-A7DF-1C8830307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50B1A3-5CD5-4135-A7FE-B77E4387A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BB52AC-F372-4149-B1EE-A2D001300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6181A4-8AA2-4F14-83EE-5A99599D0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26049D-DE5F-406C-A7E1-98EC47802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5B96D4-286F-4A90-8F1F-EE6E3B1A2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F79939-E1F3-4917-8D4E-6D53D43CD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577DDC-3BC2-4498-91DF-85C7A15F4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FAEA21-74AE-4976-AB8D-E8EA9F339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5E028D-CEE8-4BA6-8A09-546E4EB536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369E50-34D6-41DB-BA12-267BEDD7D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4B4B9C-D744-47E9-8B13-259A52486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11ED94-59AE-4416-AFAA-E6B571582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AE41D8-56C4-4722-81D9-282263E1A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989BFF-E2EA-46E5-A846-0428C3FC1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67BD9E-BC67-4293-B8A9-C5FF16A2B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71D4B0-3B40-46A3-B190-B7D1396F5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4670CB-6556-412A-B5D0-5278B15F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3D097F-7151-4CEB-AF57-181E59204C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2939F7-66CD-426A-A856-F5112DB38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C45B4E-5E50-4C3F-9AB1-FFD366563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926953-75B5-425E-8C7B-59818CA54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873F7D-7974-40D1-9FBA-C4D6BA35B9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2E63C4-7379-4BA6-9D64-821FD29BE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B0870B-E5F7-4889-8A9F-55EE55EB5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FF0ABA-1F91-476C-AA64-40284D191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52AB8B-E887-4D1F-A611-EA999B431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C6E1FC-5588-4EEE-A88F-7B7936DB8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E8F499-FE69-4DBB-85D2-32F61FA92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96FCEE-79D5-46EC-90A1-710CD7D3C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64AF37-C448-4F3D-BA11-999F410C6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33AC87-9320-47AD-9B95-CE28B38E6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476847-F634-4B1F-B82E-940DDDA4E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BCBDAD-E791-4246-B7E2-BA642213AA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9D8779-8277-462D-9603-A0E005A9E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46AEEB-9457-4DDF-948B-6BAB173A6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185</v>
      </c>
      <c r="B2" s="25">
        <v>44490.955659722225</v>
      </c>
      <c r="C2" s="24" t="s">
        <v>102</v>
      </c>
    </row>
    <row r="3" spans="1:4">
      <c r="A3" s="24" t="s">
        <v>188</v>
      </c>
      <c r="B3" s="25">
        <v>44490.955659722225</v>
      </c>
      <c r="C3" s="24" t="s">
        <v>102</v>
      </c>
    </row>
    <row r="4" spans="1:4">
      <c r="A4" s="24" t="s">
        <v>192</v>
      </c>
      <c r="B4" s="25">
        <v>44490.955659722225</v>
      </c>
      <c r="C4" s="24" t="s">
        <v>102</v>
      </c>
      <c r="D4" s="24" t="s">
        <v>167</v>
      </c>
    </row>
    <row r="5" spans="1:4">
      <c r="A5" s="24" t="s">
        <v>195</v>
      </c>
      <c r="B5" s="25">
        <v>44490.955659722225</v>
      </c>
      <c r="C5" s="24" t="s">
        <v>102</v>
      </c>
      <c r="D5" s="24" t="s">
        <v>167</v>
      </c>
    </row>
    <row r="6" spans="1:4">
      <c r="A6" s="24" t="s">
        <v>198</v>
      </c>
      <c r="B6" s="25">
        <v>44490.955659722225</v>
      </c>
      <c r="C6" s="24" t="s">
        <v>102</v>
      </c>
      <c r="D6" s="24" t="s">
        <v>167</v>
      </c>
    </row>
    <row r="7" spans="1:4">
      <c r="A7" s="24" t="s">
        <v>200</v>
      </c>
      <c r="B7" s="25">
        <v>44490.955659722225</v>
      </c>
      <c r="C7" s="24" t="s">
        <v>102</v>
      </c>
      <c r="D7" s="24" t="s">
        <v>167</v>
      </c>
    </row>
    <row r="8" spans="1:4">
      <c r="A8" s="24" t="s">
        <v>201</v>
      </c>
      <c r="B8" s="25">
        <v>44490.955659722225</v>
      </c>
      <c r="C8" s="24" t="s">
        <v>102</v>
      </c>
      <c r="D8" s="24" t="s">
        <v>167</v>
      </c>
    </row>
    <row r="9" spans="1:4">
      <c r="A9" s="24" t="s">
        <v>203</v>
      </c>
      <c r="B9" s="25">
        <v>44490.955659722225</v>
      </c>
      <c r="C9" s="24" t="s">
        <v>102</v>
      </c>
      <c r="D9" s="24" t="s">
        <v>167</v>
      </c>
    </row>
    <row r="10" spans="1:4">
      <c r="A10" s="24" t="s">
        <v>204</v>
      </c>
      <c r="B10" s="25">
        <v>44490.955659722225</v>
      </c>
      <c r="C10" s="24" t="s">
        <v>102</v>
      </c>
      <c r="D10" s="24" t="s">
        <v>167</v>
      </c>
    </row>
    <row r="11" spans="1:4">
      <c r="A11" s="24" t="s">
        <v>205</v>
      </c>
      <c r="B11" s="25">
        <v>44490.955659722225</v>
      </c>
      <c r="C11" s="24" t="s">
        <v>102</v>
      </c>
      <c r="D11" s="24" t="s">
        <v>167</v>
      </c>
    </row>
    <row r="12" spans="1:4">
      <c r="A12" s="24" t="s">
        <v>206</v>
      </c>
      <c r="B12" s="25">
        <v>44490.955659722225</v>
      </c>
      <c r="C12" s="24" t="s">
        <v>102</v>
      </c>
      <c r="D12" s="24" t="s">
        <v>167</v>
      </c>
    </row>
    <row r="13" spans="1:4">
      <c r="A13" s="24" t="s">
        <v>208</v>
      </c>
      <c r="B13" s="25">
        <v>44490.955659722225</v>
      </c>
      <c r="C13" s="24" t="s">
        <v>102</v>
      </c>
      <c r="D13" s="24" t="s">
        <v>167</v>
      </c>
    </row>
    <row r="14" spans="1:4">
      <c r="A14" s="24" t="s">
        <v>209</v>
      </c>
      <c r="B14" s="25">
        <v>44490.955659722225</v>
      </c>
      <c r="C14" s="24" t="s">
        <v>102</v>
      </c>
      <c r="D14" s="24" t="s">
        <v>167</v>
      </c>
    </row>
    <row r="15" spans="1:4">
      <c r="A15" s="24" t="s">
        <v>212</v>
      </c>
      <c r="B15" s="25">
        <v>44490.955659722225</v>
      </c>
      <c r="C15" s="24" t="s">
        <v>102</v>
      </c>
      <c r="D15" s="24" t="s">
        <v>167</v>
      </c>
    </row>
    <row r="16" spans="1:4">
      <c r="A16" s="24" t="s">
        <v>214</v>
      </c>
      <c r="B16" s="25">
        <v>44490.955659722225</v>
      </c>
      <c r="C16" s="24" t="s">
        <v>102</v>
      </c>
      <c r="D16" s="24" t="s">
        <v>167</v>
      </c>
    </row>
    <row r="17" spans="1:4">
      <c r="A17" s="24" t="s">
        <v>215</v>
      </c>
      <c r="B17" s="25">
        <v>44490.955659722225</v>
      </c>
      <c r="C17" s="24" t="s">
        <v>102</v>
      </c>
      <c r="D17" s="24" t="s">
        <v>167</v>
      </c>
    </row>
    <row r="18" spans="1:4">
      <c r="A18" s="24" t="s">
        <v>217</v>
      </c>
      <c r="B18" s="25">
        <v>44490.955659722225</v>
      </c>
      <c r="C18" s="24" t="s">
        <v>102</v>
      </c>
    </row>
    <row r="19" spans="1:4">
      <c r="A19" s="24" t="s">
        <v>218</v>
      </c>
      <c r="B19" s="25">
        <v>44490.955659722225</v>
      </c>
      <c r="C19" s="24" t="s">
        <v>102</v>
      </c>
      <c r="D19" s="24" t="s">
        <v>167</v>
      </c>
    </row>
    <row r="20" spans="1:4">
      <c r="A20" s="24" t="s">
        <v>219</v>
      </c>
      <c r="B20" s="25">
        <v>44490.955659722225</v>
      </c>
      <c r="C20" s="24" t="s">
        <v>102</v>
      </c>
      <c r="D20" s="24" t="s">
        <v>167</v>
      </c>
    </row>
    <row r="21" spans="1:4">
      <c r="A21" s="24" t="s">
        <v>220</v>
      </c>
      <c r="B21" s="25">
        <v>44490.955659722225</v>
      </c>
      <c r="C21" s="24" t="s">
        <v>102</v>
      </c>
    </row>
    <row r="22" spans="1:4">
      <c r="A22" s="24" t="s">
        <v>178</v>
      </c>
      <c r="B22" s="25">
        <v>44490.955659722225</v>
      </c>
      <c r="C22" s="24" t="s">
        <v>102</v>
      </c>
    </row>
    <row r="23" spans="1:4">
      <c r="A23" s="24" t="s">
        <v>181</v>
      </c>
      <c r="B23" s="25">
        <v>44490.955659722225</v>
      </c>
      <c r="C23" s="24" t="s">
        <v>102</v>
      </c>
    </row>
    <row r="24" spans="1:4">
      <c r="A24" s="24" t="s">
        <v>182</v>
      </c>
      <c r="B24" s="25">
        <v>44490.955659722225</v>
      </c>
      <c r="C24" s="24" t="s">
        <v>102</v>
      </c>
    </row>
    <row r="25" spans="1:4">
      <c r="A25" s="24" t="s">
        <v>183</v>
      </c>
      <c r="B25" s="25">
        <v>44490.955659722225</v>
      </c>
      <c r="C25" s="24" t="s">
        <v>102</v>
      </c>
      <c r="D25" s="24" t="s">
        <v>167</v>
      </c>
    </row>
    <row r="26" spans="1:4">
      <c r="A26" s="24" t="s">
        <v>184</v>
      </c>
      <c r="B26" s="25">
        <v>44490.96056712963</v>
      </c>
      <c r="C26" s="24" t="s">
        <v>102</v>
      </c>
      <c r="D26" s="24" t="s">
        <v>167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172</v>
      </c>
    </row>
    <row r="2" spans="1:2">
      <c r="A2" t="s">
        <v>187</v>
      </c>
      <c r="B2">
        <v>15</v>
      </c>
    </row>
    <row r="3" spans="1:2">
      <c r="A3" t="s">
        <v>160</v>
      </c>
      <c r="B3">
        <v>9</v>
      </c>
    </row>
    <row r="4" spans="1:2">
      <c r="A4" t="s">
        <v>161</v>
      </c>
      <c r="B4">
        <v>9</v>
      </c>
    </row>
    <row r="5" spans="1:2">
      <c r="A5" t="s">
        <v>186</v>
      </c>
      <c r="B5">
        <v>8</v>
      </c>
    </row>
    <row r="6" spans="1:2">
      <c r="A6" t="s">
        <v>162</v>
      </c>
      <c r="B6">
        <v>27</v>
      </c>
    </row>
    <row r="7" spans="1:2">
      <c r="A7" t="s">
        <v>189</v>
      </c>
      <c r="B7">
        <v>4</v>
      </c>
    </row>
    <row r="8" spans="1:2">
      <c r="A8" t="s">
        <v>190</v>
      </c>
      <c r="B8">
        <v>1</v>
      </c>
    </row>
    <row r="9" spans="1:2">
      <c r="A9" t="s">
        <v>191</v>
      </c>
      <c r="B9">
        <v>18</v>
      </c>
    </row>
    <row r="10" spans="1:2">
      <c r="A10" t="s">
        <v>193</v>
      </c>
      <c r="B10">
        <v>2</v>
      </c>
    </row>
    <row r="11" spans="1:2">
      <c r="A11" t="s">
        <v>194</v>
      </c>
      <c r="B11">
        <v>2</v>
      </c>
    </row>
    <row r="12" spans="1:2">
      <c r="A12" t="s">
        <v>197</v>
      </c>
      <c r="B12">
        <v>1</v>
      </c>
    </row>
    <row r="13" spans="1:2">
      <c r="A13" t="s">
        <v>196</v>
      </c>
      <c r="B13">
        <v>16</v>
      </c>
    </row>
    <row r="14" spans="1:2">
      <c r="A14" t="s">
        <v>199</v>
      </c>
      <c r="B14">
        <v>2</v>
      </c>
    </row>
    <row r="15" spans="1:2">
      <c r="A15" t="s">
        <v>202</v>
      </c>
      <c r="B15">
        <v>14</v>
      </c>
    </row>
    <row r="16" spans="1:2">
      <c r="A16" t="s">
        <v>175</v>
      </c>
      <c r="B16">
        <v>18</v>
      </c>
    </row>
    <row r="17" spans="1:2">
      <c r="A17" t="s">
        <v>207</v>
      </c>
      <c r="B17">
        <v>1</v>
      </c>
    </row>
    <row r="18" spans="1:2">
      <c r="A18" t="s">
        <v>211</v>
      </c>
      <c r="B18">
        <v>5</v>
      </c>
    </row>
    <row r="19" spans="1:2">
      <c r="A19" t="s">
        <v>210</v>
      </c>
      <c r="B19">
        <v>2</v>
      </c>
    </row>
    <row r="20" spans="1:2">
      <c r="A20" t="s">
        <v>213</v>
      </c>
      <c r="B20">
        <v>4</v>
      </c>
    </row>
    <row r="21" spans="1:2">
      <c r="A21" t="s">
        <v>216</v>
      </c>
      <c r="B21">
        <v>3</v>
      </c>
    </row>
    <row r="22" spans="1:2">
      <c r="A22" t="s">
        <v>177</v>
      </c>
      <c r="B22">
        <v>5</v>
      </c>
    </row>
    <row r="23" spans="1:2">
      <c r="A23" t="s">
        <v>179</v>
      </c>
      <c r="B23">
        <v>1</v>
      </c>
    </row>
    <row r="24" spans="1:2">
      <c r="A24" t="s">
        <v>180</v>
      </c>
      <c r="B24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125</v>
      </c>
      <c r="M1" s="139"/>
      <c r="N1" s="138" t="s">
        <v>154</v>
      </c>
      <c r="O1" s="139"/>
      <c r="P1" s="138" t="s">
        <v>115</v>
      </c>
      <c r="Q1" s="139"/>
      <c r="R1" s="138" t="s">
        <v>116</v>
      </c>
      <c r="S1" s="139"/>
      <c r="T1" s="138" t="s">
        <v>5</v>
      </c>
      <c r="U1" s="139"/>
      <c r="V1" s="138" t="s">
        <v>16</v>
      </c>
      <c r="W1" s="139"/>
      <c r="X1" s="138" t="s">
        <v>98</v>
      </c>
      <c r="Y1" s="139"/>
      <c r="Z1" s="138" t="s">
        <v>95</v>
      </c>
      <c r="AA1" s="139"/>
      <c r="AB1" s="138" t="s">
        <v>101</v>
      </c>
      <c r="AC1" s="139"/>
      <c r="AD1" s="138" t="s">
        <v>117</v>
      </c>
      <c r="AE1" s="139"/>
      <c r="AF1" s="138" t="s">
        <v>113</v>
      </c>
      <c r="AG1" s="139"/>
      <c r="AH1" s="138" t="s">
        <v>148</v>
      </c>
      <c r="AI1" s="139"/>
    </row>
    <row r="2" spans="1:35">
      <c r="A2" s="58" t="s">
        <v>124</v>
      </c>
      <c r="B2" s="142">
        <v>0.73559682743963917</v>
      </c>
      <c r="C2" s="143"/>
      <c r="D2" s="140"/>
      <c r="E2" s="141"/>
      <c r="F2" s="140"/>
      <c r="G2" s="141"/>
      <c r="H2" s="142">
        <v>0.88969046008617603</v>
      </c>
      <c r="I2" s="143"/>
      <c r="J2" s="142">
        <v>0.87295769281434421</v>
      </c>
      <c r="K2" s="143"/>
      <c r="L2" s="142">
        <v>0.35936739931490763</v>
      </c>
      <c r="M2" s="143"/>
      <c r="N2" s="142">
        <v>0.6551959580286264</v>
      </c>
      <c r="O2" s="143"/>
      <c r="P2" s="142">
        <v>0.26694414557291446</v>
      </c>
      <c r="Q2" s="143"/>
      <c r="R2" s="142">
        <v>0.27747800059182731</v>
      </c>
      <c r="S2" s="143"/>
      <c r="T2" s="142">
        <v>0.78961006186448635</v>
      </c>
      <c r="U2" s="143"/>
      <c r="V2" s="142">
        <v>0.50244105033610797</v>
      </c>
      <c r="W2" s="143"/>
      <c r="X2" s="142">
        <v>-0.26805807227014405</v>
      </c>
      <c r="Y2" s="143"/>
      <c r="Z2" s="142">
        <v>-0.48610292891129053</v>
      </c>
      <c r="AA2" s="143"/>
      <c r="AB2" s="142">
        <v>0.59033473909442802</v>
      </c>
      <c r="AC2" s="143"/>
      <c r="AD2" s="142">
        <v>0.13855526936916851</v>
      </c>
      <c r="AE2" s="143"/>
      <c r="AF2" s="142">
        <v>-0.51649778705979332</v>
      </c>
      <c r="AG2" s="143"/>
      <c r="AH2" s="142">
        <v>0.78469355488633408</v>
      </c>
      <c r="AI2" s="143"/>
    </row>
    <row r="3" spans="1:35">
      <c r="A3" s="60">
        <v>1</v>
      </c>
      <c r="B3" s="61" t="s">
        <v>114</v>
      </c>
      <c r="C3" s="132">
        <v>43</v>
      </c>
      <c r="D3" s="61" t="s">
        <v>162</v>
      </c>
      <c r="E3" s="62">
        <v>522.80000000000007</v>
      </c>
      <c r="F3" s="63" t="s">
        <v>213</v>
      </c>
      <c r="G3" s="82">
        <v>35.274999999999999</v>
      </c>
      <c r="H3" s="63" t="s">
        <v>213</v>
      </c>
      <c r="I3" s="64">
        <v>1.75</v>
      </c>
      <c r="J3" s="63" t="s">
        <v>161</v>
      </c>
      <c r="K3" s="65">
        <v>0.66666666666666663</v>
      </c>
      <c r="L3" s="63" t="s">
        <v>190</v>
      </c>
      <c r="M3" s="65">
        <v>0</v>
      </c>
      <c r="N3" s="63" t="s">
        <v>190</v>
      </c>
      <c r="O3" s="65">
        <v>1</v>
      </c>
      <c r="P3" s="63" t="s">
        <v>213</v>
      </c>
      <c r="Q3" s="66">
        <v>0.42857142857142855</v>
      </c>
      <c r="R3" s="63" t="s">
        <v>190</v>
      </c>
      <c r="S3" s="66">
        <v>0</v>
      </c>
      <c r="T3" s="63" t="s">
        <v>190</v>
      </c>
      <c r="U3" s="67">
        <v>8600</v>
      </c>
      <c r="V3" s="63" t="s">
        <v>190</v>
      </c>
      <c r="W3" s="67">
        <v>0</v>
      </c>
      <c r="X3" s="63" t="s">
        <v>179</v>
      </c>
      <c r="Y3" s="66">
        <v>0.33333333333333331</v>
      </c>
      <c r="Z3" s="63" t="s">
        <v>199</v>
      </c>
      <c r="AA3" s="66">
        <v>0.33333333333333331</v>
      </c>
      <c r="AB3" s="63" t="s">
        <v>213</v>
      </c>
      <c r="AC3" s="66">
        <v>0.8571428571428571</v>
      </c>
      <c r="AD3" s="63" t="s">
        <v>179</v>
      </c>
      <c r="AE3" s="66">
        <v>1</v>
      </c>
      <c r="AF3" s="63" t="s">
        <v>177</v>
      </c>
      <c r="AG3" s="66">
        <v>0.66666666666666663</v>
      </c>
      <c r="AH3" s="63" t="s">
        <v>114</v>
      </c>
      <c r="AI3" s="77">
        <v>67800</v>
      </c>
    </row>
    <row r="4" spans="1:35">
      <c r="A4" s="68">
        <v>2</v>
      </c>
      <c r="B4" s="69" t="s">
        <v>162</v>
      </c>
      <c r="C4" s="133">
        <v>27</v>
      </c>
      <c r="D4" s="69" t="s">
        <v>161</v>
      </c>
      <c r="E4" s="70">
        <v>268</v>
      </c>
      <c r="F4" s="71" t="s">
        <v>161</v>
      </c>
      <c r="G4" s="83">
        <v>29.777777777777779</v>
      </c>
      <c r="H4" s="71" t="s">
        <v>161</v>
      </c>
      <c r="I4" s="72">
        <v>1.8888888888888888</v>
      </c>
      <c r="J4" s="71" t="s">
        <v>194</v>
      </c>
      <c r="K4" s="73">
        <v>0.5</v>
      </c>
      <c r="L4" s="71" t="s">
        <v>193</v>
      </c>
      <c r="M4" s="73">
        <v>0</v>
      </c>
      <c r="N4" s="71" t="s">
        <v>213</v>
      </c>
      <c r="O4" s="73">
        <v>0.75</v>
      </c>
      <c r="P4" s="71" t="s">
        <v>191</v>
      </c>
      <c r="Q4" s="74">
        <v>0.30281690140845069</v>
      </c>
      <c r="R4" s="71" t="s">
        <v>207</v>
      </c>
      <c r="S4" s="74">
        <v>0</v>
      </c>
      <c r="T4" s="71" t="s">
        <v>193</v>
      </c>
      <c r="U4" s="75">
        <v>8400</v>
      </c>
      <c r="V4" s="71" t="s">
        <v>207</v>
      </c>
      <c r="W4" s="75">
        <v>0</v>
      </c>
      <c r="X4" s="71" t="s">
        <v>190</v>
      </c>
      <c r="Y4" s="74">
        <v>0.2857142857142857</v>
      </c>
      <c r="Z4" s="71" t="s">
        <v>191</v>
      </c>
      <c r="AA4" s="74">
        <v>0.33098591549295775</v>
      </c>
      <c r="AB4" s="71" t="s">
        <v>161</v>
      </c>
      <c r="AC4" s="74">
        <v>0.75</v>
      </c>
      <c r="AD4" s="71" t="s">
        <v>189</v>
      </c>
      <c r="AE4" s="74">
        <v>0.66666666666666663</v>
      </c>
      <c r="AF4" s="71" t="s">
        <v>186</v>
      </c>
      <c r="AG4" s="74">
        <v>0.6</v>
      </c>
      <c r="AH4" s="71" t="s">
        <v>161</v>
      </c>
      <c r="AI4" s="78">
        <v>67800</v>
      </c>
    </row>
    <row r="5" spans="1:35">
      <c r="A5" s="68">
        <v>3</v>
      </c>
      <c r="B5" s="69" t="s">
        <v>191</v>
      </c>
      <c r="C5" s="133">
        <v>18</v>
      </c>
      <c r="D5" s="69" t="s">
        <v>191</v>
      </c>
      <c r="E5" s="70">
        <v>154.39999999999998</v>
      </c>
      <c r="F5" s="71" t="s">
        <v>162</v>
      </c>
      <c r="G5" s="83">
        <v>19.362962962962964</v>
      </c>
      <c r="H5" s="71" t="s">
        <v>190</v>
      </c>
      <c r="I5" s="72">
        <v>2</v>
      </c>
      <c r="J5" s="71" t="s">
        <v>213</v>
      </c>
      <c r="K5" s="73">
        <v>0.5</v>
      </c>
      <c r="L5" s="71" t="s">
        <v>207</v>
      </c>
      <c r="M5" s="73">
        <v>0</v>
      </c>
      <c r="N5" s="71" t="s">
        <v>202</v>
      </c>
      <c r="O5" s="73">
        <v>0.7142857142857143</v>
      </c>
      <c r="P5" s="71" t="s">
        <v>190</v>
      </c>
      <c r="Q5" s="74">
        <v>0.2857142857142857</v>
      </c>
      <c r="R5" s="71" t="s">
        <v>187</v>
      </c>
      <c r="S5" s="74">
        <v>9.0909090909090912E-2</v>
      </c>
      <c r="T5" s="71" t="s">
        <v>213</v>
      </c>
      <c r="U5" s="75">
        <v>8333.3333333333339</v>
      </c>
      <c r="V5" s="71" t="s">
        <v>193</v>
      </c>
      <c r="W5" s="75">
        <v>-2950</v>
      </c>
      <c r="X5" s="71" t="s">
        <v>193</v>
      </c>
      <c r="Y5" s="74">
        <v>0.26666666666666666</v>
      </c>
      <c r="Z5" s="71" t="s">
        <v>186</v>
      </c>
      <c r="AA5" s="74">
        <v>0.3188405797101449</v>
      </c>
      <c r="AB5" s="71" t="s">
        <v>189</v>
      </c>
      <c r="AC5" s="74">
        <v>0.75</v>
      </c>
      <c r="AD5" s="71" t="s">
        <v>161</v>
      </c>
      <c r="AE5" s="74">
        <v>0.55555555555555558</v>
      </c>
      <c r="AF5" s="71" t="s">
        <v>189</v>
      </c>
      <c r="AG5" s="74">
        <v>0.5714285714285714</v>
      </c>
      <c r="AH5" s="71" t="s">
        <v>191</v>
      </c>
      <c r="AI5" s="78">
        <v>65600</v>
      </c>
    </row>
    <row r="6" spans="1:35">
      <c r="A6" s="68">
        <v>4</v>
      </c>
      <c r="B6" s="69" t="s">
        <v>175</v>
      </c>
      <c r="C6" s="133">
        <v>18</v>
      </c>
      <c r="D6" s="69" t="s">
        <v>213</v>
      </c>
      <c r="E6" s="70">
        <v>141.1</v>
      </c>
      <c r="F6" s="71" t="s">
        <v>190</v>
      </c>
      <c r="G6" s="83">
        <v>14</v>
      </c>
      <c r="H6" s="71" t="s">
        <v>162</v>
      </c>
      <c r="I6" s="72">
        <v>2.0370370370370372</v>
      </c>
      <c r="J6" s="71" t="s">
        <v>162</v>
      </c>
      <c r="K6" s="73">
        <v>0.40740740740740738</v>
      </c>
      <c r="L6" s="71" t="s">
        <v>213</v>
      </c>
      <c r="M6" s="73">
        <v>0</v>
      </c>
      <c r="N6" s="71" t="s">
        <v>161</v>
      </c>
      <c r="O6" s="73">
        <v>0.66666666666666663</v>
      </c>
      <c r="P6" s="71" t="s">
        <v>161</v>
      </c>
      <c r="Q6" s="74">
        <v>0.26923076923076922</v>
      </c>
      <c r="R6" s="71" t="s">
        <v>162</v>
      </c>
      <c r="S6" s="74">
        <v>9.3896713615023469E-2</v>
      </c>
      <c r="T6" s="71" t="s">
        <v>161</v>
      </c>
      <c r="U6" s="75">
        <v>7942.8571428571431</v>
      </c>
      <c r="V6" s="71" t="s">
        <v>202</v>
      </c>
      <c r="W6" s="75">
        <v>-3740</v>
      </c>
      <c r="X6" s="71" t="s">
        <v>187</v>
      </c>
      <c r="Y6" s="74">
        <v>0.26446280991735538</v>
      </c>
      <c r="Z6" s="71" t="s">
        <v>197</v>
      </c>
      <c r="AA6" s="74">
        <v>0.2857142857142857</v>
      </c>
      <c r="AB6" s="71" t="s">
        <v>193</v>
      </c>
      <c r="AC6" s="74">
        <v>0.75</v>
      </c>
      <c r="AD6" s="71" t="s">
        <v>207</v>
      </c>
      <c r="AE6" s="74">
        <v>0.5</v>
      </c>
      <c r="AF6" s="71" t="s">
        <v>190</v>
      </c>
      <c r="AG6" s="74">
        <v>0.5</v>
      </c>
      <c r="AH6" s="71" t="s">
        <v>162</v>
      </c>
      <c r="AI6" s="78">
        <v>62800</v>
      </c>
    </row>
    <row r="7" spans="1:35">
      <c r="A7" s="68">
        <v>5</v>
      </c>
      <c r="B7" s="69" t="s">
        <v>196</v>
      </c>
      <c r="C7" s="133">
        <v>16</v>
      </c>
      <c r="D7" s="69" t="s">
        <v>202</v>
      </c>
      <c r="E7" s="70">
        <v>79.299999999999983</v>
      </c>
      <c r="F7" s="71" t="s">
        <v>191</v>
      </c>
      <c r="G7" s="83">
        <v>8.5777777777777757</v>
      </c>
      <c r="H7" s="71" t="s">
        <v>202</v>
      </c>
      <c r="I7" s="72">
        <v>2.1428571428571428</v>
      </c>
      <c r="J7" s="71" t="s">
        <v>191</v>
      </c>
      <c r="K7" s="73">
        <v>0.3888888888888889</v>
      </c>
      <c r="L7" s="71" t="s">
        <v>179</v>
      </c>
      <c r="M7" s="73">
        <v>0</v>
      </c>
      <c r="N7" s="71" t="s">
        <v>162</v>
      </c>
      <c r="O7" s="73">
        <v>0.62962962962962965</v>
      </c>
      <c r="P7" s="71" t="s">
        <v>196</v>
      </c>
      <c r="Q7" s="74">
        <v>0.24427480916030533</v>
      </c>
      <c r="R7" s="71" t="s">
        <v>194</v>
      </c>
      <c r="S7" s="74">
        <v>0.10526315789473684</v>
      </c>
      <c r="T7" s="71" t="s">
        <v>162</v>
      </c>
      <c r="U7" s="75">
        <v>7752.083333333333</v>
      </c>
      <c r="V7" s="71" t="s">
        <v>179</v>
      </c>
      <c r="W7" s="75">
        <v>-3900</v>
      </c>
      <c r="X7" s="71" t="s">
        <v>161</v>
      </c>
      <c r="Y7" s="74">
        <v>0.25641025641025639</v>
      </c>
      <c r="Z7" s="71" t="s">
        <v>175</v>
      </c>
      <c r="AA7" s="74">
        <v>0.2578125</v>
      </c>
      <c r="AB7" s="71" t="s">
        <v>194</v>
      </c>
      <c r="AC7" s="74">
        <v>0.75</v>
      </c>
      <c r="AD7" s="71" t="s">
        <v>180</v>
      </c>
      <c r="AE7" s="74">
        <v>0.5</v>
      </c>
      <c r="AF7" s="71" t="s">
        <v>211</v>
      </c>
      <c r="AG7" s="74">
        <v>0.5</v>
      </c>
      <c r="AH7" s="71" t="s">
        <v>213</v>
      </c>
      <c r="AI7" s="78">
        <v>57200</v>
      </c>
    </row>
    <row r="8" spans="1:35">
      <c r="A8" s="68">
        <v>6</v>
      </c>
      <c r="B8" s="69" t="s">
        <v>187</v>
      </c>
      <c r="C8" s="133">
        <v>15</v>
      </c>
      <c r="D8" s="69" t="s">
        <v>187</v>
      </c>
      <c r="E8" s="70">
        <v>22.499999999999993</v>
      </c>
      <c r="F8" s="71" t="s">
        <v>202</v>
      </c>
      <c r="G8" s="83">
        <v>5.6642857142857128</v>
      </c>
      <c r="H8" s="71" t="s">
        <v>191</v>
      </c>
      <c r="I8" s="72">
        <v>2.3333333333333335</v>
      </c>
      <c r="J8" s="71" t="s">
        <v>186</v>
      </c>
      <c r="K8" s="73">
        <v>0.375</v>
      </c>
      <c r="L8" s="71" t="s">
        <v>202</v>
      </c>
      <c r="M8" s="73">
        <v>7.1428571428571425E-2</v>
      </c>
      <c r="N8" s="71" t="s">
        <v>187</v>
      </c>
      <c r="O8" s="73">
        <v>0.6</v>
      </c>
      <c r="P8" s="71" t="s">
        <v>162</v>
      </c>
      <c r="Q8" s="74">
        <v>0.22535211267605634</v>
      </c>
      <c r="R8" s="71" t="s">
        <v>196</v>
      </c>
      <c r="S8" s="74">
        <v>0.10687022900763359</v>
      </c>
      <c r="T8" s="71" t="s">
        <v>187</v>
      </c>
      <c r="U8" s="75">
        <v>7355</v>
      </c>
      <c r="V8" s="71" t="s">
        <v>210</v>
      </c>
      <c r="W8" s="75">
        <v>-4800</v>
      </c>
      <c r="X8" s="71" t="s">
        <v>207</v>
      </c>
      <c r="Y8" s="74">
        <v>0.25</v>
      </c>
      <c r="Z8" s="71" t="s">
        <v>187</v>
      </c>
      <c r="AA8" s="74">
        <v>0.256198347107438</v>
      </c>
      <c r="AB8" s="71" t="s">
        <v>191</v>
      </c>
      <c r="AC8" s="74">
        <v>0.7142857142857143</v>
      </c>
      <c r="AD8" s="71" t="s">
        <v>196</v>
      </c>
      <c r="AE8" s="74">
        <v>0.45454545454545453</v>
      </c>
      <c r="AF8" s="71" t="s">
        <v>160</v>
      </c>
      <c r="AG8" s="74">
        <v>0.46153846153846156</v>
      </c>
      <c r="AH8" s="71" t="s">
        <v>160</v>
      </c>
      <c r="AI8" s="78">
        <v>54900</v>
      </c>
    </row>
    <row r="9" spans="1:35">
      <c r="A9" s="68">
        <v>7</v>
      </c>
      <c r="B9" s="69" t="s">
        <v>202</v>
      </c>
      <c r="C9" s="133">
        <v>14</v>
      </c>
      <c r="D9" s="69" t="s">
        <v>186</v>
      </c>
      <c r="E9" s="70">
        <v>20.300000000000004</v>
      </c>
      <c r="F9" s="71" t="s">
        <v>186</v>
      </c>
      <c r="G9" s="83">
        <v>2.5375000000000005</v>
      </c>
      <c r="H9" s="71" t="s">
        <v>196</v>
      </c>
      <c r="I9" s="72">
        <v>2.4375</v>
      </c>
      <c r="J9" s="71" t="s">
        <v>114</v>
      </c>
      <c r="K9" s="73">
        <v>0.2558139534883721</v>
      </c>
      <c r="L9" s="71" t="s">
        <v>162</v>
      </c>
      <c r="M9" s="73">
        <v>7.407407407407407E-2</v>
      </c>
      <c r="N9" s="71" t="s">
        <v>177</v>
      </c>
      <c r="O9" s="73">
        <v>0.6</v>
      </c>
      <c r="P9" s="71" t="s">
        <v>186</v>
      </c>
      <c r="Q9" s="74">
        <v>0.21739130434782608</v>
      </c>
      <c r="R9" s="71" t="s">
        <v>213</v>
      </c>
      <c r="S9" s="74">
        <v>0.10714285714285714</v>
      </c>
      <c r="T9" s="71" t="s">
        <v>177</v>
      </c>
      <c r="U9" s="75">
        <v>7066.666666666667</v>
      </c>
      <c r="V9" s="71" t="s">
        <v>162</v>
      </c>
      <c r="W9" s="75">
        <v>-4890</v>
      </c>
      <c r="X9" s="71" t="s">
        <v>213</v>
      </c>
      <c r="Y9" s="74">
        <v>0.25</v>
      </c>
      <c r="Z9" s="71" t="s">
        <v>196</v>
      </c>
      <c r="AA9" s="74">
        <v>0.25190839694656486</v>
      </c>
      <c r="AB9" s="71" t="s">
        <v>162</v>
      </c>
      <c r="AC9" s="74">
        <v>0.70270270270270274</v>
      </c>
      <c r="AD9" s="71" t="s">
        <v>191</v>
      </c>
      <c r="AE9" s="74">
        <v>0.38297872340425532</v>
      </c>
      <c r="AF9" s="71" t="s">
        <v>175</v>
      </c>
      <c r="AG9" s="74">
        <v>0.44</v>
      </c>
      <c r="AH9" s="71" t="s">
        <v>196</v>
      </c>
      <c r="AI9" s="78">
        <v>53200</v>
      </c>
    </row>
    <row r="10" spans="1:35">
      <c r="A10" s="68">
        <v>8</v>
      </c>
      <c r="B10" s="69" t="s">
        <v>160</v>
      </c>
      <c r="C10" s="133">
        <v>9</v>
      </c>
      <c r="D10" s="69" t="s">
        <v>190</v>
      </c>
      <c r="E10" s="70">
        <v>14</v>
      </c>
      <c r="F10" s="71" t="s">
        <v>194</v>
      </c>
      <c r="G10" s="83">
        <v>1.9499999999999993</v>
      </c>
      <c r="H10" s="71" t="s">
        <v>187</v>
      </c>
      <c r="I10" s="72">
        <v>2.4666666666666668</v>
      </c>
      <c r="J10" s="71" t="s">
        <v>196</v>
      </c>
      <c r="K10" s="73">
        <v>0.25</v>
      </c>
      <c r="L10" s="71" t="s">
        <v>175</v>
      </c>
      <c r="M10" s="73">
        <v>0.16666666666666666</v>
      </c>
      <c r="N10" s="71" t="s">
        <v>191</v>
      </c>
      <c r="O10" s="73">
        <v>0.55555555555555558</v>
      </c>
      <c r="P10" s="71" t="s">
        <v>194</v>
      </c>
      <c r="Q10" s="74">
        <v>0.21052631578947367</v>
      </c>
      <c r="R10" s="71" t="s">
        <v>177</v>
      </c>
      <c r="S10" s="74">
        <v>0.10714285714285714</v>
      </c>
      <c r="T10" s="71" t="s">
        <v>160</v>
      </c>
      <c r="U10" s="75">
        <v>6884.6153846153848</v>
      </c>
      <c r="V10" s="71" t="s">
        <v>161</v>
      </c>
      <c r="W10" s="75">
        <v>-5000</v>
      </c>
      <c r="X10" s="71" t="s">
        <v>175</v>
      </c>
      <c r="Y10" s="74">
        <v>0.2109375</v>
      </c>
      <c r="Z10" s="71" t="s">
        <v>207</v>
      </c>
      <c r="AA10" s="74">
        <v>0.25</v>
      </c>
      <c r="AB10" s="71" t="s">
        <v>114</v>
      </c>
      <c r="AC10" s="74">
        <v>0.52156862745098043</v>
      </c>
      <c r="AD10" s="71" t="s">
        <v>202</v>
      </c>
      <c r="AE10" s="74">
        <v>0.35714285714285715</v>
      </c>
      <c r="AF10" s="71" t="s">
        <v>161</v>
      </c>
      <c r="AG10" s="74">
        <v>0.42857142857142855</v>
      </c>
      <c r="AH10" s="71" t="s">
        <v>202</v>
      </c>
      <c r="AI10" s="78">
        <v>52500</v>
      </c>
    </row>
    <row r="11" spans="1:35">
      <c r="A11" s="68">
        <v>9</v>
      </c>
      <c r="B11" s="69" t="s">
        <v>161</v>
      </c>
      <c r="C11" s="133">
        <v>9</v>
      </c>
      <c r="D11" s="69" t="s">
        <v>194</v>
      </c>
      <c r="E11" s="70">
        <v>3.8999999999999986</v>
      </c>
      <c r="F11" s="71" t="s">
        <v>187</v>
      </c>
      <c r="G11" s="83">
        <v>1.4999999999999996</v>
      </c>
      <c r="H11" s="71" t="s">
        <v>114</v>
      </c>
      <c r="I11" s="72">
        <v>2.4883720930232558</v>
      </c>
      <c r="J11" s="71" t="s">
        <v>160</v>
      </c>
      <c r="K11" s="73">
        <v>0.22222222222222221</v>
      </c>
      <c r="L11" s="71" t="s">
        <v>196</v>
      </c>
      <c r="M11" s="73">
        <v>0.1875</v>
      </c>
      <c r="N11" s="71" t="s">
        <v>196</v>
      </c>
      <c r="O11" s="73">
        <v>0.5</v>
      </c>
      <c r="P11" s="71" t="s">
        <v>114</v>
      </c>
      <c r="Q11" s="74">
        <v>0.20562130177514792</v>
      </c>
      <c r="R11" s="71" t="s">
        <v>189</v>
      </c>
      <c r="S11" s="74">
        <v>0.11428571428571428</v>
      </c>
      <c r="T11" s="71" t="s">
        <v>202</v>
      </c>
      <c r="U11" s="75">
        <v>6733.333333333333</v>
      </c>
      <c r="V11" s="71" t="s">
        <v>211</v>
      </c>
      <c r="W11" s="75">
        <v>-5080</v>
      </c>
      <c r="X11" s="71" t="s">
        <v>194</v>
      </c>
      <c r="Y11" s="74">
        <v>0.21052631578947367</v>
      </c>
      <c r="Z11" s="71" t="s">
        <v>202</v>
      </c>
      <c r="AA11" s="74">
        <v>0.24347826086956523</v>
      </c>
      <c r="AB11" s="71" t="s">
        <v>160</v>
      </c>
      <c r="AC11" s="74">
        <v>0.5</v>
      </c>
      <c r="AD11" s="71" t="s">
        <v>162</v>
      </c>
      <c r="AE11" s="74">
        <v>0.35135135135135137</v>
      </c>
      <c r="AF11" s="71" t="s">
        <v>213</v>
      </c>
      <c r="AG11" s="74">
        <v>0.41666666666666669</v>
      </c>
      <c r="AH11" s="71" t="s">
        <v>187</v>
      </c>
      <c r="AI11" s="78">
        <v>52000</v>
      </c>
    </row>
    <row r="12" spans="1:35">
      <c r="A12" s="68">
        <v>10</v>
      </c>
      <c r="B12" s="69" t="s">
        <v>186</v>
      </c>
      <c r="C12" s="133">
        <v>8</v>
      </c>
      <c r="D12" s="69" t="s">
        <v>193</v>
      </c>
      <c r="E12" s="70">
        <v>-2.2000000000000011</v>
      </c>
      <c r="F12" s="71" t="s">
        <v>114</v>
      </c>
      <c r="G12" s="83">
        <v>-0.17441860465116282</v>
      </c>
      <c r="H12" s="71" t="s">
        <v>186</v>
      </c>
      <c r="I12" s="72">
        <v>2.5</v>
      </c>
      <c r="J12" s="71" t="s">
        <v>202</v>
      </c>
      <c r="K12" s="73">
        <v>0.21428571428571427</v>
      </c>
      <c r="L12" s="71" t="s">
        <v>177</v>
      </c>
      <c r="M12" s="73">
        <v>0.2</v>
      </c>
      <c r="N12" s="71" t="s">
        <v>114</v>
      </c>
      <c r="O12" s="73">
        <v>0.5</v>
      </c>
      <c r="P12" s="71" t="s">
        <v>189</v>
      </c>
      <c r="Q12" s="74">
        <v>0.2</v>
      </c>
      <c r="R12" s="71" t="s">
        <v>186</v>
      </c>
      <c r="S12" s="74">
        <v>0.11594202898550725</v>
      </c>
      <c r="T12" s="71" t="s">
        <v>114</v>
      </c>
      <c r="U12" s="75">
        <v>6391.3669064748201</v>
      </c>
      <c r="V12" s="71" t="s">
        <v>187</v>
      </c>
      <c r="W12" s="75">
        <v>-5500</v>
      </c>
      <c r="X12" s="71" t="s">
        <v>211</v>
      </c>
      <c r="Y12" s="74">
        <v>0.20930232558139536</v>
      </c>
      <c r="Z12" s="71" t="s">
        <v>160</v>
      </c>
      <c r="AA12" s="74">
        <v>0.22222222222222221</v>
      </c>
      <c r="AB12" s="71" t="s">
        <v>186</v>
      </c>
      <c r="AC12" s="74">
        <v>0.5</v>
      </c>
      <c r="AD12" s="71" t="s">
        <v>114</v>
      </c>
      <c r="AE12" s="74">
        <v>0.34237288135593219</v>
      </c>
      <c r="AF12" s="71" t="s">
        <v>191</v>
      </c>
      <c r="AG12" s="74">
        <v>0.39534883720930231</v>
      </c>
      <c r="AH12" s="71" t="s">
        <v>175</v>
      </c>
      <c r="AI12" s="78">
        <v>48000</v>
      </c>
    </row>
    <row r="13" spans="1:35">
      <c r="A13" s="68">
        <v>11</v>
      </c>
      <c r="B13" s="69" t="s">
        <v>211</v>
      </c>
      <c r="C13" s="133">
        <v>5</v>
      </c>
      <c r="D13" s="69" t="s">
        <v>179</v>
      </c>
      <c r="E13" s="70">
        <v>-14.4</v>
      </c>
      <c r="F13" s="71" t="s">
        <v>193</v>
      </c>
      <c r="G13" s="83">
        <v>-1.1000000000000005</v>
      </c>
      <c r="H13" s="71" t="s">
        <v>193</v>
      </c>
      <c r="I13" s="72">
        <v>2.5</v>
      </c>
      <c r="J13" s="71" t="s">
        <v>187</v>
      </c>
      <c r="K13" s="73">
        <v>0.2</v>
      </c>
      <c r="L13" s="71" t="s">
        <v>161</v>
      </c>
      <c r="M13" s="73">
        <v>0.22222222222222221</v>
      </c>
      <c r="N13" s="71" t="s">
        <v>186</v>
      </c>
      <c r="O13" s="73">
        <v>0.5</v>
      </c>
      <c r="P13" s="71" t="s">
        <v>193</v>
      </c>
      <c r="Q13" s="74">
        <v>0.2</v>
      </c>
      <c r="R13" s="71" t="s">
        <v>161</v>
      </c>
      <c r="S13" s="74">
        <v>0.12820512820512819</v>
      </c>
      <c r="T13" s="71" t="s">
        <v>211</v>
      </c>
      <c r="U13" s="75">
        <v>6275</v>
      </c>
      <c r="V13" s="71" t="s">
        <v>191</v>
      </c>
      <c r="W13" s="75">
        <v>-5835.7142857142853</v>
      </c>
      <c r="X13" s="71" t="s">
        <v>186</v>
      </c>
      <c r="Y13" s="74">
        <v>0.20289855072463769</v>
      </c>
      <c r="Z13" s="71" t="s">
        <v>114</v>
      </c>
      <c r="AA13" s="74">
        <v>0.21819526627218935</v>
      </c>
      <c r="AB13" s="71" t="s">
        <v>190</v>
      </c>
      <c r="AC13" s="74">
        <v>0.5</v>
      </c>
      <c r="AD13" s="71" t="s">
        <v>194</v>
      </c>
      <c r="AE13" s="74">
        <v>0.33333333333333331</v>
      </c>
      <c r="AF13" s="71" t="s">
        <v>196</v>
      </c>
      <c r="AG13" s="74">
        <v>0.375</v>
      </c>
      <c r="AH13" s="71" t="s">
        <v>194</v>
      </c>
      <c r="AI13" s="78">
        <v>42500</v>
      </c>
    </row>
    <row r="14" spans="1:35">
      <c r="A14" s="68">
        <v>12</v>
      </c>
      <c r="B14" s="69" t="s">
        <v>177</v>
      </c>
      <c r="C14" s="133">
        <v>5</v>
      </c>
      <c r="D14" s="69" t="s">
        <v>207</v>
      </c>
      <c r="E14" s="70">
        <v>-27.1</v>
      </c>
      <c r="F14" s="71" t="s">
        <v>196</v>
      </c>
      <c r="G14" s="83">
        <v>-2.1625000000000001</v>
      </c>
      <c r="H14" s="71" t="s">
        <v>194</v>
      </c>
      <c r="I14" s="72">
        <v>2.5</v>
      </c>
      <c r="J14" s="71" t="s">
        <v>175</v>
      </c>
      <c r="K14" s="73">
        <v>0.1111111111111111</v>
      </c>
      <c r="L14" s="71" t="s">
        <v>114</v>
      </c>
      <c r="M14" s="73">
        <v>0.2441860465116279</v>
      </c>
      <c r="N14" s="71" t="s">
        <v>193</v>
      </c>
      <c r="O14" s="73">
        <v>0.5</v>
      </c>
      <c r="P14" s="71" t="s">
        <v>175</v>
      </c>
      <c r="Q14" s="74">
        <v>0.1953125</v>
      </c>
      <c r="R14" s="71" t="s">
        <v>202</v>
      </c>
      <c r="S14" s="74">
        <v>0.13043478260869565</v>
      </c>
      <c r="T14" s="71" t="s">
        <v>186</v>
      </c>
      <c r="U14" s="75">
        <v>5993.333333333333</v>
      </c>
      <c r="V14" s="71" t="s">
        <v>194</v>
      </c>
      <c r="W14" s="75">
        <v>-5950</v>
      </c>
      <c r="X14" s="71" t="s">
        <v>191</v>
      </c>
      <c r="Y14" s="74">
        <v>0.19718309859154928</v>
      </c>
      <c r="Z14" s="71" t="s">
        <v>213</v>
      </c>
      <c r="AA14" s="74">
        <v>0.21428571428571427</v>
      </c>
      <c r="AB14" s="71" t="s">
        <v>175</v>
      </c>
      <c r="AC14" s="74">
        <v>0.48148148148148145</v>
      </c>
      <c r="AD14" s="71" t="s">
        <v>213</v>
      </c>
      <c r="AE14" s="74">
        <v>0.33333333333333331</v>
      </c>
      <c r="AF14" s="71" t="s">
        <v>114</v>
      </c>
      <c r="AG14" s="74">
        <v>0.34892086330935251</v>
      </c>
      <c r="AH14" s="71" t="s">
        <v>186</v>
      </c>
      <c r="AI14" s="78">
        <v>41700</v>
      </c>
    </row>
    <row r="15" spans="1:35">
      <c r="A15" s="68">
        <v>13</v>
      </c>
      <c r="B15" s="69" t="s">
        <v>180</v>
      </c>
      <c r="C15" s="133">
        <v>5</v>
      </c>
      <c r="D15" s="69" t="s">
        <v>114</v>
      </c>
      <c r="E15" s="70">
        <v>-30.000000000000007</v>
      </c>
      <c r="F15" s="71" t="s">
        <v>160</v>
      </c>
      <c r="G15" s="83">
        <v>-7.3888888888888875</v>
      </c>
      <c r="H15" s="71" t="s">
        <v>177</v>
      </c>
      <c r="I15" s="72">
        <v>2.6</v>
      </c>
      <c r="J15" s="71" t="s">
        <v>189</v>
      </c>
      <c r="K15" s="73">
        <v>0</v>
      </c>
      <c r="L15" s="71" t="s">
        <v>187</v>
      </c>
      <c r="M15" s="73">
        <v>0.26666666666666666</v>
      </c>
      <c r="N15" s="71" t="s">
        <v>194</v>
      </c>
      <c r="O15" s="73">
        <v>0.5</v>
      </c>
      <c r="P15" s="71" t="s">
        <v>202</v>
      </c>
      <c r="Q15" s="74">
        <v>0.18260869565217391</v>
      </c>
      <c r="R15" s="71" t="s">
        <v>193</v>
      </c>
      <c r="S15" s="74">
        <v>0.13333333333333333</v>
      </c>
      <c r="T15" s="71" t="s">
        <v>191</v>
      </c>
      <c r="U15" s="75">
        <v>5988.3720930232557</v>
      </c>
      <c r="V15" s="71" t="s">
        <v>114</v>
      </c>
      <c r="W15" s="75">
        <v>-6070.1657458563532</v>
      </c>
      <c r="X15" s="71" t="s">
        <v>196</v>
      </c>
      <c r="Y15" s="74">
        <v>0.19083969465648856</v>
      </c>
      <c r="Z15" s="71" t="s">
        <v>210</v>
      </c>
      <c r="AA15" s="74">
        <v>0.17647058823529413</v>
      </c>
      <c r="AB15" s="71" t="s">
        <v>196</v>
      </c>
      <c r="AC15" s="74">
        <v>0.4</v>
      </c>
      <c r="AD15" s="71" t="s">
        <v>186</v>
      </c>
      <c r="AE15" s="74">
        <v>0.31818181818181818</v>
      </c>
      <c r="AF15" s="71" t="s">
        <v>193</v>
      </c>
      <c r="AG15" s="74">
        <v>0.33333333333333331</v>
      </c>
      <c r="AH15" s="71" t="s">
        <v>190</v>
      </c>
      <c r="AI15" s="78">
        <v>34000</v>
      </c>
    </row>
    <row r="16" spans="1:35">
      <c r="A16" s="68">
        <v>14</v>
      </c>
      <c r="B16" s="69" t="s">
        <v>189</v>
      </c>
      <c r="C16" s="133">
        <v>4</v>
      </c>
      <c r="D16" s="69" t="s">
        <v>196</v>
      </c>
      <c r="E16" s="70">
        <v>-34.6</v>
      </c>
      <c r="F16" s="71" t="s">
        <v>177</v>
      </c>
      <c r="G16" s="83">
        <v>-10.98</v>
      </c>
      <c r="H16" s="71" t="s">
        <v>160</v>
      </c>
      <c r="I16" s="72">
        <v>2.6666666666666665</v>
      </c>
      <c r="J16" s="71" t="s">
        <v>190</v>
      </c>
      <c r="K16" s="73">
        <v>0</v>
      </c>
      <c r="L16" s="71" t="s">
        <v>191</v>
      </c>
      <c r="M16" s="73">
        <v>0.27777777777777779</v>
      </c>
      <c r="N16" s="71" t="s">
        <v>160</v>
      </c>
      <c r="O16" s="73">
        <v>0.44444444444444442</v>
      </c>
      <c r="P16" s="71" t="s">
        <v>160</v>
      </c>
      <c r="Q16" s="74">
        <v>0.18055555555555555</v>
      </c>
      <c r="R16" s="71" t="s">
        <v>199</v>
      </c>
      <c r="S16" s="74">
        <v>0.13333333333333333</v>
      </c>
      <c r="T16" s="71" t="s">
        <v>194</v>
      </c>
      <c r="U16" s="75">
        <v>5900</v>
      </c>
      <c r="V16" s="71" t="s">
        <v>180</v>
      </c>
      <c r="W16" s="75">
        <v>-6160</v>
      </c>
      <c r="X16" s="71" t="s">
        <v>114</v>
      </c>
      <c r="Y16" s="74">
        <v>0.18860946745562129</v>
      </c>
      <c r="Z16" s="71" t="s">
        <v>162</v>
      </c>
      <c r="AA16" s="74">
        <v>0.17370892018779344</v>
      </c>
      <c r="AB16" s="71" t="s">
        <v>177</v>
      </c>
      <c r="AC16" s="74">
        <v>0.4</v>
      </c>
      <c r="AD16" s="71" t="s">
        <v>160</v>
      </c>
      <c r="AE16" s="74">
        <v>0.3125</v>
      </c>
      <c r="AF16" s="71" t="s">
        <v>194</v>
      </c>
      <c r="AG16" s="74">
        <v>0.25</v>
      </c>
      <c r="AH16" s="71" t="s">
        <v>193</v>
      </c>
      <c r="AI16" s="78">
        <v>33600</v>
      </c>
    </row>
    <row r="17" spans="1:35">
      <c r="A17" s="68">
        <v>15</v>
      </c>
      <c r="B17" s="69" t="s">
        <v>213</v>
      </c>
      <c r="C17" s="133">
        <v>4</v>
      </c>
      <c r="D17" s="69" t="s">
        <v>197</v>
      </c>
      <c r="E17" s="70">
        <v>-52.6</v>
      </c>
      <c r="F17" s="71" t="s">
        <v>175</v>
      </c>
      <c r="G17" s="83">
        <v>-13.622222222222224</v>
      </c>
      <c r="H17" s="71" t="s">
        <v>175</v>
      </c>
      <c r="I17" s="72">
        <v>2.7222222222222223</v>
      </c>
      <c r="J17" s="71" t="s">
        <v>193</v>
      </c>
      <c r="K17" s="73">
        <v>0</v>
      </c>
      <c r="L17" s="71" t="s">
        <v>160</v>
      </c>
      <c r="M17" s="73">
        <v>0.33333333333333331</v>
      </c>
      <c r="N17" s="71" t="s">
        <v>180</v>
      </c>
      <c r="O17" s="73">
        <v>0.4</v>
      </c>
      <c r="P17" s="71" t="s">
        <v>179</v>
      </c>
      <c r="Q17" s="74">
        <v>0.16666666666666666</v>
      </c>
      <c r="R17" s="71" t="s">
        <v>114</v>
      </c>
      <c r="S17" s="74">
        <v>0.1338757396449704</v>
      </c>
      <c r="T17" s="71" t="s">
        <v>180</v>
      </c>
      <c r="U17" s="75">
        <v>5000</v>
      </c>
      <c r="V17" s="71" t="s">
        <v>216</v>
      </c>
      <c r="W17" s="75">
        <v>-6340</v>
      </c>
      <c r="X17" s="71" t="s">
        <v>177</v>
      </c>
      <c r="Y17" s="74">
        <v>0.17857142857142858</v>
      </c>
      <c r="Z17" s="71" t="s">
        <v>189</v>
      </c>
      <c r="AA17" s="74">
        <v>0.17142857142857143</v>
      </c>
      <c r="AB17" s="71" t="s">
        <v>202</v>
      </c>
      <c r="AC17" s="74">
        <v>0.33333333333333331</v>
      </c>
      <c r="AD17" s="71" t="s">
        <v>175</v>
      </c>
      <c r="AE17" s="74">
        <v>0.30303030303030304</v>
      </c>
      <c r="AF17" s="71" t="s">
        <v>162</v>
      </c>
      <c r="AG17" s="74">
        <v>0.20833333333333334</v>
      </c>
      <c r="AH17" s="71" t="s">
        <v>180</v>
      </c>
      <c r="AI17" s="78">
        <v>31000</v>
      </c>
    </row>
    <row r="18" spans="1:35">
      <c r="A18" s="68">
        <v>16</v>
      </c>
      <c r="B18" s="69" t="s">
        <v>216</v>
      </c>
      <c r="C18" s="133">
        <v>3</v>
      </c>
      <c r="D18" s="69" t="s">
        <v>177</v>
      </c>
      <c r="E18" s="70">
        <v>-54.9</v>
      </c>
      <c r="F18" s="71" t="s">
        <v>179</v>
      </c>
      <c r="G18" s="83">
        <v>-14.4</v>
      </c>
      <c r="H18" s="71" t="s">
        <v>207</v>
      </c>
      <c r="I18" s="72">
        <v>3</v>
      </c>
      <c r="J18" s="71" t="s">
        <v>197</v>
      </c>
      <c r="K18" s="73">
        <v>0</v>
      </c>
      <c r="L18" s="71" t="s">
        <v>186</v>
      </c>
      <c r="M18" s="73">
        <v>0.375</v>
      </c>
      <c r="N18" s="71" t="s">
        <v>175</v>
      </c>
      <c r="O18" s="73">
        <v>0.33333333333333331</v>
      </c>
      <c r="P18" s="71" t="s">
        <v>187</v>
      </c>
      <c r="Q18" s="74">
        <v>0.16528925619834711</v>
      </c>
      <c r="R18" s="71" t="s">
        <v>175</v>
      </c>
      <c r="S18" s="74">
        <v>0.15625</v>
      </c>
      <c r="T18" s="71" t="s">
        <v>196</v>
      </c>
      <c r="U18" s="75">
        <v>4909.375</v>
      </c>
      <c r="V18" s="71" t="s">
        <v>160</v>
      </c>
      <c r="W18" s="75">
        <v>-6523.0769230769229</v>
      </c>
      <c r="X18" s="71" t="s">
        <v>162</v>
      </c>
      <c r="Y18" s="74">
        <v>0.17370892018779344</v>
      </c>
      <c r="Z18" s="71" t="s">
        <v>179</v>
      </c>
      <c r="AA18" s="74">
        <v>0.16666666666666666</v>
      </c>
      <c r="AB18" s="71" t="s">
        <v>211</v>
      </c>
      <c r="AC18" s="74">
        <v>0.33333333333333331</v>
      </c>
      <c r="AD18" s="71" t="s">
        <v>187</v>
      </c>
      <c r="AE18" s="74">
        <v>0.22580645161290322</v>
      </c>
      <c r="AF18" s="71" t="s">
        <v>187</v>
      </c>
      <c r="AG18" s="74">
        <v>0.2</v>
      </c>
      <c r="AH18" s="71" t="s">
        <v>177</v>
      </c>
      <c r="AI18" s="78">
        <v>29500</v>
      </c>
    </row>
    <row r="19" spans="1:35">
      <c r="A19" s="68">
        <v>17</v>
      </c>
      <c r="B19" s="69" t="s">
        <v>193</v>
      </c>
      <c r="C19" s="133">
        <v>2</v>
      </c>
      <c r="D19" s="69" t="s">
        <v>160</v>
      </c>
      <c r="E19" s="70">
        <v>-66.499999999999986</v>
      </c>
      <c r="F19" s="71" t="s">
        <v>180</v>
      </c>
      <c r="G19" s="83">
        <v>-26.68</v>
      </c>
      <c r="H19" s="71" t="s">
        <v>179</v>
      </c>
      <c r="I19" s="72">
        <v>3</v>
      </c>
      <c r="J19" s="71" t="s">
        <v>199</v>
      </c>
      <c r="K19" s="73">
        <v>0</v>
      </c>
      <c r="L19" s="71" t="s">
        <v>211</v>
      </c>
      <c r="M19" s="73">
        <v>0.4</v>
      </c>
      <c r="N19" s="71" t="s">
        <v>189</v>
      </c>
      <c r="O19" s="73">
        <v>0.25</v>
      </c>
      <c r="P19" s="71" t="s">
        <v>207</v>
      </c>
      <c r="Q19" s="74">
        <v>0.125</v>
      </c>
      <c r="R19" s="71" t="s">
        <v>180</v>
      </c>
      <c r="S19" s="74">
        <v>0.15625</v>
      </c>
      <c r="T19" s="71" t="s">
        <v>175</v>
      </c>
      <c r="U19" s="75">
        <v>4256</v>
      </c>
      <c r="V19" s="71" t="s">
        <v>197</v>
      </c>
      <c r="W19" s="75">
        <v>-6600</v>
      </c>
      <c r="X19" s="71" t="s">
        <v>160</v>
      </c>
      <c r="Y19" s="74">
        <v>0.16666666666666666</v>
      </c>
      <c r="Z19" s="71" t="s">
        <v>194</v>
      </c>
      <c r="AA19" s="74">
        <v>0.15789473684210525</v>
      </c>
      <c r="AB19" s="71" t="s">
        <v>187</v>
      </c>
      <c r="AC19" s="74">
        <v>0.3125</v>
      </c>
      <c r="AD19" s="71" t="s">
        <v>211</v>
      </c>
      <c r="AE19" s="74">
        <v>0.16666666666666666</v>
      </c>
      <c r="AF19" s="71" t="s">
        <v>202</v>
      </c>
      <c r="AG19" s="74">
        <v>0.14285714285714285</v>
      </c>
      <c r="AH19" s="71" t="s">
        <v>179</v>
      </c>
      <c r="AI19" s="78">
        <v>25600</v>
      </c>
    </row>
    <row r="20" spans="1:35">
      <c r="A20" s="68">
        <v>18</v>
      </c>
      <c r="B20" s="69" t="s">
        <v>194</v>
      </c>
      <c r="C20" s="133">
        <v>2</v>
      </c>
      <c r="D20" s="69" t="s">
        <v>199</v>
      </c>
      <c r="E20" s="70">
        <v>-97.4</v>
      </c>
      <c r="F20" s="71" t="s">
        <v>207</v>
      </c>
      <c r="G20" s="83">
        <v>-27.1</v>
      </c>
      <c r="H20" s="71" t="s">
        <v>180</v>
      </c>
      <c r="I20" s="72">
        <v>3.2</v>
      </c>
      <c r="J20" s="71" t="s">
        <v>207</v>
      </c>
      <c r="K20" s="73">
        <v>0</v>
      </c>
      <c r="L20" s="71" t="s">
        <v>189</v>
      </c>
      <c r="M20" s="73">
        <v>0.5</v>
      </c>
      <c r="N20" s="71" t="s">
        <v>197</v>
      </c>
      <c r="O20" s="73">
        <v>0</v>
      </c>
      <c r="P20" s="71" t="s">
        <v>177</v>
      </c>
      <c r="Q20" s="74">
        <v>0.10714285714285714</v>
      </c>
      <c r="R20" s="71" t="s">
        <v>179</v>
      </c>
      <c r="S20" s="74">
        <v>0.16666666666666666</v>
      </c>
      <c r="T20" s="71" t="s">
        <v>179</v>
      </c>
      <c r="U20" s="75">
        <v>3900</v>
      </c>
      <c r="V20" s="71" t="s">
        <v>175</v>
      </c>
      <c r="W20" s="75">
        <v>-6805</v>
      </c>
      <c r="X20" s="71" t="s">
        <v>197</v>
      </c>
      <c r="Y20" s="74">
        <v>0.14285714285714285</v>
      </c>
      <c r="Z20" s="71" t="s">
        <v>190</v>
      </c>
      <c r="AA20" s="74">
        <v>0.14285714285714285</v>
      </c>
      <c r="AB20" s="71" t="s">
        <v>180</v>
      </c>
      <c r="AC20" s="74">
        <v>0.25</v>
      </c>
      <c r="AD20" s="71" t="s">
        <v>190</v>
      </c>
      <c r="AE20" s="74">
        <v>0</v>
      </c>
      <c r="AF20" s="71" t="s">
        <v>197</v>
      </c>
      <c r="AG20" s="74">
        <v>0</v>
      </c>
      <c r="AH20" s="71" t="s">
        <v>211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210</v>
      </c>
      <c r="E21" s="70">
        <v>-105.9</v>
      </c>
      <c r="F21" s="71" t="s">
        <v>189</v>
      </c>
      <c r="G21" s="83">
        <v>-31.999999999999996</v>
      </c>
      <c r="H21" s="71" t="s">
        <v>189</v>
      </c>
      <c r="I21" s="72">
        <v>3.25</v>
      </c>
      <c r="J21" s="71" t="s">
        <v>211</v>
      </c>
      <c r="K21" s="73">
        <v>0</v>
      </c>
      <c r="L21" s="71" t="s">
        <v>194</v>
      </c>
      <c r="M21" s="73">
        <v>0.5</v>
      </c>
      <c r="N21" s="71" t="s">
        <v>199</v>
      </c>
      <c r="O21" s="73">
        <v>0</v>
      </c>
      <c r="P21" s="71" t="s">
        <v>211</v>
      </c>
      <c r="Q21" s="74">
        <v>9.3023255813953487E-2</v>
      </c>
      <c r="R21" s="71" t="s">
        <v>210</v>
      </c>
      <c r="S21" s="74">
        <v>0.17647058823529413</v>
      </c>
      <c r="T21" s="71" t="s">
        <v>189</v>
      </c>
      <c r="U21" s="75">
        <v>2928.5714285714284</v>
      </c>
      <c r="V21" s="71" t="s">
        <v>177</v>
      </c>
      <c r="W21" s="75">
        <v>-7166.666666666667</v>
      </c>
      <c r="X21" s="71" t="s">
        <v>180</v>
      </c>
      <c r="Y21" s="74">
        <v>0.125</v>
      </c>
      <c r="Z21" s="71" t="s">
        <v>211</v>
      </c>
      <c r="AA21" s="74">
        <v>0.13953488372093023</v>
      </c>
      <c r="AB21" s="71" t="s">
        <v>197</v>
      </c>
      <c r="AC21" s="74">
        <v>0</v>
      </c>
      <c r="AD21" s="71" t="s">
        <v>193</v>
      </c>
      <c r="AE21" s="74">
        <v>0</v>
      </c>
      <c r="AF21" s="71" t="s">
        <v>199</v>
      </c>
      <c r="AG21" s="74">
        <v>0</v>
      </c>
      <c r="AH21" s="71" t="s">
        <v>189</v>
      </c>
      <c r="AI21" s="78">
        <v>23700</v>
      </c>
    </row>
    <row r="22" spans="1:35">
      <c r="A22" s="68">
        <v>20</v>
      </c>
      <c r="B22" s="69" t="s">
        <v>210</v>
      </c>
      <c r="C22" s="133">
        <v>2</v>
      </c>
      <c r="D22" s="69" t="s">
        <v>189</v>
      </c>
      <c r="E22" s="70">
        <v>-127.99999999999999</v>
      </c>
      <c r="F22" s="71" t="s">
        <v>211</v>
      </c>
      <c r="G22" s="83">
        <v>-32.279999999999994</v>
      </c>
      <c r="H22" s="71" t="s">
        <v>211</v>
      </c>
      <c r="I22" s="72">
        <v>3.4</v>
      </c>
      <c r="J22" s="71" t="s">
        <v>210</v>
      </c>
      <c r="K22" s="73">
        <v>0</v>
      </c>
      <c r="L22" s="71" t="s">
        <v>180</v>
      </c>
      <c r="M22" s="73">
        <v>0.6</v>
      </c>
      <c r="N22" s="71" t="s">
        <v>207</v>
      </c>
      <c r="O22" s="73">
        <v>0</v>
      </c>
      <c r="P22" s="71" t="s">
        <v>180</v>
      </c>
      <c r="Q22" s="74">
        <v>6.25E-2</v>
      </c>
      <c r="R22" s="71" t="s">
        <v>160</v>
      </c>
      <c r="S22" s="74">
        <v>0.18055555555555555</v>
      </c>
      <c r="T22" s="71" t="s">
        <v>210</v>
      </c>
      <c r="U22" s="75">
        <v>1300</v>
      </c>
      <c r="V22" s="71" t="s">
        <v>186</v>
      </c>
      <c r="W22" s="75">
        <v>-7212.5</v>
      </c>
      <c r="X22" s="71" t="s">
        <v>210</v>
      </c>
      <c r="Y22" s="74">
        <v>0.11764705882352941</v>
      </c>
      <c r="Z22" s="71" t="s">
        <v>161</v>
      </c>
      <c r="AA22" s="74">
        <v>0.11538461538461539</v>
      </c>
      <c r="AB22" s="71" t="s">
        <v>199</v>
      </c>
      <c r="AC22" s="74">
        <v>0</v>
      </c>
      <c r="AD22" s="71" t="s">
        <v>197</v>
      </c>
      <c r="AE22" s="74">
        <v>0</v>
      </c>
      <c r="AF22" s="71" t="s">
        <v>207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190</v>
      </c>
      <c r="C23" s="133">
        <v>1</v>
      </c>
      <c r="D23" s="69" t="s">
        <v>216</v>
      </c>
      <c r="E23" s="70">
        <v>-132.69999999999999</v>
      </c>
      <c r="F23" s="71" t="s">
        <v>216</v>
      </c>
      <c r="G23" s="83">
        <v>-44.233333333333327</v>
      </c>
      <c r="H23" s="71" t="s">
        <v>216</v>
      </c>
      <c r="I23" s="72">
        <v>3.6666666666666665</v>
      </c>
      <c r="J23" s="71" t="s">
        <v>216</v>
      </c>
      <c r="K23" s="73">
        <v>0</v>
      </c>
      <c r="L23" s="71" t="s">
        <v>216</v>
      </c>
      <c r="M23" s="73">
        <v>0.66666666666666663</v>
      </c>
      <c r="N23" s="71" t="s">
        <v>211</v>
      </c>
      <c r="O23" s="73">
        <v>0</v>
      </c>
      <c r="P23" s="71" t="s">
        <v>210</v>
      </c>
      <c r="Q23" s="74">
        <v>5.8823529411764705E-2</v>
      </c>
      <c r="R23" s="71" t="s">
        <v>191</v>
      </c>
      <c r="S23" s="74">
        <v>0.19718309859154928</v>
      </c>
      <c r="T23" s="71" t="s">
        <v>207</v>
      </c>
      <c r="U23" s="75">
        <v>1000</v>
      </c>
      <c r="V23" s="71" t="s">
        <v>196</v>
      </c>
      <c r="W23" s="75">
        <v>-8157.1428571428569</v>
      </c>
      <c r="X23" s="71" t="s">
        <v>189</v>
      </c>
      <c r="Y23" s="74">
        <v>0.11428571428571428</v>
      </c>
      <c r="Z23" s="71" t="s">
        <v>177</v>
      </c>
      <c r="AA23" s="74">
        <v>7.1428571428571425E-2</v>
      </c>
      <c r="AB23" s="71" t="s">
        <v>207</v>
      </c>
      <c r="AC23" s="74">
        <v>0</v>
      </c>
      <c r="AD23" s="71" t="s">
        <v>199</v>
      </c>
      <c r="AE23" s="74">
        <v>0</v>
      </c>
      <c r="AF23" s="71" t="s">
        <v>210</v>
      </c>
      <c r="AG23" s="74">
        <v>0</v>
      </c>
      <c r="AH23" s="71" t="s">
        <v>210</v>
      </c>
      <c r="AI23" s="78">
        <v>13500</v>
      </c>
    </row>
    <row r="24" spans="1:35">
      <c r="A24" s="68">
        <v>22</v>
      </c>
      <c r="B24" s="69" t="s">
        <v>197</v>
      </c>
      <c r="C24" s="133">
        <v>1</v>
      </c>
      <c r="D24" s="69" t="s">
        <v>180</v>
      </c>
      <c r="E24" s="70">
        <v>-133.4</v>
      </c>
      <c r="F24" s="71" t="s">
        <v>199</v>
      </c>
      <c r="G24" s="83">
        <v>-48.7</v>
      </c>
      <c r="H24" s="71" t="s">
        <v>197</v>
      </c>
      <c r="I24" s="72">
        <v>4</v>
      </c>
      <c r="J24" s="71" t="s">
        <v>177</v>
      </c>
      <c r="K24" s="73">
        <v>0</v>
      </c>
      <c r="L24" s="71" t="s">
        <v>197</v>
      </c>
      <c r="M24" s="73">
        <v>1</v>
      </c>
      <c r="N24" s="71" t="s">
        <v>210</v>
      </c>
      <c r="O24" s="73">
        <v>0</v>
      </c>
      <c r="P24" s="71" t="s">
        <v>197</v>
      </c>
      <c r="Q24" s="74">
        <v>0</v>
      </c>
      <c r="R24" s="71" t="s">
        <v>216</v>
      </c>
      <c r="S24" s="74">
        <v>0.21739130434782608</v>
      </c>
      <c r="T24" s="71" t="s">
        <v>197</v>
      </c>
      <c r="U24" s="75">
        <v>0</v>
      </c>
      <c r="V24" s="71" t="s">
        <v>213</v>
      </c>
      <c r="W24" s="75">
        <v>-9466.6666666666661</v>
      </c>
      <c r="X24" s="71" t="s">
        <v>202</v>
      </c>
      <c r="Y24" s="74">
        <v>0.10434782608695652</v>
      </c>
      <c r="Z24" s="71" t="s">
        <v>180</v>
      </c>
      <c r="AA24" s="74">
        <v>6.25E-2</v>
      </c>
      <c r="AB24" s="71" t="s">
        <v>210</v>
      </c>
      <c r="AC24" s="74">
        <v>0</v>
      </c>
      <c r="AD24" s="71" t="s">
        <v>210</v>
      </c>
      <c r="AE24" s="74">
        <v>0</v>
      </c>
      <c r="AF24" s="71" t="s">
        <v>216</v>
      </c>
      <c r="AG24" s="74">
        <v>0</v>
      </c>
      <c r="AH24" s="71" t="s">
        <v>207</v>
      </c>
      <c r="AI24" s="78">
        <v>12900</v>
      </c>
    </row>
    <row r="25" spans="1:35">
      <c r="A25" s="68">
        <v>23</v>
      </c>
      <c r="B25" s="69" t="s">
        <v>207</v>
      </c>
      <c r="C25" s="133">
        <v>1</v>
      </c>
      <c r="D25" s="69" t="s">
        <v>211</v>
      </c>
      <c r="E25" s="70">
        <v>-161.39999999999998</v>
      </c>
      <c r="F25" s="71" t="s">
        <v>197</v>
      </c>
      <c r="G25" s="83">
        <v>-52.6</v>
      </c>
      <c r="H25" s="71" t="s">
        <v>199</v>
      </c>
      <c r="I25" s="72">
        <v>4</v>
      </c>
      <c r="J25" s="71" t="s">
        <v>179</v>
      </c>
      <c r="K25" s="73">
        <v>0</v>
      </c>
      <c r="L25" s="71" t="s">
        <v>199</v>
      </c>
      <c r="M25" s="73">
        <v>1</v>
      </c>
      <c r="N25" s="71" t="s">
        <v>216</v>
      </c>
      <c r="O25" s="73">
        <v>0</v>
      </c>
      <c r="P25" s="71" t="s">
        <v>199</v>
      </c>
      <c r="Q25" s="74">
        <v>0</v>
      </c>
      <c r="R25" s="71" t="s">
        <v>211</v>
      </c>
      <c r="S25" s="74">
        <v>0.23255813953488372</v>
      </c>
      <c r="T25" s="71" t="s">
        <v>199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193</v>
      </c>
      <c r="AA25" s="74">
        <v>0</v>
      </c>
      <c r="AB25" s="71" t="s">
        <v>216</v>
      </c>
      <c r="AC25" s="74">
        <v>0</v>
      </c>
      <c r="AD25" s="71" t="s">
        <v>216</v>
      </c>
      <c r="AE25" s="74">
        <v>0</v>
      </c>
      <c r="AF25" s="71" t="s">
        <v>179</v>
      </c>
      <c r="AG25" s="74">
        <v>0</v>
      </c>
      <c r="AH25" s="71" t="s">
        <v>216</v>
      </c>
      <c r="AI25" s="78">
        <v>10700</v>
      </c>
    </row>
    <row r="26" spans="1:35">
      <c r="A26" s="68">
        <v>24</v>
      </c>
      <c r="B26" s="69" t="s">
        <v>179</v>
      </c>
      <c r="C26" s="133">
        <v>1</v>
      </c>
      <c r="D26" s="69" t="s">
        <v>175</v>
      </c>
      <c r="E26" s="70">
        <v>-245.20000000000002</v>
      </c>
      <c r="F26" s="71" t="s">
        <v>210</v>
      </c>
      <c r="G26" s="83">
        <v>-52.95</v>
      </c>
      <c r="H26" s="71" t="s">
        <v>210</v>
      </c>
      <c r="I26" s="72">
        <v>4</v>
      </c>
      <c r="J26" s="71" t="s">
        <v>180</v>
      </c>
      <c r="K26" s="73">
        <v>0</v>
      </c>
      <c r="L26" s="71" t="s">
        <v>210</v>
      </c>
      <c r="M26" s="73">
        <v>1</v>
      </c>
      <c r="N26" s="71" t="s">
        <v>179</v>
      </c>
      <c r="O26" s="73">
        <v>0</v>
      </c>
      <c r="P26" s="71" t="s">
        <v>216</v>
      </c>
      <c r="Q26" s="74">
        <v>0</v>
      </c>
      <c r="R26" s="71" t="s">
        <v>197</v>
      </c>
      <c r="S26" s="74">
        <v>0.2857142857142857</v>
      </c>
      <c r="T26" s="71" t="s">
        <v>216</v>
      </c>
      <c r="U26" s="75">
        <v>0</v>
      </c>
      <c r="V26" s="71" t="s">
        <v>189</v>
      </c>
      <c r="W26" s="75">
        <v>-11400</v>
      </c>
      <c r="X26" s="71" t="s">
        <v>216</v>
      </c>
      <c r="Y26" s="74">
        <v>4.3478260869565216E-2</v>
      </c>
      <c r="Z26" s="71" t="s">
        <v>216</v>
      </c>
      <c r="AA26" s="74">
        <v>0</v>
      </c>
      <c r="AB26" s="71" t="s">
        <v>179</v>
      </c>
      <c r="AC26" s="74">
        <v>0</v>
      </c>
      <c r="AD26" s="71" t="s">
        <v>177</v>
      </c>
      <c r="AE26" s="74">
        <v>0</v>
      </c>
      <c r="AF26" s="71" t="s">
        <v>180</v>
      </c>
      <c r="AG26" s="74">
        <v>0</v>
      </c>
      <c r="AH26" s="71" t="s">
        <v>197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F863C-7706-4BC9-ABDE-11E459B0509E}">
  <sheetPr codeName="Sheet4"/>
  <dimension ref="A1:Q174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114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172</v>
      </c>
      <c r="C2" s="151"/>
      <c r="E2" s="54" t="s">
        <v>54</v>
      </c>
      <c r="F2" s="51" t="s">
        <v>20</v>
      </c>
      <c r="G2" s="39">
        <v>161</v>
      </c>
      <c r="H2" s="117">
        <f>IF(B$17=0,0,G2/B$17)</f>
        <v>0.57913669064748197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-34.883720930232556</v>
      </c>
      <c r="P2" s="103">
        <v>172</v>
      </c>
      <c r="Q2" s="87">
        <v>-6000</v>
      </c>
    </row>
    <row r="3" spans="1:17">
      <c r="A3" s="47" t="s">
        <v>8</v>
      </c>
      <c r="B3" s="152">
        <v>1352</v>
      </c>
      <c r="C3" s="153"/>
      <c r="E3" s="55" t="s">
        <v>171</v>
      </c>
      <c r="F3" s="52" t="s">
        <v>174</v>
      </c>
      <c r="G3" s="40">
        <v>138</v>
      </c>
      <c r="H3" s="118">
        <f>IF(B$17=0,0,G3/B$17)</f>
        <v>0.49640287769784175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11.627906976744185</v>
      </c>
      <c r="P3" s="104">
        <v>172</v>
      </c>
      <c r="Q3" s="88">
        <v>2000</v>
      </c>
    </row>
    <row r="4" spans="1:17">
      <c r="A4" s="47" t="s">
        <v>6</v>
      </c>
      <c r="B4" s="154">
        <v>-30.000000000000007</v>
      </c>
      <c r="C4" s="155"/>
      <c r="E4" s="55" t="s">
        <v>168</v>
      </c>
      <c r="F4" s="52" t="s">
        <v>156</v>
      </c>
      <c r="G4" s="40">
        <v>131</v>
      </c>
      <c r="H4" s="118">
        <f>IF(B$17=0,0,G4/B$17)</f>
        <v>0.47122302158273383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0"/>
        <v>-46.511627906976742</v>
      </c>
      <c r="P4" s="104">
        <v>172</v>
      </c>
      <c r="Q4" s="88">
        <v>-8000</v>
      </c>
    </row>
    <row r="5" spans="1:17">
      <c r="A5" s="47" t="s">
        <v>7</v>
      </c>
      <c r="B5" s="156">
        <f>IF(B$2=0,0,B$4/B$2)</f>
        <v>-0.17441860465116282</v>
      </c>
      <c r="C5" s="157"/>
      <c r="E5" s="55" t="s">
        <v>60</v>
      </c>
      <c r="F5" s="52" t="s">
        <v>24</v>
      </c>
      <c r="G5" s="40">
        <v>111</v>
      </c>
      <c r="H5" s="118">
        <f>IF(B$17=0,0,G5/B$17)</f>
        <v>0.39928057553956836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-25</v>
      </c>
      <c r="P5" s="104">
        <v>160</v>
      </c>
      <c r="Q5" s="88">
        <v>-4000</v>
      </c>
    </row>
    <row r="6" spans="1:17">
      <c r="A6" s="47" t="s">
        <v>1</v>
      </c>
      <c r="B6" s="158">
        <f>IF(B$2=0,0,(B$7*1+B$8*2+B$9*3+B$10*4)/B$2)</f>
        <v>2.4883720930232558</v>
      </c>
      <c r="C6" s="159"/>
      <c r="E6" s="55" t="s">
        <v>57</v>
      </c>
      <c r="F6" s="52" t="s">
        <v>21</v>
      </c>
      <c r="G6" s="40">
        <v>68</v>
      </c>
      <c r="H6" s="118">
        <f>IF(B$17=0,0,G6/B$17)</f>
        <v>0.2446043165467626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44</v>
      </c>
      <c r="C7" s="33">
        <f t="shared" ref="C7:C12" si="2">IF(B$2=0,0,B7/B$2)</f>
        <v>0.2558139534883721</v>
      </c>
      <c r="E7" s="55" t="s">
        <v>55</v>
      </c>
      <c r="F7" s="52" t="s">
        <v>155</v>
      </c>
      <c r="G7" s="40">
        <v>65</v>
      </c>
      <c r="H7" s="118">
        <f>IF(B$17=0,0,G7/B$17)</f>
        <v>0.23381294964028776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42</v>
      </c>
      <c r="C8" s="33">
        <f>IF(B$2=0,0,B8/B$2)</f>
        <v>0.2441860465116279</v>
      </c>
      <c r="E8" s="55" t="s">
        <v>56</v>
      </c>
      <c r="F8" s="52" t="s">
        <v>172</v>
      </c>
      <c r="G8" s="40">
        <v>65</v>
      </c>
      <c r="H8" s="118">
        <f>IF(B$17=0,0,G8/B$17)</f>
        <v>0.23381294964028776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44</v>
      </c>
      <c r="C9" s="34">
        <f>IF(B$2=0,0,B9/B$2)</f>
        <v>0.2558139534883721</v>
      </c>
      <c r="E9" s="55" t="s">
        <v>59</v>
      </c>
      <c r="F9" s="52" t="s">
        <v>23</v>
      </c>
      <c r="G9" s="40">
        <v>46</v>
      </c>
      <c r="H9" s="118">
        <f>IF(B$17=0,0,G9/B$17)</f>
        <v>0.16546762589928057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42</v>
      </c>
      <c r="C10" s="34">
        <f>IF(B$2=0,0,B10/B$2)</f>
        <v>0.2441860465116279</v>
      </c>
      <c r="E10" s="55" t="s">
        <v>169</v>
      </c>
      <c r="F10" s="52" t="s">
        <v>19</v>
      </c>
      <c r="G10" s="40">
        <v>29</v>
      </c>
      <c r="H10" s="118">
        <f>IF(B$17=0,0,G10/B$17)</f>
        <v>0.10431654676258993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86</v>
      </c>
      <c r="C11" s="34">
        <f>IF(B$2=0,0,B11/B$2)</f>
        <v>0.5</v>
      </c>
      <c r="E11" s="55" t="s">
        <v>58</v>
      </c>
      <c r="F11" s="52" t="s">
        <v>22</v>
      </c>
      <c r="G11" s="40">
        <v>17</v>
      </c>
      <c r="H11" s="118">
        <f>IF(B$17=0,0,G11/B$17)</f>
        <v>6.1151079136690649E-2</v>
      </c>
      <c r="I11" s="80">
        <v>8</v>
      </c>
      <c r="K11" s="32">
        <v>9</v>
      </c>
      <c r="L11" s="85">
        <v>-52.099999999999994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5.232558139534884E-2</v>
      </c>
      <c r="E12" s="55" t="s">
        <v>71</v>
      </c>
      <c r="F12" s="52" t="s">
        <v>35</v>
      </c>
      <c r="G12" s="40">
        <v>11</v>
      </c>
      <c r="H12" s="118">
        <f>IF(B$17=0,0,G12/B$17)</f>
        <v>3.9568345323741004E-2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-4.7790697674418627</v>
      </c>
      <c r="P12" s="103">
        <v>43</v>
      </c>
      <c r="Q12" s="91">
        <v>-205.50000000000009</v>
      </c>
    </row>
    <row r="13" spans="1:17">
      <c r="A13" s="50" t="s">
        <v>97</v>
      </c>
      <c r="B13" s="43">
        <v>255</v>
      </c>
      <c r="C13" s="38">
        <f>IF(B$3=0,0,B13/B$3)</f>
        <v>0.18860946745562129</v>
      </c>
      <c r="E13" s="55" t="s">
        <v>170</v>
      </c>
      <c r="F13" s="52" t="s">
        <v>173</v>
      </c>
      <c r="G13" s="40">
        <v>9</v>
      </c>
      <c r="H13" s="118">
        <f>IF(B$17=0,0,G13/B$17)</f>
        <v>3.237410071942446E-2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5.31395348837209</v>
      </c>
      <c r="P13" s="104">
        <v>43</v>
      </c>
      <c r="Q13" s="92">
        <v>228.49999999999986</v>
      </c>
    </row>
    <row r="14" spans="1:17">
      <c r="A14" s="47" t="s">
        <v>94</v>
      </c>
      <c r="B14" s="40">
        <v>295</v>
      </c>
      <c r="C14" s="33">
        <f>IF(B$3=0,0,B14/B$3)</f>
        <v>0.21819526627218935</v>
      </c>
      <c r="E14" s="55" t="s">
        <v>77</v>
      </c>
      <c r="F14" s="52" t="s">
        <v>41</v>
      </c>
      <c r="G14" s="40">
        <v>7</v>
      </c>
      <c r="H14" s="118">
        <f>IF(B$17=0,0,G14/B$17)</f>
        <v>2.5179856115107913E-2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-8.372093023255503E-2</v>
      </c>
      <c r="P14" s="104">
        <v>43</v>
      </c>
      <c r="Q14" s="92">
        <v>-3.5999999999998664</v>
      </c>
    </row>
    <row r="15" spans="1:17">
      <c r="A15" s="46" t="s">
        <v>99</v>
      </c>
      <c r="B15" s="39">
        <f>B21</f>
        <v>133</v>
      </c>
      <c r="C15" s="31">
        <f>IF(B$13=0,0,B15/B$13)</f>
        <v>0.52156862745098043</v>
      </c>
      <c r="E15" s="55" t="s">
        <v>67</v>
      </c>
      <c r="F15" s="52" t="s">
        <v>31</v>
      </c>
      <c r="G15" s="40">
        <v>6</v>
      </c>
      <c r="H15" s="118">
        <f>IF(B$17=0,0,G15/B$17)</f>
        <v>2.1582733812949641E-2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-1.1488372093023249</v>
      </c>
      <c r="P15" s="105">
        <v>43</v>
      </c>
      <c r="Q15" s="93">
        <v>-49.39999999999997</v>
      </c>
    </row>
    <row r="16" spans="1:17">
      <c r="A16" s="46" t="s">
        <v>100</v>
      </c>
      <c r="B16" s="39">
        <f>B22</f>
        <v>101</v>
      </c>
      <c r="C16" s="31">
        <f>IF(B$14=0,0,B16/B$14)</f>
        <v>0.34237288135593219</v>
      </c>
      <c r="E16" s="55" t="s">
        <v>74</v>
      </c>
      <c r="F16" s="52" t="s">
        <v>38</v>
      </c>
      <c r="G16" s="40">
        <v>6</v>
      </c>
      <c r="H16" s="118">
        <f>IF(B$17=0,0,G16/B$17)</f>
        <v>2.1582733812949641E-2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278</v>
      </c>
      <c r="C17" s="31">
        <f>IF(B$3=0,0,B17/B$3)</f>
        <v>0.20562130177514792</v>
      </c>
      <c r="E17" s="55" t="s">
        <v>62</v>
      </c>
      <c r="F17" s="52" t="s">
        <v>26</v>
      </c>
      <c r="G17" s="40">
        <v>2</v>
      </c>
      <c r="H17" s="118">
        <f>IF(B$17=0,0,G17/B$17)</f>
        <v>7.1942446043165471E-3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181</v>
      </c>
      <c r="C18" s="33">
        <f>IF(B$3=0,0,B18/B$3)</f>
        <v>0.1338757396449704</v>
      </c>
      <c r="E18" s="55" t="s">
        <v>66</v>
      </c>
      <c r="F18" s="52" t="s">
        <v>30</v>
      </c>
      <c r="G18" s="40">
        <v>2</v>
      </c>
      <c r="H18" s="118">
        <f>IF(B$17=0,0,G18/B$17)</f>
        <v>7.1942446043165471E-3</v>
      </c>
      <c r="I18" s="80">
        <v>3</v>
      </c>
      <c r="K18" s="32">
        <v>16</v>
      </c>
      <c r="L18" s="85">
        <v>1.4210854715202004E-14</v>
      </c>
      <c r="N18" s="99" t="s">
        <v>210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97</v>
      </c>
      <c r="C19" s="33">
        <f>IF(B$17=0,0,B19/B$17)</f>
        <v>0.34892086330935251</v>
      </c>
      <c r="E19" s="55" t="s">
        <v>69</v>
      </c>
      <c r="F19" s="52" t="s">
        <v>33</v>
      </c>
      <c r="G19" s="40">
        <v>2</v>
      </c>
      <c r="H19" s="118">
        <f>IF(B$17=0,0,G19/B$17)</f>
        <v>7.1942446043165471E-3</v>
      </c>
      <c r="I19" s="80">
        <v>3</v>
      </c>
      <c r="K19" s="32">
        <v>17</v>
      </c>
      <c r="L19" s="85">
        <v>-32.899999999999984</v>
      </c>
      <c r="N19" s="100" t="s">
        <v>197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181</v>
      </c>
      <c r="C20" s="33">
        <f>IF(B$17=0,0,B20/B$17)</f>
        <v>0.65107913669064743</v>
      </c>
      <c r="E20" s="55" t="s">
        <v>72</v>
      </c>
      <c r="F20" s="52" t="s">
        <v>36</v>
      </c>
      <c r="G20" s="40">
        <v>2</v>
      </c>
      <c r="H20" s="118">
        <f>IF(B$17=0,0,G20/B$17)</f>
        <v>7.1942446043165471E-3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133</v>
      </c>
      <c r="C21" s="33">
        <f>IF(B$17=0,0,B21/B$17)</f>
        <v>0.47841726618705038</v>
      </c>
      <c r="E21" s="55" t="s">
        <v>75</v>
      </c>
      <c r="F21" s="52" t="s">
        <v>39</v>
      </c>
      <c r="G21" s="40">
        <v>2</v>
      </c>
      <c r="H21" s="118">
        <f>IF(B$17=0,0,G21/B$17)</f>
        <v>7.1942446043165471E-3</v>
      </c>
      <c r="I21" s="80">
        <v>3</v>
      </c>
      <c r="K21" s="32">
        <v>19</v>
      </c>
      <c r="L21" s="85">
        <v>-3.6999999999999886</v>
      </c>
      <c r="N21" s="100" t="s">
        <v>216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101</v>
      </c>
      <c r="C22" s="33">
        <f>IF(B$17=0,0,B22/B$17)</f>
        <v>0.36330935251798563</v>
      </c>
      <c r="E22" s="55" t="s">
        <v>78</v>
      </c>
      <c r="F22" s="52" t="s">
        <v>42</v>
      </c>
      <c r="G22" s="40">
        <v>2</v>
      </c>
      <c r="H22" s="118">
        <f>IF(B$17=0,0,G22/B$17)</f>
        <v>7.1942446043165471E-3</v>
      </c>
      <c r="I22" s="80">
        <v>3</v>
      </c>
      <c r="K22" s="32">
        <v>20</v>
      </c>
      <c r="L22" s="85">
        <v>1.1546319456101628E-14</v>
      </c>
      <c r="N22" s="100" t="s">
        <v>211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44</v>
      </c>
      <c r="C23" s="33">
        <f>IF(B$17=0,0,B23/B$17)</f>
        <v>0.15827338129496402</v>
      </c>
      <c r="E23" s="55" t="s">
        <v>61</v>
      </c>
      <c r="F23" s="52" t="s">
        <v>25</v>
      </c>
      <c r="G23" s="40">
        <v>1</v>
      </c>
      <c r="H23" s="118">
        <f>IF(B$17=0,0,G23/B$17)</f>
        <v>3.5971223021582736E-3</v>
      </c>
      <c r="I23" s="80">
        <v>2</v>
      </c>
      <c r="K23" s="32">
        <v>21</v>
      </c>
      <c r="L23" s="85">
        <v>-52.599999999999987</v>
      </c>
      <c r="N23" s="100" t="s">
        <v>189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6391.3669064748201</v>
      </c>
      <c r="C24" s="35">
        <v>1776800</v>
      </c>
      <c r="E24" s="55" t="s">
        <v>76</v>
      </c>
      <c r="F24" s="52" t="s">
        <v>40</v>
      </c>
      <c r="G24" s="40">
        <v>1</v>
      </c>
      <c r="H24" s="118">
        <f>IF(B$17=0,0,G24/B$17)</f>
        <v>3.5971223021582736E-3</v>
      </c>
      <c r="I24" s="80">
        <v>2</v>
      </c>
      <c r="K24" s="32">
        <v>22</v>
      </c>
      <c r="L24" s="85">
        <v>-68.399999999999991</v>
      </c>
      <c r="N24" s="100" t="s">
        <v>207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7481.3559322033898</v>
      </c>
      <c r="C25" s="122">
        <v>1324200</v>
      </c>
      <c r="E25" s="55" t="s">
        <v>80</v>
      </c>
      <c r="F25" s="52" t="s">
        <v>44</v>
      </c>
      <c r="G25" s="40">
        <v>1</v>
      </c>
      <c r="H25" s="118">
        <f>IF(B$17=0,0,G25/B$17)</f>
        <v>3.5971223021582736E-3</v>
      </c>
      <c r="I25" s="80">
        <v>2</v>
      </c>
      <c r="K25" s="32">
        <v>23</v>
      </c>
      <c r="L25" s="85">
        <v>-13.199999999999989</v>
      </c>
      <c r="N25" s="100" t="s">
        <v>180</v>
      </c>
      <c r="O25" s="110">
        <f>IF(P25=0,0,Q25/P25)</f>
        <v>35.573333333333338</v>
      </c>
      <c r="P25" s="104">
        <v>15</v>
      </c>
      <c r="Q25" s="92">
        <v>533.6</v>
      </c>
    </row>
    <row r="26" spans="1:17">
      <c r="A26" s="48" t="s">
        <v>134</v>
      </c>
      <c r="B26" s="121">
        <f>IF(B$16=0,0,C26/B$16)</f>
        <v>4481.1881188118814</v>
      </c>
      <c r="C26" s="122">
        <v>452600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179</v>
      </c>
      <c r="O26" s="110">
        <f>IF(P26=0,0,Q26/P26)</f>
        <v>19.200000000000003</v>
      </c>
      <c r="P26" s="104">
        <v>3</v>
      </c>
      <c r="Q26" s="92">
        <v>57.600000000000009</v>
      </c>
    </row>
    <row r="27" spans="1:17">
      <c r="A27" s="48" t="s">
        <v>132</v>
      </c>
      <c r="B27" s="121">
        <f>IF(B$18=0,0,C27/B$18)</f>
        <v>-6070.1657458563532</v>
      </c>
      <c r="C27" s="122">
        <v>-1098700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175</v>
      </c>
      <c r="O27" s="110">
        <f>IF(P27=0,0,Q27/P27)</f>
        <v>17.977777777777774</v>
      </c>
      <c r="P27" s="104">
        <v>54</v>
      </c>
      <c r="Q27" s="92">
        <v>970.79999999999984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177</v>
      </c>
      <c r="O28" s="110">
        <f>IF(P28=0,0,Q28/P28)</f>
        <v>14.639999999999999</v>
      </c>
      <c r="P28" s="104">
        <v>15</v>
      </c>
      <c r="Q28" s="92">
        <v>219.6</v>
      </c>
    </row>
    <row r="29" spans="1:17">
      <c r="A29" s="47" t="s">
        <v>131</v>
      </c>
      <c r="B29" s="40">
        <v>31</v>
      </c>
      <c r="C29" s="120">
        <v>10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160</v>
      </c>
      <c r="O29" s="110">
        <f>IF(P29=0,0,Q29/P29)</f>
        <v>9.1111111111111143</v>
      </c>
      <c r="P29" s="104">
        <v>27</v>
      </c>
      <c r="Q29" s="92">
        <v>246.00000000000009</v>
      </c>
    </row>
    <row r="30" spans="1:17">
      <c r="A30" s="76" t="s">
        <v>111</v>
      </c>
      <c r="B30" s="144">
        <v>5</v>
      </c>
      <c r="C30" s="14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196</v>
      </c>
      <c r="O30" s="110">
        <f>IF(P30=0,0,Q30/P30)</f>
        <v>2.4666666666666663</v>
      </c>
      <c r="P30" s="104">
        <v>48</v>
      </c>
      <c r="Q30" s="92">
        <v>118.39999999999998</v>
      </c>
    </row>
    <row r="31" spans="1:17">
      <c r="A31" s="50" t="s">
        <v>148</v>
      </c>
      <c r="B31" s="146">
        <v>67800</v>
      </c>
      <c r="C31" s="14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193</v>
      </c>
      <c r="O31" s="110">
        <f>IF(P31=0,0,Q31/P31)</f>
        <v>1.4666666666666668</v>
      </c>
      <c r="P31" s="104">
        <v>6</v>
      </c>
      <c r="Q31" s="92">
        <v>8.8000000000000007</v>
      </c>
    </row>
    <row r="32" spans="1:17">
      <c r="A32" s="49" t="s">
        <v>112</v>
      </c>
      <c r="B32" s="57">
        <v>3</v>
      </c>
      <c r="C32" s="36">
        <f>IF(B$3=0,0,B32/B$3)</f>
        <v>2.2189349112426036E-3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187</v>
      </c>
      <c r="O32" s="110">
        <f>IF(P32=0,0,Q32/P32)</f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194</v>
      </c>
      <c r="O33" s="110">
        <f>IF(P33=0,0,Q33/P33)</f>
        <v>-2.6</v>
      </c>
      <c r="P33" s="104">
        <v>6</v>
      </c>
      <c r="Q33" s="92">
        <v>-15.600000000000001</v>
      </c>
    </row>
    <row r="34" spans="1:17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186</v>
      </c>
      <c r="O34" s="110">
        <f>IF(P34=0,0,Q34/P34)</f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34</v>
      </c>
      <c r="C35" s="126">
        <f t="shared" ref="C35:C47" si="3">IF(B$17=0,0,B35/B$17)</f>
        <v>0.1223021582733813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202</v>
      </c>
      <c r="O35" s="110">
        <f>IF(P35=0,0,Q35/P35)</f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59</v>
      </c>
      <c r="C36" s="33">
        <f t="shared" si="3"/>
        <v>0.21223021582733814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191</v>
      </c>
      <c r="O36" s="110">
        <f>IF(P36=0,0,Q36/P36)</f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65</v>
      </c>
      <c r="C37" s="33">
        <f t="shared" si="3"/>
        <v>0.23381294964028776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190</v>
      </c>
      <c r="O37" s="110">
        <f>IF(P37=0,0,Q37/P37)</f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52</v>
      </c>
      <c r="C38" s="33">
        <f t="shared" si="3"/>
        <v>0.18705035971223022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162</v>
      </c>
      <c r="O38" s="110">
        <f>IF(P38=0,0,Q38/P38)</f>
        <v>-25.94074074074074</v>
      </c>
      <c r="P38" s="104">
        <v>81</v>
      </c>
      <c r="Q38" s="92">
        <v>-2101.1999999999998</v>
      </c>
    </row>
    <row r="39" spans="1:17">
      <c r="A39" s="47" t="s">
        <v>138</v>
      </c>
      <c r="B39" s="137">
        <v>28</v>
      </c>
      <c r="C39" s="33">
        <f t="shared" si="3"/>
        <v>0.10071942446043165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161</v>
      </c>
      <c r="O39" s="110">
        <f>IF(P39=0,0,Q39/P39)</f>
        <v>-39.703703703703681</v>
      </c>
      <c r="P39" s="104">
        <v>27</v>
      </c>
      <c r="Q39" s="92">
        <v>-1071.9999999999993</v>
      </c>
    </row>
    <row r="40" spans="1:17">
      <c r="A40" s="47" t="s">
        <v>140</v>
      </c>
      <c r="B40" s="137">
        <v>31</v>
      </c>
      <c r="C40" s="33">
        <f t="shared" si="3"/>
        <v>0.11151079136690648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213</v>
      </c>
      <c r="O40" s="110">
        <f>IF(P40=0,0,Q40/P40)</f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3"/>
        <v>2.8776978417266189E-2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3.5971223021582736E-3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179C3-A59F-4572-8678-9B3BE119AF3F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15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2">
        <v>121</v>
      </c>
      <c r="C3" s="153"/>
      <c r="E3" s="55" t="s">
        <v>168</v>
      </c>
      <c r="F3" s="52" t="s">
        <v>156</v>
      </c>
      <c r="G3" s="40">
        <v>10</v>
      </c>
      <c r="H3" s="118">
        <f>IF(B$17=0,0,G3/B$17)</f>
        <v>0.5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4">
        <v>22.499999999999993</v>
      </c>
      <c r="C4" s="155"/>
      <c r="E4" s="55" t="s">
        <v>171</v>
      </c>
      <c r="F4" s="52" t="s">
        <v>174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56">
        <f>IF(B$2=0,0,B$4/B$2)</f>
        <v>1.4999999999999996</v>
      </c>
      <c r="C5" s="15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58">
        <f>IF(B$2=0,0,(B$7*1+B$8*2+B$9*3+B$10*4)/B$2)</f>
        <v>2.4666666666666668</v>
      </c>
      <c r="C6" s="15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172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169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170</v>
      </c>
      <c r="F14" s="52" t="s">
        <v>173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161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213</v>
      </c>
      <c r="O20" s="110">
        <f>IF(P20=0,0,Q20/P20)</f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175</v>
      </c>
      <c r="O21" s="110">
        <f>IF(P21=0,0,Q21/P21)</f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196</v>
      </c>
      <c r="O22" s="110">
        <f>IF(P22=0,0,Q22/P22)</f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186</v>
      </c>
      <c r="O23" s="110">
        <f>IF(P23=0,0,Q23/P23)</f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162</v>
      </c>
      <c r="O24" s="110">
        <f>IF(P24=0,0,Q24/P24)</f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202</v>
      </c>
      <c r="O25" s="110">
        <f>IF(P25=0,0,Q25/P25)</f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160</v>
      </c>
      <c r="O26" s="110">
        <f>IF(P26=0,0,Q26/P26)</f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191</v>
      </c>
      <c r="O27" s="110">
        <f>IF(P27=0,0,Q27/P27)</f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193</v>
      </c>
      <c r="O28" s="110">
        <f>IF(P28=0,0,Q28/P28)</f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194</v>
      </c>
      <c r="O29" s="110">
        <f>IF(P29=0,0,Q29/P29)</f>
        <v>-75.5</v>
      </c>
      <c r="P29" s="104">
        <v>1</v>
      </c>
      <c r="Q29" s="92">
        <v>-75.5</v>
      </c>
    </row>
    <row r="30" spans="1:17">
      <c r="A30" s="76" t="s">
        <v>111</v>
      </c>
      <c r="B30" s="144">
        <v>4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52000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851D8-AAB7-47DD-A8F9-9D46EC316D46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9</v>
      </c>
      <c r="C2" s="151"/>
      <c r="E2" s="54" t="s">
        <v>171</v>
      </c>
      <c r="F2" s="51" t="s">
        <v>174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52">
        <v>72</v>
      </c>
      <c r="C3" s="153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54">
        <v>-66.499999999999986</v>
      </c>
      <c r="C4" s="155"/>
      <c r="E4" s="55" t="s">
        <v>168</v>
      </c>
      <c r="F4" s="52" t="s">
        <v>156</v>
      </c>
      <c r="G4" s="40">
        <v>6</v>
      </c>
      <c r="H4" s="118">
        <f>IF(B$17=0,0,G4/B$17)</f>
        <v>0.46153846153846156</v>
      </c>
      <c r="I4" s="80">
        <v>14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56">
        <f>IF(B$2=0,0,B$4/B$2)</f>
        <v>-7.3888888888888875</v>
      </c>
      <c r="C5" s="157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58">
        <f>IF(B$2=0,0,(B$7*1+B$8*2+B$9*3+B$10*4)/B$2)</f>
        <v>2.6666666666666665</v>
      </c>
      <c r="C6" s="159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172</v>
      </c>
      <c r="G7" s="40">
        <v>3</v>
      </c>
      <c r="H7" s="118">
        <f>IF(B$17=0,0,G7/B$17)</f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14</v>
      </c>
      <c r="K11" s="32">
        <v>9</v>
      </c>
      <c r="L11" s="85">
        <v>-66.499999999999986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170</v>
      </c>
      <c r="F12" s="52" t="s">
        <v>173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169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161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186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175</v>
      </c>
      <c r="O21" s="110">
        <f>IF(P21=0,0,Q21/P21)</f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187</v>
      </c>
      <c r="O22" s="110">
        <f>IF(P22=0,0,Q22/P22)</f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189</v>
      </c>
      <c r="O23" s="110">
        <f>IF(P23=0,0,Q23/P23)</f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177</v>
      </c>
      <c r="O24" s="110">
        <f>IF(P24=0,0,Q24/P24)</f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196</v>
      </c>
      <c r="O25" s="110">
        <f>IF(P25=0,0,Q25/P25)</f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191</v>
      </c>
      <c r="O26" s="110">
        <f>IF(P26=0,0,Q26/P26)</f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193</v>
      </c>
      <c r="O27" s="110">
        <f>IF(P27=0,0,Q27/P27)</f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162</v>
      </c>
      <c r="O28" s="110">
        <f>IF(P28=0,0,Q28/P28)</f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194</v>
      </c>
      <c r="O29" s="110">
        <f>IF(P29=0,0,Q29/P29)</f>
        <v>-126.8</v>
      </c>
      <c r="P29" s="104">
        <v>1</v>
      </c>
      <c r="Q29" s="92">
        <v>-126.8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54900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3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0DDC2-93F2-4D44-9001-0209DE729F9D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9</v>
      </c>
      <c r="C2" s="151"/>
      <c r="E2" s="54" t="s">
        <v>168</v>
      </c>
      <c r="F2" s="51" t="s">
        <v>156</v>
      </c>
      <c r="G2" s="39">
        <v>14</v>
      </c>
      <c r="H2" s="117">
        <f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52">
        <v>78</v>
      </c>
      <c r="C3" s="153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54">
        <v>268</v>
      </c>
      <c r="C4" s="155"/>
      <c r="E4" s="55" t="s">
        <v>171</v>
      </c>
      <c r="F4" s="52" t="s">
        <v>174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56">
        <f>IF(B$2=0,0,B$4/B$2)</f>
        <v>29.777777777777779</v>
      </c>
      <c r="C5" s="157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58">
        <f>IF(B$2=0,0,(B$7*1+B$8*2+B$9*3+B$10*4)/B$2)</f>
        <v>1.8888888888888888</v>
      </c>
      <c r="C6" s="159"/>
      <c r="E6" s="55" t="s">
        <v>56</v>
      </c>
      <c r="F6" s="52" t="s">
        <v>172</v>
      </c>
      <c r="G6" s="40">
        <v>8</v>
      </c>
      <c r="H6" s="118">
        <f>IF(B$17=0,0,G6/B$17)</f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169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14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170</v>
      </c>
      <c r="F12" s="52" t="s">
        <v>173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194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199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177</v>
      </c>
      <c r="O21" s="110">
        <f>IF(P21=0,0,Q21/P21)</f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189</v>
      </c>
      <c r="O22" s="110">
        <f>IF(P22=0,0,Q22/P22)</f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196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202</v>
      </c>
      <c r="O24" s="110">
        <f>IF(P24=0,0,Q24/P24)</f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175</v>
      </c>
      <c r="O25" s="110">
        <f>IF(P25=0,0,Q25/P25)</f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>IF(P26=0,0,Q26/P26)</f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186</v>
      </c>
      <c r="O27" s="110">
        <f>IF(P27=0,0,Q27/P27)</f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180</v>
      </c>
      <c r="O28" s="110">
        <f>IF(P28=0,0,Q28/P28)</f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187</v>
      </c>
      <c r="O29" s="110">
        <f>IF(P29=0,0,Q29/P29)</f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160</v>
      </c>
      <c r="O30" s="110">
        <f>IF(P30=0,0,Q30/P30)</f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46">
        <v>67800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3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1FA9-308B-4E35-A1A1-E91B7797E1CA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8</v>
      </c>
      <c r="C2" s="15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2">
        <v>69</v>
      </c>
      <c r="C3" s="153"/>
      <c r="E3" s="55" t="s">
        <v>168</v>
      </c>
      <c r="F3" s="52" t="s">
        <v>156</v>
      </c>
      <c r="G3" s="40">
        <v>6</v>
      </c>
      <c r="H3" s="118">
        <f>IF(B$17=0,0,G3/B$17)</f>
        <v>0.4</v>
      </c>
      <c r="I3" s="80">
        <v>16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4">
        <v>20.300000000000004</v>
      </c>
      <c r="C4" s="15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12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56">
        <f>IF(B$2=0,0,B$4/B$2)</f>
        <v>2.5375000000000005</v>
      </c>
      <c r="C5" s="157"/>
      <c r="E5" s="55" t="s">
        <v>56</v>
      </c>
      <c r="F5" s="52" t="s">
        <v>172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171</v>
      </c>
      <c r="F7" s="52" t="s">
        <v>174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15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169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191</v>
      </c>
      <c r="O18" s="109">
        <f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>IF(P20=0,0,Q20/P20)</f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187</v>
      </c>
      <c r="O21" s="110">
        <f>IF(P21=0,0,Q21/P21)</f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170</v>
      </c>
      <c r="F22" s="52" t="s">
        <v>173</v>
      </c>
      <c r="G22" s="40">
        <v>0</v>
      </c>
      <c r="H22" s="118">
        <f>IF(B$17=0,0,G22/B$17)</f>
        <v>0</v>
      </c>
      <c r="I22" s="80">
        <v>7</v>
      </c>
      <c r="N22" s="100" t="s">
        <v>211</v>
      </c>
      <c r="O22" s="110">
        <f>IF(P22=0,0,Q22/P22)</f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160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196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>IF(P25=0,0,Q25/P25)</f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41700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B3D6-AEB1-42C0-99FC-36427AD65B4A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27</v>
      </c>
      <c r="C2" s="151"/>
      <c r="E2" s="54" t="s">
        <v>54</v>
      </c>
      <c r="F2" s="51" t="s">
        <v>20</v>
      </c>
      <c r="G2" s="39">
        <v>37</v>
      </c>
      <c r="H2" s="117">
        <f>IF(B$17=0,0,G2/B$17)</f>
        <v>0.77083333333333337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1088.8888888888889</v>
      </c>
      <c r="P2" s="103">
        <v>27</v>
      </c>
      <c r="Q2" s="87">
        <v>29400</v>
      </c>
    </row>
    <row r="3" spans="1:17">
      <c r="A3" s="47" t="s">
        <v>8</v>
      </c>
      <c r="B3" s="152">
        <v>213</v>
      </c>
      <c r="C3" s="153"/>
      <c r="E3" s="55" t="s">
        <v>171</v>
      </c>
      <c r="F3" s="52" t="s">
        <v>174</v>
      </c>
      <c r="G3" s="40">
        <v>34</v>
      </c>
      <c r="H3" s="118">
        <f>IF(B$17=0,0,G3/B$17)</f>
        <v>0.70833333333333337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1177.7777777777778</v>
      </c>
      <c r="P3" s="104">
        <v>27</v>
      </c>
      <c r="Q3" s="88">
        <v>31800</v>
      </c>
    </row>
    <row r="4" spans="1:17">
      <c r="A4" s="47" t="s">
        <v>6</v>
      </c>
      <c r="B4" s="154">
        <v>522.80000000000007</v>
      </c>
      <c r="C4" s="155"/>
      <c r="E4" s="55" t="s">
        <v>168</v>
      </c>
      <c r="F4" s="52" t="s">
        <v>156</v>
      </c>
      <c r="G4" s="40">
        <v>26</v>
      </c>
      <c r="H4" s="118">
        <f>IF(B$17=0,0,G4/B$17)</f>
        <v>0.54166666666666663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1577.7777777777778</v>
      </c>
      <c r="P4" s="104">
        <v>27</v>
      </c>
      <c r="Q4" s="88">
        <v>42600</v>
      </c>
    </row>
    <row r="5" spans="1:17">
      <c r="A5" s="47" t="s">
        <v>7</v>
      </c>
      <c r="B5" s="156">
        <f>IF(B$2=0,0,B$4/B$2)</f>
        <v>19.362962962962964</v>
      </c>
      <c r="C5" s="157"/>
      <c r="E5" s="55" t="s">
        <v>60</v>
      </c>
      <c r="F5" s="52" t="s">
        <v>24</v>
      </c>
      <c r="G5" s="40">
        <v>18</v>
      </c>
      <c r="H5" s="118">
        <f>IF(B$17=0,0,G5/B$17)</f>
        <v>0.375</v>
      </c>
      <c r="I5" s="80">
        <v>12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58">
        <f>IF(B$2=0,0,(B$7*1+B$8*2+B$9*3+B$10*4)/B$2)</f>
        <v>2.0370370370370372</v>
      </c>
      <c r="C6" s="159"/>
      <c r="E6" s="55" t="s">
        <v>57</v>
      </c>
      <c r="F6" s="52" t="s">
        <v>21</v>
      </c>
      <c r="G6" s="40">
        <v>17</v>
      </c>
      <c r="H6" s="118">
        <f>IF(B$17=0,0,G6/B$17)</f>
        <v>0.35416666666666669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2">IF(B$2=0,0,B7/B$2)</f>
        <v>0.40740740740740738</v>
      </c>
      <c r="E7" s="55" t="s">
        <v>55</v>
      </c>
      <c r="F7" s="52" t="s">
        <v>155</v>
      </c>
      <c r="G7" s="40">
        <v>15</v>
      </c>
      <c r="H7" s="118">
        <f>IF(B$17=0,0,G7/B$17)</f>
        <v>0.3125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6</v>
      </c>
      <c r="C8" s="33">
        <f>IF(B$2=0,0,B8/B$2)</f>
        <v>0.22222222222222221</v>
      </c>
      <c r="E8" s="55" t="s">
        <v>56</v>
      </c>
      <c r="F8" s="52" t="s">
        <v>172</v>
      </c>
      <c r="G8" s="40">
        <v>8</v>
      </c>
      <c r="H8" s="118">
        <f>IF(B$17=0,0,G8/B$17)</f>
        <v>0.16666666666666666</v>
      </c>
      <c r="I8" s="80">
        <v>16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0.29629629629629628</v>
      </c>
      <c r="E9" s="55" t="s">
        <v>59</v>
      </c>
      <c r="F9" s="52" t="s">
        <v>23</v>
      </c>
      <c r="G9" s="40">
        <v>8</v>
      </c>
      <c r="H9" s="118">
        <f>IF(B$17=0,0,G9/B$17)</f>
        <v>0.16666666666666666</v>
      </c>
      <c r="I9" s="80">
        <v>10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7.407407407407407E-2</v>
      </c>
      <c r="E10" s="55" t="s">
        <v>169</v>
      </c>
      <c r="F10" s="52" t="s">
        <v>19</v>
      </c>
      <c r="G10" s="40">
        <v>5</v>
      </c>
      <c r="H10" s="118">
        <f>IF(B$17=0,0,G10/B$17)</f>
        <v>0.10416666666666667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17</v>
      </c>
      <c r="C11" s="34">
        <f>IF(B$2=0,0,B11/B$2)</f>
        <v>0.62962962962962965</v>
      </c>
      <c r="E11" s="55" t="s">
        <v>58</v>
      </c>
      <c r="F11" s="52" t="s">
        <v>22</v>
      </c>
      <c r="G11" s="40">
        <v>5</v>
      </c>
      <c r="H11" s="118">
        <f>IF(B$17=0,0,G11/B$17)</f>
        <v>0.10416666666666667</v>
      </c>
      <c r="I11" s="80">
        <v>2</v>
      </c>
      <c r="K11" s="32">
        <v>9</v>
      </c>
      <c r="L11" s="85">
        <v>65.899999999999991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8.3333333333333329E-2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37</v>
      </c>
      <c r="C13" s="38">
        <f>IF(B$3=0,0,B13/B$3)</f>
        <v>0.17370892018779344</v>
      </c>
      <c r="E13" s="55" t="s">
        <v>62</v>
      </c>
      <c r="F13" s="52" t="s">
        <v>26</v>
      </c>
      <c r="G13" s="40">
        <v>1</v>
      </c>
      <c r="H13" s="118">
        <f>IF(B$17=0,0,G13/B$17)</f>
        <v>2.0833333333333332E-2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13.1</v>
      </c>
      <c r="P13" s="104">
        <v>6</v>
      </c>
      <c r="Q13" s="92">
        <v>78.599999999999994</v>
      </c>
    </row>
    <row r="14" spans="1:17">
      <c r="A14" s="47" t="s">
        <v>94</v>
      </c>
      <c r="B14" s="40">
        <v>37</v>
      </c>
      <c r="C14" s="33">
        <f>IF(B$3=0,0,B14/B$3)</f>
        <v>0.17370892018779344</v>
      </c>
      <c r="E14" s="55" t="s">
        <v>66</v>
      </c>
      <c r="F14" s="52" t="s">
        <v>30</v>
      </c>
      <c r="G14" s="40">
        <v>1</v>
      </c>
      <c r="H14" s="118">
        <f>IF(B$17=0,0,G14/B$17)</f>
        <v>2.0833333333333332E-2</v>
      </c>
      <c r="I14" s="80">
        <v>2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26</v>
      </c>
      <c r="C15" s="31">
        <f>IF(B$13=0,0,B15/B$13)</f>
        <v>0.70270270270270274</v>
      </c>
      <c r="E15" s="55" t="s">
        <v>71</v>
      </c>
      <c r="F15" s="52" t="s">
        <v>35</v>
      </c>
      <c r="G15" s="40">
        <v>1</v>
      </c>
      <c r="H15" s="118">
        <f>IF(B$17=0,0,G15/B$17)</f>
        <v>2.0833333333333332E-2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0.35135135135135137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48</v>
      </c>
      <c r="C17" s="31">
        <f>IF(B$3=0,0,B17/B$3)</f>
        <v>0.22535211267605634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9.3896713615023469E-2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216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10</v>
      </c>
      <c r="C19" s="33">
        <f>IF(B$17=0,0,B19/B$17)</f>
        <v>0.20833333333333334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210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0.79166666666666663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211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26</v>
      </c>
      <c r="C21" s="33">
        <f>IF(B$17=0,0,B21/B$17)</f>
        <v>0.54166666666666663</v>
      </c>
      <c r="E21" s="55" t="s">
        <v>170</v>
      </c>
      <c r="F21" s="52" t="s">
        <v>173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179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0.27083333333333331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189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0.1875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207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7752.083333333333</v>
      </c>
      <c r="C24" s="35">
        <v>372100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196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8700</v>
      </c>
      <c r="C25" s="122">
        <v>304500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180</v>
      </c>
      <c r="O25" s="110">
        <f>IF(P25=0,0,Q25/P25)</f>
        <v>44.98</v>
      </c>
      <c r="P25" s="104">
        <v>5</v>
      </c>
      <c r="Q25" s="92">
        <v>224.89999999999998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160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202</v>
      </c>
      <c r="O27" s="110">
        <f>IF(P27=0,0,Q27/P27)</f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177</v>
      </c>
      <c r="O28" s="110">
        <f>IF(P28=0,0,Q28/P28)</f>
        <v>27.619999999999997</v>
      </c>
      <c r="P28" s="104">
        <v>5</v>
      </c>
      <c r="Q28" s="92">
        <v>138.1</v>
      </c>
    </row>
    <row r="29" spans="1:17">
      <c r="A29" s="47" t="s">
        <v>131</v>
      </c>
      <c r="B29" s="40">
        <v>42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186</v>
      </c>
      <c r="O29" s="110">
        <f>IF(P29=0,0,Q29/P29)</f>
        <v>24.933333333333337</v>
      </c>
      <c r="P29" s="104">
        <v>3</v>
      </c>
      <c r="Q29" s="92">
        <v>74.800000000000011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175</v>
      </c>
      <c r="O30" s="110">
        <f>IF(P30=0,0,Q30/P30)</f>
        <v>18.229999999999997</v>
      </c>
      <c r="P30" s="104">
        <v>10</v>
      </c>
      <c r="Q30" s="92">
        <v>182.29999999999995</v>
      </c>
    </row>
    <row r="31" spans="1:17">
      <c r="A31" s="50" t="s">
        <v>148</v>
      </c>
      <c r="B31" s="146">
        <v>62800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187</v>
      </c>
      <c r="O31" s="110">
        <f>IF(P31=0,0,Q31/P31)</f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194</v>
      </c>
      <c r="O32" s="110">
        <f>IF(P32=0,0,Q32/P32)</f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191</v>
      </c>
      <c r="O33" s="110">
        <f>IF(P33=0,0,Q33/P33)</f>
        <v>-14.5625</v>
      </c>
      <c r="P33" s="104">
        <v>8</v>
      </c>
      <c r="Q33" s="92">
        <v>-116.5</v>
      </c>
    </row>
    <row r="34" spans="1:17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190</v>
      </c>
      <c r="O34" s="110">
        <f>IF(P34=0,0,Q34/P34)</f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3">IF(B$17=0,0,B35/B$17)</f>
        <v>4.1666666666666664E-2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161</v>
      </c>
      <c r="O35" s="110">
        <f>IF(P35=0,0,Q35/P35)</f>
        <v>-38.020000000000003</v>
      </c>
      <c r="P35" s="104">
        <v>5</v>
      </c>
      <c r="Q35" s="92">
        <v>-190.10000000000002</v>
      </c>
    </row>
    <row r="36" spans="1:17">
      <c r="A36" s="47" t="s">
        <v>135</v>
      </c>
      <c r="B36" s="40">
        <v>10</v>
      </c>
      <c r="C36" s="33">
        <f t="shared" si="3"/>
        <v>0.20833333333333334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8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12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3"/>
        <v>0.1875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57EB-29C2-49A1-844D-412CE7FA4653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168</v>
      </c>
      <c r="F2" s="51" t="s">
        <v>156</v>
      </c>
      <c r="G2" s="39">
        <v>3</v>
      </c>
      <c r="H2" s="117">
        <f>IF(B$17=0,0,G2/B$17)</f>
        <v>0.42857142857142855</v>
      </c>
      <c r="I2" s="79">
        <v>15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56</v>
      </c>
      <c r="F3" s="52" t="s">
        <v>172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171</v>
      </c>
      <c r="F6" s="52" t="s">
        <v>174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169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194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160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196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190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161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191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1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23700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3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EA91A-1686-49E6-BADC-D8804C0171F4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171</v>
      </c>
      <c r="F2" s="51" t="s">
        <v>174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168</v>
      </c>
      <c r="F4" s="52" t="s">
        <v>156</v>
      </c>
      <c r="G4" s="40">
        <v>1</v>
      </c>
      <c r="H4" s="118">
        <f>IF(B$17=0,0,G4/B$17)</f>
        <v>0.5</v>
      </c>
      <c r="I4" s="80">
        <v>8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56</v>
      </c>
      <c r="F6" s="52" t="s">
        <v>172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169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189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162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34000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6C33-D78A-4D90-B124-A30D7D45F539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18</v>
      </c>
      <c r="C2" s="15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2">
        <v>142</v>
      </c>
      <c r="C3" s="153"/>
      <c r="E3" s="55" t="s">
        <v>168</v>
      </c>
      <c r="F3" s="52" t="s">
        <v>156</v>
      </c>
      <c r="G3" s="40">
        <v>20</v>
      </c>
      <c r="H3" s="118">
        <f>IF(B$17=0,0,G3/B$17)</f>
        <v>0.46511627906976744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4">
        <v>154.39999999999998</v>
      </c>
      <c r="C4" s="155"/>
      <c r="E4" s="55" t="s">
        <v>171</v>
      </c>
      <c r="F4" s="52" t="s">
        <v>174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56">
        <f>IF(B$2=0,0,B$4/B$2)</f>
        <v>8.5777777777777757</v>
      </c>
      <c r="C5" s="15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172</v>
      </c>
      <c r="G7" s="40">
        <v>11</v>
      </c>
      <c r="H7" s="118">
        <f>IF(B$17=0,0,G7/B$17)</f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169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170</v>
      </c>
      <c r="F11" s="52" t="s">
        <v>173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189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197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211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190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193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202</v>
      </c>
      <c r="O24" s="110">
        <f>IF(P24=0,0,Q24/P24)</f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160</v>
      </c>
      <c r="O25" s="110">
        <f>IF(P25=0,0,Q25/P25)</f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216</v>
      </c>
      <c r="O26" s="110">
        <f>IF(P26=0,0,Q26/P26)</f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175</v>
      </c>
      <c r="O27" s="110">
        <f>IF(P27=0,0,Q27/P27)</f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187</v>
      </c>
      <c r="O28" s="110">
        <f>IF(P28=0,0,Q28/P28)</f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>IF(P29=0,0,Q29/P29)</f>
        <v>14.5625</v>
      </c>
      <c r="P29" s="104">
        <v>8</v>
      </c>
      <c r="Q29" s="92">
        <v>116.5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196</v>
      </c>
      <c r="O30" s="110">
        <f>IF(P30=0,0,Q30/P30)</f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46">
        <v>65600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186</v>
      </c>
      <c r="O31" s="110">
        <f>IF(P31=0,0,Q31/P31)</f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213</v>
      </c>
      <c r="O32" s="110">
        <f>IF(P32=0,0,Q32/P32)</f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161</v>
      </c>
      <c r="O33" s="110">
        <f>IF(P33=0,0,Q33/P33)</f>
        <v>-103.9</v>
      </c>
      <c r="P33" s="104">
        <v>1</v>
      </c>
      <c r="Q33" s="92">
        <v>-103.9</v>
      </c>
    </row>
    <row r="34" spans="1:17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3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3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3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3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97F1-4350-45B6-AF95-57AC39A7F62A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168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169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56</v>
      </c>
      <c r="F6" s="52" t="s">
        <v>172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14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171</v>
      </c>
      <c r="F9" s="52" t="s">
        <v>174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187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197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160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196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33600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A72F-B0BA-4F4C-A8C5-40A23B442E60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168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56</v>
      </c>
      <c r="F5" s="52" t="s">
        <v>172</v>
      </c>
      <c r="G5" s="40">
        <v>1</v>
      </c>
      <c r="H5" s="118">
        <f>IF(B$17=0,0,G5/B$17)</f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171</v>
      </c>
      <c r="F10" s="52" t="s">
        <v>174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169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160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187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170</v>
      </c>
      <c r="F20" s="52" t="s">
        <v>173</v>
      </c>
      <c r="G20" s="40">
        <v>0</v>
      </c>
      <c r="H20" s="118">
        <f>IF(B$17=0,0,G20/B$17)</f>
        <v>0</v>
      </c>
      <c r="I20" s="80">
        <v>7</v>
      </c>
      <c r="N20" s="100" t="s">
        <v>162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189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AF084-A64D-482B-BE1A-333099EB254D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168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169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172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193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196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7400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96F7-64E6-49D9-9D93-688EE9FFDD41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16</v>
      </c>
      <c r="C2" s="15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2">
        <v>131</v>
      </c>
      <c r="C3" s="15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4">
        <v>-34.6</v>
      </c>
      <c r="C4" s="155"/>
      <c r="E4" s="55" t="s">
        <v>171</v>
      </c>
      <c r="F4" s="52" t="s">
        <v>174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56">
        <f>IF(B$2=0,0,B$4/B$2)</f>
        <v>-2.1625000000000001</v>
      </c>
      <c r="C5" s="157"/>
      <c r="E5" s="55" t="s">
        <v>168</v>
      </c>
      <c r="F5" s="52" t="s">
        <v>156</v>
      </c>
      <c r="G5" s="40">
        <v>10</v>
      </c>
      <c r="H5" s="118">
        <f>IF(B$17=0,0,G5/B$17)</f>
        <v>0.3125</v>
      </c>
      <c r="I5" s="80">
        <v>17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58">
        <f>IF(B$2=0,0,(B$7*1+B$8*2+B$9*3+B$10*4)/B$2)</f>
        <v>2.4375</v>
      </c>
      <c r="C6" s="15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172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169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197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193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175</v>
      </c>
      <c r="O22" s="110">
        <f>IF(P22=0,0,Q22/P22)</f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189</v>
      </c>
      <c r="O23" s="110">
        <f>IF(P23=0,0,Q23/P23)</f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170</v>
      </c>
      <c r="F24" s="52" t="s">
        <v>173</v>
      </c>
      <c r="G24" s="40">
        <v>0</v>
      </c>
      <c r="H24" s="118">
        <f>IF(B$17=0,0,G24/B$17)</f>
        <v>0</v>
      </c>
      <c r="I24" s="80">
        <v>7</v>
      </c>
      <c r="N24" s="100" t="s">
        <v>186</v>
      </c>
      <c r="O24" s="110">
        <f>IF(P24=0,0,Q24/P24)</f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160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191</v>
      </c>
      <c r="O26" s="110">
        <f>IF(P26=0,0,Q26/P26)</f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187</v>
      </c>
      <c r="O27" s="110">
        <f>IF(P27=0,0,Q27/P27)</f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202</v>
      </c>
      <c r="O28" s="110">
        <f>IF(P28=0,0,Q28/P28)</f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207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4">
        <v>5</v>
      </c>
      <c r="C30" s="14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162</v>
      </c>
      <c r="O30" s="110">
        <f>IF(P30=0,0,Q30/P30)</f>
        <v>-46.75</v>
      </c>
      <c r="P30" s="104">
        <v>8</v>
      </c>
      <c r="Q30" s="92">
        <v>-374</v>
      </c>
    </row>
    <row r="31" spans="1:17">
      <c r="A31" s="50" t="s">
        <v>148</v>
      </c>
      <c r="B31" s="146">
        <v>53200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213</v>
      </c>
      <c r="O31" s="110">
        <f>IF(P31=0,0,Q31/P31)</f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161</v>
      </c>
      <c r="O32" s="110">
        <f>IF(P32=0,0,Q32/P32)</f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05C42-00E5-4E36-AA48-BB0807A46FC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168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169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172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160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196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187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161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191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14100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C15E4-65B8-4A5B-B5C7-3553A65EDBB9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14</v>
      </c>
      <c r="C2" s="15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2">
        <v>115</v>
      </c>
      <c r="C3" s="153"/>
      <c r="E3" s="55" t="s">
        <v>171</v>
      </c>
      <c r="F3" s="52" t="s">
        <v>174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4">
        <v>79.299999999999983</v>
      </c>
      <c r="C4" s="15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56">
        <f>IF(B$2=0,0,B$4/B$2)</f>
        <v>5.6642857142857128</v>
      </c>
      <c r="C5" s="15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58">
        <f>IF(B$2=0,0,(B$7*1+B$8*2+B$9*3+B$10*4)/B$2)</f>
        <v>2.1428571428571428</v>
      </c>
      <c r="C6" s="15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168</v>
      </c>
      <c r="F7" s="52" t="s">
        <v>156</v>
      </c>
      <c r="G7" s="40">
        <v>4</v>
      </c>
      <c r="H7" s="118">
        <f>IF(B$17=0,0,G7/B$17)</f>
        <v>0.19047619047619047</v>
      </c>
      <c r="I7" s="80">
        <v>18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16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172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170</v>
      </c>
      <c r="F13" s="52" t="s">
        <v>173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169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207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210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216</v>
      </c>
      <c r="O21" s="110">
        <f>IF(P21=0,0,Q21/P21)</f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211</v>
      </c>
      <c r="O22" s="110">
        <f>IF(P22=0,0,Q22/P22)</f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213</v>
      </c>
      <c r="O23" s="110">
        <f>IF(P23=0,0,Q23/P23)</f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196</v>
      </c>
      <c r="O24" s="110">
        <f>IF(P24=0,0,Q24/P24)</f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187</v>
      </c>
      <c r="O25" s="110">
        <f>IF(P25=0,0,Q25/P25)</f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186</v>
      </c>
      <c r="O26" s="110">
        <f>IF(P26=0,0,Q26/P26)</f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162</v>
      </c>
      <c r="O27" s="110">
        <f>IF(P27=0,0,Q27/P27)</f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191</v>
      </c>
      <c r="O28" s="110">
        <f>IF(P28=0,0,Q28/P28)</f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161</v>
      </c>
      <c r="O29" s="110">
        <f>IF(P29=0,0,Q29/P29)</f>
        <v>-47.8</v>
      </c>
      <c r="P29" s="104">
        <v>1</v>
      </c>
      <c r="Q29" s="92">
        <v>-47.8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EEC98-3F0C-475B-AC1C-6DDD904B2A1E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18</v>
      </c>
      <c r="C2" s="151"/>
      <c r="E2" s="54" t="s">
        <v>168</v>
      </c>
      <c r="F2" s="51" t="s">
        <v>156</v>
      </c>
      <c r="G2" s="39">
        <v>13</v>
      </c>
      <c r="H2" s="117">
        <f>IF(B$17=0,0,G2/B$17)</f>
        <v>0.52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544.44444444444446</v>
      </c>
      <c r="P2" s="103">
        <v>18</v>
      </c>
      <c r="Q2" s="87">
        <v>9800</v>
      </c>
    </row>
    <row r="3" spans="1:17">
      <c r="A3" s="47" t="s">
        <v>8</v>
      </c>
      <c r="B3" s="152">
        <v>128</v>
      </c>
      <c r="C3" s="153"/>
      <c r="E3" s="55" t="s">
        <v>171</v>
      </c>
      <c r="F3" s="52" t="s">
        <v>174</v>
      </c>
      <c r="G3" s="40">
        <v>10</v>
      </c>
      <c r="H3" s="118">
        <f>IF(B$17=0,0,G3/B$17)</f>
        <v>0.4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-1127.7777777777778</v>
      </c>
      <c r="P3" s="104">
        <v>18</v>
      </c>
      <c r="Q3" s="88">
        <v>-20300</v>
      </c>
    </row>
    <row r="4" spans="1:17">
      <c r="A4" s="47" t="s">
        <v>6</v>
      </c>
      <c r="B4" s="154">
        <v>-245.20000000000002</v>
      </c>
      <c r="C4" s="155"/>
      <c r="E4" s="55" t="s">
        <v>54</v>
      </c>
      <c r="F4" s="52" t="s">
        <v>20</v>
      </c>
      <c r="G4" s="40">
        <v>8</v>
      </c>
      <c r="H4" s="118">
        <f>IF(B$17=0,0,G4/B$17)</f>
        <v>0.32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-1100</v>
      </c>
      <c r="P4" s="104">
        <v>18</v>
      </c>
      <c r="Q4" s="88">
        <v>-19800</v>
      </c>
    </row>
    <row r="5" spans="1:17">
      <c r="A5" s="47" t="s">
        <v>7</v>
      </c>
      <c r="B5" s="156">
        <f>IF(B$2=0,0,B$4/B$2)</f>
        <v>-13.622222222222224</v>
      </c>
      <c r="C5" s="157"/>
      <c r="E5" s="55" t="s">
        <v>60</v>
      </c>
      <c r="F5" s="52" t="s">
        <v>24</v>
      </c>
      <c r="G5" s="40">
        <v>8</v>
      </c>
      <c r="H5" s="118">
        <f>IF(B$17=0,0,G5/B$17)</f>
        <v>0.32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58">
        <f>IF(B$2=0,0,(B$7*1+B$8*2+B$9*3+B$10*4)/B$2)</f>
        <v>2.7222222222222223</v>
      </c>
      <c r="C6" s="159"/>
      <c r="E6" s="55" t="s">
        <v>55</v>
      </c>
      <c r="F6" s="52" t="s">
        <v>155</v>
      </c>
      <c r="G6" s="40">
        <v>6</v>
      </c>
      <c r="H6" s="118">
        <f>IF(B$17=0,0,G6/B$17)</f>
        <v>0.24</v>
      </c>
      <c r="I6" s="80">
        <v>9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2">IF(B$2=0,0,B7/B$2)</f>
        <v>0.1111111111111111</v>
      </c>
      <c r="E7" s="55" t="s">
        <v>56</v>
      </c>
      <c r="F7" s="52" t="s">
        <v>172</v>
      </c>
      <c r="G7" s="40">
        <v>6</v>
      </c>
      <c r="H7" s="118">
        <f>IF(B$17=0,0,G7/B$17)</f>
        <v>0.24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0.22222222222222221</v>
      </c>
      <c r="E8" s="55" t="s">
        <v>59</v>
      </c>
      <c r="F8" s="52" t="s">
        <v>23</v>
      </c>
      <c r="G8" s="40">
        <v>6</v>
      </c>
      <c r="H8" s="118">
        <f>IF(B$17=0,0,G8/B$17)</f>
        <v>0.24</v>
      </c>
      <c r="I8" s="80">
        <v>7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9</v>
      </c>
      <c r="C9" s="34">
        <f>IF(B$2=0,0,B9/B$2)</f>
        <v>0.5</v>
      </c>
      <c r="E9" s="55" t="s">
        <v>169</v>
      </c>
      <c r="F9" s="52" t="s">
        <v>19</v>
      </c>
      <c r="G9" s="40">
        <v>3</v>
      </c>
      <c r="H9" s="118">
        <f>IF(B$17=0,0,G9/B$17)</f>
        <v>0.12</v>
      </c>
      <c r="I9" s="80">
        <v>6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0.16666666666666666</v>
      </c>
      <c r="E10" s="55" t="s">
        <v>71</v>
      </c>
      <c r="F10" s="52" t="s">
        <v>35</v>
      </c>
      <c r="G10" s="40">
        <v>2</v>
      </c>
      <c r="H10" s="118">
        <f>IF(B$17=0,0,G10/B$17)</f>
        <v>0.08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0.04</v>
      </c>
      <c r="I11" s="80">
        <v>10</v>
      </c>
      <c r="K11" s="32">
        <v>9</v>
      </c>
      <c r="L11" s="85">
        <v>-244.40000000000003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0.1111111111111111</v>
      </c>
      <c r="E12" s="55" t="s">
        <v>74</v>
      </c>
      <c r="F12" s="52" t="s">
        <v>38</v>
      </c>
      <c r="G12" s="40">
        <v>1</v>
      </c>
      <c r="H12" s="118">
        <f>IF(B$17=0,0,G12/B$17)</f>
        <v>0.04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27</v>
      </c>
      <c r="C13" s="38">
        <f>IF(B$3=0,0,B13/B$3)</f>
        <v>0.2109375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33</v>
      </c>
      <c r="C14" s="33">
        <f>IF(B$3=0,0,B14/B$3)</f>
        <v>0.2578125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13</v>
      </c>
      <c r="C15" s="31">
        <f>IF(B$13=0,0,B15/B$13)</f>
        <v>0.48148148148148145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10</v>
      </c>
      <c r="C16" s="31">
        <f>IF(B$14=0,0,B16/B$14)</f>
        <v>0.30303030303030304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25</v>
      </c>
      <c r="C17" s="31">
        <f>IF(B$3=0,0,B17/B$3)</f>
        <v>0.1953125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0.15625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216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11</v>
      </c>
      <c r="C19" s="33">
        <f>IF(B$17=0,0,B19/B$17)</f>
        <v>0.44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K19" s="32">
        <v>17</v>
      </c>
      <c r="L19" s="85">
        <v>-298.60000000000002</v>
      </c>
      <c r="N19" s="100" t="s">
        <v>180</v>
      </c>
      <c r="O19" s="110">
        <f>IF(P19=0,0,Q19/P19)</f>
        <v>44.760000000000005</v>
      </c>
      <c r="P19" s="104">
        <v>5</v>
      </c>
      <c r="Q19" s="92">
        <v>223.8</v>
      </c>
    </row>
    <row r="20" spans="1:17">
      <c r="A20" s="47" t="s">
        <v>11</v>
      </c>
      <c r="B20" s="40">
        <v>14</v>
      </c>
      <c r="C20" s="33">
        <f>IF(B$17=0,0,B20/B$17)</f>
        <v>0.56000000000000005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-245.20000000000002</v>
      </c>
      <c r="N20" s="100" t="s">
        <v>179</v>
      </c>
      <c r="O20" s="110">
        <f>IF(P20=0,0,Q20/P20)</f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13</v>
      </c>
      <c r="C21" s="33">
        <f>IF(B$17=0,0,B21/B$17)</f>
        <v>0.52</v>
      </c>
      <c r="E21" s="55" t="s">
        <v>170</v>
      </c>
      <c r="F21" s="52" t="s">
        <v>173</v>
      </c>
      <c r="G21" s="40">
        <v>0</v>
      </c>
      <c r="H21" s="118">
        <f>IF(B$17=0,0,G21/B$17)</f>
        <v>0</v>
      </c>
      <c r="I21" s="80">
        <v>7</v>
      </c>
      <c r="N21" s="100" t="s">
        <v>211</v>
      </c>
      <c r="O21" s="110">
        <f>IF(P21=0,0,Q21/P21)</f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10</v>
      </c>
      <c r="C22" s="33">
        <f>IF(B$17=0,0,B22/B$17)</f>
        <v>0.4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177</v>
      </c>
      <c r="O22" s="110">
        <f>IF(P22=0,0,Q22/P22)</f>
        <v>-2.1999999999999957</v>
      </c>
      <c r="P22" s="104">
        <v>5</v>
      </c>
      <c r="Q22" s="92">
        <v>-10.999999999999979</v>
      </c>
    </row>
    <row r="23" spans="1:17">
      <c r="A23" s="47" t="s">
        <v>150</v>
      </c>
      <c r="B23" s="40">
        <v>2</v>
      </c>
      <c r="C23" s="33">
        <f>IF(B$17=0,0,B23/B$17)</f>
        <v>0.08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162</v>
      </c>
      <c r="O23" s="110">
        <f>IF(P23=0,0,Q23/P23)</f>
        <v>-18.229999999999997</v>
      </c>
      <c r="P23" s="104">
        <v>10</v>
      </c>
      <c r="Q23" s="92">
        <v>-182.29999999999995</v>
      </c>
    </row>
    <row r="24" spans="1:17">
      <c r="A24" s="47" t="s">
        <v>5</v>
      </c>
      <c r="B24" s="44">
        <f>IF(B$17=0,0,C24/B$17)</f>
        <v>4256</v>
      </c>
      <c r="C24" s="35">
        <v>106400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187</v>
      </c>
      <c r="O24" s="110">
        <f>IF(P24=0,0,Q24/P24)</f>
        <v>-19.399999999999999</v>
      </c>
      <c r="P24" s="104">
        <v>4</v>
      </c>
      <c r="Q24" s="92">
        <v>-77.599999999999994</v>
      </c>
    </row>
    <row r="25" spans="1:17">
      <c r="A25" s="48" t="s">
        <v>133</v>
      </c>
      <c r="B25" s="121">
        <f>IF($B$17-B$16=0,0,C25/($B$17-B$16))</f>
        <v>5693.333333333333</v>
      </c>
      <c r="C25" s="122">
        <v>85400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160</v>
      </c>
      <c r="O25" s="110">
        <f>IF(P25=0,0,Q25/P25)</f>
        <v>-20.650000000000006</v>
      </c>
      <c r="P25" s="104">
        <v>2</v>
      </c>
      <c r="Q25" s="92">
        <v>-41.300000000000011</v>
      </c>
    </row>
    <row r="26" spans="1:17">
      <c r="A26" s="48" t="s">
        <v>134</v>
      </c>
      <c r="B26" s="121">
        <f>IF(B$16=0,0,C26/B$16)</f>
        <v>2100</v>
      </c>
      <c r="C26" s="122">
        <v>21000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191</v>
      </c>
      <c r="O26" s="110">
        <f>IF(P26=0,0,Q26/P26)</f>
        <v>-25.7</v>
      </c>
      <c r="P26" s="104">
        <v>7</v>
      </c>
      <c r="Q26" s="92">
        <v>-179.9</v>
      </c>
    </row>
    <row r="27" spans="1:17">
      <c r="A27" s="48" t="s">
        <v>132</v>
      </c>
      <c r="B27" s="121">
        <f>IF(B$18=0,0,C27/B$18)</f>
        <v>-6805</v>
      </c>
      <c r="C27" s="122">
        <v>-136100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186</v>
      </c>
      <c r="O27" s="110">
        <f>IF(P27=0,0,Q27/P27)</f>
        <v>-30.9</v>
      </c>
      <c r="P27" s="104">
        <v>1</v>
      </c>
      <c r="Q27" s="92">
        <v>-30.9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196</v>
      </c>
      <c r="O28" s="110">
        <f>IF(P28=0,0,Q28/P28)</f>
        <v>-34.119999999999997</v>
      </c>
      <c r="P28" s="104">
        <v>5</v>
      </c>
      <c r="Q28" s="92">
        <v>-170.6</v>
      </c>
    </row>
    <row r="29" spans="1:17">
      <c r="A29" s="47" t="s">
        <v>131</v>
      </c>
      <c r="B29" s="40">
        <v>19</v>
      </c>
      <c r="C29" s="120">
        <v>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161</v>
      </c>
      <c r="O29" s="110">
        <f>IF(P29=0,0,Q29/P29)</f>
        <v>-43.699999999999996</v>
      </c>
      <c r="P29" s="104">
        <v>4</v>
      </c>
      <c r="Q29" s="92">
        <v>-174.79999999999998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202</v>
      </c>
      <c r="O30" s="110">
        <f>IF(P30=0,0,Q30/P30)</f>
        <v>-65.966666666666669</v>
      </c>
      <c r="P30" s="104">
        <v>3</v>
      </c>
      <c r="Q30" s="92">
        <v>-197.9</v>
      </c>
    </row>
    <row r="31" spans="1:17">
      <c r="A31" s="50" t="s">
        <v>148</v>
      </c>
      <c r="B31" s="146">
        <v>48000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213</v>
      </c>
      <c r="O31" s="110">
        <f>IF(P31=0,0,Q31/P31)</f>
        <v>-66.05</v>
      </c>
      <c r="P31" s="104">
        <v>4</v>
      </c>
      <c r="Q31" s="92">
        <v>-264.2</v>
      </c>
    </row>
    <row r="32" spans="1:17">
      <c r="A32" s="49" t="s">
        <v>112</v>
      </c>
      <c r="B32" s="57">
        <v>1</v>
      </c>
      <c r="C32" s="36">
        <f>IF(B$3=0,0,B32/B$3)</f>
        <v>7.8125E-3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3">IF(B$17=0,0,B35/B$17)</f>
        <v>0.16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8</v>
      </c>
      <c r="C36" s="33">
        <f t="shared" si="3"/>
        <v>0.32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0.08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0.04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8B02F-F85F-48D9-A4A8-DF395162B2CE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2">
        <v>8</v>
      </c>
      <c r="C3" s="153"/>
      <c r="E3" s="55" t="s">
        <v>168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4">
        <v>-27.1</v>
      </c>
      <c r="C4" s="155"/>
      <c r="E4" s="55" t="s">
        <v>169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56">
        <f>IF(B$2=0,0,B$4/B$2)</f>
        <v>-27.1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172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196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202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12900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9C689-C3AE-4479-96AC-FAD43BB3B983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211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168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2">
        <v>43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4">
        <v>-161.39999999999998</v>
      </c>
      <c r="C4" s="155"/>
      <c r="E4" s="55" t="s">
        <v>56</v>
      </c>
      <c r="F4" s="52" t="s">
        <v>172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56">
        <f>IF(B$2=0,0,B$4/B$2)</f>
        <v>-32.279999999999994</v>
      </c>
      <c r="C5" s="15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58">
        <f>IF(B$2=0,0,(B$7*1+B$8*2+B$9*3+B$10*4)/B$2)</f>
        <v>3.4</v>
      </c>
      <c r="C6" s="159"/>
      <c r="E6" s="55" t="s">
        <v>171</v>
      </c>
      <c r="F6" s="52" t="s">
        <v>174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169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210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186</v>
      </c>
      <c r="O19" s="110">
        <f>IF(P19=0,0,Q19/P19)</f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202</v>
      </c>
      <c r="O21" s="110">
        <f>IF(P21=0,0,Q21/P21)</f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213</v>
      </c>
      <c r="O24" s="110">
        <f>IF(P24=0,0,Q24/P24)</f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25000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94F-0CD8-48C1-B97D-DDFB86E430BD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210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2">
        <v>17</v>
      </c>
      <c r="C3" s="153"/>
      <c r="E3" s="55" t="s">
        <v>168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4">
        <v>-105.9</v>
      </c>
      <c r="C4" s="155"/>
      <c r="E4" s="55" t="s">
        <v>169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56">
        <f>IF(B$2=0,0,B$4/B$2)</f>
        <v>-52.95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172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211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202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162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13500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B1E2E-ABBE-4125-8788-18CBFA012E09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213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171</v>
      </c>
      <c r="F2" s="51" t="s">
        <v>174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2">
        <v>28</v>
      </c>
      <c r="C3" s="153"/>
      <c r="E3" s="55" t="s">
        <v>168</v>
      </c>
      <c r="F3" s="52" t="s">
        <v>156</v>
      </c>
      <c r="G3" s="40">
        <v>6</v>
      </c>
      <c r="H3" s="118">
        <f>IF(B$17=0,0,G3/B$17)</f>
        <v>0.5</v>
      </c>
      <c r="I3" s="80">
        <v>8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4">
        <v>141.1</v>
      </c>
      <c r="C4" s="15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11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56">
        <f>IF(B$2=0,0,B$4/B$2)</f>
        <v>35.274999999999999</v>
      </c>
      <c r="C5" s="157"/>
      <c r="E5" s="55" t="s">
        <v>56</v>
      </c>
      <c r="F5" s="52" t="s">
        <v>172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58">
        <f>IF(B$2=0,0,(B$7*1+B$8*2+B$9*3+B$10*4)/B$2)</f>
        <v>1.75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169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216</v>
      </c>
      <c r="O18" s="109">
        <f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N19" s="100" t="s">
        <v>191</v>
      </c>
      <c r="O19" s="110">
        <f>IF(P19=0,0,Q19/P19)</f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211</v>
      </c>
      <c r="O20" s="110">
        <f>IF(P20=0,0,Q20/P20)</f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170</v>
      </c>
      <c r="F21" s="52" t="s">
        <v>173</v>
      </c>
      <c r="G21" s="40">
        <v>0</v>
      </c>
      <c r="H21" s="118">
        <f>IF(B$17=0,0,G21/B$17)</f>
        <v>0</v>
      </c>
      <c r="I21" s="80">
        <v>7</v>
      </c>
      <c r="N21" s="100" t="s">
        <v>175</v>
      </c>
      <c r="O21" s="110">
        <f>IF(P21=0,0,Q21/P21)</f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196</v>
      </c>
      <c r="O22" s="110">
        <f>IF(P22=0,0,Q22/P22)</f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187</v>
      </c>
      <c r="O23" s="110">
        <f>IF(P23=0,0,Q23/P23)</f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202</v>
      </c>
      <c r="O24" s="110">
        <f>IF(P24=0,0,Q24/P24)</f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3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57200</v>
      </c>
      <c r="C31" s="14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1</v>
      </c>
      <c r="C47" s="36">
        <f t="shared" si="3"/>
        <v>8.3333333333333329E-2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0A86C-14F4-461C-A258-031FAE46CC7A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216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3</v>
      </c>
      <c r="C2" s="151"/>
      <c r="E2" s="54" t="s">
        <v>168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2">
        <v>23</v>
      </c>
      <c r="C3" s="153"/>
      <c r="E3" s="55" t="s">
        <v>169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4">
        <v>-132.69999999999999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56">
        <f>IF(B$2=0,0,B$4/B$2)</f>
        <v>-44.233333333333327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58">
        <f>IF(B$2=0,0,(B$7*1+B$8*2+B$9*3+B$10*4)/B$2)</f>
        <v>3.6666666666666665</v>
      </c>
      <c r="C6" s="159"/>
      <c r="E6" s="55" t="s">
        <v>56</v>
      </c>
      <c r="F6" s="52" t="s">
        <v>172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191</v>
      </c>
      <c r="O18" s="109">
        <f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196</v>
      </c>
      <c r="O19" s="110">
        <f>IF(P19=0,0,Q19/P19)</f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175</v>
      </c>
      <c r="O20" s="110">
        <f>IF(P20=0,0,Q20/P20)</f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202</v>
      </c>
      <c r="O21" s="110">
        <f>IF(P21=0,0,Q21/P21)</f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213</v>
      </c>
      <c r="O22" s="110">
        <f>IF(P22=0,0,Q22/P22)</f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162</v>
      </c>
      <c r="O23" s="110">
        <f>IF(P23=0,0,Q23/P23)</f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10700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39858-FC05-4155-82A4-819A7FC48534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57</v>
      </c>
      <c r="F2" s="51" t="s">
        <v>21</v>
      </c>
      <c r="G2" s="39">
        <v>3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340</v>
      </c>
      <c r="P2" s="103">
        <v>5</v>
      </c>
      <c r="Q2" s="87">
        <v>1700</v>
      </c>
    </row>
    <row r="3" spans="1:17">
      <c r="A3" s="47" t="s">
        <v>8</v>
      </c>
      <c r="B3" s="152">
        <v>28</v>
      </c>
      <c r="C3" s="153"/>
      <c r="E3" s="55" t="s">
        <v>171</v>
      </c>
      <c r="F3" s="52" t="s">
        <v>174</v>
      </c>
      <c r="G3" s="40">
        <v>3</v>
      </c>
      <c r="H3" s="118">
        <f>IF(B$17=0,0,G3/B$17)</f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-780</v>
      </c>
      <c r="P3" s="104">
        <v>5</v>
      </c>
      <c r="Q3" s="88">
        <v>-3900</v>
      </c>
    </row>
    <row r="4" spans="1:17">
      <c r="A4" s="47" t="s">
        <v>6</v>
      </c>
      <c r="B4" s="154">
        <v>-54.9</v>
      </c>
      <c r="C4" s="155"/>
      <c r="E4" s="55" t="s">
        <v>168</v>
      </c>
      <c r="F4" s="52" t="s">
        <v>156</v>
      </c>
      <c r="G4" s="40">
        <v>2</v>
      </c>
      <c r="H4" s="118">
        <f>IF(B$17=0,0,G4/B$17)</f>
        <v>0.66666666666666663</v>
      </c>
      <c r="I4" s="80">
        <v>4</v>
      </c>
      <c r="K4" s="32">
        <v>2</v>
      </c>
      <c r="L4" s="85">
        <v>-12.1</v>
      </c>
      <c r="N4" s="100" t="s">
        <v>105</v>
      </c>
      <c r="O4" s="107">
        <f t="shared" si="0"/>
        <v>-4180</v>
      </c>
      <c r="P4" s="104">
        <v>5</v>
      </c>
      <c r="Q4" s="88">
        <v>-20900</v>
      </c>
    </row>
    <row r="5" spans="1:17">
      <c r="A5" s="47" t="s">
        <v>7</v>
      </c>
      <c r="B5" s="156">
        <f>IF(B$2=0,0,B$4/B$2)</f>
        <v>-10.98</v>
      </c>
      <c r="C5" s="157"/>
      <c r="E5" s="55" t="s">
        <v>56</v>
      </c>
      <c r="F5" s="52" t="s">
        <v>172</v>
      </c>
      <c r="G5" s="40">
        <v>2</v>
      </c>
      <c r="H5" s="118">
        <f>IF(B$17=0,0,G5/B$17)</f>
        <v>0.66666666666666663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58">
        <f>IF(B$2=0,0,(B$7*1+B$8*2+B$9*3+B$10*4)/B$2)</f>
        <v>2.6</v>
      </c>
      <c r="C6" s="159"/>
      <c r="E6" s="55" t="s">
        <v>54</v>
      </c>
      <c r="F6" s="52" t="s">
        <v>20</v>
      </c>
      <c r="G6" s="40">
        <v>1</v>
      </c>
      <c r="H6" s="118">
        <f>IF(B$17=0,0,G6/B$17)</f>
        <v>0.33333333333333331</v>
      </c>
      <c r="I6" s="80">
        <v>13</v>
      </c>
      <c r="K6" s="32">
        <v>4</v>
      </c>
      <c r="L6" s="85">
        <v>0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1</v>
      </c>
      <c r="H7" s="118">
        <f>IF(B$17=0,0,G7/B$17)</f>
        <v>0.33333333333333331</v>
      </c>
      <c r="I7" s="80">
        <v>3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>IF(B$17=0,0,G8/B$17)</f>
        <v>0.33333333333333331</v>
      </c>
      <c r="I8" s="80">
        <v>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169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160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175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29500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0.66666666666666663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0.33333333333333331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9195-A94D-487D-9012-6CDD03BA5E1E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52">
        <v>6</v>
      </c>
      <c r="C3" s="153"/>
      <c r="E3" s="55" t="s">
        <v>168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4">
        <v>-14.4</v>
      </c>
      <c r="C4" s="155"/>
      <c r="E4" s="55" t="s">
        <v>169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56">
        <f>IF(B$2=0,0,B$4/B$2)</f>
        <v>-14.4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172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170</v>
      </c>
      <c r="F18" s="52" t="s">
        <v>173</v>
      </c>
      <c r="G18" s="40">
        <v>0</v>
      </c>
      <c r="H18" s="118">
        <f>IF(B$17=0,0,G18/B$17)</f>
        <v>0</v>
      </c>
      <c r="I18" s="80">
        <v>7</v>
      </c>
      <c r="N18" s="99" t="s">
        <v>180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162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25600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176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171</v>
      </c>
      <c r="F42" s="53" t="s">
        <v>174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6B31-F7D1-4188-9606-33018E964328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171</v>
      </c>
      <c r="F2" s="51" t="s">
        <v>174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-1520</v>
      </c>
      <c r="P2" s="103">
        <v>5</v>
      </c>
      <c r="Q2" s="87">
        <v>-7600</v>
      </c>
    </row>
    <row r="3" spans="1:17">
      <c r="A3" s="47" t="s">
        <v>8</v>
      </c>
      <c r="B3" s="152">
        <v>32</v>
      </c>
      <c r="C3" s="153"/>
      <c r="E3" s="55" t="s">
        <v>168</v>
      </c>
      <c r="F3" s="52" t="s">
        <v>156</v>
      </c>
      <c r="G3" s="40">
        <v>1</v>
      </c>
      <c r="H3" s="118">
        <f>IF(B$17=0,0,G3/B$17)</f>
        <v>0.5</v>
      </c>
      <c r="I3" s="80">
        <v>8</v>
      </c>
      <c r="K3" s="32">
        <v>1</v>
      </c>
      <c r="L3" s="85">
        <v>-47.6</v>
      </c>
      <c r="N3" s="100" t="s">
        <v>104</v>
      </c>
      <c r="O3" s="107">
        <f t="shared" si="0"/>
        <v>500</v>
      </c>
      <c r="P3" s="104">
        <v>5</v>
      </c>
      <c r="Q3" s="88">
        <v>2500</v>
      </c>
    </row>
    <row r="4" spans="1:17">
      <c r="A4" s="47" t="s">
        <v>6</v>
      </c>
      <c r="B4" s="154">
        <v>-133.4</v>
      </c>
      <c r="C4" s="155"/>
      <c r="E4" s="55" t="s">
        <v>59</v>
      </c>
      <c r="F4" s="52" t="s">
        <v>23</v>
      </c>
      <c r="G4" s="40">
        <v>1</v>
      </c>
      <c r="H4" s="118">
        <f>IF(B$17=0,0,G4/B$17)</f>
        <v>0.5</v>
      </c>
      <c r="I4" s="80">
        <v>2</v>
      </c>
      <c r="K4" s="32">
        <v>2</v>
      </c>
      <c r="L4" s="85">
        <v>-102</v>
      </c>
      <c r="N4" s="100" t="s">
        <v>105</v>
      </c>
      <c r="O4" s="107">
        <f t="shared" si="0"/>
        <v>-2540</v>
      </c>
      <c r="P4" s="104">
        <v>5</v>
      </c>
      <c r="Q4" s="88">
        <v>-12700</v>
      </c>
    </row>
    <row r="5" spans="1:17">
      <c r="A5" s="47" t="s">
        <v>7</v>
      </c>
      <c r="B5" s="156">
        <f>IF(B$2=0,0,B$4/B$2)</f>
        <v>-26.68</v>
      </c>
      <c r="C5" s="157"/>
      <c r="E5" s="55" t="s">
        <v>60</v>
      </c>
      <c r="F5" s="52" t="s">
        <v>24</v>
      </c>
      <c r="G5" s="40">
        <v>1</v>
      </c>
      <c r="H5" s="118">
        <f>IF(B$17=0,0,G5/B$17)</f>
        <v>0.5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58">
        <f>IF(B$2=0,0,(B$7*1+B$8*2+B$9*3+B$10*4)/B$2)</f>
        <v>3.2</v>
      </c>
      <c r="C6" s="159"/>
      <c r="E6" s="55" t="s">
        <v>169</v>
      </c>
      <c r="F6" s="52" t="s">
        <v>19</v>
      </c>
      <c r="G6" s="40">
        <v>0</v>
      </c>
      <c r="H6" s="118">
        <f>IF(B$17=0,0,G6/B$17)</f>
        <v>0</v>
      </c>
      <c r="I6" s="80">
        <v>12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18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55</v>
      </c>
      <c r="F8" s="52" t="s">
        <v>155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172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0.6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0.4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12</v>
      </c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4</v>
      </c>
      <c r="C13" s="38">
        <f>IF(B$3=0,0,B13/B$3)</f>
        <v>0.125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2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4.7</v>
      </c>
      <c r="P14" s="104">
        <v>1</v>
      </c>
      <c r="Q14" s="92">
        <v>4.7</v>
      </c>
    </row>
    <row r="15" spans="1:17">
      <c r="A15" s="46" t="s">
        <v>99</v>
      </c>
      <c r="B15" s="39">
        <f>B21</f>
        <v>1</v>
      </c>
      <c r="C15" s="31">
        <f>IF(B$13=0,0,B15/B$13)</f>
        <v>0.25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6.25E-2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0.15625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177</v>
      </c>
      <c r="O18" s="109">
        <f>IF(P18=0,0,Q18/P18)</f>
        <v>8.0999999999999979</v>
      </c>
      <c r="P18" s="103">
        <v>2</v>
      </c>
      <c r="Q18" s="91">
        <v>16.199999999999996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170</v>
      </c>
      <c r="F19" s="52" t="s">
        <v>173</v>
      </c>
      <c r="G19" s="40">
        <v>0</v>
      </c>
      <c r="H19" s="118">
        <f>IF(B$17=0,0,G19/B$17)</f>
        <v>0</v>
      </c>
      <c r="I19" s="80">
        <v>7</v>
      </c>
      <c r="N19" s="100" t="s">
        <v>179</v>
      </c>
      <c r="O19" s="110">
        <f>IF(P19=0,0,Q19/P19)</f>
        <v>-33.200000000000003</v>
      </c>
      <c r="P19" s="104">
        <v>1</v>
      </c>
      <c r="Q19" s="92">
        <v>-33.200000000000003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-33.950000000000003</v>
      </c>
      <c r="P20" s="104">
        <v>2</v>
      </c>
      <c r="Q20" s="92">
        <v>-67.900000000000006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175</v>
      </c>
      <c r="O21" s="110">
        <f>IF(P21=0,0,Q21/P21)</f>
        <v>-44.76</v>
      </c>
      <c r="P21" s="104">
        <v>5</v>
      </c>
      <c r="Q21" s="92">
        <v>-223.79999999999998</v>
      </c>
    </row>
    <row r="22" spans="1:17">
      <c r="A22" s="47" t="s">
        <v>149</v>
      </c>
      <c r="B22" s="40">
        <v>1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-44.98</v>
      </c>
      <c r="P22" s="104">
        <v>5</v>
      </c>
      <c r="Q22" s="92">
        <v>-224.89999999999998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5000</v>
      </c>
      <c r="C24" s="35">
        <v>10000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8000</v>
      </c>
      <c r="C25" s="122">
        <v>8000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2000</v>
      </c>
      <c r="C26" s="122">
        <v>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31000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164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176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0">
        <v>0</v>
      </c>
      <c r="C2" s="151"/>
      <c r="E2" s="54" t="s">
        <v>168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169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56</v>
      </c>
      <c r="F6" s="52" t="s">
        <v>172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163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170</v>
      </c>
      <c r="F18" s="52" t="s">
        <v>173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46">
        <v>-1000000</v>
      </c>
      <c r="C31" s="14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164</v>
      </c>
      <c r="B34" s="130" t="s">
        <v>165</v>
      </c>
      <c r="C34" s="131" t="s">
        <v>166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176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171</v>
      </c>
      <c r="F42" s="53" t="s">
        <v>174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1425</vt:i4>
      </vt:variant>
    </vt:vector>
  </HeadingPairs>
  <TitlesOfParts>
    <vt:vector size="145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2021-10-21T14:05:46Z</dcterms:modified>
</cp:coreProperties>
</file>