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"/>
    </mc:Choice>
  </mc:AlternateContent>
  <xr:revisionPtr revIDLastSave="0" documentId="13_ncr:1_{5A01EF9B-C93F-49D2-BD7B-2BF4610FBDA8}" xr6:coauthVersionLast="46" xr6:coauthVersionMax="46" xr10:uidLastSave="{00000000-0000-0000-0000-000000000000}"/>
  <bookViews>
    <workbookView xWindow="-120" yWindow="-120" windowWidth="29040" windowHeight="1584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Template" sheetId="2228" state="hidden" r:id="rId28"/>
  </sheets>
  <definedNames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6295" l="1"/>
  <c r="O19" i="6295"/>
  <c r="O20" i="6295"/>
  <c r="C46" i="6295"/>
  <c r="C45" i="6295"/>
  <c r="H42" i="6295"/>
  <c r="C42" i="6295"/>
  <c r="H41" i="6295"/>
  <c r="H40" i="6295"/>
  <c r="C40" i="6295"/>
  <c r="H38" i="6295"/>
  <c r="C38" i="6295"/>
  <c r="H37" i="6295"/>
  <c r="H36" i="6295"/>
  <c r="C36" i="6295"/>
  <c r="H34" i="6295"/>
  <c r="H33" i="6295"/>
  <c r="H32" i="6295"/>
  <c r="C32" i="6295"/>
  <c r="H31" i="6295"/>
  <c r="H30" i="6295"/>
  <c r="H27" i="6295"/>
  <c r="B27" i="6295"/>
  <c r="H26" i="6295"/>
  <c r="H25" i="6295"/>
  <c r="B25" i="6295"/>
  <c r="H23" i="6295"/>
  <c r="C23" i="6295"/>
  <c r="H22" i="6295"/>
  <c r="C22" i="6295"/>
  <c r="H21" i="6295"/>
  <c r="C21" i="6295"/>
  <c r="H19" i="6295"/>
  <c r="C19" i="6295"/>
  <c r="H18" i="6295"/>
  <c r="C18" i="6295"/>
  <c r="H17" i="6295"/>
  <c r="C17" i="6295"/>
  <c r="B17" i="6295"/>
  <c r="C47" i="6295" s="1"/>
  <c r="C16" i="6295"/>
  <c r="B16" i="6295"/>
  <c r="B26" i="6295" s="1"/>
  <c r="O15" i="6295"/>
  <c r="H15" i="6295"/>
  <c r="C15" i="6295"/>
  <c r="B15" i="6295"/>
  <c r="O14" i="6295"/>
  <c r="C14" i="6295"/>
  <c r="O13" i="6295"/>
  <c r="H13" i="6295"/>
  <c r="C13" i="6295"/>
  <c r="O12" i="6295"/>
  <c r="H12" i="6295"/>
  <c r="C12" i="6295"/>
  <c r="C11" i="6295"/>
  <c r="B11" i="6295"/>
  <c r="H10" i="6295"/>
  <c r="C10" i="6295"/>
  <c r="O9" i="6295"/>
  <c r="H9" i="6295"/>
  <c r="C9" i="6295"/>
  <c r="O8" i="6295"/>
  <c r="H8" i="6295"/>
  <c r="C8" i="6295"/>
  <c r="O7" i="6295"/>
  <c r="H7" i="6295"/>
  <c r="C7" i="6295"/>
  <c r="O6" i="6295"/>
  <c r="H6" i="6295"/>
  <c r="B6" i="6295"/>
  <c r="O5" i="6295"/>
  <c r="H5" i="6295"/>
  <c r="B5" i="6295"/>
  <c r="O4" i="6295"/>
  <c r="H4" i="6295"/>
  <c r="O3" i="6295"/>
  <c r="H3" i="6295"/>
  <c r="O2" i="6295"/>
  <c r="H2" i="6295"/>
  <c r="O19" i="6294"/>
  <c r="O20" i="6294"/>
  <c r="O18" i="6294"/>
  <c r="C35" i="6294"/>
  <c r="H34" i="6294"/>
  <c r="H33" i="6294"/>
  <c r="C32" i="6294"/>
  <c r="H28" i="6294"/>
  <c r="B27" i="6294"/>
  <c r="H23" i="6294"/>
  <c r="C23" i="6294"/>
  <c r="C20" i="6294"/>
  <c r="H19" i="6294"/>
  <c r="C19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C14" i="6294"/>
  <c r="O13" i="6294"/>
  <c r="C13" i="6294"/>
  <c r="O12" i="6294"/>
  <c r="C12" i="6294"/>
  <c r="C11" i="6294"/>
  <c r="B11" i="6294"/>
  <c r="C10" i="6294"/>
  <c r="O9" i="6294"/>
  <c r="C9" i="6294"/>
  <c r="O8" i="6294"/>
  <c r="H9" i="6294"/>
  <c r="C8" i="6294"/>
  <c r="O7" i="6294"/>
  <c r="C7" i="6294"/>
  <c r="O6" i="6294"/>
  <c r="H7" i="6294"/>
  <c r="B6" i="6294"/>
  <c r="O5" i="6294"/>
  <c r="H6" i="6294"/>
  <c r="B5" i="6294"/>
  <c r="O4" i="6294"/>
  <c r="O3" i="6294"/>
  <c r="H4" i="6294"/>
  <c r="O2" i="6294"/>
  <c r="H3" i="6294"/>
  <c r="O18" i="6287"/>
  <c r="O20" i="6287"/>
  <c r="O20" i="6277"/>
  <c r="O22" i="6277"/>
  <c r="O20" i="6272"/>
  <c r="O28" i="6272"/>
  <c r="H11" i="6295" l="1"/>
  <c r="H14" i="6295"/>
  <c r="H16" i="6295"/>
  <c r="C20" i="6295"/>
  <c r="B24" i="6295"/>
  <c r="H28" i="6295"/>
  <c r="C35" i="6295"/>
  <c r="C39" i="6295"/>
  <c r="C43" i="6295"/>
  <c r="H20" i="6295"/>
  <c r="H24" i="6295"/>
  <c r="H29" i="6295"/>
  <c r="H35" i="6295"/>
  <c r="H39" i="6295"/>
  <c r="C44" i="6295"/>
  <c r="C37" i="6295"/>
  <c r="C41" i="6295"/>
  <c r="C38" i="6294"/>
  <c r="H14" i="6294"/>
  <c r="B24" i="6294"/>
  <c r="H38" i="6294"/>
  <c r="C17" i="6294"/>
  <c r="H11" i="6294"/>
  <c r="H27" i="6294"/>
  <c r="C39" i="6294"/>
  <c r="H20" i="6294"/>
  <c r="H24" i="6294"/>
  <c r="H29" i="6294"/>
  <c r="H35" i="6294"/>
  <c r="H39" i="6294"/>
  <c r="H10" i="6294"/>
  <c r="H12" i="6294"/>
  <c r="C21" i="6294"/>
  <c r="B25" i="6294"/>
  <c r="H30" i="6294"/>
  <c r="C36" i="6294"/>
  <c r="C40" i="6294"/>
  <c r="H5" i="6294"/>
  <c r="H17" i="6294"/>
  <c r="H21" i="6294"/>
  <c r="H25" i="6294"/>
  <c r="H31" i="6294"/>
  <c r="H36" i="6294"/>
  <c r="H40" i="6294"/>
  <c r="H8" i="6294"/>
  <c r="H15" i="6294"/>
  <c r="C22" i="6294"/>
  <c r="C37" i="6294"/>
  <c r="C41" i="6294"/>
  <c r="H2" i="6294"/>
  <c r="H13" i="6294"/>
  <c r="H18" i="6294"/>
  <c r="H22" i="6294"/>
  <c r="H26" i="6294"/>
  <c r="H32" i="6294"/>
  <c r="H37" i="6294"/>
  <c r="H41" i="6294"/>
  <c r="C42" i="6294"/>
  <c r="H42" i="6294"/>
  <c r="C43" i="6294"/>
  <c r="C44" i="6294"/>
  <c r="C45" i="6294"/>
  <c r="C46" i="6294"/>
  <c r="O19" i="6293" l="1"/>
  <c r="O18" i="6293"/>
  <c r="O20" i="6293"/>
  <c r="C47" i="6293"/>
  <c r="C46" i="6293"/>
  <c r="C45" i="6293"/>
  <c r="C43" i="6293"/>
  <c r="H42" i="6293"/>
  <c r="C42" i="6293"/>
  <c r="C41" i="6293"/>
  <c r="H40" i="6293"/>
  <c r="C40" i="6293"/>
  <c r="C39" i="6293"/>
  <c r="H38" i="6293"/>
  <c r="C38" i="6293"/>
  <c r="C37" i="6293"/>
  <c r="H36" i="6293"/>
  <c r="C36" i="6293"/>
  <c r="C35" i="6293"/>
  <c r="H34" i="6293"/>
  <c r="H33" i="6293"/>
  <c r="C32" i="6293"/>
  <c r="H31" i="6293"/>
  <c r="H30" i="6293"/>
  <c r="H28" i="6293"/>
  <c r="H27" i="6293"/>
  <c r="B27" i="6293"/>
  <c r="H25" i="6293"/>
  <c r="B24" i="6293"/>
  <c r="H23" i="6293"/>
  <c r="C23" i="6293"/>
  <c r="C22" i="6293"/>
  <c r="H21" i="6293"/>
  <c r="C21" i="6293"/>
  <c r="C20" i="6293"/>
  <c r="H19" i="6293"/>
  <c r="C19" i="6293"/>
  <c r="C18" i="6293"/>
  <c r="H17" i="6293"/>
  <c r="C17" i="6293"/>
  <c r="B17" i="6293"/>
  <c r="C44" i="6293" s="1"/>
  <c r="H16" i="6293"/>
  <c r="C16" i="6293"/>
  <c r="B16" i="6293"/>
  <c r="B26" i="6293" s="1"/>
  <c r="O15" i="6293"/>
  <c r="H15" i="6293"/>
  <c r="C15" i="6293"/>
  <c r="B15" i="6293"/>
  <c r="O14" i="6293"/>
  <c r="H14" i="6293"/>
  <c r="C14" i="6293"/>
  <c r="O13" i="6293"/>
  <c r="H13" i="6293"/>
  <c r="C13" i="6293"/>
  <c r="O12" i="6293"/>
  <c r="H12" i="6293"/>
  <c r="C12" i="6293"/>
  <c r="H11" i="6293"/>
  <c r="C11" i="6293"/>
  <c r="B11" i="6293"/>
  <c r="H10" i="6293"/>
  <c r="C10" i="6293"/>
  <c r="O9" i="6293"/>
  <c r="H9" i="6293"/>
  <c r="C9" i="6293"/>
  <c r="O8" i="6293"/>
  <c r="H8" i="6293"/>
  <c r="C8" i="6293"/>
  <c r="O7" i="6293"/>
  <c r="H7" i="6293"/>
  <c r="C7" i="6293"/>
  <c r="O6" i="6293"/>
  <c r="H6" i="6293"/>
  <c r="B6" i="6293"/>
  <c r="O5" i="6293"/>
  <c r="H5" i="6293"/>
  <c r="B5" i="6293"/>
  <c r="O4" i="6293"/>
  <c r="H4" i="6293"/>
  <c r="O3" i="6293"/>
  <c r="H3" i="6293"/>
  <c r="O2" i="6293"/>
  <c r="H2" i="6293"/>
  <c r="O29" i="6277"/>
  <c r="O26" i="6287"/>
  <c r="O22" i="6275"/>
  <c r="O27" i="6272"/>
  <c r="O18" i="6277"/>
  <c r="O21" i="6286"/>
  <c r="O23" i="6292"/>
  <c r="O21" i="6292"/>
  <c r="O22" i="6292"/>
  <c r="O18" i="6291"/>
  <c r="H18" i="6293" l="1"/>
  <c r="H22" i="6293"/>
  <c r="H26" i="6293"/>
  <c r="H32" i="6293"/>
  <c r="H37" i="6293"/>
  <c r="H41" i="6293"/>
  <c r="H20" i="6293"/>
  <c r="H24" i="6293"/>
  <c r="H29" i="6293"/>
  <c r="H35" i="6293"/>
  <c r="H39" i="6293"/>
  <c r="B25" i="6293"/>
  <c r="O32" i="6280"/>
  <c r="O19" i="6291"/>
  <c r="O22" i="6276" l="1"/>
  <c r="O19" i="6289"/>
  <c r="O19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29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5" i="6277"/>
  <c r="O25" i="6272"/>
  <c r="O28" i="6287"/>
  <c r="O25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27" i="6277" l="1"/>
  <c r="O22" i="6287"/>
  <c r="O27" i="6287"/>
  <c r="O21" i="6273"/>
  <c r="O24" i="6287"/>
  <c r="O23" i="6287"/>
  <c r="O30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0" i="6275"/>
  <c r="O19" i="6275"/>
  <c r="O26" i="6272"/>
  <c r="C39" i="6287" l="1"/>
  <c r="H41" i="6287"/>
  <c r="H7" i="6287"/>
  <c r="H12" i="6287"/>
  <c r="H22" i="6287"/>
  <c r="H13" i="6287"/>
  <c r="C20" i="6287"/>
  <c r="H10" i="6287"/>
  <c r="H2" i="6287"/>
  <c r="B24" i="6287"/>
  <c r="H14" i="6287"/>
  <c r="H5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4" i="6287"/>
  <c r="C17" i="6287"/>
  <c r="H9" i="6287"/>
  <c r="H8" i="6287"/>
  <c r="H20" i="6287"/>
  <c r="H11" i="6287"/>
  <c r="H28" i="6287"/>
  <c r="C37" i="6287"/>
  <c r="C43" i="6287"/>
  <c r="C22" i="6287"/>
  <c r="H18" i="6287"/>
  <c r="C23" i="6287"/>
  <c r="H29" i="6287"/>
  <c r="H38" i="6287"/>
  <c r="C46" i="6287"/>
  <c r="H37" i="6287"/>
  <c r="H3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6" i="6287"/>
  <c r="H15" i="6287"/>
  <c r="C21" i="6287"/>
  <c r="B25" i="6287"/>
  <c r="H31" i="6287"/>
  <c r="C36" i="6287"/>
  <c r="C40" i="6287"/>
  <c r="O29" i="6286" l="1"/>
  <c r="O24" i="6284"/>
  <c r="O26" i="6275"/>
  <c r="O24" i="6276"/>
  <c r="O28" i="6277"/>
  <c r="O28" i="6284"/>
  <c r="O27" i="6286"/>
  <c r="O24" i="6286"/>
  <c r="O20" i="6278" l="1"/>
  <c r="O19" i="6278"/>
  <c r="O26" i="6277"/>
  <c r="O23" i="6284"/>
  <c r="O30" i="6284"/>
  <c r="O22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3" i="6274" l="1"/>
  <c r="O19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1" i="6275"/>
  <c r="O24" i="6275"/>
  <c r="O18" i="6273"/>
  <c r="O22" i="6273"/>
  <c r="O21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30" i="6272"/>
  <c r="O23" i="6278"/>
  <c r="O18" i="6278"/>
  <c r="O18" i="6275"/>
  <c r="O25" i="6275"/>
  <c r="O23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6" i="6274"/>
  <c r="O27" i="6274"/>
  <c r="O32" i="6277"/>
  <c r="O31" i="6277"/>
  <c r="O23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4" i="6274"/>
  <c r="O25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4" i="6272"/>
  <c r="H4" i="6277" l="1"/>
  <c r="C16" i="6277"/>
  <c r="H10" i="6278"/>
  <c r="H28" i="6278"/>
  <c r="H29" i="6278"/>
  <c r="H18" i="6278"/>
  <c r="H16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21" i="6277"/>
  <c r="H37" i="6277"/>
  <c r="C19" i="6277"/>
  <c r="H10" i="6277"/>
  <c r="H15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7" i="6277"/>
  <c r="H19" i="6277"/>
  <c r="C20" i="6277"/>
  <c r="H29" i="6277"/>
  <c r="H39" i="6277"/>
  <c r="H24" i="6277"/>
  <c r="H12" i="6277"/>
  <c r="H41" i="6277"/>
  <c r="H32" i="6277"/>
  <c r="H11" i="6277"/>
  <c r="H9" i="6277"/>
  <c r="H20" i="6277"/>
  <c r="C23" i="6277"/>
  <c r="H3" i="6277"/>
  <c r="C17" i="6277"/>
  <c r="C22" i="6277"/>
  <c r="C42" i="6277"/>
  <c r="H18" i="6277"/>
  <c r="H25" i="6277"/>
  <c r="H34" i="6277"/>
  <c r="C46" i="6277"/>
  <c r="H14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29" i="6275"/>
  <c r="O28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1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3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1" i="6275"/>
  <c r="H4" i="6275"/>
  <c r="C21" i="6275"/>
  <c r="H2" i="6275"/>
  <c r="H18" i="6275"/>
  <c r="H15" i="6275"/>
  <c r="H31" i="6275"/>
  <c r="H7" i="6275"/>
  <c r="H11" i="6275"/>
  <c r="H8" i="6275"/>
  <c r="H5" i="6275"/>
  <c r="H34" i="6275"/>
  <c r="H12" i="6275"/>
  <c r="H35" i="6275"/>
  <c r="H6" i="6275"/>
  <c r="H24" i="6275"/>
  <c r="C36" i="6275"/>
  <c r="H16" i="6275"/>
  <c r="H26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0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3" i="6275"/>
  <c r="H28" i="6275"/>
  <c r="H37" i="6275"/>
  <c r="C46" i="6275"/>
  <c r="H38" i="6275"/>
  <c r="H42" i="6275"/>
  <c r="H14" i="6275"/>
  <c r="H17" i="6275"/>
  <c r="H19" i="6275"/>
  <c r="C20" i="6275"/>
  <c r="B24" i="6275"/>
  <c r="H29" i="6275"/>
  <c r="C35" i="6275"/>
  <c r="C39" i="6275"/>
  <c r="C43" i="6275"/>
  <c r="H22" i="6275"/>
  <c r="H25" i="6275"/>
  <c r="H30" i="6275"/>
  <c r="H36" i="6275"/>
  <c r="H40" i="6275"/>
  <c r="C44" i="6275"/>
  <c r="B25" i="6275"/>
  <c r="C37" i="6275"/>
  <c r="C41" i="6275"/>
  <c r="H14" i="6274"/>
  <c r="H29" i="6274"/>
  <c r="H10" i="6274"/>
  <c r="H31" i="6274"/>
  <c r="H2" i="6274"/>
  <c r="C23" i="6274"/>
  <c r="C39" i="6274"/>
  <c r="H7" i="6274"/>
  <c r="H19" i="6274"/>
  <c r="H11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8" i="6274"/>
  <c r="C45" i="6274"/>
  <c r="H4" i="6274"/>
  <c r="C19" i="6274"/>
  <c r="B24" i="6274"/>
  <c r="H5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2" i="6274"/>
  <c r="H32" i="6274"/>
  <c r="H37" i="6274"/>
  <c r="H41" i="6274"/>
  <c r="H23" i="6272"/>
  <c r="C35" i="6272"/>
  <c r="H4" i="6272"/>
  <c r="C36" i="6272"/>
  <c r="H37" i="6272"/>
  <c r="C20" i="6272"/>
  <c r="H11" i="6272"/>
  <c r="H22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5" i="6272"/>
  <c r="H9" i="6272"/>
  <c r="H3" i="6272"/>
  <c r="C42" i="6272"/>
  <c r="H17" i="6272"/>
  <c r="C22" i="6272"/>
  <c r="H32" i="6272"/>
  <c r="C37" i="6272"/>
  <c r="H2" i="6272"/>
  <c r="H14" i="6272"/>
  <c r="H25" i="6272"/>
  <c r="C38" i="6272"/>
  <c r="H28" i="6272"/>
  <c r="H19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6" i="6272"/>
  <c r="H35" i="6272"/>
  <c r="C40" i="6272"/>
  <c r="C47" i="6272"/>
  <c r="B25" i="6272"/>
  <c r="H13" i="6272"/>
  <c r="H12" i="6272"/>
  <c r="H20" i="6272"/>
  <c r="H33" i="6272"/>
  <c r="H38" i="6272"/>
  <c r="H42" i="6272"/>
  <c r="H18" i="6272"/>
  <c r="H31" i="6272"/>
  <c r="H21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<sst xmlns="http://schemas.openxmlformats.org/spreadsheetml/2006/main" count="4760" uniqueCount="217">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</sst>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全体!$K$2:$K$150</c:f>
              <c:numCache>
                <c:formatCode>General</c:formatCode>
                <c:ptCount val="1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</c:numCache>
            </c:numRef>
          </c:xVal>
          <c:yVal>
            <c:numRef>
              <c:f>全体!$L$2:$L$150</c:f>
              <c:numCache>
                <c:formatCode>\+0.0;\-0.0;\±0</c:formatCode>
                <c:ptCount val="14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-27.027027027027028</c:v>
                </c:pt>
                <c:pt idx="1">
                  <c:v>0</c:v>
                </c:pt>
                <c:pt idx="2">
                  <c:v>-54.054054054054056</c:v>
                </c:pt>
                <c:pt idx="3">
                  <c:v>-28.571428571428573</c:v>
                </c:pt>
                <c:pt idx="4">
                  <c:v>25</c:v>
                </c:pt>
                <c:pt idx="5">
                  <c:v>-90.909090909090907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61</c:v>
                </c:pt>
                <c:pt idx="3">
                  <c:v>43</c:v>
                </c:pt>
                <c:pt idx="4">
                  <c:v>21</c:v>
                </c:pt>
                <c:pt idx="5">
                  <c:v>30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大池陸斗!$L$2:$L$9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-628.57142857142856</c:v>
                </c:pt>
                <c:pt idx="1">
                  <c:v>2842.8571428571427</c:v>
                </c:pt>
                <c:pt idx="2">
                  <c:v>3628.5714285714284</c:v>
                </c:pt>
                <c:pt idx="3">
                  <c:v>3685.7142857142858</c:v>
                </c:pt>
                <c:pt idx="4">
                  <c:v>3014.2857142857142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佐藤成浩!$L$2:$L$23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1390.4761904761904</c:v>
                </c:pt>
                <c:pt idx="1">
                  <c:v>1590.4761904761904</c:v>
                </c:pt>
                <c:pt idx="2">
                  <c:v>1361.9047619047619</c:v>
                </c:pt>
                <c:pt idx="3">
                  <c:v>870</c:v>
                </c:pt>
                <c:pt idx="4">
                  <c:v>1668.75</c:v>
                </c:pt>
                <c:pt idx="5">
                  <c:v>2863.6363636363635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柳澤颯吾!$L$2:$L$14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-1858.3333333333333</c:v>
                </c:pt>
                <c:pt idx="2">
                  <c:v>-1733.3333333333333</c:v>
                </c:pt>
                <c:pt idx="3">
                  <c:v>-1900</c:v>
                </c:pt>
                <c:pt idx="4">
                  <c:v>-3433.3333333333335</c:v>
                </c:pt>
                <c:pt idx="5">
                  <c:v>-4028.5714285714284</c:v>
                </c:pt>
                <c:pt idx="6">
                  <c:v>-1900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阿部圭太朗!$L$2:$L$3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-1000</c:v>
                </c:pt>
                <c:pt idx="2">
                  <c:v>0</c:v>
                </c:pt>
                <c:pt idx="3">
                  <c:v>-2000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9-4772-98A7-68B4914E7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C-4293-BA5B-DD42DB4C8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23-412E-8127-B9CB32E6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関谷洸佑!$L$2:$L$3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9-4C1C-BE98-1E52C071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-7400</c:v>
                </c:pt>
                <c:pt idx="3">
                  <c:v>-5200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2-4757-AF21-199379121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E-4AA1-B78E-BD7A48D75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4D2186-DA9E-4581-B0F9-D1FFF883A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00D1F4-1242-47E2-921C-8C15EFB2C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AF7DB8-94F1-4798-8347-97A6AD972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8E4613-5DF9-42DA-9404-7F0B5BEDC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F98F31-7501-4EB7-BD7B-D20EF2311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5096EF-30A2-4F11-A4BC-DCB4BDFB8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44242.864641203705</v>
      </c>
      <c r="C2" s="24" t="s">
        <v>102</v>
      </c>
    </row>
    <row r="3" spans="1:4">
      <c r="A3" s="24" t="s">
        <v>165</v>
      </c>
      <c r="B3" s="25">
        <v>44242.864641203705</v>
      </c>
      <c r="C3" s="24" t="s">
        <v>102</v>
      </c>
    </row>
    <row r="4" spans="1:4">
      <c r="A4" s="24" t="s">
        <v>174</v>
      </c>
      <c r="B4" s="25">
        <v>44242.864641203705</v>
      </c>
      <c r="C4" s="24" t="s">
        <v>102</v>
      </c>
      <c r="D4" s="24" t="s">
        <v>176</v>
      </c>
    </row>
    <row r="5" spans="1:4">
      <c r="A5" s="24" t="s">
        <v>178</v>
      </c>
      <c r="B5" s="25">
        <v>44242.864641203705</v>
      </c>
      <c r="C5" s="24" t="s">
        <v>102</v>
      </c>
      <c r="D5" s="24" t="s">
        <v>176</v>
      </c>
    </row>
    <row r="6" spans="1:4">
      <c r="A6" s="24" t="s">
        <v>188</v>
      </c>
      <c r="B6" s="25">
        <v>44242.864641203705</v>
      </c>
      <c r="C6" s="24" t="s">
        <v>102</v>
      </c>
      <c r="D6" s="24" t="s">
        <v>176</v>
      </c>
    </row>
    <row r="7" spans="1:4">
      <c r="A7" s="24" t="s">
        <v>189</v>
      </c>
      <c r="B7" s="25">
        <v>44242.864641203705</v>
      </c>
      <c r="C7" s="24" t="s">
        <v>102</v>
      </c>
      <c r="D7" s="24" t="s">
        <v>176</v>
      </c>
    </row>
    <row r="8" spans="1:4">
      <c r="A8" s="24" t="s">
        <v>190</v>
      </c>
      <c r="B8" s="25">
        <v>44242.864641203705</v>
      </c>
      <c r="C8" s="24" t="s">
        <v>102</v>
      </c>
      <c r="D8" s="24" t="s">
        <v>176</v>
      </c>
    </row>
    <row r="9" spans="1:4">
      <c r="A9" s="24" t="s">
        <v>192</v>
      </c>
      <c r="B9" s="25">
        <v>44242.864641203705</v>
      </c>
      <c r="C9" s="24" t="s">
        <v>102</v>
      </c>
      <c r="D9" s="24" t="s">
        <v>176</v>
      </c>
    </row>
    <row r="10" spans="1:4">
      <c r="A10" s="24" t="s">
        <v>193</v>
      </c>
      <c r="B10" s="25">
        <v>44242.864641203705</v>
      </c>
      <c r="C10" s="24" t="s">
        <v>102</v>
      </c>
      <c r="D10" s="24" t="s">
        <v>176</v>
      </c>
    </row>
    <row r="11" spans="1:4">
      <c r="A11" s="24" t="s">
        <v>194</v>
      </c>
      <c r="B11" s="25">
        <v>44242.864641203705</v>
      </c>
      <c r="C11" s="24" t="s">
        <v>102</v>
      </c>
      <c r="D11" s="24" t="s">
        <v>176</v>
      </c>
    </row>
    <row r="12" spans="1:4">
      <c r="A12" s="24" t="s">
        <v>197</v>
      </c>
      <c r="B12" s="25">
        <v>44242.864641203705</v>
      </c>
      <c r="C12" s="24" t="s">
        <v>102</v>
      </c>
      <c r="D12" s="24" t="s">
        <v>176</v>
      </c>
    </row>
    <row r="13" spans="1:4">
      <c r="A13" s="24" t="s">
        <v>198</v>
      </c>
      <c r="B13" s="25">
        <v>44242.864641203705</v>
      </c>
      <c r="C13" s="24" t="s">
        <v>102</v>
      </c>
      <c r="D13" s="24" t="s">
        <v>176</v>
      </c>
    </row>
    <row r="14" spans="1:4">
      <c r="A14" s="24" t="s">
        <v>201</v>
      </c>
      <c r="B14" s="25">
        <v>44242.864641203705</v>
      </c>
      <c r="C14" s="24" t="s">
        <v>102</v>
      </c>
      <c r="D14" s="24" t="s">
        <v>176</v>
      </c>
    </row>
    <row r="15" spans="1:4">
      <c r="A15" s="24" t="s">
        <v>204</v>
      </c>
      <c r="B15" s="25">
        <v>44242.864641203705</v>
      </c>
      <c r="C15" s="24" t="s">
        <v>102</v>
      </c>
      <c r="D15" s="24" t="s">
        <v>176</v>
      </c>
    </row>
    <row r="16" spans="1:4">
      <c r="A16" s="24" t="s">
        <v>206</v>
      </c>
      <c r="B16" s="25">
        <v>44242.864641203705</v>
      </c>
      <c r="C16" s="24" t="s">
        <v>102</v>
      </c>
      <c r="D16" s="24" t="s">
        <v>176</v>
      </c>
    </row>
    <row r="17" spans="1:4">
      <c r="A17" s="24" t="s">
        <v>207</v>
      </c>
      <c r="B17" s="25">
        <v>44242.864641203705</v>
      </c>
      <c r="C17" s="24" t="s">
        <v>102</v>
      </c>
      <c r="D17" s="24" t="s">
        <v>176</v>
      </c>
    </row>
    <row r="18" spans="1:4">
      <c r="A18" s="24" t="s">
        <v>209</v>
      </c>
      <c r="B18" s="25">
        <v>44242.864641203705</v>
      </c>
      <c r="C18" s="24" t="s">
        <v>102</v>
      </c>
    </row>
    <row r="19" spans="1:4">
      <c r="A19" s="24" t="s">
        <v>210</v>
      </c>
      <c r="B19" s="25">
        <v>44242.864641203705</v>
      </c>
      <c r="C19" s="24" t="s">
        <v>102</v>
      </c>
      <c r="D19" s="24" t="s">
        <v>176</v>
      </c>
    </row>
    <row r="20" spans="1:4">
      <c r="A20" s="24" t="s">
        <v>211</v>
      </c>
      <c r="B20" s="25">
        <v>44242.864641203705</v>
      </c>
      <c r="C20" s="24" t="s">
        <v>102</v>
      </c>
      <c r="D20" s="24" t="s">
        <v>176</v>
      </c>
    </row>
    <row r="21" spans="1:4">
      <c r="A21" s="24" t="s">
        <v>212</v>
      </c>
      <c r="B21" s="25">
        <v>44316.746180555558</v>
      </c>
      <c r="C21" s="24" t="s">
        <v>102</v>
      </c>
    </row>
    <row r="22" spans="1:4">
      <c r="A22" s="24" t="s">
        <v>214</v>
      </c>
      <c r="B22" s="25">
        <v>44337.737268518518</v>
      </c>
      <c r="C2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148</v>
      </c>
    </row>
    <row r="2" spans="1:2">
      <c r="A2" t="s">
        <v>164</v>
      </c>
      <c r="B2">
        <v>15</v>
      </c>
    </row>
    <row r="3" spans="1:2">
      <c r="A3" t="s">
        <v>161</v>
      </c>
      <c r="B3">
        <v>7</v>
      </c>
    </row>
    <row r="4" spans="1:2">
      <c r="A4" t="s">
        <v>162</v>
      </c>
      <c r="B4">
        <v>7</v>
      </c>
    </row>
    <row r="5" spans="1:2">
      <c r="A5" t="s">
        <v>163</v>
      </c>
      <c r="B5">
        <v>8</v>
      </c>
    </row>
    <row r="6" spans="1:2">
      <c r="A6" t="s">
        <v>169</v>
      </c>
      <c r="B6">
        <v>21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42" t="s">
        <v>9</v>
      </c>
      <c r="C1" s="143"/>
      <c r="D1" s="142" t="s">
        <v>6</v>
      </c>
      <c r="E1" s="143"/>
      <c r="F1" s="142" t="s">
        <v>7</v>
      </c>
      <c r="G1" s="143"/>
      <c r="H1" s="142" t="s">
        <v>15</v>
      </c>
      <c r="I1" s="143"/>
      <c r="J1" s="142" t="s">
        <v>14</v>
      </c>
      <c r="K1" s="143"/>
      <c r="L1" s="142" t="s">
        <v>125</v>
      </c>
      <c r="M1" s="143"/>
      <c r="N1" s="142" t="s">
        <v>154</v>
      </c>
      <c r="O1" s="143"/>
      <c r="P1" s="142" t="s">
        <v>115</v>
      </c>
      <c r="Q1" s="143"/>
      <c r="R1" s="142" t="s">
        <v>116</v>
      </c>
      <c r="S1" s="143"/>
      <c r="T1" s="142" t="s">
        <v>5</v>
      </c>
      <c r="U1" s="143"/>
      <c r="V1" s="142" t="s">
        <v>16</v>
      </c>
      <c r="W1" s="143"/>
      <c r="X1" s="142" t="s">
        <v>98</v>
      </c>
      <c r="Y1" s="143"/>
      <c r="Z1" s="142" t="s">
        <v>95</v>
      </c>
      <c r="AA1" s="143"/>
      <c r="AB1" s="142" t="s">
        <v>101</v>
      </c>
      <c r="AC1" s="143"/>
      <c r="AD1" s="142" t="s">
        <v>117</v>
      </c>
      <c r="AE1" s="143"/>
      <c r="AF1" s="142" t="s">
        <v>113</v>
      </c>
      <c r="AG1" s="143"/>
      <c r="AH1" s="142" t="s">
        <v>148</v>
      </c>
      <c r="AI1" s="143"/>
    </row>
    <row r="2" spans="1:35">
      <c r="A2" s="58" t="s">
        <v>124</v>
      </c>
      <c r="B2" s="146">
        <v>0.92407048989185026</v>
      </c>
      <c r="C2" s="147"/>
      <c r="D2" s="144"/>
      <c r="E2" s="145"/>
      <c r="F2" s="144"/>
      <c r="G2" s="145"/>
      <c r="H2" s="146">
        <v>0.93034036289081778</v>
      </c>
      <c r="I2" s="147"/>
      <c r="J2" s="146">
        <v>0.91805512143159218</v>
      </c>
      <c r="K2" s="147"/>
      <c r="L2" s="146">
        <v>0.60098221681238595</v>
      </c>
      <c r="M2" s="147"/>
      <c r="N2" s="146">
        <v>0.76913814515538392</v>
      </c>
      <c r="O2" s="147"/>
      <c r="P2" s="146">
        <v>0.24778814066418817</v>
      </c>
      <c r="Q2" s="147"/>
      <c r="R2" s="146">
        <v>0.40040674541669768</v>
      </c>
      <c r="S2" s="147"/>
      <c r="T2" s="146">
        <v>0.86164307930200701</v>
      </c>
      <c r="U2" s="147"/>
      <c r="V2" s="146">
        <v>0.64426924068843339</v>
      </c>
      <c r="W2" s="147"/>
      <c r="X2" s="146">
        <v>-0.30232019305535596</v>
      </c>
      <c r="Y2" s="147"/>
      <c r="Z2" s="146">
        <v>-0.35737839237913538</v>
      </c>
      <c r="AA2" s="147"/>
      <c r="AB2" s="146">
        <v>0.59943624029798492</v>
      </c>
      <c r="AC2" s="147"/>
      <c r="AD2" s="146">
        <v>7.7803046917696517E-2</v>
      </c>
      <c r="AE2" s="147"/>
      <c r="AF2" s="146">
        <v>-0.17270713753956204</v>
      </c>
      <c r="AG2" s="147"/>
      <c r="AH2" s="146">
        <v>0.85147778324460521</v>
      </c>
      <c r="AI2" s="147"/>
    </row>
    <row r="3" spans="1:35">
      <c r="A3" s="60">
        <v>1</v>
      </c>
      <c r="B3" s="61" t="s">
        <v>114</v>
      </c>
      <c r="C3" s="132">
        <v>37</v>
      </c>
      <c r="D3" s="61" t="s">
        <v>169</v>
      </c>
      <c r="E3" s="62">
        <v>470.30000000000007</v>
      </c>
      <c r="F3" s="63" t="s">
        <v>162</v>
      </c>
      <c r="G3" s="82">
        <v>35.68571428571429</v>
      </c>
      <c r="H3" s="63" t="s">
        <v>162</v>
      </c>
      <c r="I3" s="64">
        <v>1.7142857142857142</v>
      </c>
      <c r="J3" s="63" t="s">
        <v>162</v>
      </c>
      <c r="K3" s="65">
        <v>0.7142857142857143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21</v>
      </c>
      <c r="D4" s="69" t="s">
        <v>162</v>
      </c>
      <c r="E4" s="70">
        <v>249.8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162</v>
      </c>
      <c r="U4" s="75">
        <v>8481.25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166</v>
      </c>
      <c r="AC4" s="74">
        <v>0.75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22.395238095238099</v>
      </c>
      <c r="H5" s="71" t="s">
        <v>169</v>
      </c>
      <c r="I5" s="72">
        <v>1.9523809523809523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213</v>
      </c>
      <c r="S5" s="74">
        <v>0</v>
      </c>
      <c r="T5" s="71" t="s">
        <v>175</v>
      </c>
      <c r="U5" s="75">
        <v>8400</v>
      </c>
      <c r="V5" s="71" t="s">
        <v>213</v>
      </c>
      <c r="W5" s="75">
        <v>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175</v>
      </c>
      <c r="AC5" s="74">
        <v>0.75</v>
      </c>
      <c r="AD5" s="71" t="s">
        <v>162</v>
      </c>
      <c r="AE5" s="74">
        <v>0.5</v>
      </c>
      <c r="AF5" s="71" t="s">
        <v>167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167</v>
      </c>
      <c r="I6" s="72">
        <v>2</v>
      </c>
      <c r="J6" s="71" t="s">
        <v>169</v>
      </c>
      <c r="K6" s="73">
        <v>0.42857142857142855</v>
      </c>
      <c r="L6" s="71" t="s">
        <v>205</v>
      </c>
      <c r="M6" s="73">
        <v>0</v>
      </c>
      <c r="N6" s="71" t="s">
        <v>162</v>
      </c>
      <c r="O6" s="73">
        <v>0.7142857142857143</v>
      </c>
      <c r="P6" s="71" t="s">
        <v>162</v>
      </c>
      <c r="Q6" s="74">
        <v>0.25806451612903225</v>
      </c>
      <c r="R6" s="71" t="s">
        <v>164</v>
      </c>
      <c r="S6" s="74">
        <v>9.0909090909090912E-2</v>
      </c>
      <c r="T6" s="71" t="s">
        <v>205</v>
      </c>
      <c r="U6" s="75">
        <v>8333.3333333333339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15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213</v>
      </c>
      <c r="M7" s="73">
        <v>0</v>
      </c>
      <c r="N7" s="71" t="s">
        <v>169</v>
      </c>
      <c r="O7" s="73">
        <v>0.66666666666666663</v>
      </c>
      <c r="P7" s="71" t="s">
        <v>179</v>
      </c>
      <c r="Q7" s="74">
        <v>0.24427480916030533</v>
      </c>
      <c r="R7" s="71" t="s">
        <v>169</v>
      </c>
      <c r="S7" s="74">
        <v>9.1428571428571428E-2</v>
      </c>
      <c r="T7" s="71" t="s">
        <v>169</v>
      </c>
      <c r="U7" s="75">
        <v>8236.1111111111113</v>
      </c>
      <c r="V7" s="71" t="s">
        <v>191</v>
      </c>
      <c r="W7" s="75">
        <v>-3740</v>
      </c>
      <c r="X7" s="71" t="s">
        <v>196</v>
      </c>
      <c r="Y7" s="74">
        <v>0.25</v>
      </c>
      <c r="Z7" s="71" t="s">
        <v>164</v>
      </c>
      <c r="AA7" s="74">
        <v>0.256198347107438</v>
      </c>
      <c r="AB7" s="71" t="s">
        <v>162</v>
      </c>
      <c r="AC7" s="74">
        <v>0.73333333333333328</v>
      </c>
      <c r="AD7" s="71" t="s">
        <v>179</v>
      </c>
      <c r="AE7" s="74">
        <v>0.45454545454545453</v>
      </c>
      <c r="AF7" s="71" t="s">
        <v>162</v>
      </c>
      <c r="AG7" s="74">
        <v>0.4375</v>
      </c>
      <c r="AH7" s="71" t="s">
        <v>205</v>
      </c>
      <c r="AI7" s="78">
        <v>57200</v>
      </c>
    </row>
    <row r="8" spans="1:35">
      <c r="A8" s="68">
        <v>6</v>
      </c>
      <c r="B8" s="69" t="s">
        <v>191</v>
      </c>
      <c r="C8" s="133">
        <v>14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215</v>
      </c>
      <c r="M8" s="73">
        <v>0</v>
      </c>
      <c r="N8" s="71" t="s">
        <v>164</v>
      </c>
      <c r="O8" s="73">
        <v>0.6</v>
      </c>
      <c r="P8" s="71" t="s">
        <v>163</v>
      </c>
      <c r="Q8" s="74">
        <v>0.21739130434782608</v>
      </c>
      <c r="R8" s="71" t="s">
        <v>177</v>
      </c>
      <c r="S8" s="74">
        <v>0.10526315789473684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205</v>
      </c>
      <c r="Y8" s="74">
        <v>0.25</v>
      </c>
      <c r="Z8" s="71" t="s">
        <v>195</v>
      </c>
      <c r="AA8" s="74">
        <v>0.25555555555555554</v>
      </c>
      <c r="AB8" s="71" t="s">
        <v>169</v>
      </c>
      <c r="AC8" s="74">
        <v>0.73076923076923073</v>
      </c>
      <c r="AD8" s="71" t="s">
        <v>168</v>
      </c>
      <c r="AE8" s="74">
        <v>0.38297872340425532</v>
      </c>
      <c r="AF8" s="71" t="s">
        <v>161</v>
      </c>
      <c r="AG8" s="74">
        <v>0.41666666666666669</v>
      </c>
      <c r="AH8" s="71" t="s">
        <v>161</v>
      </c>
      <c r="AI8" s="78">
        <v>54900</v>
      </c>
    </row>
    <row r="9" spans="1:35">
      <c r="A9" s="68">
        <v>7</v>
      </c>
      <c r="B9" s="69" t="s">
        <v>195</v>
      </c>
      <c r="C9" s="133">
        <v>12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0.25675675675675674</v>
      </c>
      <c r="L9" s="71" t="s">
        <v>169</v>
      </c>
      <c r="M9" s="73">
        <v>4.7619047619047616E-2</v>
      </c>
      <c r="N9" s="71" t="s">
        <v>168</v>
      </c>
      <c r="O9" s="73">
        <v>0.55555555555555558</v>
      </c>
      <c r="P9" s="71" t="s">
        <v>177</v>
      </c>
      <c r="Q9" s="74">
        <v>0.21052631578947367</v>
      </c>
      <c r="R9" s="71" t="s">
        <v>179</v>
      </c>
      <c r="S9" s="74">
        <v>0.10687022900763359</v>
      </c>
      <c r="T9" s="71" t="s">
        <v>191</v>
      </c>
      <c r="U9" s="75">
        <v>6733.333333333333</v>
      </c>
      <c r="V9" s="71" t="s">
        <v>162</v>
      </c>
      <c r="W9" s="75">
        <v>-3914.2857142857142</v>
      </c>
      <c r="X9" s="71" t="s">
        <v>162</v>
      </c>
      <c r="Y9" s="74">
        <v>0.24193548387096775</v>
      </c>
      <c r="Z9" s="71" t="s">
        <v>179</v>
      </c>
      <c r="AA9" s="74">
        <v>0.25190839694656486</v>
      </c>
      <c r="AB9" s="71" t="s">
        <v>168</v>
      </c>
      <c r="AC9" s="74">
        <v>0.7142857142857143</v>
      </c>
      <c r="AD9" s="71" t="s">
        <v>191</v>
      </c>
      <c r="AE9" s="74">
        <v>0.35714285714285715</v>
      </c>
      <c r="AF9" s="71" t="s">
        <v>205</v>
      </c>
      <c r="AG9" s="74">
        <v>0.41666666666666669</v>
      </c>
      <c r="AH9" s="71" t="s">
        <v>179</v>
      </c>
      <c r="AI9" s="78">
        <v>53200</v>
      </c>
    </row>
    <row r="10" spans="1:35">
      <c r="A10" s="68">
        <v>8</v>
      </c>
      <c r="B10" s="69" t="s">
        <v>163</v>
      </c>
      <c r="C10" s="133">
        <v>8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191</v>
      </c>
      <c r="M10" s="73">
        <v>7.1428571428571425E-2</v>
      </c>
      <c r="N10" s="71" t="s">
        <v>179</v>
      </c>
      <c r="O10" s="73">
        <v>0.5</v>
      </c>
      <c r="P10" s="71" t="s">
        <v>169</v>
      </c>
      <c r="Q10" s="74">
        <v>0.20571428571428571</v>
      </c>
      <c r="R10" s="71" t="s">
        <v>205</v>
      </c>
      <c r="S10" s="74">
        <v>0.10714285714285714</v>
      </c>
      <c r="T10" s="71" t="s">
        <v>161</v>
      </c>
      <c r="U10" s="75">
        <v>6458.333333333333</v>
      </c>
      <c r="V10" s="71" t="s">
        <v>169</v>
      </c>
      <c r="W10" s="75">
        <v>-4368.75</v>
      </c>
      <c r="X10" s="71" t="s">
        <v>177</v>
      </c>
      <c r="Y10" s="74">
        <v>0.21052631578947367</v>
      </c>
      <c r="Z10" s="71" t="s">
        <v>196</v>
      </c>
      <c r="AA10" s="74">
        <v>0.25</v>
      </c>
      <c r="AB10" s="71" t="s">
        <v>114</v>
      </c>
      <c r="AC10" s="74">
        <v>0.5113122171945701</v>
      </c>
      <c r="AD10" s="71" t="s">
        <v>161</v>
      </c>
      <c r="AE10" s="74">
        <v>0.35714285714285715</v>
      </c>
      <c r="AF10" s="71" t="s">
        <v>168</v>
      </c>
      <c r="AG10" s="74">
        <v>0.39534883720930231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7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2.4864864864864864</v>
      </c>
      <c r="J11" s="71" t="s">
        <v>191</v>
      </c>
      <c r="K11" s="73">
        <v>0.21428571428571427</v>
      </c>
      <c r="L11" s="71" t="s">
        <v>162</v>
      </c>
      <c r="M11" s="73">
        <v>0.14285714285714285</v>
      </c>
      <c r="N11" s="71" t="s">
        <v>114</v>
      </c>
      <c r="O11" s="73">
        <v>0.5</v>
      </c>
      <c r="P11" s="71" t="s">
        <v>114</v>
      </c>
      <c r="Q11" s="74">
        <v>0.20499999999999999</v>
      </c>
      <c r="R11" s="71" t="s">
        <v>162</v>
      </c>
      <c r="S11" s="74">
        <v>0.11290322580645161</v>
      </c>
      <c r="T11" s="71" t="s">
        <v>114</v>
      </c>
      <c r="U11" s="75">
        <v>6428.4552845528451</v>
      </c>
      <c r="V11" s="71" t="s">
        <v>216</v>
      </c>
      <c r="W11" s="75">
        <v>-4550</v>
      </c>
      <c r="X11" s="71" t="s">
        <v>203</v>
      </c>
      <c r="Y11" s="74">
        <v>0.20930232558139536</v>
      </c>
      <c r="Z11" s="71" t="s">
        <v>191</v>
      </c>
      <c r="AA11" s="74">
        <v>0.24347826086956523</v>
      </c>
      <c r="AB11" s="71" t="s">
        <v>163</v>
      </c>
      <c r="AC11" s="74">
        <v>0.5</v>
      </c>
      <c r="AD11" s="71" t="s">
        <v>114</v>
      </c>
      <c r="AE11" s="74">
        <v>0.3418181818181818</v>
      </c>
      <c r="AF11" s="71" t="s">
        <v>179</v>
      </c>
      <c r="AG11" s="74">
        <v>0.375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7</v>
      </c>
      <c r="D12" s="69" t="s">
        <v>175</v>
      </c>
      <c r="E12" s="70">
        <v>-2.2000000000000011</v>
      </c>
      <c r="F12" s="71" t="s">
        <v>114</v>
      </c>
      <c r="G12" s="83">
        <v>-0.20270270270270271</v>
      </c>
      <c r="H12" s="71" t="s">
        <v>163</v>
      </c>
      <c r="I12" s="72">
        <v>2.5</v>
      </c>
      <c r="J12" s="71" t="s">
        <v>164</v>
      </c>
      <c r="K12" s="73">
        <v>0.2</v>
      </c>
      <c r="L12" s="71" t="s">
        <v>179</v>
      </c>
      <c r="M12" s="73">
        <v>0.1875</v>
      </c>
      <c r="N12" s="71" t="s">
        <v>163</v>
      </c>
      <c r="O12" s="73">
        <v>0.5</v>
      </c>
      <c r="P12" s="71" t="s">
        <v>161</v>
      </c>
      <c r="Q12" s="74">
        <v>0.2</v>
      </c>
      <c r="R12" s="71" t="s">
        <v>166</v>
      </c>
      <c r="S12" s="74">
        <v>0.11428571428571428</v>
      </c>
      <c r="T12" s="71" t="s">
        <v>203</v>
      </c>
      <c r="U12" s="75">
        <v>6275</v>
      </c>
      <c r="V12" s="71" t="s">
        <v>202</v>
      </c>
      <c r="W12" s="75">
        <v>-4800</v>
      </c>
      <c r="X12" s="71" t="s">
        <v>163</v>
      </c>
      <c r="Y12" s="74">
        <v>0.20289855072463769</v>
      </c>
      <c r="Z12" s="71" t="s">
        <v>161</v>
      </c>
      <c r="AA12" s="74">
        <v>0.23333333333333334</v>
      </c>
      <c r="AB12" s="71" t="s">
        <v>167</v>
      </c>
      <c r="AC12" s="74">
        <v>0.5</v>
      </c>
      <c r="AD12" s="71" t="s">
        <v>169</v>
      </c>
      <c r="AE12" s="74">
        <v>0.33333333333333331</v>
      </c>
      <c r="AF12" s="71" t="s">
        <v>114</v>
      </c>
      <c r="AG12" s="74">
        <v>0.34552845528455284</v>
      </c>
      <c r="AH12" s="71" t="s">
        <v>177</v>
      </c>
      <c r="AI12" s="78">
        <v>42500</v>
      </c>
    </row>
    <row r="13" spans="1:35">
      <c r="A13" s="68">
        <v>11</v>
      </c>
      <c r="B13" s="69" t="s">
        <v>203</v>
      </c>
      <c r="C13" s="133">
        <v>5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161</v>
      </c>
      <c r="K13" s="73">
        <v>0.14285714285714285</v>
      </c>
      <c r="L13" s="71" t="s">
        <v>114</v>
      </c>
      <c r="M13" s="73">
        <v>0.24324324324324326</v>
      </c>
      <c r="N13" s="71" t="s">
        <v>175</v>
      </c>
      <c r="O13" s="73">
        <v>0.5</v>
      </c>
      <c r="P13" s="71" t="s">
        <v>166</v>
      </c>
      <c r="Q13" s="74">
        <v>0.2</v>
      </c>
      <c r="R13" s="71" t="s">
        <v>163</v>
      </c>
      <c r="S13" s="74">
        <v>0.11594202898550725</v>
      </c>
      <c r="T13" s="71" t="s">
        <v>163</v>
      </c>
      <c r="U13" s="75">
        <v>5993.333333333333</v>
      </c>
      <c r="V13" s="71" t="s">
        <v>203</v>
      </c>
      <c r="W13" s="75">
        <v>-5080</v>
      </c>
      <c r="X13" s="71" t="s">
        <v>168</v>
      </c>
      <c r="Y13" s="74">
        <v>0.19718309859154928</v>
      </c>
      <c r="Z13" s="71" t="s">
        <v>114</v>
      </c>
      <c r="AA13" s="74">
        <v>0.22916666666666666</v>
      </c>
      <c r="AB13" s="71" t="s">
        <v>195</v>
      </c>
      <c r="AC13" s="74">
        <v>0.47058823529411764</v>
      </c>
      <c r="AD13" s="71" t="s">
        <v>177</v>
      </c>
      <c r="AE13" s="74">
        <v>0.33333333333333331</v>
      </c>
      <c r="AF13" s="71" t="s">
        <v>175</v>
      </c>
      <c r="AG13" s="74">
        <v>0.33333333333333331</v>
      </c>
      <c r="AH13" s="71" t="s">
        <v>163</v>
      </c>
      <c r="AI13" s="78">
        <v>41700</v>
      </c>
    </row>
    <row r="14" spans="1:35">
      <c r="A14" s="68">
        <v>12</v>
      </c>
      <c r="B14" s="69" t="s">
        <v>166</v>
      </c>
      <c r="C14" s="133">
        <v>4</v>
      </c>
      <c r="D14" s="69" t="s">
        <v>213</v>
      </c>
      <c r="E14" s="70">
        <v>-19.5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</v>
      </c>
      <c r="L14" s="71" t="s">
        <v>195</v>
      </c>
      <c r="M14" s="73">
        <v>0.25</v>
      </c>
      <c r="N14" s="71" t="s">
        <v>177</v>
      </c>
      <c r="O14" s="73">
        <v>0.5</v>
      </c>
      <c r="P14" s="71" t="s">
        <v>175</v>
      </c>
      <c r="Q14" s="74">
        <v>0.2</v>
      </c>
      <c r="R14" s="71" t="s">
        <v>191</v>
      </c>
      <c r="S14" s="74">
        <v>0.13043478260869565</v>
      </c>
      <c r="T14" s="71" t="s">
        <v>168</v>
      </c>
      <c r="U14" s="75">
        <v>5988.3720930232557</v>
      </c>
      <c r="V14" s="71" t="s">
        <v>164</v>
      </c>
      <c r="W14" s="75">
        <v>-5500</v>
      </c>
      <c r="X14" s="71" t="s">
        <v>179</v>
      </c>
      <c r="Y14" s="74">
        <v>0.19083969465648856</v>
      </c>
      <c r="Z14" s="71" t="s">
        <v>205</v>
      </c>
      <c r="AA14" s="74">
        <v>0.21428571428571427</v>
      </c>
      <c r="AB14" s="71" t="s">
        <v>161</v>
      </c>
      <c r="AC14" s="74">
        <v>0.45454545454545453</v>
      </c>
      <c r="AD14" s="71" t="s">
        <v>205</v>
      </c>
      <c r="AE14" s="74">
        <v>0.33333333333333331</v>
      </c>
      <c r="AF14" s="71" t="s">
        <v>195</v>
      </c>
      <c r="AG14" s="74">
        <v>0.3125</v>
      </c>
      <c r="AH14" s="71" t="s">
        <v>167</v>
      </c>
      <c r="AI14" s="78">
        <v>34000</v>
      </c>
    </row>
    <row r="15" spans="1:35">
      <c r="A15" s="68">
        <v>13</v>
      </c>
      <c r="B15" s="69" t="s">
        <v>205</v>
      </c>
      <c r="C15" s="133">
        <v>4</v>
      </c>
      <c r="D15" s="69" t="s">
        <v>196</v>
      </c>
      <c r="E15" s="70">
        <v>-27.1</v>
      </c>
      <c r="F15" s="71" t="s">
        <v>161</v>
      </c>
      <c r="G15" s="83">
        <v>-10.314285714285713</v>
      </c>
      <c r="H15" s="71" t="s">
        <v>161</v>
      </c>
      <c r="I15" s="72">
        <v>2.7142857142857144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161</v>
      </c>
      <c r="O15" s="73">
        <v>0.42857142857142855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177</v>
      </c>
      <c r="U15" s="75">
        <v>5900</v>
      </c>
      <c r="V15" s="71" t="s">
        <v>168</v>
      </c>
      <c r="W15" s="75">
        <v>-5835.7142857142853</v>
      </c>
      <c r="X15" s="71" t="s">
        <v>195</v>
      </c>
      <c r="Y15" s="74">
        <v>0.18888888888888888</v>
      </c>
      <c r="Z15" s="71" t="s">
        <v>169</v>
      </c>
      <c r="AA15" s="74">
        <v>0.18857142857142858</v>
      </c>
      <c r="AB15" s="71" t="s">
        <v>179</v>
      </c>
      <c r="AC15" s="74">
        <v>0.4</v>
      </c>
      <c r="AD15" s="71" t="s">
        <v>163</v>
      </c>
      <c r="AE15" s="74">
        <v>0.31818181818181818</v>
      </c>
      <c r="AF15" s="71" t="s">
        <v>169</v>
      </c>
      <c r="AG15" s="74">
        <v>0.25</v>
      </c>
      <c r="AH15" s="71" t="s">
        <v>175</v>
      </c>
      <c r="AI15" s="78">
        <v>33600</v>
      </c>
    </row>
    <row r="16" spans="1:35">
      <c r="A16" s="68">
        <v>14</v>
      </c>
      <c r="B16" s="69" t="s">
        <v>208</v>
      </c>
      <c r="C16" s="133">
        <v>3</v>
      </c>
      <c r="D16" s="69" t="s">
        <v>114</v>
      </c>
      <c r="E16" s="70">
        <v>-30</v>
      </c>
      <c r="F16" s="71" t="s">
        <v>215</v>
      </c>
      <c r="G16" s="83">
        <v>-14.4</v>
      </c>
      <c r="H16" s="71" t="s">
        <v>195</v>
      </c>
      <c r="I16" s="72">
        <v>2.9166666666666665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195</v>
      </c>
      <c r="O16" s="73">
        <v>0.33333333333333331</v>
      </c>
      <c r="P16" s="71" t="s">
        <v>195</v>
      </c>
      <c r="Q16" s="74">
        <v>0.17777777777777778</v>
      </c>
      <c r="R16" s="71" t="s">
        <v>199</v>
      </c>
      <c r="S16" s="74">
        <v>0.13333333333333333</v>
      </c>
      <c r="T16" s="71" t="s">
        <v>179</v>
      </c>
      <c r="U16" s="75">
        <v>4909.375</v>
      </c>
      <c r="V16" s="71" t="s">
        <v>177</v>
      </c>
      <c r="W16" s="75">
        <v>-5950</v>
      </c>
      <c r="X16" s="71" t="s">
        <v>114</v>
      </c>
      <c r="Y16" s="74">
        <v>0.18416666666666667</v>
      </c>
      <c r="Z16" s="71" t="s">
        <v>202</v>
      </c>
      <c r="AA16" s="74">
        <v>0.17647058823529413</v>
      </c>
      <c r="AB16" s="71" t="s">
        <v>191</v>
      </c>
      <c r="AC16" s="74">
        <v>0.33333333333333331</v>
      </c>
      <c r="AD16" s="71" t="s">
        <v>195</v>
      </c>
      <c r="AE16" s="74">
        <v>0.30434782608695654</v>
      </c>
      <c r="AF16" s="71" t="s">
        <v>177</v>
      </c>
      <c r="AG16" s="74">
        <v>0.25</v>
      </c>
      <c r="AH16" s="71" t="s">
        <v>195</v>
      </c>
      <c r="AI16" s="78">
        <v>30000</v>
      </c>
    </row>
    <row r="17" spans="1:35">
      <c r="A17" s="68">
        <v>15</v>
      </c>
      <c r="B17" s="69" t="s">
        <v>175</v>
      </c>
      <c r="C17" s="133">
        <v>2</v>
      </c>
      <c r="D17" s="69" t="s">
        <v>179</v>
      </c>
      <c r="E17" s="70">
        <v>-34.6</v>
      </c>
      <c r="F17" s="71" t="s">
        <v>213</v>
      </c>
      <c r="G17" s="83">
        <v>-19.5</v>
      </c>
      <c r="H17" s="71" t="s">
        <v>196</v>
      </c>
      <c r="I17" s="72">
        <v>3</v>
      </c>
      <c r="J17" s="71" t="s">
        <v>175</v>
      </c>
      <c r="K17" s="73">
        <v>0</v>
      </c>
      <c r="L17" s="71" t="s">
        <v>161</v>
      </c>
      <c r="M17" s="73">
        <v>0.2857142857142857</v>
      </c>
      <c r="N17" s="71" t="s">
        <v>166</v>
      </c>
      <c r="O17" s="73">
        <v>0.25</v>
      </c>
      <c r="P17" s="71" t="s">
        <v>215</v>
      </c>
      <c r="Q17" s="74">
        <v>0.16666666666666666</v>
      </c>
      <c r="R17" s="71" t="s">
        <v>114</v>
      </c>
      <c r="S17" s="74">
        <v>0.13416666666666666</v>
      </c>
      <c r="T17" s="71" t="s">
        <v>215</v>
      </c>
      <c r="U17" s="75">
        <v>3900</v>
      </c>
      <c r="V17" s="71" t="s">
        <v>114</v>
      </c>
      <c r="W17" s="75">
        <v>-6039.7515527950309</v>
      </c>
      <c r="X17" s="71" t="s">
        <v>161</v>
      </c>
      <c r="Y17" s="74">
        <v>0.18333333333333332</v>
      </c>
      <c r="Z17" s="71" t="s">
        <v>166</v>
      </c>
      <c r="AA17" s="74">
        <v>0.17142857142857143</v>
      </c>
      <c r="AB17" s="71" t="s">
        <v>203</v>
      </c>
      <c r="AC17" s="74">
        <v>0.33333333333333331</v>
      </c>
      <c r="AD17" s="71" t="s">
        <v>164</v>
      </c>
      <c r="AE17" s="74">
        <v>0.22580645161290322</v>
      </c>
      <c r="AF17" s="71" t="s">
        <v>164</v>
      </c>
      <c r="AG17" s="74">
        <v>0.2</v>
      </c>
      <c r="AH17" s="71" t="s">
        <v>215</v>
      </c>
      <c r="AI17" s="78">
        <v>25600</v>
      </c>
    </row>
    <row r="18" spans="1:35">
      <c r="A18" s="68">
        <v>16</v>
      </c>
      <c r="B18" s="69" t="s">
        <v>177</v>
      </c>
      <c r="C18" s="133">
        <v>2</v>
      </c>
      <c r="D18" s="69" t="s">
        <v>216</v>
      </c>
      <c r="E18" s="70">
        <v>-47.6</v>
      </c>
      <c r="F18" s="71" t="s">
        <v>195</v>
      </c>
      <c r="G18" s="83">
        <v>-24.166666666666671</v>
      </c>
      <c r="H18" s="71" t="s">
        <v>213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180</v>
      </c>
      <c r="O18" s="73">
        <v>0</v>
      </c>
      <c r="P18" s="71" t="s">
        <v>164</v>
      </c>
      <c r="Q18" s="74">
        <v>0.16528925619834711</v>
      </c>
      <c r="R18" s="71" t="s">
        <v>161</v>
      </c>
      <c r="S18" s="74">
        <v>0.16666666666666666</v>
      </c>
      <c r="T18" s="71" t="s">
        <v>195</v>
      </c>
      <c r="U18" s="75">
        <v>3806.25</v>
      </c>
      <c r="V18" s="71" t="s">
        <v>208</v>
      </c>
      <c r="W18" s="75">
        <v>-6340</v>
      </c>
      <c r="X18" s="71" t="s">
        <v>213</v>
      </c>
      <c r="Y18" s="74">
        <v>0.16666666666666666</v>
      </c>
      <c r="Z18" s="71" t="s">
        <v>213</v>
      </c>
      <c r="AA18" s="74">
        <v>0.16666666666666666</v>
      </c>
      <c r="AB18" s="71" t="s">
        <v>164</v>
      </c>
      <c r="AC18" s="74">
        <v>0.3125</v>
      </c>
      <c r="AD18" s="71" t="s">
        <v>203</v>
      </c>
      <c r="AE18" s="74">
        <v>0.16666666666666666</v>
      </c>
      <c r="AF18" s="71" t="s">
        <v>191</v>
      </c>
      <c r="AG18" s="74">
        <v>0.14285714285714285</v>
      </c>
      <c r="AH18" s="71" t="s">
        <v>203</v>
      </c>
      <c r="AI18" s="78">
        <v>25000</v>
      </c>
    </row>
    <row r="19" spans="1:35">
      <c r="A19" s="68">
        <v>17</v>
      </c>
      <c r="B19" s="69" t="s">
        <v>199</v>
      </c>
      <c r="C19" s="133">
        <v>2</v>
      </c>
      <c r="D19" s="69" t="s">
        <v>180</v>
      </c>
      <c r="E19" s="70">
        <v>-52.6</v>
      </c>
      <c r="F19" s="71" t="s">
        <v>196</v>
      </c>
      <c r="G19" s="83">
        <v>-27.1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199</v>
      </c>
      <c r="O19" s="73">
        <v>0</v>
      </c>
      <c r="P19" s="71" t="s">
        <v>196</v>
      </c>
      <c r="Q19" s="74">
        <v>0.125</v>
      </c>
      <c r="R19" s="71" t="s">
        <v>215</v>
      </c>
      <c r="S19" s="74">
        <v>0.16666666666666666</v>
      </c>
      <c r="T19" s="71" t="s">
        <v>166</v>
      </c>
      <c r="U19" s="75">
        <v>2928.5714285714284</v>
      </c>
      <c r="V19" s="71" t="s">
        <v>180</v>
      </c>
      <c r="W19" s="75">
        <v>-6600</v>
      </c>
      <c r="X19" s="71" t="s">
        <v>216</v>
      </c>
      <c r="Y19" s="74">
        <v>0.16666666666666666</v>
      </c>
      <c r="Z19" s="71" t="s">
        <v>215</v>
      </c>
      <c r="AA19" s="74">
        <v>0.16666666666666666</v>
      </c>
      <c r="AB19" s="71" t="s">
        <v>180</v>
      </c>
      <c r="AC19" s="74">
        <v>0</v>
      </c>
      <c r="AD19" s="71" t="s">
        <v>167</v>
      </c>
      <c r="AE19" s="74">
        <v>0</v>
      </c>
      <c r="AF19" s="71" t="s">
        <v>180</v>
      </c>
      <c r="AG19" s="74">
        <v>0</v>
      </c>
      <c r="AH19" s="71" t="s">
        <v>166</v>
      </c>
      <c r="AI19" s="78">
        <v>23700</v>
      </c>
    </row>
    <row r="20" spans="1:35">
      <c r="A20" s="68">
        <v>18</v>
      </c>
      <c r="B20" s="69" t="s">
        <v>202</v>
      </c>
      <c r="C20" s="133">
        <v>2</v>
      </c>
      <c r="D20" s="69" t="s">
        <v>161</v>
      </c>
      <c r="E20" s="70">
        <v>-72.199999999999989</v>
      </c>
      <c r="F20" s="71" t="s">
        <v>166</v>
      </c>
      <c r="G20" s="83">
        <v>-31.999999999999996</v>
      </c>
      <c r="H20" s="71" t="s">
        <v>166</v>
      </c>
      <c r="I20" s="72">
        <v>3.25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196</v>
      </c>
      <c r="O20" s="73">
        <v>0</v>
      </c>
      <c r="P20" s="71" t="s">
        <v>203</v>
      </c>
      <c r="Q20" s="74">
        <v>9.3023255813953487E-2</v>
      </c>
      <c r="R20" s="71" t="s">
        <v>202</v>
      </c>
      <c r="S20" s="74">
        <v>0.17647058823529413</v>
      </c>
      <c r="T20" s="71" t="s">
        <v>202</v>
      </c>
      <c r="U20" s="75">
        <v>1300</v>
      </c>
      <c r="V20" s="71" t="s">
        <v>163</v>
      </c>
      <c r="W20" s="75">
        <v>-7212.5</v>
      </c>
      <c r="X20" s="71" t="s">
        <v>169</v>
      </c>
      <c r="Y20" s="74">
        <v>0.14857142857142858</v>
      </c>
      <c r="Z20" s="71" t="s">
        <v>177</v>
      </c>
      <c r="AA20" s="74">
        <v>0.15789473684210525</v>
      </c>
      <c r="AB20" s="71" t="s">
        <v>199</v>
      </c>
      <c r="AC20" s="74">
        <v>0</v>
      </c>
      <c r="AD20" s="71" t="s">
        <v>175</v>
      </c>
      <c r="AE20" s="74">
        <v>0</v>
      </c>
      <c r="AF20" s="71" t="s">
        <v>199</v>
      </c>
      <c r="AG20" s="74">
        <v>0</v>
      </c>
      <c r="AH20" s="71" t="s">
        <v>213</v>
      </c>
      <c r="AI20" s="78">
        <v>20500</v>
      </c>
    </row>
    <row r="21" spans="1:35">
      <c r="A21" s="68">
        <v>19</v>
      </c>
      <c r="B21" s="69" t="s">
        <v>167</v>
      </c>
      <c r="C21" s="133">
        <v>1</v>
      </c>
      <c r="D21" s="69" t="s">
        <v>199</v>
      </c>
      <c r="E21" s="70">
        <v>-97.4</v>
      </c>
      <c r="F21" s="71" t="s">
        <v>203</v>
      </c>
      <c r="G21" s="83">
        <v>-32.279999999999994</v>
      </c>
      <c r="H21" s="71" t="s">
        <v>203</v>
      </c>
      <c r="I21" s="72">
        <v>3.4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203</v>
      </c>
      <c r="O21" s="73">
        <v>0</v>
      </c>
      <c r="P21" s="71" t="s">
        <v>202</v>
      </c>
      <c r="Q21" s="74">
        <v>5.8823529411764705E-2</v>
      </c>
      <c r="R21" s="71" t="s">
        <v>195</v>
      </c>
      <c r="S21" s="74">
        <v>0.17777777777777778</v>
      </c>
      <c r="T21" s="71" t="s">
        <v>196</v>
      </c>
      <c r="U21" s="75">
        <v>1000</v>
      </c>
      <c r="V21" s="71" t="s">
        <v>161</v>
      </c>
      <c r="W21" s="75">
        <v>-7220</v>
      </c>
      <c r="X21" s="71" t="s">
        <v>180</v>
      </c>
      <c r="Y21" s="74">
        <v>0.14285714285714285</v>
      </c>
      <c r="Z21" s="71" t="s">
        <v>167</v>
      </c>
      <c r="AA21" s="74">
        <v>0.14285714285714285</v>
      </c>
      <c r="AB21" s="71" t="s">
        <v>196</v>
      </c>
      <c r="AC21" s="74">
        <v>0</v>
      </c>
      <c r="AD21" s="71" t="s">
        <v>180</v>
      </c>
      <c r="AE21" s="74">
        <v>0</v>
      </c>
      <c r="AF21" s="71" t="s">
        <v>196</v>
      </c>
      <c r="AG21" s="74">
        <v>0</v>
      </c>
      <c r="AH21" s="71" t="s">
        <v>199</v>
      </c>
      <c r="AI21" s="78">
        <v>14100</v>
      </c>
    </row>
    <row r="22" spans="1:35">
      <c r="A22" s="68">
        <v>20</v>
      </c>
      <c r="B22" s="69" t="s">
        <v>180</v>
      </c>
      <c r="C22" s="133">
        <v>1</v>
      </c>
      <c r="D22" s="69" t="s">
        <v>202</v>
      </c>
      <c r="E22" s="70">
        <v>-105.9</v>
      </c>
      <c r="F22" s="71" t="s">
        <v>208</v>
      </c>
      <c r="G22" s="83">
        <v>-44.233333333333327</v>
      </c>
      <c r="H22" s="71" t="s">
        <v>208</v>
      </c>
      <c r="I22" s="72">
        <v>3.6666666666666665</v>
      </c>
      <c r="J22" s="71" t="s">
        <v>202</v>
      </c>
      <c r="K22" s="73">
        <v>0</v>
      </c>
      <c r="L22" s="71" t="s">
        <v>208</v>
      </c>
      <c r="M22" s="73">
        <v>0.66666666666666663</v>
      </c>
      <c r="N22" s="71" t="s">
        <v>202</v>
      </c>
      <c r="O22" s="73">
        <v>0</v>
      </c>
      <c r="P22" s="71" t="s">
        <v>180</v>
      </c>
      <c r="Q22" s="74">
        <v>0</v>
      </c>
      <c r="R22" s="71" t="s">
        <v>168</v>
      </c>
      <c r="S22" s="74">
        <v>0.19718309859154928</v>
      </c>
      <c r="T22" s="71" t="s">
        <v>180</v>
      </c>
      <c r="U22" s="75">
        <v>0</v>
      </c>
      <c r="V22" s="71" t="s">
        <v>195</v>
      </c>
      <c r="W22" s="75">
        <v>-7256.25</v>
      </c>
      <c r="X22" s="71" t="s">
        <v>202</v>
      </c>
      <c r="Y22" s="74">
        <v>0.11764705882352941</v>
      </c>
      <c r="Z22" s="71" t="s">
        <v>203</v>
      </c>
      <c r="AA22" s="74">
        <v>0.13953488372093023</v>
      </c>
      <c r="AB22" s="71" t="s">
        <v>202</v>
      </c>
      <c r="AC22" s="74">
        <v>0</v>
      </c>
      <c r="AD22" s="71" t="s">
        <v>199</v>
      </c>
      <c r="AE22" s="74">
        <v>0</v>
      </c>
      <c r="AF22" s="71" t="s">
        <v>202</v>
      </c>
      <c r="AG22" s="74">
        <v>0</v>
      </c>
      <c r="AH22" s="71" t="s">
        <v>202</v>
      </c>
      <c r="AI22" s="78">
        <v>13500</v>
      </c>
    </row>
    <row r="23" spans="1:35">
      <c r="A23" s="68">
        <v>21</v>
      </c>
      <c r="B23" s="69" t="s">
        <v>196</v>
      </c>
      <c r="C23" s="133">
        <v>1</v>
      </c>
      <c r="D23" s="69" t="s">
        <v>166</v>
      </c>
      <c r="E23" s="70">
        <v>-127.99999999999999</v>
      </c>
      <c r="F23" s="71" t="s">
        <v>216</v>
      </c>
      <c r="G23" s="83">
        <v>-47.6</v>
      </c>
      <c r="H23" s="71" t="s">
        <v>180</v>
      </c>
      <c r="I23" s="72">
        <v>4</v>
      </c>
      <c r="J23" s="71" t="s">
        <v>208</v>
      </c>
      <c r="K23" s="73">
        <v>0</v>
      </c>
      <c r="L23" s="71" t="s">
        <v>180</v>
      </c>
      <c r="M23" s="73">
        <v>1</v>
      </c>
      <c r="N23" s="71" t="s">
        <v>208</v>
      </c>
      <c r="O23" s="73">
        <v>0</v>
      </c>
      <c r="P23" s="71" t="s">
        <v>199</v>
      </c>
      <c r="Q23" s="74">
        <v>0</v>
      </c>
      <c r="R23" s="71" t="s">
        <v>208</v>
      </c>
      <c r="S23" s="74">
        <v>0.21739130434782608</v>
      </c>
      <c r="T23" s="71" t="s">
        <v>199</v>
      </c>
      <c r="U23" s="75">
        <v>0</v>
      </c>
      <c r="V23" s="71" t="s">
        <v>179</v>
      </c>
      <c r="W23" s="75">
        <v>-8157.1428571428569</v>
      </c>
      <c r="X23" s="71" t="s">
        <v>166</v>
      </c>
      <c r="Y23" s="74">
        <v>0.11428571428571428</v>
      </c>
      <c r="Z23" s="71" t="s">
        <v>162</v>
      </c>
      <c r="AA23" s="74">
        <v>0.12903225806451613</v>
      </c>
      <c r="AB23" s="71" t="s">
        <v>208</v>
      </c>
      <c r="AC23" s="74">
        <v>0</v>
      </c>
      <c r="AD23" s="71" t="s">
        <v>202</v>
      </c>
      <c r="AE23" s="74">
        <v>0</v>
      </c>
      <c r="AF23" s="71" t="s">
        <v>208</v>
      </c>
      <c r="AG23" s="74">
        <v>0</v>
      </c>
      <c r="AH23" s="71" t="s">
        <v>196</v>
      </c>
      <c r="AI23" s="78">
        <v>12900</v>
      </c>
    </row>
    <row r="24" spans="1:35">
      <c r="A24" s="68">
        <v>22</v>
      </c>
      <c r="B24" s="69" t="s">
        <v>213</v>
      </c>
      <c r="C24" s="133">
        <v>1</v>
      </c>
      <c r="D24" s="69" t="s">
        <v>208</v>
      </c>
      <c r="E24" s="70">
        <v>-132.69999999999999</v>
      </c>
      <c r="F24" s="71" t="s">
        <v>199</v>
      </c>
      <c r="G24" s="83">
        <v>-48.7</v>
      </c>
      <c r="H24" s="71" t="s">
        <v>199</v>
      </c>
      <c r="I24" s="72">
        <v>4</v>
      </c>
      <c r="J24" s="71" t="s">
        <v>213</v>
      </c>
      <c r="K24" s="73">
        <v>0</v>
      </c>
      <c r="L24" s="71" t="s">
        <v>199</v>
      </c>
      <c r="M24" s="73">
        <v>1</v>
      </c>
      <c r="N24" s="71" t="s">
        <v>213</v>
      </c>
      <c r="O24" s="73">
        <v>0</v>
      </c>
      <c r="P24" s="71" t="s">
        <v>208</v>
      </c>
      <c r="Q24" s="74">
        <v>0</v>
      </c>
      <c r="R24" s="71" t="s">
        <v>203</v>
      </c>
      <c r="S24" s="74">
        <v>0.23255813953488372</v>
      </c>
      <c r="T24" s="71" t="s">
        <v>208</v>
      </c>
      <c r="U24" s="75">
        <v>0</v>
      </c>
      <c r="V24" s="71" t="s">
        <v>205</v>
      </c>
      <c r="W24" s="75">
        <v>-9466.6666666666661</v>
      </c>
      <c r="X24" s="71" t="s">
        <v>191</v>
      </c>
      <c r="Y24" s="74">
        <v>0.10434782608695652</v>
      </c>
      <c r="Z24" s="71" t="s">
        <v>175</v>
      </c>
      <c r="AA24" s="74">
        <v>0</v>
      </c>
      <c r="AB24" s="71" t="s">
        <v>213</v>
      </c>
      <c r="AC24" s="74">
        <v>0</v>
      </c>
      <c r="AD24" s="71" t="s">
        <v>208</v>
      </c>
      <c r="AE24" s="74">
        <v>0</v>
      </c>
      <c r="AF24" s="71" t="s">
        <v>213</v>
      </c>
      <c r="AG24" s="74">
        <v>0</v>
      </c>
      <c r="AH24" s="71" t="s">
        <v>216</v>
      </c>
      <c r="AI24" s="78">
        <v>12400</v>
      </c>
    </row>
    <row r="25" spans="1:35">
      <c r="A25" s="68">
        <v>23</v>
      </c>
      <c r="B25" s="69" t="s">
        <v>215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202</v>
      </c>
      <c r="I25" s="72">
        <v>4</v>
      </c>
      <c r="J25" s="71" t="s">
        <v>215</v>
      </c>
      <c r="K25" s="73">
        <v>0</v>
      </c>
      <c r="L25" s="71" t="s">
        <v>202</v>
      </c>
      <c r="M25" s="73">
        <v>1</v>
      </c>
      <c r="N25" s="71" t="s">
        <v>215</v>
      </c>
      <c r="O25" s="73">
        <v>0</v>
      </c>
      <c r="P25" s="71" t="s">
        <v>213</v>
      </c>
      <c r="Q25" s="74">
        <v>0</v>
      </c>
      <c r="R25" s="71" t="s">
        <v>180</v>
      </c>
      <c r="S25" s="74">
        <v>0.2857142857142857</v>
      </c>
      <c r="T25" s="71" t="s">
        <v>213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208</v>
      </c>
      <c r="AA25" s="74">
        <v>0</v>
      </c>
      <c r="AB25" s="71" t="s">
        <v>215</v>
      </c>
      <c r="AC25" s="74">
        <v>0</v>
      </c>
      <c r="AD25" s="71" t="s">
        <v>213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216</v>
      </c>
      <c r="C26" s="133">
        <v>1</v>
      </c>
      <c r="D26" s="69" t="s">
        <v>195</v>
      </c>
      <c r="E26" s="70">
        <v>-290.00000000000006</v>
      </c>
      <c r="F26" s="71" t="s">
        <v>202</v>
      </c>
      <c r="G26" s="83">
        <v>-52.95</v>
      </c>
      <c r="H26" s="71" t="s">
        <v>216</v>
      </c>
      <c r="I26" s="72">
        <v>4</v>
      </c>
      <c r="J26" s="71" t="s">
        <v>216</v>
      </c>
      <c r="K26" s="73">
        <v>0</v>
      </c>
      <c r="L26" s="71" t="s">
        <v>216</v>
      </c>
      <c r="M26" s="73">
        <v>1</v>
      </c>
      <c r="N26" s="71" t="s">
        <v>216</v>
      </c>
      <c r="O26" s="73">
        <v>0</v>
      </c>
      <c r="P26" s="71" t="s">
        <v>216</v>
      </c>
      <c r="Q26" s="74">
        <v>0</v>
      </c>
      <c r="R26" s="71" t="s">
        <v>216</v>
      </c>
      <c r="S26" s="74">
        <v>0.33333333333333331</v>
      </c>
      <c r="T26" s="71" t="s">
        <v>216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216</v>
      </c>
      <c r="AA26" s="74">
        <v>0</v>
      </c>
      <c r="AB26" s="71" t="s">
        <v>216</v>
      </c>
      <c r="AC26" s="74">
        <v>0</v>
      </c>
      <c r="AD26" s="71" t="s">
        <v>216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50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114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148</v>
      </c>
      <c r="C2" s="155"/>
      <c r="E2" s="54" t="s">
        <v>54</v>
      </c>
      <c r="F2" s="51" t="s">
        <v>20</v>
      </c>
      <c r="G2" s="39">
        <v>147</v>
      </c>
      <c r="H2" s="117">
        <f>IF(B$17=0,0,G2/B$17)</f>
        <v>0.59756097560975607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-27.027027027027028</v>
      </c>
      <c r="P2" s="103">
        <v>148</v>
      </c>
      <c r="Q2" s="87">
        <v>-4000</v>
      </c>
    </row>
    <row r="3" spans="1:17">
      <c r="A3" s="47" t="s">
        <v>8</v>
      </c>
      <c r="B3" s="156">
        <v>1200</v>
      </c>
      <c r="C3" s="157"/>
      <c r="E3" s="55" t="s">
        <v>184</v>
      </c>
      <c r="F3" s="52" t="s">
        <v>187</v>
      </c>
      <c r="G3" s="40">
        <v>117</v>
      </c>
      <c r="H3" s="118">
        <f>IF(B$17=0,0,G3/B$17)</f>
        <v>0.47560975609756095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0</v>
      </c>
      <c r="P3" s="104">
        <v>148</v>
      </c>
      <c r="Q3" s="88">
        <v>0</v>
      </c>
    </row>
    <row r="4" spans="1:17">
      <c r="A4" s="47" t="s">
        <v>6</v>
      </c>
      <c r="B4" s="158">
        <v>-30</v>
      </c>
      <c r="C4" s="159"/>
      <c r="E4" s="55" t="s">
        <v>181</v>
      </c>
      <c r="F4" s="52" t="s">
        <v>156</v>
      </c>
      <c r="G4" s="40">
        <v>111</v>
      </c>
      <c r="H4" s="118">
        <f>IF(B$17=0,0,G4/B$17)</f>
        <v>0.45121951219512196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-54.054054054054056</v>
      </c>
      <c r="P4" s="104">
        <v>148</v>
      </c>
      <c r="Q4" s="88">
        <v>-8000</v>
      </c>
    </row>
    <row r="5" spans="1:17">
      <c r="A5" s="47" t="s">
        <v>7</v>
      </c>
      <c r="B5" s="160">
        <f>IF(B$2=0,0,B$4/B$2)</f>
        <v>-0.20270270270270271</v>
      </c>
      <c r="C5" s="161"/>
      <c r="E5" s="55" t="s">
        <v>60</v>
      </c>
      <c r="F5" s="52" t="s">
        <v>24</v>
      </c>
      <c r="G5" s="40">
        <v>101</v>
      </c>
      <c r="H5" s="118">
        <f>IF(B$17=0,0,G5/B$17)</f>
        <v>0.41056910569105692</v>
      </c>
      <c r="I5" s="80">
        <v>10</v>
      </c>
      <c r="K5" s="32">
        <v>3</v>
      </c>
      <c r="L5" s="85">
        <v>25.100000000000009</v>
      </c>
      <c r="N5" s="100" t="s">
        <v>157</v>
      </c>
      <c r="O5" s="107">
        <f>IF(P5=0,0,Q5/P5)</f>
        <v>-28.571428571428573</v>
      </c>
      <c r="P5" s="104">
        <v>140</v>
      </c>
      <c r="Q5" s="88">
        <v>-4000</v>
      </c>
    </row>
    <row r="6" spans="1:17">
      <c r="A6" s="47" t="s">
        <v>1</v>
      </c>
      <c r="B6" s="162">
        <f>IF(B$2=0,0,(B$7*1+B$8*2+B$9*3+B$10*4)/B$2)</f>
        <v>2.4864864864864864</v>
      </c>
      <c r="C6" s="163"/>
      <c r="E6" s="55" t="s">
        <v>55</v>
      </c>
      <c r="F6" s="52" t="s">
        <v>155</v>
      </c>
      <c r="G6" s="40">
        <v>59</v>
      </c>
      <c r="H6" s="118">
        <f>IF(B$17=0,0,G6/B$17)</f>
        <v>0.23983739837398374</v>
      </c>
      <c r="I6" s="80">
        <v>10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25</v>
      </c>
      <c r="P6" s="104">
        <v>120</v>
      </c>
      <c r="Q6" s="88">
        <v>3000</v>
      </c>
    </row>
    <row r="7" spans="1:17">
      <c r="A7" s="47" t="s">
        <v>2</v>
      </c>
      <c r="B7" s="40">
        <v>38</v>
      </c>
      <c r="C7" s="33">
        <f t="shared" ref="C7:C12" si="2">IF(B$2=0,0,B7/B$2)</f>
        <v>0.25675675675675674</v>
      </c>
      <c r="E7" s="55" t="s">
        <v>57</v>
      </c>
      <c r="F7" s="52" t="s">
        <v>21</v>
      </c>
      <c r="G7" s="40">
        <v>59</v>
      </c>
      <c r="H7" s="118">
        <f>IF(B$17=0,0,G7/B$17)</f>
        <v>0.23983739837398374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-90.909090909090907</v>
      </c>
      <c r="P7" s="104">
        <v>88</v>
      </c>
      <c r="Q7" s="88">
        <v>-8000</v>
      </c>
    </row>
    <row r="8" spans="1:17">
      <c r="A8" s="47" t="s">
        <v>3</v>
      </c>
      <c r="B8" s="40">
        <v>36</v>
      </c>
      <c r="C8" s="33">
        <f>IF(B$2=0,0,B8/B$2)</f>
        <v>0.24324324324324326</v>
      </c>
      <c r="E8" s="55" t="s">
        <v>56</v>
      </c>
      <c r="F8" s="52" t="s">
        <v>185</v>
      </c>
      <c r="G8" s="40">
        <v>56</v>
      </c>
      <c r="H8" s="118">
        <f>IF(B$17=0,0,G8/B$17)</f>
        <v>0.22764227642276422</v>
      </c>
      <c r="I8" s="80">
        <v>10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68</v>
      </c>
      <c r="Q8" s="88">
        <v>0</v>
      </c>
    </row>
    <row r="9" spans="1:17">
      <c r="A9" s="48" t="s">
        <v>4</v>
      </c>
      <c r="B9" s="41">
        <v>38</v>
      </c>
      <c r="C9" s="34">
        <f>IF(B$2=0,0,B9/B$2)</f>
        <v>0.25675675675675674</v>
      </c>
      <c r="E9" s="55" t="s">
        <v>59</v>
      </c>
      <c r="F9" s="52" t="s">
        <v>23</v>
      </c>
      <c r="G9" s="40">
        <v>41</v>
      </c>
      <c r="H9" s="118">
        <f>IF(B$17=0,0,G9/B$17)</f>
        <v>0.16666666666666666</v>
      </c>
      <c r="I9" s="80">
        <v>9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36</v>
      </c>
      <c r="C10" s="34">
        <f>IF(B$2=0,0,B10/B$2)</f>
        <v>0.24324324324324326</v>
      </c>
      <c r="E10" s="55" t="s">
        <v>182</v>
      </c>
      <c r="F10" s="52" t="s">
        <v>19</v>
      </c>
      <c r="G10" s="40">
        <v>27</v>
      </c>
      <c r="H10" s="118">
        <f>IF(B$17=0,0,G10/B$17)</f>
        <v>0.10975609756097561</v>
      </c>
      <c r="I10" s="80">
        <v>8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74</v>
      </c>
      <c r="C11" s="34">
        <f>IF(B$2=0,0,B11/B$2)</f>
        <v>0.5</v>
      </c>
      <c r="E11" s="55" t="s">
        <v>58</v>
      </c>
      <c r="F11" s="52" t="s">
        <v>22</v>
      </c>
      <c r="G11" s="40">
        <v>16</v>
      </c>
      <c r="H11" s="118">
        <f>IF(B$17=0,0,G11/B$17)</f>
        <v>6.5040650406504072E-2</v>
      </c>
      <c r="I11" s="80">
        <v>6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6.0810810810810814E-2</v>
      </c>
      <c r="E12" s="55" t="s">
        <v>71</v>
      </c>
      <c r="F12" s="52" t="s">
        <v>35</v>
      </c>
      <c r="G12" s="40">
        <v>10</v>
      </c>
      <c r="H12" s="118">
        <f>IF(B$17=0,0,G12/B$17)</f>
        <v>4.065040650406504E-2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-6.3486486486486511</v>
      </c>
      <c r="P12" s="103">
        <v>37</v>
      </c>
      <c r="Q12" s="91">
        <v>-234.90000000000009</v>
      </c>
    </row>
    <row r="13" spans="1:17">
      <c r="A13" s="50" t="s">
        <v>97</v>
      </c>
      <c r="B13" s="43">
        <v>221</v>
      </c>
      <c r="C13" s="38">
        <f>IF(B$3=0,0,B13/B$3)</f>
        <v>0.18416666666666667</v>
      </c>
      <c r="E13" s="55" t="s">
        <v>183</v>
      </c>
      <c r="F13" s="52" t="s">
        <v>186</v>
      </c>
      <c r="G13" s="40">
        <v>9</v>
      </c>
      <c r="H13" s="118">
        <f>IF(B$17=0,0,G13/B$17)</f>
        <v>3.6585365853658534E-2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8.9432432432432396</v>
      </c>
      <c r="P13" s="104">
        <v>37</v>
      </c>
      <c r="Q13" s="92">
        <v>330.89999999999986</v>
      </c>
    </row>
    <row r="14" spans="1:17">
      <c r="A14" s="47" t="s">
        <v>94</v>
      </c>
      <c r="B14" s="40">
        <v>275</v>
      </c>
      <c r="C14" s="33">
        <f>IF(B$3=0,0,B14/B$3)</f>
        <v>0.22916666666666666</v>
      </c>
      <c r="E14" s="55" t="s">
        <v>67</v>
      </c>
      <c r="F14" s="52" t="s">
        <v>31</v>
      </c>
      <c r="G14" s="40">
        <v>6</v>
      </c>
      <c r="H14" s="118">
        <f>IF(B$17=0,0,G14/B$17)</f>
        <v>2.4390243902439025E-2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-1.421621621621618</v>
      </c>
      <c r="P14" s="104">
        <v>37</v>
      </c>
      <c r="Q14" s="92">
        <v>-52.599999999999866</v>
      </c>
    </row>
    <row r="15" spans="1:17">
      <c r="A15" s="46" t="s">
        <v>99</v>
      </c>
      <c r="B15" s="39">
        <f>B21</f>
        <v>113</v>
      </c>
      <c r="C15" s="31">
        <f>IF(B$13=0,0,B15/B$13)</f>
        <v>0.5113122171945701</v>
      </c>
      <c r="E15" s="55" t="s">
        <v>77</v>
      </c>
      <c r="F15" s="52" t="s">
        <v>41</v>
      </c>
      <c r="G15" s="40">
        <v>6</v>
      </c>
      <c r="H15" s="118">
        <f>IF(B$17=0,0,G15/B$17)</f>
        <v>2.4390243902439025E-2</v>
      </c>
      <c r="I15" s="80">
        <v>4</v>
      </c>
      <c r="K15" s="32">
        <v>13</v>
      </c>
      <c r="L15" s="85">
        <v>62.500000000000007</v>
      </c>
      <c r="N15" s="101" t="s">
        <v>159</v>
      </c>
      <c r="O15" s="111">
        <f>IF(P15=0,0,Q15/P15)</f>
        <v>-1.9837837837837831</v>
      </c>
      <c r="P15" s="105">
        <v>37</v>
      </c>
      <c r="Q15" s="93">
        <v>-73.399999999999977</v>
      </c>
    </row>
    <row r="16" spans="1:17">
      <c r="A16" s="46" t="s">
        <v>100</v>
      </c>
      <c r="B16" s="39">
        <f>B22</f>
        <v>94</v>
      </c>
      <c r="C16" s="31">
        <f>IF(B$14=0,0,B16/B$14)</f>
        <v>0.3418181818181818</v>
      </c>
      <c r="E16" s="55" t="s">
        <v>74</v>
      </c>
      <c r="F16" s="52" t="s">
        <v>38</v>
      </c>
      <c r="G16" s="40">
        <v>4</v>
      </c>
      <c r="H16" s="118">
        <f>IF(B$17=0,0,G16/B$17)</f>
        <v>1.6260162601626018E-2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246</v>
      </c>
      <c r="C17" s="31">
        <f>IF(B$3=0,0,B17/B$3)</f>
        <v>0.20499999999999999</v>
      </c>
      <c r="E17" s="55" t="s">
        <v>62</v>
      </c>
      <c r="F17" s="52" t="s">
        <v>26</v>
      </c>
      <c r="G17" s="40">
        <v>2</v>
      </c>
      <c r="H17" s="118">
        <f>IF(B$17=0,0,G17/B$17)</f>
        <v>8.130081300813009E-3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161</v>
      </c>
      <c r="C18" s="33">
        <f>IF(B$3=0,0,B18/B$3)</f>
        <v>0.13416666666666666</v>
      </c>
      <c r="E18" s="55" t="s">
        <v>69</v>
      </c>
      <c r="F18" s="52" t="s">
        <v>33</v>
      </c>
      <c r="G18" s="40">
        <v>2</v>
      </c>
      <c r="H18" s="118">
        <f>IF(B$17=0,0,G18/B$17)</f>
        <v>8.130081300813009E-3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85</v>
      </c>
      <c r="C19" s="33">
        <f>IF(B$17=0,0,B19/B$17)</f>
        <v>0.34552845528455284</v>
      </c>
      <c r="E19" s="55" t="s">
        <v>72</v>
      </c>
      <c r="F19" s="52" t="s">
        <v>36</v>
      </c>
      <c r="G19" s="40">
        <v>2</v>
      </c>
      <c r="H19" s="118">
        <f>IF(B$17=0,0,G19/B$17)</f>
        <v>8.130081300813009E-3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161</v>
      </c>
      <c r="C20" s="33">
        <f>IF(B$17=0,0,B20/B$17)</f>
        <v>0.65447154471544711</v>
      </c>
      <c r="E20" s="55" t="s">
        <v>75</v>
      </c>
      <c r="F20" s="52" t="s">
        <v>39</v>
      </c>
      <c r="G20" s="40">
        <v>2</v>
      </c>
      <c r="H20" s="118">
        <f>IF(B$17=0,0,G20/B$17)</f>
        <v>8.130081300813009E-3</v>
      </c>
      <c r="I20" s="80">
        <v>3</v>
      </c>
      <c r="K20" s="32">
        <v>18</v>
      </c>
      <c r="L20" s="85">
        <v>-91.499999999999986</v>
      </c>
      <c r="N20" s="100" t="s">
        <v>216</v>
      </c>
      <c r="O20" s="110">
        <f>IF(P20=0,0,Q20/P20)</f>
        <v>63.466666666666661</v>
      </c>
      <c r="P20" s="104">
        <v>3</v>
      </c>
      <c r="Q20" s="92">
        <v>190.39999999999998</v>
      </c>
    </row>
    <row r="21" spans="1:17">
      <c r="A21" s="47" t="s">
        <v>151</v>
      </c>
      <c r="B21" s="40">
        <v>113</v>
      </c>
      <c r="C21" s="33">
        <f>IF(B$17=0,0,B21/B$17)</f>
        <v>0.45934959349593496</v>
      </c>
      <c r="E21" s="55" t="s">
        <v>78</v>
      </c>
      <c r="F21" s="52" t="s">
        <v>42</v>
      </c>
      <c r="G21" s="40">
        <v>2</v>
      </c>
      <c r="H21" s="118">
        <f>IF(B$17=0,0,G21/B$17)</f>
        <v>8.130081300813009E-3</v>
      </c>
      <c r="I21" s="80">
        <v>3</v>
      </c>
      <c r="K21" s="32">
        <v>19</v>
      </c>
      <c r="L21" s="85">
        <v>-3.6999999999999886</v>
      </c>
      <c r="N21" s="100" t="s">
        <v>199</v>
      </c>
      <c r="O21" s="110">
        <f>IF(P21=0,0,Q21/P21)</f>
        <v>63.266666666666659</v>
      </c>
      <c r="P21" s="104">
        <v>6</v>
      </c>
      <c r="Q21" s="92">
        <v>379.59999999999997</v>
      </c>
    </row>
    <row r="22" spans="1:17">
      <c r="A22" s="47" t="s">
        <v>149</v>
      </c>
      <c r="B22" s="40">
        <v>94</v>
      </c>
      <c r="C22" s="33">
        <f>IF(B$17=0,0,B22/B$17)</f>
        <v>0.38211382113821141</v>
      </c>
      <c r="E22" s="55" t="s">
        <v>61</v>
      </c>
      <c r="F22" s="52" t="s">
        <v>25</v>
      </c>
      <c r="G22" s="40">
        <v>1</v>
      </c>
      <c r="H22" s="118">
        <f>IF(B$17=0,0,G22/B$17)</f>
        <v>4.0650406504065045E-3</v>
      </c>
      <c r="I22" s="80">
        <v>2</v>
      </c>
      <c r="K22" s="32">
        <v>20</v>
      </c>
      <c r="L22" s="85">
        <v>1.1546319456101628E-14</v>
      </c>
      <c r="N22" s="100" t="s">
        <v>208</v>
      </c>
      <c r="O22" s="110">
        <f>IF(P22=0,0,Q22/P22)</f>
        <v>58.977777777777789</v>
      </c>
      <c r="P22" s="104">
        <v>9</v>
      </c>
      <c r="Q22" s="92">
        <v>530.80000000000007</v>
      </c>
    </row>
    <row r="23" spans="1:17">
      <c r="A23" s="47" t="s">
        <v>150</v>
      </c>
      <c r="B23" s="40">
        <v>39</v>
      </c>
      <c r="C23" s="33">
        <f>IF(B$17=0,0,B23/B$17)</f>
        <v>0.15853658536585366</v>
      </c>
      <c r="E23" s="55" t="s">
        <v>66</v>
      </c>
      <c r="F23" s="52" t="s">
        <v>30</v>
      </c>
      <c r="G23" s="40">
        <v>1</v>
      </c>
      <c r="H23" s="118">
        <f>IF(B$17=0,0,G23/B$17)</f>
        <v>4.0650406504065045E-3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>IF(P23=0,0,Q23/P23)</f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6428.4552845528451</v>
      </c>
      <c r="C24" s="35">
        <v>1581400</v>
      </c>
      <c r="E24" s="55" t="s">
        <v>76</v>
      </c>
      <c r="F24" s="52" t="s">
        <v>40</v>
      </c>
      <c r="G24" s="40">
        <v>1</v>
      </c>
      <c r="H24" s="118">
        <f>IF(B$17=0,0,G24/B$17)</f>
        <v>4.0650406504065045E-3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>IF(P24=0,0,Q24/P24)</f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7542.7631578947367</v>
      </c>
      <c r="C25" s="122">
        <v>1146500</v>
      </c>
      <c r="E25" s="55" t="s">
        <v>80</v>
      </c>
      <c r="F25" s="52" t="s">
        <v>44</v>
      </c>
      <c r="G25" s="40">
        <v>1</v>
      </c>
      <c r="H25" s="118">
        <f>IF(B$17=0,0,G25/B$17)</f>
        <v>4.0650406504065045E-3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4626.5957446808507</v>
      </c>
      <c r="C26" s="122">
        <v>434900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195</v>
      </c>
      <c r="O26" s="110">
        <f>IF(P26=0,0,Q26/P26)</f>
        <v>31.944444444444439</v>
      </c>
      <c r="P26" s="104">
        <v>36</v>
      </c>
      <c r="Q26" s="92">
        <v>1149.9999999999998</v>
      </c>
    </row>
    <row r="27" spans="1:17">
      <c r="A27" s="48" t="s">
        <v>132</v>
      </c>
      <c r="B27" s="121">
        <f>IF(B$18=0,0,C27/B$18)</f>
        <v>-6039.7515527950309</v>
      </c>
      <c r="C27" s="122">
        <v>-972400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213</v>
      </c>
      <c r="O27" s="110">
        <f>IF(P27=0,0,Q27/P27)</f>
        <v>26</v>
      </c>
      <c r="P27" s="104">
        <v>3</v>
      </c>
      <c r="Q27" s="92">
        <v>78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215</v>
      </c>
      <c r="O28" s="110">
        <f>IF(P28=0,0,Q28/P28)</f>
        <v>19.200000000000003</v>
      </c>
      <c r="P28" s="104">
        <v>3</v>
      </c>
      <c r="Q28" s="92">
        <v>57.600000000000009</v>
      </c>
    </row>
    <row r="29" spans="1:17">
      <c r="A29" s="47" t="s">
        <v>131</v>
      </c>
      <c r="B29" s="40">
        <v>31</v>
      </c>
      <c r="C29" s="120">
        <v>0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161</v>
      </c>
      <c r="O29" s="110">
        <f>IF(P29=0,0,Q29/P29)</f>
        <v>12.800000000000006</v>
      </c>
      <c r="P29" s="104">
        <v>21</v>
      </c>
      <c r="Q29" s="92">
        <v>268.80000000000013</v>
      </c>
    </row>
    <row r="30" spans="1:17">
      <c r="A30" s="76" t="s">
        <v>111</v>
      </c>
      <c r="B30" s="148">
        <v>5</v>
      </c>
      <c r="C30" s="14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179</v>
      </c>
      <c r="O30" s="110">
        <f>IF(P30=0,0,Q30/P30)</f>
        <v>2.4666666666666663</v>
      </c>
      <c r="P30" s="104">
        <v>48</v>
      </c>
      <c r="Q30" s="92">
        <v>118.39999999999998</v>
      </c>
    </row>
    <row r="31" spans="1:17">
      <c r="A31" s="50" t="s">
        <v>148</v>
      </c>
      <c r="B31" s="150">
        <v>67800</v>
      </c>
      <c r="C31" s="15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175</v>
      </c>
      <c r="O31" s="110">
        <f>IF(P31=0,0,Q31/P31)</f>
        <v>1.4666666666666668</v>
      </c>
      <c r="P31" s="104">
        <v>6</v>
      </c>
      <c r="Q31" s="92">
        <v>8.8000000000000007</v>
      </c>
    </row>
    <row r="32" spans="1:17">
      <c r="A32" s="49" t="s">
        <v>112</v>
      </c>
      <c r="B32" s="57">
        <v>3</v>
      </c>
      <c r="C32" s="36">
        <f>IF(B$3=0,0,B32/B$3)</f>
        <v>2.5000000000000001E-3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>IF(P32=0,0,Q32/P32)</f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>IF(P33=0,0,Q33/P33)</f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>IF(P34=0,0,Q34/P34)</f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31</v>
      </c>
      <c r="C35" s="126">
        <f t="shared" ref="C35:C47" si="3">IF(B$17=0,0,B35/B$17)</f>
        <v>0.12601626016260162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>IF(P35=0,0,Q35/P35)</f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51</v>
      </c>
      <c r="C36" s="33">
        <f t="shared" si="3"/>
        <v>0.2073170731707317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>IF(P36=0,0,Q36/P36)</f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61</v>
      </c>
      <c r="C37" s="33">
        <f t="shared" si="3"/>
        <v>0.24796747967479674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>IF(P37=0,0,Q37/P37)</f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43</v>
      </c>
      <c r="C38" s="33">
        <f t="shared" si="3"/>
        <v>0.17479674796747968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>IF(P38=0,0,Q38/P38)</f>
        <v>-30.019047619047608</v>
      </c>
      <c r="P38" s="104">
        <v>63</v>
      </c>
      <c r="Q38" s="92">
        <v>-1891.1999999999994</v>
      </c>
    </row>
    <row r="39" spans="1:17">
      <c r="A39" s="47" t="s">
        <v>138</v>
      </c>
      <c r="B39" s="137">
        <v>21</v>
      </c>
      <c r="C39" s="33">
        <f t="shared" si="3"/>
        <v>8.5365853658536592E-2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>IF(P39=0,0,Q39/P39)</f>
        <v>-47.580952380952375</v>
      </c>
      <c r="P39" s="104">
        <v>21</v>
      </c>
      <c r="Q39" s="92">
        <v>-999.19999999999982</v>
      </c>
    </row>
    <row r="40" spans="1:17">
      <c r="A40" s="47" t="s">
        <v>140</v>
      </c>
      <c r="B40" s="137">
        <v>30</v>
      </c>
      <c r="C40" s="33">
        <f t="shared" si="3"/>
        <v>0.12195121951219512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>IF(P40=0,0,Q40/P40)</f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3"/>
        <v>3.2520325203252036E-2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4.0650406504065045E-3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15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6">
        <v>121</v>
      </c>
      <c r="C3" s="15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6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8">
        <v>22.499999999999993</v>
      </c>
      <c r="C4" s="15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9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0">
        <f>IF(B$2=0,0,B$4/B$2)</f>
        <v>1.4999999999999996</v>
      </c>
      <c r="C5" s="16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12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62">
        <f>IF(B$2=0,0,(B$7*1+B$8*2+B$9*3+B$10*4)/B$2)</f>
        <v>2.4666666666666668</v>
      </c>
      <c r="C6" s="16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6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6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3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11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48">
        <v>4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52000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7</v>
      </c>
      <c r="C2" s="155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6">
        <v>60</v>
      </c>
      <c r="C3" s="157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8">
        <v>-72.199999999999989</v>
      </c>
      <c r="C4" s="159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5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0">
        <f>IF(B$2=0,0,B$4/B$2)</f>
        <v>-10.314285714285713</v>
      </c>
      <c r="C5" s="161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13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2">
        <f>IF(B$2=0,0,(B$7*1+B$8*2+B$9*3+B$10*4)/B$2)</f>
        <v>2.7142857142857144</v>
      </c>
      <c r="C6" s="163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7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8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169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54900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7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-628.57142857142856</v>
      </c>
      <c r="P2" s="103">
        <v>7</v>
      </c>
      <c r="Q2" s="87">
        <v>-4400</v>
      </c>
    </row>
    <row r="3" spans="1:17">
      <c r="A3" s="47" t="s">
        <v>8</v>
      </c>
      <c r="B3" s="156">
        <v>62</v>
      </c>
      <c r="C3" s="157"/>
      <c r="E3" s="55" t="s">
        <v>181</v>
      </c>
      <c r="F3" s="52" t="s">
        <v>156</v>
      </c>
      <c r="G3" s="40">
        <v>10</v>
      </c>
      <c r="H3" s="118">
        <f>IF(B$17=0,0,G3/B$17)</f>
        <v>0.625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2842.8571428571427</v>
      </c>
      <c r="P3" s="104">
        <v>7</v>
      </c>
      <c r="Q3" s="88">
        <v>19900</v>
      </c>
    </row>
    <row r="4" spans="1:17">
      <c r="A4" s="47" t="s">
        <v>6</v>
      </c>
      <c r="B4" s="158">
        <v>249.8</v>
      </c>
      <c r="C4" s="159"/>
      <c r="E4" s="55" t="s">
        <v>184</v>
      </c>
      <c r="F4" s="52" t="s">
        <v>187</v>
      </c>
      <c r="G4" s="40">
        <v>10</v>
      </c>
      <c r="H4" s="118">
        <f>IF(B$17=0,0,G4/B$17)</f>
        <v>0.625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3628.5714285714284</v>
      </c>
      <c r="P4" s="104">
        <v>7</v>
      </c>
      <c r="Q4" s="88">
        <v>25400</v>
      </c>
    </row>
    <row r="5" spans="1:17">
      <c r="A5" s="47" t="s">
        <v>7</v>
      </c>
      <c r="B5" s="160">
        <f>IF(B$2=0,0,B$4/B$2)</f>
        <v>35.68571428571429</v>
      </c>
      <c r="C5" s="161"/>
      <c r="E5" s="55" t="s">
        <v>60</v>
      </c>
      <c r="F5" s="52" t="s">
        <v>24</v>
      </c>
      <c r="G5" s="40">
        <v>8</v>
      </c>
      <c r="H5" s="118">
        <f>IF(B$17=0,0,G5/B$17)</f>
        <v>0.5</v>
      </c>
      <c r="I5" s="80">
        <v>5</v>
      </c>
      <c r="K5" s="32">
        <v>3</v>
      </c>
      <c r="L5" s="85">
        <v>81.5</v>
      </c>
      <c r="N5" s="100" t="s">
        <v>157</v>
      </c>
      <c r="O5" s="107">
        <f>IF(P5=0,0,Q5/P5)</f>
        <v>3685.7142857142858</v>
      </c>
      <c r="P5" s="104">
        <v>7</v>
      </c>
      <c r="Q5" s="88">
        <v>25800</v>
      </c>
    </row>
    <row r="6" spans="1:17">
      <c r="A6" s="47" t="s">
        <v>1</v>
      </c>
      <c r="B6" s="162">
        <f>IF(B$2=0,0,(B$7*1+B$8*2+B$9*3+B$10*4)/B$2)</f>
        <v>1.7142857142857142</v>
      </c>
      <c r="C6" s="163"/>
      <c r="E6" s="55" t="s">
        <v>182</v>
      </c>
      <c r="F6" s="52" t="s">
        <v>19</v>
      </c>
      <c r="G6" s="40">
        <v>6</v>
      </c>
      <c r="H6" s="118">
        <f>IF(B$17=0,0,G6/B$17)</f>
        <v>0.375</v>
      </c>
      <c r="I6" s="80">
        <v>1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3014.2857142857142</v>
      </c>
      <c r="P6" s="104">
        <v>7</v>
      </c>
      <c r="Q6" s="88">
        <v>21100</v>
      </c>
    </row>
    <row r="7" spans="1:17">
      <c r="A7" s="47" t="s">
        <v>2</v>
      </c>
      <c r="B7" s="40">
        <v>5</v>
      </c>
      <c r="C7" s="33">
        <f t="shared" ref="C7:C12" si="2">IF(B$2=0,0,B7/B$2)</f>
        <v>0.7142857142857143</v>
      </c>
      <c r="E7" s="55" t="s">
        <v>56</v>
      </c>
      <c r="F7" s="52" t="s">
        <v>185</v>
      </c>
      <c r="G7" s="40">
        <v>6</v>
      </c>
      <c r="H7" s="118">
        <f>IF(B$17=0,0,G7/B$17)</f>
        <v>0.375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6</v>
      </c>
      <c r="H8" s="118">
        <f>IF(B$17=0,0,G8/B$17)</f>
        <v>0.375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55</v>
      </c>
      <c r="F9" s="52" t="s">
        <v>155</v>
      </c>
      <c r="G9" s="40">
        <v>3</v>
      </c>
      <c r="H9" s="118">
        <f>IF(B$17=0,0,G9/B$17)</f>
        <v>0.1875</v>
      </c>
      <c r="I9" s="80">
        <v>11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0.14285714285714285</v>
      </c>
      <c r="E10" s="55" t="s">
        <v>58</v>
      </c>
      <c r="F10" s="52" t="s">
        <v>22</v>
      </c>
      <c r="G10" s="40">
        <v>1</v>
      </c>
      <c r="H10" s="118">
        <f>IF(B$17=0,0,G10/B$17)</f>
        <v>6.25E-2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0.7142857142857143</v>
      </c>
      <c r="E11" s="55" t="s">
        <v>59</v>
      </c>
      <c r="F11" s="52" t="s">
        <v>23</v>
      </c>
      <c r="G11" s="40">
        <v>1</v>
      </c>
      <c r="H11" s="118">
        <f>IF(B$17=0,0,G11/B$17)</f>
        <v>6.25E-2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183</v>
      </c>
      <c r="F12" s="52" t="s">
        <v>186</v>
      </c>
      <c r="G12" s="40">
        <v>1</v>
      </c>
      <c r="H12" s="118">
        <f>IF(B$17=0,0,G12/B$17)</f>
        <v>6.25E-2</v>
      </c>
      <c r="I12" s="80">
        <v>3</v>
      </c>
      <c r="N12" s="99" t="s">
        <v>126</v>
      </c>
      <c r="O12" s="109">
        <f>IF(P12=0,0,Q12/P12)</f>
        <v>62.9</v>
      </c>
      <c r="P12" s="103">
        <v>2</v>
      </c>
      <c r="Q12" s="91">
        <v>125.8</v>
      </c>
    </row>
    <row r="13" spans="1:17">
      <c r="A13" s="50" t="s">
        <v>97</v>
      </c>
      <c r="B13" s="43">
        <v>15</v>
      </c>
      <c r="C13" s="38">
        <f>IF(B$3=0,0,B13/B$3)</f>
        <v>0.24193548387096775</v>
      </c>
      <c r="E13" s="55" t="s">
        <v>71</v>
      </c>
      <c r="F13" s="52" t="s">
        <v>35</v>
      </c>
      <c r="G13" s="40">
        <v>1</v>
      </c>
      <c r="H13" s="118">
        <f>IF(B$17=0,0,G13/B$17)</f>
        <v>6.25E-2</v>
      </c>
      <c r="I13" s="80">
        <v>3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0.12903225806451613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11</v>
      </c>
      <c r="C15" s="31">
        <f>IF(B$13=0,0,B15/B$13)</f>
        <v>0.73333333333333328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0.25806451612903225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0.11290322580645161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9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195</v>
      </c>
      <c r="O20" s="110">
        <f t="shared" si="3"/>
        <v>103.6</v>
      </c>
      <c r="P20" s="104">
        <v>2</v>
      </c>
      <c r="Q20" s="92">
        <v>207.2</v>
      </c>
    </row>
    <row r="21" spans="1:17">
      <c r="A21" s="47" t="s">
        <v>151</v>
      </c>
      <c r="B21" s="40">
        <v>11</v>
      </c>
      <c r="C21" s="33">
        <f>IF(B$17=0,0,B21/B$17)</f>
        <v>0.6875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101.3</v>
      </c>
      <c r="P21" s="104">
        <v>1</v>
      </c>
      <c r="Q21" s="92">
        <v>101.3</v>
      </c>
    </row>
    <row r="22" spans="1:17">
      <c r="A22" s="47" t="s">
        <v>149</v>
      </c>
      <c r="B22" s="40">
        <v>4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213</v>
      </c>
      <c r="O22" s="110">
        <f t="shared" si="3"/>
        <v>87.5</v>
      </c>
      <c r="P22" s="104">
        <v>1</v>
      </c>
      <c r="Q22" s="92">
        <v>87.5</v>
      </c>
    </row>
    <row r="23" spans="1:17">
      <c r="A23" s="47" t="s">
        <v>150</v>
      </c>
      <c r="B23" s="40">
        <v>1</v>
      </c>
      <c r="C23" s="33">
        <f>IF(B$17=0,0,B23/B$17)</f>
        <v>6.25E-2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 t="shared" si="3"/>
        <v>84.1</v>
      </c>
      <c r="P23" s="104">
        <v>1</v>
      </c>
      <c r="Q23" s="92">
        <v>84.1</v>
      </c>
    </row>
    <row r="24" spans="1:17">
      <c r="A24" s="47" t="s">
        <v>5</v>
      </c>
      <c r="B24" s="44">
        <f>IF(B$17=0,0,C24/B$17)</f>
        <v>8481.25</v>
      </c>
      <c r="C24" s="35">
        <v>135700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78.900000000000006</v>
      </c>
      <c r="P24" s="104">
        <v>2</v>
      </c>
      <c r="Q24" s="92">
        <v>157.80000000000001</v>
      </c>
    </row>
    <row r="25" spans="1:17">
      <c r="A25" s="48" t="s">
        <v>133</v>
      </c>
      <c r="B25" s="121">
        <f>IF($B$17-B$16=0,0,C25/($B$17-B$16))</f>
        <v>8400</v>
      </c>
      <c r="C25" s="122">
        <v>100800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50.93333333333333</v>
      </c>
      <c r="P25" s="104">
        <v>3</v>
      </c>
      <c r="Q25" s="92">
        <v>152.79999999999998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191</v>
      </c>
      <c r="O26" s="110">
        <f t="shared" si="3"/>
        <v>47.8</v>
      </c>
      <c r="P26" s="104">
        <v>1</v>
      </c>
      <c r="Q26" s="92">
        <v>47.8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164</v>
      </c>
      <c r="O28" s="110">
        <f t="shared" si="3"/>
        <v>-34.833333333333336</v>
      </c>
      <c r="P28" s="104">
        <v>3</v>
      </c>
      <c r="Q28" s="92">
        <v>-104.5</v>
      </c>
    </row>
    <row r="29" spans="1:17">
      <c r="A29" s="47" t="s">
        <v>131</v>
      </c>
      <c r="B29" s="40">
        <v>19</v>
      </c>
      <c r="C29" s="120">
        <v>15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161</v>
      </c>
      <c r="O29" s="110">
        <f t="shared" si="3"/>
        <v>-136.60000000000002</v>
      </c>
      <c r="P29" s="104">
        <v>1</v>
      </c>
      <c r="Q29" s="92">
        <v>-136.60000000000002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67800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0.3125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8</v>
      </c>
      <c r="C2" s="15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6">
        <v>69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14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8">
        <v>20.300000000000004</v>
      </c>
      <c r="C4" s="15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0">
        <f>IF(B$2=0,0,B$4/B$2)</f>
        <v>2.5375000000000005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7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15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14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41700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21</v>
      </c>
      <c r="C2" s="155"/>
      <c r="E2" s="54" t="s">
        <v>54</v>
      </c>
      <c r="F2" s="51" t="s">
        <v>20</v>
      </c>
      <c r="G2" s="39">
        <v>28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1390.4761904761904</v>
      </c>
      <c r="P2" s="103">
        <v>21</v>
      </c>
      <c r="Q2" s="87">
        <v>29200</v>
      </c>
    </row>
    <row r="3" spans="1:17">
      <c r="A3" s="47" t="s">
        <v>8</v>
      </c>
      <c r="B3" s="156">
        <v>175</v>
      </c>
      <c r="C3" s="157"/>
      <c r="E3" s="55" t="s">
        <v>184</v>
      </c>
      <c r="F3" s="52" t="s">
        <v>187</v>
      </c>
      <c r="G3" s="40">
        <v>27</v>
      </c>
      <c r="H3" s="118">
        <f>IF(B$17=0,0,G3/B$17)</f>
        <v>0.75</v>
      </c>
      <c r="I3" s="80">
        <v>2</v>
      </c>
      <c r="K3" s="32">
        <v>1</v>
      </c>
      <c r="L3" s="85">
        <v>-14.2</v>
      </c>
      <c r="N3" s="100" t="s">
        <v>104</v>
      </c>
      <c r="O3" s="107">
        <f t="shared" si="0"/>
        <v>1590.4761904761904</v>
      </c>
      <c r="P3" s="104">
        <v>21</v>
      </c>
      <c r="Q3" s="88">
        <v>33400</v>
      </c>
    </row>
    <row r="4" spans="1:17">
      <c r="A4" s="47" t="s">
        <v>6</v>
      </c>
      <c r="B4" s="158">
        <v>470.30000000000007</v>
      </c>
      <c r="C4" s="159"/>
      <c r="E4" s="55" t="s">
        <v>181</v>
      </c>
      <c r="F4" s="52" t="s">
        <v>156</v>
      </c>
      <c r="G4" s="40">
        <v>19</v>
      </c>
      <c r="H4" s="118">
        <f>IF(B$17=0,0,G4/B$17)</f>
        <v>0.52777777777777779</v>
      </c>
      <c r="I4" s="80">
        <v>5</v>
      </c>
      <c r="K4" s="32">
        <v>2</v>
      </c>
      <c r="L4" s="85">
        <v>0.60000000000000142</v>
      </c>
      <c r="N4" s="100" t="s">
        <v>105</v>
      </c>
      <c r="O4" s="107">
        <f t="shared" si="0"/>
        <v>1361.9047619047619</v>
      </c>
      <c r="P4" s="104">
        <v>21</v>
      </c>
      <c r="Q4" s="88">
        <v>28600</v>
      </c>
    </row>
    <row r="5" spans="1:17">
      <c r="A5" s="47" t="s">
        <v>7</v>
      </c>
      <c r="B5" s="160">
        <f>IF(B$2=0,0,B$4/B$2)</f>
        <v>22.395238095238099</v>
      </c>
      <c r="C5" s="161"/>
      <c r="E5" s="55" t="s">
        <v>60</v>
      </c>
      <c r="F5" s="52" t="s">
        <v>24</v>
      </c>
      <c r="G5" s="40">
        <v>14</v>
      </c>
      <c r="H5" s="118">
        <f>IF(B$17=0,0,G5/B$17)</f>
        <v>0.3888888888888889</v>
      </c>
      <c r="I5" s="80">
        <v>11</v>
      </c>
      <c r="K5" s="32">
        <v>3</v>
      </c>
      <c r="L5" s="85">
        <v>-32.299999999999997</v>
      </c>
      <c r="N5" s="100" t="s">
        <v>157</v>
      </c>
      <c r="O5" s="107">
        <f>IF(P5=0,0,Q5/P5)</f>
        <v>870</v>
      </c>
      <c r="P5" s="104">
        <v>20</v>
      </c>
      <c r="Q5" s="88">
        <v>17400</v>
      </c>
    </row>
    <row r="6" spans="1:17">
      <c r="A6" s="47" t="s">
        <v>1</v>
      </c>
      <c r="B6" s="162">
        <f>IF(B$2=0,0,(B$7*1+B$8*2+B$9*3+B$10*4)/B$2)</f>
        <v>1.9523809523809523</v>
      </c>
      <c r="C6" s="163"/>
      <c r="E6" s="55" t="s">
        <v>57</v>
      </c>
      <c r="F6" s="52" t="s">
        <v>21</v>
      </c>
      <c r="G6" s="40">
        <v>13</v>
      </c>
      <c r="H6" s="118">
        <f>IF(B$17=0,0,G6/B$17)</f>
        <v>0.3611111111111111</v>
      </c>
      <c r="I6" s="80">
        <v>3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1668.75</v>
      </c>
      <c r="P6" s="104">
        <v>16</v>
      </c>
      <c r="Q6" s="88">
        <v>26700</v>
      </c>
    </row>
    <row r="7" spans="1:17">
      <c r="A7" s="47" t="s">
        <v>2</v>
      </c>
      <c r="B7" s="40">
        <v>9</v>
      </c>
      <c r="C7" s="33">
        <f t="shared" ref="C7:C12" si="2">IF(B$2=0,0,B7/B$2)</f>
        <v>0.42857142857142855</v>
      </c>
      <c r="E7" s="55" t="s">
        <v>55</v>
      </c>
      <c r="F7" s="52" t="s">
        <v>155</v>
      </c>
      <c r="G7" s="40">
        <v>12</v>
      </c>
      <c r="H7" s="118">
        <f>IF(B$17=0,0,G7/B$17)</f>
        <v>0.33333333333333331</v>
      </c>
      <c r="I7" s="80">
        <v>3</v>
      </c>
      <c r="K7" s="32">
        <v>5</v>
      </c>
      <c r="L7" s="85">
        <v>-39</v>
      </c>
      <c r="N7" s="100" t="s">
        <v>107</v>
      </c>
      <c r="O7" s="107">
        <f t="shared" si="0"/>
        <v>2863.6363636363635</v>
      </c>
      <c r="P7" s="104">
        <v>11</v>
      </c>
      <c r="Q7" s="88">
        <v>31500</v>
      </c>
    </row>
    <row r="8" spans="1:17">
      <c r="A8" s="47" t="s">
        <v>3</v>
      </c>
      <c r="B8" s="40">
        <v>5</v>
      </c>
      <c r="C8" s="33">
        <f>IF(B$2=0,0,B8/B$2)</f>
        <v>0.23809523809523808</v>
      </c>
      <c r="E8" s="55" t="s">
        <v>59</v>
      </c>
      <c r="F8" s="52" t="s">
        <v>23</v>
      </c>
      <c r="G8" s="40">
        <v>8</v>
      </c>
      <c r="H8" s="118">
        <f>IF(B$17=0,0,G8/B$17)</f>
        <v>0.22222222222222221</v>
      </c>
      <c r="I8" s="80">
        <v>6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6</v>
      </c>
      <c r="C9" s="34">
        <f>IF(B$2=0,0,B9/B$2)</f>
        <v>0.2857142857142857</v>
      </c>
      <c r="E9" s="55" t="s">
        <v>56</v>
      </c>
      <c r="F9" s="52" t="s">
        <v>185</v>
      </c>
      <c r="G9" s="40">
        <v>7</v>
      </c>
      <c r="H9" s="118">
        <f>IF(B$17=0,0,G9/B$17)</f>
        <v>0.19444444444444445</v>
      </c>
      <c r="I9" s="80">
        <v>12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1</v>
      </c>
      <c r="C10" s="34">
        <f>IF(B$2=0,0,B10/B$2)</f>
        <v>4.7619047619047616E-2</v>
      </c>
      <c r="E10" s="55" t="s">
        <v>58</v>
      </c>
      <c r="F10" s="52" t="s">
        <v>22</v>
      </c>
      <c r="G10" s="40">
        <v>5</v>
      </c>
      <c r="H10" s="118">
        <f>IF(B$17=0,0,G10/B$17)</f>
        <v>0.1388888888888889</v>
      </c>
      <c r="I10" s="80">
        <v>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14</v>
      </c>
      <c r="C11" s="34">
        <f>IF(B$2=0,0,B11/B$2)</f>
        <v>0.66666666666666663</v>
      </c>
      <c r="E11" s="55" t="s">
        <v>182</v>
      </c>
      <c r="F11" s="52" t="s">
        <v>19</v>
      </c>
      <c r="G11" s="40">
        <v>4</v>
      </c>
      <c r="H11" s="118">
        <f>IF(B$17=0,0,G11/B$17)</f>
        <v>0.1111111111111111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3</v>
      </c>
      <c r="H12" s="118">
        <f>IF(B$17=0,0,G12/B$17)</f>
        <v>8.3333333333333329E-2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22.833333333333332</v>
      </c>
      <c r="P12" s="103">
        <v>6</v>
      </c>
      <c r="Q12" s="91">
        <v>137</v>
      </c>
    </row>
    <row r="13" spans="1:17">
      <c r="A13" s="50" t="s">
        <v>97</v>
      </c>
      <c r="B13" s="43">
        <v>26</v>
      </c>
      <c r="C13" s="38">
        <f>IF(B$3=0,0,B13/B$3)</f>
        <v>0.14857142857142858</v>
      </c>
      <c r="E13" s="55" t="s">
        <v>62</v>
      </c>
      <c r="F13" s="52" t="s">
        <v>26</v>
      </c>
      <c r="G13" s="40">
        <v>1</v>
      </c>
      <c r="H13" s="118">
        <f>IF(B$17=0,0,G13/B$17)</f>
        <v>2.7777777777777776E-2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27.066666666666666</v>
      </c>
      <c r="P13" s="104">
        <v>3</v>
      </c>
      <c r="Q13" s="92">
        <v>81.2</v>
      </c>
    </row>
    <row r="14" spans="1:17">
      <c r="A14" s="47" t="s">
        <v>94</v>
      </c>
      <c r="B14" s="40">
        <v>33</v>
      </c>
      <c r="C14" s="33">
        <f>IF(B$3=0,0,B14/B$3)</f>
        <v>0.18857142857142858</v>
      </c>
      <c r="E14" s="55" t="s">
        <v>71</v>
      </c>
      <c r="F14" s="52" t="s">
        <v>35</v>
      </c>
      <c r="G14" s="40">
        <v>1</v>
      </c>
      <c r="H14" s="118">
        <f>IF(B$17=0,0,G14/B$17)</f>
        <v>2.7777777777777776E-2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19</v>
      </c>
      <c r="C15" s="31">
        <f>IF(B$13=0,0,B15/B$13)</f>
        <v>0.73076923076923073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18.8</v>
      </c>
      <c r="P15" s="105">
        <v>7</v>
      </c>
      <c r="Q15" s="93">
        <v>131.6</v>
      </c>
    </row>
    <row r="16" spans="1:17">
      <c r="A16" s="46" t="s">
        <v>100</v>
      </c>
      <c r="B16" s="39">
        <f>B22</f>
        <v>11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36</v>
      </c>
      <c r="C17" s="31">
        <f>IF(B$3=0,0,B17/B$3)</f>
        <v>0.20571428571428571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</v>
      </c>
      <c r="C18" s="33">
        <f>IF(B$3=0,0,B18/B$3)</f>
        <v>9.1428571428571428E-2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9</v>
      </c>
      <c r="C19" s="33">
        <f>IF(B$17=0,0,B19/B$17)</f>
        <v>0.25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27</v>
      </c>
      <c r="C20" s="33">
        <f>IF(B$17=0,0,B20/B$17)</f>
        <v>0.75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216</v>
      </c>
      <c r="O20" s="110">
        <f>IF(P20=0,0,Q20/P20)</f>
        <v>99.6</v>
      </c>
      <c r="P20" s="104">
        <v>1</v>
      </c>
      <c r="Q20" s="92">
        <v>99.6</v>
      </c>
    </row>
    <row r="21" spans="1:17">
      <c r="A21" s="47" t="s">
        <v>151</v>
      </c>
      <c r="B21" s="40">
        <v>19</v>
      </c>
      <c r="C21" s="33">
        <f>IF(B$17=0,0,B21/B$17)</f>
        <v>0.52777777777777779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203</v>
      </c>
      <c r="O21" s="110">
        <f>IF(P21=0,0,Q21/P21)</f>
        <v>83.225000000000009</v>
      </c>
      <c r="P21" s="104">
        <v>4</v>
      </c>
      <c r="Q21" s="92">
        <v>332.90000000000003</v>
      </c>
    </row>
    <row r="22" spans="1:17">
      <c r="A22" s="47" t="s">
        <v>149</v>
      </c>
      <c r="B22" s="40">
        <v>11</v>
      </c>
      <c r="C22" s="33">
        <f>IF(B$17=0,0,B22/B$17)</f>
        <v>0.30555555555555558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215</v>
      </c>
      <c r="O22" s="110">
        <f>IF(P22=0,0,Q22/P22)</f>
        <v>66.400000000000006</v>
      </c>
      <c r="P22" s="104">
        <v>1</v>
      </c>
      <c r="Q22" s="92">
        <v>66.400000000000006</v>
      </c>
    </row>
    <row r="23" spans="1:17">
      <c r="A23" s="47" t="s">
        <v>150</v>
      </c>
      <c r="B23" s="40">
        <v>6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161</v>
      </c>
      <c r="O23" s="110">
        <f>IF(P23=0,0,Q23/P23)</f>
        <v>58.824999999999996</v>
      </c>
      <c r="P23" s="104">
        <v>4</v>
      </c>
      <c r="Q23" s="92">
        <v>235.29999999999998</v>
      </c>
    </row>
    <row r="24" spans="1:17">
      <c r="A24" s="47" t="s">
        <v>5</v>
      </c>
      <c r="B24" s="44">
        <f>IF(B$17=0,0,C24/B$17)</f>
        <v>8236.1111111111113</v>
      </c>
      <c r="C24" s="35">
        <v>296500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53.75</v>
      </c>
      <c r="P24" s="104">
        <v>4</v>
      </c>
      <c r="Q24" s="92">
        <v>215</v>
      </c>
    </row>
    <row r="25" spans="1:17">
      <c r="A25" s="48" t="s">
        <v>133</v>
      </c>
      <c r="B25" s="121">
        <f>IF($B$17-B$16=0,0,C25/($B$17-B$16))</f>
        <v>9536</v>
      </c>
      <c r="C25" s="122">
        <v>238400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196</v>
      </c>
      <c r="O25" s="110">
        <f>IF(P25=0,0,Q25/P25)</f>
        <v>49.7</v>
      </c>
      <c r="P25" s="104">
        <v>1</v>
      </c>
      <c r="Q25" s="92">
        <v>49.7</v>
      </c>
    </row>
    <row r="26" spans="1:17">
      <c r="A26" s="48" t="s">
        <v>134</v>
      </c>
      <c r="B26" s="121">
        <f>IF(B$16=0,0,C26/B$16)</f>
        <v>5281.818181818182</v>
      </c>
      <c r="C26" s="122">
        <v>58100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179</v>
      </c>
      <c r="O26" s="110">
        <f>IF(P26=0,0,Q26/P26)</f>
        <v>46.750000000000014</v>
      </c>
      <c r="P26" s="104">
        <v>8</v>
      </c>
      <c r="Q26" s="92">
        <v>374.00000000000011</v>
      </c>
    </row>
    <row r="27" spans="1:17">
      <c r="A27" s="48" t="s">
        <v>132</v>
      </c>
      <c r="B27" s="121">
        <f>IF(B$18=0,0,C27/B$18)</f>
        <v>-4368.75</v>
      </c>
      <c r="C27" s="122">
        <v>-69900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>IF(P27=0,0,Q27/P27)</f>
        <v>43.65</v>
      </c>
      <c r="P27" s="104">
        <v>4</v>
      </c>
      <c r="Q27" s="92">
        <v>174.6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191</v>
      </c>
      <c r="O28" s="110">
        <f>IF(P28=0,0,Q28/P28)</f>
        <v>32.150000000000006</v>
      </c>
      <c r="P28" s="104">
        <v>8</v>
      </c>
      <c r="Q28" s="92">
        <v>257.20000000000005</v>
      </c>
    </row>
    <row r="29" spans="1:17">
      <c r="A29" s="47" t="s">
        <v>131</v>
      </c>
      <c r="B29" s="40">
        <v>42</v>
      </c>
      <c r="C29" s="120">
        <v>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213</v>
      </c>
      <c r="O29" s="110">
        <f>IF(P29=0,0,Q29/P29)</f>
        <v>31.1</v>
      </c>
      <c r="P29" s="104">
        <v>1</v>
      </c>
      <c r="Q29" s="92">
        <v>31.1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163</v>
      </c>
      <c r="O30" s="110">
        <f>IF(P30=0,0,Q30/P30)</f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50">
        <v>62800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164</v>
      </c>
      <c r="O31" s="110">
        <f>IF(P31=0,0,Q31/P31)</f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177</v>
      </c>
      <c r="O32" s="110">
        <f>IF(P32=0,0,Q32/P32)</f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168</v>
      </c>
      <c r="O33" s="110">
        <f>IF(P33=0,0,Q33/P33)</f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167</v>
      </c>
      <c r="O34" s="110">
        <f>IF(P34=0,0,Q34/P34)</f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1</v>
      </c>
      <c r="C35" s="126">
        <f t="shared" ref="C35:C47" si="3">IF(B$17=0,0,B35/B$17)</f>
        <v>2.7777777777777776E-2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162</v>
      </c>
      <c r="O35" s="110">
        <f>IF(P35=0,0,Q35/P35)</f>
        <v>-50.933333333333337</v>
      </c>
      <c r="P35" s="104">
        <v>3</v>
      </c>
      <c r="Q35" s="92">
        <v>-152.80000000000001</v>
      </c>
    </row>
    <row r="36" spans="1:17">
      <c r="A36" s="47" t="s">
        <v>135</v>
      </c>
      <c r="B36" s="40">
        <v>7</v>
      </c>
      <c r="C36" s="33">
        <f t="shared" si="3"/>
        <v>0.19444444444444445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7</v>
      </c>
      <c r="C37" s="33">
        <f t="shared" si="3"/>
        <v>0.19444444444444445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7</v>
      </c>
      <c r="C38" s="33">
        <f t="shared" si="3"/>
        <v>0.19444444444444445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8</v>
      </c>
      <c r="C40" s="33">
        <f t="shared" si="3"/>
        <v>0.22222222222222221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8.3333333333333329E-2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6">
        <v>35</v>
      </c>
      <c r="C3" s="15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8">
        <v>-127.99999999999999</v>
      </c>
      <c r="C4" s="15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0">
        <f>IF(B$2=0,0,B$4/B$2)</f>
        <v>-31.999999999999996</v>
      </c>
      <c r="C5" s="16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14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2">
        <f>IF(B$2=0,0,(B$7*1+B$8*2+B$9*3+B$10*4)/B$2)</f>
        <v>3.25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1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23700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6">
        <v>7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8">
        <v>14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6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0">
        <f>IF(B$2=0,0,B$4/B$2)</f>
        <v>14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34000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18</v>
      </c>
      <c r="C2" s="15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6">
        <v>142</v>
      </c>
      <c r="C3" s="15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10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8">
        <v>154.39999999999998</v>
      </c>
      <c r="C4" s="15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12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0">
        <f>IF(B$2=0,0,B$4/B$2)</f>
        <v>8.5777777777777757</v>
      </c>
      <c r="C5" s="16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14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8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13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6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0">
        <v>65600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6">
        <v>15</v>
      </c>
      <c r="C3" s="15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8">
        <v>-2.2000000000000011</v>
      </c>
      <c r="C4" s="15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0">
        <f>IF(B$2=0,0,B$4/B$2)</f>
        <v>-1.1000000000000005</v>
      </c>
      <c r="C5" s="16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13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13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33600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6">
        <v>19</v>
      </c>
      <c r="C3" s="15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15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8">
        <v>3.8999999999999986</v>
      </c>
      <c r="C4" s="15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7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0">
        <f>IF(B$2=0,0,B$4/B$2)</f>
        <v>1.9499999999999993</v>
      </c>
      <c r="C5" s="16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9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3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180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7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8">
        <v>-52.6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-52.6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7400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16</v>
      </c>
      <c r="C2" s="15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6">
        <v>131</v>
      </c>
      <c r="C3" s="15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8">
        <v>-34.6</v>
      </c>
      <c r="C4" s="15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10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0">
        <f>IF(B$2=0,0,B$4/B$2)</f>
        <v>-2.1625000000000001</v>
      </c>
      <c r="C5" s="16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62">
        <f>IF(B$2=0,0,(B$7*1+B$8*2+B$9*3+B$10*4)/B$2)</f>
        <v>2.4375</v>
      </c>
      <c r="C6" s="16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8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13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8">
        <v>5</v>
      </c>
      <c r="C30" s="14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0">
        <v>53200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6">
        <v>15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8">
        <v>-97.4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0">
        <f>IF(B$2=0,0,B$4/B$2)</f>
        <v>-48.7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14100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</v>
      </c>
      <c r="C2" s="15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6">
        <v>115</v>
      </c>
      <c r="C3" s="15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6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8">
        <v>79.299999999999983</v>
      </c>
      <c r="C4" s="15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0">
        <f>IF(B$2=0,0,B$4/B$2)</f>
        <v>5.6642857142857128</v>
      </c>
      <c r="C5" s="16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62">
        <f>IF(B$2=0,0,(B$7*1+B$8*2+B$9*3+B$10*4)/B$2)</f>
        <v>2.1428571428571428</v>
      </c>
      <c r="C6" s="16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16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15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16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12</v>
      </c>
      <c r="C2" s="155"/>
      <c r="E2" s="54" t="s">
        <v>181</v>
      </c>
      <c r="F2" s="51" t="s">
        <v>156</v>
      </c>
      <c r="G2" s="39">
        <v>8</v>
      </c>
      <c r="H2" s="117">
        <f>IF(B$17=0,0,G2/B$17)</f>
        <v>0.5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</v>
      </c>
      <c r="P2" s="103">
        <v>12</v>
      </c>
      <c r="Q2" s="87">
        <v>3600</v>
      </c>
    </row>
    <row r="3" spans="1:17">
      <c r="A3" s="47" t="s">
        <v>8</v>
      </c>
      <c r="B3" s="156">
        <v>90</v>
      </c>
      <c r="C3" s="157"/>
      <c r="E3" s="55" t="s">
        <v>54</v>
      </c>
      <c r="F3" s="52" t="s">
        <v>20</v>
      </c>
      <c r="G3" s="40">
        <v>7</v>
      </c>
      <c r="H3" s="118">
        <f>IF(B$17=0,0,G3/B$17)</f>
        <v>0.4375</v>
      </c>
      <c r="I3" s="80">
        <v>11</v>
      </c>
      <c r="K3" s="32">
        <v>1</v>
      </c>
      <c r="L3" s="85">
        <v>-21.3</v>
      </c>
      <c r="N3" s="100" t="s">
        <v>104</v>
      </c>
      <c r="O3" s="107">
        <f t="shared" si="0"/>
        <v>-1858.3333333333333</v>
      </c>
      <c r="P3" s="104">
        <v>12</v>
      </c>
      <c r="Q3" s="88">
        <v>-22300</v>
      </c>
    </row>
    <row r="4" spans="1:17">
      <c r="A4" s="47" t="s">
        <v>6</v>
      </c>
      <c r="B4" s="158">
        <v>-290.00000000000006</v>
      </c>
      <c r="C4" s="159"/>
      <c r="E4" s="55" t="s">
        <v>184</v>
      </c>
      <c r="F4" s="52" t="s">
        <v>187</v>
      </c>
      <c r="G4" s="40">
        <v>6</v>
      </c>
      <c r="H4" s="118">
        <f>IF(B$17=0,0,G4/B$17)</f>
        <v>0.375</v>
      </c>
      <c r="I4" s="80">
        <v>10</v>
      </c>
      <c r="K4" s="32">
        <v>2</v>
      </c>
      <c r="L4" s="85">
        <v>-12.200000000000001</v>
      </c>
      <c r="N4" s="100" t="s">
        <v>105</v>
      </c>
      <c r="O4" s="107">
        <f t="shared" si="0"/>
        <v>-1733.3333333333333</v>
      </c>
      <c r="P4" s="104">
        <v>12</v>
      </c>
      <c r="Q4" s="88">
        <v>-20800</v>
      </c>
    </row>
    <row r="5" spans="1:17">
      <c r="A5" s="47" t="s">
        <v>7</v>
      </c>
      <c r="B5" s="160">
        <f>IF(B$2=0,0,B$4/B$2)</f>
        <v>-24.166666666666671</v>
      </c>
      <c r="C5" s="161"/>
      <c r="E5" s="55" t="s">
        <v>55</v>
      </c>
      <c r="F5" s="52" t="s">
        <v>155</v>
      </c>
      <c r="G5" s="40">
        <v>4</v>
      </c>
      <c r="H5" s="118">
        <f>IF(B$17=0,0,G5/B$17)</f>
        <v>0.25</v>
      </c>
      <c r="I5" s="80">
        <v>7</v>
      </c>
      <c r="K5" s="32">
        <v>3</v>
      </c>
      <c r="L5" s="85">
        <v>-68.400000000000006</v>
      </c>
      <c r="N5" s="100" t="s">
        <v>157</v>
      </c>
      <c r="O5" s="107">
        <f>IF(P5=0,0,Q5/P5)</f>
        <v>-1900</v>
      </c>
      <c r="P5" s="104">
        <v>11</v>
      </c>
      <c r="Q5" s="88">
        <v>-20900</v>
      </c>
    </row>
    <row r="6" spans="1:17">
      <c r="A6" s="47" t="s">
        <v>1</v>
      </c>
      <c r="B6" s="162">
        <f>IF(B$2=0,0,(B$7*1+B$8*2+B$9*3+B$10*4)/B$2)</f>
        <v>2.9166666666666665</v>
      </c>
      <c r="C6" s="163"/>
      <c r="E6" s="55" t="s">
        <v>59</v>
      </c>
      <c r="F6" s="52" t="s">
        <v>23</v>
      </c>
      <c r="G6" s="40">
        <v>4</v>
      </c>
      <c r="H6" s="118">
        <f>IF(B$17=0,0,G6/B$17)</f>
        <v>0.25</v>
      </c>
      <c r="I6" s="80">
        <v>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-3433.3333333333335</v>
      </c>
      <c r="P6" s="104">
        <v>9</v>
      </c>
      <c r="Q6" s="88">
        <v>-30900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24</v>
      </c>
      <c r="G7" s="40">
        <v>4</v>
      </c>
      <c r="H7" s="118">
        <f>IF(B$17=0,0,G7/B$17)</f>
        <v>0.25</v>
      </c>
      <c r="I7" s="80">
        <v>15</v>
      </c>
      <c r="K7" s="32">
        <v>5</v>
      </c>
      <c r="L7" s="85">
        <v>-160.60000000000002</v>
      </c>
      <c r="N7" s="100" t="s">
        <v>107</v>
      </c>
      <c r="O7" s="107">
        <f t="shared" si="0"/>
        <v>-4028.5714285714284</v>
      </c>
      <c r="P7" s="104">
        <v>7</v>
      </c>
      <c r="Q7" s="88">
        <v>-28200</v>
      </c>
    </row>
    <row r="8" spans="1:17">
      <c r="A8" s="47" t="s">
        <v>3</v>
      </c>
      <c r="B8" s="40">
        <v>4</v>
      </c>
      <c r="C8" s="33">
        <f>IF(B$2=0,0,B8/B$2)</f>
        <v>0.33333333333333331</v>
      </c>
      <c r="E8" s="55" t="s">
        <v>56</v>
      </c>
      <c r="F8" s="52" t="s">
        <v>185</v>
      </c>
      <c r="G8" s="40">
        <v>3</v>
      </c>
      <c r="H8" s="118">
        <f>IF(B$17=0,0,G8/B$17)</f>
        <v>0.1875</v>
      </c>
      <c r="I8" s="80">
        <v>13</v>
      </c>
      <c r="K8" s="32">
        <v>6</v>
      </c>
      <c r="L8" s="85">
        <v>-199.10000000000002</v>
      </c>
      <c r="N8" s="100" t="s">
        <v>108</v>
      </c>
      <c r="O8" s="107">
        <f t="shared" si="0"/>
        <v>-1900</v>
      </c>
      <c r="P8" s="104">
        <v>5</v>
      </c>
      <c r="Q8" s="88">
        <v>-9500</v>
      </c>
    </row>
    <row r="9" spans="1:17">
      <c r="A9" s="48" t="s">
        <v>4</v>
      </c>
      <c r="B9" s="41">
        <v>5</v>
      </c>
      <c r="C9" s="34">
        <f>IF(B$2=0,0,B9/B$2)</f>
        <v>0.41666666666666669</v>
      </c>
      <c r="E9" s="55" t="s">
        <v>182</v>
      </c>
      <c r="F9" s="52" t="s">
        <v>19</v>
      </c>
      <c r="G9" s="40">
        <v>2</v>
      </c>
      <c r="H9" s="118">
        <f>IF(B$17=0,0,G9/B$17)</f>
        <v>0.125</v>
      </c>
      <c r="I9" s="80">
        <v>6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0.25</v>
      </c>
      <c r="E10" s="55" t="s">
        <v>58</v>
      </c>
      <c r="F10" s="52" t="s">
        <v>22</v>
      </c>
      <c r="G10" s="40">
        <v>1</v>
      </c>
      <c r="H10" s="118">
        <f>IF(B$17=0,0,G10/B$17)</f>
        <v>6.25E-2</v>
      </c>
      <c r="I10" s="80">
        <v>7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0.33333333333333331</v>
      </c>
      <c r="E11" s="55" t="s">
        <v>71</v>
      </c>
      <c r="F11" s="52" t="s">
        <v>35</v>
      </c>
      <c r="G11" s="40">
        <v>1</v>
      </c>
      <c r="H11" s="118">
        <f>IF(B$17=0,0,G11/B$17)</f>
        <v>6.25E-2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0.16666666666666666</v>
      </c>
      <c r="E12" s="55" t="s">
        <v>74</v>
      </c>
      <c r="F12" s="52" t="s">
        <v>38</v>
      </c>
      <c r="G12" s="40">
        <v>1</v>
      </c>
      <c r="H12" s="118">
        <f>IF(B$17=0,0,G12/B$17)</f>
        <v>6.25E-2</v>
      </c>
      <c r="I12" s="80">
        <v>4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17</v>
      </c>
      <c r="C13" s="38">
        <f>IF(B$3=0,0,B13/B$3)</f>
        <v>0.18888888888888888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14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23</v>
      </c>
      <c r="C14" s="33">
        <f>IF(B$3=0,0,B14/B$3)</f>
        <v>0.25555555555555554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8</v>
      </c>
      <c r="C15" s="31">
        <f>IF(B$13=0,0,B15/B$13)</f>
        <v>0.47058823529411764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-22.042857142857144</v>
      </c>
      <c r="P15" s="105">
        <v>7</v>
      </c>
      <c r="Q15" s="93">
        <v>-154.30000000000001</v>
      </c>
    </row>
    <row r="16" spans="1:17">
      <c r="A16" s="46" t="s">
        <v>100</v>
      </c>
      <c r="B16" s="39">
        <f>B22</f>
        <v>7</v>
      </c>
      <c r="C16" s="31">
        <f>IF(B$14=0,0,B16/B$14)</f>
        <v>0.30434782608695654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0.17777777777777778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</v>
      </c>
      <c r="C18" s="33">
        <f>IF(B$3=0,0,B18/B$3)</f>
        <v>0.17777777777777778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216</v>
      </c>
      <c r="O18" s="109">
        <f>IF(P18=0,0,Q18/P18)</f>
        <v>57.6</v>
      </c>
      <c r="P18" s="103">
        <v>1</v>
      </c>
      <c r="Q18" s="91">
        <v>57.6</v>
      </c>
    </row>
    <row r="19" spans="1:17">
      <c r="A19" s="47" t="s">
        <v>12</v>
      </c>
      <c r="B19" s="40">
        <v>5</v>
      </c>
      <c r="C19" s="33">
        <f>IF(B$17=0,0,B19/B$17)</f>
        <v>0.3125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208</v>
      </c>
      <c r="O19" s="110">
        <f>IF(P19=0,0,Q19/P19)</f>
        <v>45.5</v>
      </c>
      <c r="P19" s="104">
        <v>2</v>
      </c>
      <c r="Q19" s="92">
        <v>91</v>
      </c>
    </row>
    <row r="20" spans="1:17">
      <c r="A20" s="47" t="s">
        <v>11</v>
      </c>
      <c r="B20" s="40">
        <v>11</v>
      </c>
      <c r="C20" s="33">
        <f>IF(B$17=0,0,B20/B$17)</f>
        <v>0.6875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215</v>
      </c>
      <c r="O20" s="110">
        <f>IF(P20=0,0,Q20/P20)</f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8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203</v>
      </c>
      <c r="O21" s="110">
        <f>IF(P21=0,0,Q21/P21)</f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>IF(P22=0,0,Q22/P22)</f>
        <v>-19.399999999999999</v>
      </c>
      <c r="P22" s="104">
        <v>4</v>
      </c>
      <c r="Q22" s="92">
        <v>-77.599999999999994</v>
      </c>
    </row>
    <row r="23" spans="1:17">
      <c r="A23" s="47" t="s">
        <v>150</v>
      </c>
      <c r="B23" s="40">
        <v>1</v>
      </c>
      <c r="C23" s="33">
        <f>IF(B$17=0,0,B23/B$17)</f>
        <v>6.25E-2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168</v>
      </c>
      <c r="O23" s="110">
        <f>IF(P23=0,0,Q23/P23)</f>
        <v>-25.7</v>
      </c>
      <c r="P23" s="104">
        <v>7</v>
      </c>
      <c r="Q23" s="92">
        <v>-179.9</v>
      </c>
    </row>
    <row r="24" spans="1:17">
      <c r="A24" s="47" t="s">
        <v>5</v>
      </c>
      <c r="B24" s="44">
        <f>IF(B$17=0,0,C24/B$17)</f>
        <v>3806.25</v>
      </c>
      <c r="C24" s="35">
        <v>60900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163</v>
      </c>
      <c r="O24" s="110">
        <f>IF(P24=0,0,Q24/P24)</f>
        <v>-30.9</v>
      </c>
      <c r="P24" s="104">
        <v>1</v>
      </c>
      <c r="Q24" s="92">
        <v>-30.9</v>
      </c>
    </row>
    <row r="25" spans="1:17">
      <c r="A25" s="48" t="s">
        <v>133</v>
      </c>
      <c r="B25" s="121">
        <f>IF($B$17-B$16=0,0,C25/($B$17-B$16))</f>
        <v>4900</v>
      </c>
      <c r="C25" s="122">
        <v>44100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179</v>
      </c>
      <c r="O25" s="110">
        <f>IF(P25=0,0,Q25/P25)</f>
        <v>-34.119999999999997</v>
      </c>
      <c r="P25" s="104">
        <v>5</v>
      </c>
      <c r="Q25" s="92">
        <v>-170.6</v>
      </c>
    </row>
    <row r="26" spans="1:17">
      <c r="A26" s="48" t="s">
        <v>134</v>
      </c>
      <c r="B26" s="121">
        <f>IF(B$16=0,0,C26/B$16)</f>
        <v>2400</v>
      </c>
      <c r="C26" s="122">
        <v>16800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213</v>
      </c>
      <c r="O26" s="110">
        <f>IF(P26=0,0,Q26/P26)</f>
        <v>-40.6</v>
      </c>
      <c r="P26" s="104">
        <v>1</v>
      </c>
      <c r="Q26" s="92">
        <v>-40.6</v>
      </c>
    </row>
    <row r="27" spans="1:17">
      <c r="A27" s="48" t="s">
        <v>132</v>
      </c>
      <c r="B27" s="121">
        <f>IF(B$18=0,0,C27/B$18)</f>
        <v>-7256.25</v>
      </c>
      <c r="C27" s="122">
        <v>-116100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169</v>
      </c>
      <c r="O27" s="110">
        <f>IF(P27=0,0,Q27/P27)</f>
        <v>-43.65</v>
      </c>
      <c r="P27" s="104">
        <v>4</v>
      </c>
      <c r="Q27" s="92">
        <v>-174.6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191</v>
      </c>
      <c r="O28" s="110">
        <f>IF(P28=0,0,Q28/P28)</f>
        <v>-65.966666666666669</v>
      </c>
      <c r="P28" s="104">
        <v>3</v>
      </c>
      <c r="Q28" s="92">
        <v>-197.9</v>
      </c>
    </row>
    <row r="29" spans="1:17">
      <c r="A29" s="47" t="s">
        <v>131</v>
      </c>
      <c r="B29" s="40">
        <v>19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205</v>
      </c>
      <c r="O29" s="110">
        <f>IF(P29=0,0,Q29/P29)</f>
        <v>-66.05</v>
      </c>
      <c r="P29" s="104">
        <v>4</v>
      </c>
      <c r="Q29" s="92">
        <v>-264.2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>IF(P30=0,0,Q30/P30)</f>
        <v>-103.6</v>
      </c>
      <c r="P30" s="104">
        <v>2</v>
      </c>
      <c r="Q30" s="92">
        <v>-207.2</v>
      </c>
    </row>
    <row r="31" spans="1:17">
      <c r="A31" s="50" t="s">
        <v>148</v>
      </c>
      <c r="B31" s="150">
        <v>30000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1.1111111111111112E-2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0.3125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6">
        <v>8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8">
        <v>-27.1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0">
        <f>IF(B$2=0,0,B$4/B$2)</f>
        <v>-27.1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12900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5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6">
        <v>43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8">
        <v>-161.39999999999998</v>
      </c>
      <c r="C4" s="15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0">
        <f>IF(B$2=0,0,B$4/B$2)</f>
        <v>-32.279999999999994</v>
      </c>
      <c r="C5" s="16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62">
        <f>IF(B$2=0,0,(B$7*1+B$8*2+B$9*3+B$10*4)/B$2)</f>
        <v>3.4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7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25000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6">
        <v>17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8">
        <v>-105.9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0">
        <f>IF(B$2=0,0,B$4/B$2)</f>
        <v>-52.95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13500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6">
        <v>28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6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8">
        <v>141.1</v>
      </c>
      <c r="C4" s="15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0">
        <f>IF(B$2=0,0,B$4/B$2)</f>
        <v>35.274999999999999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5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62">
        <f>IF(B$2=0,0,(B$7*1+B$8*2+B$9*3+B$10*4)/B$2)</f>
        <v>1.75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4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17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3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57200</v>
      </c>
      <c r="C31" s="15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6">
        <v>23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8">
        <v>-132.69999999999999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0">
        <f>IF(B$2=0,0,B$4/B$2)</f>
        <v>-44.233333333333327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62">
        <f>IF(B$2=0,0,(B$7*1+B$8*2+B$9*3+B$10*4)/B$2)</f>
        <v>3.6666666666666665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10700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6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-19.5</v>
      </c>
      <c r="N3" s="100" t="s">
        <v>104</v>
      </c>
      <c r="O3" s="107">
        <f t="shared" si="0"/>
        <v>-1000</v>
      </c>
      <c r="P3" s="104">
        <v>1</v>
      </c>
      <c r="Q3" s="88">
        <v>-1000</v>
      </c>
    </row>
    <row r="4" spans="1:17">
      <c r="A4" s="47" t="s">
        <v>6</v>
      </c>
      <c r="B4" s="158">
        <v>-19.5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-19.5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1</v>
      </c>
      <c r="Q5" s="88">
        <v>-2000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0.16666666666666666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40.6</v>
      </c>
      <c r="P18" s="103">
        <v>1</v>
      </c>
      <c r="Q18" s="91">
        <v>40.6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-31.1</v>
      </c>
      <c r="P19" s="104">
        <v>1</v>
      </c>
      <c r="Q19" s="92">
        <v>-31.1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162</v>
      </c>
      <c r="O20" s="110">
        <f>IF(P20=0,0,Q20/P20)</f>
        <v>-87.5</v>
      </c>
      <c r="P20" s="104">
        <v>1</v>
      </c>
      <c r="Q20" s="92">
        <v>-87.5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6</v>
      </c>
      <c r="C29" s="120">
        <v>6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20500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0B1B9-C6FD-4BA2-9756-BFAE4701C3C6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215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56">
        <v>6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8">
        <v>-14.4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0">
        <f>IF(B$2=0,0,B$4/B$2)</f>
        <v>-14.4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25600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968D-5B93-4690-83C7-339B8DC5483E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216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6">
        <v>6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-47.6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8">
        <v>-47.6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-7400</v>
      </c>
      <c r="P4" s="104">
        <v>1</v>
      </c>
      <c r="Q4" s="88">
        <v>-7400</v>
      </c>
    </row>
    <row r="5" spans="1:17">
      <c r="A5" s="47" t="s">
        <v>7</v>
      </c>
      <c r="B5" s="160">
        <f>IF(B$2=0,0,B$4/B$2)</f>
        <v>-47.6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0.16666666666666666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-47.6</v>
      </c>
      <c r="P15" s="105">
        <v>1</v>
      </c>
      <c r="Q15" s="93">
        <v>-47.6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0.33333333333333331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215</v>
      </c>
      <c r="O18" s="109">
        <f>IF(P18=0,0,Q18/P18)</f>
        <v>-33.200000000000003</v>
      </c>
      <c r="P18" s="103">
        <v>1</v>
      </c>
      <c r="Q18" s="91">
        <v>-33.200000000000003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-57.6</v>
      </c>
      <c r="P19" s="104">
        <v>1</v>
      </c>
      <c r="Q19" s="92">
        <v>-57.6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-99.6</v>
      </c>
      <c r="P20" s="104">
        <v>1</v>
      </c>
      <c r="Q20" s="92">
        <v>-99.6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-4550</v>
      </c>
      <c r="C27" s="122">
        <v>-9100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12400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52"/>
      <c r="C1" s="15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4">
        <v>0</v>
      </c>
      <c r="C2" s="15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6">
        <v>0</v>
      </c>
      <c r="C3" s="15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8">
        <v>0</v>
      </c>
      <c r="C4" s="15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0">
        <f>IF(B$2=0,0,B$4/B$2)</f>
        <v>0</v>
      </c>
      <c r="C5" s="16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2">
        <f>IF(B$2=0,0,(B$7*1+B$8*2+B$9*3+B$10*4)/B$2)</f>
        <v>0</v>
      </c>
      <c r="C6" s="16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0">
        <v>-1000000</v>
      </c>
      <c r="C31" s="15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1425</vt:i4>
      </vt:variant>
    </vt:vector>
  </HeadingPairs>
  <TitlesOfParts>
    <vt:vector size="145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dcterms:created xsi:type="dcterms:W3CDTF">2018-11-18T09:24:12Z</dcterms:created>
  <dcterms:modified xsi:type="dcterms:W3CDTF">2021-05-21T08:51:38Z</dcterms:modified>
</cp:coreProperties>
</file>