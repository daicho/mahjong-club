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3BC67A43-16AC-4C41-B76B-A3AE60B4E016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22" r:id="rId4"/>
    <sheet name="松澤亮太" sheetId="6123" r:id="rId5"/>
    <sheet name="滝沢悠人" sheetId="6124" r:id="rId6"/>
    <sheet name="大池陸斗" sheetId="6125" r:id="rId7"/>
    <sheet name="百瀬成空" sheetId="6126" r:id="rId8"/>
    <sheet name="佐藤成浩" sheetId="6127" r:id="rId9"/>
    <sheet name="依田幸憲" sheetId="6128" r:id="rId10"/>
    <sheet name="保谷一貴" sheetId="6129" r:id="rId11"/>
    <sheet name="高野源太" sheetId="6130" r:id="rId12"/>
    <sheet name="矢ヶ崎健" sheetId="6131" r:id="rId13"/>
    <sheet name="小林郁斗" sheetId="6132" r:id="rId14"/>
    <sheet name="木角有希" sheetId="6133" r:id="rId15"/>
    <sheet name="福澤大地" sheetId="6134" r:id="rId16"/>
    <sheet name="Template" sheetId="2228" state="hidden" r:id="rId17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130" l="1"/>
  <c r="O22" i="6130"/>
  <c r="O19" i="6134"/>
  <c r="O18" i="6134"/>
  <c r="O20" i="6134"/>
  <c r="C32" i="6134"/>
  <c r="B27" i="6134"/>
  <c r="C18" i="6134"/>
  <c r="B17" i="6134"/>
  <c r="C47" i="6134" s="1"/>
  <c r="C16" i="6134"/>
  <c r="B16" i="6134"/>
  <c r="B26" i="6134" s="1"/>
  <c r="O15" i="6134"/>
  <c r="C15" i="6134"/>
  <c r="B15" i="6134"/>
  <c r="O14" i="6134"/>
  <c r="C14" i="6134"/>
  <c r="O13" i="6134"/>
  <c r="C13" i="6134"/>
  <c r="O12" i="6134"/>
  <c r="C12" i="6134"/>
  <c r="H12" i="6134"/>
  <c r="B11" i="6134"/>
  <c r="C11" i="6134" s="1"/>
  <c r="C10" i="6134"/>
  <c r="O9" i="6134"/>
  <c r="C9" i="6134"/>
  <c r="O8" i="6134"/>
  <c r="C8" i="6134"/>
  <c r="O7" i="6134"/>
  <c r="C7" i="6134"/>
  <c r="O6" i="6134"/>
  <c r="B6" i="6134"/>
  <c r="O5" i="6134"/>
  <c r="B5" i="6134"/>
  <c r="O4" i="6134"/>
  <c r="O3" i="6134"/>
  <c r="O2" i="6134"/>
  <c r="O19" i="6131"/>
  <c r="O22" i="6131"/>
  <c r="O18" i="6122"/>
  <c r="O19" i="6133"/>
  <c r="O20" i="6133"/>
  <c r="O18" i="6133"/>
  <c r="C47" i="6133"/>
  <c r="C46" i="6133"/>
  <c r="C45" i="6133"/>
  <c r="H44" i="6133"/>
  <c r="C44" i="6133"/>
  <c r="C43" i="6133"/>
  <c r="H42" i="6133"/>
  <c r="C42" i="6133"/>
  <c r="C41" i="6133"/>
  <c r="H40" i="6133"/>
  <c r="C40" i="6133"/>
  <c r="C39" i="6133"/>
  <c r="H38" i="6133"/>
  <c r="C38" i="6133"/>
  <c r="C37" i="6133"/>
  <c r="H36" i="6133"/>
  <c r="C36" i="6133"/>
  <c r="C35" i="6133"/>
  <c r="H34" i="6133"/>
  <c r="H33" i="6133"/>
  <c r="C32" i="6133"/>
  <c r="H31" i="6133"/>
  <c r="H30" i="6133"/>
  <c r="H28" i="6133"/>
  <c r="H27" i="6133"/>
  <c r="B27" i="6133"/>
  <c r="H25" i="6133"/>
  <c r="B24" i="6133"/>
  <c r="H23" i="6133"/>
  <c r="C23" i="6133"/>
  <c r="C22" i="6133"/>
  <c r="H21" i="6133"/>
  <c r="C21" i="6133"/>
  <c r="C20" i="6133"/>
  <c r="H19" i="6133"/>
  <c r="C19" i="6133"/>
  <c r="C18" i="6133"/>
  <c r="H17" i="6133"/>
  <c r="C17" i="6133"/>
  <c r="B17" i="6133"/>
  <c r="H45" i="6133" s="1"/>
  <c r="H16" i="6133"/>
  <c r="C16" i="6133"/>
  <c r="B16" i="6133"/>
  <c r="B25" i="6133" s="1"/>
  <c r="O15" i="6133"/>
  <c r="H15" i="6133"/>
  <c r="C15" i="6133"/>
  <c r="B15" i="6133"/>
  <c r="O14" i="6133"/>
  <c r="H14" i="6133"/>
  <c r="C14" i="6133"/>
  <c r="O13" i="6133"/>
  <c r="H13" i="6133"/>
  <c r="C13" i="6133"/>
  <c r="O12" i="6133"/>
  <c r="H12" i="6133"/>
  <c r="C12" i="6133"/>
  <c r="H11" i="6133"/>
  <c r="C11" i="6133"/>
  <c r="B11" i="6133"/>
  <c r="H10" i="6133"/>
  <c r="C10" i="6133"/>
  <c r="O9" i="6133"/>
  <c r="H9" i="6133"/>
  <c r="C9" i="6133"/>
  <c r="O8" i="6133"/>
  <c r="H8" i="6133"/>
  <c r="C8" i="6133"/>
  <c r="O7" i="6133"/>
  <c r="H7" i="6133"/>
  <c r="C7" i="6133"/>
  <c r="O6" i="6133"/>
  <c r="H6" i="6133"/>
  <c r="B6" i="6133"/>
  <c r="O5" i="6133"/>
  <c r="H5" i="6133"/>
  <c r="B5" i="6133"/>
  <c r="O4" i="6133"/>
  <c r="H4" i="6133"/>
  <c r="O3" i="6133"/>
  <c r="H3" i="6133"/>
  <c r="O2" i="6133"/>
  <c r="H2" i="6133"/>
  <c r="O29" i="6122"/>
  <c r="O21" i="6128"/>
  <c r="O18" i="6128"/>
  <c r="O18" i="6125"/>
  <c r="O19" i="6125"/>
  <c r="O20" i="6125"/>
  <c r="O21" i="6132"/>
  <c r="O22" i="6132"/>
  <c r="O24" i="6127"/>
  <c r="H2" i="6134" l="1"/>
  <c r="H4" i="6134"/>
  <c r="H9" i="6134"/>
  <c r="H8" i="6134"/>
  <c r="H14" i="6134"/>
  <c r="H20" i="6134"/>
  <c r="H5" i="6134"/>
  <c r="H11" i="6134"/>
  <c r="C17" i="6134"/>
  <c r="H3" i="6134"/>
  <c r="H7" i="6134"/>
  <c r="H10" i="6134"/>
  <c r="H18" i="6134"/>
  <c r="H15" i="6134"/>
  <c r="H16" i="6134"/>
  <c r="H17" i="6134"/>
  <c r="C20" i="6134"/>
  <c r="C22" i="6134"/>
  <c r="B24" i="6134"/>
  <c r="H29" i="6134"/>
  <c r="C35" i="6134"/>
  <c r="C37" i="6134"/>
  <c r="C39" i="6134"/>
  <c r="C41" i="6134"/>
  <c r="C43" i="6134"/>
  <c r="C45" i="6134"/>
  <c r="H19" i="6134"/>
  <c r="H21" i="6134"/>
  <c r="H23" i="6134"/>
  <c r="H25" i="6134"/>
  <c r="H27" i="6134"/>
  <c r="H30" i="6134"/>
  <c r="H33" i="6134"/>
  <c r="H36" i="6134"/>
  <c r="H38" i="6134"/>
  <c r="H40" i="6134"/>
  <c r="H42" i="6134"/>
  <c r="H44" i="6134"/>
  <c r="H6" i="6134"/>
  <c r="H13" i="6134"/>
  <c r="C19" i="6134"/>
  <c r="C21" i="6134"/>
  <c r="C23" i="6134"/>
  <c r="B25" i="6134"/>
  <c r="H31" i="6134"/>
  <c r="H34" i="6134"/>
  <c r="C36" i="6134"/>
  <c r="C38" i="6134"/>
  <c r="C40" i="6134"/>
  <c r="C42" i="6134"/>
  <c r="C44" i="6134"/>
  <c r="C46" i="6134"/>
  <c r="H22" i="6134"/>
  <c r="H24" i="6134"/>
  <c r="H26" i="6134"/>
  <c r="H28" i="6134"/>
  <c r="H32" i="6134"/>
  <c r="H35" i="6134"/>
  <c r="H37" i="6134"/>
  <c r="H39" i="6134"/>
  <c r="H41" i="6134"/>
  <c r="H43" i="6134"/>
  <c r="H45" i="6134"/>
  <c r="B26" i="6133"/>
  <c r="H18" i="6133"/>
  <c r="H20" i="6133"/>
  <c r="H22" i="6133"/>
  <c r="H24" i="6133"/>
  <c r="H26" i="6133"/>
  <c r="H29" i="6133"/>
  <c r="H32" i="6133"/>
  <c r="H35" i="6133"/>
  <c r="H37" i="6133"/>
  <c r="H39" i="6133"/>
  <c r="H41" i="6133"/>
  <c r="H43" i="6133"/>
  <c r="O21" i="6123" l="1"/>
  <c r="O23" i="6123"/>
  <c r="O23" i="6124"/>
  <c r="O24" i="6124"/>
  <c r="O21" i="6127"/>
  <c r="O19" i="6127"/>
  <c r="O18" i="6127"/>
  <c r="O25" i="6122"/>
  <c r="O19" i="6132"/>
  <c r="O18" i="6132"/>
  <c r="O20" i="6132"/>
  <c r="C32" i="6132"/>
  <c r="B27" i="6132"/>
  <c r="C18" i="6132"/>
  <c r="B17" i="6132"/>
  <c r="H10" i="6132" s="1"/>
  <c r="B16" i="6132"/>
  <c r="C16" i="6132" s="1"/>
  <c r="O15" i="6132"/>
  <c r="B15" i="6132"/>
  <c r="C15" i="6132" s="1"/>
  <c r="O14" i="6132"/>
  <c r="C14" i="6132"/>
  <c r="O13" i="6132"/>
  <c r="C13" i="6132"/>
  <c r="O12" i="6132"/>
  <c r="C12" i="6132"/>
  <c r="B11" i="6132"/>
  <c r="C11" i="6132" s="1"/>
  <c r="C10" i="6132"/>
  <c r="O9" i="6132"/>
  <c r="C9" i="6132"/>
  <c r="O8" i="6132"/>
  <c r="C8" i="6132"/>
  <c r="O7" i="6132"/>
  <c r="C7" i="6132"/>
  <c r="O6" i="6132"/>
  <c r="B6" i="6132"/>
  <c r="O5" i="6132"/>
  <c r="B5" i="6132"/>
  <c r="O4" i="6132"/>
  <c r="O3" i="6132"/>
  <c r="O2" i="6132"/>
  <c r="O22" i="6124"/>
  <c r="O21" i="6124"/>
  <c r="O24" i="6130"/>
  <c r="O19" i="6130"/>
  <c r="O21" i="6130"/>
  <c r="O18" i="6131"/>
  <c r="O20" i="6131"/>
  <c r="O21" i="6131"/>
  <c r="C32" i="6131"/>
  <c r="B27" i="6131"/>
  <c r="B26" i="6131"/>
  <c r="C18" i="6131"/>
  <c r="B17" i="6131"/>
  <c r="C47" i="6131" s="1"/>
  <c r="C16" i="6131"/>
  <c r="B16" i="6131"/>
  <c r="O15" i="6131"/>
  <c r="B15" i="6131"/>
  <c r="C15" i="6131" s="1"/>
  <c r="O14" i="6131"/>
  <c r="C14" i="6131"/>
  <c r="O13" i="6131"/>
  <c r="H14" i="6131"/>
  <c r="C13" i="6131"/>
  <c r="O12" i="6131"/>
  <c r="C12" i="6131"/>
  <c r="B11" i="6131"/>
  <c r="C11" i="6131" s="1"/>
  <c r="C10" i="6131"/>
  <c r="O9" i="6131"/>
  <c r="C9" i="6131"/>
  <c r="O8" i="6131"/>
  <c r="C8" i="6131"/>
  <c r="O7" i="6131"/>
  <c r="C7" i="6131"/>
  <c r="O6" i="6131"/>
  <c r="H6" i="6131"/>
  <c r="B6" i="6131"/>
  <c r="O5" i="6131"/>
  <c r="B5" i="6131"/>
  <c r="O4" i="6131"/>
  <c r="O3" i="6131"/>
  <c r="O2" i="6131"/>
  <c r="O24" i="6123"/>
  <c r="O22" i="6123"/>
  <c r="O24" i="6122"/>
  <c r="H21" i="6131" l="1"/>
  <c r="H5" i="6132"/>
  <c r="H8" i="6132"/>
  <c r="H11" i="6132"/>
  <c r="H15" i="6132"/>
  <c r="H3" i="6132"/>
  <c r="H19" i="6132"/>
  <c r="C20" i="6132"/>
  <c r="C23" i="6132"/>
  <c r="H32" i="6132"/>
  <c r="C36" i="6132"/>
  <c r="C40" i="6132"/>
  <c r="C44" i="6132"/>
  <c r="H2" i="6132"/>
  <c r="H12" i="6132"/>
  <c r="H6" i="6132"/>
  <c r="H13" i="6132"/>
  <c r="H16" i="6132"/>
  <c r="H17" i="6132"/>
  <c r="H18" i="6132"/>
  <c r="C21" i="6132"/>
  <c r="H24" i="6132"/>
  <c r="H28" i="6132"/>
  <c r="H37" i="6132"/>
  <c r="H41" i="6132"/>
  <c r="H45" i="6132"/>
  <c r="C19" i="6132"/>
  <c r="H22" i="6132"/>
  <c r="B24" i="6132"/>
  <c r="H29" i="6132"/>
  <c r="H34" i="6132"/>
  <c r="C38" i="6132"/>
  <c r="C42" i="6132"/>
  <c r="C46" i="6132"/>
  <c r="H4" i="6132"/>
  <c r="H7" i="6132"/>
  <c r="H14" i="6132"/>
  <c r="B25" i="6132"/>
  <c r="C17" i="6132"/>
  <c r="H21" i="6132"/>
  <c r="C22" i="6132"/>
  <c r="H26" i="6132"/>
  <c r="H31" i="6132"/>
  <c r="H35" i="6132"/>
  <c r="H39" i="6132"/>
  <c r="H43" i="6132"/>
  <c r="C47" i="6132"/>
  <c r="B26" i="6132"/>
  <c r="C35" i="6132"/>
  <c r="C37" i="6132"/>
  <c r="C39" i="6132"/>
  <c r="C41" i="6132"/>
  <c r="C43" i="6132"/>
  <c r="C45" i="6132"/>
  <c r="H20" i="6132"/>
  <c r="H9" i="6132"/>
  <c r="H23" i="6132"/>
  <c r="H25" i="6132"/>
  <c r="H27" i="6132"/>
  <c r="H30" i="6132"/>
  <c r="H33" i="6132"/>
  <c r="H36" i="6132"/>
  <c r="H38" i="6132"/>
  <c r="H40" i="6132"/>
  <c r="H42" i="6132"/>
  <c r="H44" i="6132"/>
  <c r="C17" i="6131"/>
  <c r="H8" i="6131"/>
  <c r="H4" i="6131"/>
  <c r="H27" i="6131"/>
  <c r="H7" i="6131"/>
  <c r="H12" i="6131"/>
  <c r="H15" i="6131"/>
  <c r="H16" i="6131"/>
  <c r="H17" i="6131"/>
  <c r="C20" i="6131"/>
  <c r="C22" i="6131"/>
  <c r="B24" i="6131"/>
  <c r="H29" i="6131"/>
  <c r="C35" i="6131"/>
  <c r="C37" i="6131"/>
  <c r="C39" i="6131"/>
  <c r="C41" i="6131"/>
  <c r="C43" i="6131"/>
  <c r="C45" i="6131"/>
  <c r="H25" i="6131"/>
  <c r="H33" i="6131"/>
  <c r="H36" i="6131"/>
  <c r="H40" i="6131"/>
  <c r="H44" i="6131"/>
  <c r="H11" i="6131"/>
  <c r="H13" i="6131"/>
  <c r="C19" i="6131"/>
  <c r="C21" i="6131"/>
  <c r="C23" i="6131"/>
  <c r="B25" i="6131"/>
  <c r="H31" i="6131"/>
  <c r="H34" i="6131"/>
  <c r="C36" i="6131"/>
  <c r="C38" i="6131"/>
  <c r="C40" i="6131"/>
  <c r="C42" i="6131"/>
  <c r="C44" i="6131"/>
  <c r="C46" i="6131"/>
  <c r="H19" i="6131"/>
  <c r="H23" i="6131"/>
  <c r="H30" i="6131"/>
  <c r="H38" i="6131"/>
  <c r="H42" i="6131"/>
  <c r="H9" i="6131"/>
  <c r="H5" i="6131"/>
  <c r="H3" i="6131"/>
  <c r="H2" i="6131"/>
  <c r="H10" i="6131"/>
  <c r="H18" i="6131"/>
  <c r="H20" i="6131"/>
  <c r="H22" i="6131"/>
  <c r="H24" i="6131"/>
  <c r="H26" i="6131"/>
  <c r="H28" i="6131"/>
  <c r="H32" i="6131"/>
  <c r="H35" i="6131"/>
  <c r="H37" i="6131"/>
  <c r="H39" i="6131"/>
  <c r="H41" i="6131"/>
  <c r="H43" i="6131"/>
  <c r="H45" i="6131"/>
  <c r="O23" i="6130" l="1"/>
  <c r="O18" i="6130"/>
  <c r="O20" i="6130"/>
  <c r="C32" i="6130"/>
  <c r="B27" i="6130"/>
  <c r="C18" i="6130"/>
  <c r="B17" i="6130"/>
  <c r="C47" i="6130" s="1"/>
  <c r="B16" i="6130"/>
  <c r="C16" i="6130" s="1"/>
  <c r="O15" i="6130"/>
  <c r="B15" i="6130"/>
  <c r="C15" i="6130" s="1"/>
  <c r="O14" i="6130"/>
  <c r="C14" i="6130"/>
  <c r="O13" i="6130"/>
  <c r="C13" i="6130"/>
  <c r="O12" i="6130"/>
  <c r="C12" i="6130"/>
  <c r="B11" i="6130"/>
  <c r="C11" i="6130" s="1"/>
  <c r="C10" i="6130"/>
  <c r="O9" i="6130"/>
  <c r="C9" i="6130"/>
  <c r="O8" i="6130"/>
  <c r="C8" i="6130"/>
  <c r="O7" i="6130"/>
  <c r="C7" i="6130"/>
  <c r="O6" i="6130"/>
  <c r="B6" i="6130"/>
  <c r="O5" i="6130"/>
  <c r="B5" i="6130"/>
  <c r="O4" i="6130"/>
  <c r="O3" i="6130"/>
  <c r="O2" i="6130"/>
  <c r="O18" i="6129"/>
  <c r="O19" i="6129"/>
  <c r="O20" i="6129"/>
  <c r="C32" i="6129"/>
  <c r="B27" i="6129"/>
  <c r="H20" i="6129"/>
  <c r="C18" i="6129"/>
  <c r="C17" i="6129"/>
  <c r="B17" i="6129"/>
  <c r="C47" i="6129" s="1"/>
  <c r="H17" i="6129"/>
  <c r="C16" i="6129"/>
  <c r="B16" i="6129"/>
  <c r="B25" i="6129" s="1"/>
  <c r="O15" i="6129"/>
  <c r="H16" i="6129"/>
  <c r="C15" i="6129"/>
  <c r="B15" i="6129"/>
  <c r="O14" i="6129"/>
  <c r="H15" i="6129"/>
  <c r="C14" i="6129"/>
  <c r="O13" i="6129"/>
  <c r="H14" i="6129"/>
  <c r="C13" i="6129"/>
  <c r="O12" i="6129"/>
  <c r="H13" i="6129"/>
  <c r="C12" i="6129"/>
  <c r="H12" i="6129"/>
  <c r="C11" i="6129"/>
  <c r="B11" i="6129"/>
  <c r="H11" i="6129"/>
  <c r="C10" i="6129"/>
  <c r="O9" i="6129"/>
  <c r="H10" i="6129"/>
  <c r="C9" i="6129"/>
  <c r="O8" i="6129"/>
  <c r="C8" i="6129"/>
  <c r="O7" i="6129"/>
  <c r="H7" i="6129"/>
  <c r="C7" i="6129"/>
  <c r="O6" i="6129"/>
  <c r="H6" i="6129"/>
  <c r="B6" i="6129"/>
  <c r="O5" i="6129"/>
  <c r="B5" i="6129"/>
  <c r="O4" i="6129"/>
  <c r="O3" i="6129"/>
  <c r="O2" i="6129"/>
  <c r="O19" i="6128"/>
  <c r="O22" i="6128"/>
  <c r="O20" i="6128"/>
  <c r="C47" i="6128"/>
  <c r="C44" i="6128"/>
  <c r="H38" i="6128"/>
  <c r="C35" i="6128"/>
  <c r="C32" i="6128"/>
  <c r="B27" i="6128"/>
  <c r="H23" i="6128"/>
  <c r="C20" i="6128"/>
  <c r="C18" i="6128"/>
  <c r="B17" i="6128"/>
  <c r="H45" i="6128" s="1"/>
  <c r="H16" i="6128"/>
  <c r="B16" i="6128"/>
  <c r="B26" i="6128" s="1"/>
  <c r="O15" i="6128"/>
  <c r="H15" i="6128"/>
  <c r="C15" i="6128"/>
  <c r="B15" i="6128"/>
  <c r="O14" i="6128"/>
  <c r="H14" i="6128"/>
  <c r="C14" i="6128"/>
  <c r="O13" i="6128"/>
  <c r="C13" i="6128"/>
  <c r="O12" i="6128"/>
  <c r="C12" i="6128"/>
  <c r="B11" i="6128"/>
  <c r="C11" i="6128" s="1"/>
  <c r="H2" i="6128"/>
  <c r="C10" i="6128"/>
  <c r="O9" i="6128"/>
  <c r="C9" i="6128"/>
  <c r="O8" i="6128"/>
  <c r="C8" i="6128"/>
  <c r="O7" i="6128"/>
  <c r="H8" i="6128"/>
  <c r="C7" i="6128"/>
  <c r="O6" i="6128"/>
  <c r="H5" i="6128"/>
  <c r="B6" i="6128"/>
  <c r="O5" i="6128"/>
  <c r="B5" i="6128"/>
  <c r="O4" i="6128"/>
  <c r="H4" i="6128"/>
  <c r="O3" i="6128"/>
  <c r="H6" i="6128"/>
  <c r="O2" i="6128"/>
  <c r="H3" i="6128"/>
  <c r="O22" i="6122"/>
  <c r="O23" i="6127"/>
  <c r="O22" i="6127"/>
  <c r="O20" i="6127"/>
  <c r="C32" i="6127"/>
  <c r="B27" i="6127"/>
  <c r="C18" i="6127"/>
  <c r="C17" i="6127"/>
  <c r="B17" i="6127"/>
  <c r="C47" i="6127" s="1"/>
  <c r="C16" i="6127"/>
  <c r="B16" i="6127"/>
  <c r="B26" i="6127" s="1"/>
  <c r="O15" i="6127"/>
  <c r="B15" i="6127"/>
  <c r="C15" i="6127" s="1"/>
  <c r="O14" i="6127"/>
  <c r="C14" i="6127"/>
  <c r="O13" i="6127"/>
  <c r="H14" i="6127"/>
  <c r="C13" i="6127"/>
  <c r="O12" i="6127"/>
  <c r="C12" i="6127"/>
  <c r="B11" i="6127"/>
  <c r="C11" i="6127" s="1"/>
  <c r="H11" i="6127"/>
  <c r="C10" i="6127"/>
  <c r="O9" i="6127"/>
  <c r="C9" i="6127"/>
  <c r="O8" i="6127"/>
  <c r="C8" i="6127"/>
  <c r="O7" i="6127"/>
  <c r="H7" i="6127"/>
  <c r="C7" i="6127"/>
  <c r="O6" i="6127"/>
  <c r="H9" i="6127"/>
  <c r="B6" i="6127"/>
  <c r="O5" i="6127"/>
  <c r="H3" i="6127"/>
  <c r="B5" i="6127"/>
  <c r="O4" i="6127"/>
  <c r="O3" i="6127"/>
  <c r="H5" i="6127"/>
  <c r="O2" i="6127"/>
  <c r="H2" i="6127"/>
  <c r="O28" i="6122"/>
  <c r="O27" i="6122"/>
  <c r="O19" i="6122"/>
  <c r="H15" i="6130" l="1"/>
  <c r="C17" i="6130"/>
  <c r="C16" i="6128"/>
  <c r="H40" i="6128"/>
  <c r="C21" i="6128"/>
  <c r="H27" i="6128"/>
  <c r="C36" i="6128"/>
  <c r="C41" i="6128"/>
  <c r="H9" i="6128"/>
  <c r="H11" i="6128"/>
  <c r="H17" i="6128"/>
  <c r="C23" i="6128"/>
  <c r="H31" i="6128"/>
  <c r="C38" i="6128"/>
  <c r="C43" i="6128"/>
  <c r="C46" i="6128"/>
  <c r="C19" i="6128"/>
  <c r="H21" i="6128"/>
  <c r="B24" i="6128"/>
  <c r="H28" i="6128"/>
  <c r="H33" i="6128"/>
  <c r="H36" i="6128"/>
  <c r="C39" i="6128"/>
  <c r="C42" i="6128"/>
  <c r="H44" i="6128"/>
  <c r="H13" i="6128"/>
  <c r="H7" i="6128"/>
  <c r="H10" i="6128"/>
  <c r="H12" i="6128"/>
  <c r="C17" i="6128"/>
  <c r="H19" i="6128"/>
  <c r="C22" i="6128"/>
  <c r="H25" i="6128"/>
  <c r="H30" i="6128"/>
  <c r="H34" i="6128"/>
  <c r="C37" i="6128"/>
  <c r="C40" i="6128"/>
  <c r="H42" i="6128"/>
  <c r="C45" i="6128"/>
  <c r="H14" i="6130"/>
  <c r="H5" i="6130"/>
  <c r="H10" i="6130"/>
  <c r="H2" i="6130"/>
  <c r="H8" i="6130"/>
  <c r="B25" i="6130"/>
  <c r="H7" i="6130"/>
  <c r="C20" i="6130"/>
  <c r="B24" i="6130"/>
  <c r="C40" i="6130"/>
  <c r="C21" i="6130"/>
  <c r="H34" i="6130"/>
  <c r="C42" i="6130"/>
  <c r="H3" i="6130"/>
  <c r="H4" i="6130"/>
  <c r="H12" i="6130"/>
  <c r="C22" i="6130"/>
  <c r="H29" i="6130"/>
  <c r="C36" i="6130"/>
  <c r="C44" i="6130"/>
  <c r="H6" i="6130"/>
  <c r="H13" i="6130"/>
  <c r="H16" i="6130"/>
  <c r="H17" i="6130"/>
  <c r="H18" i="6130"/>
  <c r="C19" i="6130"/>
  <c r="C23" i="6130"/>
  <c r="H31" i="6130"/>
  <c r="C38" i="6130"/>
  <c r="C46" i="6130"/>
  <c r="B26" i="6130"/>
  <c r="C35" i="6130"/>
  <c r="C37" i="6130"/>
  <c r="C39" i="6130"/>
  <c r="C41" i="6130"/>
  <c r="C43" i="6130"/>
  <c r="C45" i="6130"/>
  <c r="H11" i="6130"/>
  <c r="H21" i="6130"/>
  <c r="H23" i="6130"/>
  <c r="H25" i="6130"/>
  <c r="H27" i="6130"/>
  <c r="H30" i="6130"/>
  <c r="H33" i="6130"/>
  <c r="H36" i="6130"/>
  <c r="H38" i="6130"/>
  <c r="H40" i="6130"/>
  <c r="H42" i="6130"/>
  <c r="H44" i="6130"/>
  <c r="H9" i="6130"/>
  <c r="H19" i="6130"/>
  <c r="H20" i="6130"/>
  <c r="H22" i="6130"/>
  <c r="H24" i="6130"/>
  <c r="H26" i="6130"/>
  <c r="H28" i="6130"/>
  <c r="H32" i="6130"/>
  <c r="H35" i="6130"/>
  <c r="H37" i="6130"/>
  <c r="H39" i="6130"/>
  <c r="H41" i="6130"/>
  <c r="H43" i="6130"/>
  <c r="H45" i="6130"/>
  <c r="H26" i="6129"/>
  <c r="C21" i="6129"/>
  <c r="C36" i="6129"/>
  <c r="C22" i="6129"/>
  <c r="H28" i="6129"/>
  <c r="C40" i="6129"/>
  <c r="H8" i="6129"/>
  <c r="H3" i="6129"/>
  <c r="H24" i="6129"/>
  <c r="H31" i="6129"/>
  <c r="C44" i="6129"/>
  <c r="H34" i="6129"/>
  <c r="C38" i="6129"/>
  <c r="C42" i="6129"/>
  <c r="C19" i="6129"/>
  <c r="H22" i="6129"/>
  <c r="B24" i="6129"/>
  <c r="H29" i="6129"/>
  <c r="C35" i="6129"/>
  <c r="C39" i="6129"/>
  <c r="C43" i="6129"/>
  <c r="H4" i="6129"/>
  <c r="H5" i="6129"/>
  <c r="H9" i="6129"/>
  <c r="H18" i="6129"/>
  <c r="C20" i="6129"/>
  <c r="C23" i="6129"/>
  <c r="C37" i="6129"/>
  <c r="C41" i="6129"/>
  <c r="C46" i="6129"/>
  <c r="B26" i="6129"/>
  <c r="C45" i="6129"/>
  <c r="H19" i="6129"/>
  <c r="H21" i="6129"/>
  <c r="H23" i="6129"/>
  <c r="H25" i="6129"/>
  <c r="H27" i="6129"/>
  <c r="H30" i="6129"/>
  <c r="H33" i="6129"/>
  <c r="H36" i="6129"/>
  <c r="H38" i="6129"/>
  <c r="H40" i="6129"/>
  <c r="H42" i="6129"/>
  <c r="H44" i="6129"/>
  <c r="H2" i="6129"/>
  <c r="H32" i="6129"/>
  <c r="H35" i="6129"/>
  <c r="H37" i="6129"/>
  <c r="H39" i="6129"/>
  <c r="H41" i="6129"/>
  <c r="H43" i="6129"/>
  <c r="H45" i="6129"/>
  <c r="B25" i="6128"/>
  <c r="H18" i="6128"/>
  <c r="H20" i="6128"/>
  <c r="H22" i="6128"/>
  <c r="H24" i="6128"/>
  <c r="H26" i="6128"/>
  <c r="H29" i="6128"/>
  <c r="H32" i="6128"/>
  <c r="H35" i="6128"/>
  <c r="H37" i="6128"/>
  <c r="H39" i="6128"/>
  <c r="H41" i="6128"/>
  <c r="H43" i="6128"/>
  <c r="H12" i="6127"/>
  <c r="H15" i="6127"/>
  <c r="H16" i="6127"/>
  <c r="H17" i="6127"/>
  <c r="C20" i="6127"/>
  <c r="C22" i="6127"/>
  <c r="B24" i="6127"/>
  <c r="H29" i="6127"/>
  <c r="C35" i="6127"/>
  <c r="C37" i="6127"/>
  <c r="C39" i="6127"/>
  <c r="C41" i="6127"/>
  <c r="C43" i="6127"/>
  <c r="C45" i="6127"/>
  <c r="H19" i="6127"/>
  <c r="H21" i="6127"/>
  <c r="H23" i="6127"/>
  <c r="H25" i="6127"/>
  <c r="H27" i="6127"/>
  <c r="H30" i="6127"/>
  <c r="H33" i="6127"/>
  <c r="H36" i="6127"/>
  <c r="H38" i="6127"/>
  <c r="H40" i="6127"/>
  <c r="H42" i="6127"/>
  <c r="H44" i="6127"/>
  <c r="H4" i="6127"/>
  <c r="H8" i="6127"/>
  <c r="H13" i="6127"/>
  <c r="C19" i="6127"/>
  <c r="C21" i="6127"/>
  <c r="C23" i="6127"/>
  <c r="B25" i="6127"/>
  <c r="H31" i="6127"/>
  <c r="H34" i="6127"/>
  <c r="C36" i="6127"/>
  <c r="C38" i="6127"/>
  <c r="C40" i="6127"/>
  <c r="C42" i="6127"/>
  <c r="C44" i="6127"/>
  <c r="C46" i="6127"/>
  <c r="H6" i="6127"/>
  <c r="H10" i="6127"/>
  <c r="H18" i="6127"/>
  <c r="H20" i="6127"/>
  <c r="H22" i="6127"/>
  <c r="H24" i="6127"/>
  <c r="H26" i="6127"/>
  <c r="H28" i="6127"/>
  <c r="H32" i="6127"/>
  <c r="H35" i="6127"/>
  <c r="H37" i="6127"/>
  <c r="H39" i="6127"/>
  <c r="H41" i="6127"/>
  <c r="H43" i="6127"/>
  <c r="H45" i="6127"/>
  <c r="O18" i="6126" l="1"/>
  <c r="O20" i="6126"/>
  <c r="O19" i="6126"/>
  <c r="C32" i="6126"/>
  <c r="B27" i="6126"/>
  <c r="C18" i="6126"/>
  <c r="C17" i="6126"/>
  <c r="B17" i="6126"/>
  <c r="C47" i="6126" s="1"/>
  <c r="C16" i="6126"/>
  <c r="B16" i="6126"/>
  <c r="B26" i="6126" s="1"/>
  <c r="O15" i="6126"/>
  <c r="B15" i="6126"/>
  <c r="C15" i="6126" s="1"/>
  <c r="O14" i="6126"/>
  <c r="C14" i="6126"/>
  <c r="O13" i="6126"/>
  <c r="H14" i="6126"/>
  <c r="C13" i="6126"/>
  <c r="O12" i="6126"/>
  <c r="C12" i="6126"/>
  <c r="C11" i="6126"/>
  <c r="B11" i="6126"/>
  <c r="H11" i="6126"/>
  <c r="C10" i="6126"/>
  <c r="O9" i="6126"/>
  <c r="C9" i="6126"/>
  <c r="O8" i="6126"/>
  <c r="C8" i="6126"/>
  <c r="O7" i="6126"/>
  <c r="C7" i="6126"/>
  <c r="O6" i="6126"/>
  <c r="H7" i="6126"/>
  <c r="B6" i="6126"/>
  <c r="O5" i="6126"/>
  <c r="B5" i="6126"/>
  <c r="O4" i="6126"/>
  <c r="O3" i="6126"/>
  <c r="O2" i="6126"/>
  <c r="O23" i="6125"/>
  <c r="O22" i="6125"/>
  <c r="O21" i="6125"/>
  <c r="C32" i="6125"/>
  <c r="B27" i="6125"/>
  <c r="C18" i="6125"/>
  <c r="B17" i="6125"/>
  <c r="C47" i="6125" s="1"/>
  <c r="C16" i="6125"/>
  <c r="B16" i="6125"/>
  <c r="B26" i="6125" s="1"/>
  <c r="O15" i="6125"/>
  <c r="B15" i="6125"/>
  <c r="C15" i="6125" s="1"/>
  <c r="O14" i="6125"/>
  <c r="C14" i="6125"/>
  <c r="O13" i="6125"/>
  <c r="C13" i="6125"/>
  <c r="O12" i="6125"/>
  <c r="C12" i="6125"/>
  <c r="C11" i="6125"/>
  <c r="B11" i="6125"/>
  <c r="C10" i="6125"/>
  <c r="O9" i="6125"/>
  <c r="C9" i="6125"/>
  <c r="O8" i="6125"/>
  <c r="C8" i="6125"/>
  <c r="O7" i="6125"/>
  <c r="C7" i="6125"/>
  <c r="O6" i="6125"/>
  <c r="B6" i="6125"/>
  <c r="O5" i="6125"/>
  <c r="B5" i="6125"/>
  <c r="O4" i="6125"/>
  <c r="O3" i="6125"/>
  <c r="O2" i="6125"/>
  <c r="O20" i="6124"/>
  <c r="O19" i="6124"/>
  <c r="O18" i="6124"/>
  <c r="C32" i="6124"/>
  <c r="B27" i="6124"/>
  <c r="C18" i="6124"/>
  <c r="B17" i="6124"/>
  <c r="C47" i="6124" s="1"/>
  <c r="C16" i="6124"/>
  <c r="B16" i="6124"/>
  <c r="B26" i="6124" s="1"/>
  <c r="O15" i="6124"/>
  <c r="C15" i="6124"/>
  <c r="B15" i="6124"/>
  <c r="O14" i="6124"/>
  <c r="C14" i="6124"/>
  <c r="O13" i="6124"/>
  <c r="C13" i="6124"/>
  <c r="O12" i="6124"/>
  <c r="C12" i="6124"/>
  <c r="C11" i="6124"/>
  <c r="B11" i="6124"/>
  <c r="C10" i="6124"/>
  <c r="O9" i="6124"/>
  <c r="C9" i="6124"/>
  <c r="O8" i="6124"/>
  <c r="C8" i="6124"/>
  <c r="O7" i="6124"/>
  <c r="C7" i="6124"/>
  <c r="O6" i="6124"/>
  <c r="B6" i="6124"/>
  <c r="O5" i="6124"/>
  <c r="B5" i="6124"/>
  <c r="O4" i="6124"/>
  <c r="O3" i="6124"/>
  <c r="O2" i="6124"/>
  <c r="O21" i="6122"/>
  <c r="O19" i="6123"/>
  <c r="O18" i="6123"/>
  <c r="O20" i="6123"/>
  <c r="C32" i="6123"/>
  <c r="B27" i="6123"/>
  <c r="C18" i="6123"/>
  <c r="B17" i="6123"/>
  <c r="H45" i="6123" s="1"/>
  <c r="C16" i="6123"/>
  <c r="B16" i="6123"/>
  <c r="B26" i="6123" s="1"/>
  <c r="O15" i="6123"/>
  <c r="C15" i="6123"/>
  <c r="B15" i="6123"/>
  <c r="O14" i="6123"/>
  <c r="C14" i="6123"/>
  <c r="O13" i="6123"/>
  <c r="C13" i="6123"/>
  <c r="O12" i="6123"/>
  <c r="C12" i="6123"/>
  <c r="B11" i="6123"/>
  <c r="C11" i="6123" s="1"/>
  <c r="C10" i="6123"/>
  <c r="O9" i="6123"/>
  <c r="C9" i="6123"/>
  <c r="O8" i="6123"/>
  <c r="C8" i="6123"/>
  <c r="O7" i="6123"/>
  <c r="C7" i="6123"/>
  <c r="O6" i="6123"/>
  <c r="B6" i="6123"/>
  <c r="O5" i="6123"/>
  <c r="B5" i="6123"/>
  <c r="O4" i="6123"/>
  <c r="O3" i="6123"/>
  <c r="O2" i="6123"/>
  <c r="O20" i="6122"/>
  <c r="O26" i="6122"/>
  <c r="O23" i="6122"/>
  <c r="C32" i="6122"/>
  <c r="B27" i="6122"/>
  <c r="C18" i="6122"/>
  <c r="B17" i="6122"/>
  <c r="C47" i="6122" s="1"/>
  <c r="B16" i="6122"/>
  <c r="C16" i="6122" s="1"/>
  <c r="O15" i="6122"/>
  <c r="B15" i="6122"/>
  <c r="C15" i="6122" s="1"/>
  <c r="O14" i="6122"/>
  <c r="C14" i="6122"/>
  <c r="O13" i="6122"/>
  <c r="C13" i="6122"/>
  <c r="O12" i="6122"/>
  <c r="C12" i="6122"/>
  <c r="B11" i="6122"/>
  <c r="C11" i="6122" s="1"/>
  <c r="C10" i="6122"/>
  <c r="O9" i="6122"/>
  <c r="C9" i="6122"/>
  <c r="O8" i="6122"/>
  <c r="C8" i="6122"/>
  <c r="O7" i="6122"/>
  <c r="C7" i="6122"/>
  <c r="O6" i="6122"/>
  <c r="B6" i="6122"/>
  <c r="O5" i="6122"/>
  <c r="B5" i="6122"/>
  <c r="O4" i="6122"/>
  <c r="O3" i="6122"/>
  <c r="O2" i="6122"/>
  <c r="H12" i="6125" l="1"/>
  <c r="H15" i="6125"/>
  <c r="H6" i="6125"/>
  <c r="H2" i="6125"/>
  <c r="H3" i="6125"/>
  <c r="H8" i="6125"/>
  <c r="H16" i="6125"/>
  <c r="H17" i="6125"/>
  <c r="C19" i="6125"/>
  <c r="C22" i="6125"/>
  <c r="H14" i="6125"/>
  <c r="C17" i="6125"/>
  <c r="H5" i="6125"/>
  <c r="H4" i="6125"/>
  <c r="H9" i="6125"/>
  <c r="H10" i="6125"/>
  <c r="H11" i="6125"/>
  <c r="H13" i="6125"/>
  <c r="H3" i="6123"/>
  <c r="H9" i="6123"/>
  <c r="H15" i="6123"/>
  <c r="H10" i="6123"/>
  <c r="B26" i="6122"/>
  <c r="H4" i="6126"/>
  <c r="H8" i="6126"/>
  <c r="H12" i="6126"/>
  <c r="H15" i="6126"/>
  <c r="H16" i="6126"/>
  <c r="H17" i="6126"/>
  <c r="C20" i="6126"/>
  <c r="C22" i="6126"/>
  <c r="B24" i="6126"/>
  <c r="H28" i="6126"/>
  <c r="C35" i="6126"/>
  <c r="C37" i="6126"/>
  <c r="C39" i="6126"/>
  <c r="C41" i="6126"/>
  <c r="C43" i="6126"/>
  <c r="C45" i="6126"/>
  <c r="H19" i="6126"/>
  <c r="H21" i="6126"/>
  <c r="H23" i="6126"/>
  <c r="H25" i="6126"/>
  <c r="H26" i="6126"/>
  <c r="H29" i="6126"/>
  <c r="H32" i="6126"/>
  <c r="H35" i="6126"/>
  <c r="H37" i="6126"/>
  <c r="H39" i="6126"/>
  <c r="H41" i="6126"/>
  <c r="H43" i="6126"/>
  <c r="H45" i="6126"/>
  <c r="H6" i="6126"/>
  <c r="H10" i="6126"/>
  <c r="H13" i="6126"/>
  <c r="C19" i="6126"/>
  <c r="C21" i="6126"/>
  <c r="C23" i="6126"/>
  <c r="B25" i="6126"/>
  <c r="H30" i="6126"/>
  <c r="H33" i="6126"/>
  <c r="C36" i="6126"/>
  <c r="C38" i="6126"/>
  <c r="C40" i="6126"/>
  <c r="C42" i="6126"/>
  <c r="C44" i="6126"/>
  <c r="C46" i="6126"/>
  <c r="H2" i="6126"/>
  <c r="H3" i="6126"/>
  <c r="H9" i="6126"/>
  <c r="H18" i="6126"/>
  <c r="H20" i="6126"/>
  <c r="H22" i="6126"/>
  <c r="H24" i="6126"/>
  <c r="H5" i="6126"/>
  <c r="H27" i="6126"/>
  <c r="H31" i="6126"/>
  <c r="H34" i="6126"/>
  <c r="H36" i="6126"/>
  <c r="H38" i="6126"/>
  <c r="H40" i="6126"/>
  <c r="H42" i="6126"/>
  <c r="H44" i="6126"/>
  <c r="B24" i="6125"/>
  <c r="C20" i="6125"/>
  <c r="C21" i="6125"/>
  <c r="H29" i="6125"/>
  <c r="C35" i="6125"/>
  <c r="C37" i="6125"/>
  <c r="C39" i="6125"/>
  <c r="C41" i="6125"/>
  <c r="C43" i="6125"/>
  <c r="C45" i="6125"/>
  <c r="H19" i="6125"/>
  <c r="H21" i="6125"/>
  <c r="H23" i="6125"/>
  <c r="H25" i="6125"/>
  <c r="H27" i="6125"/>
  <c r="H30" i="6125"/>
  <c r="H33" i="6125"/>
  <c r="H36" i="6125"/>
  <c r="H38" i="6125"/>
  <c r="H40" i="6125"/>
  <c r="H42" i="6125"/>
  <c r="H44" i="6125"/>
  <c r="H7" i="6125"/>
  <c r="C23" i="6125"/>
  <c r="B25" i="6125"/>
  <c r="H31" i="6125"/>
  <c r="H34" i="6125"/>
  <c r="C36" i="6125"/>
  <c r="C38" i="6125"/>
  <c r="C40" i="6125"/>
  <c r="C42" i="6125"/>
  <c r="C44" i="6125"/>
  <c r="C46" i="6125"/>
  <c r="H18" i="6125"/>
  <c r="H20" i="6125"/>
  <c r="H22" i="6125"/>
  <c r="H24" i="6125"/>
  <c r="H26" i="6125"/>
  <c r="H28" i="6125"/>
  <c r="H32" i="6125"/>
  <c r="H35" i="6125"/>
  <c r="H37" i="6125"/>
  <c r="H39" i="6125"/>
  <c r="H41" i="6125"/>
  <c r="H43" i="6125"/>
  <c r="H45" i="6125"/>
  <c r="H11" i="6124"/>
  <c r="H4" i="6124"/>
  <c r="H5" i="6124"/>
  <c r="H8" i="6124"/>
  <c r="C22" i="6124"/>
  <c r="H6" i="6124"/>
  <c r="H12" i="6124"/>
  <c r="H15" i="6124"/>
  <c r="H16" i="6124"/>
  <c r="H17" i="6124"/>
  <c r="C19" i="6124"/>
  <c r="B24" i="6124"/>
  <c r="H7" i="6124"/>
  <c r="H10" i="6124"/>
  <c r="H14" i="6124"/>
  <c r="C20" i="6124"/>
  <c r="H3" i="6124"/>
  <c r="H9" i="6124"/>
  <c r="H13" i="6124"/>
  <c r="C17" i="6124"/>
  <c r="C21" i="6124"/>
  <c r="H29" i="6124"/>
  <c r="C35" i="6124"/>
  <c r="C37" i="6124"/>
  <c r="C39" i="6124"/>
  <c r="C41" i="6124"/>
  <c r="C43" i="6124"/>
  <c r="C45" i="6124"/>
  <c r="H19" i="6124"/>
  <c r="H21" i="6124"/>
  <c r="H23" i="6124"/>
  <c r="H25" i="6124"/>
  <c r="H27" i="6124"/>
  <c r="H30" i="6124"/>
  <c r="H33" i="6124"/>
  <c r="H36" i="6124"/>
  <c r="H38" i="6124"/>
  <c r="H40" i="6124"/>
  <c r="H42" i="6124"/>
  <c r="H44" i="6124"/>
  <c r="H2" i="6124"/>
  <c r="C23" i="6124"/>
  <c r="B25" i="6124"/>
  <c r="H31" i="6124"/>
  <c r="H34" i="6124"/>
  <c r="C36" i="6124"/>
  <c r="C38" i="6124"/>
  <c r="C40" i="6124"/>
  <c r="C42" i="6124"/>
  <c r="C44" i="6124"/>
  <c r="C46" i="6124"/>
  <c r="H18" i="6124"/>
  <c r="H20" i="6124"/>
  <c r="H22" i="6124"/>
  <c r="H24" i="6124"/>
  <c r="H26" i="6124"/>
  <c r="H28" i="6124"/>
  <c r="H32" i="6124"/>
  <c r="H35" i="6124"/>
  <c r="H37" i="6124"/>
  <c r="H39" i="6124"/>
  <c r="H41" i="6124"/>
  <c r="H43" i="6124"/>
  <c r="H45" i="6124"/>
  <c r="C19" i="6123"/>
  <c r="H22" i="6123"/>
  <c r="B24" i="6123"/>
  <c r="H28" i="6123"/>
  <c r="H33" i="6123"/>
  <c r="H36" i="6123"/>
  <c r="C39" i="6123"/>
  <c r="C42" i="6123"/>
  <c r="H44" i="6123"/>
  <c r="H5" i="6123"/>
  <c r="H12" i="6123"/>
  <c r="H14" i="6123"/>
  <c r="C17" i="6123"/>
  <c r="H20" i="6123"/>
  <c r="C22" i="6123"/>
  <c r="H25" i="6123"/>
  <c r="H30" i="6123"/>
  <c r="H34" i="6123"/>
  <c r="C37" i="6123"/>
  <c r="C40" i="6123"/>
  <c r="H42" i="6123"/>
  <c r="C45" i="6123"/>
  <c r="H4" i="6123"/>
  <c r="H2" i="6123"/>
  <c r="H11" i="6123"/>
  <c r="H7" i="6123"/>
  <c r="C20" i="6123"/>
  <c r="C23" i="6123"/>
  <c r="H31" i="6123"/>
  <c r="C35" i="6123"/>
  <c r="C38" i="6123"/>
  <c r="H40" i="6123"/>
  <c r="C43" i="6123"/>
  <c r="C46" i="6123"/>
  <c r="H6" i="6123"/>
  <c r="H13" i="6123"/>
  <c r="H16" i="6123"/>
  <c r="H17" i="6123"/>
  <c r="H18" i="6123"/>
  <c r="C21" i="6123"/>
  <c r="H23" i="6123"/>
  <c r="H27" i="6123"/>
  <c r="C36" i="6123"/>
  <c r="H38" i="6123"/>
  <c r="C41" i="6123"/>
  <c r="C44" i="6123"/>
  <c r="C47" i="6123"/>
  <c r="B25" i="6123"/>
  <c r="H19" i="6123"/>
  <c r="H21" i="6123"/>
  <c r="H8" i="6123"/>
  <c r="H24" i="6123"/>
  <c r="H26" i="6123"/>
  <c r="H29" i="6123"/>
  <c r="H32" i="6123"/>
  <c r="H35" i="6123"/>
  <c r="H37" i="6123"/>
  <c r="H39" i="6123"/>
  <c r="H41" i="6123"/>
  <c r="H43" i="6123"/>
  <c r="C39" i="6122"/>
  <c r="C41" i="6122"/>
  <c r="H19" i="6122"/>
  <c r="H29" i="6122"/>
  <c r="H8" i="6122"/>
  <c r="C43" i="6122"/>
  <c r="H17" i="6122"/>
  <c r="C22" i="6122"/>
  <c r="H9" i="6122"/>
  <c r="C17" i="6122"/>
  <c r="B24" i="6122"/>
  <c r="H7" i="6122"/>
  <c r="C35" i="6122"/>
  <c r="H6" i="6122"/>
  <c r="H20" i="6122"/>
  <c r="H21" i="6122"/>
  <c r="H22" i="6122"/>
  <c r="C20" i="6122"/>
  <c r="C37" i="6122"/>
  <c r="C45" i="6122"/>
  <c r="H13" i="6122"/>
  <c r="H14" i="6122"/>
  <c r="H15" i="6122"/>
  <c r="H26" i="6122"/>
  <c r="H27" i="6122"/>
  <c r="H30" i="6122"/>
  <c r="H33" i="6122"/>
  <c r="H36" i="6122"/>
  <c r="H38" i="6122"/>
  <c r="H40" i="6122"/>
  <c r="H42" i="6122"/>
  <c r="H44" i="6122"/>
  <c r="H5" i="6122"/>
  <c r="H10" i="6122"/>
  <c r="H18" i="6122"/>
  <c r="C19" i="6122"/>
  <c r="C21" i="6122"/>
  <c r="C23" i="6122"/>
  <c r="B25" i="6122"/>
  <c r="H31" i="6122"/>
  <c r="H34" i="6122"/>
  <c r="C36" i="6122"/>
  <c r="C38" i="6122"/>
  <c r="C40" i="6122"/>
  <c r="C42" i="6122"/>
  <c r="C44" i="6122"/>
  <c r="C46" i="6122"/>
  <c r="H4" i="6122"/>
  <c r="H2" i="6122"/>
  <c r="H3" i="6122"/>
  <c r="H11" i="6122"/>
  <c r="H12" i="6122"/>
  <c r="H23" i="6122"/>
  <c r="H24" i="6122"/>
  <c r="H25" i="6122"/>
  <c r="H16" i="6122"/>
  <c r="H28" i="6122"/>
  <c r="H32" i="6122"/>
  <c r="H35" i="6122"/>
  <c r="H37" i="6122"/>
  <c r="H39" i="6122"/>
  <c r="H41" i="6122"/>
  <c r="H43" i="6122"/>
  <c r="H45" i="612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<sst xmlns="http://schemas.openxmlformats.org/spreadsheetml/2006/main" count="2687" uniqueCount="196">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</sst>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全体!$L$2:$L$26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2-4502-BDD7-C539EA449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-83.333333333333329</c:v>
                </c:pt>
                <c:pt idx="1">
                  <c:v>41.666666666666664</c:v>
                </c:pt>
                <c:pt idx="2">
                  <c:v>-41.666666666666664</c:v>
                </c:pt>
                <c:pt idx="3">
                  <c:v>83.333333333333329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FD-464C-84B5-4486BED36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</c:v>
                </c:pt>
                <c:pt idx="1">
                  <c:v>5</c:v>
                </c:pt>
                <c:pt idx="2">
                  <c:v>9</c:v>
                </c:pt>
                <c:pt idx="3">
                  <c:v>7</c:v>
                </c:pt>
                <c:pt idx="4">
                  <c:v>4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6-4BE2-9870-C4846D8BB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松澤亮太!$L$2:$L$5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8-477E-B77A-FBEBEB457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700</c:v>
                </c:pt>
                <c:pt idx="2">
                  <c:v>-1300</c:v>
                </c:pt>
                <c:pt idx="3">
                  <c:v>-800</c:v>
                </c:pt>
                <c:pt idx="4">
                  <c:v>1833.3333333333333</c:v>
                </c:pt>
                <c:pt idx="5">
                  <c:v>-1166.6666666666667</c:v>
                </c:pt>
                <c:pt idx="6">
                  <c:v>-2500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A-4DC7-9FDB-0AB72838D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8-407E-A834-7966E4220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滝沢悠人!$L$2:$L$5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B1-48B7-AF8F-4CD416008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7933.333333333333</c:v>
                </c:pt>
                <c:pt idx="2">
                  <c:v>-500</c:v>
                </c:pt>
                <c:pt idx="3">
                  <c:v>-866.66666666666663</c:v>
                </c:pt>
                <c:pt idx="4">
                  <c:v>-2166.6666666666665</c:v>
                </c:pt>
                <c:pt idx="5">
                  <c:v>-1433.3333333333333</c:v>
                </c:pt>
                <c:pt idx="6">
                  <c:v>-4000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7-489E-B330-F2BB1F26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8-4B57-AE5E-C92CC987B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大池陸斗!$L$2:$L$4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D4-467B-9E41-C2336818F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-3350</c:v>
                </c:pt>
                <c:pt idx="1">
                  <c:v>200</c:v>
                </c:pt>
                <c:pt idx="2">
                  <c:v>750</c:v>
                </c:pt>
                <c:pt idx="3">
                  <c:v>7150</c:v>
                </c:pt>
                <c:pt idx="4">
                  <c:v>2700</c:v>
                </c:pt>
                <c:pt idx="5">
                  <c:v>1850</c:v>
                </c:pt>
                <c:pt idx="6">
                  <c:v>-2000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2-4108-8FF9-4918C3F6E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14-41C2-83FC-797B6B0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4-4543-97DE-987D94BBF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81-460E-B8D6-9419B4AB0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6-4107-A0B9-83A40F833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佐藤成浩!$L$2:$L$5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26-4267-84EE-F094736B4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8466.6666666666661</c:v>
                </c:pt>
                <c:pt idx="1">
                  <c:v>-500</c:v>
                </c:pt>
                <c:pt idx="2">
                  <c:v>-1766.6666666666667</c:v>
                </c:pt>
                <c:pt idx="3">
                  <c:v>-3466.6666666666665</c:v>
                </c:pt>
                <c:pt idx="4">
                  <c:v>-4000</c:v>
                </c:pt>
                <c:pt idx="5">
                  <c:v>-2000</c:v>
                </c:pt>
                <c:pt idx="6">
                  <c:v>-1500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5-4148-8140-5FEC1C163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4-40EF-8631-4D00DBD3A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6A-4550-BEA6-5D7D2471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E-4399-B0AB-15637A9D3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0-4B46-98BA-BE3315601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49-4078-A184-5DD8723FC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A5-4261-918B-38F331027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7-4F27-ADA2-F1CDD9270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高野源太!$L$2:$L$5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8-4DE6-B937-C2D842B25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3766.6666666666665</c:v>
                </c:pt>
                <c:pt idx="1">
                  <c:v>-3833.3333333333335</c:v>
                </c:pt>
                <c:pt idx="2">
                  <c:v>4666.666666666667</c:v>
                </c:pt>
                <c:pt idx="3">
                  <c:v>3800</c:v>
                </c:pt>
                <c:pt idx="4">
                  <c:v>2500</c:v>
                </c:pt>
                <c:pt idx="5">
                  <c:v>5850</c:v>
                </c:pt>
                <c:pt idx="6">
                  <c:v>-6000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4-4D82-9A98-EC7B0CDD0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3-46E8-8E70-B0210324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F-4F41-9F7F-2B7F6E7C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8-49AA-BC4E-78A25953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4-461C-9B4D-914D46DE1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93-474C-82D9-3B837113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8-4F4B-A6A8-46CE2DC37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5-4190-B3D7-9E3EF0FA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5-4782-A006-EAFCD5F9F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1-486D-9E5E-BD645656B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A-4F1A-8A14-852428773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福澤大地!$L$2:$L$3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6-4795-B9A0-3445E213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10600</c:v>
                </c:pt>
                <c:pt idx="2">
                  <c:v>-2000</c:v>
                </c:pt>
                <c:pt idx="3">
                  <c:v>0</c:v>
                </c:pt>
                <c:pt idx="4">
                  <c:v>-1000</c:v>
                </c:pt>
                <c:pt idx="5">
                  <c:v>1100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A-4674-94A2-C622499F0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A-452E-AE5E-50CE43F0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E44412-502A-48AE-BACF-5C159940E3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1CE85C-53C0-4564-8848-3B4760119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068617-FC41-45CE-87EE-86CCB3EB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DD87AD-5F48-4032-94A2-9832B38D8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A86391-B973-4B41-8856-9DB5012730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83C795-9F4D-4A92-AE1D-508FFCABC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DDEA4A-979A-4A99-9CAD-CB0A0E87A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9B9F7B-93DB-4B3F-A11F-263BEDEA7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3640AF-B9BD-42DE-BDDB-50DC064BE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30BA1C-B90E-45B0-A821-1CAFD5E93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2D6008-FE21-43B4-9DFE-6751BAAA6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BD0CA7-4895-41E5-AF74-90B13A65B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EF0C51-9303-4307-93E0-A4EF7FD94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5F93EF-8256-465D-81E9-0EDB3DC7C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42FA93-6F19-460F-A800-B0E57986D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3CAB88-EC40-473A-9F4A-0E19F7B1A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9FF192-05FB-46A2-B246-83207E2ED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202D70-BAEE-4CF9-93FF-1E09239F0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3E5DF5-2177-4C19-8309-390AB7D3A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745A05B-9079-426A-98BB-6CBB6A5EA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9C333C-1702-4B1C-8B02-56D40213C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CEF8E2-476F-44FC-BE9E-397FB2CD7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0FE9D1-9805-49B8-91A3-8C2913BE8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8A386D-027C-4E72-9B0F-DB8D5DC54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E02BD7-C869-4867-A247-566F1F893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D484DC-B8A9-48E9-9291-73610FFF4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340B3D-71AE-4D4F-8509-EECF4CB03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510964-AC23-4B00-96AA-B837EC63F4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A63A35-7F42-4C42-BD76-EAADD06F9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BFA95F-E804-43F9-BBE5-F1F177FFB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7DFB81-54B7-48A0-AE5E-5179F6640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6789A4-C796-4FF8-BE5B-841F85D71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BB015F-D1D6-4CC6-80BC-E27E5F5AE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AC6CD4-8A64-4063-A6F6-D3705BB670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9A6238-5685-4F9C-BF7C-102F049ED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3427F2-E971-438B-BE13-10B7BED02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3CEDEA-F259-41E7-9F74-2074435A26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07C15A-496D-43CE-8F9D-E02F260AE8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319DA7-5996-4F87-9661-8EFF0B7E29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5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43801.013252314813</v>
      </c>
      <c r="C2" s="24" t="s">
        <v>106</v>
      </c>
    </row>
    <row r="3" spans="1:4">
      <c r="A3" s="24" t="s">
        <v>169</v>
      </c>
      <c r="B3" s="25">
        <v>43801.505798611113</v>
      </c>
      <c r="C3" s="24" t="s">
        <v>106</v>
      </c>
    </row>
    <row r="4" spans="1:4">
      <c r="A4" s="24" t="s">
        <v>179</v>
      </c>
      <c r="B4" s="25">
        <v>43807.672881944447</v>
      </c>
      <c r="C4" s="24" t="s">
        <v>106</v>
      </c>
      <c r="D4" s="24" t="s">
        <v>181</v>
      </c>
    </row>
    <row r="5" spans="1:4">
      <c r="A5" s="24" t="s">
        <v>183</v>
      </c>
      <c r="B5" s="25">
        <v>43811.105671296296</v>
      </c>
      <c r="C5" s="24" t="s">
        <v>106</v>
      </c>
      <c r="D5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118</v>
      </c>
      <c r="B1">
        <v>24</v>
      </c>
    </row>
    <row r="2" spans="1:2">
      <c r="A2" t="s">
        <v>168</v>
      </c>
      <c r="B2">
        <v>3</v>
      </c>
    </row>
    <row r="3" spans="1:2">
      <c r="A3" t="s">
        <v>165</v>
      </c>
      <c r="B3">
        <v>3</v>
      </c>
    </row>
    <row r="4" spans="1:2">
      <c r="A4" t="s">
        <v>166</v>
      </c>
      <c r="B4">
        <v>2</v>
      </c>
    </row>
    <row r="5" spans="1:2">
      <c r="A5" t="s">
        <v>167</v>
      </c>
      <c r="B5">
        <v>1</v>
      </c>
    </row>
    <row r="6" spans="1:2">
      <c r="A6" t="s">
        <v>173</v>
      </c>
      <c r="B6">
        <v>3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3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5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70" customWidth="1"/>
    <col min="4" max="4" width="10.75" style="71" customWidth="1"/>
    <col min="5" max="5" width="10.75" style="83" customWidth="1"/>
    <col min="6" max="6" width="10.75" style="71" customWidth="1"/>
    <col min="7" max="7" width="10.75" style="72" customWidth="1"/>
    <col min="8" max="8" width="10.75" style="71" customWidth="1"/>
    <col min="9" max="9" width="10.75" style="73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4" customWidth="1"/>
    <col min="16" max="16" width="10.75" style="71" customWidth="1"/>
    <col min="17" max="17" width="10.75" style="74" customWidth="1"/>
    <col min="18" max="18" width="10.75" style="71" customWidth="1"/>
    <col min="19" max="19" width="10.75" style="75" customWidth="1"/>
    <col min="20" max="20" width="10.75" style="71" customWidth="1"/>
    <col min="21" max="21" width="10.75" style="75" customWidth="1"/>
    <col min="22" max="22" width="10.75" style="71" customWidth="1"/>
    <col min="23" max="23" width="10.75" style="74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8" customWidth="1"/>
    <col min="34" max="16384" width="9" style="59"/>
  </cols>
  <sheetData>
    <row r="1" spans="1:33">
      <c r="A1" s="58"/>
      <c r="B1" s="136" t="s">
        <v>6</v>
      </c>
      <c r="C1" s="137"/>
      <c r="D1" s="136" t="s">
        <v>7</v>
      </c>
      <c r="E1" s="137"/>
      <c r="F1" s="136" t="s">
        <v>15</v>
      </c>
      <c r="G1" s="137"/>
      <c r="H1" s="136" t="s">
        <v>14</v>
      </c>
      <c r="I1" s="137"/>
      <c r="J1" s="136" t="s">
        <v>129</v>
      </c>
      <c r="K1" s="137"/>
      <c r="L1" s="136" t="s">
        <v>158</v>
      </c>
      <c r="M1" s="137"/>
      <c r="N1" s="136" t="s">
        <v>119</v>
      </c>
      <c r="O1" s="137"/>
      <c r="P1" s="136" t="s">
        <v>120</v>
      </c>
      <c r="Q1" s="137"/>
      <c r="R1" s="136" t="s">
        <v>5</v>
      </c>
      <c r="S1" s="137"/>
      <c r="T1" s="136" t="s">
        <v>16</v>
      </c>
      <c r="U1" s="137"/>
      <c r="V1" s="136" t="s">
        <v>102</v>
      </c>
      <c r="W1" s="137"/>
      <c r="X1" s="136" t="s">
        <v>99</v>
      </c>
      <c r="Y1" s="137"/>
      <c r="Z1" s="136" t="s">
        <v>105</v>
      </c>
      <c r="AA1" s="137"/>
      <c r="AB1" s="136" t="s">
        <v>121</v>
      </c>
      <c r="AC1" s="137"/>
      <c r="AD1" s="136" t="s">
        <v>117</v>
      </c>
      <c r="AE1" s="137"/>
      <c r="AF1" s="136" t="s">
        <v>152</v>
      </c>
      <c r="AG1" s="137"/>
    </row>
    <row r="2" spans="1:33">
      <c r="A2" s="58" t="s">
        <v>128</v>
      </c>
      <c r="B2" s="138"/>
      <c r="C2" s="139"/>
      <c r="D2" s="138"/>
      <c r="E2" s="139"/>
      <c r="F2" s="140" t="s">
        <v>174</v>
      </c>
      <c r="G2" s="141"/>
      <c r="H2" s="140" t="s">
        <v>174</v>
      </c>
      <c r="I2" s="141"/>
      <c r="J2" s="140" t="s">
        <v>174</v>
      </c>
      <c r="K2" s="141"/>
      <c r="L2" s="140" t="s">
        <v>174</v>
      </c>
      <c r="M2" s="141"/>
      <c r="N2" s="140" t="s">
        <v>174</v>
      </c>
      <c r="O2" s="141"/>
      <c r="P2" s="140" t="s">
        <v>174</v>
      </c>
      <c r="Q2" s="141"/>
      <c r="R2" s="140" t="s">
        <v>174</v>
      </c>
      <c r="S2" s="141"/>
      <c r="T2" s="140" t="s">
        <v>174</v>
      </c>
      <c r="U2" s="141"/>
      <c r="V2" s="140" t="s">
        <v>174</v>
      </c>
      <c r="W2" s="141"/>
      <c r="X2" s="140" t="s">
        <v>174</v>
      </c>
      <c r="Y2" s="141"/>
      <c r="Z2" s="140" t="s">
        <v>174</v>
      </c>
      <c r="AA2" s="141"/>
      <c r="AB2" s="140" t="s">
        <v>174</v>
      </c>
      <c r="AC2" s="141"/>
      <c r="AD2" s="140" t="s">
        <v>174</v>
      </c>
      <c r="AE2" s="141"/>
      <c r="AF2" s="140" t="s">
        <v>174</v>
      </c>
      <c r="AG2" s="141"/>
    </row>
    <row r="3" spans="1:33">
      <c r="A3" s="60">
        <v>1</v>
      </c>
      <c r="B3" s="61" t="s">
        <v>172</v>
      </c>
      <c r="C3" s="62">
        <v>130.9</v>
      </c>
      <c r="D3" s="63" t="s">
        <v>184</v>
      </c>
      <c r="E3" s="82">
        <v>55.2</v>
      </c>
      <c r="F3" s="63" t="s">
        <v>184</v>
      </c>
      <c r="G3" s="64">
        <v>1</v>
      </c>
      <c r="H3" s="63" t="s">
        <v>184</v>
      </c>
      <c r="I3" s="65">
        <v>1</v>
      </c>
      <c r="J3" s="63" t="s">
        <v>167</v>
      </c>
      <c r="K3" s="65">
        <v>0</v>
      </c>
      <c r="L3" s="63" t="s">
        <v>171</v>
      </c>
      <c r="M3" s="65">
        <v>1</v>
      </c>
      <c r="N3" s="63" t="s">
        <v>172</v>
      </c>
      <c r="O3" s="66">
        <v>0.40909090909090912</v>
      </c>
      <c r="P3" s="63" t="s">
        <v>171</v>
      </c>
      <c r="Q3" s="66">
        <v>0</v>
      </c>
      <c r="R3" s="63" t="s">
        <v>173</v>
      </c>
      <c r="S3" s="67">
        <v>13000</v>
      </c>
      <c r="T3" s="63" t="s">
        <v>171</v>
      </c>
      <c r="U3" s="67">
        <v>0</v>
      </c>
      <c r="V3" s="63" t="s">
        <v>170</v>
      </c>
      <c r="W3" s="66">
        <v>0.11764705882352941</v>
      </c>
      <c r="X3" s="63" t="s">
        <v>167</v>
      </c>
      <c r="Y3" s="66">
        <v>0.3</v>
      </c>
      <c r="Z3" s="63" t="s">
        <v>166</v>
      </c>
      <c r="AA3" s="66">
        <v>0.77777777777777779</v>
      </c>
      <c r="AB3" s="63" t="s">
        <v>170</v>
      </c>
      <c r="AC3" s="66">
        <v>0.66666666666666663</v>
      </c>
      <c r="AD3" s="63" t="s">
        <v>166</v>
      </c>
      <c r="AE3" s="66">
        <v>0.7142857142857143</v>
      </c>
      <c r="AF3" s="63" t="s">
        <v>118</v>
      </c>
      <c r="AG3" s="77">
        <v>67800</v>
      </c>
    </row>
    <row r="4" spans="1:33">
      <c r="A4" s="68">
        <v>2</v>
      </c>
      <c r="B4" s="69" t="s">
        <v>184</v>
      </c>
      <c r="C4" s="70">
        <v>55.2</v>
      </c>
      <c r="D4" s="71" t="s">
        <v>172</v>
      </c>
      <c r="E4" s="83">
        <v>43.633333333333333</v>
      </c>
      <c r="F4" s="71" t="s">
        <v>172</v>
      </c>
      <c r="G4" s="72">
        <v>1.3333333333333333</v>
      </c>
      <c r="H4" s="71" t="s">
        <v>172</v>
      </c>
      <c r="I4" s="73">
        <v>0.66666666666666663</v>
      </c>
      <c r="J4" s="71" t="s">
        <v>173</v>
      </c>
      <c r="K4" s="73">
        <v>0</v>
      </c>
      <c r="L4" s="71" t="s">
        <v>172</v>
      </c>
      <c r="M4" s="73">
        <v>1</v>
      </c>
      <c r="N4" s="71" t="s">
        <v>166</v>
      </c>
      <c r="O4" s="74">
        <v>0.35</v>
      </c>
      <c r="P4" s="71" t="s">
        <v>172</v>
      </c>
      <c r="Q4" s="74">
        <v>4.5454545454545456E-2</v>
      </c>
      <c r="R4" s="71" t="s">
        <v>165</v>
      </c>
      <c r="S4" s="75">
        <v>9925</v>
      </c>
      <c r="T4" s="71" t="s">
        <v>184</v>
      </c>
      <c r="U4" s="75">
        <v>-2000</v>
      </c>
      <c r="V4" s="71" t="s">
        <v>185</v>
      </c>
      <c r="W4" s="74">
        <v>0.14285714285714285</v>
      </c>
      <c r="X4" s="71" t="s">
        <v>185</v>
      </c>
      <c r="Y4" s="74">
        <v>0.2857142857142857</v>
      </c>
      <c r="Z4" s="71" t="s">
        <v>180</v>
      </c>
      <c r="AA4" s="74">
        <v>0.75</v>
      </c>
      <c r="AB4" s="71" t="s">
        <v>172</v>
      </c>
      <c r="AC4" s="74">
        <v>0.5</v>
      </c>
      <c r="AD4" s="71" t="s">
        <v>170</v>
      </c>
      <c r="AE4" s="74">
        <v>0.66666666666666663</v>
      </c>
      <c r="AF4" s="71" t="s">
        <v>166</v>
      </c>
      <c r="AG4" s="78">
        <v>67800</v>
      </c>
    </row>
    <row r="5" spans="1:33">
      <c r="A5" s="68">
        <v>3</v>
      </c>
      <c r="B5" s="69" t="s">
        <v>166</v>
      </c>
      <c r="C5" s="70">
        <v>26.099999999999994</v>
      </c>
      <c r="D5" s="71" t="s">
        <v>171</v>
      </c>
      <c r="E5" s="83">
        <v>14</v>
      </c>
      <c r="F5" s="71" t="s">
        <v>171</v>
      </c>
      <c r="G5" s="72">
        <v>2</v>
      </c>
      <c r="H5" s="71" t="s">
        <v>166</v>
      </c>
      <c r="I5" s="73">
        <v>0.5</v>
      </c>
      <c r="J5" s="71" t="s">
        <v>171</v>
      </c>
      <c r="K5" s="73">
        <v>0</v>
      </c>
      <c r="L5" s="71" t="s">
        <v>184</v>
      </c>
      <c r="M5" s="73">
        <v>1</v>
      </c>
      <c r="N5" s="71" t="s">
        <v>171</v>
      </c>
      <c r="O5" s="74">
        <v>0.2857142857142857</v>
      </c>
      <c r="P5" s="71" t="s">
        <v>170</v>
      </c>
      <c r="Q5" s="74">
        <v>5.8823529411764705E-2</v>
      </c>
      <c r="R5" s="71" t="s">
        <v>171</v>
      </c>
      <c r="S5" s="75">
        <v>8600</v>
      </c>
      <c r="T5" s="71" t="s">
        <v>180</v>
      </c>
      <c r="U5" s="75">
        <v>-2950</v>
      </c>
      <c r="V5" s="71" t="s">
        <v>165</v>
      </c>
      <c r="W5" s="74">
        <v>0.18518518518518517</v>
      </c>
      <c r="X5" s="71" t="s">
        <v>172</v>
      </c>
      <c r="Y5" s="74">
        <v>0.27272727272727271</v>
      </c>
      <c r="Z5" s="71" t="s">
        <v>182</v>
      </c>
      <c r="AA5" s="74">
        <v>0.75</v>
      </c>
      <c r="AB5" s="71" t="s">
        <v>168</v>
      </c>
      <c r="AC5" s="74">
        <v>0.33333333333333331</v>
      </c>
      <c r="AD5" s="71" t="s">
        <v>172</v>
      </c>
      <c r="AE5" s="74">
        <v>0.55555555555555558</v>
      </c>
      <c r="AF5" s="71" t="s">
        <v>165</v>
      </c>
      <c r="AG5" s="78">
        <v>54900</v>
      </c>
    </row>
    <row r="6" spans="1:33">
      <c r="A6" s="68">
        <v>4</v>
      </c>
      <c r="B6" s="69" t="s">
        <v>171</v>
      </c>
      <c r="C6" s="70">
        <v>14</v>
      </c>
      <c r="D6" s="71" t="s">
        <v>166</v>
      </c>
      <c r="E6" s="83">
        <v>13.049999999999997</v>
      </c>
      <c r="F6" s="71" t="s">
        <v>118</v>
      </c>
      <c r="G6" s="72">
        <v>2.5</v>
      </c>
      <c r="H6" s="71" t="s">
        <v>182</v>
      </c>
      <c r="I6" s="73">
        <v>0.5</v>
      </c>
      <c r="J6" s="71" t="s">
        <v>172</v>
      </c>
      <c r="K6" s="73">
        <v>0</v>
      </c>
      <c r="L6" s="71" t="s">
        <v>118</v>
      </c>
      <c r="M6" s="73">
        <v>0.5</v>
      </c>
      <c r="N6" s="71" t="s">
        <v>184</v>
      </c>
      <c r="O6" s="74">
        <v>0.2857142857142857</v>
      </c>
      <c r="P6" s="71" t="s">
        <v>168</v>
      </c>
      <c r="Q6" s="74">
        <v>7.407407407407407E-2</v>
      </c>
      <c r="R6" s="71" t="s">
        <v>180</v>
      </c>
      <c r="S6" s="75">
        <v>8400</v>
      </c>
      <c r="T6" s="71" t="s">
        <v>168</v>
      </c>
      <c r="U6" s="75">
        <v>-5300</v>
      </c>
      <c r="V6" s="71" t="s">
        <v>173</v>
      </c>
      <c r="W6" s="74">
        <v>0.19230769230769232</v>
      </c>
      <c r="X6" s="71" t="s">
        <v>173</v>
      </c>
      <c r="Y6" s="74">
        <v>0.19230769230769232</v>
      </c>
      <c r="Z6" s="71" t="s">
        <v>172</v>
      </c>
      <c r="AA6" s="74">
        <v>0.66666666666666663</v>
      </c>
      <c r="AB6" s="71" t="s">
        <v>182</v>
      </c>
      <c r="AC6" s="74">
        <v>0.33333333333333331</v>
      </c>
      <c r="AD6" s="71" t="s">
        <v>171</v>
      </c>
      <c r="AE6" s="74">
        <v>0.5</v>
      </c>
      <c r="AF6" s="71" t="s">
        <v>182</v>
      </c>
      <c r="AG6" s="78">
        <v>42500</v>
      </c>
    </row>
    <row r="7" spans="1:33">
      <c r="A7" s="68">
        <v>5</v>
      </c>
      <c r="B7" s="69" t="s">
        <v>182</v>
      </c>
      <c r="C7" s="70">
        <v>3.8999999999999986</v>
      </c>
      <c r="D7" s="71" t="s">
        <v>182</v>
      </c>
      <c r="E7" s="83">
        <v>1.9499999999999993</v>
      </c>
      <c r="F7" s="71" t="s">
        <v>166</v>
      </c>
      <c r="G7" s="72">
        <v>2.5</v>
      </c>
      <c r="H7" s="71" t="s">
        <v>165</v>
      </c>
      <c r="I7" s="73">
        <v>0.33333333333333331</v>
      </c>
      <c r="J7" s="71" t="s">
        <v>180</v>
      </c>
      <c r="K7" s="73">
        <v>0</v>
      </c>
      <c r="L7" s="71" t="s">
        <v>166</v>
      </c>
      <c r="M7" s="73">
        <v>0.5</v>
      </c>
      <c r="N7" s="71" t="s">
        <v>182</v>
      </c>
      <c r="O7" s="74">
        <v>0.21052631578947367</v>
      </c>
      <c r="P7" s="71" t="s">
        <v>167</v>
      </c>
      <c r="Q7" s="74">
        <v>0.1</v>
      </c>
      <c r="R7" s="71" t="s">
        <v>168</v>
      </c>
      <c r="S7" s="75">
        <v>7033.333333333333</v>
      </c>
      <c r="T7" s="71" t="s">
        <v>173</v>
      </c>
      <c r="U7" s="75">
        <v>-5500</v>
      </c>
      <c r="V7" s="71" t="s">
        <v>182</v>
      </c>
      <c r="W7" s="74">
        <v>0.21052631578947367</v>
      </c>
      <c r="X7" s="71" t="s">
        <v>170</v>
      </c>
      <c r="Y7" s="74">
        <v>0.17647058823529413</v>
      </c>
      <c r="Z7" s="71" t="s">
        <v>118</v>
      </c>
      <c r="AA7" s="74">
        <v>0.54</v>
      </c>
      <c r="AB7" s="71" t="s">
        <v>118</v>
      </c>
      <c r="AC7" s="74">
        <v>0.23333333333333334</v>
      </c>
      <c r="AD7" s="71" t="s">
        <v>184</v>
      </c>
      <c r="AE7" s="74">
        <v>0.5</v>
      </c>
      <c r="AF7" s="71" t="s">
        <v>172</v>
      </c>
      <c r="AG7" s="78">
        <v>41100</v>
      </c>
    </row>
    <row r="8" spans="1:33">
      <c r="A8" s="68">
        <v>6</v>
      </c>
      <c r="B8" s="69" t="s">
        <v>118</v>
      </c>
      <c r="C8" s="70">
        <v>1.0658141036401503E-14</v>
      </c>
      <c r="D8" s="71" t="s">
        <v>118</v>
      </c>
      <c r="E8" s="83">
        <v>4.4408920985006262E-16</v>
      </c>
      <c r="F8" s="71" t="s">
        <v>180</v>
      </c>
      <c r="G8" s="72">
        <v>2.5</v>
      </c>
      <c r="H8" s="71" t="s">
        <v>118</v>
      </c>
      <c r="I8" s="73">
        <v>0.25</v>
      </c>
      <c r="J8" s="71" t="s">
        <v>184</v>
      </c>
      <c r="K8" s="73">
        <v>0</v>
      </c>
      <c r="L8" s="71" t="s">
        <v>170</v>
      </c>
      <c r="M8" s="73">
        <v>0.5</v>
      </c>
      <c r="N8" s="71" t="s">
        <v>118</v>
      </c>
      <c r="O8" s="74">
        <v>0.20098039215686275</v>
      </c>
      <c r="P8" s="71" t="s">
        <v>182</v>
      </c>
      <c r="Q8" s="74">
        <v>0.10526315789473684</v>
      </c>
      <c r="R8" s="71" t="s">
        <v>118</v>
      </c>
      <c r="S8" s="75">
        <v>6763.4146341463411</v>
      </c>
      <c r="T8" s="71" t="s">
        <v>182</v>
      </c>
      <c r="U8" s="75">
        <v>-5950</v>
      </c>
      <c r="V8" s="71" t="s">
        <v>168</v>
      </c>
      <c r="W8" s="74">
        <v>0.22222222222222221</v>
      </c>
      <c r="X8" s="71" t="s">
        <v>182</v>
      </c>
      <c r="Y8" s="74">
        <v>0.15789473684210525</v>
      </c>
      <c r="Z8" s="71" t="s">
        <v>167</v>
      </c>
      <c r="AA8" s="74">
        <v>0.5</v>
      </c>
      <c r="AB8" s="71" t="s">
        <v>165</v>
      </c>
      <c r="AC8" s="74">
        <v>0</v>
      </c>
      <c r="AD8" s="71" t="s">
        <v>118</v>
      </c>
      <c r="AE8" s="74">
        <v>0.41463414634146339</v>
      </c>
      <c r="AF8" s="71" t="s">
        <v>184</v>
      </c>
      <c r="AG8" s="78">
        <v>35200</v>
      </c>
    </row>
    <row r="9" spans="1:33">
      <c r="A9" s="68">
        <v>7</v>
      </c>
      <c r="B9" s="69" t="s">
        <v>180</v>
      </c>
      <c r="C9" s="70">
        <v>-2.2000000000000011</v>
      </c>
      <c r="D9" s="71" t="s">
        <v>180</v>
      </c>
      <c r="E9" s="83">
        <v>-1.1000000000000005</v>
      </c>
      <c r="F9" s="71" t="s">
        <v>182</v>
      </c>
      <c r="G9" s="72">
        <v>2.5</v>
      </c>
      <c r="H9" s="71" t="s">
        <v>168</v>
      </c>
      <c r="I9" s="73">
        <v>0</v>
      </c>
      <c r="J9" s="71" t="s">
        <v>118</v>
      </c>
      <c r="K9" s="73">
        <v>0.25</v>
      </c>
      <c r="L9" s="71" t="s">
        <v>180</v>
      </c>
      <c r="M9" s="73">
        <v>0.5</v>
      </c>
      <c r="N9" s="71" t="s">
        <v>167</v>
      </c>
      <c r="O9" s="74">
        <v>0.2</v>
      </c>
      <c r="P9" s="71" t="s">
        <v>118</v>
      </c>
      <c r="Q9" s="74">
        <v>0.11764705882352941</v>
      </c>
      <c r="R9" s="71" t="s">
        <v>166</v>
      </c>
      <c r="S9" s="75">
        <v>6714.2857142857147</v>
      </c>
      <c r="T9" s="71" t="s">
        <v>185</v>
      </c>
      <c r="U9" s="75">
        <v>-6600</v>
      </c>
      <c r="V9" s="71" t="s">
        <v>118</v>
      </c>
      <c r="W9" s="74">
        <v>0.24509803921568626</v>
      </c>
      <c r="X9" s="71" t="s">
        <v>118</v>
      </c>
      <c r="Y9" s="74">
        <v>0.14705882352941177</v>
      </c>
      <c r="Z9" s="71" t="s">
        <v>170</v>
      </c>
      <c r="AA9" s="74">
        <v>0.5</v>
      </c>
      <c r="AB9" s="71" t="s">
        <v>166</v>
      </c>
      <c r="AC9" s="74">
        <v>0</v>
      </c>
      <c r="AD9" s="71" t="s">
        <v>180</v>
      </c>
      <c r="AE9" s="74">
        <v>0.33333333333333331</v>
      </c>
      <c r="AF9" s="71" t="s">
        <v>173</v>
      </c>
      <c r="AG9" s="78">
        <v>34800</v>
      </c>
    </row>
    <row r="10" spans="1:33">
      <c r="A10" s="68">
        <v>8</v>
      </c>
      <c r="B10" s="69" t="s">
        <v>165</v>
      </c>
      <c r="C10" s="70">
        <v>-7.4999999999999929</v>
      </c>
      <c r="D10" s="71" t="s">
        <v>165</v>
      </c>
      <c r="E10" s="83">
        <v>-2.4999999999999978</v>
      </c>
      <c r="F10" s="71" t="s">
        <v>165</v>
      </c>
      <c r="G10" s="72">
        <v>2.6666666666666665</v>
      </c>
      <c r="H10" s="71" t="s">
        <v>167</v>
      </c>
      <c r="I10" s="73">
        <v>0</v>
      </c>
      <c r="J10" s="71" t="s">
        <v>168</v>
      </c>
      <c r="K10" s="73">
        <v>0.33333333333333331</v>
      </c>
      <c r="L10" s="71" t="s">
        <v>182</v>
      </c>
      <c r="M10" s="73">
        <v>0.5</v>
      </c>
      <c r="N10" s="71" t="s">
        <v>180</v>
      </c>
      <c r="O10" s="74">
        <v>0.2</v>
      </c>
      <c r="P10" s="71" t="s">
        <v>180</v>
      </c>
      <c r="Q10" s="74">
        <v>0.13333333333333333</v>
      </c>
      <c r="R10" s="71" t="s">
        <v>182</v>
      </c>
      <c r="S10" s="75">
        <v>5900</v>
      </c>
      <c r="T10" s="71" t="s">
        <v>118</v>
      </c>
      <c r="U10" s="75">
        <v>-6758.333333333333</v>
      </c>
      <c r="V10" s="71" t="s">
        <v>180</v>
      </c>
      <c r="W10" s="74">
        <v>0.26666666666666666</v>
      </c>
      <c r="X10" s="71" t="s">
        <v>171</v>
      </c>
      <c r="Y10" s="74">
        <v>0.14285714285714285</v>
      </c>
      <c r="Z10" s="71" t="s">
        <v>171</v>
      </c>
      <c r="AA10" s="74">
        <v>0.5</v>
      </c>
      <c r="AB10" s="71" t="s">
        <v>167</v>
      </c>
      <c r="AC10" s="74">
        <v>0</v>
      </c>
      <c r="AD10" s="71" t="s">
        <v>165</v>
      </c>
      <c r="AE10" s="74">
        <v>0.25</v>
      </c>
      <c r="AF10" s="71" t="s">
        <v>171</v>
      </c>
      <c r="AG10" s="78">
        <v>34000</v>
      </c>
    </row>
    <row r="11" spans="1:33">
      <c r="A11" s="68">
        <v>9</v>
      </c>
      <c r="B11" s="69" t="s">
        <v>167</v>
      </c>
      <c r="C11" s="70">
        <v>-25.1</v>
      </c>
      <c r="D11" s="71" t="s">
        <v>173</v>
      </c>
      <c r="E11" s="83">
        <v>-10.766666666666666</v>
      </c>
      <c r="F11" s="71" t="s">
        <v>173</v>
      </c>
      <c r="G11" s="72">
        <v>2.6666666666666665</v>
      </c>
      <c r="H11" s="71" t="s">
        <v>173</v>
      </c>
      <c r="I11" s="73">
        <v>0</v>
      </c>
      <c r="J11" s="71" t="s">
        <v>165</v>
      </c>
      <c r="K11" s="73">
        <v>0.33333333333333331</v>
      </c>
      <c r="L11" s="71" t="s">
        <v>168</v>
      </c>
      <c r="M11" s="73">
        <v>0.33333333333333331</v>
      </c>
      <c r="N11" s="71" t="s">
        <v>170</v>
      </c>
      <c r="O11" s="74">
        <v>0.17647058823529413</v>
      </c>
      <c r="P11" s="71" t="s">
        <v>184</v>
      </c>
      <c r="Q11" s="74">
        <v>0.14285714285714285</v>
      </c>
      <c r="R11" s="71" t="s">
        <v>172</v>
      </c>
      <c r="S11" s="75">
        <v>5700</v>
      </c>
      <c r="T11" s="71" t="s">
        <v>166</v>
      </c>
      <c r="U11" s="75">
        <v>-6800</v>
      </c>
      <c r="V11" s="71" t="s">
        <v>172</v>
      </c>
      <c r="W11" s="74">
        <v>0.27272727272727271</v>
      </c>
      <c r="X11" s="71" t="s">
        <v>168</v>
      </c>
      <c r="Y11" s="74">
        <v>0.1111111111111111</v>
      </c>
      <c r="Z11" s="71" t="s">
        <v>184</v>
      </c>
      <c r="AA11" s="74">
        <v>0.5</v>
      </c>
      <c r="AB11" s="71" t="s">
        <v>173</v>
      </c>
      <c r="AC11" s="74">
        <v>0</v>
      </c>
      <c r="AD11" s="71" t="s">
        <v>182</v>
      </c>
      <c r="AE11" s="74">
        <v>0.25</v>
      </c>
      <c r="AF11" s="71" t="s">
        <v>180</v>
      </c>
      <c r="AG11" s="78">
        <v>33600</v>
      </c>
    </row>
    <row r="12" spans="1:33">
      <c r="A12" s="68">
        <v>10</v>
      </c>
      <c r="B12" s="69" t="s">
        <v>173</v>
      </c>
      <c r="C12" s="70">
        <v>-32.299999999999997</v>
      </c>
      <c r="D12" s="71" t="s">
        <v>168</v>
      </c>
      <c r="E12" s="83">
        <v>-17.733333333333334</v>
      </c>
      <c r="F12" s="71" t="s">
        <v>168</v>
      </c>
      <c r="G12" s="72">
        <v>3</v>
      </c>
      <c r="H12" s="71" t="s">
        <v>170</v>
      </c>
      <c r="I12" s="73">
        <v>0</v>
      </c>
      <c r="J12" s="71" t="s">
        <v>166</v>
      </c>
      <c r="K12" s="73">
        <v>0.5</v>
      </c>
      <c r="L12" s="71" t="s">
        <v>165</v>
      </c>
      <c r="M12" s="73">
        <v>0.33333333333333331</v>
      </c>
      <c r="N12" s="71" t="s">
        <v>165</v>
      </c>
      <c r="O12" s="74">
        <v>0.14814814814814814</v>
      </c>
      <c r="P12" s="71" t="s">
        <v>166</v>
      </c>
      <c r="Q12" s="74">
        <v>0.15</v>
      </c>
      <c r="R12" s="71" t="s">
        <v>167</v>
      </c>
      <c r="S12" s="75">
        <v>5300</v>
      </c>
      <c r="T12" s="71" t="s">
        <v>165</v>
      </c>
      <c r="U12" s="75">
        <v>-6840</v>
      </c>
      <c r="V12" s="71" t="s">
        <v>171</v>
      </c>
      <c r="W12" s="74">
        <v>0.2857142857142857</v>
      </c>
      <c r="X12" s="71" t="s">
        <v>165</v>
      </c>
      <c r="Y12" s="74">
        <v>0.1111111111111111</v>
      </c>
      <c r="Z12" s="71" t="s">
        <v>165</v>
      </c>
      <c r="AA12" s="74">
        <v>0.4</v>
      </c>
      <c r="AB12" s="71" t="s">
        <v>171</v>
      </c>
      <c r="AC12" s="74">
        <v>0</v>
      </c>
      <c r="AD12" s="71" t="s">
        <v>168</v>
      </c>
      <c r="AE12" s="74">
        <v>0</v>
      </c>
      <c r="AF12" s="71" t="s">
        <v>168</v>
      </c>
      <c r="AG12" s="78">
        <v>31900</v>
      </c>
    </row>
    <row r="13" spans="1:33">
      <c r="A13" s="68">
        <v>11</v>
      </c>
      <c r="B13" s="69" t="s">
        <v>185</v>
      </c>
      <c r="C13" s="70">
        <v>-52.6</v>
      </c>
      <c r="D13" s="71" t="s">
        <v>167</v>
      </c>
      <c r="E13" s="83">
        <v>-25.1</v>
      </c>
      <c r="F13" s="71" t="s">
        <v>167</v>
      </c>
      <c r="G13" s="72">
        <v>3</v>
      </c>
      <c r="H13" s="71" t="s">
        <v>171</v>
      </c>
      <c r="I13" s="73">
        <v>0</v>
      </c>
      <c r="J13" s="71" t="s">
        <v>170</v>
      </c>
      <c r="K13" s="73">
        <v>0.5</v>
      </c>
      <c r="L13" s="71" t="s">
        <v>173</v>
      </c>
      <c r="M13" s="73">
        <v>0.33333333333333331</v>
      </c>
      <c r="N13" s="71" t="s">
        <v>168</v>
      </c>
      <c r="O13" s="74">
        <v>0.1111111111111111</v>
      </c>
      <c r="P13" s="71" t="s">
        <v>173</v>
      </c>
      <c r="Q13" s="74">
        <v>0.15384615384615385</v>
      </c>
      <c r="R13" s="71" t="s">
        <v>184</v>
      </c>
      <c r="S13" s="75">
        <v>4550</v>
      </c>
      <c r="T13" s="71" t="s">
        <v>167</v>
      </c>
      <c r="U13" s="75">
        <v>-12000</v>
      </c>
      <c r="V13" s="71" t="s">
        <v>184</v>
      </c>
      <c r="W13" s="74">
        <v>0.2857142857142857</v>
      </c>
      <c r="X13" s="71" t="s">
        <v>166</v>
      </c>
      <c r="Y13" s="74">
        <v>0.05</v>
      </c>
      <c r="Z13" s="71" t="s">
        <v>173</v>
      </c>
      <c r="AA13" s="74">
        <v>0.4</v>
      </c>
      <c r="AB13" s="71" t="s">
        <v>180</v>
      </c>
      <c r="AC13" s="74">
        <v>0</v>
      </c>
      <c r="AD13" s="71" t="s">
        <v>167</v>
      </c>
      <c r="AE13" s="74">
        <v>0</v>
      </c>
      <c r="AF13" s="71" t="s">
        <v>170</v>
      </c>
      <c r="AG13" s="78">
        <v>23700</v>
      </c>
    </row>
    <row r="14" spans="1:33">
      <c r="A14" s="68">
        <v>12</v>
      </c>
      <c r="B14" s="69" t="s">
        <v>168</v>
      </c>
      <c r="C14" s="70">
        <v>-53.2</v>
      </c>
      <c r="D14" s="71" t="s">
        <v>170</v>
      </c>
      <c r="E14" s="83">
        <v>-28.599999999999998</v>
      </c>
      <c r="F14" s="71" t="s">
        <v>170</v>
      </c>
      <c r="G14" s="72">
        <v>3</v>
      </c>
      <c r="H14" s="71" t="s">
        <v>180</v>
      </c>
      <c r="I14" s="73">
        <v>0</v>
      </c>
      <c r="J14" s="71" t="s">
        <v>182</v>
      </c>
      <c r="K14" s="73">
        <v>0.5</v>
      </c>
      <c r="L14" s="71" t="s">
        <v>167</v>
      </c>
      <c r="M14" s="73">
        <v>0</v>
      </c>
      <c r="N14" s="71" t="s">
        <v>173</v>
      </c>
      <c r="O14" s="74">
        <v>7.6923076923076927E-2</v>
      </c>
      <c r="P14" s="71" t="s">
        <v>165</v>
      </c>
      <c r="Q14" s="74">
        <v>0.18518518518518517</v>
      </c>
      <c r="R14" s="71" t="s">
        <v>170</v>
      </c>
      <c r="S14" s="75">
        <v>2166.6666666666665</v>
      </c>
      <c r="T14" s="71" t="s">
        <v>172</v>
      </c>
      <c r="U14" s="75">
        <v>-12000</v>
      </c>
      <c r="V14" s="71" t="s">
        <v>167</v>
      </c>
      <c r="W14" s="74">
        <v>0.4</v>
      </c>
      <c r="X14" s="71" t="s">
        <v>180</v>
      </c>
      <c r="Y14" s="74">
        <v>0</v>
      </c>
      <c r="Z14" s="71" t="s">
        <v>168</v>
      </c>
      <c r="AA14" s="74">
        <v>0.16666666666666666</v>
      </c>
      <c r="AB14" s="71" t="s">
        <v>185</v>
      </c>
      <c r="AC14" s="74">
        <v>0</v>
      </c>
      <c r="AD14" s="71" t="s">
        <v>173</v>
      </c>
      <c r="AE14" s="74">
        <v>0</v>
      </c>
      <c r="AF14" s="71" t="s">
        <v>167</v>
      </c>
      <c r="AG14" s="78">
        <v>14900</v>
      </c>
    </row>
    <row r="15" spans="1:33">
      <c r="A15" s="68">
        <v>13</v>
      </c>
      <c r="B15" s="69" t="s">
        <v>170</v>
      </c>
      <c r="C15" s="70">
        <v>-57.199999999999996</v>
      </c>
      <c r="D15" s="71" t="s">
        <v>185</v>
      </c>
      <c r="E15" s="83">
        <v>-52.6</v>
      </c>
      <c r="F15" s="71" t="s">
        <v>185</v>
      </c>
      <c r="G15" s="72">
        <v>4</v>
      </c>
      <c r="H15" s="71" t="s">
        <v>185</v>
      </c>
      <c r="I15" s="73">
        <v>0</v>
      </c>
      <c r="J15" s="71" t="s">
        <v>185</v>
      </c>
      <c r="K15" s="73">
        <v>1</v>
      </c>
      <c r="L15" s="71" t="s">
        <v>185</v>
      </c>
      <c r="M15" s="73">
        <v>0</v>
      </c>
      <c r="N15" s="71" t="s">
        <v>185</v>
      </c>
      <c r="O15" s="74">
        <v>0</v>
      </c>
      <c r="P15" s="71" t="s">
        <v>185</v>
      </c>
      <c r="Q15" s="74">
        <v>0.2857142857142857</v>
      </c>
      <c r="R15" s="71" t="s">
        <v>185</v>
      </c>
      <c r="S15" s="75">
        <v>0</v>
      </c>
      <c r="T15" s="71" t="s">
        <v>170</v>
      </c>
      <c r="U15" s="75">
        <v>-18000</v>
      </c>
      <c r="V15" s="71" t="s">
        <v>166</v>
      </c>
      <c r="W15" s="74">
        <v>0.45</v>
      </c>
      <c r="X15" s="71" t="s">
        <v>184</v>
      </c>
      <c r="Y15" s="74">
        <v>0</v>
      </c>
      <c r="Z15" s="71" t="s">
        <v>185</v>
      </c>
      <c r="AA15" s="74">
        <v>0</v>
      </c>
      <c r="AB15" s="71" t="s">
        <v>184</v>
      </c>
      <c r="AC15" s="74">
        <v>0</v>
      </c>
      <c r="AD15" s="71" t="s">
        <v>185</v>
      </c>
      <c r="AE15" s="74">
        <v>0</v>
      </c>
      <c r="AF15" s="71" t="s">
        <v>185</v>
      </c>
      <c r="AG15" s="78">
        <v>7400</v>
      </c>
    </row>
  </sheetData>
  <sortState xmlns:xlrd2="http://schemas.microsoft.com/office/spreadsheetml/2017/richdata2" ref="AF3:AG44">
    <sortCondition descending="1" ref="AG1"/>
  </sortState>
  <mergeCells count="32"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  <mergeCell ref="B2:C2"/>
    <mergeCell ref="D2:E2"/>
    <mergeCell ref="F2:G2"/>
    <mergeCell ref="H2:I2"/>
    <mergeCell ref="N2:O2"/>
    <mergeCell ref="J2:K2"/>
    <mergeCell ref="L2:M2"/>
    <mergeCell ref="Z1:AA1"/>
    <mergeCell ref="AB1:AC1"/>
    <mergeCell ref="B1:C1"/>
    <mergeCell ref="D1:E1"/>
    <mergeCell ref="F1:G1"/>
    <mergeCell ref="H1:I1"/>
    <mergeCell ref="N1:O1"/>
    <mergeCell ref="J1:K1"/>
    <mergeCell ref="L1:M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C480-C0DB-4D32-9920-4FCCC2AFBFEA}">
  <sheetPr codeName="Sheet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118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24</v>
      </c>
      <c r="C2" s="149"/>
      <c r="E2" s="54" t="s">
        <v>186</v>
      </c>
      <c r="F2" s="51" t="s">
        <v>160</v>
      </c>
      <c r="G2" s="39">
        <v>26</v>
      </c>
      <c r="H2" s="117">
        <f>IF(B$17=0,0,G2/B$17)</f>
        <v>0.63414634146341464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-83.333333333333329</v>
      </c>
      <c r="P2" s="103">
        <v>24</v>
      </c>
      <c r="Q2" s="87">
        <v>-2000</v>
      </c>
    </row>
    <row r="3" spans="1:17">
      <c r="A3" s="47" t="s">
        <v>8</v>
      </c>
      <c r="B3" s="150">
        <v>204</v>
      </c>
      <c r="C3" s="151"/>
      <c r="E3" s="55" t="s">
        <v>55</v>
      </c>
      <c r="F3" s="52" t="s">
        <v>20</v>
      </c>
      <c r="G3" s="40">
        <v>25</v>
      </c>
      <c r="H3" s="118">
        <f>IF(B$17=0,0,G3/B$17)</f>
        <v>0.6097560975609756</v>
      </c>
      <c r="I3" s="80">
        <v>5</v>
      </c>
      <c r="K3" s="32">
        <v>1</v>
      </c>
      <c r="L3" s="85">
        <v>11.9</v>
      </c>
      <c r="N3" s="100" t="s">
        <v>108</v>
      </c>
      <c r="O3" s="107">
        <f t="shared" si="0"/>
        <v>41.666666666666664</v>
      </c>
      <c r="P3" s="104">
        <v>24</v>
      </c>
      <c r="Q3" s="88">
        <v>1000</v>
      </c>
    </row>
    <row r="4" spans="1:17">
      <c r="A4" s="47" t="s">
        <v>6</v>
      </c>
      <c r="B4" s="152">
        <v>1.0658141036401503E-14</v>
      </c>
      <c r="C4" s="153"/>
      <c r="E4" s="55" t="s">
        <v>56</v>
      </c>
      <c r="F4" s="52" t="s">
        <v>159</v>
      </c>
      <c r="G4" s="40">
        <v>18</v>
      </c>
      <c r="H4" s="118">
        <f>IF(B$17=0,0,G4/B$17)</f>
        <v>0.43902439024390244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-41.666666666666664</v>
      </c>
      <c r="P4" s="104">
        <v>24</v>
      </c>
      <c r="Q4" s="88">
        <v>-1000</v>
      </c>
    </row>
    <row r="5" spans="1:17">
      <c r="A5" s="47" t="s">
        <v>7</v>
      </c>
      <c r="B5" s="154">
        <f>IF(B$2=0,0,B$4/B$2)</f>
        <v>4.4408920985006262E-16</v>
      </c>
      <c r="C5" s="155"/>
      <c r="E5" s="55" t="s">
        <v>189</v>
      </c>
      <c r="F5" s="52" t="s">
        <v>195</v>
      </c>
      <c r="G5" s="40">
        <v>16</v>
      </c>
      <c r="H5" s="118">
        <f>IF(B$17=0,0,G5/B$17)</f>
        <v>0.3902439024390244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83.333333333333329</v>
      </c>
      <c r="P5" s="104">
        <v>24</v>
      </c>
      <c r="Q5" s="88">
        <v>2000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13</v>
      </c>
      <c r="H6" s="118">
        <f>IF(B$17=0,0,G6/B$17)</f>
        <v>0.31707317073170732</v>
      </c>
      <c r="I6" s="80">
        <v>6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0</v>
      </c>
      <c r="P6" s="104">
        <v>20</v>
      </c>
      <c r="Q6" s="88">
        <v>0</v>
      </c>
    </row>
    <row r="7" spans="1:17">
      <c r="A7" s="47" t="s">
        <v>2</v>
      </c>
      <c r="B7" s="40">
        <v>6</v>
      </c>
      <c r="C7" s="33">
        <f t="shared" ref="C7:C12" si="2">IF(B$2=0,0,B7/B$2)</f>
        <v>0.25</v>
      </c>
      <c r="E7" s="55" t="s">
        <v>58</v>
      </c>
      <c r="F7" s="52" t="s">
        <v>21</v>
      </c>
      <c r="G7" s="40">
        <v>12</v>
      </c>
      <c r="H7" s="118">
        <f>IF(B$17=0,0,G7/B$17)</f>
        <v>0.29268292682926828</v>
      </c>
      <c r="I7" s="80">
        <v>7</v>
      </c>
      <c r="K7" s="32">
        <v>5</v>
      </c>
      <c r="L7" s="85">
        <v>-14.199999999999992</v>
      </c>
      <c r="N7" s="100" t="s">
        <v>111</v>
      </c>
      <c r="O7" s="107">
        <f t="shared" si="0"/>
        <v>0</v>
      </c>
      <c r="P7" s="104">
        <v>20</v>
      </c>
      <c r="Q7" s="88">
        <v>0</v>
      </c>
    </row>
    <row r="8" spans="1:17">
      <c r="A8" s="47" t="s">
        <v>3</v>
      </c>
      <c r="B8" s="40">
        <v>6</v>
      </c>
      <c r="C8" s="33">
        <f>IF(B$2=0,0,B8/B$2)</f>
        <v>0.25</v>
      </c>
      <c r="E8" s="55" t="s">
        <v>61</v>
      </c>
      <c r="F8" s="52" t="s">
        <v>24</v>
      </c>
      <c r="G8" s="40">
        <v>12</v>
      </c>
      <c r="H8" s="118">
        <f>IF(B$17=0,0,G8/B$17)</f>
        <v>0.29268292682926828</v>
      </c>
      <c r="I8" s="80">
        <v>5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12</v>
      </c>
      <c r="Q8" s="88">
        <v>0</v>
      </c>
    </row>
    <row r="9" spans="1:17">
      <c r="A9" s="48" t="s">
        <v>4</v>
      </c>
      <c r="B9" s="41">
        <v>6</v>
      </c>
      <c r="C9" s="34">
        <f>IF(B$2=0,0,B9/B$2)</f>
        <v>0.25</v>
      </c>
      <c r="E9" s="55" t="s">
        <v>187</v>
      </c>
      <c r="F9" s="52" t="s">
        <v>19</v>
      </c>
      <c r="G9" s="40">
        <v>8</v>
      </c>
      <c r="H9" s="118">
        <f>IF(B$17=0,0,G9/B$17)</f>
        <v>0.1951219512195122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8</v>
      </c>
      <c r="Q9" s="89">
        <v>0</v>
      </c>
    </row>
    <row r="10" spans="1:17">
      <c r="A10" s="48" t="s">
        <v>156</v>
      </c>
      <c r="B10" s="41">
        <v>6</v>
      </c>
      <c r="C10" s="34">
        <f>IF(B$2=0,0,B10/B$2)</f>
        <v>0.25</v>
      </c>
      <c r="E10" s="55" t="s">
        <v>60</v>
      </c>
      <c r="F10" s="52" t="s">
        <v>23</v>
      </c>
      <c r="G10" s="40">
        <v>5</v>
      </c>
      <c r="H10" s="118">
        <f>IF(B$17=0,0,G10/B$17)</f>
        <v>0.12195121951219512</v>
      </c>
      <c r="I10" s="80">
        <v>5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12</v>
      </c>
      <c r="C11" s="34">
        <f>IF(B$2=0,0,B11/B$2)</f>
        <v>0.5</v>
      </c>
      <c r="E11" s="55" t="s">
        <v>59</v>
      </c>
      <c r="F11" s="52" t="s">
        <v>22</v>
      </c>
      <c r="G11" s="40">
        <v>2</v>
      </c>
      <c r="H11" s="118">
        <f>IF(B$17=0,0,G11/B$17)</f>
        <v>4.878048780487805E-2</v>
      </c>
      <c r="I11" s="80">
        <v>3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3</v>
      </c>
      <c r="C12" s="36">
        <f t="shared" si="2"/>
        <v>0.125</v>
      </c>
      <c r="E12" s="55" t="s">
        <v>68</v>
      </c>
      <c r="F12" s="52" t="s">
        <v>31</v>
      </c>
      <c r="G12" s="40">
        <v>1</v>
      </c>
      <c r="H12" s="118">
        <f>IF(B$17=0,0,G12/B$17)</f>
        <v>2.4390243902439025E-2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-12.9</v>
      </c>
      <c r="P12" s="103">
        <v>6</v>
      </c>
      <c r="Q12" s="91">
        <v>-77.400000000000006</v>
      </c>
    </row>
    <row r="13" spans="1:17">
      <c r="A13" s="50" t="s">
        <v>101</v>
      </c>
      <c r="B13" s="43">
        <v>50</v>
      </c>
      <c r="C13" s="38">
        <f>IF(B$3=0,0,B13/B$3)</f>
        <v>0.24509803921568626</v>
      </c>
      <c r="E13" s="55" t="s">
        <v>188</v>
      </c>
      <c r="F13" s="52" t="s">
        <v>191</v>
      </c>
      <c r="G13" s="40">
        <v>1</v>
      </c>
      <c r="H13" s="118">
        <f>IF(B$17=0,0,G13/B$17)</f>
        <v>2.4390243902439025E-2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-5.333333333333333</v>
      </c>
      <c r="P13" s="104">
        <v>6</v>
      </c>
      <c r="Q13" s="92">
        <v>-31.999999999999996</v>
      </c>
    </row>
    <row r="14" spans="1:17">
      <c r="A14" s="47" t="s">
        <v>98</v>
      </c>
      <c r="B14" s="40">
        <v>30</v>
      </c>
      <c r="C14" s="33">
        <f>IF(B$3=0,0,B14/B$3)</f>
        <v>0.14705882352941177</v>
      </c>
      <c r="E14" s="55" t="s">
        <v>70</v>
      </c>
      <c r="F14" s="52" t="s">
        <v>33</v>
      </c>
      <c r="G14" s="40">
        <v>1</v>
      </c>
      <c r="H14" s="118">
        <f>IF(B$17=0,0,G14/B$17)</f>
        <v>2.4390243902439025E-2</v>
      </c>
      <c r="I14" s="80">
        <v>2</v>
      </c>
      <c r="K14" s="32">
        <v>12</v>
      </c>
      <c r="L14" s="85">
        <v>7.1054273576010019E-15</v>
      </c>
      <c r="N14" s="100" t="s">
        <v>132</v>
      </c>
      <c r="O14" s="110">
        <f>IF(P14=0,0,Q14/P14)</f>
        <v>14.6</v>
      </c>
      <c r="P14" s="104">
        <v>6</v>
      </c>
      <c r="Q14" s="92">
        <v>87.6</v>
      </c>
    </row>
    <row r="15" spans="1:17">
      <c r="A15" s="46" t="s">
        <v>103</v>
      </c>
      <c r="B15" s="39">
        <f>B21</f>
        <v>27</v>
      </c>
      <c r="C15" s="31">
        <f>IF(B$13=0,0,B15/B$13)</f>
        <v>0.54</v>
      </c>
      <c r="E15" s="55" t="s">
        <v>72</v>
      </c>
      <c r="F15" s="52" t="s">
        <v>35</v>
      </c>
      <c r="G15" s="40">
        <v>1</v>
      </c>
      <c r="H15" s="118">
        <f>IF(B$17=0,0,G15/B$17)</f>
        <v>2.4390243902439025E-2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3.6333333333333329</v>
      </c>
      <c r="P15" s="105">
        <v>6</v>
      </c>
      <c r="Q15" s="93">
        <v>21.799999999999997</v>
      </c>
    </row>
    <row r="16" spans="1:17">
      <c r="A16" s="46" t="s">
        <v>104</v>
      </c>
      <c r="B16" s="39">
        <f>B22</f>
        <v>7</v>
      </c>
      <c r="C16" s="31">
        <f>IF(B$14=0,0,B16/B$14)</f>
        <v>0.23333333333333334</v>
      </c>
      <c r="E16" s="55" t="s">
        <v>75</v>
      </c>
      <c r="F16" s="52" t="s">
        <v>38</v>
      </c>
      <c r="G16" s="40">
        <v>1</v>
      </c>
      <c r="H16" s="118">
        <f>IF(B$17=0,0,G16/B$17)</f>
        <v>2.4390243902439025E-2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41</v>
      </c>
      <c r="C17" s="31">
        <f>IF(B$3=0,0,B17/B$3)</f>
        <v>0.20098039215686275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24</v>
      </c>
      <c r="C18" s="33">
        <f>IF(B$3=0,0,B18/B$3)</f>
        <v>0.11764705882352941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17</v>
      </c>
      <c r="C19" s="33">
        <f>IF(B$17=0,0,B19/B$17)</f>
        <v>0.41463414634146339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170</v>
      </c>
      <c r="O19" s="110">
        <f>IF(P19=0,0,Q19/P19)</f>
        <v>38.133333333333333</v>
      </c>
      <c r="P19" s="104">
        <v>6</v>
      </c>
      <c r="Q19" s="92">
        <v>228.8</v>
      </c>
    </row>
    <row r="20" spans="1:17">
      <c r="A20" s="47" t="s">
        <v>11</v>
      </c>
      <c r="B20" s="40">
        <v>24</v>
      </c>
      <c r="C20" s="33">
        <f>IF(B$17=0,0,B20/B$17)</f>
        <v>0.58536585365853655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167</v>
      </c>
      <c r="O20" s="110">
        <f>IF(P20=0,0,Q20/P20)</f>
        <v>33.466666666666669</v>
      </c>
      <c r="P20" s="104">
        <v>3</v>
      </c>
      <c r="Q20" s="92">
        <v>100.4</v>
      </c>
    </row>
    <row r="21" spans="1:17">
      <c r="A21" s="47" t="s">
        <v>155</v>
      </c>
      <c r="B21" s="40">
        <v>27</v>
      </c>
      <c r="C21" s="33">
        <f>IF(B$17=0,0,B21/B$17)</f>
        <v>0.65853658536585369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168</v>
      </c>
      <c r="O21" s="110">
        <f>IF(P21=0,0,Q21/P21)</f>
        <v>23.644444444444446</v>
      </c>
      <c r="P21" s="104">
        <v>9</v>
      </c>
      <c r="Q21" s="92">
        <v>212.8</v>
      </c>
    </row>
    <row r="22" spans="1:17">
      <c r="A22" s="47" t="s">
        <v>153</v>
      </c>
      <c r="B22" s="40">
        <v>7</v>
      </c>
      <c r="C22" s="33">
        <f>IF(B$17=0,0,B22/B$17)</f>
        <v>0.17073170731707318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173</v>
      </c>
      <c r="O22" s="110">
        <f>IF(P22=0,0,Q22/P22)</f>
        <v>14.355555555555554</v>
      </c>
      <c r="P22" s="104">
        <v>9</v>
      </c>
      <c r="Q22" s="92">
        <v>129.19999999999999</v>
      </c>
    </row>
    <row r="23" spans="1:17">
      <c r="A23" s="47" t="s">
        <v>154</v>
      </c>
      <c r="B23" s="40">
        <v>7</v>
      </c>
      <c r="C23" s="33">
        <f>IF(B$17=0,0,B23/B$17)</f>
        <v>0.17073170731707318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165</v>
      </c>
      <c r="O23" s="110">
        <f>IF(P23=0,0,Q23/P23)</f>
        <v>3.3333333333333335</v>
      </c>
      <c r="P23" s="104">
        <v>9</v>
      </c>
      <c r="Q23" s="92">
        <v>30</v>
      </c>
    </row>
    <row r="24" spans="1:17">
      <c r="A24" s="47" t="s">
        <v>5</v>
      </c>
      <c r="B24" s="44">
        <f>IF(B$17=0,0,C24/B$17)</f>
        <v>6763.4146341463411</v>
      </c>
      <c r="C24" s="35">
        <v>277300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180</v>
      </c>
      <c r="O24" s="110">
        <f>IF(P24=0,0,Q24/P24)</f>
        <v>1.4666666666666668</v>
      </c>
      <c r="P24" s="104">
        <v>6</v>
      </c>
      <c r="Q24" s="92">
        <v>8.8000000000000007</v>
      </c>
    </row>
    <row r="25" spans="1:17">
      <c r="A25" s="48" t="s">
        <v>137</v>
      </c>
      <c r="B25" s="121">
        <f>IF($B$17-B$16=0,0,C25/($B$17-B$16))</f>
        <v>7579.411764705882</v>
      </c>
      <c r="C25" s="122">
        <v>257700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2800</v>
      </c>
      <c r="C26" s="122">
        <v>19600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166</v>
      </c>
      <c r="O26" s="110">
        <f>IF(P26=0,0,Q26/P26)</f>
        <v>-17.399999999999999</v>
      </c>
      <c r="P26" s="104">
        <v>6</v>
      </c>
      <c r="Q26" s="92">
        <v>-104.39999999999999</v>
      </c>
    </row>
    <row r="27" spans="1:17">
      <c r="A27" s="48" t="s">
        <v>136</v>
      </c>
      <c r="B27" s="121">
        <f>IF(B$18=0,0,C27/B$18)</f>
        <v>-6758.333333333333</v>
      </c>
      <c r="C27" s="122">
        <v>-162200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171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N28" s="100" t="s">
        <v>172</v>
      </c>
      <c r="O28" s="110">
        <f>IF(P28=0,0,Q28/P28)</f>
        <v>-58.177777777777791</v>
      </c>
      <c r="P28" s="104">
        <v>9</v>
      </c>
      <c r="Q28" s="92">
        <v>-523.60000000000014</v>
      </c>
    </row>
    <row r="29" spans="1:17">
      <c r="A29" s="47" t="s">
        <v>135</v>
      </c>
      <c r="B29" s="40">
        <v>26</v>
      </c>
      <c r="C29" s="120">
        <v>10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N29" s="100" t="s">
        <v>184</v>
      </c>
      <c r="O29" s="110">
        <f>IF(P29=0,0,Q29/P29)</f>
        <v>-73.600000000000009</v>
      </c>
      <c r="P29" s="104">
        <v>3</v>
      </c>
      <c r="Q29" s="92">
        <v>-220.8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7</v>
      </c>
      <c r="C35" s="126">
        <f t="shared" ref="C35:C47" si="3">IF(B$17=0,0,B35/B$17)</f>
        <v>0.17073170731707318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5</v>
      </c>
      <c r="C36" s="33">
        <f t="shared" si="3"/>
        <v>0.12195121951219512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9</v>
      </c>
      <c r="C37" s="33">
        <f t="shared" si="3"/>
        <v>0.21951219512195122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7</v>
      </c>
      <c r="C38" s="33">
        <f t="shared" si="3"/>
        <v>0.17073170731707318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4</v>
      </c>
      <c r="C39" s="33">
        <f t="shared" si="3"/>
        <v>9.7560975609756101E-2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8</v>
      </c>
      <c r="C40" s="33">
        <f t="shared" si="3"/>
        <v>0.1951219512195122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2.4390243902439025E-2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52FFD-9C9C-479B-80C3-381D3EC57F4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20</v>
      </c>
      <c r="G2" s="39">
        <v>3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3</v>
      </c>
      <c r="Q2" s="87">
        <v>0</v>
      </c>
    </row>
    <row r="3" spans="1:17">
      <c r="A3" s="47" t="s">
        <v>8</v>
      </c>
      <c r="B3" s="150">
        <v>27</v>
      </c>
      <c r="C3" s="151"/>
      <c r="E3" s="55" t="s">
        <v>61</v>
      </c>
      <c r="F3" s="52" t="s">
        <v>24</v>
      </c>
      <c r="G3" s="40">
        <v>2</v>
      </c>
      <c r="H3" s="118">
        <f>IF(B$17=0,0,G3/B$17)</f>
        <v>0.66666666666666663</v>
      </c>
      <c r="I3" s="80">
        <v>2</v>
      </c>
      <c r="K3" s="32">
        <v>1</v>
      </c>
      <c r="L3" s="85">
        <v>11.9</v>
      </c>
      <c r="N3" s="100" t="s">
        <v>108</v>
      </c>
      <c r="O3" s="107">
        <f t="shared" si="0"/>
        <v>700</v>
      </c>
      <c r="P3" s="104">
        <v>3</v>
      </c>
      <c r="Q3" s="88">
        <v>2100</v>
      </c>
    </row>
    <row r="4" spans="1:17">
      <c r="A4" s="47" t="s">
        <v>6</v>
      </c>
      <c r="B4" s="152">
        <v>-53.2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-40.200000000000003</v>
      </c>
      <c r="N4" s="100" t="s">
        <v>109</v>
      </c>
      <c r="O4" s="107">
        <f t="shared" si="0"/>
        <v>-1300</v>
      </c>
      <c r="P4" s="104">
        <v>3</v>
      </c>
      <c r="Q4" s="88">
        <v>-3900</v>
      </c>
    </row>
    <row r="5" spans="1:17">
      <c r="A5" s="47" t="s">
        <v>7</v>
      </c>
      <c r="B5" s="154">
        <f>IF(B$2=0,0,B$4/B$2)</f>
        <v>-17.733333333333334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K5" s="32">
        <v>3</v>
      </c>
      <c r="L5" s="85">
        <v>-53.2</v>
      </c>
      <c r="N5" s="100" t="s">
        <v>161</v>
      </c>
      <c r="O5" s="107">
        <f>IF(P5=0,0,Q5/P5)</f>
        <v>-800</v>
      </c>
      <c r="P5" s="104">
        <v>3</v>
      </c>
      <c r="Q5" s="88">
        <v>-2400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0.33333333333333331</v>
      </c>
      <c r="I6" s="80">
        <v>5</v>
      </c>
      <c r="N6" s="100" t="s">
        <v>110</v>
      </c>
      <c r="O6" s="107">
        <f t="shared" ref="O6" si="1">IF(P6=0,0,Q6/P6)</f>
        <v>1833.3333333333333</v>
      </c>
      <c r="P6" s="104">
        <v>3</v>
      </c>
      <c r="Q6" s="88">
        <v>5500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68</v>
      </c>
      <c r="F7" s="52" t="s">
        <v>31</v>
      </c>
      <c r="G7" s="40">
        <v>1</v>
      </c>
      <c r="H7" s="118">
        <f>IF(B$17=0,0,G7/B$17)</f>
        <v>0.33333333333333331</v>
      </c>
      <c r="I7" s="80">
        <v>1</v>
      </c>
      <c r="N7" s="100" t="s">
        <v>111</v>
      </c>
      <c r="O7" s="107">
        <f t="shared" si="0"/>
        <v>-1166.6666666666667</v>
      </c>
      <c r="P7" s="104">
        <v>3</v>
      </c>
      <c r="Q7" s="88">
        <v>-3500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72</v>
      </c>
      <c r="F8" s="52" t="s">
        <v>35</v>
      </c>
      <c r="G8" s="40">
        <v>1</v>
      </c>
      <c r="H8" s="118">
        <f>IF(B$17=0,0,G8/B$17)</f>
        <v>0.33333333333333331</v>
      </c>
      <c r="I8" s="80">
        <v>1</v>
      </c>
      <c r="N8" s="100" t="s">
        <v>112</v>
      </c>
      <c r="O8" s="107">
        <f t="shared" si="0"/>
        <v>-2500</v>
      </c>
      <c r="P8" s="104">
        <v>2</v>
      </c>
      <c r="Q8" s="88">
        <v>-5000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187</v>
      </c>
      <c r="F9" s="52" t="s">
        <v>19</v>
      </c>
      <c r="G9" s="40">
        <v>0</v>
      </c>
      <c r="H9" s="118">
        <f>IF(B$17=0,0,G9/B$17)</f>
        <v>0</v>
      </c>
      <c r="I9" s="80">
        <v>8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57</v>
      </c>
      <c r="F10" s="52" t="s">
        <v>190</v>
      </c>
      <c r="G10" s="40">
        <v>0</v>
      </c>
      <c r="H10" s="118">
        <f>IF(B$17=0,0,G10/B$17)</f>
        <v>0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6</v>
      </c>
      <c r="C13" s="38">
        <f>IF(B$3=0,0,B13/B$3)</f>
        <v>0.22222222222222221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0.16666666666666666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0.1111111111111111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7.407407407407407E-2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>IF(P19=0,0,Q19/P19)</f>
        <v>37</v>
      </c>
      <c r="P19" s="104">
        <v>1</v>
      </c>
      <c r="Q19" s="92">
        <v>37</v>
      </c>
    </row>
    <row r="20" spans="1:17">
      <c r="A20" s="47" t="s">
        <v>11</v>
      </c>
      <c r="B20" s="40">
        <v>3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-15.233333333333334</v>
      </c>
      <c r="P20" s="104">
        <v>3</v>
      </c>
      <c r="Q20" s="92">
        <v>-45.7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173</v>
      </c>
      <c r="O21" s="110">
        <f>IF(P21=0,0,Q21/P21)</f>
        <v>-27.8</v>
      </c>
      <c r="P21" s="104">
        <v>1</v>
      </c>
      <c r="Q21" s="92">
        <v>-27.8</v>
      </c>
    </row>
    <row r="22" spans="1:17">
      <c r="A22" s="47" t="s">
        <v>153</v>
      </c>
      <c r="B22" s="40">
        <v>1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180</v>
      </c>
      <c r="O22" s="110">
        <f>IF(P22=0,0,Q22/P22)</f>
        <v>-65.7</v>
      </c>
      <c r="P22" s="104">
        <v>1</v>
      </c>
      <c r="Q22" s="92">
        <v>-65.7</v>
      </c>
    </row>
    <row r="23" spans="1:17">
      <c r="A23" s="47" t="s">
        <v>154</v>
      </c>
      <c r="B23" s="40">
        <v>1</v>
      </c>
      <c r="C23" s="33">
        <f>IF(B$17=0,0,B23/B$17)</f>
        <v>0.33333333333333331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  <c r="N23" s="100" t="s">
        <v>182</v>
      </c>
      <c r="O23" s="110">
        <f>IF(P23=0,0,Q23/P23)</f>
        <v>-75.5</v>
      </c>
      <c r="P23" s="104">
        <v>1</v>
      </c>
      <c r="Q23" s="92">
        <v>-75.5</v>
      </c>
    </row>
    <row r="24" spans="1:17">
      <c r="A24" s="47" t="s">
        <v>5</v>
      </c>
      <c r="B24" s="44">
        <f>IF(B$17=0,0,C24/B$17)</f>
        <v>7033.333333333333</v>
      </c>
      <c r="C24" s="35">
        <v>21100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>IF(P24=0,0,Q24/P24)</f>
        <v>-108.7</v>
      </c>
      <c r="P24" s="104">
        <v>1</v>
      </c>
      <c r="Q24" s="92">
        <v>-108.7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12000</v>
      </c>
      <c r="C26" s="122">
        <v>12000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-5300</v>
      </c>
      <c r="C27" s="122">
        <v>-10600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5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31900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0.66666666666666663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E72B9-0D75-4F27-84F0-71484D99CDA3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189</v>
      </c>
      <c r="F2" s="51" t="s">
        <v>195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-2766.6666666666665</v>
      </c>
      <c r="P2" s="103">
        <v>3</v>
      </c>
      <c r="Q2" s="87">
        <v>-8300</v>
      </c>
    </row>
    <row r="3" spans="1:17">
      <c r="A3" s="47" t="s">
        <v>8</v>
      </c>
      <c r="B3" s="150">
        <v>27</v>
      </c>
      <c r="C3" s="151"/>
      <c r="E3" s="55" t="s">
        <v>56</v>
      </c>
      <c r="F3" s="52" t="s">
        <v>159</v>
      </c>
      <c r="G3" s="40">
        <v>3</v>
      </c>
      <c r="H3" s="118">
        <f>IF(B$17=0,0,G3/B$17)</f>
        <v>0.75</v>
      </c>
      <c r="I3" s="80">
        <v>4</v>
      </c>
      <c r="K3" s="32">
        <v>1</v>
      </c>
      <c r="L3" s="85">
        <v>74.900000000000006</v>
      </c>
      <c r="N3" s="100" t="s">
        <v>108</v>
      </c>
      <c r="O3" s="107">
        <f t="shared" si="0"/>
        <v>7933.333333333333</v>
      </c>
      <c r="P3" s="104">
        <v>3</v>
      </c>
      <c r="Q3" s="88">
        <v>23800</v>
      </c>
    </row>
    <row r="4" spans="1:17">
      <c r="A4" s="47" t="s">
        <v>6</v>
      </c>
      <c r="B4" s="152">
        <v>-7.4999999999999929</v>
      </c>
      <c r="C4" s="153"/>
      <c r="E4" s="55" t="s">
        <v>186</v>
      </c>
      <c r="F4" s="52" t="s">
        <v>160</v>
      </c>
      <c r="G4" s="40">
        <v>2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-500</v>
      </c>
      <c r="P4" s="104">
        <v>3</v>
      </c>
      <c r="Q4" s="88">
        <v>-1500</v>
      </c>
    </row>
    <row r="5" spans="1:17">
      <c r="A5" s="47" t="s">
        <v>7</v>
      </c>
      <c r="B5" s="154">
        <f>IF(B$2=0,0,B$4/B$2)</f>
        <v>-2.4999999999999978</v>
      </c>
      <c r="C5" s="155"/>
      <c r="E5" s="55" t="s">
        <v>55</v>
      </c>
      <c r="F5" s="52" t="s">
        <v>20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-7.4999999999999929</v>
      </c>
      <c r="N5" s="100" t="s">
        <v>161</v>
      </c>
      <c r="O5" s="107">
        <f>IF(P5=0,0,Q5/P5)</f>
        <v>-866.66666666666663</v>
      </c>
      <c r="P5" s="104">
        <v>3</v>
      </c>
      <c r="Q5" s="88">
        <v>-2600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-2166.6666666666665</v>
      </c>
      <c r="P6" s="104">
        <v>3</v>
      </c>
      <c r="Q6" s="88">
        <v>-6500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0.25</v>
      </c>
      <c r="I7" s="80">
        <v>7</v>
      </c>
      <c r="N7" s="100" t="s">
        <v>111</v>
      </c>
      <c r="O7" s="107">
        <f t="shared" si="0"/>
        <v>-1433.3333333333333</v>
      </c>
      <c r="P7" s="104">
        <v>3</v>
      </c>
      <c r="Q7" s="88">
        <v>-4300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-4000</v>
      </c>
      <c r="P8" s="104">
        <v>2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60</v>
      </c>
      <c r="F9" s="52" t="s">
        <v>23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61</v>
      </c>
      <c r="F10" s="52" t="s">
        <v>24</v>
      </c>
      <c r="G10" s="40">
        <v>1</v>
      </c>
      <c r="H10" s="118">
        <f>IF(B$17=0,0,G10/B$17)</f>
        <v>0.25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0.33333333333333331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5</v>
      </c>
      <c r="C13" s="38">
        <f>IF(B$3=0,0,B13/B$3)</f>
        <v>0.18518518518518517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3</v>
      </c>
      <c r="C14" s="33">
        <f>IF(B$3=0,0,B14/B$3)</f>
        <v>0.1111111111111111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-18.100000000000001</v>
      </c>
      <c r="P15" s="105">
        <v>1</v>
      </c>
      <c r="Q15" s="93">
        <v>-18.100000000000001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0.14814814814814814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0.18518518518518517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167</v>
      </c>
      <c r="O19" s="110">
        <f>IF(P19=0,0,Q19/P19)</f>
        <v>100</v>
      </c>
      <c r="P19" s="104">
        <v>1</v>
      </c>
      <c r="Q19" s="92">
        <v>100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15.233333333333334</v>
      </c>
      <c r="P20" s="104">
        <v>3</v>
      </c>
      <c r="Q20" s="92">
        <v>45.7</v>
      </c>
    </row>
    <row r="21" spans="1:17">
      <c r="A21" s="47" t="s">
        <v>155</v>
      </c>
      <c r="B21" s="40">
        <v>2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180</v>
      </c>
      <c r="O21" s="110">
        <f>IF(P21=0,0,Q21/P21)</f>
        <v>-31.700000000000003</v>
      </c>
      <c r="P21" s="104">
        <v>1</v>
      </c>
      <c r="Q21" s="92">
        <v>-31.700000000000003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>IF(P22=0,0,Q22/P22)</f>
        <v>-74.7</v>
      </c>
      <c r="P22" s="104">
        <v>1</v>
      </c>
      <c r="Q22" s="92">
        <v>-74.7</v>
      </c>
    </row>
    <row r="23" spans="1:17">
      <c r="A23" s="47" t="s">
        <v>154</v>
      </c>
      <c r="B23" s="40">
        <v>2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173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9925</v>
      </c>
      <c r="C24" s="35">
        <v>39700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182</v>
      </c>
      <c r="O24" s="110">
        <f>IF(P24=0,0,Q24/P24)</f>
        <v>-126.8</v>
      </c>
      <c r="P24" s="104">
        <v>1</v>
      </c>
      <c r="Q24" s="92">
        <v>-126.8</v>
      </c>
    </row>
    <row r="25" spans="1:17">
      <c r="A25" s="48" t="s">
        <v>137</v>
      </c>
      <c r="B25" s="121">
        <f>IF($B$17-B$16=0,0,C25/($B$17-B$16))</f>
        <v>9925</v>
      </c>
      <c r="C25" s="122">
        <v>39700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-6840</v>
      </c>
      <c r="C27" s="122">
        <v>-34200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54900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D7C4A-560E-43B5-A38A-8C5F829D055F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166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6</v>
      </c>
      <c r="H2" s="117">
        <f>IF(B$17=0,0,G2/B$17)</f>
        <v>0.8571428571428571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-3350</v>
      </c>
      <c r="P2" s="103">
        <v>2</v>
      </c>
      <c r="Q2" s="87">
        <v>-6700</v>
      </c>
    </row>
    <row r="3" spans="1:17">
      <c r="A3" s="47" t="s">
        <v>8</v>
      </c>
      <c r="B3" s="150">
        <v>20</v>
      </c>
      <c r="C3" s="151"/>
      <c r="E3" s="55" t="s">
        <v>55</v>
      </c>
      <c r="F3" s="52" t="s">
        <v>20</v>
      </c>
      <c r="G3" s="40">
        <v>6</v>
      </c>
      <c r="H3" s="118">
        <f>IF(B$17=0,0,G3/B$17)</f>
        <v>0.8571428571428571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200</v>
      </c>
      <c r="P3" s="104">
        <v>2</v>
      </c>
      <c r="Q3" s="88">
        <v>400</v>
      </c>
    </row>
    <row r="4" spans="1:17">
      <c r="A4" s="47" t="s">
        <v>6</v>
      </c>
      <c r="B4" s="152">
        <v>26.099999999999994</v>
      </c>
      <c r="C4" s="153"/>
      <c r="E4" s="55" t="s">
        <v>57</v>
      </c>
      <c r="F4" s="52" t="s">
        <v>190</v>
      </c>
      <c r="G4" s="40">
        <v>4</v>
      </c>
      <c r="H4" s="118">
        <f>IF(B$17=0,0,G4/B$17)</f>
        <v>0.5714285714285714</v>
      </c>
      <c r="I4" s="80">
        <v>1</v>
      </c>
      <c r="K4" s="32">
        <v>2</v>
      </c>
      <c r="L4" s="85">
        <v>26.099999999999994</v>
      </c>
      <c r="N4" s="100" t="s">
        <v>109</v>
      </c>
      <c r="O4" s="107">
        <f t="shared" si="0"/>
        <v>750</v>
      </c>
      <c r="P4" s="104">
        <v>2</v>
      </c>
      <c r="Q4" s="88">
        <v>1500</v>
      </c>
    </row>
    <row r="5" spans="1:17">
      <c r="A5" s="47" t="s">
        <v>7</v>
      </c>
      <c r="B5" s="154">
        <f>IF(B$2=0,0,B$4/B$2)</f>
        <v>13.049999999999997</v>
      </c>
      <c r="C5" s="155"/>
      <c r="E5" s="55" t="s">
        <v>187</v>
      </c>
      <c r="F5" s="52" t="s">
        <v>19</v>
      </c>
      <c r="G5" s="40">
        <v>3</v>
      </c>
      <c r="H5" s="118">
        <f>IF(B$17=0,0,G5/B$17)</f>
        <v>0.42857142857142855</v>
      </c>
      <c r="I5" s="80">
        <v>4</v>
      </c>
      <c r="N5" s="100" t="s">
        <v>161</v>
      </c>
      <c r="O5" s="107">
        <f>IF(P5=0,0,Q5/P5)</f>
        <v>7150</v>
      </c>
      <c r="P5" s="104">
        <v>2</v>
      </c>
      <c r="Q5" s="88">
        <v>14300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3</v>
      </c>
      <c r="H6" s="118">
        <f>IF(B$17=0,0,G6/B$17)</f>
        <v>0.42857142857142855</v>
      </c>
      <c r="I6" s="80">
        <v>4</v>
      </c>
      <c r="N6" s="100" t="s">
        <v>110</v>
      </c>
      <c r="O6" s="107">
        <f t="shared" ref="O6" si="1">IF(P6=0,0,Q6/P6)</f>
        <v>2700</v>
      </c>
      <c r="P6" s="104">
        <v>2</v>
      </c>
      <c r="Q6" s="88">
        <v>5400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189</v>
      </c>
      <c r="F7" s="52" t="s">
        <v>195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1850</v>
      </c>
      <c r="P7" s="104">
        <v>2</v>
      </c>
      <c r="Q7" s="88">
        <v>3700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1</v>
      </c>
      <c r="H8" s="118">
        <f>IF(B$17=0,0,G8/B$17)</f>
        <v>0.14285714285714285</v>
      </c>
      <c r="I8" s="80">
        <v>2</v>
      </c>
      <c r="N8" s="100" t="s">
        <v>112</v>
      </c>
      <c r="O8" s="107">
        <f t="shared" si="0"/>
        <v>-2000</v>
      </c>
      <c r="P8" s="104">
        <v>1</v>
      </c>
      <c r="Q8" s="88">
        <v>-2000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24</v>
      </c>
      <c r="G9" s="40">
        <v>1</v>
      </c>
      <c r="H9" s="118">
        <f>IF(B$17=0,0,G9/B$17)</f>
        <v>0.14285714285714285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9</v>
      </c>
      <c r="C13" s="38">
        <f>IF(B$3=0,0,B13/B$3)</f>
        <v>0.45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0.05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13.049999999999997</v>
      </c>
      <c r="P14" s="104">
        <v>2</v>
      </c>
      <c r="Q14" s="92">
        <v>26.099999999999994</v>
      </c>
    </row>
    <row r="15" spans="1:17">
      <c r="A15" s="46" t="s">
        <v>103</v>
      </c>
      <c r="B15" s="39">
        <f>B21</f>
        <v>7</v>
      </c>
      <c r="C15" s="31">
        <f>IF(B$13=0,0,B15/B$13)</f>
        <v>0.77777777777777779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5</v>
      </c>
      <c r="C19" s="33">
        <f>IF(B$17=0,0,B19/B$17)</f>
        <v>0.7142857142857143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120.69999999999999</v>
      </c>
      <c r="P19" s="104">
        <v>1</v>
      </c>
      <c r="Q19" s="92">
        <v>120.69999999999999</v>
      </c>
    </row>
    <row r="20" spans="1:17">
      <c r="A20" s="47" t="s">
        <v>11</v>
      </c>
      <c r="B20" s="40">
        <v>2</v>
      </c>
      <c r="C20" s="33">
        <f>IF(B$17=0,0,B20/B$17)</f>
        <v>0.2857142857142857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167</v>
      </c>
      <c r="O21" s="110">
        <f>IF(P21=0,0,Q21/P21)</f>
        <v>-36.6</v>
      </c>
      <c r="P21" s="104">
        <v>1</v>
      </c>
      <c r="Q21" s="92">
        <v>-36.6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-73.600000000000009</v>
      </c>
      <c r="P22" s="104">
        <v>1</v>
      </c>
      <c r="Q22" s="92">
        <v>-73.600000000000009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165</v>
      </c>
      <c r="O23" s="110">
        <f>IF(P23=0,0,Q23/P23)</f>
        <v>-136.60000000000002</v>
      </c>
      <c r="P23" s="104">
        <v>1</v>
      </c>
      <c r="Q23" s="92">
        <v>-136.60000000000002</v>
      </c>
    </row>
    <row r="24" spans="1:17">
      <c r="A24" s="47" t="s">
        <v>5</v>
      </c>
      <c r="B24" s="44">
        <f>IF(B$17=0,0,C24/B$17)</f>
        <v>6714.2857142857147</v>
      </c>
      <c r="C24" s="35">
        <v>47000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6714.2857142857147</v>
      </c>
      <c r="C25" s="122">
        <v>47000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-6800</v>
      </c>
      <c r="C27" s="122">
        <v>-20400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0.2857142857142857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0.14285714285714285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9FEAA-F11E-4BAC-A4CB-2DB3AEE1A1A1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167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0">
        <v>10</v>
      </c>
      <c r="C3" s="151"/>
      <c r="E3" s="55" t="s">
        <v>55</v>
      </c>
      <c r="F3" s="52" t="s">
        <v>20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108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52">
        <v>-25.1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4">
        <f>IF(B$2=0,0,B$4/B$2)</f>
        <v>-25.1</v>
      </c>
      <c r="C5" s="155"/>
      <c r="E5" s="55" t="s">
        <v>75</v>
      </c>
      <c r="F5" s="52" t="s">
        <v>38</v>
      </c>
      <c r="G5" s="40">
        <v>1</v>
      </c>
      <c r="H5" s="118">
        <f>IF(B$17=0,0,G5/B$17)</f>
        <v>0.5</v>
      </c>
      <c r="I5" s="80">
        <v>1</v>
      </c>
      <c r="N5" s="100" t="s">
        <v>161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56</v>
      </c>
      <c r="F6" s="52" t="s">
        <v>159</v>
      </c>
      <c r="G6" s="40">
        <v>0</v>
      </c>
      <c r="H6" s="118">
        <f>IF(B$17=0,0,G6/B$17)</f>
        <v>0</v>
      </c>
      <c r="I6" s="80">
        <v>10</v>
      </c>
      <c r="N6" s="100" t="s">
        <v>110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190</v>
      </c>
      <c r="G7" s="40">
        <v>0</v>
      </c>
      <c r="H7" s="118">
        <f>IF(B$17=0,0,G7/B$17)</f>
        <v>0</v>
      </c>
      <c r="I7" s="80">
        <v>9</v>
      </c>
      <c r="N7" s="100" t="s">
        <v>111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0.4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3</v>
      </c>
      <c r="C14" s="33">
        <f>IF(B$3=0,0,B14/B$3)</f>
        <v>0.3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166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5300</v>
      </c>
      <c r="C25" s="122">
        <v>10600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14900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0.5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7BBF9-3E5F-4BE4-AFAA-23ABAD1DD550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173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186</v>
      </c>
      <c r="F2" s="51" t="s">
        <v>160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8466.6666666666661</v>
      </c>
      <c r="P2" s="103">
        <v>3</v>
      </c>
      <c r="Q2" s="87">
        <v>25400</v>
      </c>
    </row>
    <row r="3" spans="1:17">
      <c r="A3" s="47" t="s">
        <v>8</v>
      </c>
      <c r="B3" s="150">
        <v>26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108</v>
      </c>
      <c r="O3" s="107">
        <f t="shared" si="0"/>
        <v>-500</v>
      </c>
      <c r="P3" s="104">
        <v>3</v>
      </c>
      <c r="Q3" s="88">
        <v>-1500</v>
      </c>
    </row>
    <row r="4" spans="1:17">
      <c r="A4" s="47" t="s">
        <v>6</v>
      </c>
      <c r="B4" s="152">
        <v>-32.299999999999997</v>
      </c>
      <c r="C4" s="153"/>
      <c r="E4" s="55" t="s">
        <v>189</v>
      </c>
      <c r="F4" s="52" t="s">
        <v>195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0.60000000000000142</v>
      </c>
      <c r="N4" s="100" t="s">
        <v>109</v>
      </c>
      <c r="O4" s="107">
        <f t="shared" si="0"/>
        <v>-1766.6666666666667</v>
      </c>
      <c r="P4" s="104">
        <v>3</v>
      </c>
      <c r="Q4" s="88">
        <v>-5300</v>
      </c>
    </row>
    <row r="5" spans="1:17">
      <c r="A5" s="47" t="s">
        <v>7</v>
      </c>
      <c r="B5" s="154">
        <f>IF(B$2=0,0,B$4/B$2)</f>
        <v>-10.766666666666666</v>
      </c>
      <c r="C5" s="155"/>
      <c r="E5" s="55" t="s">
        <v>187</v>
      </c>
      <c r="F5" s="52" t="s">
        <v>19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-32.299999999999997</v>
      </c>
      <c r="N5" s="100" t="s">
        <v>161</v>
      </c>
      <c r="O5" s="107">
        <f>IF(P5=0,0,Q5/P5)</f>
        <v>-3466.6666666666665</v>
      </c>
      <c r="P5" s="104">
        <v>3</v>
      </c>
      <c r="Q5" s="88">
        <v>-10400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55</v>
      </c>
      <c r="F6" s="52" t="s">
        <v>20</v>
      </c>
      <c r="G6" s="40">
        <v>1</v>
      </c>
      <c r="H6" s="118">
        <f>IF(B$17=0,0,G6/B$17)</f>
        <v>0.5</v>
      </c>
      <c r="I6" s="80">
        <v>6</v>
      </c>
      <c r="N6" s="100" t="s">
        <v>110</v>
      </c>
      <c r="O6" s="107">
        <f t="shared" ref="O6" si="1">IF(P6=0,0,Q6/P6)</f>
        <v>-4000</v>
      </c>
      <c r="P6" s="104">
        <v>2</v>
      </c>
      <c r="Q6" s="88">
        <v>-8000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-2000</v>
      </c>
      <c r="P7" s="104">
        <v>2</v>
      </c>
      <c r="Q7" s="88">
        <v>-4000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60</v>
      </c>
      <c r="F8" s="52" t="s">
        <v>23</v>
      </c>
      <c r="G8" s="40">
        <v>1</v>
      </c>
      <c r="H8" s="118">
        <f>IF(B$17=0,0,G8/B$17)</f>
        <v>0.5</v>
      </c>
      <c r="I8" s="80">
        <v>1</v>
      </c>
      <c r="N8" s="100" t="s">
        <v>112</v>
      </c>
      <c r="O8" s="107">
        <f t="shared" si="0"/>
        <v>-1500</v>
      </c>
      <c r="P8" s="104">
        <v>2</v>
      </c>
      <c r="Q8" s="88">
        <v>-3000</v>
      </c>
    </row>
    <row r="9" spans="1:17">
      <c r="A9" s="48" t="s">
        <v>4</v>
      </c>
      <c r="B9" s="41">
        <v>2</v>
      </c>
      <c r="C9" s="34">
        <f>IF(B$2=0,0,B9/B$2)</f>
        <v>0.66666666666666663</v>
      </c>
      <c r="E9" s="55" t="s">
        <v>57</v>
      </c>
      <c r="F9" s="52" t="s">
        <v>190</v>
      </c>
      <c r="G9" s="40">
        <v>0</v>
      </c>
      <c r="H9" s="118">
        <f>IF(B$17=0,0,G9/B$17)</f>
        <v>0</v>
      </c>
      <c r="I9" s="80">
        <v>9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5</v>
      </c>
      <c r="C13" s="38">
        <f>IF(B$3=0,0,B13/B$3)</f>
        <v>0.19230769230769232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0.19230769230769232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7.6923076923076927E-2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0.15384615384615385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79.099999999999994</v>
      </c>
      <c r="P18" s="103">
        <v>1</v>
      </c>
      <c r="Q18" s="91">
        <v>79.099999999999994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27.8</v>
      </c>
      <c r="P19" s="104">
        <v>1</v>
      </c>
      <c r="Q19" s="92">
        <v>27.8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5.0500000000000025</v>
      </c>
      <c r="P20" s="104">
        <v>2</v>
      </c>
      <c r="Q20" s="92">
        <v>10.100000000000005</v>
      </c>
    </row>
    <row r="21" spans="1:17">
      <c r="A21" s="47" t="s">
        <v>155</v>
      </c>
      <c r="B21" s="40">
        <v>2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182</v>
      </c>
      <c r="O21" s="110">
        <f>IF(P21=0,0,Q21/P21)</f>
        <v>-10.999999999999996</v>
      </c>
      <c r="P21" s="104">
        <v>2</v>
      </c>
      <c r="Q21" s="92">
        <v>-21.999999999999993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-28.2</v>
      </c>
      <c r="P22" s="104">
        <v>1</v>
      </c>
      <c r="Q22" s="92">
        <v>-28.2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172</v>
      </c>
      <c r="O23" s="110">
        <f>IF(P23=0,0,Q23/P23)</f>
        <v>-75.3</v>
      </c>
      <c r="P23" s="104">
        <v>1</v>
      </c>
      <c r="Q23" s="92">
        <v>-75.3</v>
      </c>
    </row>
    <row r="24" spans="1:17">
      <c r="A24" s="47" t="s">
        <v>5</v>
      </c>
      <c r="B24" s="44">
        <f>IF(B$17=0,0,C24/B$17)</f>
        <v>13000</v>
      </c>
      <c r="C24" s="35">
        <v>26000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-120.69999999999999</v>
      </c>
      <c r="P24" s="104">
        <v>1</v>
      </c>
      <c r="Q24" s="92">
        <v>-120.69999999999999</v>
      </c>
    </row>
    <row r="25" spans="1:17">
      <c r="A25" s="48" t="s">
        <v>137</v>
      </c>
      <c r="B25" s="121">
        <f>IF($B$17-B$16=0,0,C25/($B$17-B$16))</f>
        <v>13000</v>
      </c>
      <c r="C25" s="122">
        <v>26000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-5500</v>
      </c>
      <c r="C27" s="122">
        <v>-22000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47EFB-036A-4AA9-8AE5-AFAB9290F4AF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10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8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10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1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23700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A9A33-44E8-4752-8C0B-B6BB281B48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171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6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2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8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4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10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34000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6AE3-000E-4CAB-AAF1-55805AC435B3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56</v>
      </c>
      <c r="F2" s="51" t="s">
        <v>159</v>
      </c>
      <c r="G2" s="39">
        <v>7</v>
      </c>
      <c r="H2" s="117">
        <f>IF(B$17=0,0,G2/B$17)</f>
        <v>0.77777777777777779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3766.6666666666665</v>
      </c>
      <c r="P2" s="103">
        <v>3</v>
      </c>
      <c r="Q2" s="87">
        <v>11300</v>
      </c>
    </row>
    <row r="3" spans="1:17">
      <c r="A3" s="47" t="s">
        <v>8</v>
      </c>
      <c r="B3" s="150">
        <v>22</v>
      </c>
      <c r="C3" s="151"/>
      <c r="E3" s="55" t="s">
        <v>186</v>
      </c>
      <c r="F3" s="52" t="s">
        <v>160</v>
      </c>
      <c r="G3" s="40">
        <v>4</v>
      </c>
      <c r="H3" s="118">
        <f>IF(B$17=0,0,G3/B$17)</f>
        <v>0.44444444444444442</v>
      </c>
      <c r="I3" s="80">
        <v>10</v>
      </c>
      <c r="K3" s="32">
        <v>1</v>
      </c>
      <c r="L3" s="85">
        <v>61.1</v>
      </c>
      <c r="N3" s="100" t="s">
        <v>108</v>
      </c>
      <c r="O3" s="107">
        <f t="shared" si="0"/>
        <v>-3833.3333333333335</v>
      </c>
      <c r="P3" s="104">
        <v>3</v>
      </c>
      <c r="Q3" s="88">
        <v>-11500</v>
      </c>
    </row>
    <row r="4" spans="1:17">
      <c r="A4" s="47" t="s">
        <v>6</v>
      </c>
      <c r="B4" s="152">
        <v>130.9</v>
      </c>
      <c r="C4" s="153"/>
      <c r="E4" s="55" t="s">
        <v>55</v>
      </c>
      <c r="F4" s="52" t="s">
        <v>20</v>
      </c>
      <c r="G4" s="40">
        <v>4</v>
      </c>
      <c r="H4" s="118">
        <f>IF(B$17=0,0,G4/B$17)</f>
        <v>0.44444444444444442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4666.666666666667</v>
      </c>
      <c r="P4" s="104">
        <v>3</v>
      </c>
      <c r="Q4" s="88">
        <v>14000</v>
      </c>
    </row>
    <row r="5" spans="1:17">
      <c r="A5" s="47" t="s">
        <v>7</v>
      </c>
      <c r="B5" s="154">
        <f>IF(B$2=0,0,B$4/B$2)</f>
        <v>43.633333333333333</v>
      </c>
      <c r="C5" s="155"/>
      <c r="E5" s="55" t="s">
        <v>57</v>
      </c>
      <c r="F5" s="52" t="s">
        <v>190</v>
      </c>
      <c r="G5" s="40">
        <v>4</v>
      </c>
      <c r="H5" s="118">
        <f>IF(B$17=0,0,G5/B$17)</f>
        <v>0.44444444444444442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3800</v>
      </c>
      <c r="P5" s="104">
        <v>3</v>
      </c>
      <c r="Q5" s="88">
        <v>11400</v>
      </c>
    </row>
    <row r="6" spans="1:17">
      <c r="A6" s="47" t="s">
        <v>1</v>
      </c>
      <c r="B6" s="156">
        <f>IF(B$2=0,0,(B$7*1+B$8*2+B$9*3+B$10*4)/B$2)</f>
        <v>1.3333333333333333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0.22222222222222221</v>
      </c>
      <c r="I6" s="80">
        <v>9</v>
      </c>
      <c r="N6" s="100" t="s">
        <v>110</v>
      </c>
      <c r="O6" s="107">
        <f t="shared" ref="O6" si="1">IF(P6=0,0,Q6/P6)</f>
        <v>2500</v>
      </c>
      <c r="P6" s="104">
        <v>2</v>
      </c>
      <c r="Q6" s="88">
        <v>5000</v>
      </c>
    </row>
    <row r="7" spans="1:17">
      <c r="A7" s="47" t="s">
        <v>2</v>
      </c>
      <c r="B7" s="40">
        <v>2</v>
      </c>
      <c r="C7" s="33">
        <f t="shared" ref="C7:C12" si="2">IF(B$2=0,0,B7/B$2)</f>
        <v>0.66666666666666663</v>
      </c>
      <c r="E7" s="55" t="s">
        <v>60</v>
      </c>
      <c r="F7" s="52" t="s">
        <v>23</v>
      </c>
      <c r="G7" s="40">
        <v>2</v>
      </c>
      <c r="H7" s="118">
        <f>IF(B$17=0,0,G7/B$17)</f>
        <v>0.22222222222222221</v>
      </c>
      <c r="I7" s="80">
        <v>4</v>
      </c>
      <c r="N7" s="100" t="s">
        <v>111</v>
      </c>
      <c r="O7" s="107">
        <f t="shared" si="0"/>
        <v>5850</v>
      </c>
      <c r="P7" s="104">
        <v>2</v>
      </c>
      <c r="Q7" s="88">
        <v>11700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61</v>
      </c>
      <c r="F8" s="52" t="s">
        <v>24</v>
      </c>
      <c r="G8" s="40">
        <v>2</v>
      </c>
      <c r="H8" s="118">
        <f>IF(B$17=0,0,G8/B$17)</f>
        <v>0.22222222222222221</v>
      </c>
      <c r="I8" s="80">
        <v>8</v>
      </c>
      <c r="N8" s="100" t="s">
        <v>112</v>
      </c>
      <c r="O8" s="107">
        <f t="shared" si="0"/>
        <v>-6000</v>
      </c>
      <c r="P8" s="104">
        <v>1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189</v>
      </c>
      <c r="F9" s="52" t="s">
        <v>195</v>
      </c>
      <c r="G9" s="40">
        <v>2</v>
      </c>
      <c r="H9" s="118">
        <f>IF(B$17=0,0,G9/B$17)</f>
        <v>0.22222222222222221</v>
      </c>
      <c r="I9" s="80">
        <v>9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187</v>
      </c>
      <c r="F10" s="52" t="s">
        <v>19</v>
      </c>
      <c r="G10" s="40">
        <v>1</v>
      </c>
      <c r="H10" s="118">
        <f>IF(B$17=0,0,G10/B$17)</f>
        <v>0.1111111111111111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1</v>
      </c>
      <c r="E11" s="55" t="s">
        <v>188</v>
      </c>
      <c r="F11" s="52" t="s">
        <v>191</v>
      </c>
      <c r="G11" s="40">
        <v>1</v>
      </c>
      <c r="H11" s="118">
        <f>IF(B$17=0,0,G11/B$17)</f>
        <v>0.1111111111111111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6</v>
      </c>
      <c r="C13" s="38">
        <f>IF(B$3=0,0,B13/B$3)</f>
        <v>0.27272727272727271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6</v>
      </c>
      <c r="C14" s="33">
        <f>IF(B$3=0,0,B14/B$3)</f>
        <v>0.27272727272727271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56.6</v>
      </c>
      <c r="P14" s="104">
        <v>1</v>
      </c>
      <c r="Q14" s="92">
        <v>56.6</v>
      </c>
    </row>
    <row r="15" spans="1:17">
      <c r="A15" s="46" t="s">
        <v>103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37.15</v>
      </c>
      <c r="P15" s="105">
        <v>2</v>
      </c>
      <c r="Q15" s="93">
        <v>74.3</v>
      </c>
    </row>
    <row r="16" spans="1:17">
      <c r="A16" s="46" t="s">
        <v>104</v>
      </c>
      <c r="B16" s="39">
        <f>B22</f>
        <v>3</v>
      </c>
      <c r="C16" s="31">
        <f>IF(B$14=0,0,B16/B$14)</f>
        <v>0.5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9</v>
      </c>
      <c r="C17" s="31">
        <f>IF(B$3=0,0,B17/B$3)</f>
        <v>0.40909090909090912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4.5454545454545456E-2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5</v>
      </c>
      <c r="C19" s="33">
        <f>IF(B$17=0,0,B19/B$17)</f>
        <v>0.55555555555555558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108.7</v>
      </c>
      <c r="P19" s="104">
        <v>1</v>
      </c>
      <c r="Q19" s="92">
        <v>108.7</v>
      </c>
    </row>
    <row r="20" spans="1:17">
      <c r="A20" s="47" t="s">
        <v>11</v>
      </c>
      <c r="B20" s="40">
        <v>4</v>
      </c>
      <c r="C20" s="33">
        <f>IF(B$17=0,0,B20/B$17)</f>
        <v>0.44444444444444442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173</v>
      </c>
      <c r="O20" s="110">
        <f>IF(P20=0,0,Q20/P20)</f>
        <v>75.3</v>
      </c>
      <c r="P20" s="104">
        <v>1</v>
      </c>
      <c r="Q20" s="92">
        <v>75.3</v>
      </c>
    </row>
    <row r="21" spans="1:17">
      <c r="A21" s="47" t="s">
        <v>155</v>
      </c>
      <c r="B21" s="40">
        <v>4</v>
      </c>
      <c r="C21" s="33">
        <f>IF(B$17=0,0,B21/B$17)</f>
        <v>0.44444444444444442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>IF(P21=0,0,Q21/P21)</f>
        <v>74.7</v>
      </c>
      <c r="P21" s="104">
        <v>1</v>
      </c>
      <c r="Q21" s="92">
        <v>74.7</v>
      </c>
    </row>
    <row r="22" spans="1:17">
      <c r="A22" s="47" t="s">
        <v>153</v>
      </c>
      <c r="B22" s="40">
        <v>3</v>
      </c>
      <c r="C22" s="33">
        <f>IF(B$17=0,0,B22/B$17)</f>
        <v>0.33333333333333331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185</v>
      </c>
      <c r="O22" s="110">
        <f>IF(P22=0,0,Q22/P22)</f>
        <v>65.8</v>
      </c>
      <c r="P22" s="104">
        <v>1</v>
      </c>
      <c r="Q22" s="92">
        <v>65.8</v>
      </c>
    </row>
    <row r="23" spans="1:17">
      <c r="A23" s="47" t="s">
        <v>154</v>
      </c>
      <c r="B23" s="40">
        <v>2</v>
      </c>
      <c r="C23" s="33">
        <f>IF(B$17=0,0,B23/B$17)</f>
        <v>0.22222222222222221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171</v>
      </c>
      <c r="O23" s="110">
        <f>IF(P23=0,0,Q23/P23)</f>
        <v>47.1</v>
      </c>
      <c r="P23" s="104">
        <v>1</v>
      </c>
      <c r="Q23" s="92">
        <v>47.1</v>
      </c>
    </row>
    <row r="24" spans="1:17">
      <c r="A24" s="47" t="s">
        <v>5</v>
      </c>
      <c r="B24" s="44">
        <f>IF(B$17=0,0,C24/B$17)</f>
        <v>5700</v>
      </c>
      <c r="C24" s="35">
        <v>51300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36</v>
      </c>
      <c r="P24" s="104">
        <v>2</v>
      </c>
      <c r="Q24" s="92">
        <v>72</v>
      </c>
    </row>
    <row r="25" spans="1:17">
      <c r="A25" s="48" t="s">
        <v>137</v>
      </c>
      <c r="B25" s="121">
        <f>IF($B$17-B$16=0,0,C25/($B$17-B$16))</f>
        <v>7866.666666666667</v>
      </c>
      <c r="C25" s="122">
        <v>47200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-42</v>
      </c>
      <c r="P25" s="104">
        <v>1</v>
      </c>
      <c r="Q25" s="92">
        <v>-42</v>
      </c>
    </row>
    <row r="26" spans="1:17">
      <c r="A26" s="48" t="s">
        <v>138</v>
      </c>
      <c r="B26" s="121">
        <f>IF(B$16=0,0,C26/B$16)</f>
        <v>1366.6666666666667</v>
      </c>
      <c r="C26" s="122">
        <v>4100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-12000</v>
      </c>
      <c r="C27" s="122">
        <v>-12000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18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41100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0.22222222222222221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0.22222222222222221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0.1111111111111111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0.22222222222222221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0.1111111111111111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0.1111111111111111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C863F-C2A3-456E-A418-A7007E9254F1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-2.2000000000000011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5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-1.1000000000000005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7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4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6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33600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7DACC-500E-4F26-BF54-D98A3EE02B55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11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9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7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2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6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8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42500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1F474-4CEB-40DB-8B48-B0FA5B659CA5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8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12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10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10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4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10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3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7400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10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220D-3748-4637-BB53-32107AABC81A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184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1500</v>
      </c>
      <c r="P2" s="103">
        <v>1</v>
      </c>
      <c r="Q2" s="87">
        <v>1500</v>
      </c>
    </row>
    <row r="3" spans="1:17">
      <c r="A3" s="47" t="s">
        <v>8</v>
      </c>
      <c r="B3" s="150">
        <v>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55.2</v>
      </c>
      <c r="N3" s="100" t="s">
        <v>108</v>
      </c>
      <c r="O3" s="107">
        <f t="shared" si="0"/>
        <v>10600</v>
      </c>
      <c r="P3" s="104">
        <v>1</v>
      </c>
      <c r="Q3" s="88">
        <v>10600</v>
      </c>
    </row>
    <row r="4" spans="1:17">
      <c r="A4" s="47" t="s">
        <v>6</v>
      </c>
      <c r="B4" s="152">
        <v>55.2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N4" s="100" t="s">
        <v>109</v>
      </c>
      <c r="O4" s="107">
        <f t="shared" si="0"/>
        <v>-2000</v>
      </c>
      <c r="P4" s="104">
        <v>1</v>
      </c>
      <c r="Q4" s="88">
        <v>-2000</v>
      </c>
    </row>
    <row r="5" spans="1:17">
      <c r="A5" s="47" t="s">
        <v>7</v>
      </c>
      <c r="B5" s="154">
        <f>IF(B$2=0,0,B$4/B$2)</f>
        <v>55.2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0.5</v>
      </c>
      <c r="I5" s="80">
        <v>5</v>
      </c>
      <c r="N5" s="100" t="s">
        <v>161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56">
        <f>IF(B$2=0,0,(B$7*1+B$8*2+B$9*3+B$10*4)/B$2)</f>
        <v>1</v>
      </c>
      <c r="C6" s="157"/>
      <c r="E6" s="55" t="s">
        <v>189</v>
      </c>
      <c r="F6" s="52" t="s">
        <v>195</v>
      </c>
      <c r="G6" s="40">
        <v>1</v>
      </c>
      <c r="H6" s="118">
        <f>IF(B$17=0,0,G6/B$17)</f>
        <v>0.5</v>
      </c>
      <c r="I6" s="80">
        <v>4</v>
      </c>
      <c r="N6" s="100" t="s">
        <v>110</v>
      </c>
      <c r="O6" s="107">
        <f t="shared" ref="O6" si="1">IF(P6=0,0,Q6/P6)</f>
        <v>-1000</v>
      </c>
      <c r="P6" s="104">
        <v>1</v>
      </c>
      <c r="Q6" s="88">
        <v>-1000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55</v>
      </c>
      <c r="F7" s="52" t="s">
        <v>20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1100</v>
      </c>
      <c r="P7" s="104">
        <v>1</v>
      </c>
      <c r="Q7" s="88">
        <v>1100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190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21</v>
      </c>
      <c r="G9" s="40">
        <v>0</v>
      </c>
      <c r="H9" s="118">
        <f>IF(B$17=0,0,G9/B$17)</f>
        <v>0</v>
      </c>
      <c r="I9" s="80">
        <v>10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55.2</v>
      </c>
      <c r="P14" s="104">
        <v>1</v>
      </c>
      <c r="Q14" s="92">
        <v>55.2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42</v>
      </c>
      <c r="P20" s="104">
        <v>1</v>
      </c>
      <c r="Q20" s="92">
        <v>42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4550</v>
      </c>
      <c r="C24" s="35">
        <v>9100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4550</v>
      </c>
      <c r="C25" s="122">
        <v>9100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-2000</v>
      </c>
      <c r="C27" s="122">
        <v>-2000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3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35200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48">
        <v>0</v>
      </c>
      <c r="C2" s="14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4">
        <v>-1000000</v>
      </c>
      <c r="C31" s="14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798</vt:i4>
      </vt:variant>
    </vt:vector>
  </HeadingPairs>
  <TitlesOfParts>
    <vt:vector size="81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Template</vt:lpstr>
      <vt:lpstr>依田幸憲!アガリ数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2019-12-11T17:32:33Z</dcterms:modified>
</cp:coreProperties>
</file>