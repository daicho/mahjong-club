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mahjong-club\成績管理システム\"/>
    </mc:Choice>
  </mc:AlternateContent>
  <xr:revisionPtr revIDLastSave="0" documentId="13_ncr:1_{1C910FDF-AF08-4CEE-BFC6-6817229D6F30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Template (3)" sheetId="6297" state="hidden" r:id="rId31"/>
    <sheet name="Template" sheetId="2228" state="hidden" r:id="rId32"/>
  </sheets>
  <definedNames>
    <definedName name="アガリ数" localSheetId="30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27">巻島夢樹!$B$17</definedName>
    <definedName name="アガリ数" localSheetId="26">関谷洸佑!$B$17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29">西沢武留!$B$17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16">髙橋桜!$B$17</definedName>
    <definedName name="アガリ数">Template!$B$17</definedName>
    <definedName name="アガリ率" localSheetId="30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27">巻島夢樹!$C$17</definedName>
    <definedName name="アガリ率" localSheetId="26">関谷洸佑!$C$17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29">西沢武留!$C$17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16">髙橋桜!$C$17</definedName>
    <definedName name="アガリ率">Template!$C$17</definedName>
    <definedName name="ダマアガリ数" localSheetId="30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27">巻島夢樹!$B$23</definedName>
    <definedName name="ダマアガリ数" localSheetId="26">関谷洸佑!$B$23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29">西沢武留!$B$23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16">髙橋桜!$B$23</definedName>
    <definedName name="ダマアガリ数">Template!$B$23</definedName>
    <definedName name="ダマアガリ点" localSheetId="30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27">巻島夢樹!#REF!</definedName>
    <definedName name="ダマアガリ点" localSheetId="26">関谷洸佑!#REF!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29">西沢武留!#REF!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16">髙橋桜!#REF!</definedName>
    <definedName name="ダマアガリ点">Template!#REF!</definedName>
    <definedName name="ダマアガリ率" localSheetId="30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27">巻島夢樹!$C$23</definedName>
    <definedName name="ダマアガリ率" localSheetId="26">関谷洸佑!$C$23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29">西沢武留!$C$23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16">髙橋桜!$C$23</definedName>
    <definedName name="ダマアガリ率">Template!$C$23</definedName>
    <definedName name="チョンボ数" localSheetId="30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27">巻島夢樹!$B$32</definedName>
    <definedName name="チョンボ数" localSheetId="26">関谷洸佑!$B$32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29">西沢武留!$B$32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16">髙橋桜!$B$32</definedName>
    <definedName name="チョンボ数">Template!$B$32</definedName>
    <definedName name="チョンボ率" localSheetId="30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27">巻島夢樹!$C$32</definedName>
    <definedName name="チョンボ率" localSheetId="26">関谷洸佑!$C$32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29">西沢武留!$C$32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16">髙橋桜!$C$32</definedName>
    <definedName name="チョンボ率">Template!$C$32</definedName>
    <definedName name="ツモ数" localSheetId="30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27">巻島夢樹!$B$19</definedName>
    <definedName name="ツモ数" localSheetId="26">関谷洸佑!$B$19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29">西沢武留!$B$19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16">髙橋桜!$B$19</definedName>
    <definedName name="ツモ数">Template!$B$19</definedName>
    <definedName name="ツモ率" localSheetId="30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27">巻島夢樹!$C$19</definedName>
    <definedName name="ツモ率" localSheetId="26">関谷洸佑!$C$19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29">西沢武留!$C$19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16">髙橋桜!$C$19</definedName>
    <definedName name="ツモ率">Template!$C$19</definedName>
    <definedName name="トップ数" localSheetId="30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27">巻島夢樹!$B$7</definedName>
    <definedName name="トップ数" localSheetId="26">関谷洸佑!$B$7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29">西沢武留!$B$7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16">髙橋桜!$B$7</definedName>
    <definedName name="トップ数">Template!$B$7</definedName>
    <definedName name="トップ率" localSheetId="30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27">巻島夢樹!$C$7</definedName>
    <definedName name="トップ率" localSheetId="26">関谷洸佑!$C$7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29">西沢武留!$C$7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16">髙橋桜!$C$7</definedName>
    <definedName name="トップ率">Template!$C$7</definedName>
    <definedName name="ふっとばし数" localSheetId="30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27">巻島夢樹!#REF!</definedName>
    <definedName name="ふっとばし数" localSheetId="26">関谷洸佑!#REF!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29">西沢武留!#REF!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16">髙橋桜!#REF!</definedName>
    <definedName name="ふっとばし数">Template!#REF!</definedName>
    <definedName name="ふっとばし率" localSheetId="30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27">巻島夢樹!#REF!</definedName>
    <definedName name="ふっとばし率" localSheetId="26">関谷洸佑!#REF!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29">西沢武留!#REF!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16">髙橋桜!#REF!</definedName>
    <definedName name="ふっとばし率">Template!#REF!</definedName>
    <definedName name="ふっとび数" localSheetId="30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27">巻島夢樹!$B$12</definedName>
    <definedName name="ふっとび数" localSheetId="26">関谷洸佑!$B$12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29">西沢武留!$B$12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16">髙橋桜!$B$12</definedName>
    <definedName name="ふっとび数">Template!$B$12</definedName>
    <definedName name="ふっとび率" localSheetId="30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27">巻島夢樹!$C$12</definedName>
    <definedName name="ふっとび率" localSheetId="26">関谷洸佑!$C$12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29">西沢武留!$C$12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16">髙橋桜!$C$12</definedName>
    <definedName name="ふっとび率">Template!$C$12</definedName>
    <definedName name="ラス数" localSheetId="30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27">巻島夢樹!$B$10</definedName>
    <definedName name="ラス数" localSheetId="26">関谷洸佑!$B$10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29">西沢武留!$B$10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16">髙橋桜!$B$10</definedName>
    <definedName name="ラス数">Template!$B$10</definedName>
    <definedName name="ラス率" localSheetId="30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27">巻島夢樹!$C$10</definedName>
    <definedName name="ラス率" localSheetId="26">関谷洸佑!$C$10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29">西沢武留!$C$10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16">髙橋桜!$C$10</definedName>
    <definedName name="ラス率">Template!$C$10</definedName>
    <definedName name="リーチアガリ数" localSheetId="30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27">巻島夢樹!$B$21</definedName>
    <definedName name="リーチアガリ数" localSheetId="26">関谷洸佑!$B$21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29">西沢武留!$B$21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16">髙橋桜!$B$21</definedName>
    <definedName name="リーチアガリ数">Template!$B$21</definedName>
    <definedName name="リーチアガリ率" localSheetId="30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27">巻島夢樹!$C$21</definedName>
    <definedName name="リーチアガリ率" localSheetId="26">関谷洸佑!$C$21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29">西沢武留!$C$21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16">髙橋桜!$C$21</definedName>
    <definedName name="リーチアガリ率">Template!$C$21</definedName>
    <definedName name="リーチ数" localSheetId="30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27">巻島夢樹!$B$13</definedName>
    <definedName name="リーチ数" localSheetId="26">関谷洸佑!$B$13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29">西沢武留!$B$13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16">髙橋桜!$B$13</definedName>
    <definedName name="リーチ数">Template!$B$13</definedName>
    <definedName name="リーチ成功数" localSheetId="30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27">巻島夢樹!$B$15</definedName>
    <definedName name="リーチ成功数" localSheetId="26">関谷洸佑!$B$15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29">西沢武留!$B$15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16">髙橋桜!$B$15</definedName>
    <definedName name="リーチ成功数">Template!$B$15</definedName>
    <definedName name="リーチ成功率" localSheetId="30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27">巻島夢樹!$C$15</definedName>
    <definedName name="リーチ成功率" localSheetId="26">関谷洸佑!$C$15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29">西沢武留!$C$15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16">髙橋桜!$C$15</definedName>
    <definedName name="リーチ成功率">Template!$C$15</definedName>
    <definedName name="リーチ率" localSheetId="30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27">巻島夢樹!$C$13</definedName>
    <definedName name="リーチ率" localSheetId="26">関谷洸佑!$C$13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29">西沢武留!$C$13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16">髙橋桜!$C$13</definedName>
    <definedName name="リーチ率">Template!$C$13</definedName>
    <definedName name="ロン数" localSheetId="30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27">巻島夢樹!$B$20</definedName>
    <definedName name="ロン数" localSheetId="26">関谷洸佑!$B$20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29">西沢武留!$B$20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16">髙橋桜!$B$20</definedName>
    <definedName name="ロン数">Template!$B$20</definedName>
    <definedName name="ロン率" localSheetId="30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27">巻島夢樹!$C$20</definedName>
    <definedName name="ロン率" localSheetId="26">関谷洸佑!$C$20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29">西沢武留!$C$20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16">髙橋桜!$C$20</definedName>
    <definedName name="ロン率">Template!$C$20</definedName>
    <definedName name="逆転数" localSheetId="30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27">巻島夢樹!#REF!</definedName>
    <definedName name="逆転数" localSheetId="26">関谷洸佑!#REF!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29">西沢武留!#REF!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16">髙橋桜!#REF!</definedName>
    <definedName name="逆転数">Template!#REF!</definedName>
    <definedName name="逆転率" localSheetId="30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27">巻島夢樹!#REF!</definedName>
    <definedName name="逆転率" localSheetId="26">関谷洸佑!#REF!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29">西沢武留!#REF!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16">髙橋桜!#REF!</definedName>
    <definedName name="逆転率">Template!#REF!</definedName>
    <definedName name="現行連続アガリ" localSheetId="30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27">巻島夢樹!$C$28</definedName>
    <definedName name="現行連続アガリ" localSheetId="26">関谷洸佑!$C$28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29">西沢武留!$C$28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16">髙橋桜!$C$28</definedName>
    <definedName name="現行連続アガリ">Template!$C$28</definedName>
    <definedName name="現行連続無放銃" localSheetId="30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27">巻島夢樹!$C$29</definedName>
    <definedName name="現行連続無放銃" localSheetId="26">関谷洸佑!$C$29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29">西沢武留!$C$29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16">髙橋桜!$C$29</definedName>
    <definedName name="現行連続無放銃">Template!$C$29</definedName>
    <definedName name="最高点" localSheetId="30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27">巻島夢樹!$B$31</definedName>
    <definedName name="最高点" localSheetId="26">関谷洸佑!$B$31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29">西沢武留!$B$31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16">髙橋桜!$B$31</definedName>
    <definedName name="最高点">Template!$B$31</definedName>
    <definedName name="最大ドラ数" localSheetId="30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27">巻島夢樹!$B$30</definedName>
    <definedName name="最大ドラ数" localSheetId="26">関谷洸佑!$B$30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29">西沢武留!$B$30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16">髙橋桜!$B$30</definedName>
    <definedName name="最大ドラ数">Template!$B$30</definedName>
    <definedName name="最大点数" localSheetId="30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27">巻島夢樹!$B$31</definedName>
    <definedName name="最大点数" localSheetId="26">関谷洸佑!$B$31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29">西沢武留!$B$31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16">髙橋桜!$B$31</definedName>
    <definedName name="最大点数">Template!$B$31</definedName>
    <definedName name="三位数" localSheetId="30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27">巻島夢樹!$B$9</definedName>
    <definedName name="三位数" localSheetId="26">関谷洸佑!$B$9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29">西沢武留!$B$9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16">髙橋桜!$B$9</definedName>
    <definedName name="三位数">Template!$B$9</definedName>
    <definedName name="三位率" localSheetId="30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27">巻島夢樹!$C$9</definedName>
    <definedName name="三位率" localSheetId="26">関谷洸佑!$C$9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29">西沢武留!$C$9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16">髙橋桜!$C$9</definedName>
    <definedName name="三位率">Template!$C$9</definedName>
    <definedName name="総局数" localSheetId="30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27">巻島夢樹!$B$3</definedName>
    <definedName name="総局数" localSheetId="26">関谷洸佑!$B$3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29">西沢武留!$B$3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16">髙橋桜!$B$3</definedName>
    <definedName name="総局数">Template!$B$3</definedName>
    <definedName name="対戦数" localSheetId="30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27">巻島夢樹!$B$2</definedName>
    <definedName name="対戦数" localSheetId="26">関谷洸佑!$B$2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29">西沢武留!$B$2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16">髙橋桜!$B$2</definedName>
    <definedName name="対戦数">Template!$B$2</definedName>
    <definedName name="通算アガリ点" localSheetId="30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27">巻島夢樹!$C$24</definedName>
    <definedName name="通算アガリ点" localSheetId="26">関谷洸佑!$C$24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29">西沢武留!$C$24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16">髙橋桜!$C$24</definedName>
    <definedName name="通算アガリ点">Template!$C$24</definedName>
    <definedName name="通算スコア" localSheetId="30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27">巻島夢樹!$B$4</definedName>
    <definedName name="通算スコア" localSheetId="26">関谷洸佑!$B$4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29">西沢武留!$B$4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16">髙橋桜!$B$4</definedName>
    <definedName name="通算スコア">Template!$B$4</definedName>
    <definedName name="通算副露アガリ点" localSheetId="30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29">西沢武留!$C$26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16">髙橋桜!$C$26</definedName>
    <definedName name="通算副露アガリ点">Template!$C$26</definedName>
    <definedName name="通算放銃点" localSheetId="30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27">巻島夢樹!$C$27</definedName>
    <definedName name="通算放銃点" localSheetId="26">関谷洸佑!$C$27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29">西沢武留!$C$27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16">髙橋桜!$C$27</definedName>
    <definedName name="通算放銃点">Template!$C$27</definedName>
    <definedName name="通算門前アガリ点" localSheetId="30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29">西沢武留!$C$25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16">髙橋桜!$C$25</definedName>
    <definedName name="通算門前アガリ点">Template!$C$25</definedName>
    <definedName name="二位数" localSheetId="30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27">巻島夢樹!$B$8</definedName>
    <definedName name="二位数" localSheetId="26">関谷洸佑!$B$8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29">西沢武留!$B$8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16">髙橋桜!$B$8</definedName>
    <definedName name="二位数">Template!$B$8</definedName>
    <definedName name="二位率" localSheetId="30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27">巻島夢樹!$C$8</definedName>
    <definedName name="二位率" localSheetId="26">関谷洸佑!$C$8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29">西沢武留!$C$8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16">髙橋桜!$C$8</definedName>
    <definedName name="二位率">Template!$C$8</definedName>
    <definedName name="副露アガリ数" localSheetId="30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27">巻島夢樹!$B$22</definedName>
    <definedName name="副露アガリ数" localSheetId="26">関谷洸佑!$B$22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29">西沢武留!$B$22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16">髙橋桜!$B$22</definedName>
    <definedName name="副露アガリ数">Template!$B$22</definedName>
    <definedName name="副露アガリ点" localSheetId="30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27">巻島夢樹!$B$26</definedName>
    <definedName name="副露アガリ点" localSheetId="26">関谷洸佑!$B$26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29">西沢武留!$B$26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16">髙橋桜!$B$26</definedName>
    <definedName name="副露アガリ点">Template!$B$26</definedName>
    <definedName name="副露アガリ率" localSheetId="30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27">巻島夢樹!$C$22</definedName>
    <definedName name="副露アガリ率" localSheetId="26">関谷洸佑!$C$22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29">西沢武留!$C$22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16">髙橋桜!$C$22</definedName>
    <definedName name="副露アガリ率">Template!$C$22</definedName>
    <definedName name="副露数" localSheetId="30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27">巻島夢樹!$B$14</definedName>
    <definedName name="副露数" localSheetId="26">関谷洸佑!$B$14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29">西沢武留!$B$14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16">髙橋桜!$B$14</definedName>
    <definedName name="副露数">Template!$B$14</definedName>
    <definedName name="副露成功数" localSheetId="30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27">巻島夢樹!$B$16</definedName>
    <definedName name="副露成功数" localSheetId="26">関谷洸佑!$B$16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29">西沢武留!$B$16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16">髙橋桜!$B$16</definedName>
    <definedName name="副露成功数">Template!$B$16</definedName>
    <definedName name="副露成功率" localSheetId="30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27">巻島夢樹!$C$16</definedName>
    <definedName name="副露成功率" localSheetId="26">関谷洸佑!$C$16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29">西沢武留!$C$16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16">髙橋桜!$C$16</definedName>
    <definedName name="副露成功率">Template!$C$16</definedName>
    <definedName name="副露率" localSheetId="30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27">巻島夢樹!$C$14</definedName>
    <definedName name="副露率" localSheetId="26">関谷洸佑!$C$14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29">西沢武留!$C$14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16">髙橋桜!$C$14</definedName>
    <definedName name="副露率">Template!$C$14</definedName>
    <definedName name="平均アガリ点" localSheetId="30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27">巻島夢樹!$B$24</definedName>
    <definedName name="平均アガリ点" localSheetId="26">関谷洸佑!$B$24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29">西沢武留!$B$24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16">髙橋桜!$B$24</definedName>
    <definedName name="平均アガリ点">Template!$B$24</definedName>
    <definedName name="平均スコア" localSheetId="30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27">巻島夢樹!$B$5</definedName>
    <definedName name="平均スコア" localSheetId="26">関谷洸佑!$B$5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29">西沢武留!$B$5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16">髙橋桜!$B$5</definedName>
    <definedName name="平均スコア">Template!$B$5</definedName>
    <definedName name="平均順位" localSheetId="30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27">巻島夢樹!$B$6</definedName>
    <definedName name="平均順位" localSheetId="26">関谷洸佑!$B$6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29">西沢武留!$B$6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16">髙橋桜!$B$6</definedName>
    <definedName name="平均順位">Template!$B$6</definedName>
    <definedName name="平均放銃点" localSheetId="30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27">巻島夢樹!$B$27</definedName>
    <definedName name="平均放銃点" localSheetId="26">関谷洸佑!$B$27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29">西沢武留!$B$27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16">髙橋桜!$B$27</definedName>
    <definedName name="平均放銃点">Template!$B$27</definedName>
    <definedName name="放銃数" localSheetId="30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27">巻島夢樹!$B$18</definedName>
    <definedName name="放銃数" localSheetId="26">関谷洸佑!$B$18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29">西沢武留!$B$18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16">髙橋桜!$B$18</definedName>
    <definedName name="放銃数">Template!$B$18</definedName>
    <definedName name="放銃率" localSheetId="30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27">巻島夢樹!$C$18</definedName>
    <definedName name="放銃率" localSheetId="26">関谷洸佑!$C$18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29">西沢武留!$C$18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16">髙橋桜!$C$18</definedName>
    <definedName name="放銃率">Template!$C$18</definedName>
    <definedName name="名前" localSheetId="30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27">巻島夢樹!$B$1</definedName>
    <definedName name="名前" localSheetId="26">関谷洸佑!$B$1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29">西沢武留!$B$1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16">髙橋桜!$B$1</definedName>
    <definedName name="名前">Template!$B$1</definedName>
    <definedName name="門前アガリ点" localSheetId="30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27">巻島夢樹!$B$25</definedName>
    <definedName name="門前アガリ点" localSheetId="26">関谷洸佑!$B$25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29">西沢武留!$B$25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16">髙橋桜!$B$25</definedName>
    <definedName name="門前アガリ点">Template!$B$25</definedName>
    <definedName name="連続アガリ" localSheetId="30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27">巻島夢樹!$B$28</definedName>
    <definedName name="連続アガリ" localSheetId="26">関谷洸佑!$B$28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29">西沢武留!$B$28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16">髙橋桜!$B$28</definedName>
    <definedName name="連続アガリ">Template!$B$28</definedName>
    <definedName name="連続無放銃" localSheetId="30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27">巻島夢樹!$B$29</definedName>
    <definedName name="連続無放銃" localSheetId="26">関谷洸佑!$B$29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29">西沢武留!$B$29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16">髙橋桜!$B$29</definedName>
    <definedName name="連続無放銃">Template!$B$29</definedName>
    <definedName name="連対数" localSheetId="30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27">巻島夢樹!$B$11</definedName>
    <definedName name="連対数" localSheetId="26">関谷洸佑!$B$11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29">西沢武留!$B$11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16">髙橋桜!$B$11</definedName>
    <definedName name="連対数">Template!$B$11</definedName>
    <definedName name="連対率" localSheetId="30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27">巻島夢樹!$C$11</definedName>
    <definedName name="連対率" localSheetId="26">関谷洸佑!$C$11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29">西沢武留!$C$11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8" i="6293" l="1"/>
  <c r="O24" i="6293"/>
  <c r="O23" i="6287"/>
  <c r="O34" i="6287"/>
  <c r="O20" i="6299"/>
  <c r="O19" i="6299"/>
  <c r="O18" i="6299"/>
  <c r="C32" i="6299"/>
  <c r="B27" i="6299"/>
  <c r="C18" i="6299"/>
  <c r="B17" i="6299"/>
  <c r="C17" i="6299" s="1"/>
  <c r="H17" i="6299"/>
  <c r="C16" i="6299"/>
  <c r="B16" i="6299"/>
  <c r="B26" i="6299" s="1"/>
  <c r="O15" i="6299"/>
  <c r="H16" i="6299"/>
  <c r="B15" i="6299"/>
  <c r="C15" i="6299" s="1"/>
  <c r="O14" i="6299"/>
  <c r="H15" i="6299"/>
  <c r="C14" i="6299"/>
  <c r="O13" i="6299"/>
  <c r="H14" i="6299"/>
  <c r="C13" i="6299"/>
  <c r="O12" i="6299"/>
  <c r="H13" i="6299"/>
  <c r="C12" i="6299"/>
  <c r="H12" i="6299"/>
  <c r="B11" i="6299"/>
  <c r="C11" i="6299" s="1"/>
  <c r="H11" i="6299"/>
  <c r="C10" i="6299"/>
  <c r="O9" i="6299"/>
  <c r="H6" i="6299"/>
  <c r="C9" i="6299"/>
  <c r="O8" i="6299"/>
  <c r="H10" i="6299"/>
  <c r="C8" i="6299"/>
  <c r="O7" i="6299"/>
  <c r="H5" i="6299"/>
  <c r="C7" i="6299"/>
  <c r="O6" i="6299"/>
  <c r="H9" i="6299"/>
  <c r="B6" i="6299"/>
  <c r="O5" i="6299"/>
  <c r="H4" i="6299"/>
  <c r="B5" i="6299"/>
  <c r="O4" i="6299"/>
  <c r="H8" i="6299"/>
  <c r="O3" i="6299"/>
  <c r="H7" i="6299"/>
  <c r="O2" i="6299"/>
  <c r="H3" i="6299"/>
  <c r="O43" i="6272"/>
  <c r="O20" i="6298"/>
  <c r="O19" i="6298"/>
  <c r="O18" i="6298"/>
  <c r="C32" i="6298"/>
  <c r="B27" i="6298"/>
  <c r="C18" i="6298"/>
  <c r="B17" i="6298"/>
  <c r="C17" i="6298" s="1"/>
  <c r="H17" i="6298"/>
  <c r="B16" i="6298"/>
  <c r="O15" i="6298"/>
  <c r="H16" i="6298"/>
  <c r="B15" i="6298"/>
  <c r="C15" i="6298" s="1"/>
  <c r="O14" i="6298"/>
  <c r="H15" i="6298"/>
  <c r="C14" i="6298"/>
  <c r="O13" i="6298"/>
  <c r="H14" i="6298"/>
  <c r="C13" i="6298"/>
  <c r="O12" i="6298"/>
  <c r="H13" i="6298"/>
  <c r="C12" i="6298"/>
  <c r="H12" i="6298"/>
  <c r="B11" i="6298"/>
  <c r="C11" i="6298" s="1"/>
  <c r="H5" i="6298"/>
  <c r="C10" i="6298"/>
  <c r="O9" i="6298"/>
  <c r="H7" i="6298"/>
  <c r="C9" i="6298"/>
  <c r="O8" i="6298"/>
  <c r="H11" i="6298"/>
  <c r="C8" i="6298"/>
  <c r="O7" i="6298"/>
  <c r="H6" i="6298"/>
  <c r="C7" i="6298"/>
  <c r="O6" i="6298"/>
  <c r="H10" i="6298"/>
  <c r="B6" i="6298"/>
  <c r="O5" i="6298"/>
  <c r="H4" i="6298"/>
  <c r="B5" i="6298"/>
  <c r="O4" i="6298"/>
  <c r="H2" i="6298"/>
  <c r="O3" i="6298"/>
  <c r="H9" i="6298"/>
  <c r="O2" i="6298"/>
  <c r="H3" i="6298"/>
  <c r="O24" i="6272"/>
  <c r="B26" i="6298" l="1"/>
  <c r="C16" i="6298"/>
  <c r="C47" i="6299"/>
  <c r="C46" i="6299"/>
  <c r="C45" i="6299"/>
  <c r="C44" i="6299"/>
  <c r="C43" i="6299"/>
  <c r="H2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28" i="6299"/>
  <c r="H27" i="6299"/>
  <c r="H26" i="6299"/>
  <c r="B25" i="6299"/>
  <c r="H25" i="6299"/>
  <c r="B24" i="6299"/>
  <c r="H24" i="6299"/>
  <c r="C23" i="6299"/>
  <c r="H23" i="6299"/>
  <c r="C22" i="6299"/>
  <c r="H22" i="6299"/>
  <c r="C21" i="6299"/>
  <c r="H21" i="6299"/>
  <c r="C20" i="6299"/>
  <c r="H20" i="6299"/>
  <c r="C19" i="6299"/>
  <c r="H19" i="6299"/>
  <c r="H18" i="6299"/>
  <c r="C47" i="6298"/>
  <c r="C46" i="6298"/>
  <c r="C45" i="6298"/>
  <c r="C44" i="6298"/>
  <c r="C43" i="6298"/>
  <c r="H8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34" i="6298"/>
  <c r="H33" i="6298"/>
  <c r="H32" i="6298"/>
  <c r="H31" i="6298"/>
  <c r="H30" i="6298"/>
  <c r="H29" i="6298"/>
  <c r="H28" i="6298"/>
  <c r="H27" i="6298"/>
  <c r="H26" i="6298"/>
  <c r="B25" i="6298"/>
  <c r="H25" i="6298"/>
  <c r="B24" i="6298"/>
  <c r="H24" i="6298"/>
  <c r="C23" i="6298"/>
  <c r="H23" i="6298"/>
  <c r="C22" i="6298"/>
  <c r="H22" i="6298"/>
  <c r="C21" i="6298"/>
  <c r="H21" i="6298"/>
  <c r="C20" i="6298"/>
  <c r="H20" i="6298"/>
  <c r="C19" i="6298"/>
  <c r="H19" i="6298"/>
  <c r="H18" i="6298"/>
  <c r="O24" i="6295" l="1"/>
  <c r="O21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18" i="6295"/>
  <c r="O25" i="6277"/>
  <c r="O18" i="6287"/>
  <c r="O27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19" i="6293"/>
  <c r="O19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1" i="6295" l="1"/>
  <c r="O28" i="6275"/>
  <c r="O27" i="6287" l="1"/>
  <c r="O21" i="6274"/>
  <c r="O24" i="6274"/>
  <c r="O22" i="6293"/>
  <c r="O20" i="6295" l="1"/>
  <c r="O22" i="6295"/>
  <c r="O23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0" i="6287"/>
  <c r="O21" i="6287"/>
  <c r="O27" i="6277"/>
  <c r="O21" i="6277"/>
  <c r="O26" i="6272"/>
  <c r="O28" i="6272"/>
  <c r="B25" i="6294" l="1"/>
  <c r="C37" i="6294"/>
  <c r="H31" i="6294"/>
  <c r="H11" i="6295"/>
  <c r="H10" i="6295"/>
  <c r="H14" i="6295"/>
  <c r="C21" i="6295"/>
  <c r="C35" i="6295"/>
  <c r="C41" i="6295"/>
  <c r="C47" i="6295"/>
  <c r="H19" i="6295"/>
  <c r="C23" i="6295"/>
  <c r="H29" i="6295"/>
  <c r="C36" i="6295"/>
  <c r="C42" i="6295"/>
  <c r="C19" i="6295"/>
  <c r="B24" i="6295"/>
  <c r="C37" i="6295"/>
  <c r="C43" i="6295"/>
  <c r="H7" i="6295"/>
  <c r="H6" i="6295"/>
  <c r="H13" i="6295"/>
  <c r="H9" i="6295"/>
  <c r="H5" i="6295"/>
  <c r="H8" i="6295"/>
  <c r="H16" i="6295"/>
  <c r="C17" i="6295"/>
  <c r="C20" i="6295"/>
  <c r="H27" i="6295"/>
  <c r="H34" i="6295"/>
  <c r="H38" i="6295"/>
  <c r="C45" i="6295"/>
  <c r="C16" i="6295"/>
  <c r="C38" i="6295"/>
  <c r="H31" i="6295"/>
  <c r="H3" i="6295"/>
  <c r="H12" i="6295"/>
  <c r="H15" i="6295"/>
  <c r="H17" i="6295"/>
  <c r="C22" i="6295"/>
  <c r="C39" i="6295"/>
  <c r="H23" i="6295"/>
  <c r="H33" i="6295"/>
  <c r="C40" i="6295"/>
  <c r="H42" i="6295"/>
  <c r="H20" i="6295"/>
  <c r="H24" i="6295"/>
  <c r="H28" i="6295"/>
  <c r="H35" i="6295"/>
  <c r="H39" i="6295"/>
  <c r="H2" i="6295"/>
  <c r="H21" i="6295"/>
  <c r="H25" i="6295"/>
  <c r="H30" i="6295"/>
  <c r="H36" i="6295"/>
  <c r="H40" i="6295"/>
  <c r="C44" i="6295"/>
  <c r="B25" i="6295"/>
  <c r="H4" i="6295"/>
  <c r="H18" i="6295"/>
  <c r="H22" i="6295"/>
  <c r="H26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3" i="6293" l="1"/>
  <c r="O20" i="6293"/>
  <c r="O25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28" i="6277"/>
  <c r="O25" i="6287"/>
  <c r="O21" i="6275"/>
  <c r="O30" i="6272"/>
  <c r="O18" i="6277"/>
  <c r="O21" i="6286"/>
  <c r="O23" i="6292"/>
  <c r="O21" i="6292"/>
  <c r="O22" i="6292"/>
  <c r="O18" i="6291"/>
  <c r="H8" i="6293" l="1"/>
  <c r="H5" i="6293"/>
  <c r="C22" i="6293"/>
  <c r="H34" i="6293"/>
  <c r="H11" i="6293"/>
  <c r="H14" i="6293"/>
  <c r="C43" i="6293"/>
  <c r="C23" i="6293"/>
  <c r="H6" i="6293"/>
  <c r="H35" i="6293"/>
  <c r="C46" i="6293"/>
  <c r="H9" i="6293"/>
  <c r="H24" i="6293"/>
  <c r="C17" i="6293"/>
  <c r="B24" i="6293"/>
  <c r="C38" i="6293"/>
  <c r="H7" i="6293"/>
  <c r="H39" i="6293"/>
  <c r="H3" i="6293"/>
  <c r="H18" i="6293"/>
  <c r="H26" i="6293"/>
  <c r="C47" i="6293"/>
  <c r="H16" i="6293"/>
  <c r="H31" i="6293"/>
  <c r="C39" i="6293"/>
  <c r="C45" i="6293"/>
  <c r="H4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19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2" i="6287"/>
  <c r="O20" i="6291"/>
  <c r="O24" i="6291"/>
  <c r="O20" i="6289"/>
  <c r="O24" i="6289"/>
  <c r="O21" i="6280"/>
  <c r="O22" i="6289"/>
  <c r="O33" i="6287" l="1"/>
  <c r="O31" i="6284"/>
  <c r="O20" i="6273"/>
  <c r="O42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3" i="6277"/>
  <c r="O25" i="6272"/>
  <c r="O32" i="6287"/>
  <c r="O30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1" i="6277" l="1"/>
  <c r="O26" i="6287"/>
  <c r="O24" i="6287"/>
  <c r="O21" i="6273"/>
  <c r="O29" i="6287"/>
  <c r="O28" i="6287"/>
  <c r="O31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29" i="6272"/>
  <c r="C39" i="6287" l="1"/>
  <c r="H41" i="6287"/>
  <c r="H5" i="6287"/>
  <c r="H11" i="6287"/>
  <c r="H23" i="6287"/>
  <c r="H12" i="6287"/>
  <c r="C20" i="6287"/>
  <c r="H13" i="6287"/>
  <c r="H2" i="6287"/>
  <c r="B24" i="6287"/>
  <c r="H17" i="6287"/>
  <c r="H6" i="6287"/>
  <c r="H14" i="6287"/>
  <c r="H33" i="6287"/>
  <c r="C19" i="6287"/>
  <c r="H35" i="6287"/>
  <c r="C16" i="6287"/>
  <c r="H20" i="6287"/>
  <c r="C41" i="6287"/>
  <c r="H25" i="6287"/>
  <c r="H28" i="6287"/>
  <c r="C35" i="6287"/>
  <c r="H42" i="6287"/>
  <c r="H4" i="6287"/>
  <c r="C17" i="6287"/>
  <c r="H9" i="6287"/>
  <c r="H7" i="6287"/>
  <c r="H22" i="6287"/>
  <c r="H10" i="6287"/>
  <c r="H29" i="6287"/>
  <c r="C37" i="6287"/>
  <c r="C43" i="6287"/>
  <c r="C22" i="6287"/>
  <c r="H21" i="6287"/>
  <c r="C23" i="6287"/>
  <c r="H16" i="6287"/>
  <c r="H38" i="6287"/>
  <c r="C46" i="6287"/>
  <c r="H37" i="6287"/>
  <c r="H3" i="6287"/>
  <c r="H19" i="6287"/>
  <c r="H15" i="6287"/>
  <c r="H26" i="6287"/>
  <c r="H32" i="6287"/>
  <c r="H39" i="6287"/>
  <c r="C47" i="6287"/>
  <c r="H34" i="6287"/>
  <c r="C38" i="6287"/>
  <c r="C42" i="6287"/>
  <c r="H24" i="6287"/>
  <c r="H27" i="6287"/>
  <c r="H30" i="6287"/>
  <c r="H36" i="6287"/>
  <c r="H40" i="6287"/>
  <c r="C44" i="6287"/>
  <c r="H8" i="6287"/>
  <c r="H18" i="6287"/>
  <c r="C21" i="6287"/>
  <c r="B25" i="6287"/>
  <c r="H31" i="6287"/>
  <c r="C36" i="6287"/>
  <c r="C40" i="6287"/>
  <c r="O29" i="6286" l="1"/>
  <c r="O24" i="6284"/>
  <c r="O24" i="6275"/>
  <c r="O24" i="6276"/>
  <c r="O29" i="6277"/>
  <c r="O28" i="6284"/>
  <c r="O27" i="6286"/>
  <c r="O24" i="6286"/>
  <c r="O20" i="6278" l="1"/>
  <c r="O19" i="6278"/>
  <c r="O24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37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0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1" i="6272"/>
  <c r="O23" i="6278"/>
  <c r="O18" i="6278"/>
  <c r="O18" i="6275"/>
  <c r="O26" i="6275"/>
  <c r="O22" i="6275"/>
  <c r="O21" i="6282"/>
  <c r="O22" i="6282"/>
  <c r="O3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3" i="6277"/>
  <c r="O32" i="6277"/>
  <c r="O26" i="6277"/>
  <c r="O35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2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40" i="6272"/>
  <c r="O34" i="6277"/>
  <c r="O35" i="6277"/>
  <c r="O22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38" i="6272"/>
  <c r="O39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1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0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36" i="6272"/>
  <c r="O41" i="6272"/>
  <c r="O33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7" i="6272"/>
  <c r="C35" i="6272"/>
  <c r="H4" i="6272"/>
  <c r="C36" i="6272"/>
  <c r="H37" i="6272"/>
  <c r="C20" i="6272"/>
  <c r="H11" i="6272"/>
  <c r="H23" i="6272"/>
  <c r="H41" i="6272"/>
  <c r="C21" i="6272"/>
  <c r="H27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4" i="6272"/>
  <c r="H9" i="6272"/>
  <c r="H3" i="6272"/>
  <c r="C42" i="6272"/>
  <c r="H18" i="6272"/>
  <c r="C22" i="6272"/>
  <c r="H32" i="6272"/>
  <c r="C37" i="6272"/>
  <c r="H2" i="6272"/>
  <c r="H16" i="6272"/>
  <c r="H25" i="6272"/>
  <c r="C38" i="6272"/>
  <c r="H28" i="6272"/>
  <c r="H20" i="6272"/>
  <c r="H39" i="6272"/>
  <c r="C45" i="6272"/>
  <c r="H30" i="6272"/>
  <c r="C43" i="6272"/>
  <c r="H7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6" i="6272"/>
  <c r="H29" i="6272"/>
  <c r="H15" i="6272"/>
  <c r="H35" i="6272"/>
  <c r="C40" i="6272"/>
  <c r="C47" i="6272"/>
  <c r="B25" i="6272"/>
  <c r="H12" i="6272"/>
  <c r="H13" i="6272"/>
  <c r="H21" i="6272"/>
  <c r="H33" i="6272"/>
  <c r="H38" i="6272"/>
  <c r="H42" i="6272"/>
  <c r="H19" i="6272"/>
  <c r="H31" i="6272"/>
  <c r="H22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<sst xmlns="http://schemas.openxmlformats.org/spreadsheetml/2006/main" count="5517" uniqueCount="230">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</sst>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7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全体!$K$2:$K$199</c:f>
              <c:numCache>
                <c:formatCode>General</c:formatCode>
                <c:ptCount val="19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</c:numCache>
            </c:numRef>
          </c:xVal>
          <c:yVal>
            <c:numRef>
              <c:f>全体!$L$2:$L$199</c:f>
              <c:numCache>
                <c:formatCode>\+0.0;\-0.0;\±0</c:formatCode>
                <c:ptCount val="19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-55.837563451776653</c:v>
                </c:pt>
                <c:pt idx="1">
                  <c:v>-5.0761421319796955</c:v>
                </c:pt>
                <c:pt idx="2">
                  <c:v>1.015228426395939</c:v>
                </c:pt>
                <c:pt idx="3">
                  <c:v>0</c:v>
                </c:pt>
                <c:pt idx="4">
                  <c:v>22.058823529411764</c:v>
                </c:pt>
                <c:pt idx="5">
                  <c:v>-83.333333333333329</c:v>
                </c:pt>
                <c:pt idx="6">
                  <c:v>0</c:v>
                </c:pt>
                <c:pt idx="7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36</c:v>
                </c:pt>
                <c:pt idx="1">
                  <c:v>64</c:v>
                </c:pt>
                <c:pt idx="2">
                  <c:v>70</c:v>
                </c:pt>
                <c:pt idx="3">
                  <c:v>60</c:v>
                </c:pt>
                <c:pt idx="4">
                  <c:v>31</c:v>
                </c:pt>
                <c:pt idx="5">
                  <c:v>37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佐藤成浩!$L$2:$L$32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760</c:v>
                </c:pt>
                <c:pt idx="1">
                  <c:v>1653.3333333333333</c:v>
                </c:pt>
                <c:pt idx="2">
                  <c:v>1510</c:v>
                </c:pt>
                <c:pt idx="3">
                  <c:v>1815.3846153846155</c:v>
                </c:pt>
                <c:pt idx="4">
                  <c:v>1268.421052631579</c:v>
                </c:pt>
                <c:pt idx="5">
                  <c:v>2838.4615384615386</c:v>
                </c:pt>
                <c:pt idx="6">
                  <c:v>972.72727272727275</c:v>
                </c:pt>
                <c:pt idx="7">
                  <c:v>-2400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10</c:v>
                </c:pt>
                <c:pt idx="2">
                  <c:v>8</c:v>
                </c:pt>
                <c:pt idx="3">
                  <c:v>15</c:v>
                </c:pt>
                <c:pt idx="4">
                  <c:v>5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柳澤颯吾!$L$2:$L$24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418.18181818181819</c:v>
                </c:pt>
                <c:pt idx="1">
                  <c:v>222.72727272727272</c:v>
                </c:pt>
                <c:pt idx="2">
                  <c:v>-763.63636363636363</c:v>
                </c:pt>
                <c:pt idx="3">
                  <c:v>-1205.5555555555557</c:v>
                </c:pt>
                <c:pt idx="4">
                  <c:v>-2933.3333333333335</c:v>
                </c:pt>
                <c:pt idx="5">
                  <c:v>-3277.7777777777778</c:v>
                </c:pt>
                <c:pt idx="6">
                  <c:v>-1583.3333333333333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4</c:v>
                </c:pt>
                <c:pt idx="1">
                  <c:v>11</c:v>
                </c:pt>
                <c:pt idx="2">
                  <c:v>10</c:v>
                </c:pt>
                <c:pt idx="3">
                  <c:v>1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阿部圭太朗!$L$2:$L$11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1266.6666666666667</c:v>
                </c:pt>
                <c:pt idx="1">
                  <c:v>-711.11111111111109</c:v>
                </c:pt>
                <c:pt idx="2">
                  <c:v>-1488.8888888888889</c:v>
                </c:pt>
                <c:pt idx="3">
                  <c:v>-1875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関谷洸佑!$L$2:$L$11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1722.2222222222222</c:v>
                </c:pt>
                <c:pt idx="1">
                  <c:v>-2344.4444444444443</c:v>
                </c:pt>
                <c:pt idx="2">
                  <c:v>-3477.7777777777778</c:v>
                </c:pt>
                <c:pt idx="3">
                  <c:v>-3933.3333333333335</c:v>
                </c:pt>
                <c:pt idx="4">
                  <c:v>-5366.666666666667</c:v>
                </c:pt>
                <c:pt idx="5">
                  <c:v>-1300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伊藤仁城!$L$2:$L$4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10650</c:v>
                </c:pt>
                <c:pt idx="1">
                  <c:v>-2250</c:v>
                </c:pt>
                <c:pt idx="2">
                  <c:v>8050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西沢武留!$L$2:$L$4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-13650</c:v>
                </c:pt>
                <c:pt idx="1">
                  <c:v>-3750</c:v>
                </c:pt>
                <c:pt idx="2">
                  <c:v>-4650</c:v>
                </c:pt>
                <c:pt idx="3">
                  <c:v>6000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AF77182-B97E-4997-B529-A6F7C8F33D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8426148-4973-4EC6-A5D2-EA7BB7B352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30650E2-7D37-45F3-B215-B9069D1A41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334FBFC-54CA-4E65-9578-FE96791C34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1AC1F0-D0D2-4F11-837D-6B57399425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4E1BB0E-36FC-4B06-9B09-61DD0D4A4F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31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44665.244942129626</v>
      </c>
      <c r="C2" s="24" t="s">
        <v>102</v>
      </c>
    </row>
    <row r="3" spans="1:4">
      <c r="A3" s="24" t="s">
        <v>165</v>
      </c>
      <c r="B3" s="25">
        <v>44665.244942129626</v>
      </c>
      <c r="C3" s="24" t="s">
        <v>102</v>
      </c>
    </row>
    <row r="4" spans="1:4">
      <c r="A4" s="24" t="s">
        <v>174</v>
      </c>
      <c r="B4" s="25">
        <v>44665.244942129626</v>
      </c>
      <c r="C4" s="24" t="s">
        <v>102</v>
      </c>
      <c r="D4" s="24" t="s">
        <v>176</v>
      </c>
    </row>
    <row r="5" spans="1:4">
      <c r="A5" s="24" t="s">
        <v>178</v>
      </c>
      <c r="B5" s="25">
        <v>44665.244942129626</v>
      </c>
      <c r="C5" s="24" t="s">
        <v>102</v>
      </c>
      <c r="D5" s="24" t="s">
        <v>176</v>
      </c>
    </row>
    <row r="6" spans="1:4">
      <c r="A6" s="24" t="s">
        <v>188</v>
      </c>
      <c r="B6" s="25">
        <v>44665.244942129626</v>
      </c>
      <c r="C6" s="24" t="s">
        <v>102</v>
      </c>
      <c r="D6" s="24" t="s">
        <v>176</v>
      </c>
    </row>
    <row r="7" spans="1:4">
      <c r="A7" s="24" t="s">
        <v>189</v>
      </c>
      <c r="B7" s="25">
        <v>44665.244942129626</v>
      </c>
      <c r="C7" s="24" t="s">
        <v>102</v>
      </c>
      <c r="D7" s="24" t="s">
        <v>176</v>
      </c>
    </row>
    <row r="8" spans="1:4">
      <c r="A8" s="24" t="s">
        <v>190</v>
      </c>
      <c r="B8" s="25">
        <v>44665.244942129626</v>
      </c>
      <c r="C8" s="24" t="s">
        <v>102</v>
      </c>
      <c r="D8" s="24" t="s">
        <v>176</v>
      </c>
    </row>
    <row r="9" spans="1:4">
      <c r="A9" s="24" t="s">
        <v>192</v>
      </c>
      <c r="B9" s="25">
        <v>44665.244942129626</v>
      </c>
      <c r="C9" s="24" t="s">
        <v>102</v>
      </c>
      <c r="D9" s="24" t="s">
        <v>176</v>
      </c>
    </row>
    <row r="10" spans="1:4">
      <c r="A10" s="24" t="s">
        <v>193</v>
      </c>
      <c r="B10" s="25">
        <v>44665.244942129626</v>
      </c>
      <c r="C10" s="24" t="s">
        <v>102</v>
      </c>
      <c r="D10" s="24" t="s">
        <v>176</v>
      </c>
    </row>
    <row r="11" spans="1:4">
      <c r="A11" s="24" t="s">
        <v>194</v>
      </c>
      <c r="B11" s="25">
        <v>44665.244942129626</v>
      </c>
      <c r="C11" s="24" t="s">
        <v>102</v>
      </c>
      <c r="D11" s="24" t="s">
        <v>176</v>
      </c>
    </row>
    <row r="12" spans="1:4">
      <c r="A12" s="24" t="s">
        <v>197</v>
      </c>
      <c r="B12" s="25">
        <v>44665.244942129626</v>
      </c>
      <c r="C12" s="24" t="s">
        <v>102</v>
      </c>
      <c r="D12" s="24" t="s">
        <v>176</v>
      </c>
    </row>
    <row r="13" spans="1:4">
      <c r="A13" s="24" t="s">
        <v>198</v>
      </c>
      <c r="B13" s="25">
        <v>44665.244942129626</v>
      </c>
      <c r="C13" s="24" t="s">
        <v>102</v>
      </c>
      <c r="D13" s="24" t="s">
        <v>176</v>
      </c>
    </row>
    <row r="14" spans="1:4">
      <c r="A14" s="24" t="s">
        <v>201</v>
      </c>
      <c r="B14" s="25">
        <v>44665.244942129626</v>
      </c>
      <c r="C14" s="24" t="s">
        <v>102</v>
      </c>
      <c r="D14" s="24" t="s">
        <v>176</v>
      </c>
    </row>
    <row r="15" spans="1:4">
      <c r="A15" s="24" t="s">
        <v>204</v>
      </c>
      <c r="B15" s="25">
        <v>44665.244942129626</v>
      </c>
      <c r="C15" s="24" t="s">
        <v>102</v>
      </c>
      <c r="D15" s="24" t="s">
        <v>176</v>
      </c>
    </row>
    <row r="16" spans="1:4">
      <c r="A16" s="24" t="s">
        <v>206</v>
      </c>
      <c r="B16" s="25">
        <v>44665.244942129626</v>
      </c>
      <c r="C16" s="24" t="s">
        <v>102</v>
      </c>
      <c r="D16" s="24" t="s">
        <v>176</v>
      </c>
    </row>
    <row r="17" spans="1:5">
      <c r="A17" s="24" t="s">
        <v>207</v>
      </c>
      <c r="B17" s="25">
        <v>44665.244942129626</v>
      </c>
      <c r="C17" s="24" t="s">
        <v>102</v>
      </c>
      <c r="D17" s="24" t="s">
        <v>176</v>
      </c>
    </row>
    <row r="18" spans="1:5">
      <c r="A18" s="24" t="s">
        <v>209</v>
      </c>
      <c r="B18" s="25">
        <v>44665.244942129626</v>
      </c>
      <c r="C18" s="24" t="s">
        <v>102</v>
      </c>
    </row>
    <row r="19" spans="1:5">
      <c r="A19" s="24" t="s">
        <v>210</v>
      </c>
      <c r="B19" s="25">
        <v>44665.244942129626</v>
      </c>
      <c r="C19" s="24" t="s">
        <v>102</v>
      </c>
      <c r="D19" s="24" t="s">
        <v>176</v>
      </c>
    </row>
    <row r="20" spans="1:5">
      <c r="A20" s="24" t="s">
        <v>211</v>
      </c>
      <c r="B20" s="25">
        <v>44665.244942129626</v>
      </c>
      <c r="C20" s="24" t="s">
        <v>102</v>
      </c>
      <c r="D20" s="24" t="s">
        <v>176</v>
      </c>
    </row>
    <row r="21" spans="1:5">
      <c r="A21" s="24" t="s">
        <v>212</v>
      </c>
      <c r="B21" s="25">
        <v>44665.244942129626</v>
      </c>
      <c r="C21" s="24" t="s">
        <v>102</v>
      </c>
    </row>
    <row r="22" spans="1:5">
      <c r="A22" s="24" t="s">
        <v>214</v>
      </c>
      <c r="B22" s="25">
        <v>44665.244942129626</v>
      </c>
      <c r="C22" s="24" t="s">
        <v>102</v>
      </c>
    </row>
    <row r="23" spans="1:5">
      <c r="A23" s="24" t="s">
        <v>217</v>
      </c>
      <c r="B23" s="25">
        <v>44665.244942129626</v>
      </c>
      <c r="C23" s="24" t="s">
        <v>102</v>
      </c>
    </row>
    <row r="24" spans="1:5">
      <c r="A24" s="24" t="s">
        <v>218</v>
      </c>
      <c r="B24" s="25">
        <v>44665.244942129626</v>
      </c>
      <c r="C24" s="24" t="s">
        <v>102</v>
      </c>
    </row>
    <row r="25" spans="1:5">
      <c r="A25" s="24" t="s">
        <v>219</v>
      </c>
      <c r="B25" s="25">
        <v>44665.244942129626</v>
      </c>
      <c r="C25" s="24" t="s">
        <v>102</v>
      </c>
      <c r="D25" s="24" t="s">
        <v>176</v>
      </c>
    </row>
    <row r="26" spans="1:5">
      <c r="A26" s="24" t="s">
        <v>220</v>
      </c>
      <c r="B26" s="25">
        <v>44665.244942129626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44665.244942129626</v>
      </c>
      <c r="C27" s="24" t="s">
        <v>102</v>
      </c>
      <c r="D27" s="24" t="s">
        <v>176</v>
      </c>
    </row>
    <row r="28" spans="1:5">
      <c r="A28" s="24" t="s">
        <v>224</v>
      </c>
      <c r="B28" s="25">
        <v>44665.244942129626</v>
      </c>
      <c r="C28" s="24" t="s">
        <v>102</v>
      </c>
    </row>
    <row r="29" spans="1:5">
      <c r="A29" s="24" t="s">
        <v>225</v>
      </c>
      <c r="B29" s="25">
        <v>44665.244942129626</v>
      </c>
      <c r="C29" s="24" t="s">
        <v>102</v>
      </c>
      <c r="D29" s="24" t="s">
        <v>176</v>
      </c>
    </row>
    <row r="30" spans="1:5">
      <c r="A30" s="24" t="s">
        <v>226</v>
      </c>
      <c r="B30" s="25">
        <v>44735.781608796293</v>
      </c>
      <c r="C30" s="24" t="s">
        <v>102</v>
      </c>
    </row>
    <row r="31" spans="1:5">
      <c r="A31" s="24" t="s">
        <v>229</v>
      </c>
      <c r="B31" s="25">
        <v>44735.781736111108</v>
      </c>
      <c r="C31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7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197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30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22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9</v>
      </c>
    </row>
    <row r="23" spans="1:2">
      <c r="A23" t="s">
        <v>215</v>
      </c>
      <c r="B23">
        <v>1</v>
      </c>
    </row>
    <row r="24" spans="1:2">
      <c r="A24" t="s">
        <v>216</v>
      </c>
      <c r="B24">
        <v>9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</v>
      </c>
    </row>
    <row r="27" spans="1:2">
      <c r="A27" t="s">
        <v>227</v>
      </c>
      <c r="B27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9"/>
  <sheetViews>
    <sheetView showGridLines="0" tabSelected="1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133" customWidth="1"/>
    <col min="4" max="4" width="10.75" style="69" customWidth="1"/>
    <col min="5" max="5" width="10.75" style="70" customWidth="1"/>
    <col min="6" max="6" width="10.75" style="71" customWidth="1"/>
    <col min="7" max="7" width="10.75" style="83" customWidth="1"/>
    <col min="8" max="8" width="10.75" style="71" customWidth="1"/>
    <col min="9" max="9" width="10.75" style="72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3" customWidth="1"/>
    <col min="16" max="16" width="10.75" style="71" customWidth="1"/>
    <col min="17" max="17" width="10.75" style="74" customWidth="1"/>
    <col min="18" max="18" width="10.75" style="71" customWidth="1"/>
    <col min="19" max="19" width="10.75" style="74" customWidth="1"/>
    <col min="20" max="20" width="10.75" style="71" customWidth="1"/>
    <col min="21" max="21" width="10.75" style="75" customWidth="1"/>
    <col min="22" max="22" width="10.75" style="71" customWidth="1"/>
    <col min="23" max="23" width="10.75" style="75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54" t="s">
        <v>9</v>
      </c>
      <c r="C1" s="155"/>
      <c r="D1" s="154" t="s">
        <v>6</v>
      </c>
      <c r="E1" s="155"/>
      <c r="F1" s="154" t="s">
        <v>7</v>
      </c>
      <c r="G1" s="155"/>
      <c r="H1" s="154" t="s">
        <v>15</v>
      </c>
      <c r="I1" s="155"/>
      <c r="J1" s="154" t="s">
        <v>14</v>
      </c>
      <c r="K1" s="155"/>
      <c r="L1" s="154" t="s">
        <v>125</v>
      </c>
      <c r="M1" s="155"/>
      <c r="N1" s="154" t="s">
        <v>154</v>
      </c>
      <c r="O1" s="155"/>
      <c r="P1" s="154" t="s">
        <v>115</v>
      </c>
      <c r="Q1" s="155"/>
      <c r="R1" s="154" t="s">
        <v>116</v>
      </c>
      <c r="S1" s="155"/>
      <c r="T1" s="154" t="s">
        <v>5</v>
      </c>
      <c r="U1" s="155"/>
      <c r="V1" s="154" t="s">
        <v>16</v>
      </c>
      <c r="W1" s="155"/>
      <c r="X1" s="154" t="s">
        <v>98</v>
      </c>
      <c r="Y1" s="155"/>
      <c r="Z1" s="154" t="s">
        <v>95</v>
      </c>
      <c r="AA1" s="155"/>
      <c r="AB1" s="154" t="s">
        <v>101</v>
      </c>
      <c r="AC1" s="155"/>
      <c r="AD1" s="154" t="s">
        <v>117</v>
      </c>
      <c r="AE1" s="155"/>
      <c r="AF1" s="154" t="s">
        <v>113</v>
      </c>
      <c r="AG1" s="155"/>
      <c r="AH1" s="154" t="s">
        <v>148</v>
      </c>
      <c r="AI1" s="155"/>
    </row>
    <row r="2" spans="1:35">
      <c r="A2" s="58" t="s">
        <v>124</v>
      </c>
      <c r="B2" s="158">
        <v>0.57776645829788131</v>
      </c>
      <c r="C2" s="159"/>
      <c r="D2" s="156"/>
      <c r="E2" s="157"/>
      <c r="F2" s="156"/>
      <c r="G2" s="157"/>
      <c r="H2" s="158">
        <v>0.86479685559372066</v>
      </c>
      <c r="I2" s="159"/>
      <c r="J2" s="158">
        <v>0.81220699748318581</v>
      </c>
      <c r="K2" s="159"/>
      <c r="L2" s="158">
        <v>0.35784733543516029</v>
      </c>
      <c r="M2" s="159"/>
      <c r="N2" s="158">
        <v>0.65387499402887772</v>
      </c>
      <c r="O2" s="159"/>
      <c r="P2" s="158">
        <v>0.19438591982213704</v>
      </c>
      <c r="Q2" s="159"/>
      <c r="R2" s="158">
        <v>0.34900237771660453</v>
      </c>
      <c r="S2" s="159"/>
      <c r="T2" s="158">
        <v>0.71989391102387368</v>
      </c>
      <c r="U2" s="159"/>
      <c r="V2" s="158">
        <v>0.50753145887392348</v>
      </c>
      <c r="W2" s="159"/>
      <c r="X2" s="158">
        <v>-0.28736518586758952</v>
      </c>
      <c r="Y2" s="159"/>
      <c r="Z2" s="158">
        <v>-0.49633168545283085</v>
      </c>
      <c r="AA2" s="159"/>
      <c r="AB2" s="158">
        <v>0.54236105862999784</v>
      </c>
      <c r="AC2" s="159"/>
      <c r="AD2" s="158">
        <v>0.10023537207171779</v>
      </c>
      <c r="AE2" s="159"/>
      <c r="AF2" s="158">
        <v>-0.4991995483216814</v>
      </c>
      <c r="AG2" s="159"/>
      <c r="AH2" s="158">
        <v>0.91029377104682241</v>
      </c>
      <c r="AI2" s="159"/>
    </row>
    <row r="3" spans="1:35">
      <c r="A3" s="60">
        <v>1</v>
      </c>
      <c r="B3" s="61" t="s">
        <v>114</v>
      </c>
      <c r="C3" s="132">
        <v>49.25</v>
      </c>
      <c r="D3" s="61" t="s">
        <v>169</v>
      </c>
      <c r="E3" s="62">
        <v>577.00000000000011</v>
      </c>
      <c r="F3" s="63" t="s">
        <v>228</v>
      </c>
      <c r="G3" s="82">
        <v>61.45</v>
      </c>
      <c r="H3" s="63" t="s">
        <v>228</v>
      </c>
      <c r="I3" s="64">
        <v>1</v>
      </c>
      <c r="J3" s="63" t="s">
        <v>228</v>
      </c>
      <c r="K3" s="65">
        <v>1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205</v>
      </c>
      <c r="Q3" s="66">
        <v>0.42857142857142855</v>
      </c>
      <c r="R3" s="63" t="s">
        <v>167</v>
      </c>
      <c r="S3" s="66">
        <v>0</v>
      </c>
      <c r="T3" s="63" t="s">
        <v>227</v>
      </c>
      <c r="U3" s="67">
        <v>12000</v>
      </c>
      <c r="V3" s="63" t="s">
        <v>167</v>
      </c>
      <c r="W3" s="67">
        <v>0</v>
      </c>
      <c r="X3" s="63" t="s">
        <v>215</v>
      </c>
      <c r="Y3" s="66">
        <v>0.33333333333333331</v>
      </c>
      <c r="Z3" s="63" t="s">
        <v>199</v>
      </c>
      <c r="AA3" s="66">
        <v>0.33333333333333331</v>
      </c>
      <c r="AB3" s="63" t="s">
        <v>228</v>
      </c>
      <c r="AC3" s="66">
        <v>1</v>
      </c>
      <c r="AD3" s="63" t="s">
        <v>215</v>
      </c>
      <c r="AE3" s="66">
        <v>1</v>
      </c>
      <c r="AF3" s="63" t="s">
        <v>163</v>
      </c>
      <c r="AG3" s="66">
        <v>0.6</v>
      </c>
      <c r="AH3" s="63" t="s">
        <v>169</v>
      </c>
      <c r="AI3" s="77">
        <v>71300</v>
      </c>
    </row>
    <row r="4" spans="1:35">
      <c r="A4" s="68">
        <v>2</v>
      </c>
      <c r="B4" s="69" t="s">
        <v>169</v>
      </c>
      <c r="C4" s="133">
        <v>30</v>
      </c>
      <c r="D4" s="69" t="s">
        <v>162</v>
      </c>
      <c r="E4" s="70">
        <v>268</v>
      </c>
      <c r="F4" s="71" t="s">
        <v>205</v>
      </c>
      <c r="G4" s="83">
        <v>35.274999999999999</v>
      </c>
      <c r="H4" s="71" t="s">
        <v>205</v>
      </c>
      <c r="I4" s="72">
        <v>1.75</v>
      </c>
      <c r="J4" s="71" t="s">
        <v>162</v>
      </c>
      <c r="K4" s="73">
        <v>0.66666666666666663</v>
      </c>
      <c r="L4" s="71" t="s">
        <v>175</v>
      </c>
      <c r="M4" s="73">
        <v>0</v>
      </c>
      <c r="N4" s="71" t="s">
        <v>228</v>
      </c>
      <c r="O4" s="73">
        <v>1</v>
      </c>
      <c r="P4" s="71" t="s">
        <v>228</v>
      </c>
      <c r="Q4" s="74">
        <v>0.36363636363636365</v>
      </c>
      <c r="R4" s="71" t="s">
        <v>196</v>
      </c>
      <c r="S4" s="74">
        <v>0</v>
      </c>
      <c r="T4" s="71" t="s">
        <v>216</v>
      </c>
      <c r="U4" s="75">
        <v>9040</v>
      </c>
      <c r="V4" s="71" t="s">
        <v>196</v>
      </c>
      <c r="W4" s="75">
        <v>0</v>
      </c>
      <c r="X4" s="71" t="s">
        <v>167</v>
      </c>
      <c r="Y4" s="74">
        <v>0.2857142857142857</v>
      </c>
      <c r="Z4" s="71" t="s">
        <v>168</v>
      </c>
      <c r="AA4" s="74">
        <v>0.33098591549295775</v>
      </c>
      <c r="AB4" s="71" t="s">
        <v>205</v>
      </c>
      <c r="AC4" s="74">
        <v>0.8571428571428571</v>
      </c>
      <c r="AD4" s="71" t="s">
        <v>166</v>
      </c>
      <c r="AE4" s="74">
        <v>0.66666666666666663</v>
      </c>
      <c r="AF4" s="71" t="s">
        <v>166</v>
      </c>
      <c r="AG4" s="74">
        <v>0.5714285714285714</v>
      </c>
      <c r="AH4" s="71" t="s">
        <v>114</v>
      </c>
      <c r="AI4" s="78">
        <v>71300</v>
      </c>
    </row>
    <row r="5" spans="1:35">
      <c r="A5" s="68">
        <v>3</v>
      </c>
      <c r="B5" s="69" t="s">
        <v>195</v>
      </c>
      <c r="C5" s="133">
        <v>22</v>
      </c>
      <c r="D5" s="69" t="s">
        <v>168</v>
      </c>
      <c r="E5" s="70">
        <v>154.39999999999998</v>
      </c>
      <c r="F5" s="71" t="s">
        <v>162</v>
      </c>
      <c r="G5" s="83">
        <v>29.777777777777779</v>
      </c>
      <c r="H5" s="71" t="s">
        <v>162</v>
      </c>
      <c r="I5" s="72">
        <v>1.8888888888888888</v>
      </c>
      <c r="J5" s="71" t="s">
        <v>177</v>
      </c>
      <c r="K5" s="73">
        <v>0.5</v>
      </c>
      <c r="L5" s="71" t="s">
        <v>196</v>
      </c>
      <c r="M5" s="73">
        <v>0</v>
      </c>
      <c r="N5" s="71" t="s">
        <v>205</v>
      </c>
      <c r="O5" s="73">
        <v>0.75</v>
      </c>
      <c r="P5" s="71" t="s">
        <v>168</v>
      </c>
      <c r="Q5" s="74">
        <v>0.30281690140845069</v>
      </c>
      <c r="R5" s="71" t="s">
        <v>228</v>
      </c>
      <c r="S5" s="74">
        <v>0</v>
      </c>
      <c r="T5" s="71" t="s">
        <v>228</v>
      </c>
      <c r="U5" s="75">
        <v>8800</v>
      </c>
      <c r="V5" s="71" t="s">
        <v>228</v>
      </c>
      <c r="W5" s="75">
        <v>0</v>
      </c>
      <c r="X5" s="71" t="s">
        <v>223</v>
      </c>
      <c r="Y5" s="74">
        <v>0.2857142857142857</v>
      </c>
      <c r="Z5" s="71" t="s">
        <v>163</v>
      </c>
      <c r="AA5" s="74">
        <v>0.3188405797101449</v>
      </c>
      <c r="AB5" s="71" t="s">
        <v>162</v>
      </c>
      <c r="AC5" s="74">
        <v>0.75</v>
      </c>
      <c r="AD5" s="71" t="s">
        <v>162</v>
      </c>
      <c r="AE5" s="74">
        <v>0.55555555555555558</v>
      </c>
      <c r="AF5" s="71" t="s">
        <v>167</v>
      </c>
      <c r="AG5" s="74">
        <v>0.5</v>
      </c>
      <c r="AH5" s="71" t="s">
        <v>162</v>
      </c>
      <c r="AI5" s="78">
        <v>67800</v>
      </c>
    </row>
    <row r="6" spans="1:35">
      <c r="A6" s="68">
        <v>4</v>
      </c>
      <c r="B6" s="69" t="s">
        <v>168</v>
      </c>
      <c r="C6" s="133">
        <v>18</v>
      </c>
      <c r="D6" s="69" t="s">
        <v>205</v>
      </c>
      <c r="E6" s="70">
        <v>141.1</v>
      </c>
      <c r="F6" s="71" t="s">
        <v>169</v>
      </c>
      <c r="G6" s="83">
        <v>19.233333333333338</v>
      </c>
      <c r="H6" s="71" t="s">
        <v>167</v>
      </c>
      <c r="I6" s="72">
        <v>2</v>
      </c>
      <c r="J6" s="71" t="s">
        <v>205</v>
      </c>
      <c r="K6" s="73">
        <v>0.5</v>
      </c>
      <c r="L6" s="71" t="s">
        <v>205</v>
      </c>
      <c r="M6" s="73">
        <v>0</v>
      </c>
      <c r="N6" s="71" t="s">
        <v>191</v>
      </c>
      <c r="O6" s="73">
        <v>0.7142857142857143</v>
      </c>
      <c r="P6" s="71" t="s">
        <v>167</v>
      </c>
      <c r="Q6" s="74">
        <v>0.2857142857142857</v>
      </c>
      <c r="R6" s="71" t="s">
        <v>169</v>
      </c>
      <c r="S6" s="74">
        <v>8.7336244541484712E-2</v>
      </c>
      <c r="T6" s="71" t="s">
        <v>167</v>
      </c>
      <c r="U6" s="75">
        <v>8600</v>
      </c>
      <c r="V6" s="71" t="s">
        <v>175</v>
      </c>
      <c r="W6" s="75">
        <v>-2950</v>
      </c>
      <c r="X6" s="71" t="s">
        <v>175</v>
      </c>
      <c r="Y6" s="74">
        <v>0.26666666666666666</v>
      </c>
      <c r="Z6" s="71" t="s">
        <v>180</v>
      </c>
      <c r="AA6" s="74">
        <v>0.2857142857142857</v>
      </c>
      <c r="AB6" s="71" t="s">
        <v>166</v>
      </c>
      <c r="AC6" s="74">
        <v>0.75</v>
      </c>
      <c r="AD6" s="71" t="s">
        <v>196</v>
      </c>
      <c r="AE6" s="74">
        <v>0.5</v>
      </c>
      <c r="AF6" s="71" t="s">
        <v>203</v>
      </c>
      <c r="AG6" s="74">
        <v>0.5</v>
      </c>
      <c r="AH6" s="71" t="s">
        <v>168</v>
      </c>
      <c r="AI6" s="78">
        <v>65600</v>
      </c>
    </row>
    <row r="7" spans="1:35">
      <c r="A7" s="68">
        <v>5</v>
      </c>
      <c r="B7" s="69" t="s">
        <v>179</v>
      </c>
      <c r="C7" s="133">
        <v>16</v>
      </c>
      <c r="D7" s="69" t="s">
        <v>228</v>
      </c>
      <c r="E7" s="70">
        <v>122.9</v>
      </c>
      <c r="F7" s="71" t="s">
        <v>167</v>
      </c>
      <c r="G7" s="83">
        <v>14</v>
      </c>
      <c r="H7" s="71" t="s">
        <v>169</v>
      </c>
      <c r="I7" s="72">
        <v>2.0666666666666669</v>
      </c>
      <c r="J7" s="71" t="s">
        <v>169</v>
      </c>
      <c r="K7" s="73">
        <v>0.4</v>
      </c>
      <c r="L7" s="71" t="s">
        <v>215</v>
      </c>
      <c r="M7" s="73">
        <v>0</v>
      </c>
      <c r="N7" s="71" t="s">
        <v>162</v>
      </c>
      <c r="O7" s="73">
        <v>0.66666666666666663</v>
      </c>
      <c r="P7" s="71" t="s">
        <v>162</v>
      </c>
      <c r="Q7" s="74">
        <v>0.26923076923076922</v>
      </c>
      <c r="R7" s="71" t="s">
        <v>164</v>
      </c>
      <c r="S7" s="74">
        <v>9.0909090909090912E-2</v>
      </c>
      <c r="T7" s="71" t="s">
        <v>175</v>
      </c>
      <c r="U7" s="75">
        <v>8400</v>
      </c>
      <c r="V7" s="71" t="s">
        <v>191</v>
      </c>
      <c r="W7" s="75">
        <v>-3740</v>
      </c>
      <c r="X7" s="71" t="s">
        <v>164</v>
      </c>
      <c r="Y7" s="74">
        <v>0.26446280991735538</v>
      </c>
      <c r="Z7" s="71" t="s">
        <v>227</v>
      </c>
      <c r="AA7" s="74">
        <v>0.27272727272727271</v>
      </c>
      <c r="AB7" s="71" t="s">
        <v>175</v>
      </c>
      <c r="AC7" s="74">
        <v>0.75</v>
      </c>
      <c r="AD7" s="71" t="s">
        <v>228</v>
      </c>
      <c r="AE7" s="74">
        <v>0.5</v>
      </c>
      <c r="AF7" s="71" t="s">
        <v>213</v>
      </c>
      <c r="AG7" s="74">
        <v>0.5</v>
      </c>
      <c r="AH7" s="71" t="s">
        <v>205</v>
      </c>
      <c r="AI7" s="78">
        <v>57200</v>
      </c>
    </row>
    <row r="8" spans="1:35">
      <c r="A8" s="68">
        <v>6</v>
      </c>
      <c r="B8" s="69" t="s">
        <v>164</v>
      </c>
      <c r="C8" s="133">
        <v>15</v>
      </c>
      <c r="D8" s="69" t="s">
        <v>191</v>
      </c>
      <c r="E8" s="70">
        <v>79.299999999999983</v>
      </c>
      <c r="F8" s="71" t="s">
        <v>168</v>
      </c>
      <c r="G8" s="83">
        <v>8.5777777777777757</v>
      </c>
      <c r="H8" s="71" t="s">
        <v>191</v>
      </c>
      <c r="I8" s="72">
        <v>2.1428571428571428</v>
      </c>
      <c r="J8" s="71" t="s">
        <v>168</v>
      </c>
      <c r="K8" s="73">
        <v>0.3888888888888889</v>
      </c>
      <c r="L8" s="71" t="s">
        <v>228</v>
      </c>
      <c r="M8" s="73">
        <v>0</v>
      </c>
      <c r="N8" s="71" t="s">
        <v>169</v>
      </c>
      <c r="O8" s="73">
        <v>0.6333333333333333</v>
      </c>
      <c r="P8" s="71" t="s">
        <v>179</v>
      </c>
      <c r="Q8" s="74">
        <v>0.24427480916030533</v>
      </c>
      <c r="R8" s="71" t="s">
        <v>177</v>
      </c>
      <c r="S8" s="74">
        <v>0.10526315789473684</v>
      </c>
      <c r="T8" s="71" t="s">
        <v>205</v>
      </c>
      <c r="U8" s="75">
        <v>8333.3333333333339</v>
      </c>
      <c r="V8" s="71" t="s">
        <v>215</v>
      </c>
      <c r="W8" s="75">
        <v>-3900</v>
      </c>
      <c r="X8" s="71" t="s">
        <v>162</v>
      </c>
      <c r="Y8" s="74">
        <v>0.25641025641025639</v>
      </c>
      <c r="Z8" s="71" t="s">
        <v>195</v>
      </c>
      <c r="AA8" s="74">
        <v>0.26666666666666666</v>
      </c>
      <c r="AB8" s="71" t="s">
        <v>177</v>
      </c>
      <c r="AC8" s="74">
        <v>0.75</v>
      </c>
      <c r="AD8" s="71" t="s">
        <v>179</v>
      </c>
      <c r="AE8" s="74">
        <v>0.45454545454545453</v>
      </c>
      <c r="AF8" s="71" t="s">
        <v>223</v>
      </c>
      <c r="AG8" s="74">
        <v>0.5</v>
      </c>
      <c r="AH8" s="71" t="s">
        <v>161</v>
      </c>
      <c r="AI8" s="78">
        <v>54900</v>
      </c>
    </row>
    <row r="9" spans="1:35">
      <c r="A9" s="68">
        <v>7</v>
      </c>
      <c r="B9" s="69" t="s">
        <v>191</v>
      </c>
      <c r="C9" s="133">
        <v>14</v>
      </c>
      <c r="D9" s="69" t="s">
        <v>164</v>
      </c>
      <c r="E9" s="70">
        <v>22.499999999999993</v>
      </c>
      <c r="F9" s="71" t="s">
        <v>191</v>
      </c>
      <c r="G9" s="83">
        <v>5.6642857142857128</v>
      </c>
      <c r="H9" s="71" t="s">
        <v>168</v>
      </c>
      <c r="I9" s="72">
        <v>2.3333333333333335</v>
      </c>
      <c r="J9" s="71" t="s">
        <v>163</v>
      </c>
      <c r="K9" s="73">
        <v>0.375</v>
      </c>
      <c r="L9" s="71" t="s">
        <v>191</v>
      </c>
      <c r="M9" s="73">
        <v>7.1428571428571425E-2</v>
      </c>
      <c r="N9" s="71" t="s">
        <v>164</v>
      </c>
      <c r="O9" s="73">
        <v>0.6</v>
      </c>
      <c r="P9" s="71" t="s">
        <v>169</v>
      </c>
      <c r="Q9" s="74">
        <v>0.23144104803493451</v>
      </c>
      <c r="R9" s="71" t="s">
        <v>179</v>
      </c>
      <c r="S9" s="74">
        <v>0.10687022900763359</v>
      </c>
      <c r="T9" s="71" t="s">
        <v>169</v>
      </c>
      <c r="U9" s="75">
        <v>7998.1132075471696</v>
      </c>
      <c r="V9" s="71" t="s">
        <v>202</v>
      </c>
      <c r="W9" s="75">
        <v>-4800</v>
      </c>
      <c r="X9" s="71" t="s">
        <v>196</v>
      </c>
      <c r="Y9" s="74">
        <v>0.25</v>
      </c>
      <c r="Z9" s="71" t="s">
        <v>164</v>
      </c>
      <c r="AA9" s="74">
        <v>0.256198347107438</v>
      </c>
      <c r="AB9" s="71" t="s">
        <v>168</v>
      </c>
      <c r="AC9" s="74">
        <v>0.7142857142857143</v>
      </c>
      <c r="AD9" s="71" t="s">
        <v>216</v>
      </c>
      <c r="AE9" s="74">
        <v>0.4</v>
      </c>
      <c r="AF9" s="71" t="s">
        <v>161</v>
      </c>
      <c r="AG9" s="74">
        <v>0.4375</v>
      </c>
      <c r="AH9" s="71" t="s">
        <v>179</v>
      </c>
      <c r="AI9" s="78">
        <v>53200</v>
      </c>
    </row>
    <row r="10" spans="1:35">
      <c r="A10" s="68">
        <v>8</v>
      </c>
      <c r="B10" s="69" t="s">
        <v>161</v>
      </c>
      <c r="C10" s="133">
        <v>10</v>
      </c>
      <c r="D10" s="69" t="s">
        <v>163</v>
      </c>
      <c r="E10" s="70">
        <v>20.300000000000004</v>
      </c>
      <c r="F10" s="71" t="s">
        <v>163</v>
      </c>
      <c r="G10" s="83">
        <v>2.5375000000000005</v>
      </c>
      <c r="H10" s="71" t="s">
        <v>179</v>
      </c>
      <c r="I10" s="72">
        <v>2.4375</v>
      </c>
      <c r="J10" s="71" t="s">
        <v>161</v>
      </c>
      <c r="K10" s="73">
        <v>0.3</v>
      </c>
      <c r="L10" s="71" t="s">
        <v>169</v>
      </c>
      <c r="M10" s="73">
        <v>0.1</v>
      </c>
      <c r="N10" s="71" t="s">
        <v>168</v>
      </c>
      <c r="O10" s="73">
        <v>0.55555555555555558</v>
      </c>
      <c r="P10" s="71" t="s">
        <v>195</v>
      </c>
      <c r="Q10" s="74">
        <v>0.22</v>
      </c>
      <c r="R10" s="71" t="s">
        <v>205</v>
      </c>
      <c r="S10" s="74">
        <v>0.10714285714285714</v>
      </c>
      <c r="T10" s="71" t="s">
        <v>162</v>
      </c>
      <c r="U10" s="75">
        <v>7942.8571428571431</v>
      </c>
      <c r="V10" s="71" t="s">
        <v>169</v>
      </c>
      <c r="W10" s="75">
        <v>-4890</v>
      </c>
      <c r="X10" s="71" t="s">
        <v>205</v>
      </c>
      <c r="Y10" s="74">
        <v>0.25</v>
      </c>
      <c r="Z10" s="71" t="s">
        <v>179</v>
      </c>
      <c r="AA10" s="74">
        <v>0.25190839694656486</v>
      </c>
      <c r="AB10" s="71" t="s">
        <v>169</v>
      </c>
      <c r="AC10" s="74">
        <v>0.7</v>
      </c>
      <c r="AD10" s="71" t="s">
        <v>161</v>
      </c>
      <c r="AE10" s="74">
        <v>0.3888888888888889</v>
      </c>
      <c r="AF10" s="71" t="s">
        <v>162</v>
      </c>
      <c r="AG10" s="74">
        <v>0.42857142857142855</v>
      </c>
      <c r="AH10" s="71" t="s">
        <v>191</v>
      </c>
      <c r="AI10" s="78">
        <v>52500</v>
      </c>
    </row>
    <row r="11" spans="1:35">
      <c r="A11" s="68">
        <v>9</v>
      </c>
      <c r="B11" s="69" t="s">
        <v>162</v>
      </c>
      <c r="C11" s="133">
        <v>9</v>
      </c>
      <c r="D11" s="69" t="s">
        <v>167</v>
      </c>
      <c r="E11" s="70">
        <v>14</v>
      </c>
      <c r="F11" s="71" t="s">
        <v>177</v>
      </c>
      <c r="G11" s="83">
        <v>1.9499999999999993</v>
      </c>
      <c r="H11" s="71" t="s">
        <v>164</v>
      </c>
      <c r="I11" s="72">
        <v>2.4666666666666668</v>
      </c>
      <c r="J11" s="71" t="s">
        <v>114</v>
      </c>
      <c r="K11" s="73">
        <v>0.25888324873096447</v>
      </c>
      <c r="L11" s="71" t="s">
        <v>195</v>
      </c>
      <c r="M11" s="73">
        <v>0.18181818181818182</v>
      </c>
      <c r="N11" s="71" t="s">
        <v>213</v>
      </c>
      <c r="O11" s="73">
        <v>0.55555555555555558</v>
      </c>
      <c r="P11" s="71" t="s">
        <v>163</v>
      </c>
      <c r="Q11" s="74">
        <v>0.21739130434782608</v>
      </c>
      <c r="R11" s="71" t="s">
        <v>166</v>
      </c>
      <c r="S11" s="74">
        <v>0.11428571428571428</v>
      </c>
      <c r="T11" s="71" t="s">
        <v>164</v>
      </c>
      <c r="U11" s="75">
        <v>7355</v>
      </c>
      <c r="V11" s="71" t="s">
        <v>162</v>
      </c>
      <c r="W11" s="75">
        <v>-5000</v>
      </c>
      <c r="X11" s="71" t="s">
        <v>195</v>
      </c>
      <c r="Y11" s="74">
        <v>0.22666666666666666</v>
      </c>
      <c r="Z11" s="71" t="s">
        <v>196</v>
      </c>
      <c r="AA11" s="74">
        <v>0.25</v>
      </c>
      <c r="AB11" s="71" t="s">
        <v>161</v>
      </c>
      <c r="AC11" s="74">
        <v>0.53846153846153844</v>
      </c>
      <c r="AD11" s="71" t="s">
        <v>168</v>
      </c>
      <c r="AE11" s="74">
        <v>0.38297872340425532</v>
      </c>
      <c r="AF11" s="71" t="s">
        <v>195</v>
      </c>
      <c r="AG11" s="74">
        <v>0.42424242424242425</v>
      </c>
      <c r="AH11" s="71" t="s">
        <v>164</v>
      </c>
      <c r="AI11" s="78">
        <v>52000</v>
      </c>
    </row>
    <row r="12" spans="1:35">
      <c r="A12" s="68">
        <v>10</v>
      </c>
      <c r="B12" s="69" t="s">
        <v>213</v>
      </c>
      <c r="C12" s="133">
        <v>9</v>
      </c>
      <c r="D12" s="69" t="s">
        <v>177</v>
      </c>
      <c r="E12" s="70">
        <v>3.8999999999999986</v>
      </c>
      <c r="F12" s="71" t="s">
        <v>164</v>
      </c>
      <c r="G12" s="83">
        <v>1.4999999999999996</v>
      </c>
      <c r="H12" s="71" t="s">
        <v>114</v>
      </c>
      <c r="I12" s="72">
        <v>2.4822335025380711</v>
      </c>
      <c r="J12" s="71" t="s">
        <v>179</v>
      </c>
      <c r="K12" s="73">
        <v>0.25</v>
      </c>
      <c r="L12" s="71" t="s">
        <v>179</v>
      </c>
      <c r="M12" s="73">
        <v>0.1875</v>
      </c>
      <c r="N12" s="71" t="s">
        <v>114</v>
      </c>
      <c r="O12" s="73">
        <v>0.5025380710659898</v>
      </c>
      <c r="P12" s="71" t="s">
        <v>177</v>
      </c>
      <c r="Q12" s="74">
        <v>0.21052631578947367</v>
      </c>
      <c r="R12" s="71" t="s">
        <v>163</v>
      </c>
      <c r="S12" s="74">
        <v>0.11594202898550725</v>
      </c>
      <c r="T12" s="71" t="s">
        <v>213</v>
      </c>
      <c r="U12" s="75">
        <v>7300</v>
      </c>
      <c r="V12" s="71" t="s">
        <v>203</v>
      </c>
      <c r="W12" s="75">
        <v>-5080</v>
      </c>
      <c r="X12" s="71" t="s">
        <v>177</v>
      </c>
      <c r="Y12" s="74">
        <v>0.21052631578947367</v>
      </c>
      <c r="Z12" s="71" t="s">
        <v>191</v>
      </c>
      <c r="AA12" s="74">
        <v>0.24347826086956523</v>
      </c>
      <c r="AB12" s="71" t="s">
        <v>114</v>
      </c>
      <c r="AC12" s="74">
        <v>0.51916376306620204</v>
      </c>
      <c r="AD12" s="71" t="s">
        <v>169</v>
      </c>
      <c r="AE12" s="74">
        <v>0.36585365853658536</v>
      </c>
      <c r="AF12" s="71" t="s">
        <v>205</v>
      </c>
      <c r="AG12" s="74">
        <v>0.41666666666666669</v>
      </c>
      <c r="AH12" s="71" t="s">
        <v>195</v>
      </c>
      <c r="AI12" s="78">
        <v>48000</v>
      </c>
    </row>
    <row r="13" spans="1:35">
      <c r="A13" s="68">
        <v>11</v>
      </c>
      <c r="B13" s="69" t="s">
        <v>216</v>
      </c>
      <c r="C13" s="133">
        <v>9</v>
      </c>
      <c r="D13" s="69" t="s">
        <v>161</v>
      </c>
      <c r="E13" s="70">
        <v>-0.69999999999998863</v>
      </c>
      <c r="F13" s="71" t="s">
        <v>161</v>
      </c>
      <c r="G13" s="83">
        <v>-6.9999999999998869E-2</v>
      </c>
      <c r="H13" s="71" t="s">
        <v>161</v>
      </c>
      <c r="I13" s="72">
        <v>2.5</v>
      </c>
      <c r="J13" s="71" t="s">
        <v>191</v>
      </c>
      <c r="K13" s="73">
        <v>0.21428571428571427</v>
      </c>
      <c r="L13" s="71" t="s">
        <v>162</v>
      </c>
      <c r="M13" s="73">
        <v>0.22222222222222221</v>
      </c>
      <c r="N13" s="71" t="s">
        <v>161</v>
      </c>
      <c r="O13" s="73">
        <v>0.5</v>
      </c>
      <c r="P13" s="71" t="s">
        <v>114</v>
      </c>
      <c r="Q13" s="74">
        <v>0.20808080808080809</v>
      </c>
      <c r="R13" s="71" t="s">
        <v>213</v>
      </c>
      <c r="S13" s="74">
        <v>0.12244897959183673</v>
      </c>
      <c r="T13" s="71" t="s">
        <v>223</v>
      </c>
      <c r="U13" s="75">
        <v>7200</v>
      </c>
      <c r="V13" s="71" t="s">
        <v>223</v>
      </c>
      <c r="W13" s="75">
        <v>-5450</v>
      </c>
      <c r="X13" s="71" t="s">
        <v>203</v>
      </c>
      <c r="Y13" s="74">
        <v>0.20930232558139536</v>
      </c>
      <c r="Z13" s="71" t="s">
        <v>161</v>
      </c>
      <c r="AA13" s="74">
        <v>0.23376623376623376</v>
      </c>
      <c r="AB13" s="71" t="s">
        <v>195</v>
      </c>
      <c r="AC13" s="74">
        <v>0.5</v>
      </c>
      <c r="AD13" s="71" t="s">
        <v>191</v>
      </c>
      <c r="AE13" s="74">
        <v>0.35714285714285715</v>
      </c>
      <c r="AF13" s="71" t="s">
        <v>216</v>
      </c>
      <c r="AG13" s="74">
        <v>0.4</v>
      </c>
      <c r="AH13" s="71" t="s">
        <v>177</v>
      </c>
      <c r="AI13" s="78">
        <v>42500</v>
      </c>
    </row>
    <row r="14" spans="1:35">
      <c r="A14" s="68">
        <v>12</v>
      </c>
      <c r="B14" s="69" t="s">
        <v>163</v>
      </c>
      <c r="C14" s="133">
        <v>8</v>
      </c>
      <c r="D14" s="69" t="s">
        <v>175</v>
      </c>
      <c r="E14" s="70">
        <v>-2.2000000000000011</v>
      </c>
      <c r="F14" s="71" t="s">
        <v>114</v>
      </c>
      <c r="G14" s="83">
        <v>-0.15228426395939104</v>
      </c>
      <c r="H14" s="71" t="s">
        <v>163</v>
      </c>
      <c r="I14" s="72">
        <v>2.5</v>
      </c>
      <c r="J14" s="71" t="s">
        <v>164</v>
      </c>
      <c r="K14" s="73">
        <v>0.2</v>
      </c>
      <c r="L14" s="71" t="s">
        <v>213</v>
      </c>
      <c r="M14" s="73">
        <v>0.22222222222222221</v>
      </c>
      <c r="N14" s="71" t="s">
        <v>179</v>
      </c>
      <c r="O14" s="73">
        <v>0.5</v>
      </c>
      <c r="P14" s="71" t="s">
        <v>161</v>
      </c>
      <c r="Q14" s="74">
        <v>0.20779220779220781</v>
      </c>
      <c r="R14" s="71" t="s">
        <v>162</v>
      </c>
      <c r="S14" s="74">
        <v>0.12820512820512819</v>
      </c>
      <c r="T14" s="71" t="s">
        <v>161</v>
      </c>
      <c r="U14" s="75">
        <v>7025</v>
      </c>
      <c r="V14" s="71" t="s">
        <v>164</v>
      </c>
      <c r="W14" s="75">
        <v>-5500</v>
      </c>
      <c r="X14" s="71" t="s">
        <v>213</v>
      </c>
      <c r="Y14" s="74">
        <v>0.20408163265306123</v>
      </c>
      <c r="Z14" s="71" t="s">
        <v>205</v>
      </c>
      <c r="AA14" s="74">
        <v>0.21428571428571427</v>
      </c>
      <c r="AB14" s="71" t="s">
        <v>163</v>
      </c>
      <c r="AC14" s="74">
        <v>0.5</v>
      </c>
      <c r="AD14" s="71" t="s">
        <v>114</v>
      </c>
      <c r="AE14" s="74">
        <v>0.3522012578616352</v>
      </c>
      <c r="AF14" s="71" t="s">
        <v>168</v>
      </c>
      <c r="AG14" s="74">
        <v>0.39534883720930231</v>
      </c>
      <c r="AH14" s="71" t="s">
        <v>228</v>
      </c>
      <c r="AI14" s="78">
        <v>42500</v>
      </c>
    </row>
    <row r="15" spans="1:35">
      <c r="A15" s="68">
        <v>13</v>
      </c>
      <c r="B15" s="69" t="s">
        <v>203</v>
      </c>
      <c r="C15" s="133">
        <v>5</v>
      </c>
      <c r="D15" s="69" t="s">
        <v>215</v>
      </c>
      <c r="E15" s="70">
        <v>-14.4</v>
      </c>
      <c r="F15" s="71" t="s">
        <v>175</v>
      </c>
      <c r="G15" s="83">
        <v>-1.1000000000000005</v>
      </c>
      <c r="H15" s="71" t="s">
        <v>175</v>
      </c>
      <c r="I15" s="72">
        <v>2.5</v>
      </c>
      <c r="J15" s="71" t="s">
        <v>195</v>
      </c>
      <c r="K15" s="73">
        <v>0.13636363636363635</v>
      </c>
      <c r="L15" s="71" t="s">
        <v>114</v>
      </c>
      <c r="M15" s="73">
        <v>0.24365482233502539</v>
      </c>
      <c r="N15" s="71" t="s">
        <v>163</v>
      </c>
      <c r="O15" s="73">
        <v>0.5</v>
      </c>
      <c r="P15" s="71" t="s">
        <v>166</v>
      </c>
      <c r="Q15" s="74">
        <v>0.2</v>
      </c>
      <c r="R15" s="71" t="s">
        <v>191</v>
      </c>
      <c r="S15" s="74">
        <v>0.13043478260869565</v>
      </c>
      <c r="T15" s="71" t="s">
        <v>191</v>
      </c>
      <c r="U15" s="75">
        <v>6733.333333333333</v>
      </c>
      <c r="V15" s="71" t="s">
        <v>168</v>
      </c>
      <c r="W15" s="75">
        <v>-5835.7142857142853</v>
      </c>
      <c r="X15" s="71" t="s">
        <v>163</v>
      </c>
      <c r="Y15" s="74">
        <v>0.20289855072463769</v>
      </c>
      <c r="Z15" s="71" t="s">
        <v>114</v>
      </c>
      <c r="AA15" s="74">
        <v>0.21414141414141413</v>
      </c>
      <c r="AB15" s="71" t="s">
        <v>167</v>
      </c>
      <c r="AC15" s="74">
        <v>0.5</v>
      </c>
      <c r="AD15" s="71" t="s">
        <v>177</v>
      </c>
      <c r="AE15" s="74">
        <v>0.33333333333333331</v>
      </c>
      <c r="AF15" s="71" t="s">
        <v>179</v>
      </c>
      <c r="AG15" s="74">
        <v>0.375</v>
      </c>
      <c r="AH15" s="71" t="s">
        <v>163</v>
      </c>
      <c r="AI15" s="78">
        <v>41700</v>
      </c>
    </row>
    <row r="16" spans="1:35">
      <c r="A16" s="68">
        <v>14</v>
      </c>
      <c r="B16" s="69" t="s">
        <v>166</v>
      </c>
      <c r="C16" s="133">
        <v>4</v>
      </c>
      <c r="D16" s="69" t="s">
        <v>196</v>
      </c>
      <c r="E16" s="70">
        <v>-27.1</v>
      </c>
      <c r="F16" s="71" t="s">
        <v>179</v>
      </c>
      <c r="G16" s="83">
        <v>-2.1625000000000001</v>
      </c>
      <c r="H16" s="71" t="s">
        <v>177</v>
      </c>
      <c r="I16" s="72">
        <v>2.5</v>
      </c>
      <c r="J16" s="71" t="s">
        <v>216</v>
      </c>
      <c r="K16" s="73">
        <v>0.1111111111111111</v>
      </c>
      <c r="L16" s="71" t="s">
        <v>223</v>
      </c>
      <c r="M16" s="73">
        <v>0.25</v>
      </c>
      <c r="N16" s="71" t="s">
        <v>175</v>
      </c>
      <c r="O16" s="73">
        <v>0.5</v>
      </c>
      <c r="P16" s="71" t="s">
        <v>175</v>
      </c>
      <c r="Q16" s="74">
        <v>0.2</v>
      </c>
      <c r="R16" s="71" t="s">
        <v>175</v>
      </c>
      <c r="S16" s="74">
        <v>0.13333333333333333</v>
      </c>
      <c r="T16" s="71" t="s">
        <v>114</v>
      </c>
      <c r="U16" s="75">
        <v>6601.941747572816</v>
      </c>
      <c r="V16" s="71" t="s">
        <v>177</v>
      </c>
      <c r="W16" s="75">
        <v>-5950</v>
      </c>
      <c r="X16" s="71" t="s">
        <v>168</v>
      </c>
      <c r="Y16" s="74">
        <v>0.19718309859154928</v>
      </c>
      <c r="Z16" s="71" t="s">
        <v>228</v>
      </c>
      <c r="AA16" s="74">
        <v>0.18181818181818182</v>
      </c>
      <c r="AB16" s="71" t="s">
        <v>227</v>
      </c>
      <c r="AC16" s="74">
        <v>0.5</v>
      </c>
      <c r="AD16" s="71" t="s">
        <v>205</v>
      </c>
      <c r="AE16" s="74">
        <v>0.33333333333333331</v>
      </c>
      <c r="AF16" s="71" t="s">
        <v>114</v>
      </c>
      <c r="AG16" s="74">
        <v>0.35275080906148865</v>
      </c>
      <c r="AH16" s="71" t="s">
        <v>216</v>
      </c>
      <c r="AI16" s="78">
        <v>36500</v>
      </c>
    </row>
    <row r="17" spans="1:35">
      <c r="A17" s="68">
        <v>15</v>
      </c>
      <c r="B17" s="69" t="s">
        <v>205</v>
      </c>
      <c r="C17" s="133">
        <v>4</v>
      </c>
      <c r="D17" s="69" t="s">
        <v>114</v>
      </c>
      <c r="E17" s="70">
        <v>-30.000000000000036</v>
      </c>
      <c r="F17" s="71" t="s">
        <v>213</v>
      </c>
      <c r="G17" s="83">
        <v>-11.033333333333335</v>
      </c>
      <c r="H17" s="71" t="s">
        <v>213</v>
      </c>
      <c r="I17" s="72">
        <v>2.6666666666666665</v>
      </c>
      <c r="J17" s="71" t="s">
        <v>166</v>
      </c>
      <c r="K17" s="73">
        <v>0</v>
      </c>
      <c r="L17" s="71" t="s">
        <v>164</v>
      </c>
      <c r="M17" s="73">
        <v>0.26666666666666666</v>
      </c>
      <c r="N17" s="71" t="s">
        <v>177</v>
      </c>
      <c r="O17" s="73">
        <v>0.5</v>
      </c>
      <c r="P17" s="71" t="s">
        <v>191</v>
      </c>
      <c r="Q17" s="74">
        <v>0.18260869565217391</v>
      </c>
      <c r="R17" s="71" t="s">
        <v>199</v>
      </c>
      <c r="S17" s="74">
        <v>0.13333333333333333</v>
      </c>
      <c r="T17" s="71" t="s">
        <v>203</v>
      </c>
      <c r="U17" s="75">
        <v>6275</v>
      </c>
      <c r="V17" s="71" t="s">
        <v>213</v>
      </c>
      <c r="W17" s="75">
        <v>-5966.666666666667</v>
      </c>
      <c r="X17" s="71" t="s">
        <v>114</v>
      </c>
      <c r="Y17" s="74">
        <v>0.19326599326599325</v>
      </c>
      <c r="Z17" s="71" t="s">
        <v>169</v>
      </c>
      <c r="AA17" s="74">
        <v>0.17903930131004367</v>
      </c>
      <c r="AB17" s="71" t="s">
        <v>179</v>
      </c>
      <c r="AC17" s="74">
        <v>0.4</v>
      </c>
      <c r="AD17" s="71" t="s">
        <v>195</v>
      </c>
      <c r="AE17" s="74">
        <v>0.32500000000000001</v>
      </c>
      <c r="AF17" s="71" t="s">
        <v>175</v>
      </c>
      <c r="AG17" s="74">
        <v>0.33333333333333331</v>
      </c>
      <c r="AH17" s="71" t="s">
        <v>213</v>
      </c>
      <c r="AI17" s="78">
        <v>34800</v>
      </c>
    </row>
    <row r="18" spans="1:35">
      <c r="A18" s="68">
        <v>16</v>
      </c>
      <c r="B18" s="69" t="s">
        <v>223</v>
      </c>
      <c r="C18" s="133">
        <v>4</v>
      </c>
      <c r="D18" s="69" t="s">
        <v>179</v>
      </c>
      <c r="E18" s="70">
        <v>-34.6</v>
      </c>
      <c r="F18" s="71" t="s">
        <v>195</v>
      </c>
      <c r="G18" s="83">
        <v>-11.345454545454546</v>
      </c>
      <c r="H18" s="71" t="s">
        <v>195</v>
      </c>
      <c r="I18" s="72">
        <v>2.7272727272727271</v>
      </c>
      <c r="J18" s="71" t="s">
        <v>167</v>
      </c>
      <c r="K18" s="73">
        <v>0</v>
      </c>
      <c r="L18" s="71" t="s">
        <v>168</v>
      </c>
      <c r="M18" s="73">
        <v>0.27777777777777779</v>
      </c>
      <c r="N18" s="71" t="s">
        <v>223</v>
      </c>
      <c r="O18" s="73">
        <v>0.5</v>
      </c>
      <c r="P18" s="71" t="s">
        <v>215</v>
      </c>
      <c r="Q18" s="74">
        <v>0.16666666666666666</v>
      </c>
      <c r="R18" s="71" t="s">
        <v>114</v>
      </c>
      <c r="S18" s="74">
        <v>0.13468013468013468</v>
      </c>
      <c r="T18" s="71" t="s">
        <v>163</v>
      </c>
      <c r="U18" s="75">
        <v>5993.333333333333</v>
      </c>
      <c r="V18" s="71" t="s">
        <v>114</v>
      </c>
      <c r="W18" s="75">
        <v>-6234.5</v>
      </c>
      <c r="X18" s="71" t="s">
        <v>179</v>
      </c>
      <c r="Y18" s="74">
        <v>0.19083969465648856</v>
      </c>
      <c r="Z18" s="71" t="s">
        <v>202</v>
      </c>
      <c r="AA18" s="74">
        <v>0.17647058823529413</v>
      </c>
      <c r="AB18" s="71" t="s">
        <v>213</v>
      </c>
      <c r="AC18" s="74">
        <v>0.4</v>
      </c>
      <c r="AD18" s="71" t="s">
        <v>163</v>
      </c>
      <c r="AE18" s="74">
        <v>0.31818181818181818</v>
      </c>
      <c r="AF18" s="71" t="s">
        <v>177</v>
      </c>
      <c r="AG18" s="74">
        <v>0.25</v>
      </c>
      <c r="AH18" s="71" t="s">
        <v>167</v>
      </c>
      <c r="AI18" s="78">
        <v>34000</v>
      </c>
    </row>
    <row r="19" spans="1:35">
      <c r="A19" s="68">
        <v>17</v>
      </c>
      <c r="B19" s="69" t="s">
        <v>208</v>
      </c>
      <c r="C19" s="133">
        <v>3</v>
      </c>
      <c r="D19" s="69" t="s">
        <v>180</v>
      </c>
      <c r="E19" s="70">
        <v>-52.6</v>
      </c>
      <c r="F19" s="71" t="s">
        <v>215</v>
      </c>
      <c r="G19" s="83">
        <v>-14.4</v>
      </c>
      <c r="H19" s="71" t="s">
        <v>223</v>
      </c>
      <c r="I19" s="72">
        <v>2.75</v>
      </c>
      <c r="J19" s="71" t="s">
        <v>175</v>
      </c>
      <c r="K19" s="73">
        <v>0</v>
      </c>
      <c r="L19" s="71" t="s">
        <v>161</v>
      </c>
      <c r="M19" s="73">
        <v>0.3</v>
      </c>
      <c r="N19" s="71" t="s">
        <v>227</v>
      </c>
      <c r="O19" s="73">
        <v>0.5</v>
      </c>
      <c r="P19" s="71" t="s">
        <v>164</v>
      </c>
      <c r="Q19" s="74">
        <v>0.16528925619834711</v>
      </c>
      <c r="R19" s="71" t="s">
        <v>195</v>
      </c>
      <c r="S19" s="74">
        <v>0.15333333333333332</v>
      </c>
      <c r="T19" s="71" t="s">
        <v>168</v>
      </c>
      <c r="U19" s="75">
        <v>5988.3720930232557</v>
      </c>
      <c r="V19" s="71" t="s">
        <v>208</v>
      </c>
      <c r="W19" s="75">
        <v>-6340</v>
      </c>
      <c r="X19" s="71" t="s">
        <v>228</v>
      </c>
      <c r="Y19" s="74">
        <v>0.18181818181818182</v>
      </c>
      <c r="Z19" s="71" t="s">
        <v>166</v>
      </c>
      <c r="AA19" s="74">
        <v>0.17142857142857143</v>
      </c>
      <c r="AB19" s="71" t="s">
        <v>216</v>
      </c>
      <c r="AC19" s="74">
        <v>0.375</v>
      </c>
      <c r="AD19" s="71" t="s">
        <v>164</v>
      </c>
      <c r="AE19" s="74">
        <v>0.22580645161290322</v>
      </c>
      <c r="AF19" s="71" t="s">
        <v>228</v>
      </c>
      <c r="AG19" s="74">
        <v>0.25</v>
      </c>
      <c r="AH19" s="71" t="s">
        <v>175</v>
      </c>
      <c r="AI19" s="78">
        <v>33600</v>
      </c>
    </row>
    <row r="20" spans="1:35">
      <c r="A20" s="68">
        <v>18</v>
      </c>
      <c r="B20" s="69" t="s">
        <v>175</v>
      </c>
      <c r="C20" s="133">
        <v>2</v>
      </c>
      <c r="D20" s="69" t="s">
        <v>227</v>
      </c>
      <c r="E20" s="70">
        <v>-62.100000000000009</v>
      </c>
      <c r="F20" s="71" t="s">
        <v>223</v>
      </c>
      <c r="G20" s="83">
        <v>-18.125</v>
      </c>
      <c r="H20" s="71" t="s">
        <v>196</v>
      </c>
      <c r="I20" s="72">
        <v>3</v>
      </c>
      <c r="J20" s="71" t="s">
        <v>180</v>
      </c>
      <c r="K20" s="73">
        <v>0</v>
      </c>
      <c r="L20" s="71" t="s">
        <v>163</v>
      </c>
      <c r="M20" s="73">
        <v>0.375</v>
      </c>
      <c r="N20" s="71" t="s">
        <v>216</v>
      </c>
      <c r="O20" s="73">
        <v>0.33333333333333331</v>
      </c>
      <c r="P20" s="71" t="s">
        <v>196</v>
      </c>
      <c r="Q20" s="74">
        <v>0.125</v>
      </c>
      <c r="R20" s="71" t="s">
        <v>215</v>
      </c>
      <c r="S20" s="74">
        <v>0.16666666666666666</v>
      </c>
      <c r="T20" s="71" t="s">
        <v>177</v>
      </c>
      <c r="U20" s="75">
        <v>5900</v>
      </c>
      <c r="V20" s="71" t="s">
        <v>161</v>
      </c>
      <c r="W20" s="75">
        <v>-6514.2857142857147</v>
      </c>
      <c r="X20" s="71" t="s">
        <v>227</v>
      </c>
      <c r="Y20" s="74">
        <v>0.18181818181818182</v>
      </c>
      <c r="Z20" s="71" t="s">
        <v>215</v>
      </c>
      <c r="AA20" s="74">
        <v>0.16666666666666666</v>
      </c>
      <c r="AB20" s="71" t="s">
        <v>191</v>
      </c>
      <c r="AC20" s="74">
        <v>0.33333333333333331</v>
      </c>
      <c r="AD20" s="71" t="s">
        <v>203</v>
      </c>
      <c r="AE20" s="74">
        <v>0.16666666666666666</v>
      </c>
      <c r="AF20" s="71" t="s">
        <v>169</v>
      </c>
      <c r="AG20" s="74">
        <v>0.20754716981132076</v>
      </c>
      <c r="AH20" s="71" t="s">
        <v>215</v>
      </c>
      <c r="AI20" s="78">
        <v>25600</v>
      </c>
    </row>
    <row r="21" spans="1:35">
      <c r="A21" s="68">
        <v>19</v>
      </c>
      <c r="B21" s="69" t="s">
        <v>177</v>
      </c>
      <c r="C21" s="133">
        <v>2</v>
      </c>
      <c r="D21" s="69" t="s">
        <v>223</v>
      </c>
      <c r="E21" s="70">
        <v>-72.5</v>
      </c>
      <c r="F21" s="71" t="s">
        <v>216</v>
      </c>
      <c r="G21" s="83">
        <v>-21.43333333333333</v>
      </c>
      <c r="H21" s="71" t="s">
        <v>215</v>
      </c>
      <c r="I21" s="72">
        <v>3</v>
      </c>
      <c r="J21" s="71" t="s">
        <v>199</v>
      </c>
      <c r="K21" s="73">
        <v>0</v>
      </c>
      <c r="L21" s="71" t="s">
        <v>203</v>
      </c>
      <c r="M21" s="73">
        <v>0.4</v>
      </c>
      <c r="N21" s="71" t="s">
        <v>195</v>
      </c>
      <c r="O21" s="73">
        <v>0.31818181818181818</v>
      </c>
      <c r="P21" s="71" t="s">
        <v>213</v>
      </c>
      <c r="Q21" s="74">
        <v>0.12244897959183673</v>
      </c>
      <c r="R21" s="71" t="s">
        <v>202</v>
      </c>
      <c r="S21" s="74">
        <v>0.17647058823529413</v>
      </c>
      <c r="T21" s="71" t="s">
        <v>195</v>
      </c>
      <c r="U21" s="75">
        <v>5039.393939393939</v>
      </c>
      <c r="V21" s="71" t="s">
        <v>180</v>
      </c>
      <c r="W21" s="75">
        <v>-6600</v>
      </c>
      <c r="X21" s="71" t="s">
        <v>169</v>
      </c>
      <c r="Y21" s="74">
        <v>0.17467248908296942</v>
      </c>
      <c r="Z21" s="71" t="s">
        <v>177</v>
      </c>
      <c r="AA21" s="74">
        <v>0.15789473684210525</v>
      </c>
      <c r="AB21" s="71" t="s">
        <v>203</v>
      </c>
      <c r="AC21" s="74">
        <v>0.33333333333333331</v>
      </c>
      <c r="AD21" s="71" t="s">
        <v>167</v>
      </c>
      <c r="AE21" s="74">
        <v>0</v>
      </c>
      <c r="AF21" s="71" t="s">
        <v>164</v>
      </c>
      <c r="AG21" s="74">
        <v>0.2</v>
      </c>
      <c r="AH21" s="71" t="s">
        <v>203</v>
      </c>
      <c r="AI21" s="78">
        <v>25000</v>
      </c>
    </row>
    <row r="22" spans="1:35">
      <c r="A22" s="68">
        <v>20</v>
      </c>
      <c r="B22" s="69" t="s">
        <v>199</v>
      </c>
      <c r="C22" s="133">
        <v>2</v>
      </c>
      <c r="D22" s="69" t="s">
        <v>199</v>
      </c>
      <c r="E22" s="70">
        <v>-97.4</v>
      </c>
      <c r="F22" s="71" t="s">
        <v>196</v>
      </c>
      <c r="G22" s="83">
        <v>-27.1</v>
      </c>
      <c r="H22" s="71" t="s">
        <v>216</v>
      </c>
      <c r="I22" s="72">
        <v>3</v>
      </c>
      <c r="J22" s="71" t="s">
        <v>196</v>
      </c>
      <c r="K22" s="73">
        <v>0</v>
      </c>
      <c r="L22" s="71" t="s">
        <v>216</v>
      </c>
      <c r="M22" s="73">
        <v>0.44444444444444442</v>
      </c>
      <c r="N22" s="71" t="s">
        <v>166</v>
      </c>
      <c r="O22" s="73">
        <v>0.25</v>
      </c>
      <c r="P22" s="71" t="s">
        <v>223</v>
      </c>
      <c r="Q22" s="74">
        <v>9.5238095238095233E-2</v>
      </c>
      <c r="R22" s="71" t="s">
        <v>161</v>
      </c>
      <c r="S22" s="74">
        <v>0.18181818181818182</v>
      </c>
      <c r="T22" s="71" t="s">
        <v>179</v>
      </c>
      <c r="U22" s="75">
        <v>4909.375</v>
      </c>
      <c r="V22" s="71" t="s">
        <v>195</v>
      </c>
      <c r="W22" s="75">
        <v>-6834.782608695652</v>
      </c>
      <c r="X22" s="71" t="s">
        <v>161</v>
      </c>
      <c r="Y22" s="74">
        <v>0.16883116883116883</v>
      </c>
      <c r="Z22" s="71" t="s">
        <v>167</v>
      </c>
      <c r="AA22" s="74">
        <v>0.14285714285714285</v>
      </c>
      <c r="AB22" s="71" t="s">
        <v>223</v>
      </c>
      <c r="AC22" s="74">
        <v>0.33333333333333331</v>
      </c>
      <c r="AD22" s="71" t="s">
        <v>175</v>
      </c>
      <c r="AE22" s="74">
        <v>0</v>
      </c>
      <c r="AF22" s="71" t="s">
        <v>191</v>
      </c>
      <c r="AG22" s="74">
        <v>0.14285714285714285</v>
      </c>
      <c r="AH22" s="71" t="s">
        <v>166</v>
      </c>
      <c r="AI22" s="78">
        <v>23700</v>
      </c>
    </row>
    <row r="23" spans="1:35">
      <c r="A23" s="68">
        <v>21</v>
      </c>
      <c r="B23" s="69" t="s">
        <v>202</v>
      </c>
      <c r="C23" s="133">
        <v>2</v>
      </c>
      <c r="D23" s="69" t="s">
        <v>213</v>
      </c>
      <c r="E23" s="70">
        <v>-99.300000000000011</v>
      </c>
      <c r="F23" s="71" t="s">
        <v>227</v>
      </c>
      <c r="G23" s="83">
        <v>-31.050000000000004</v>
      </c>
      <c r="H23" s="71" t="s">
        <v>227</v>
      </c>
      <c r="I23" s="72">
        <v>3</v>
      </c>
      <c r="J23" s="71" t="s">
        <v>203</v>
      </c>
      <c r="K23" s="73">
        <v>0</v>
      </c>
      <c r="L23" s="71" t="s">
        <v>166</v>
      </c>
      <c r="M23" s="73">
        <v>0.5</v>
      </c>
      <c r="N23" s="71" t="s">
        <v>180</v>
      </c>
      <c r="O23" s="73">
        <v>0</v>
      </c>
      <c r="P23" s="71" t="s">
        <v>216</v>
      </c>
      <c r="Q23" s="74">
        <v>9.4339622641509441E-2</v>
      </c>
      <c r="R23" s="71" t="s">
        <v>216</v>
      </c>
      <c r="S23" s="74">
        <v>0.18867924528301888</v>
      </c>
      <c r="T23" s="71" t="s">
        <v>215</v>
      </c>
      <c r="U23" s="75">
        <v>3900</v>
      </c>
      <c r="V23" s="71" t="s">
        <v>163</v>
      </c>
      <c r="W23" s="75">
        <v>-7212.5</v>
      </c>
      <c r="X23" s="71" t="s">
        <v>216</v>
      </c>
      <c r="Y23" s="74">
        <v>0.15094339622641509</v>
      </c>
      <c r="Z23" s="71" t="s">
        <v>203</v>
      </c>
      <c r="AA23" s="74">
        <v>0.13953488372093023</v>
      </c>
      <c r="AB23" s="71" t="s">
        <v>164</v>
      </c>
      <c r="AC23" s="74">
        <v>0.3125</v>
      </c>
      <c r="AD23" s="71" t="s">
        <v>180</v>
      </c>
      <c r="AE23" s="74">
        <v>0</v>
      </c>
      <c r="AF23" s="71" t="s">
        <v>180</v>
      </c>
      <c r="AG23" s="74">
        <v>0</v>
      </c>
      <c r="AH23" s="71" t="s">
        <v>227</v>
      </c>
      <c r="AI23" s="78">
        <v>22800</v>
      </c>
    </row>
    <row r="24" spans="1:35">
      <c r="A24" s="68">
        <v>22</v>
      </c>
      <c r="B24" s="69" t="s">
        <v>228</v>
      </c>
      <c r="C24" s="133">
        <v>2</v>
      </c>
      <c r="D24" s="69" t="s">
        <v>202</v>
      </c>
      <c r="E24" s="70">
        <v>-105.9</v>
      </c>
      <c r="F24" s="71" t="s">
        <v>166</v>
      </c>
      <c r="G24" s="83">
        <v>-31.999999999999996</v>
      </c>
      <c r="H24" s="71" t="s">
        <v>166</v>
      </c>
      <c r="I24" s="72">
        <v>3.25</v>
      </c>
      <c r="J24" s="71" t="s">
        <v>202</v>
      </c>
      <c r="K24" s="73">
        <v>0</v>
      </c>
      <c r="L24" s="71" t="s">
        <v>177</v>
      </c>
      <c r="M24" s="73">
        <v>0.5</v>
      </c>
      <c r="N24" s="71" t="s">
        <v>199</v>
      </c>
      <c r="O24" s="73">
        <v>0</v>
      </c>
      <c r="P24" s="71" t="s">
        <v>203</v>
      </c>
      <c r="Q24" s="74">
        <v>9.3023255813953487E-2</v>
      </c>
      <c r="R24" s="71" t="s">
        <v>223</v>
      </c>
      <c r="S24" s="74">
        <v>0.19047619047619047</v>
      </c>
      <c r="T24" s="71" t="s">
        <v>166</v>
      </c>
      <c r="U24" s="75">
        <v>2928.5714285714284</v>
      </c>
      <c r="V24" s="71" t="s">
        <v>179</v>
      </c>
      <c r="W24" s="75">
        <v>-8157.1428571428569</v>
      </c>
      <c r="X24" s="71" t="s">
        <v>180</v>
      </c>
      <c r="Y24" s="74">
        <v>0.14285714285714285</v>
      </c>
      <c r="Z24" s="71" t="s">
        <v>162</v>
      </c>
      <c r="AA24" s="74">
        <v>0.11538461538461539</v>
      </c>
      <c r="AB24" s="71" t="s">
        <v>180</v>
      </c>
      <c r="AC24" s="74">
        <v>0</v>
      </c>
      <c r="AD24" s="71" t="s">
        <v>199</v>
      </c>
      <c r="AE24" s="74">
        <v>0</v>
      </c>
      <c r="AF24" s="71" t="s">
        <v>199</v>
      </c>
      <c r="AG24" s="74">
        <v>0</v>
      </c>
      <c r="AH24" s="71" t="s">
        <v>223</v>
      </c>
      <c r="AI24" s="78">
        <v>22100</v>
      </c>
    </row>
    <row r="25" spans="1:35">
      <c r="A25" s="68">
        <v>23</v>
      </c>
      <c r="B25" s="69" t="s">
        <v>227</v>
      </c>
      <c r="C25" s="133">
        <v>2</v>
      </c>
      <c r="D25" s="69" t="s">
        <v>166</v>
      </c>
      <c r="E25" s="70">
        <v>-127.99999999999999</v>
      </c>
      <c r="F25" s="71" t="s">
        <v>203</v>
      </c>
      <c r="G25" s="83">
        <v>-32.279999999999994</v>
      </c>
      <c r="H25" s="71" t="s">
        <v>203</v>
      </c>
      <c r="I25" s="72">
        <v>3.4</v>
      </c>
      <c r="J25" s="71" t="s">
        <v>208</v>
      </c>
      <c r="K25" s="73">
        <v>0</v>
      </c>
      <c r="L25" s="71" t="s">
        <v>227</v>
      </c>
      <c r="M25" s="73">
        <v>0.5</v>
      </c>
      <c r="N25" s="71" t="s">
        <v>196</v>
      </c>
      <c r="O25" s="73">
        <v>0</v>
      </c>
      <c r="P25" s="71" t="s">
        <v>227</v>
      </c>
      <c r="Q25" s="74">
        <v>9.0909090909090912E-2</v>
      </c>
      <c r="R25" s="71" t="s">
        <v>168</v>
      </c>
      <c r="S25" s="74">
        <v>0.19718309859154928</v>
      </c>
      <c r="T25" s="71" t="s">
        <v>202</v>
      </c>
      <c r="U25" s="75">
        <v>1300</v>
      </c>
      <c r="V25" s="71" t="s">
        <v>216</v>
      </c>
      <c r="W25" s="75">
        <v>-8680</v>
      </c>
      <c r="X25" s="71" t="s">
        <v>202</v>
      </c>
      <c r="Y25" s="74">
        <v>0.11764705882352941</v>
      </c>
      <c r="Z25" s="71" t="s">
        <v>216</v>
      </c>
      <c r="AA25" s="74">
        <v>9.4339622641509441E-2</v>
      </c>
      <c r="AB25" s="71" t="s">
        <v>199</v>
      </c>
      <c r="AC25" s="74">
        <v>0</v>
      </c>
      <c r="AD25" s="71" t="s">
        <v>202</v>
      </c>
      <c r="AE25" s="74">
        <v>0</v>
      </c>
      <c r="AF25" s="71" t="s">
        <v>196</v>
      </c>
      <c r="AG25" s="74">
        <v>0</v>
      </c>
      <c r="AH25" s="71" t="s">
        <v>199</v>
      </c>
      <c r="AI25" s="78">
        <v>14100</v>
      </c>
    </row>
    <row r="26" spans="1:35">
      <c r="A26" s="68">
        <v>24</v>
      </c>
      <c r="B26" s="69" t="s">
        <v>167</v>
      </c>
      <c r="C26" s="133">
        <v>1</v>
      </c>
      <c r="D26" s="69" t="s">
        <v>208</v>
      </c>
      <c r="E26" s="70">
        <v>-132.69999999999999</v>
      </c>
      <c r="F26" s="71" t="s">
        <v>208</v>
      </c>
      <c r="G26" s="83">
        <v>-44.233333333333327</v>
      </c>
      <c r="H26" s="71" t="s">
        <v>208</v>
      </c>
      <c r="I26" s="72">
        <v>3.6666666666666665</v>
      </c>
      <c r="J26" s="71" t="s">
        <v>213</v>
      </c>
      <c r="K26" s="73">
        <v>0</v>
      </c>
      <c r="L26" s="71" t="s">
        <v>208</v>
      </c>
      <c r="M26" s="73">
        <v>0.66666666666666663</v>
      </c>
      <c r="N26" s="71" t="s">
        <v>203</v>
      </c>
      <c r="O26" s="73">
        <v>0</v>
      </c>
      <c r="P26" s="71" t="s">
        <v>202</v>
      </c>
      <c r="Q26" s="74">
        <v>5.8823529411764705E-2</v>
      </c>
      <c r="R26" s="71" t="s">
        <v>208</v>
      </c>
      <c r="S26" s="74">
        <v>0.21739130434782608</v>
      </c>
      <c r="T26" s="71" t="s">
        <v>196</v>
      </c>
      <c r="U26" s="75">
        <v>1000</v>
      </c>
      <c r="V26" s="71" t="s">
        <v>205</v>
      </c>
      <c r="W26" s="75">
        <v>-9466.6666666666661</v>
      </c>
      <c r="X26" s="71" t="s">
        <v>166</v>
      </c>
      <c r="Y26" s="74">
        <v>0.11428571428571428</v>
      </c>
      <c r="Z26" s="71" t="s">
        <v>213</v>
      </c>
      <c r="AA26" s="74">
        <v>4.0816326530612242E-2</v>
      </c>
      <c r="AB26" s="71" t="s">
        <v>196</v>
      </c>
      <c r="AC26" s="74">
        <v>0</v>
      </c>
      <c r="AD26" s="71" t="s">
        <v>208</v>
      </c>
      <c r="AE26" s="74">
        <v>0</v>
      </c>
      <c r="AF26" s="71" t="s">
        <v>202</v>
      </c>
      <c r="AG26" s="74">
        <v>0</v>
      </c>
      <c r="AH26" s="71" t="s">
        <v>202</v>
      </c>
      <c r="AI26" s="78">
        <v>13500</v>
      </c>
    </row>
    <row r="27" spans="1:35">
      <c r="A27" s="68">
        <v>25</v>
      </c>
      <c r="B27" s="69" t="s">
        <v>180</v>
      </c>
      <c r="C27" s="133">
        <v>1</v>
      </c>
      <c r="D27" s="69" t="s">
        <v>203</v>
      </c>
      <c r="E27" s="70">
        <v>-161.39999999999998</v>
      </c>
      <c r="F27" s="71" t="s">
        <v>199</v>
      </c>
      <c r="G27" s="83">
        <v>-48.7</v>
      </c>
      <c r="H27" s="71" t="s">
        <v>180</v>
      </c>
      <c r="I27" s="72">
        <v>4</v>
      </c>
      <c r="J27" s="71" t="s">
        <v>215</v>
      </c>
      <c r="K27" s="73">
        <v>0</v>
      </c>
      <c r="L27" s="71" t="s">
        <v>180</v>
      </c>
      <c r="M27" s="73">
        <v>1</v>
      </c>
      <c r="N27" s="71" t="s">
        <v>202</v>
      </c>
      <c r="O27" s="73">
        <v>0</v>
      </c>
      <c r="P27" s="71" t="s">
        <v>180</v>
      </c>
      <c r="Q27" s="74">
        <v>0</v>
      </c>
      <c r="R27" s="71" t="s">
        <v>203</v>
      </c>
      <c r="S27" s="74">
        <v>0.23255813953488372</v>
      </c>
      <c r="T27" s="71" t="s">
        <v>180</v>
      </c>
      <c r="U27" s="75">
        <v>0</v>
      </c>
      <c r="V27" s="71" t="s">
        <v>227</v>
      </c>
      <c r="W27" s="75">
        <v>-9533.3333333333339</v>
      </c>
      <c r="X27" s="71" t="s">
        <v>191</v>
      </c>
      <c r="Y27" s="74">
        <v>0.10434782608695652</v>
      </c>
      <c r="Z27" s="71" t="s">
        <v>175</v>
      </c>
      <c r="AA27" s="74">
        <v>0</v>
      </c>
      <c r="AB27" s="71" t="s">
        <v>202</v>
      </c>
      <c r="AC27" s="74">
        <v>0</v>
      </c>
      <c r="AD27" s="71" t="s">
        <v>213</v>
      </c>
      <c r="AE27" s="74">
        <v>0</v>
      </c>
      <c r="AF27" s="71" t="s">
        <v>208</v>
      </c>
      <c r="AG27" s="74">
        <v>0</v>
      </c>
      <c r="AH27" s="71" t="s">
        <v>196</v>
      </c>
      <c r="AI27" s="78">
        <v>12900</v>
      </c>
    </row>
    <row r="28" spans="1:35">
      <c r="A28" s="68">
        <v>26</v>
      </c>
      <c r="B28" s="69" t="s">
        <v>196</v>
      </c>
      <c r="C28" s="133">
        <v>1</v>
      </c>
      <c r="D28" s="69" t="s">
        <v>216</v>
      </c>
      <c r="E28" s="70">
        <v>-192.89999999999998</v>
      </c>
      <c r="F28" s="71" t="s">
        <v>180</v>
      </c>
      <c r="G28" s="83">
        <v>-52.6</v>
      </c>
      <c r="H28" s="71" t="s">
        <v>199</v>
      </c>
      <c r="I28" s="72">
        <v>4</v>
      </c>
      <c r="J28" s="71" t="s">
        <v>223</v>
      </c>
      <c r="K28" s="73">
        <v>0</v>
      </c>
      <c r="L28" s="71" t="s">
        <v>199</v>
      </c>
      <c r="M28" s="73">
        <v>1</v>
      </c>
      <c r="N28" s="71" t="s">
        <v>208</v>
      </c>
      <c r="O28" s="73">
        <v>0</v>
      </c>
      <c r="P28" s="71" t="s">
        <v>199</v>
      </c>
      <c r="Q28" s="74">
        <v>0</v>
      </c>
      <c r="R28" s="71" t="s">
        <v>227</v>
      </c>
      <c r="S28" s="74">
        <v>0.27272727272727271</v>
      </c>
      <c r="T28" s="71" t="s">
        <v>199</v>
      </c>
      <c r="U28" s="75">
        <v>0</v>
      </c>
      <c r="V28" s="71" t="s">
        <v>199</v>
      </c>
      <c r="W28" s="75">
        <v>-10000</v>
      </c>
      <c r="X28" s="71" t="s">
        <v>199</v>
      </c>
      <c r="Y28" s="74">
        <v>6.6666666666666666E-2</v>
      </c>
      <c r="Z28" s="71" t="s">
        <v>208</v>
      </c>
      <c r="AA28" s="74">
        <v>0</v>
      </c>
      <c r="AB28" s="71" t="s">
        <v>208</v>
      </c>
      <c r="AC28" s="74">
        <v>0</v>
      </c>
      <c r="AD28" s="71" t="s">
        <v>223</v>
      </c>
      <c r="AE28" s="74">
        <v>0</v>
      </c>
      <c r="AF28" s="71" t="s">
        <v>215</v>
      </c>
      <c r="AG28" s="74">
        <v>0</v>
      </c>
      <c r="AH28" s="71" t="s">
        <v>208</v>
      </c>
      <c r="AI28" s="78">
        <v>10700</v>
      </c>
    </row>
    <row r="29" spans="1:35">
      <c r="A29" s="68">
        <v>27</v>
      </c>
      <c r="B29" s="69" t="s">
        <v>215</v>
      </c>
      <c r="C29" s="133">
        <v>1</v>
      </c>
      <c r="D29" s="69" t="s">
        <v>195</v>
      </c>
      <c r="E29" s="70">
        <v>-249.60000000000002</v>
      </c>
      <c r="F29" s="71" t="s">
        <v>202</v>
      </c>
      <c r="G29" s="83">
        <v>-52.95</v>
      </c>
      <c r="H29" s="71" t="s">
        <v>202</v>
      </c>
      <c r="I29" s="72">
        <v>4</v>
      </c>
      <c r="J29" s="71" t="s">
        <v>227</v>
      </c>
      <c r="K29" s="73">
        <v>0</v>
      </c>
      <c r="L29" s="71" t="s">
        <v>202</v>
      </c>
      <c r="M29" s="73">
        <v>1</v>
      </c>
      <c r="N29" s="71" t="s">
        <v>215</v>
      </c>
      <c r="O29" s="73">
        <v>0</v>
      </c>
      <c r="P29" s="71" t="s">
        <v>208</v>
      </c>
      <c r="Q29" s="74">
        <v>0</v>
      </c>
      <c r="R29" s="71" t="s">
        <v>180</v>
      </c>
      <c r="S29" s="74">
        <v>0.2857142857142857</v>
      </c>
      <c r="T29" s="71" t="s">
        <v>208</v>
      </c>
      <c r="U29" s="75">
        <v>0</v>
      </c>
      <c r="V29" s="71" t="s">
        <v>166</v>
      </c>
      <c r="W29" s="75">
        <v>-11400</v>
      </c>
      <c r="X29" s="71" t="s">
        <v>208</v>
      </c>
      <c r="Y29" s="74">
        <v>4.3478260869565216E-2</v>
      </c>
      <c r="Z29" s="71" t="s">
        <v>223</v>
      </c>
      <c r="AA29" s="74">
        <v>0</v>
      </c>
      <c r="AB29" s="71" t="s">
        <v>215</v>
      </c>
      <c r="AC29" s="74">
        <v>0</v>
      </c>
      <c r="AD29" s="71" t="s">
        <v>227</v>
      </c>
      <c r="AE29" s="74">
        <v>0</v>
      </c>
      <c r="AF29" s="71" t="s">
        <v>227</v>
      </c>
      <c r="AG29" s="74">
        <v>0</v>
      </c>
      <c r="AH29" s="71" t="s">
        <v>180</v>
      </c>
      <c r="AI29" s="78">
        <v>7400</v>
      </c>
    </row>
  </sheetData>
  <sortState xmlns:xlrd2="http://schemas.microsoft.com/office/spreadsheetml/2017/richdata2" ref="AH3:AI73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99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114</v>
      </c>
      <c r="C1" s="165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197</v>
      </c>
      <c r="C2" s="167"/>
      <c r="E2" s="54" t="s">
        <v>54</v>
      </c>
      <c r="F2" s="51" t="s">
        <v>20</v>
      </c>
      <c r="G2" s="39">
        <v>193</v>
      </c>
      <c r="H2" s="117">
        <f>IF(B$17=0,0,G2/B$17)</f>
        <v>0.62459546925566345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-55.837563451776653</v>
      </c>
      <c r="P2" s="103">
        <v>197</v>
      </c>
      <c r="Q2" s="87">
        <v>-11000</v>
      </c>
    </row>
    <row r="3" spans="1:17">
      <c r="A3" s="47" t="s">
        <v>8</v>
      </c>
      <c r="B3" s="168">
        <v>1485</v>
      </c>
      <c r="C3" s="169"/>
      <c r="E3" s="55" t="s">
        <v>184</v>
      </c>
      <c r="F3" s="52" t="s">
        <v>187</v>
      </c>
      <c r="G3" s="40">
        <v>152</v>
      </c>
      <c r="H3" s="118">
        <f>IF(B$17=0,0,G3/B$17)</f>
        <v>0.49190938511326859</v>
      </c>
      <c r="I3" s="80">
        <v>11</v>
      </c>
      <c r="K3" s="32">
        <v>1</v>
      </c>
      <c r="L3" s="85">
        <v>11.9</v>
      </c>
      <c r="N3" s="100" t="s">
        <v>104</v>
      </c>
      <c r="O3" s="107">
        <f t="shared" si="0"/>
        <v>-5.0761421319796955</v>
      </c>
      <c r="P3" s="104">
        <v>197</v>
      </c>
      <c r="Q3" s="88">
        <v>-1000</v>
      </c>
    </row>
    <row r="4" spans="1:17">
      <c r="A4" s="47" t="s">
        <v>6</v>
      </c>
      <c r="B4" s="170">
        <v>-30.000000000000036</v>
      </c>
      <c r="C4" s="171"/>
      <c r="E4" s="55" t="s">
        <v>181</v>
      </c>
      <c r="F4" s="52" t="s">
        <v>156</v>
      </c>
      <c r="G4" s="40">
        <v>147</v>
      </c>
      <c r="H4" s="118">
        <f>IF(B$17=0,0,G4/B$17)</f>
        <v>0.47572815533980584</v>
      </c>
      <c r="I4" s="80">
        <v>15</v>
      </c>
      <c r="K4" s="32">
        <v>2</v>
      </c>
      <c r="L4" s="85">
        <v>86.800000000000011</v>
      </c>
      <c r="N4" s="100" t="s">
        <v>105</v>
      </c>
      <c r="O4" s="107">
        <f t="shared" si="0"/>
        <v>1.015228426395939</v>
      </c>
      <c r="P4" s="104">
        <v>197</v>
      </c>
      <c r="Q4" s="88">
        <v>200</v>
      </c>
    </row>
    <row r="5" spans="1:17">
      <c r="A5" s="47" t="s">
        <v>7</v>
      </c>
      <c r="B5" s="172">
        <f>IF(B$2=0,0,B$4/B$2)</f>
        <v>-0.15228426395939104</v>
      </c>
      <c r="C5" s="173"/>
      <c r="E5" s="55" t="s">
        <v>60</v>
      </c>
      <c r="F5" s="52" t="s">
        <v>24</v>
      </c>
      <c r="G5" s="40">
        <v>124</v>
      </c>
      <c r="H5" s="118">
        <f>IF(B$17=0,0,G5/B$17)</f>
        <v>0.40129449838187703</v>
      </c>
      <c r="I5" s="80">
        <v>12</v>
      </c>
      <c r="K5" s="32">
        <v>3</v>
      </c>
      <c r="L5" s="85">
        <v>25.100000000000009</v>
      </c>
      <c r="N5" s="100" t="s">
        <v>157</v>
      </c>
      <c r="O5" s="107">
        <f>IF(P5=0,0,Q5/P5)</f>
        <v>0</v>
      </c>
      <c r="P5" s="104">
        <v>177</v>
      </c>
      <c r="Q5" s="88">
        <v>0</v>
      </c>
    </row>
    <row r="6" spans="1:17">
      <c r="A6" s="47" t="s">
        <v>1</v>
      </c>
      <c r="B6" s="174">
        <f>IF(B$2=0,0,(B$7*1+B$8*2+B$9*3+B$10*4)/B$2)</f>
        <v>2.4822335025380711</v>
      </c>
      <c r="C6" s="175"/>
      <c r="E6" s="55" t="s">
        <v>55</v>
      </c>
      <c r="F6" s="52" t="s">
        <v>155</v>
      </c>
      <c r="G6" s="40">
        <v>77</v>
      </c>
      <c r="H6" s="118">
        <f>IF(B$17=0,0,G6/B$17)</f>
        <v>0.24919093851132687</v>
      </c>
      <c r="I6" s="80">
        <v>14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22.058823529411764</v>
      </c>
      <c r="P6" s="104">
        <v>136</v>
      </c>
      <c r="Q6" s="88">
        <v>3000</v>
      </c>
    </row>
    <row r="7" spans="1:17">
      <c r="A7" s="47" t="s">
        <v>2</v>
      </c>
      <c r="B7" s="40">
        <v>51</v>
      </c>
      <c r="C7" s="33">
        <f t="shared" ref="C7:C12" si="2">IF(B$2=0,0,B7/B$2)</f>
        <v>0.25888324873096447</v>
      </c>
      <c r="E7" s="55" t="s">
        <v>57</v>
      </c>
      <c r="F7" s="52" t="s">
        <v>21</v>
      </c>
      <c r="G7" s="40">
        <v>75</v>
      </c>
      <c r="H7" s="118">
        <f>IF(B$17=0,0,G7/B$17)</f>
        <v>0.24271844660194175</v>
      </c>
      <c r="I7" s="80">
        <v>13</v>
      </c>
      <c r="K7" s="32">
        <v>5</v>
      </c>
      <c r="L7" s="85">
        <v>-14.199999999999992</v>
      </c>
      <c r="N7" s="100" t="s">
        <v>107</v>
      </c>
      <c r="O7" s="107">
        <f t="shared" si="0"/>
        <v>-83.333333333333329</v>
      </c>
      <c r="P7" s="104">
        <v>96</v>
      </c>
      <c r="Q7" s="88">
        <v>-8000</v>
      </c>
    </row>
    <row r="8" spans="1:17">
      <c r="A8" s="47" t="s">
        <v>3</v>
      </c>
      <c r="B8" s="40">
        <v>48</v>
      </c>
      <c r="C8" s="33">
        <f>IF(B$2=0,0,B8/B$2)</f>
        <v>0.24365482233502539</v>
      </c>
      <c r="E8" s="55" t="s">
        <v>56</v>
      </c>
      <c r="F8" s="52" t="s">
        <v>185</v>
      </c>
      <c r="G8" s="40">
        <v>72</v>
      </c>
      <c r="H8" s="118">
        <f>IF(B$17=0,0,G8/B$17)</f>
        <v>0.23300970873786409</v>
      </c>
      <c r="I8" s="80">
        <v>14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72</v>
      </c>
      <c r="Q8" s="88">
        <v>0</v>
      </c>
    </row>
    <row r="9" spans="1:17">
      <c r="A9" s="48" t="s">
        <v>4</v>
      </c>
      <c r="B9" s="41">
        <v>50</v>
      </c>
      <c r="C9" s="34">
        <f>IF(B$2=0,0,B9/B$2)</f>
        <v>0.25380710659898476</v>
      </c>
      <c r="E9" s="55" t="s">
        <v>59</v>
      </c>
      <c r="F9" s="52" t="s">
        <v>23</v>
      </c>
      <c r="G9" s="40">
        <v>53</v>
      </c>
      <c r="H9" s="118">
        <f>IF(B$17=0,0,G9/B$17)</f>
        <v>0.17152103559870549</v>
      </c>
      <c r="I9" s="80">
        <v>13</v>
      </c>
      <c r="K9" s="32">
        <v>7</v>
      </c>
      <c r="L9" s="85">
        <v>-61.099999999999994</v>
      </c>
      <c r="N9" s="101" t="s">
        <v>158</v>
      </c>
      <c r="O9" s="108">
        <f t="shared" si="0"/>
        <v>35.714285714285715</v>
      </c>
      <c r="P9" s="105">
        <v>28</v>
      </c>
      <c r="Q9" s="89">
        <v>1000</v>
      </c>
    </row>
    <row r="10" spans="1:17">
      <c r="A10" s="48" t="s">
        <v>152</v>
      </c>
      <c r="B10" s="41">
        <v>48</v>
      </c>
      <c r="C10" s="34">
        <f>IF(B$2=0,0,B10/B$2)</f>
        <v>0.24365482233502539</v>
      </c>
      <c r="E10" s="55" t="s">
        <v>182</v>
      </c>
      <c r="F10" s="52" t="s">
        <v>19</v>
      </c>
      <c r="G10" s="40">
        <v>31</v>
      </c>
      <c r="H10" s="118">
        <f>IF(B$17=0,0,G10/B$17)</f>
        <v>0.10032362459546926</v>
      </c>
      <c r="I10" s="80">
        <v>7</v>
      </c>
      <c r="K10" s="32">
        <v>8</v>
      </c>
      <c r="L10" s="85">
        <v>7.1054273576010019E-15</v>
      </c>
      <c r="N10" s="37"/>
      <c r="O10" s="112"/>
      <c r="P10" s="96">
        <v>3</v>
      </c>
      <c r="Q10" s="94">
        <v>0</v>
      </c>
    </row>
    <row r="11" spans="1:17">
      <c r="A11" s="48" t="s">
        <v>153</v>
      </c>
      <c r="B11" s="41">
        <f>B7+B8</f>
        <v>99</v>
      </c>
      <c r="C11" s="34">
        <f>IF(B$2=0,0,B11/B$2)</f>
        <v>0.5025380710659898</v>
      </c>
      <c r="E11" s="55" t="s">
        <v>58</v>
      </c>
      <c r="F11" s="52" t="s">
        <v>22</v>
      </c>
      <c r="G11" s="40">
        <v>19</v>
      </c>
      <c r="H11" s="118">
        <f>IF(B$17=0,0,G11/B$17)</f>
        <v>6.1488673139158574E-2</v>
      </c>
      <c r="I11" s="80">
        <v>9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11</v>
      </c>
      <c r="C12" s="36">
        <f t="shared" si="2"/>
        <v>5.5837563451776651E-2</v>
      </c>
      <c r="E12" s="55" t="s">
        <v>183</v>
      </c>
      <c r="F12" s="52" t="s">
        <v>186</v>
      </c>
      <c r="G12" s="40">
        <v>12</v>
      </c>
      <c r="H12" s="118">
        <f>IF(B$17=0,0,G12/B$17)</f>
        <v>3.8834951456310676E-2</v>
      </c>
      <c r="I12" s="80">
        <v>6</v>
      </c>
      <c r="K12" s="32">
        <v>10</v>
      </c>
      <c r="L12" s="85">
        <v>-38.499999999999993</v>
      </c>
      <c r="N12" s="99" t="s">
        <v>126</v>
      </c>
      <c r="O12" s="109">
        <f>IF(P12=0,0,Q12/P12)</f>
        <v>-4.6920000000000019</v>
      </c>
      <c r="P12" s="103">
        <v>50</v>
      </c>
      <c r="Q12" s="91">
        <v>-234.60000000000008</v>
      </c>
    </row>
    <row r="13" spans="1:17">
      <c r="A13" s="50" t="s">
        <v>97</v>
      </c>
      <c r="B13" s="43">
        <v>287</v>
      </c>
      <c r="C13" s="38">
        <f>IF(B$3=0,0,B13/B$3)</f>
        <v>0.19326599326599325</v>
      </c>
      <c r="E13" s="55" t="s">
        <v>71</v>
      </c>
      <c r="F13" s="52" t="s">
        <v>35</v>
      </c>
      <c r="G13" s="40">
        <v>12</v>
      </c>
      <c r="H13" s="118">
        <f>IF(B$17=0,0,G13/B$17)</f>
        <v>3.8834951456310676E-2</v>
      </c>
      <c r="I13" s="80">
        <v>6</v>
      </c>
      <c r="K13" s="32">
        <v>11</v>
      </c>
      <c r="L13" s="85">
        <v>18.100000000000009</v>
      </c>
      <c r="N13" s="100" t="s">
        <v>127</v>
      </c>
      <c r="O13" s="110">
        <f>IF(P13=0,0,Q13/P13)</f>
        <v>3.611999999999997</v>
      </c>
      <c r="P13" s="104">
        <v>50</v>
      </c>
      <c r="Q13" s="92">
        <v>180.59999999999985</v>
      </c>
    </row>
    <row r="14" spans="1:17">
      <c r="A14" s="47" t="s">
        <v>94</v>
      </c>
      <c r="B14" s="40">
        <v>318</v>
      </c>
      <c r="C14" s="33">
        <f>IF(B$3=0,0,B14/B$3)</f>
        <v>0.21414141414141413</v>
      </c>
      <c r="E14" s="55" t="s">
        <v>77</v>
      </c>
      <c r="F14" s="52" t="s">
        <v>41</v>
      </c>
      <c r="G14" s="40">
        <v>8</v>
      </c>
      <c r="H14" s="118">
        <f>IF(B$17=0,0,G14/B$17)</f>
        <v>2.5889967637540454E-2</v>
      </c>
      <c r="I14" s="80">
        <v>5</v>
      </c>
      <c r="K14" s="32">
        <v>12</v>
      </c>
      <c r="L14" s="85">
        <v>7.1054273576010019E-15</v>
      </c>
      <c r="N14" s="100" t="s">
        <v>128</v>
      </c>
      <c r="O14" s="110">
        <f>IF(P14=0,0,Q14/P14)</f>
        <v>2.0460000000000029</v>
      </c>
      <c r="P14" s="104">
        <v>50</v>
      </c>
      <c r="Q14" s="92">
        <v>102.30000000000014</v>
      </c>
    </row>
    <row r="15" spans="1:17">
      <c r="A15" s="46" t="s">
        <v>99</v>
      </c>
      <c r="B15" s="39">
        <f>B21</f>
        <v>149</v>
      </c>
      <c r="C15" s="31">
        <f>IF(B$13=0,0,B15/B$13)</f>
        <v>0.51916376306620204</v>
      </c>
      <c r="E15" s="55" t="s">
        <v>74</v>
      </c>
      <c r="F15" s="52" t="s">
        <v>38</v>
      </c>
      <c r="G15" s="40">
        <v>7</v>
      </c>
      <c r="H15" s="118">
        <f>IF(B$17=0,0,G15/B$17)</f>
        <v>2.2653721682847898E-2</v>
      </c>
      <c r="I15" s="80">
        <v>6</v>
      </c>
      <c r="K15" s="32">
        <v>13</v>
      </c>
      <c r="L15" s="85">
        <v>62.500000000000007</v>
      </c>
      <c r="N15" s="101" t="s">
        <v>159</v>
      </c>
      <c r="O15" s="111">
        <f>IF(P15=0,0,Q15/P15)</f>
        <v>-1.5659999999999996</v>
      </c>
      <c r="P15" s="105">
        <v>50</v>
      </c>
      <c r="Q15" s="93">
        <v>-78.299999999999983</v>
      </c>
    </row>
    <row r="16" spans="1:17">
      <c r="A16" s="46" t="s">
        <v>100</v>
      </c>
      <c r="B16" s="39">
        <f>B22</f>
        <v>112</v>
      </c>
      <c r="C16" s="31">
        <f>IF(B$14=0,0,B16/B$14)</f>
        <v>0.3522012578616352</v>
      </c>
      <c r="E16" s="55" t="s">
        <v>67</v>
      </c>
      <c r="F16" s="52" t="s">
        <v>31</v>
      </c>
      <c r="G16" s="40">
        <v>6</v>
      </c>
      <c r="H16" s="118">
        <f>IF(B$17=0,0,G16/B$17)</f>
        <v>1.9417475728155338E-2</v>
      </c>
      <c r="I16" s="80">
        <v>6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309</v>
      </c>
      <c r="C17" s="31">
        <f>IF(B$3=0,0,B17/B$3)</f>
        <v>0.20808080808080809</v>
      </c>
      <c r="E17" s="55" t="s">
        <v>66</v>
      </c>
      <c r="F17" s="52" t="s">
        <v>30</v>
      </c>
      <c r="G17" s="40">
        <v>3</v>
      </c>
      <c r="H17" s="118">
        <f>IF(B$17=0,0,G17/B$17)</f>
        <v>9.7087378640776691E-3</v>
      </c>
      <c r="I17" s="80">
        <v>4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200</v>
      </c>
      <c r="C18" s="33">
        <f>IF(B$3=0,0,B18/B$3)</f>
        <v>0.13468013468013468</v>
      </c>
      <c r="E18" s="55" t="s">
        <v>62</v>
      </c>
      <c r="F18" s="52" t="s">
        <v>26</v>
      </c>
      <c r="G18" s="40">
        <v>2</v>
      </c>
      <c r="H18" s="118">
        <f>IF(B$17=0,0,G18/B$17)</f>
        <v>6.4724919093851136E-3</v>
      </c>
      <c r="I18" s="80">
        <v>3</v>
      </c>
      <c r="K18" s="32">
        <v>16</v>
      </c>
      <c r="L18" s="85">
        <v>1.4210854715202004E-14</v>
      </c>
      <c r="N18" s="99" t="s">
        <v>202</v>
      </c>
      <c r="O18" s="109">
        <f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109</v>
      </c>
      <c r="C19" s="33">
        <f>IF(B$17=0,0,B19/B$17)</f>
        <v>0.35275080906148865</v>
      </c>
      <c r="E19" s="55" t="s">
        <v>69</v>
      </c>
      <c r="F19" s="52" t="s">
        <v>33</v>
      </c>
      <c r="G19" s="40">
        <v>2</v>
      </c>
      <c r="H19" s="118">
        <f>IF(B$17=0,0,G19/B$17)</f>
        <v>6.4724919093851136E-3</v>
      </c>
      <c r="I19" s="80">
        <v>3</v>
      </c>
      <c r="K19" s="32">
        <v>17</v>
      </c>
      <c r="L19" s="85">
        <v>-32.899999999999984</v>
      </c>
      <c r="N19" s="100" t="s">
        <v>180</v>
      </c>
      <c r="O19" s="110">
        <f>IF(P19=0,0,Q19/P19)</f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200</v>
      </c>
      <c r="C20" s="33">
        <f>IF(B$17=0,0,B20/B$17)</f>
        <v>0.6472491909385113</v>
      </c>
      <c r="E20" s="55" t="s">
        <v>72</v>
      </c>
      <c r="F20" s="52" t="s">
        <v>36</v>
      </c>
      <c r="G20" s="40">
        <v>2</v>
      </c>
      <c r="H20" s="118">
        <f>IF(B$17=0,0,G20/B$17)</f>
        <v>6.4724919093851136E-3</v>
      </c>
      <c r="I20" s="80">
        <v>3</v>
      </c>
      <c r="K20" s="32">
        <v>18</v>
      </c>
      <c r="L20" s="85">
        <v>-91.499999999999986</v>
      </c>
      <c r="N20" s="100" t="s">
        <v>199</v>
      </c>
      <c r="O20" s="110">
        <f>IF(P20=0,0,Q20/P20)</f>
        <v>63.266666666666659</v>
      </c>
      <c r="P20" s="104">
        <v>6</v>
      </c>
      <c r="Q20" s="92">
        <v>379.59999999999997</v>
      </c>
    </row>
    <row r="21" spans="1:17">
      <c r="A21" s="47" t="s">
        <v>151</v>
      </c>
      <c r="B21" s="40">
        <v>149</v>
      </c>
      <c r="C21" s="33">
        <f>IF(B$17=0,0,B21/B$17)</f>
        <v>0.48220064724919093</v>
      </c>
      <c r="E21" s="55" t="s">
        <v>75</v>
      </c>
      <c r="F21" s="52" t="s">
        <v>39</v>
      </c>
      <c r="G21" s="40">
        <v>2</v>
      </c>
      <c r="H21" s="118">
        <f>IF(B$17=0,0,G21/B$17)</f>
        <v>6.4724919093851136E-3</v>
      </c>
      <c r="I21" s="80">
        <v>3</v>
      </c>
      <c r="K21" s="32">
        <v>19</v>
      </c>
      <c r="L21" s="85">
        <v>-3.6999999999999886</v>
      </c>
      <c r="N21" s="100" t="s">
        <v>208</v>
      </c>
      <c r="O21" s="110">
        <f>IF(P21=0,0,Q21/P21)</f>
        <v>58.977777777777789</v>
      </c>
      <c r="P21" s="104">
        <v>9</v>
      </c>
      <c r="Q21" s="92">
        <v>530.80000000000007</v>
      </c>
    </row>
    <row r="22" spans="1:17">
      <c r="A22" s="47" t="s">
        <v>149</v>
      </c>
      <c r="B22" s="40">
        <v>112</v>
      </c>
      <c r="C22" s="33">
        <f>IF(B$17=0,0,B22/B$17)</f>
        <v>0.36245954692556637</v>
      </c>
      <c r="E22" s="55" t="s">
        <v>78</v>
      </c>
      <c r="F22" s="52" t="s">
        <v>42</v>
      </c>
      <c r="G22" s="40">
        <v>2</v>
      </c>
      <c r="H22" s="118">
        <f>IF(B$17=0,0,G22/B$17)</f>
        <v>6.4724919093851136E-3</v>
      </c>
      <c r="I22" s="80">
        <v>3</v>
      </c>
      <c r="K22" s="32">
        <v>20</v>
      </c>
      <c r="L22" s="85">
        <v>1.1546319456101628E-14</v>
      </c>
      <c r="N22" s="100" t="s">
        <v>203</v>
      </c>
      <c r="O22" s="110">
        <f>IF(P22=0,0,Q22/P22)</f>
        <v>43.040000000000006</v>
      </c>
      <c r="P22" s="104">
        <v>15</v>
      </c>
      <c r="Q22" s="92">
        <v>645.60000000000014</v>
      </c>
    </row>
    <row r="23" spans="1:17">
      <c r="A23" s="47" t="s">
        <v>150</v>
      </c>
      <c r="B23" s="40">
        <v>48</v>
      </c>
      <c r="C23" s="33">
        <f>IF(B$17=0,0,B23/B$17)</f>
        <v>0.1553398058252427</v>
      </c>
      <c r="E23" s="55" t="s">
        <v>61</v>
      </c>
      <c r="F23" s="52" t="s">
        <v>25</v>
      </c>
      <c r="G23" s="40">
        <v>1</v>
      </c>
      <c r="H23" s="118">
        <f>IF(B$17=0,0,G23/B$17)</f>
        <v>3.2362459546925568E-3</v>
      </c>
      <c r="I23" s="80">
        <v>2</v>
      </c>
      <c r="K23" s="32">
        <v>21</v>
      </c>
      <c r="L23" s="85">
        <v>-52.599999999999987</v>
      </c>
      <c r="N23" s="100" t="s">
        <v>166</v>
      </c>
      <c r="O23" s="110">
        <f>IF(P23=0,0,Q23/P23)</f>
        <v>42.666666666666664</v>
      </c>
      <c r="P23" s="104">
        <v>12</v>
      </c>
      <c r="Q23" s="92">
        <v>512</v>
      </c>
    </row>
    <row r="24" spans="1:17">
      <c r="A24" s="47" t="s">
        <v>5</v>
      </c>
      <c r="B24" s="44">
        <f>IF(B$17=0,0,C24/B$17)</f>
        <v>6601.941747572816</v>
      </c>
      <c r="C24" s="35">
        <v>2040000</v>
      </c>
      <c r="E24" s="55" t="s">
        <v>76</v>
      </c>
      <c r="F24" s="52" t="s">
        <v>40</v>
      </c>
      <c r="G24" s="40">
        <v>1</v>
      </c>
      <c r="H24" s="118">
        <f>IF(B$17=0,0,G24/B$17)</f>
        <v>3.2362459546925568E-3</v>
      </c>
      <c r="I24" s="80">
        <v>2</v>
      </c>
      <c r="K24" s="32">
        <v>22</v>
      </c>
      <c r="L24" s="85">
        <v>-68.399999999999991</v>
      </c>
      <c r="N24" s="100" t="s">
        <v>227</v>
      </c>
      <c r="O24" s="110">
        <f>IF(P24=0,0,Q24/P24)</f>
        <v>41.4</v>
      </c>
      <c r="P24" s="104">
        <v>6</v>
      </c>
      <c r="Q24" s="92">
        <v>248.4</v>
      </c>
    </row>
    <row r="25" spans="1:17">
      <c r="A25" s="48" t="s">
        <v>133</v>
      </c>
      <c r="B25" s="121">
        <f>IF($B$17-B$16=0,0,C25/($B$17-B$16))</f>
        <v>7661.4213197969539</v>
      </c>
      <c r="C25" s="122">
        <v>1509300</v>
      </c>
      <c r="E25" s="55" t="s">
        <v>80</v>
      </c>
      <c r="F25" s="52" t="s">
        <v>44</v>
      </c>
      <c r="G25" s="40">
        <v>1</v>
      </c>
      <c r="H25" s="118">
        <f>IF(B$17=0,0,G25/B$17)</f>
        <v>3.2362459546925568E-3</v>
      </c>
      <c r="I25" s="80">
        <v>2</v>
      </c>
      <c r="K25" s="32">
        <v>23</v>
      </c>
      <c r="L25" s="85">
        <v>-13.199999999999989</v>
      </c>
      <c r="N25" s="100" t="s">
        <v>196</v>
      </c>
      <c r="O25" s="110">
        <f>IF(P25=0,0,Q25/P25)</f>
        <v>36.133333333333333</v>
      </c>
      <c r="P25" s="104">
        <v>3</v>
      </c>
      <c r="Q25" s="92">
        <v>108.4</v>
      </c>
    </row>
    <row r="26" spans="1:17">
      <c r="A26" s="48" t="s">
        <v>134</v>
      </c>
      <c r="B26" s="121">
        <f>IF(B$16=0,0,C26/B$16)</f>
        <v>4738.3928571428569</v>
      </c>
      <c r="C26" s="122">
        <v>530700</v>
      </c>
      <c r="E26" s="55" t="s">
        <v>63</v>
      </c>
      <c r="F26" s="52" t="s">
        <v>27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216</v>
      </c>
      <c r="O26" s="110">
        <f>IF(P26=0,0,Q26/P26)</f>
        <v>28.577777777777776</v>
      </c>
      <c r="P26" s="104">
        <v>27</v>
      </c>
      <c r="Q26" s="92">
        <v>771.59999999999991</v>
      </c>
    </row>
    <row r="27" spans="1:17">
      <c r="A27" s="48" t="s">
        <v>132</v>
      </c>
      <c r="B27" s="121">
        <f>IF(B$18=0,0,C27/B$18)</f>
        <v>-6234.5</v>
      </c>
      <c r="C27" s="122">
        <v>-1246900</v>
      </c>
      <c r="E27" s="55" t="s">
        <v>64</v>
      </c>
      <c r="F27" s="52" t="s">
        <v>28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223</v>
      </c>
      <c r="O27" s="110">
        <f>IF(P27=0,0,Q27/P27)</f>
        <v>24.166666666666671</v>
      </c>
      <c r="P27" s="104">
        <v>12</v>
      </c>
      <c r="Q27" s="92">
        <v>290.00000000000006</v>
      </c>
    </row>
    <row r="28" spans="1:17">
      <c r="A28" s="47" t="s">
        <v>130</v>
      </c>
      <c r="B28" s="40">
        <v>5</v>
      </c>
      <c r="C28" s="120">
        <v>0</v>
      </c>
      <c r="E28" s="55" t="s">
        <v>65</v>
      </c>
      <c r="F28" s="52" t="s">
        <v>29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215</v>
      </c>
      <c r="O28" s="110">
        <f>IF(P28=0,0,Q28/P28)</f>
        <v>19.200000000000003</v>
      </c>
      <c r="P28" s="104">
        <v>3</v>
      </c>
      <c r="Q28" s="92">
        <v>57.600000000000009</v>
      </c>
    </row>
    <row r="29" spans="1:17">
      <c r="A29" s="47" t="s">
        <v>131</v>
      </c>
      <c r="B29" s="40">
        <v>31</v>
      </c>
      <c r="C29" s="120">
        <v>5</v>
      </c>
      <c r="E29" s="55" t="s">
        <v>68</v>
      </c>
      <c r="F29" s="52" t="s">
        <v>32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195</v>
      </c>
      <c r="O29" s="110">
        <f>IF(P29=0,0,Q29/P29)</f>
        <v>14.975757575757575</v>
      </c>
      <c r="P29" s="104">
        <v>66</v>
      </c>
      <c r="Q29" s="92">
        <v>988.4</v>
      </c>
    </row>
    <row r="30" spans="1:17">
      <c r="A30" s="76" t="s">
        <v>111</v>
      </c>
      <c r="B30" s="160">
        <v>5</v>
      </c>
      <c r="C30" s="161"/>
      <c r="E30" s="55" t="s">
        <v>70</v>
      </c>
      <c r="F30" s="52" t="s">
        <v>34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213</v>
      </c>
      <c r="O30" s="110">
        <f>IF(P30=0,0,Q30/P30)</f>
        <v>14.71111111111111</v>
      </c>
      <c r="P30" s="104">
        <v>27</v>
      </c>
      <c r="Q30" s="92">
        <v>397.2</v>
      </c>
    </row>
    <row r="31" spans="1:17">
      <c r="A31" s="50" t="s">
        <v>148</v>
      </c>
      <c r="B31" s="162">
        <v>71300</v>
      </c>
      <c r="C31" s="163"/>
      <c r="E31" s="55" t="s">
        <v>73</v>
      </c>
      <c r="F31" s="52" t="s">
        <v>37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179</v>
      </c>
      <c r="O31" s="110">
        <f>IF(P31=0,0,Q31/P31)</f>
        <v>2.4666666666666663</v>
      </c>
      <c r="P31" s="104">
        <v>48</v>
      </c>
      <c r="Q31" s="92">
        <v>118.39999999999998</v>
      </c>
    </row>
    <row r="32" spans="1:17">
      <c r="A32" s="49" t="s">
        <v>112</v>
      </c>
      <c r="B32" s="57">
        <v>3</v>
      </c>
      <c r="C32" s="36">
        <f>IF(B$3=0,0,B32/B$3)</f>
        <v>2.0202020202020202E-3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175</v>
      </c>
      <c r="O32" s="110">
        <f>IF(P32=0,0,Q32/P32)</f>
        <v>1.4666666666666668</v>
      </c>
      <c r="P32" s="104">
        <v>6</v>
      </c>
      <c r="Q32" s="92">
        <v>8.8000000000000007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161</v>
      </c>
      <c r="O33" s="110">
        <f>IF(P33=0,0,Q33/P33)</f>
        <v>-0.57333333333333036</v>
      </c>
      <c r="P33" s="104">
        <v>30</v>
      </c>
      <c r="Q33" s="92">
        <v>-17.19999999999991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164</v>
      </c>
      <c r="O34" s="110">
        <f>IF(P34=0,0,Q34/P34)</f>
        <v>-2.2222222222222197</v>
      </c>
      <c r="P34" s="104">
        <v>45</v>
      </c>
      <c r="Q34" s="92">
        <v>-99.999999999999886</v>
      </c>
    </row>
    <row r="35" spans="1:17">
      <c r="A35" s="76" t="s">
        <v>139</v>
      </c>
      <c r="B35" s="136">
        <v>36</v>
      </c>
      <c r="C35" s="126">
        <f t="shared" ref="C35:C47" si="3">IF(B$17=0,0,B35/B$17)</f>
        <v>0.11650485436893204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177</v>
      </c>
      <c r="O35" s="110">
        <f>IF(P35=0,0,Q35/P35)</f>
        <v>-2.6</v>
      </c>
      <c r="P35" s="104">
        <v>6</v>
      </c>
      <c r="Q35" s="92">
        <v>-15.600000000000001</v>
      </c>
    </row>
    <row r="36" spans="1:17">
      <c r="A36" s="47" t="s">
        <v>135</v>
      </c>
      <c r="B36" s="40">
        <v>64</v>
      </c>
      <c r="C36" s="33">
        <f t="shared" si="3"/>
        <v>0.20711974110032363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163</v>
      </c>
      <c r="O36" s="110">
        <f>IF(P36=0,0,Q36/P36)</f>
        <v>-3.7999999999999949</v>
      </c>
      <c r="P36" s="104">
        <v>24</v>
      </c>
      <c r="Q36" s="92">
        <v>-91.199999999999875</v>
      </c>
    </row>
    <row r="37" spans="1:17">
      <c r="A37" s="47" t="s">
        <v>136</v>
      </c>
      <c r="B37" s="137">
        <v>70</v>
      </c>
      <c r="C37" s="33">
        <f t="shared" si="3"/>
        <v>0.22653721682847897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  <c r="N37" s="100" t="s">
        <v>191</v>
      </c>
      <c r="O37" s="110">
        <f>IF(P37=0,0,Q37/P37)</f>
        <v>-7.5523809523809531</v>
      </c>
      <c r="P37" s="104">
        <v>42</v>
      </c>
      <c r="Q37" s="92">
        <v>-317.20000000000005</v>
      </c>
    </row>
    <row r="38" spans="1:17">
      <c r="A38" s="47" t="s">
        <v>137</v>
      </c>
      <c r="B38" s="137">
        <v>60</v>
      </c>
      <c r="C38" s="33">
        <f t="shared" si="3"/>
        <v>0.1941747572815534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  <c r="N38" s="100" t="s">
        <v>168</v>
      </c>
      <c r="O38" s="110">
        <f>IF(P38=0,0,Q38/P38)</f>
        <v>-11.807407407407409</v>
      </c>
      <c r="P38" s="104">
        <v>54</v>
      </c>
      <c r="Q38" s="92">
        <v>-637.6</v>
      </c>
    </row>
    <row r="39" spans="1:17">
      <c r="A39" s="47" t="s">
        <v>138</v>
      </c>
      <c r="B39" s="137">
        <v>31</v>
      </c>
      <c r="C39" s="33">
        <f t="shared" si="3"/>
        <v>0.10032362459546926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  <c r="N39" s="100" t="s">
        <v>167</v>
      </c>
      <c r="O39" s="110">
        <f>IF(P39=0,0,Q39/P39)</f>
        <v>-18.666666666666664</v>
      </c>
      <c r="P39" s="104">
        <v>3</v>
      </c>
      <c r="Q39" s="92">
        <v>-55.999999999999993</v>
      </c>
    </row>
    <row r="40" spans="1:17">
      <c r="A40" s="47" t="s">
        <v>140</v>
      </c>
      <c r="B40" s="137">
        <v>37</v>
      </c>
      <c r="C40" s="33">
        <f t="shared" si="3"/>
        <v>0.11974110032362459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  <c r="N40" s="100" t="s">
        <v>169</v>
      </c>
      <c r="O40" s="110">
        <f>IF(P40=0,0,Q40/P40)</f>
        <v>-25.755555555555546</v>
      </c>
      <c r="P40" s="104">
        <v>90</v>
      </c>
      <c r="Q40" s="92">
        <v>-2317.9999999999991</v>
      </c>
    </row>
    <row r="41" spans="1:17">
      <c r="A41" s="47" t="s">
        <v>141</v>
      </c>
      <c r="B41" s="137">
        <v>10</v>
      </c>
      <c r="C41" s="33">
        <f t="shared" si="3"/>
        <v>3.2362459546925564E-2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  <c r="N41" s="100" t="s">
        <v>162</v>
      </c>
      <c r="O41" s="110">
        <f>IF(P41=0,0,Q41/P41)</f>
        <v>-39.703703703703681</v>
      </c>
      <c r="P41" s="104">
        <v>27</v>
      </c>
      <c r="Q41" s="92">
        <v>-1071.9999999999993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  <c r="N42" s="100" t="s">
        <v>205</v>
      </c>
      <c r="O42" s="110">
        <f>IF(P42=0,0,Q42/P42)</f>
        <v>-47.866666666666667</v>
      </c>
      <c r="P42" s="104">
        <v>12</v>
      </c>
      <c r="Q42" s="92">
        <v>-574.4</v>
      </c>
    </row>
    <row r="43" spans="1:17">
      <c r="A43" s="47" t="s">
        <v>143</v>
      </c>
      <c r="B43" s="137">
        <v>0</v>
      </c>
      <c r="C43" s="33">
        <f t="shared" si="3"/>
        <v>0</v>
      </c>
      <c r="K43" s="32">
        <v>41</v>
      </c>
      <c r="L43" s="85">
        <v>-66.399999999999991</v>
      </c>
      <c r="N43" s="100" t="s">
        <v>228</v>
      </c>
      <c r="O43" s="110">
        <f>IF(P43=0,0,Q43/P43)</f>
        <v>-81.933333333333337</v>
      </c>
      <c r="P43" s="104">
        <v>6</v>
      </c>
      <c r="Q43" s="92">
        <v>-491.6</v>
      </c>
    </row>
    <row r="44" spans="1:17">
      <c r="A44" s="47" t="s">
        <v>144</v>
      </c>
      <c r="B44" s="137">
        <v>0</v>
      </c>
      <c r="C44" s="33">
        <f t="shared" si="3"/>
        <v>0</v>
      </c>
      <c r="K44" s="32">
        <v>42</v>
      </c>
      <c r="L44" s="85">
        <v>-59.29999999999999</v>
      </c>
    </row>
    <row r="45" spans="1:17">
      <c r="A45" s="47" t="s">
        <v>145</v>
      </c>
      <c r="B45" s="137">
        <v>0</v>
      </c>
      <c r="C45" s="33">
        <f t="shared" si="3"/>
        <v>0</v>
      </c>
      <c r="K45" s="32">
        <v>43</v>
      </c>
      <c r="L45" s="85">
        <v>-74.699999999999989</v>
      </c>
    </row>
    <row r="46" spans="1:17">
      <c r="A46" s="47" t="s">
        <v>146</v>
      </c>
      <c r="B46" s="137">
        <v>0</v>
      </c>
      <c r="C46" s="33">
        <f t="shared" si="3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1</v>
      </c>
      <c r="C47" s="36">
        <f t="shared" si="3"/>
        <v>3.2362459546925568E-3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36</v>
      </c>
    </row>
    <row r="76" spans="11:12">
      <c r="K76" s="32">
        <v>74</v>
      </c>
      <c r="L76" s="85">
        <v>46.3</v>
      </c>
    </row>
    <row r="77" spans="11:12">
      <c r="K77" s="32">
        <v>75</v>
      </c>
      <c r="L77" s="85">
        <v>-9.9000000000000057</v>
      </c>
    </row>
    <row r="78" spans="11:12">
      <c r="K78" s="32">
        <v>76</v>
      </c>
      <c r="L78" s="85">
        <v>-20.000000000000007</v>
      </c>
    </row>
    <row r="79" spans="11:12">
      <c r="K79" s="32">
        <v>77</v>
      </c>
      <c r="L79" s="85">
        <v>2.5999999999999943</v>
      </c>
    </row>
    <row r="80" spans="11:12">
      <c r="K80" s="32">
        <v>78</v>
      </c>
      <c r="L80" s="85">
        <v>68.5</v>
      </c>
    </row>
    <row r="81" spans="11:12">
      <c r="K81" s="32">
        <v>79</v>
      </c>
      <c r="L81" s="85">
        <v>7.1000000000000014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-39.6</v>
      </c>
    </row>
    <row r="84" spans="11:12">
      <c r="K84" s="32">
        <v>82</v>
      </c>
      <c r="L84" s="85">
        <v>-29.1</v>
      </c>
    </row>
    <row r="85" spans="11:12">
      <c r="K85" s="32">
        <v>83</v>
      </c>
      <c r="L85" s="85">
        <v>24.5</v>
      </c>
    </row>
    <row r="86" spans="11:12">
      <c r="K86" s="32">
        <v>84</v>
      </c>
      <c r="L86" s="85">
        <v>-20</v>
      </c>
    </row>
    <row r="87" spans="11:12">
      <c r="K87" s="32">
        <v>85</v>
      </c>
      <c r="L87" s="85">
        <v>-27.6</v>
      </c>
    </row>
    <row r="88" spans="11:12">
      <c r="K88" s="32">
        <v>86</v>
      </c>
      <c r="L88" s="85">
        <v>57.999999999999993</v>
      </c>
    </row>
    <row r="89" spans="11:12">
      <c r="K89" s="32">
        <v>87</v>
      </c>
      <c r="L89" s="85">
        <v>7.9999999999999929</v>
      </c>
    </row>
    <row r="90" spans="11:12">
      <c r="K90" s="32">
        <v>88</v>
      </c>
      <c r="L90" s="85">
        <v>-20.000000000000007</v>
      </c>
    </row>
    <row r="91" spans="11:12">
      <c r="K91" s="32">
        <v>89</v>
      </c>
      <c r="L91" s="85">
        <v>-35.000000000000007</v>
      </c>
    </row>
    <row r="92" spans="11:12">
      <c r="K92" s="32">
        <v>90</v>
      </c>
      <c r="L92" s="85">
        <v>18.899999999999991</v>
      </c>
    </row>
    <row r="93" spans="11:12">
      <c r="K93" s="32">
        <v>91</v>
      </c>
      <c r="L93" s="85">
        <v>-27.600000000000009</v>
      </c>
    </row>
    <row r="94" spans="11:12">
      <c r="K94" s="32">
        <v>92</v>
      </c>
      <c r="L94" s="85">
        <v>-20.000000000000007</v>
      </c>
    </row>
    <row r="95" spans="11:12">
      <c r="K95" s="32">
        <v>93</v>
      </c>
      <c r="L95" s="85">
        <v>-79.400000000000006</v>
      </c>
    </row>
    <row r="96" spans="11:12">
      <c r="K96" s="32">
        <v>94</v>
      </c>
      <c r="L96" s="85">
        <v>-62.100000000000009</v>
      </c>
    </row>
    <row r="97" spans="11:12">
      <c r="K97" s="32">
        <v>95</v>
      </c>
      <c r="L97" s="85">
        <v>-91</v>
      </c>
    </row>
    <row r="98" spans="11:12">
      <c r="K98" s="32">
        <v>96</v>
      </c>
      <c r="L98" s="85">
        <v>-20</v>
      </c>
    </row>
    <row r="99" spans="11:12">
      <c r="K99" s="32">
        <v>97</v>
      </c>
      <c r="L99" s="85">
        <v>-38</v>
      </c>
    </row>
    <row r="100" spans="11:12">
      <c r="K100" s="32">
        <v>98</v>
      </c>
      <c r="L100" s="85">
        <v>28.599999999999994</v>
      </c>
    </row>
    <row r="101" spans="11:12">
      <c r="K101" s="32">
        <v>99</v>
      </c>
      <c r="L101" s="85">
        <v>34.199999999999996</v>
      </c>
    </row>
    <row r="102" spans="11:12">
      <c r="K102" s="32">
        <v>100</v>
      </c>
      <c r="L102" s="85">
        <v>-30.000000000000007</v>
      </c>
    </row>
    <row r="103" spans="11:12">
      <c r="K103" s="32">
        <v>101</v>
      </c>
      <c r="L103" s="85">
        <v>-55.500000000000007</v>
      </c>
    </row>
    <row r="104" spans="11:12">
      <c r="K104" s="32">
        <v>102</v>
      </c>
      <c r="L104" s="85">
        <v>-43.000000000000007</v>
      </c>
    </row>
    <row r="105" spans="11:12">
      <c r="K105" s="32">
        <v>103</v>
      </c>
      <c r="L105" s="85">
        <v>28.999999999999993</v>
      </c>
    </row>
    <row r="106" spans="11:12">
      <c r="K106" s="32">
        <v>104</v>
      </c>
      <c r="L106" s="85">
        <v>-30.000000000000007</v>
      </c>
    </row>
    <row r="107" spans="11:12">
      <c r="K107" s="32">
        <v>105</v>
      </c>
      <c r="L107" s="85">
        <v>22.499999999999993</v>
      </c>
    </row>
    <row r="108" spans="11:12">
      <c r="K108" s="32">
        <v>106</v>
      </c>
      <c r="L108" s="85">
        <v>-18.800000000000004</v>
      </c>
    </row>
    <row r="109" spans="11:12">
      <c r="K109" s="32">
        <v>107</v>
      </c>
      <c r="L109" s="85">
        <v>-38.400000000000006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-89</v>
      </c>
    </row>
    <row r="112" spans="11:12">
      <c r="K112" s="32">
        <v>110</v>
      </c>
      <c r="L112" s="85">
        <v>-64</v>
      </c>
    </row>
    <row r="113" spans="11:12">
      <c r="K113" s="32">
        <v>111</v>
      </c>
      <c r="L113" s="85">
        <v>-102.5</v>
      </c>
    </row>
    <row r="114" spans="11:12">
      <c r="K114" s="32">
        <v>112</v>
      </c>
      <c r="L114" s="85">
        <v>-30</v>
      </c>
    </row>
    <row r="115" spans="11:12">
      <c r="K115" s="32">
        <v>113</v>
      </c>
      <c r="L115" s="85">
        <v>27</v>
      </c>
    </row>
    <row r="116" spans="11:12">
      <c r="K116" s="32">
        <v>114</v>
      </c>
      <c r="L116" s="85">
        <v>42.6</v>
      </c>
    </row>
    <row r="117" spans="11:12">
      <c r="K117" s="32">
        <v>115</v>
      </c>
      <c r="L117" s="85">
        <v>-5.5</v>
      </c>
    </row>
    <row r="118" spans="11:12">
      <c r="K118" s="32">
        <v>116</v>
      </c>
      <c r="L118" s="85">
        <v>-30</v>
      </c>
    </row>
    <row r="119" spans="11:12">
      <c r="K119" s="32">
        <v>117</v>
      </c>
      <c r="L119" s="85">
        <v>43.2</v>
      </c>
    </row>
    <row r="120" spans="11:12">
      <c r="K120" s="32">
        <v>118</v>
      </c>
      <c r="L120" s="85">
        <v>19.000000000000004</v>
      </c>
    </row>
    <row r="121" spans="11:12">
      <c r="K121" s="32">
        <v>119</v>
      </c>
      <c r="L121" s="85">
        <v>-34.099999999999994</v>
      </c>
    </row>
    <row r="122" spans="11:12">
      <c r="K122" s="32">
        <v>120</v>
      </c>
      <c r="L122" s="85">
        <v>-29.999999999999993</v>
      </c>
    </row>
    <row r="123" spans="11:12">
      <c r="K123" s="32">
        <v>121</v>
      </c>
      <c r="L123" s="85">
        <v>-26.399999999999991</v>
      </c>
    </row>
    <row r="124" spans="11:12">
      <c r="K124" s="32">
        <v>122</v>
      </c>
      <c r="L124" s="85">
        <v>-43.599999999999994</v>
      </c>
    </row>
    <row r="125" spans="11:12">
      <c r="K125" s="32">
        <v>123</v>
      </c>
      <c r="L125" s="85">
        <v>-83.1</v>
      </c>
    </row>
    <row r="126" spans="11:12">
      <c r="K126" s="32">
        <v>124</v>
      </c>
      <c r="L126" s="85">
        <v>-29.999999999999993</v>
      </c>
    </row>
    <row r="127" spans="11:12">
      <c r="K127" s="32">
        <v>125</v>
      </c>
      <c r="L127" s="85">
        <v>-95.5</v>
      </c>
    </row>
    <row r="128" spans="11:12">
      <c r="K128" s="32">
        <v>126</v>
      </c>
      <c r="L128" s="85">
        <v>-83.6</v>
      </c>
    </row>
    <row r="129" spans="11:12">
      <c r="K129" s="32">
        <v>127</v>
      </c>
      <c r="L129" s="85">
        <v>-93.8</v>
      </c>
    </row>
    <row r="130" spans="11:12">
      <c r="K130" s="32">
        <v>128</v>
      </c>
      <c r="L130" s="85">
        <v>-30</v>
      </c>
    </row>
    <row r="131" spans="11:12">
      <c r="K131" s="32">
        <v>129</v>
      </c>
      <c r="L131" s="85">
        <v>26.9</v>
      </c>
    </row>
    <row r="132" spans="11:12">
      <c r="K132" s="32">
        <v>130</v>
      </c>
      <c r="L132" s="85">
        <v>-18.600000000000001</v>
      </c>
    </row>
    <row r="133" spans="11:12">
      <c r="K133" s="32">
        <v>131</v>
      </c>
      <c r="L133" s="85">
        <v>-5.1000000000000014</v>
      </c>
    </row>
    <row r="134" spans="11:12">
      <c r="K134" s="32">
        <v>132</v>
      </c>
      <c r="L134" s="85">
        <v>-30</v>
      </c>
    </row>
    <row r="135" spans="11:12">
      <c r="K135" s="32">
        <v>133</v>
      </c>
      <c r="L135" s="85">
        <v>47.2</v>
      </c>
    </row>
    <row r="136" spans="11:12">
      <c r="K136" s="32">
        <v>134</v>
      </c>
      <c r="L136" s="85">
        <v>-5.1999999999999957</v>
      </c>
    </row>
    <row r="137" spans="11:12">
      <c r="K137" s="32">
        <v>135</v>
      </c>
      <c r="L137" s="85">
        <v>-34.5</v>
      </c>
    </row>
    <row r="138" spans="11:12">
      <c r="K138" s="32">
        <v>136</v>
      </c>
      <c r="L138" s="85">
        <v>-30</v>
      </c>
    </row>
    <row r="139" spans="11:12">
      <c r="K139" s="32">
        <v>137</v>
      </c>
      <c r="L139" s="85">
        <v>-80.3</v>
      </c>
    </row>
    <row r="140" spans="11:12">
      <c r="K140" s="32">
        <v>138</v>
      </c>
      <c r="L140" s="85">
        <v>-103.9</v>
      </c>
    </row>
    <row r="141" spans="11:12">
      <c r="K141" s="32">
        <v>139</v>
      </c>
      <c r="L141" s="85">
        <v>-102.9</v>
      </c>
    </row>
    <row r="142" spans="11:12">
      <c r="K142" s="32">
        <v>140</v>
      </c>
      <c r="L142" s="85">
        <v>-30</v>
      </c>
    </row>
    <row r="143" spans="11:12">
      <c r="K143" s="32">
        <v>141</v>
      </c>
      <c r="L143" s="85">
        <v>38</v>
      </c>
    </row>
    <row r="144" spans="11:12">
      <c r="K144" s="32">
        <v>142</v>
      </c>
      <c r="L144" s="85">
        <v>-22.1</v>
      </c>
    </row>
    <row r="145" spans="11:12">
      <c r="K145" s="32">
        <v>143</v>
      </c>
      <c r="L145" s="85">
        <v>-10.500000000000002</v>
      </c>
    </row>
    <row r="146" spans="11:12">
      <c r="K146" s="32">
        <v>144</v>
      </c>
      <c r="L146" s="85">
        <v>-30</v>
      </c>
    </row>
    <row r="147" spans="11:12">
      <c r="K147" s="32">
        <v>145</v>
      </c>
      <c r="L147" s="85">
        <v>22</v>
      </c>
    </row>
    <row r="148" spans="11:12">
      <c r="K148" s="32">
        <v>146</v>
      </c>
      <c r="L148" s="85">
        <v>32</v>
      </c>
    </row>
    <row r="149" spans="11:12">
      <c r="K149" s="32">
        <v>147</v>
      </c>
      <c r="L149" s="85">
        <v>17.600000000000001</v>
      </c>
    </row>
    <row r="150" spans="11:12">
      <c r="K150" s="32">
        <v>148</v>
      </c>
      <c r="L150" s="85">
        <v>-30</v>
      </c>
    </row>
    <row r="151" spans="11:12">
      <c r="K151" s="32">
        <v>149</v>
      </c>
      <c r="L151" s="85">
        <v>-22.6</v>
      </c>
    </row>
    <row r="152" spans="11:12">
      <c r="K152" s="32">
        <v>150</v>
      </c>
      <c r="L152" s="85">
        <v>-70</v>
      </c>
    </row>
    <row r="153" spans="11:12">
      <c r="K153" s="32">
        <v>151</v>
      </c>
      <c r="L153" s="85">
        <v>-17.299999999999997</v>
      </c>
    </row>
    <row r="154" spans="11:12">
      <c r="K154" s="32">
        <v>152</v>
      </c>
      <c r="L154" s="85">
        <v>-29.999999999999996</v>
      </c>
    </row>
    <row r="155" spans="11:12">
      <c r="K155" s="32">
        <v>153</v>
      </c>
      <c r="L155" s="85">
        <v>30.400000000000002</v>
      </c>
    </row>
    <row r="156" spans="11:12">
      <c r="K156" s="32">
        <v>154</v>
      </c>
      <c r="L156" s="85">
        <v>39.900000000000006</v>
      </c>
    </row>
    <row r="157" spans="11:12">
      <c r="K157" s="32">
        <v>155</v>
      </c>
      <c r="L157" s="85">
        <v>-7.0999999999999943</v>
      </c>
    </row>
    <row r="158" spans="11:12">
      <c r="K158" s="32">
        <v>156</v>
      </c>
      <c r="L158" s="85">
        <v>-29.999999999999993</v>
      </c>
    </row>
    <row r="159" spans="11:12">
      <c r="K159" s="32">
        <v>157</v>
      </c>
      <c r="L159" s="85">
        <v>37.6</v>
      </c>
    </row>
    <row r="160" spans="11:12">
      <c r="K160" s="32">
        <v>158</v>
      </c>
      <c r="L160" s="85">
        <v>-16.799999999999997</v>
      </c>
    </row>
    <row r="161" spans="11:12">
      <c r="K161" s="32">
        <v>159</v>
      </c>
      <c r="L161" s="85">
        <v>-34.199999999999996</v>
      </c>
    </row>
    <row r="162" spans="11:12">
      <c r="K162" s="32">
        <v>160</v>
      </c>
      <c r="L162" s="85">
        <v>-29.999999999999996</v>
      </c>
    </row>
    <row r="163" spans="11:12">
      <c r="K163" s="32">
        <v>161</v>
      </c>
      <c r="L163" s="85">
        <v>-79.399999999999991</v>
      </c>
    </row>
    <row r="164" spans="11:12">
      <c r="K164" s="32">
        <v>162</v>
      </c>
      <c r="L164" s="85">
        <v>-102.69999999999999</v>
      </c>
    </row>
    <row r="165" spans="11:12">
      <c r="K165" s="32">
        <v>163</v>
      </c>
      <c r="L165" s="85">
        <v>-97.999999999999986</v>
      </c>
    </row>
    <row r="166" spans="11:12">
      <c r="K166" s="32">
        <v>164</v>
      </c>
      <c r="L166" s="85">
        <v>-29.999999999999986</v>
      </c>
    </row>
    <row r="167" spans="11:12">
      <c r="K167" s="32">
        <v>165</v>
      </c>
      <c r="L167" s="85">
        <v>-77.099999999999994</v>
      </c>
    </row>
    <row r="168" spans="11:12">
      <c r="K168" s="32">
        <v>166</v>
      </c>
      <c r="L168" s="85">
        <v>-9</v>
      </c>
    </row>
    <row r="169" spans="11:12">
      <c r="K169" s="32">
        <v>167</v>
      </c>
      <c r="L169" s="85">
        <v>-6.4</v>
      </c>
    </row>
    <row r="170" spans="11:12">
      <c r="K170" s="32">
        <v>168</v>
      </c>
      <c r="L170" s="85">
        <v>-30</v>
      </c>
    </row>
    <row r="171" spans="11:12">
      <c r="K171" s="32">
        <v>169</v>
      </c>
      <c r="L171" s="85">
        <v>-39.5</v>
      </c>
    </row>
    <row r="172" spans="11:12">
      <c r="K172" s="32">
        <v>170</v>
      </c>
      <c r="L172" s="85">
        <v>-94.4</v>
      </c>
    </row>
    <row r="173" spans="11:12">
      <c r="K173" s="32">
        <v>171</v>
      </c>
      <c r="L173" s="85">
        <v>-41.000000000000007</v>
      </c>
    </row>
    <row r="174" spans="11:12">
      <c r="K174" s="32">
        <v>172</v>
      </c>
      <c r="L174" s="85">
        <v>-30.000000000000007</v>
      </c>
    </row>
    <row r="175" spans="11:12">
      <c r="K175" s="32">
        <v>173</v>
      </c>
      <c r="L175" s="85">
        <v>-30.000000000000007</v>
      </c>
    </row>
    <row r="176" spans="11:12">
      <c r="K176" s="32">
        <v>174</v>
      </c>
      <c r="L176" s="85">
        <v>-47.2</v>
      </c>
    </row>
    <row r="177" spans="11:12">
      <c r="K177" s="32">
        <v>175</v>
      </c>
      <c r="L177" s="85">
        <v>-39.5</v>
      </c>
    </row>
    <row r="178" spans="11:12">
      <c r="K178" s="32">
        <v>176</v>
      </c>
      <c r="L178" s="85">
        <v>17</v>
      </c>
    </row>
    <row r="179" spans="11:12">
      <c r="K179" s="32">
        <v>177</v>
      </c>
      <c r="L179" s="85">
        <v>-30</v>
      </c>
    </row>
    <row r="180" spans="11:12">
      <c r="K180" s="32">
        <v>178</v>
      </c>
      <c r="L180" s="85">
        <v>-54.6</v>
      </c>
    </row>
    <row r="181" spans="11:12">
      <c r="K181" s="32">
        <v>179</v>
      </c>
      <c r="L181" s="85">
        <v>-52.5</v>
      </c>
    </row>
    <row r="182" spans="11:12">
      <c r="K182" s="32">
        <v>180</v>
      </c>
      <c r="L182" s="85">
        <v>14.799999999999997</v>
      </c>
    </row>
    <row r="183" spans="11:12">
      <c r="K183" s="32">
        <v>181</v>
      </c>
      <c r="L183" s="85">
        <v>-30</v>
      </c>
    </row>
    <row r="184" spans="11:12">
      <c r="K184" s="32">
        <v>182</v>
      </c>
      <c r="L184" s="85">
        <v>35.799999999999997</v>
      </c>
    </row>
    <row r="185" spans="11:12">
      <c r="K185" s="32">
        <v>183</v>
      </c>
      <c r="L185" s="85">
        <v>35.199999999999996</v>
      </c>
    </row>
    <row r="186" spans="11:12">
      <c r="K186" s="32">
        <v>184</v>
      </c>
      <c r="L186" s="85">
        <v>-7.9000000000000057</v>
      </c>
    </row>
    <row r="187" spans="11:12">
      <c r="K187" s="32">
        <v>185</v>
      </c>
      <c r="L187" s="85">
        <v>-30.000000000000007</v>
      </c>
    </row>
    <row r="188" spans="11:12">
      <c r="K188" s="32">
        <v>186</v>
      </c>
      <c r="L188" s="85">
        <v>-99.300000000000011</v>
      </c>
    </row>
    <row r="189" spans="11:12">
      <c r="K189" s="32">
        <v>187</v>
      </c>
      <c r="L189" s="85">
        <v>-94.300000000000011</v>
      </c>
    </row>
    <row r="190" spans="11:12">
      <c r="K190" s="32">
        <v>188</v>
      </c>
      <c r="L190" s="85">
        <v>-121.30000000000001</v>
      </c>
    </row>
    <row r="191" spans="11:12">
      <c r="K191" s="32">
        <v>189</v>
      </c>
      <c r="L191" s="85">
        <v>-30.000000000000014</v>
      </c>
    </row>
    <row r="192" spans="11:12">
      <c r="K192" s="32">
        <v>190</v>
      </c>
      <c r="L192" s="85">
        <v>30.399999999999984</v>
      </c>
    </row>
    <row r="193" spans="11:12">
      <c r="K193" s="32">
        <v>191</v>
      </c>
      <c r="L193" s="85">
        <v>-34.500000000000021</v>
      </c>
    </row>
    <row r="194" spans="11:12">
      <c r="K194" s="32">
        <v>192</v>
      </c>
      <c r="L194" s="85">
        <v>-44.800000000000026</v>
      </c>
    </row>
    <row r="195" spans="11:12">
      <c r="K195" s="32">
        <v>193</v>
      </c>
      <c r="L195" s="85">
        <v>-30.000000000000025</v>
      </c>
    </row>
    <row r="196" spans="11:12">
      <c r="K196" s="32">
        <v>194</v>
      </c>
      <c r="L196" s="85">
        <v>-74.200000000000031</v>
      </c>
    </row>
    <row r="197" spans="11:12">
      <c r="K197" s="32">
        <v>195</v>
      </c>
      <c r="L197" s="85">
        <v>-71.400000000000034</v>
      </c>
    </row>
    <row r="198" spans="11:12">
      <c r="K198" s="32">
        <v>196</v>
      </c>
      <c r="L198" s="85">
        <v>-8.9000000000000341</v>
      </c>
    </row>
    <row r="199" spans="11:12">
      <c r="K199" s="32">
        <v>197</v>
      </c>
      <c r="L199" s="85">
        <v>-30.000000000000036</v>
      </c>
    </row>
  </sheetData>
  <sortState xmlns:xlrd2="http://schemas.microsoft.com/office/spreadsheetml/2017/richdata2" ref="N18:Q4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164</v>
      </c>
      <c r="C1" s="165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15</v>
      </c>
      <c r="C2" s="167"/>
      <c r="E2" s="54" t="s">
        <v>54</v>
      </c>
      <c r="F2" s="51" t="s">
        <v>20</v>
      </c>
      <c r="G2" s="39">
        <v>11</v>
      </c>
      <c r="H2" s="117">
        <f>IF(B$17=0,0,G2/B$17)</f>
        <v>0.55000000000000004</v>
      </c>
      <c r="I2" s="79">
        <v>12</v>
      </c>
      <c r="K2" s="30">
        <v>0</v>
      </c>
      <c r="L2" s="84">
        <v>0</v>
      </c>
      <c r="N2" s="99" t="s">
        <v>103</v>
      </c>
      <c r="O2" s="106">
        <f t="shared" ref="O2:O9" si="0">IF(P2=0,0,Q2/P2)</f>
        <v>2340</v>
      </c>
      <c r="P2" s="103">
        <v>15</v>
      </c>
      <c r="Q2" s="87">
        <v>35100</v>
      </c>
    </row>
    <row r="3" spans="1:17">
      <c r="A3" s="47" t="s">
        <v>8</v>
      </c>
      <c r="B3" s="168">
        <v>121</v>
      </c>
      <c r="C3" s="169"/>
      <c r="E3" s="55" t="s">
        <v>181</v>
      </c>
      <c r="F3" s="52" t="s">
        <v>156</v>
      </c>
      <c r="G3" s="40">
        <v>10</v>
      </c>
      <c r="H3" s="118">
        <f>IF(B$17=0,0,G3/B$17)</f>
        <v>0.5</v>
      </c>
      <c r="I3" s="80">
        <v>11</v>
      </c>
      <c r="K3" s="32">
        <v>1</v>
      </c>
      <c r="L3" s="85">
        <v>11.9</v>
      </c>
      <c r="N3" s="100" t="s">
        <v>104</v>
      </c>
      <c r="O3" s="107">
        <f t="shared" si="0"/>
        <v>773.33333333333337</v>
      </c>
      <c r="P3" s="104">
        <v>15</v>
      </c>
      <c r="Q3" s="88">
        <v>11600</v>
      </c>
    </row>
    <row r="4" spans="1:17">
      <c r="A4" s="47" t="s">
        <v>6</v>
      </c>
      <c r="B4" s="170">
        <v>22.499999999999993</v>
      </c>
      <c r="C4" s="171"/>
      <c r="E4" s="55" t="s">
        <v>184</v>
      </c>
      <c r="F4" s="52" t="s">
        <v>187</v>
      </c>
      <c r="G4" s="40">
        <v>9</v>
      </c>
      <c r="H4" s="118">
        <f>IF(B$17=0,0,G4/B$17)</f>
        <v>0.45</v>
      </c>
      <c r="I4" s="80">
        <v>12</v>
      </c>
      <c r="K4" s="32">
        <v>2</v>
      </c>
      <c r="L4" s="85">
        <v>-40.200000000000003</v>
      </c>
      <c r="N4" s="100" t="s">
        <v>105</v>
      </c>
      <c r="O4" s="107">
        <f t="shared" si="0"/>
        <v>1693.3333333333333</v>
      </c>
      <c r="P4" s="104">
        <v>15</v>
      </c>
      <c r="Q4" s="88">
        <v>25400</v>
      </c>
    </row>
    <row r="5" spans="1:17">
      <c r="A5" s="47" t="s">
        <v>7</v>
      </c>
      <c r="B5" s="172">
        <f>IF(B$2=0,0,B$4/B$2)</f>
        <v>1.4999999999999996</v>
      </c>
      <c r="C5" s="173"/>
      <c r="E5" s="55" t="s">
        <v>60</v>
      </c>
      <c r="F5" s="52" t="s">
        <v>24</v>
      </c>
      <c r="G5" s="40">
        <v>7</v>
      </c>
      <c r="H5" s="118">
        <f>IF(B$17=0,0,G5/B$17)</f>
        <v>0.35</v>
      </c>
      <c r="I5" s="80">
        <v>14</v>
      </c>
      <c r="K5" s="32">
        <v>3</v>
      </c>
      <c r="L5" s="85">
        <v>-53.2</v>
      </c>
      <c r="N5" s="100" t="s">
        <v>157</v>
      </c>
      <c r="O5" s="107">
        <f>IF(P5=0,0,Q5/P5)</f>
        <v>-223.07692307692307</v>
      </c>
      <c r="P5" s="104">
        <v>13</v>
      </c>
      <c r="Q5" s="88">
        <v>-2900</v>
      </c>
    </row>
    <row r="6" spans="1:17">
      <c r="A6" s="47" t="s">
        <v>1</v>
      </c>
      <c r="B6" s="174">
        <f>IF(B$2=0,0,(B$7*1+B$8*2+B$9*3+B$10*4)/B$2)</f>
        <v>2.4666666666666668</v>
      </c>
      <c r="C6" s="175"/>
      <c r="E6" s="55" t="s">
        <v>55</v>
      </c>
      <c r="F6" s="52" t="s">
        <v>155</v>
      </c>
      <c r="G6" s="40">
        <v>6</v>
      </c>
      <c r="H6" s="118">
        <f>IF(B$17=0,0,G6/B$17)</f>
        <v>0.3</v>
      </c>
      <c r="I6" s="80">
        <v>11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-369.23076923076923</v>
      </c>
      <c r="P6" s="104">
        <v>13</v>
      </c>
      <c r="Q6" s="88">
        <v>-4800</v>
      </c>
    </row>
    <row r="7" spans="1:17">
      <c r="A7" s="47" t="s">
        <v>2</v>
      </c>
      <c r="B7" s="40">
        <v>3</v>
      </c>
      <c r="C7" s="33">
        <f t="shared" ref="C7:C12" si="2">IF(B$2=0,0,B7/B$2)</f>
        <v>0.2</v>
      </c>
      <c r="E7" s="55" t="s">
        <v>57</v>
      </c>
      <c r="F7" s="52" t="s">
        <v>21</v>
      </c>
      <c r="G7" s="40">
        <v>6</v>
      </c>
      <c r="H7" s="118">
        <f>IF(B$17=0,0,G7/B$17)</f>
        <v>0.3</v>
      </c>
      <c r="I7" s="80">
        <v>8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6</v>
      </c>
      <c r="C8" s="33">
        <f>IF(B$2=0,0,B8/B$2)</f>
        <v>0.4</v>
      </c>
      <c r="E8" s="55" t="s">
        <v>59</v>
      </c>
      <c r="F8" s="52" t="s">
        <v>23</v>
      </c>
      <c r="G8" s="40">
        <v>5</v>
      </c>
      <c r="H8" s="118">
        <f>IF(B$17=0,0,G8/B$17)</f>
        <v>0.25</v>
      </c>
      <c r="I8" s="80">
        <v>5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56</v>
      </c>
      <c r="F9" s="52" t="s">
        <v>185</v>
      </c>
      <c r="G9" s="40">
        <v>4</v>
      </c>
      <c r="H9" s="118">
        <f>IF(B$17=0,0,G9/B$17)</f>
        <v>0.2</v>
      </c>
      <c r="I9" s="80">
        <v>15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58</v>
      </c>
      <c r="F10" s="52" t="s">
        <v>22</v>
      </c>
      <c r="G10" s="40">
        <v>2</v>
      </c>
      <c r="H10" s="118">
        <f>IF(B$17=0,0,G10/B$17)</f>
        <v>0.1</v>
      </c>
      <c r="I10" s="80">
        <v>4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71</v>
      </c>
      <c r="F11" s="52" t="s">
        <v>35</v>
      </c>
      <c r="G11" s="40">
        <v>2</v>
      </c>
      <c r="H11" s="118">
        <f>IF(B$17=0,0,G11/B$17)</f>
        <v>0.1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182</v>
      </c>
      <c r="F12" s="52" t="s">
        <v>19</v>
      </c>
      <c r="G12" s="40">
        <v>1</v>
      </c>
      <c r="H12" s="118">
        <f>IF(B$17=0,0,G12/B$17)</f>
        <v>0.05</v>
      </c>
      <c r="I12" s="80">
        <v>12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32</v>
      </c>
      <c r="C13" s="38">
        <f>IF(B$3=0,0,B13/B$3)</f>
        <v>0.26446280991735538</v>
      </c>
      <c r="E13" s="55" t="s">
        <v>67</v>
      </c>
      <c r="F13" s="52" t="s">
        <v>31</v>
      </c>
      <c r="G13" s="40">
        <v>1</v>
      </c>
      <c r="H13" s="118">
        <f>IF(B$17=0,0,G13/B$17)</f>
        <v>0.05</v>
      </c>
      <c r="I13" s="80">
        <v>4</v>
      </c>
      <c r="K13" s="32">
        <v>11</v>
      </c>
      <c r="L13" s="85">
        <v>-141.5</v>
      </c>
      <c r="N13" s="100" t="s">
        <v>127</v>
      </c>
      <c r="O13" s="110">
        <f>IF(P13=0,0,Q13/P13)</f>
        <v>27.299999999999997</v>
      </c>
      <c r="P13" s="104">
        <v>6</v>
      </c>
      <c r="Q13" s="92">
        <v>163.79999999999998</v>
      </c>
    </row>
    <row r="14" spans="1:17">
      <c r="A14" s="47" t="s">
        <v>94</v>
      </c>
      <c r="B14" s="40">
        <v>31</v>
      </c>
      <c r="C14" s="33">
        <f>IF(B$3=0,0,B14/B$3)</f>
        <v>0.256198347107438</v>
      </c>
      <c r="E14" s="55" t="s">
        <v>183</v>
      </c>
      <c r="F14" s="52" t="s">
        <v>186</v>
      </c>
      <c r="G14" s="40">
        <v>1</v>
      </c>
      <c r="H14" s="118">
        <f>IF(B$17=0,0,G14/B$17)</f>
        <v>0.05</v>
      </c>
      <c r="I14" s="80">
        <v>3</v>
      </c>
      <c r="K14" s="32">
        <v>12</v>
      </c>
      <c r="L14" s="85">
        <v>-74.900000000000006</v>
      </c>
      <c r="N14" s="100" t="s">
        <v>128</v>
      </c>
      <c r="O14" s="110">
        <f>IF(P14=0,0,Q14/P14)</f>
        <v>11.833333333333334</v>
      </c>
      <c r="P14" s="104">
        <v>3</v>
      </c>
      <c r="Q14" s="92">
        <v>35.5</v>
      </c>
    </row>
    <row r="15" spans="1:17">
      <c r="A15" s="46" t="s">
        <v>99</v>
      </c>
      <c r="B15" s="39">
        <f>B21</f>
        <v>10</v>
      </c>
      <c r="C15" s="31">
        <f>IF(B$13=0,0,B15/B$13)</f>
        <v>0.3125</v>
      </c>
      <c r="E15" s="55" t="s">
        <v>78</v>
      </c>
      <c r="F15" s="52" t="s">
        <v>42</v>
      </c>
      <c r="G15" s="40">
        <v>1</v>
      </c>
      <c r="H15" s="118">
        <f>IF(B$17=0,0,G15/B$17)</f>
        <v>0.05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0.22580645161290322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8.9999999999999947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0.16528925619834711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K17" s="32">
        <v>15</v>
      </c>
      <c r="L17" s="85">
        <v>22.499999999999993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9.0909090909090912E-2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199</v>
      </c>
      <c r="O18" s="109">
        <f t="shared" ref="O18:O29" si="3"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4</v>
      </c>
      <c r="C19" s="33">
        <f>IF(B$17=0,0,B19/B$17)</f>
        <v>0.2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162</v>
      </c>
      <c r="O19" s="110">
        <f t="shared" si="3"/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16</v>
      </c>
      <c r="C20" s="33">
        <f>IF(B$17=0,0,B20/B$17)</f>
        <v>0.8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205</v>
      </c>
      <c r="O20" s="110">
        <f t="shared" si="3"/>
        <v>20.599999999999998</v>
      </c>
      <c r="P20" s="104">
        <v>2</v>
      </c>
      <c r="Q20" s="92">
        <v>41.199999999999996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5</v>
      </c>
      <c r="N21" s="100" t="s">
        <v>195</v>
      </c>
      <c r="O21" s="110">
        <f t="shared" si="3"/>
        <v>19.399999999999999</v>
      </c>
      <c r="P21" s="104">
        <v>4</v>
      </c>
      <c r="Q21" s="92">
        <v>77.599999999999994</v>
      </c>
    </row>
    <row r="22" spans="1:17">
      <c r="A22" s="47" t="s">
        <v>149</v>
      </c>
      <c r="B22" s="40">
        <v>7</v>
      </c>
      <c r="C22" s="33">
        <f>IF(B$17=0,0,B22/B$17)</f>
        <v>0.35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17.559999999999995</v>
      </c>
      <c r="P22" s="104">
        <v>5</v>
      </c>
      <c r="Q22" s="92">
        <v>87.799999999999983</v>
      </c>
    </row>
    <row r="23" spans="1:17">
      <c r="A23" s="47" t="s">
        <v>150</v>
      </c>
      <c r="B23" s="40">
        <v>3</v>
      </c>
      <c r="C23" s="33">
        <f>IF(B$17=0,0,B23/B$17)</f>
        <v>0.15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7355</v>
      </c>
      <c r="C24" s="35">
        <v>147100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 t="shared" si="3"/>
        <v>7.6999999999999966</v>
      </c>
      <c r="P24" s="104">
        <v>7</v>
      </c>
      <c r="Q24" s="92">
        <v>53.899999999999977</v>
      </c>
    </row>
    <row r="25" spans="1:17">
      <c r="A25" s="48" t="s">
        <v>133</v>
      </c>
      <c r="B25" s="121">
        <f>IF($B$17-B$16=0,0,C25/($B$17-B$16))</f>
        <v>8707.6923076923085</v>
      </c>
      <c r="C25" s="122">
        <v>113200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 t="shared" si="3"/>
        <v>4.68</v>
      </c>
      <c r="P25" s="104">
        <v>5</v>
      </c>
      <c r="Q25" s="92">
        <v>23.4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 t="shared" si="3"/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-5500</v>
      </c>
      <c r="C27" s="122">
        <v>-60500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168</v>
      </c>
      <c r="O27" s="110">
        <f t="shared" si="3"/>
        <v>-23.255555555555549</v>
      </c>
      <c r="P27" s="104">
        <v>9</v>
      </c>
      <c r="Q27" s="92">
        <v>-209.29999999999995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175</v>
      </c>
      <c r="O28" s="110">
        <f t="shared" si="3"/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177</v>
      </c>
      <c r="O29" s="110">
        <f t="shared" si="3"/>
        <v>-75.5</v>
      </c>
      <c r="P29" s="104">
        <v>1</v>
      </c>
      <c r="Q29" s="92">
        <v>-75.5</v>
      </c>
    </row>
    <row r="30" spans="1:17">
      <c r="A30" s="76" t="s">
        <v>111</v>
      </c>
      <c r="B30" s="160">
        <v>4</v>
      </c>
      <c r="C30" s="161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7</v>
      </c>
    </row>
    <row r="31" spans="1:17">
      <c r="A31" s="50" t="s">
        <v>148</v>
      </c>
      <c r="B31" s="162">
        <v>52000</v>
      </c>
      <c r="C31" s="163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4"/>
        <v>0.3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4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0.05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4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161</v>
      </c>
      <c r="C1" s="165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10</v>
      </c>
      <c r="C2" s="167"/>
      <c r="E2" s="54" t="s">
        <v>54</v>
      </c>
      <c r="F2" s="51" t="s">
        <v>20</v>
      </c>
      <c r="G2" s="39">
        <v>11</v>
      </c>
      <c r="H2" s="117">
        <f>IF(B$17=0,0,G2/B$17)</f>
        <v>0.6875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-950</v>
      </c>
      <c r="P2" s="103">
        <v>10</v>
      </c>
      <c r="Q2" s="87">
        <v>-9500</v>
      </c>
    </row>
    <row r="3" spans="1:17">
      <c r="A3" s="47" t="s">
        <v>8</v>
      </c>
      <c r="B3" s="168">
        <v>77</v>
      </c>
      <c r="C3" s="169"/>
      <c r="E3" s="55" t="s">
        <v>184</v>
      </c>
      <c r="F3" s="52" t="s">
        <v>187</v>
      </c>
      <c r="G3" s="40">
        <v>9</v>
      </c>
      <c r="H3" s="118">
        <f>IF(B$17=0,0,G3/B$17)</f>
        <v>0.5625</v>
      </c>
      <c r="I3" s="80">
        <v>7</v>
      </c>
      <c r="K3" s="32">
        <v>1</v>
      </c>
      <c r="L3" s="85">
        <v>74.900000000000006</v>
      </c>
      <c r="N3" s="100" t="s">
        <v>104</v>
      </c>
      <c r="O3" s="107">
        <f t="shared" si="0"/>
        <v>1400</v>
      </c>
      <c r="P3" s="104">
        <v>10</v>
      </c>
      <c r="Q3" s="88">
        <v>14000</v>
      </c>
    </row>
    <row r="4" spans="1:17">
      <c r="A4" s="47" t="s">
        <v>6</v>
      </c>
      <c r="B4" s="170">
        <v>-0.69999999999998863</v>
      </c>
      <c r="C4" s="171"/>
      <c r="E4" s="55" t="s">
        <v>181</v>
      </c>
      <c r="F4" s="52" t="s">
        <v>156</v>
      </c>
      <c r="G4" s="40">
        <v>7</v>
      </c>
      <c r="H4" s="118">
        <f>IF(B$17=0,0,G4/B$17)</f>
        <v>0.4375</v>
      </c>
      <c r="I4" s="80">
        <v>17</v>
      </c>
      <c r="K4" s="32">
        <v>2</v>
      </c>
      <c r="L4" s="85">
        <v>56.800000000000004</v>
      </c>
      <c r="N4" s="100" t="s">
        <v>105</v>
      </c>
      <c r="O4" s="107">
        <f t="shared" si="0"/>
        <v>1840</v>
      </c>
      <c r="P4" s="104">
        <v>10</v>
      </c>
      <c r="Q4" s="88">
        <v>18400</v>
      </c>
    </row>
    <row r="5" spans="1:17">
      <c r="A5" s="47" t="s">
        <v>7</v>
      </c>
      <c r="B5" s="172">
        <f>IF(B$2=0,0,B$4/B$2)</f>
        <v>-6.9999999999998869E-2</v>
      </c>
      <c r="C5" s="173"/>
      <c r="E5" s="55" t="s">
        <v>60</v>
      </c>
      <c r="F5" s="52" t="s">
        <v>24</v>
      </c>
      <c r="G5" s="40">
        <v>7</v>
      </c>
      <c r="H5" s="118">
        <f>IF(B$17=0,0,G5/B$17)</f>
        <v>0.4375</v>
      </c>
      <c r="I5" s="80">
        <v>8</v>
      </c>
      <c r="K5" s="32">
        <v>3</v>
      </c>
      <c r="L5" s="85">
        <v>-7.4999999999999929</v>
      </c>
      <c r="N5" s="100" t="s">
        <v>157</v>
      </c>
      <c r="O5" s="107">
        <f>IF(P5=0,0,Q5/P5)</f>
        <v>-1220</v>
      </c>
      <c r="P5" s="104">
        <v>10</v>
      </c>
      <c r="Q5" s="88">
        <v>-12200</v>
      </c>
    </row>
    <row r="6" spans="1:17">
      <c r="A6" s="47" t="s">
        <v>1</v>
      </c>
      <c r="B6" s="174">
        <f>IF(B$2=0,0,(B$7*1+B$8*2+B$9*3+B$10*4)/B$2)</f>
        <v>2.5</v>
      </c>
      <c r="C6" s="175"/>
      <c r="E6" s="55" t="s">
        <v>56</v>
      </c>
      <c r="F6" s="52" t="s">
        <v>185</v>
      </c>
      <c r="G6" s="40">
        <v>4</v>
      </c>
      <c r="H6" s="118">
        <f>IF(B$17=0,0,G6/B$17)</f>
        <v>0.25</v>
      </c>
      <c r="I6" s="80">
        <v>11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655.55555555555554</v>
      </c>
      <c r="P6" s="104">
        <v>9</v>
      </c>
      <c r="Q6" s="88">
        <v>5900</v>
      </c>
    </row>
    <row r="7" spans="1:17">
      <c r="A7" s="47" t="s">
        <v>2</v>
      </c>
      <c r="B7" s="40">
        <v>3</v>
      </c>
      <c r="C7" s="33">
        <f t="shared" ref="C7:C12" si="2">IF(B$2=0,0,B7/B$2)</f>
        <v>0.3</v>
      </c>
      <c r="E7" s="55" t="s">
        <v>55</v>
      </c>
      <c r="F7" s="52" t="s">
        <v>155</v>
      </c>
      <c r="G7" s="40">
        <v>3</v>
      </c>
      <c r="H7" s="118">
        <f>IF(B$17=0,0,G7/B$17)</f>
        <v>0.1875</v>
      </c>
      <c r="I7" s="80">
        <v>15</v>
      </c>
      <c r="K7" s="32">
        <v>5</v>
      </c>
      <c r="L7" s="85">
        <v>-28.499999999999993</v>
      </c>
      <c r="N7" s="100" t="s">
        <v>107</v>
      </c>
      <c r="O7" s="107">
        <f t="shared" si="0"/>
        <v>-2028.5714285714287</v>
      </c>
      <c r="P7" s="104">
        <v>7</v>
      </c>
      <c r="Q7" s="88">
        <v>-14200</v>
      </c>
    </row>
    <row r="8" spans="1:17">
      <c r="A8" s="47" t="s">
        <v>3</v>
      </c>
      <c r="B8" s="40">
        <v>2</v>
      </c>
      <c r="C8" s="33">
        <f>IF(B$2=0,0,B8/B$2)</f>
        <v>0.2</v>
      </c>
      <c r="E8" s="55" t="s">
        <v>57</v>
      </c>
      <c r="F8" s="52" t="s">
        <v>21</v>
      </c>
      <c r="G8" s="40">
        <v>3</v>
      </c>
      <c r="H8" s="118">
        <f>IF(B$17=0,0,G8/B$17)</f>
        <v>0.1875</v>
      </c>
      <c r="I8" s="80">
        <v>15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</v>
      </c>
      <c r="E9" s="55" t="s">
        <v>58</v>
      </c>
      <c r="F9" s="52" t="s">
        <v>22</v>
      </c>
      <c r="G9" s="40">
        <v>2</v>
      </c>
      <c r="H9" s="118">
        <f>IF(B$17=0,0,G9/B$17)</f>
        <v>0.125</v>
      </c>
      <c r="I9" s="80">
        <v>3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3</v>
      </c>
      <c r="C10" s="34">
        <f>IF(B$2=0,0,B10/B$2)</f>
        <v>0.3</v>
      </c>
      <c r="E10" s="55" t="s">
        <v>183</v>
      </c>
      <c r="F10" s="52" t="s">
        <v>186</v>
      </c>
      <c r="G10" s="40">
        <v>2</v>
      </c>
      <c r="H10" s="118">
        <f>IF(B$17=0,0,G10/B$17)</f>
        <v>0.125</v>
      </c>
      <c r="I10" s="80">
        <v>1</v>
      </c>
      <c r="K10" s="32">
        <v>8</v>
      </c>
      <c r="L10" s="85">
        <v>-19.499999999999986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0.5</v>
      </c>
      <c r="E11" s="55" t="s">
        <v>74</v>
      </c>
      <c r="F11" s="52" t="s">
        <v>38</v>
      </c>
      <c r="G11" s="40">
        <v>2</v>
      </c>
      <c r="H11" s="118">
        <f>IF(B$17=0,0,G11/B$17)</f>
        <v>0.125</v>
      </c>
      <c r="I11" s="80">
        <v>1</v>
      </c>
      <c r="K11" s="32">
        <v>9</v>
      </c>
      <c r="L11" s="85">
        <v>-66.499999999999986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</v>
      </c>
      <c r="E12" s="55" t="s">
        <v>182</v>
      </c>
      <c r="F12" s="52" t="s">
        <v>19</v>
      </c>
      <c r="G12" s="40">
        <v>1</v>
      </c>
      <c r="H12" s="118">
        <f>IF(B$17=0,0,G12/B$17)</f>
        <v>6.25E-2</v>
      </c>
      <c r="I12" s="80">
        <v>10</v>
      </c>
      <c r="K12" s="32">
        <v>10</v>
      </c>
      <c r="L12" s="85">
        <v>-0.69999999999998863</v>
      </c>
      <c r="N12" s="99" t="s">
        <v>126</v>
      </c>
      <c r="O12" s="109">
        <f>IF(P12=0,0,Q12/P12)</f>
        <v>7.1749999999999989</v>
      </c>
      <c r="P12" s="103">
        <v>4</v>
      </c>
      <c r="Q12" s="91">
        <v>28.699999999999996</v>
      </c>
    </row>
    <row r="13" spans="1:17">
      <c r="A13" s="50" t="s">
        <v>97</v>
      </c>
      <c r="B13" s="43">
        <v>13</v>
      </c>
      <c r="C13" s="38">
        <f>IF(B$3=0,0,B13/B$3)</f>
        <v>0.16883116883116883</v>
      </c>
      <c r="E13" s="55" t="s">
        <v>59</v>
      </c>
      <c r="F13" s="52" t="s">
        <v>23</v>
      </c>
      <c r="G13" s="40">
        <v>1</v>
      </c>
      <c r="H13" s="118">
        <f>IF(B$17=0,0,G13/B$17)</f>
        <v>6.25E-2</v>
      </c>
      <c r="I13" s="80">
        <v>16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18</v>
      </c>
      <c r="C14" s="33">
        <f>IF(B$3=0,0,B14/B$3)</f>
        <v>0.23376623376623376</v>
      </c>
      <c r="E14" s="55" t="s">
        <v>75</v>
      </c>
      <c r="F14" s="52" t="s">
        <v>39</v>
      </c>
      <c r="G14" s="40">
        <v>1</v>
      </c>
      <c r="H14" s="118">
        <f>IF(B$17=0,0,G14/B$17)</f>
        <v>6.25E-2</v>
      </c>
      <c r="I14" s="80">
        <v>1</v>
      </c>
      <c r="N14" s="100" t="s">
        <v>128</v>
      </c>
      <c r="O14" s="110">
        <f>IF(P14=0,0,Q14/P14)</f>
        <v>-19.533333333333331</v>
      </c>
      <c r="P14" s="104">
        <v>3</v>
      </c>
      <c r="Q14" s="92">
        <v>-58.599999999999994</v>
      </c>
    </row>
    <row r="15" spans="1:17">
      <c r="A15" s="46" t="s">
        <v>99</v>
      </c>
      <c r="B15" s="39">
        <f>B21</f>
        <v>7</v>
      </c>
      <c r="C15" s="31">
        <f>IF(B$13=0,0,B15/B$13)</f>
        <v>0.53846153846153844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7</v>
      </c>
      <c r="C16" s="31">
        <f>IF(B$14=0,0,B16/B$14)</f>
        <v>0.3888888888888889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16</v>
      </c>
      <c r="C17" s="31">
        <f>IF(B$3=0,0,B17/B$3)</f>
        <v>0.20779220779220781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0.18181818181818182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 t="shared" ref="O18:O31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7</v>
      </c>
      <c r="C19" s="33">
        <f>IF(B$17=0,0,B19/B$17)</f>
        <v>0.4375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216</v>
      </c>
      <c r="O19" s="110">
        <f t="shared" si="3"/>
        <v>87.9</v>
      </c>
      <c r="P19" s="104">
        <v>1</v>
      </c>
      <c r="Q19" s="92">
        <v>87.9</v>
      </c>
    </row>
    <row r="20" spans="1:17">
      <c r="A20" s="47" t="s">
        <v>11</v>
      </c>
      <c r="B20" s="40">
        <v>9</v>
      </c>
      <c r="C20" s="33">
        <f>IF(B$17=0,0,B20/B$17)</f>
        <v>0.5625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5</v>
      </c>
      <c r="N20" s="100" t="s">
        <v>223</v>
      </c>
      <c r="O20" s="110">
        <f t="shared" si="3"/>
        <v>66.399999999999991</v>
      </c>
      <c r="P20" s="104">
        <v>1</v>
      </c>
      <c r="Q20" s="92">
        <v>66.399999999999991</v>
      </c>
    </row>
    <row r="21" spans="1:17">
      <c r="A21" s="47" t="s">
        <v>151</v>
      </c>
      <c r="B21" s="40">
        <v>7</v>
      </c>
      <c r="C21" s="33">
        <f>IF(B$17=0,0,B21/B$17)</f>
        <v>0.4375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 t="shared" si="3"/>
        <v>32.56666666666667</v>
      </c>
      <c r="P21" s="104">
        <v>3</v>
      </c>
      <c r="Q21" s="92">
        <v>97.7</v>
      </c>
    </row>
    <row r="22" spans="1:17">
      <c r="A22" s="47" t="s">
        <v>149</v>
      </c>
      <c r="B22" s="40">
        <v>7</v>
      </c>
      <c r="C22" s="33">
        <f>IF(B$17=0,0,B22/B$17)</f>
        <v>0.4375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199</v>
      </c>
      <c r="O22" s="110">
        <f t="shared" si="3"/>
        <v>23.9</v>
      </c>
      <c r="P22" s="104">
        <v>1</v>
      </c>
      <c r="Q22" s="92">
        <v>23.9</v>
      </c>
    </row>
    <row r="23" spans="1:17">
      <c r="A23" s="47" t="s">
        <v>150</v>
      </c>
      <c r="B23" s="40">
        <v>2</v>
      </c>
      <c r="C23" s="33">
        <f>IF(B$17=0,0,B23/B$17)</f>
        <v>0.125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22.449999999999996</v>
      </c>
      <c r="P23" s="104">
        <v>2</v>
      </c>
      <c r="Q23" s="92">
        <v>44.899999999999991</v>
      </c>
    </row>
    <row r="24" spans="1:17">
      <c r="A24" s="47" t="s">
        <v>5</v>
      </c>
      <c r="B24" s="44">
        <f>IF(B$17=0,0,C24/B$17)</f>
        <v>7025</v>
      </c>
      <c r="C24" s="35">
        <v>112400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195</v>
      </c>
      <c r="O24" s="110">
        <f t="shared" si="3"/>
        <v>20.650000000000002</v>
      </c>
      <c r="P24" s="104">
        <v>2</v>
      </c>
      <c r="Q24" s="92">
        <v>41.300000000000004</v>
      </c>
    </row>
    <row r="25" spans="1:17">
      <c r="A25" s="48" t="s">
        <v>133</v>
      </c>
      <c r="B25" s="121">
        <f>IF($B$17-B$16=0,0,C25/($B$17-B$16))</f>
        <v>10222.222222222223</v>
      </c>
      <c r="C25" s="122">
        <v>92000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  <c r="N25" s="100" t="s">
        <v>164</v>
      </c>
      <c r="O25" s="110">
        <f t="shared" si="3"/>
        <v>15.233333333333334</v>
      </c>
      <c r="P25" s="104">
        <v>3</v>
      </c>
      <c r="Q25" s="92">
        <v>45.7</v>
      </c>
    </row>
    <row r="26" spans="1:17">
      <c r="A26" s="48" t="s">
        <v>134</v>
      </c>
      <c r="B26" s="121">
        <f>IF(B$16=0,0,C26/B$16)</f>
        <v>2914.2857142857142</v>
      </c>
      <c r="C26" s="122">
        <v>20400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166</v>
      </c>
      <c r="O26" s="110">
        <f t="shared" si="3"/>
        <v>13.549999999999997</v>
      </c>
      <c r="P26" s="104">
        <v>2</v>
      </c>
      <c r="Q26" s="92">
        <v>27.099999999999994</v>
      </c>
    </row>
    <row r="27" spans="1:17">
      <c r="A27" s="48" t="s">
        <v>132</v>
      </c>
      <c r="B27" s="121">
        <f>IF(B$18=0,0,C27/B$18)</f>
        <v>-6514.2857142857147</v>
      </c>
      <c r="C27" s="122">
        <v>-91200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179</v>
      </c>
      <c r="O27" s="110">
        <f t="shared" si="3"/>
        <v>-20.166666666666664</v>
      </c>
      <c r="P27" s="104">
        <v>3</v>
      </c>
      <c r="Q27" s="92">
        <v>-60.499999999999993</v>
      </c>
    </row>
    <row r="28" spans="1:17">
      <c r="A28" s="47" t="s">
        <v>130</v>
      </c>
      <c r="B28" s="40">
        <v>2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168</v>
      </c>
      <c r="O28" s="110">
        <f t="shared" si="3"/>
        <v>-30.900000000000006</v>
      </c>
      <c r="P28" s="104">
        <v>3</v>
      </c>
      <c r="Q28" s="92">
        <v>-92.700000000000017</v>
      </c>
    </row>
    <row r="29" spans="1:17">
      <c r="A29" s="47" t="s">
        <v>131</v>
      </c>
      <c r="B29" s="40">
        <v>17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  <c r="N29" s="100" t="s">
        <v>175</v>
      </c>
      <c r="O29" s="110">
        <f t="shared" si="3"/>
        <v>-31.700000000000003</v>
      </c>
      <c r="P29" s="104">
        <v>1</v>
      </c>
      <c r="Q29" s="92">
        <v>-31.700000000000003</v>
      </c>
    </row>
    <row r="30" spans="1:17">
      <c r="A30" s="76" t="s">
        <v>111</v>
      </c>
      <c r="B30" s="160">
        <v>3</v>
      </c>
      <c r="C30" s="161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169</v>
      </c>
      <c r="O30" s="110">
        <f t="shared" si="3"/>
        <v>-40.43333333333333</v>
      </c>
      <c r="P30" s="104">
        <v>6</v>
      </c>
      <c r="Q30" s="92">
        <v>-242.59999999999997</v>
      </c>
    </row>
    <row r="31" spans="1:17">
      <c r="A31" s="50" t="s">
        <v>148</v>
      </c>
      <c r="B31" s="162">
        <v>54900</v>
      </c>
      <c r="C31" s="163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177</v>
      </c>
      <c r="O31" s="110">
        <f t="shared" si="3"/>
        <v>-126.8</v>
      </c>
      <c r="P31" s="104">
        <v>1</v>
      </c>
      <c r="Q31" s="92">
        <v>-126.8</v>
      </c>
    </row>
    <row r="32" spans="1:17">
      <c r="A32" s="49" t="s">
        <v>112</v>
      </c>
      <c r="B32" s="57">
        <v>1</v>
      </c>
      <c r="C32" s="36">
        <f>IF(B$3=0,0,B32/B$3)</f>
        <v>1.2987012987012988E-2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4"/>
        <v>0.1875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6.25E-2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4"/>
        <v>0.1875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4"/>
        <v>0.125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162</v>
      </c>
      <c r="C1" s="165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9</v>
      </c>
      <c r="C2" s="167"/>
      <c r="E2" s="54" t="s">
        <v>181</v>
      </c>
      <c r="F2" s="51" t="s">
        <v>156</v>
      </c>
      <c r="G2" s="39">
        <v>14</v>
      </c>
      <c r="H2" s="117">
        <f>IF(B$17=0,0,G2/B$17)</f>
        <v>0.66666666666666663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-822.22222222222217</v>
      </c>
      <c r="P2" s="103">
        <v>9</v>
      </c>
      <c r="Q2" s="87">
        <v>-7400</v>
      </c>
    </row>
    <row r="3" spans="1:17">
      <c r="A3" s="47" t="s">
        <v>8</v>
      </c>
      <c r="B3" s="168">
        <v>78</v>
      </c>
      <c r="C3" s="169"/>
      <c r="E3" s="55" t="s">
        <v>54</v>
      </c>
      <c r="F3" s="52" t="s">
        <v>20</v>
      </c>
      <c r="G3" s="40">
        <v>14</v>
      </c>
      <c r="H3" s="118">
        <f>IF(B$17=0,0,G3/B$17)</f>
        <v>0.66666666666666663</v>
      </c>
      <c r="I3" s="80">
        <v>6</v>
      </c>
      <c r="K3" s="32">
        <v>1</v>
      </c>
      <c r="L3" s="85">
        <v>-61.7</v>
      </c>
      <c r="N3" s="100" t="s">
        <v>104</v>
      </c>
      <c r="O3" s="107">
        <f t="shared" si="0"/>
        <v>2755.5555555555557</v>
      </c>
      <c r="P3" s="104">
        <v>9</v>
      </c>
      <c r="Q3" s="88">
        <v>24800</v>
      </c>
    </row>
    <row r="4" spans="1:17">
      <c r="A4" s="47" t="s">
        <v>6</v>
      </c>
      <c r="B4" s="170">
        <v>268</v>
      </c>
      <c r="C4" s="171"/>
      <c r="E4" s="55" t="s">
        <v>184</v>
      </c>
      <c r="F4" s="52" t="s">
        <v>187</v>
      </c>
      <c r="G4" s="40">
        <v>13</v>
      </c>
      <c r="H4" s="118">
        <f>IF(B$17=0,0,G4/B$17)</f>
        <v>0.61904761904761907</v>
      </c>
      <c r="I4" s="80">
        <v>5</v>
      </c>
      <c r="K4" s="32">
        <v>2</v>
      </c>
      <c r="L4" s="85">
        <v>26.099999999999994</v>
      </c>
      <c r="N4" s="100" t="s">
        <v>105</v>
      </c>
      <c r="O4" s="107">
        <f t="shared" si="0"/>
        <v>2855.5555555555557</v>
      </c>
      <c r="P4" s="104">
        <v>9</v>
      </c>
      <c r="Q4" s="88">
        <v>25700</v>
      </c>
    </row>
    <row r="5" spans="1:17">
      <c r="A5" s="47" t="s">
        <v>7</v>
      </c>
      <c r="B5" s="172">
        <f>IF(B$2=0,0,B$4/B$2)</f>
        <v>29.777777777777779</v>
      </c>
      <c r="C5" s="173"/>
      <c r="E5" s="55" t="s">
        <v>60</v>
      </c>
      <c r="F5" s="52" t="s">
        <v>24</v>
      </c>
      <c r="G5" s="40">
        <v>9</v>
      </c>
      <c r="H5" s="118">
        <f>IF(B$17=0,0,G5/B$17)</f>
        <v>0.42857142857142855</v>
      </c>
      <c r="I5" s="80">
        <v>9</v>
      </c>
      <c r="K5" s="32">
        <v>3</v>
      </c>
      <c r="L5" s="85">
        <v>81.5</v>
      </c>
      <c r="N5" s="100" t="s">
        <v>157</v>
      </c>
      <c r="O5" s="107">
        <f>IF(P5=0,0,Q5/P5)</f>
        <v>1800</v>
      </c>
      <c r="P5" s="104">
        <v>9</v>
      </c>
      <c r="Q5" s="88">
        <v>16200</v>
      </c>
    </row>
    <row r="6" spans="1:17">
      <c r="A6" s="47" t="s">
        <v>1</v>
      </c>
      <c r="B6" s="174">
        <f>IF(B$2=0,0,(B$7*1+B$8*2+B$9*3+B$10*4)/B$2)</f>
        <v>1.8888888888888888</v>
      </c>
      <c r="C6" s="175"/>
      <c r="E6" s="55" t="s">
        <v>56</v>
      </c>
      <c r="F6" s="52" t="s">
        <v>185</v>
      </c>
      <c r="G6" s="40">
        <v>8</v>
      </c>
      <c r="H6" s="118">
        <f>IF(B$17=0,0,G6/B$17)</f>
        <v>0.38095238095238093</v>
      </c>
      <c r="I6" s="80">
        <v>6</v>
      </c>
      <c r="K6" s="32">
        <v>4</v>
      </c>
      <c r="L6" s="85">
        <v>65.5</v>
      </c>
      <c r="N6" s="100" t="s">
        <v>106</v>
      </c>
      <c r="O6" s="107">
        <f t="shared" ref="O6" si="1">IF(P6=0,0,Q6/P6)</f>
        <v>3788.8888888888887</v>
      </c>
      <c r="P6" s="104">
        <v>9</v>
      </c>
      <c r="Q6" s="88">
        <v>34100</v>
      </c>
    </row>
    <row r="7" spans="1:17">
      <c r="A7" s="47" t="s">
        <v>2</v>
      </c>
      <c r="B7" s="40">
        <v>6</v>
      </c>
      <c r="C7" s="33">
        <f t="shared" ref="C7:C12" si="2">IF(B$2=0,0,B7/B$2)</f>
        <v>0.66666666666666663</v>
      </c>
      <c r="E7" s="55" t="s">
        <v>57</v>
      </c>
      <c r="F7" s="52" t="s">
        <v>21</v>
      </c>
      <c r="G7" s="40">
        <v>8</v>
      </c>
      <c r="H7" s="118">
        <f>IF(B$17=0,0,G7/B$17)</f>
        <v>0.38095238095238093</v>
      </c>
      <c r="I7" s="80">
        <v>4</v>
      </c>
      <c r="K7" s="32">
        <v>5</v>
      </c>
      <c r="L7" s="85">
        <v>124</v>
      </c>
      <c r="N7" s="100" t="s">
        <v>107</v>
      </c>
      <c r="O7" s="107">
        <f t="shared" si="0"/>
        <v>466.66666666666669</v>
      </c>
      <c r="P7" s="104">
        <v>6</v>
      </c>
      <c r="Q7" s="88">
        <v>2800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182</v>
      </c>
      <c r="F8" s="52" t="s">
        <v>19</v>
      </c>
      <c r="G8" s="40">
        <v>6</v>
      </c>
      <c r="H8" s="118">
        <f>IF(B$17=0,0,G8/B$17)</f>
        <v>0.2857142857142857</v>
      </c>
      <c r="I8" s="80">
        <v>2</v>
      </c>
      <c r="K8" s="32">
        <v>6</v>
      </c>
      <c r="L8" s="85">
        <v>181.8</v>
      </c>
      <c r="N8" s="100" t="s">
        <v>108</v>
      </c>
      <c r="O8" s="107">
        <f t="shared" si="0"/>
        <v>-2140</v>
      </c>
      <c r="P8" s="104">
        <v>5</v>
      </c>
      <c r="Q8" s="88">
        <v>-10700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55</v>
      </c>
      <c r="F9" s="52" t="s">
        <v>155</v>
      </c>
      <c r="G9" s="40">
        <v>3</v>
      </c>
      <c r="H9" s="118">
        <f>IF(B$17=0,0,G9/B$17)</f>
        <v>0.14285714285714285</v>
      </c>
      <c r="I9" s="80">
        <v>18</v>
      </c>
      <c r="K9" s="32">
        <v>7</v>
      </c>
      <c r="L9" s="85">
        <v>249.8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2</v>
      </c>
      <c r="H10" s="118">
        <f>IF(B$17=0,0,G10/B$17)</f>
        <v>9.5238095238095233E-2</v>
      </c>
      <c r="I10" s="80">
        <v>5</v>
      </c>
      <c r="K10" s="32">
        <v>8</v>
      </c>
      <c r="L10" s="85">
        <v>317.39999999999998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0.66666666666666663</v>
      </c>
      <c r="E11" s="55" t="s">
        <v>59</v>
      </c>
      <c r="F11" s="52" t="s">
        <v>23</v>
      </c>
      <c r="G11" s="40">
        <v>2</v>
      </c>
      <c r="H11" s="118">
        <f>IF(B$17=0,0,G11/B$17)</f>
        <v>9.5238095238095233E-2</v>
      </c>
      <c r="I11" s="80">
        <v>14</v>
      </c>
      <c r="K11" s="32">
        <v>9</v>
      </c>
      <c r="L11" s="85">
        <v>268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183</v>
      </c>
      <c r="F12" s="52" t="s">
        <v>186</v>
      </c>
      <c r="G12" s="40">
        <v>1</v>
      </c>
      <c r="H12" s="118">
        <f>IF(B$17=0,0,G12/B$17)</f>
        <v>4.7619047619047616E-2</v>
      </c>
      <c r="I12" s="80">
        <v>4</v>
      </c>
      <c r="N12" s="99" t="s">
        <v>126</v>
      </c>
      <c r="O12" s="109">
        <f>IF(P12=0,0,Q12/P12)</f>
        <v>35.999999999999993</v>
      </c>
      <c r="P12" s="103">
        <v>4</v>
      </c>
      <c r="Q12" s="91">
        <v>143.99999999999997</v>
      </c>
    </row>
    <row r="13" spans="1:17">
      <c r="A13" s="50" t="s">
        <v>97</v>
      </c>
      <c r="B13" s="43">
        <v>20</v>
      </c>
      <c r="C13" s="38">
        <f>IF(B$3=0,0,B13/B$3)</f>
        <v>0.25641025641025639</v>
      </c>
      <c r="E13" s="55" t="s">
        <v>71</v>
      </c>
      <c r="F13" s="52" t="s">
        <v>35</v>
      </c>
      <c r="G13" s="40">
        <v>1</v>
      </c>
      <c r="H13" s="118">
        <f>IF(B$17=0,0,G13/B$17)</f>
        <v>4.7619047619047616E-2</v>
      </c>
      <c r="I13" s="80">
        <v>4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9</v>
      </c>
      <c r="C14" s="33">
        <f>IF(B$3=0,0,B14/B$3)</f>
        <v>0.11538461538461539</v>
      </c>
      <c r="E14" s="55" t="s">
        <v>74</v>
      </c>
      <c r="F14" s="52" t="s">
        <v>38</v>
      </c>
      <c r="G14" s="40">
        <v>1</v>
      </c>
      <c r="H14" s="118">
        <f>IF(B$17=0,0,G14/B$17)</f>
        <v>4.7619047619047616E-2</v>
      </c>
      <c r="I14" s="80">
        <v>5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15</v>
      </c>
      <c r="C15" s="31">
        <f>IF(B$13=0,0,B15/B$13)</f>
        <v>0.75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5</v>
      </c>
      <c r="C16" s="31">
        <f>IF(B$14=0,0,B16/B$14)</f>
        <v>0.55555555555555558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0.26923076923076922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0.12820512820512819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 t="shared" ref="O18:O30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9</v>
      </c>
      <c r="C19" s="33">
        <f>IF(B$17=0,0,B19/B$17)</f>
        <v>0.42857142857142855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 t="shared" si="3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12</v>
      </c>
      <c r="C20" s="33">
        <f>IF(B$17=0,0,B20/B$17)</f>
        <v>0.5714285714285714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5</v>
      </c>
      <c r="N20" s="100" t="s">
        <v>199</v>
      </c>
      <c r="O20" s="110">
        <f t="shared" si="3"/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15</v>
      </c>
      <c r="C21" s="33">
        <f>IF(B$17=0,0,B21/B$17)</f>
        <v>0.7142857142857143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 t="shared" si="3"/>
        <v>87.5</v>
      </c>
      <c r="P21" s="104">
        <v>1</v>
      </c>
      <c r="Q21" s="92">
        <v>87.5</v>
      </c>
    </row>
    <row r="22" spans="1:17">
      <c r="A22" s="47" t="s">
        <v>149</v>
      </c>
      <c r="B22" s="40">
        <v>5</v>
      </c>
      <c r="C22" s="33">
        <f>IF(B$17=0,0,B22/B$17)</f>
        <v>0.23809523809523808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 t="shared" si="3"/>
        <v>84.1</v>
      </c>
      <c r="P22" s="104">
        <v>1</v>
      </c>
      <c r="Q22" s="92">
        <v>84.1</v>
      </c>
    </row>
    <row r="23" spans="1:17">
      <c r="A23" s="47" t="s">
        <v>150</v>
      </c>
      <c r="B23" s="40">
        <v>1</v>
      </c>
      <c r="C23" s="33">
        <f>IF(B$17=0,0,B23/B$17)</f>
        <v>4.7619047619047616E-2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179</v>
      </c>
      <c r="O23" s="110">
        <f t="shared" si="3"/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7942.8571428571431</v>
      </c>
      <c r="C24" s="35">
        <v>166800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47.8</v>
      </c>
      <c r="P24" s="104">
        <v>1</v>
      </c>
      <c r="Q24" s="92">
        <v>47.8</v>
      </c>
    </row>
    <row r="25" spans="1:17">
      <c r="A25" s="48" t="s">
        <v>133</v>
      </c>
      <c r="B25" s="121">
        <f>IF($B$17-B$16=0,0,C25/($B$17-B$16))</f>
        <v>8118.75</v>
      </c>
      <c r="C25" s="122">
        <v>129900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195</v>
      </c>
      <c r="O25" s="110">
        <f t="shared" si="3"/>
        <v>43.699999999999982</v>
      </c>
      <c r="P25" s="104">
        <v>4</v>
      </c>
      <c r="Q25" s="92">
        <v>174.79999999999993</v>
      </c>
    </row>
    <row r="26" spans="1:17">
      <c r="A26" s="48" t="s">
        <v>134</v>
      </c>
      <c r="B26" s="121">
        <f>IF(B$16=0,0,C26/B$16)</f>
        <v>7380</v>
      </c>
      <c r="C26" s="122">
        <v>36900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169</v>
      </c>
      <c r="O26" s="110">
        <f t="shared" si="3"/>
        <v>38.019999999999996</v>
      </c>
      <c r="P26" s="104">
        <v>5</v>
      </c>
      <c r="Q26" s="92">
        <v>190.1</v>
      </c>
    </row>
    <row r="27" spans="1:17">
      <c r="A27" s="48" t="s">
        <v>132</v>
      </c>
      <c r="B27" s="121">
        <f>IF(B$18=0,0,C27/B$18)</f>
        <v>-5000</v>
      </c>
      <c r="C27" s="122">
        <v>-50000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163</v>
      </c>
      <c r="O27" s="110">
        <f t="shared" si="3"/>
        <v>37.875</v>
      </c>
      <c r="P27" s="104">
        <v>4</v>
      </c>
      <c r="Q27" s="92">
        <v>151.5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216</v>
      </c>
      <c r="O28" s="110">
        <f t="shared" si="3"/>
        <v>33.949999999999996</v>
      </c>
      <c r="P28" s="104">
        <v>2</v>
      </c>
      <c r="Q28" s="92">
        <v>67.899999999999991</v>
      </c>
    </row>
    <row r="29" spans="1:17">
      <c r="A29" s="47" t="s">
        <v>131</v>
      </c>
      <c r="B29" s="40">
        <v>26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  <c r="N29" s="100" t="s">
        <v>164</v>
      </c>
      <c r="O29" s="110">
        <f t="shared" si="3"/>
        <v>-34.833333333333336</v>
      </c>
      <c r="P29" s="104">
        <v>3</v>
      </c>
      <c r="Q29" s="92">
        <v>-104.5</v>
      </c>
    </row>
    <row r="30" spans="1:17">
      <c r="A30" s="76" t="s">
        <v>111</v>
      </c>
      <c r="B30" s="160">
        <v>4</v>
      </c>
      <c r="C30" s="161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161</v>
      </c>
      <c r="O30" s="110">
        <f t="shared" si="3"/>
        <v>-136.60000000000002</v>
      </c>
      <c r="P30" s="104">
        <v>1</v>
      </c>
      <c r="Q30" s="92">
        <v>-136.60000000000002</v>
      </c>
    </row>
    <row r="31" spans="1:17">
      <c r="A31" s="50" t="s">
        <v>148</v>
      </c>
      <c r="B31" s="162">
        <v>67800</v>
      </c>
      <c r="C31" s="163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9.5238095238095233E-2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4.7619047619047616E-2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6</v>
      </c>
      <c r="C38" s="33">
        <f t="shared" si="4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0.19047619047619047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4"/>
        <v>0.19047619047619047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163</v>
      </c>
      <c r="C1" s="165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8</v>
      </c>
      <c r="C2" s="167"/>
      <c r="E2" s="54" t="s">
        <v>60</v>
      </c>
      <c r="F2" s="51" t="s">
        <v>24</v>
      </c>
      <c r="G2" s="39">
        <v>9</v>
      </c>
      <c r="H2" s="117">
        <f>IF(B$17=0,0,G2/B$17)</f>
        <v>0.6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-762.5</v>
      </c>
      <c r="P2" s="103">
        <v>8</v>
      </c>
      <c r="Q2" s="87">
        <v>-6100</v>
      </c>
    </row>
    <row r="3" spans="1:17">
      <c r="A3" s="47" t="s">
        <v>8</v>
      </c>
      <c r="B3" s="168">
        <v>69</v>
      </c>
      <c r="C3" s="169"/>
      <c r="E3" s="55" t="s">
        <v>181</v>
      </c>
      <c r="F3" s="52" t="s">
        <v>156</v>
      </c>
      <c r="G3" s="40">
        <v>6</v>
      </c>
      <c r="H3" s="118">
        <f>IF(B$17=0,0,G3/B$17)</f>
        <v>0.4</v>
      </c>
      <c r="I3" s="80">
        <v>19</v>
      </c>
      <c r="K3" s="32">
        <v>1</v>
      </c>
      <c r="L3" s="85">
        <v>-25.1</v>
      </c>
      <c r="N3" s="100" t="s">
        <v>104</v>
      </c>
      <c r="O3" s="107">
        <f t="shared" si="0"/>
        <v>-975</v>
      </c>
      <c r="P3" s="104">
        <v>8</v>
      </c>
      <c r="Q3" s="88">
        <v>-7800</v>
      </c>
    </row>
    <row r="4" spans="1:17">
      <c r="A4" s="47" t="s">
        <v>6</v>
      </c>
      <c r="B4" s="170">
        <v>20.300000000000004</v>
      </c>
      <c r="C4" s="171"/>
      <c r="E4" s="55" t="s">
        <v>54</v>
      </c>
      <c r="F4" s="52" t="s">
        <v>20</v>
      </c>
      <c r="G4" s="40">
        <v>6</v>
      </c>
      <c r="H4" s="118">
        <f>IF(B$17=0,0,G4/B$17)</f>
        <v>0.4</v>
      </c>
      <c r="I4" s="80">
        <v>16</v>
      </c>
      <c r="K4" s="32">
        <v>2</v>
      </c>
      <c r="L4" s="85">
        <v>-75.7</v>
      </c>
      <c r="N4" s="100" t="s">
        <v>105</v>
      </c>
      <c r="O4" s="107">
        <f t="shared" si="0"/>
        <v>-312.5</v>
      </c>
      <c r="P4" s="104">
        <v>8</v>
      </c>
      <c r="Q4" s="88">
        <v>-2500</v>
      </c>
    </row>
    <row r="5" spans="1:17">
      <c r="A5" s="47" t="s">
        <v>7</v>
      </c>
      <c r="B5" s="172">
        <f>IF(B$2=0,0,B$4/B$2)</f>
        <v>2.5375000000000005</v>
      </c>
      <c r="C5" s="173"/>
      <c r="E5" s="55" t="s">
        <v>56</v>
      </c>
      <c r="F5" s="52" t="s">
        <v>185</v>
      </c>
      <c r="G5" s="40">
        <v>4</v>
      </c>
      <c r="H5" s="118">
        <f>IF(B$17=0,0,G5/B$17)</f>
        <v>0.26666666666666666</v>
      </c>
      <c r="I5" s="80">
        <v>9</v>
      </c>
      <c r="K5" s="32">
        <v>3</v>
      </c>
      <c r="L5" s="85">
        <v>-14</v>
      </c>
      <c r="N5" s="100" t="s">
        <v>157</v>
      </c>
      <c r="O5" s="107">
        <f>IF(P5=0,0,Q5/P5)</f>
        <v>-1387.5</v>
      </c>
      <c r="P5" s="104">
        <v>8</v>
      </c>
      <c r="Q5" s="88">
        <v>-11100</v>
      </c>
    </row>
    <row r="6" spans="1:17">
      <c r="A6" s="47" t="s">
        <v>1</v>
      </c>
      <c r="B6" s="174">
        <f>IF(B$2=0,0,(B$7*1+B$8*2+B$9*3+B$10*4)/B$2)</f>
        <v>2.5</v>
      </c>
      <c r="C6" s="175"/>
      <c r="E6" s="55" t="s">
        <v>57</v>
      </c>
      <c r="F6" s="52" t="s">
        <v>21</v>
      </c>
      <c r="G6" s="40">
        <v>4</v>
      </c>
      <c r="H6" s="118">
        <f>IF(B$17=0,0,G6/B$17)</f>
        <v>0.26666666666666666</v>
      </c>
      <c r="I6" s="80">
        <v>9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25</v>
      </c>
      <c r="P6" s="104">
        <v>8</v>
      </c>
      <c r="Q6" s="88">
        <v>200</v>
      </c>
    </row>
    <row r="7" spans="1:17">
      <c r="A7" s="47" t="s">
        <v>2</v>
      </c>
      <c r="B7" s="40">
        <v>3</v>
      </c>
      <c r="C7" s="33">
        <f t="shared" ref="C7:C12" si="2">IF(B$2=0,0,B7/B$2)</f>
        <v>0.375</v>
      </c>
      <c r="E7" s="55" t="s">
        <v>184</v>
      </c>
      <c r="F7" s="52" t="s">
        <v>187</v>
      </c>
      <c r="G7" s="40">
        <v>4</v>
      </c>
      <c r="H7" s="118">
        <f>IF(B$17=0,0,G7/B$17)</f>
        <v>0.26666666666666666</v>
      </c>
      <c r="I7" s="80">
        <v>18</v>
      </c>
      <c r="K7" s="32">
        <v>5</v>
      </c>
      <c r="L7" s="85">
        <v>97</v>
      </c>
      <c r="N7" s="100" t="s">
        <v>107</v>
      </c>
      <c r="O7" s="107">
        <f t="shared" si="0"/>
        <v>2957.1428571428573</v>
      </c>
      <c r="P7" s="104">
        <v>7</v>
      </c>
      <c r="Q7" s="88">
        <v>20700</v>
      </c>
    </row>
    <row r="8" spans="1:17">
      <c r="A8" s="47" t="s">
        <v>3</v>
      </c>
      <c r="B8" s="40">
        <v>1</v>
      </c>
      <c r="C8" s="33">
        <f>IF(B$2=0,0,B8/B$2)</f>
        <v>0.125</v>
      </c>
      <c r="E8" s="55" t="s">
        <v>59</v>
      </c>
      <c r="F8" s="52" t="s">
        <v>23</v>
      </c>
      <c r="G8" s="40">
        <v>3</v>
      </c>
      <c r="H8" s="118">
        <f>IF(B$17=0,0,G8/B$17)</f>
        <v>0.2</v>
      </c>
      <c r="I8" s="80">
        <v>10</v>
      </c>
      <c r="K8" s="32">
        <v>6</v>
      </c>
      <c r="L8" s="85">
        <v>50.2</v>
      </c>
      <c r="N8" s="100" t="s">
        <v>108</v>
      </c>
      <c r="O8" s="107">
        <f t="shared" si="0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0.125</v>
      </c>
      <c r="E9" s="55" t="s">
        <v>71</v>
      </c>
      <c r="F9" s="52" t="s">
        <v>35</v>
      </c>
      <c r="G9" s="40">
        <v>3</v>
      </c>
      <c r="H9" s="118">
        <f>IF(B$17=0,0,G9/B$17)</f>
        <v>0.2</v>
      </c>
      <c r="I9" s="80">
        <v>1</v>
      </c>
      <c r="K9" s="32">
        <v>7</v>
      </c>
      <c r="L9" s="85">
        <v>59.800000000000004</v>
      </c>
      <c r="N9" s="101" t="s">
        <v>158</v>
      </c>
      <c r="O9" s="108">
        <f t="shared" si="0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3</v>
      </c>
      <c r="C10" s="34">
        <f>IF(B$2=0,0,B10/B$2)</f>
        <v>0.375</v>
      </c>
      <c r="E10" s="55" t="s">
        <v>55</v>
      </c>
      <c r="F10" s="52" t="s">
        <v>155</v>
      </c>
      <c r="G10" s="40">
        <v>2</v>
      </c>
      <c r="H10" s="118">
        <f>IF(B$17=0,0,G10/B$17)</f>
        <v>0.13333333333333333</v>
      </c>
      <c r="I10" s="80">
        <v>19</v>
      </c>
      <c r="K10" s="32">
        <v>8</v>
      </c>
      <c r="L10" s="85">
        <v>20.300000000000004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0.5</v>
      </c>
      <c r="E11" s="55" t="s">
        <v>182</v>
      </c>
      <c r="F11" s="52" t="s">
        <v>19</v>
      </c>
      <c r="G11" s="40">
        <v>1</v>
      </c>
      <c r="H11" s="118">
        <f>IF(B$17=0,0,G11/B$17)</f>
        <v>6.6666666666666666E-2</v>
      </c>
      <c r="I11" s="80">
        <v>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67</v>
      </c>
      <c r="F12" s="52" t="s">
        <v>31</v>
      </c>
      <c r="G12" s="40">
        <v>1</v>
      </c>
      <c r="H12" s="118">
        <f>IF(B$17=0,0,G12/B$17)</f>
        <v>6.6666666666666666E-2</v>
      </c>
      <c r="I12" s="80">
        <v>3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0.20289855072463769</v>
      </c>
      <c r="E13" s="55" t="s">
        <v>72</v>
      </c>
      <c r="F13" s="52" t="s">
        <v>36</v>
      </c>
      <c r="G13" s="40">
        <v>1</v>
      </c>
      <c r="H13" s="118">
        <f>IF(B$17=0,0,G13/B$17)</f>
        <v>6.6666666666666666E-2</v>
      </c>
      <c r="I13" s="80">
        <v>1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22</v>
      </c>
      <c r="C14" s="33">
        <f>IF(B$3=0,0,B14/B$3)</f>
        <v>0.3188405797101449</v>
      </c>
      <c r="E14" s="55" t="s">
        <v>74</v>
      </c>
      <c r="F14" s="52" t="s">
        <v>38</v>
      </c>
      <c r="G14" s="40">
        <v>1</v>
      </c>
      <c r="H14" s="118">
        <f>IF(B$17=0,0,G14/B$17)</f>
        <v>6.6666666666666666E-2</v>
      </c>
      <c r="I14" s="80">
        <v>3</v>
      </c>
      <c r="N14" s="100" t="s">
        <v>128</v>
      </c>
      <c r="O14" s="110">
        <f>IF(P14=0,0,Q14/P14)</f>
        <v>-14.95</v>
      </c>
      <c r="P14" s="104">
        <v>2</v>
      </c>
      <c r="Q14" s="92">
        <v>-29.9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58</v>
      </c>
      <c r="F15" s="52" t="s">
        <v>22</v>
      </c>
      <c r="G15" s="40">
        <v>0</v>
      </c>
      <c r="H15" s="118">
        <f>IF(B$17=0,0,G15/B$17)</f>
        <v>0</v>
      </c>
      <c r="I15" s="80">
        <v>13</v>
      </c>
      <c r="N15" s="101" t="s">
        <v>159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100</v>
      </c>
      <c r="B16" s="39">
        <f>B22</f>
        <v>7</v>
      </c>
      <c r="C16" s="31">
        <f>IF(B$14=0,0,B16/B$14)</f>
        <v>0.31818181818181818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15</v>
      </c>
      <c r="C17" s="31">
        <f>IF(B$3=0,0,B17/B$3)</f>
        <v>0.21739130434782608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0.11594202898550725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168</v>
      </c>
      <c r="O18" s="109">
        <f t="shared" ref="O18:O26" si="3">IF(P18=0,0,Q18/P18)</f>
        <v>92.550000000000011</v>
      </c>
      <c r="P18" s="103">
        <v>4</v>
      </c>
      <c r="Q18" s="91">
        <v>370.20000000000005</v>
      </c>
    </row>
    <row r="19" spans="1:17">
      <c r="A19" s="47" t="s">
        <v>12</v>
      </c>
      <c r="B19" s="40">
        <v>9</v>
      </c>
      <c r="C19" s="33">
        <f>IF(B$17=0,0,B19/B$17)</f>
        <v>0.6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30.9</v>
      </c>
      <c r="P19" s="104">
        <v>1</v>
      </c>
      <c r="Q19" s="92">
        <v>30.9</v>
      </c>
    </row>
    <row r="20" spans="1:17">
      <c r="A20" s="47" t="s">
        <v>11</v>
      </c>
      <c r="B20" s="40">
        <v>6</v>
      </c>
      <c r="C20" s="33">
        <f>IF(B$17=0,0,B20/B$17)</f>
        <v>0.4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191</v>
      </c>
      <c r="O20" s="110">
        <f t="shared" si="3"/>
        <v>14.475</v>
      </c>
      <c r="P20" s="104">
        <v>4</v>
      </c>
      <c r="Q20" s="92">
        <v>57.9</v>
      </c>
    </row>
    <row r="21" spans="1:17">
      <c r="A21" s="47" t="s">
        <v>151</v>
      </c>
      <c r="B21" s="40">
        <v>7</v>
      </c>
      <c r="C21" s="33">
        <f>IF(B$17=0,0,B21/B$17)</f>
        <v>0.46666666666666667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5</v>
      </c>
      <c r="N21" s="100" t="s">
        <v>164</v>
      </c>
      <c r="O21" s="110">
        <f t="shared" si="3"/>
        <v>-12.474999999999993</v>
      </c>
      <c r="P21" s="104">
        <v>4</v>
      </c>
      <c r="Q21" s="92">
        <v>-49.89999999999997</v>
      </c>
    </row>
    <row r="22" spans="1:17">
      <c r="A22" s="47" t="s">
        <v>149</v>
      </c>
      <c r="B22" s="40">
        <v>7</v>
      </c>
      <c r="C22" s="33">
        <f>IF(B$17=0,0,B22/B$17)</f>
        <v>0.46666666666666667</v>
      </c>
      <c r="E22" s="55" t="s">
        <v>183</v>
      </c>
      <c r="F22" s="52" t="s">
        <v>186</v>
      </c>
      <c r="G22" s="40">
        <v>0</v>
      </c>
      <c r="H22" s="118">
        <f>IF(B$17=0,0,G22/B$17)</f>
        <v>0</v>
      </c>
      <c r="I22" s="80">
        <v>9</v>
      </c>
      <c r="N22" s="100" t="s">
        <v>203</v>
      </c>
      <c r="O22" s="110">
        <f t="shared" si="3"/>
        <v>-22.3</v>
      </c>
      <c r="P22" s="104">
        <v>1</v>
      </c>
      <c r="Q22" s="92">
        <v>-22.3</v>
      </c>
    </row>
    <row r="23" spans="1:17">
      <c r="A23" s="47" t="s">
        <v>150</v>
      </c>
      <c r="B23" s="40">
        <v>1</v>
      </c>
      <c r="C23" s="33">
        <f>IF(B$17=0,0,B23/B$17)</f>
        <v>6.6666666666666666E-2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161</v>
      </c>
      <c r="O23" s="110">
        <f t="shared" si="3"/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5993.333333333333</v>
      </c>
      <c r="C24" s="35">
        <v>89900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N24" s="100" t="s">
        <v>179</v>
      </c>
      <c r="O24" s="110">
        <f t="shared" si="3"/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6562.5</v>
      </c>
      <c r="C25" s="122">
        <v>52500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 t="shared" si="3"/>
        <v>-24.933333333333337</v>
      </c>
      <c r="P25" s="104">
        <v>3</v>
      </c>
      <c r="Q25" s="92">
        <v>-74.800000000000011</v>
      </c>
    </row>
    <row r="26" spans="1:17">
      <c r="A26" s="48" t="s">
        <v>134</v>
      </c>
      <c r="B26" s="121">
        <f>IF(B$16=0,0,C26/B$16)</f>
        <v>5342.8571428571431</v>
      </c>
      <c r="C26" s="122">
        <v>37400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162</v>
      </c>
      <c r="O26" s="110">
        <f t="shared" si="3"/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-7212.5</v>
      </c>
      <c r="C27" s="122">
        <v>-57700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60">
        <v>3</v>
      </c>
      <c r="C30" s="161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2">
        <v>41700</v>
      </c>
      <c r="C31" s="163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4"/>
        <v>0.4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6.6666666666666666E-2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169</v>
      </c>
      <c r="C1" s="165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30</v>
      </c>
      <c r="C2" s="167"/>
      <c r="E2" s="54" t="s">
        <v>54</v>
      </c>
      <c r="F2" s="51" t="s">
        <v>20</v>
      </c>
      <c r="G2" s="39">
        <v>45</v>
      </c>
      <c r="H2" s="117">
        <f>IF(B$17=0,0,G2/B$17)</f>
        <v>0.84905660377358494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760</v>
      </c>
      <c r="P2" s="103">
        <v>30</v>
      </c>
      <c r="Q2" s="87">
        <v>22800</v>
      </c>
    </row>
    <row r="3" spans="1:17">
      <c r="A3" s="47" t="s">
        <v>8</v>
      </c>
      <c r="B3" s="168">
        <v>229</v>
      </c>
      <c r="C3" s="169"/>
      <c r="E3" s="55" t="s">
        <v>184</v>
      </c>
      <c r="F3" s="52" t="s">
        <v>187</v>
      </c>
      <c r="G3" s="40">
        <v>37</v>
      </c>
      <c r="H3" s="118">
        <f>IF(B$17=0,0,G3/B$17)</f>
        <v>0.69811320754716977</v>
      </c>
      <c r="I3" s="80">
        <v>4</v>
      </c>
      <c r="K3" s="32">
        <v>1</v>
      </c>
      <c r="L3" s="85">
        <v>-14.2</v>
      </c>
      <c r="N3" s="100" t="s">
        <v>104</v>
      </c>
      <c r="O3" s="107">
        <f t="shared" si="0"/>
        <v>1653.3333333333333</v>
      </c>
      <c r="P3" s="104">
        <v>30</v>
      </c>
      <c r="Q3" s="88">
        <v>49600</v>
      </c>
    </row>
    <row r="4" spans="1:17">
      <c r="A4" s="47" t="s">
        <v>6</v>
      </c>
      <c r="B4" s="170">
        <v>577.00000000000011</v>
      </c>
      <c r="C4" s="171"/>
      <c r="E4" s="55" t="s">
        <v>181</v>
      </c>
      <c r="F4" s="52" t="s">
        <v>156</v>
      </c>
      <c r="G4" s="40">
        <v>28</v>
      </c>
      <c r="H4" s="118">
        <f>IF(B$17=0,0,G4/B$17)</f>
        <v>0.52830188679245282</v>
      </c>
      <c r="I4" s="80">
        <v>9</v>
      </c>
      <c r="K4" s="32">
        <v>2</v>
      </c>
      <c r="L4" s="85">
        <v>0.60000000000000142</v>
      </c>
      <c r="N4" s="100" t="s">
        <v>105</v>
      </c>
      <c r="O4" s="107">
        <f t="shared" si="0"/>
        <v>1510</v>
      </c>
      <c r="P4" s="104">
        <v>30</v>
      </c>
      <c r="Q4" s="88">
        <v>45300</v>
      </c>
    </row>
    <row r="5" spans="1:17">
      <c r="A5" s="47" t="s">
        <v>7</v>
      </c>
      <c r="B5" s="172">
        <f>IF(B$2=0,0,B$4/B$2)</f>
        <v>19.233333333333338</v>
      </c>
      <c r="C5" s="173"/>
      <c r="E5" s="55" t="s">
        <v>57</v>
      </c>
      <c r="F5" s="52" t="s">
        <v>21</v>
      </c>
      <c r="G5" s="40">
        <v>20</v>
      </c>
      <c r="H5" s="118">
        <f>IF(B$17=0,0,G5/B$17)</f>
        <v>0.37735849056603776</v>
      </c>
      <c r="I5" s="80">
        <v>5</v>
      </c>
      <c r="K5" s="32">
        <v>3</v>
      </c>
      <c r="L5" s="85">
        <v>-32.299999999999997</v>
      </c>
      <c r="N5" s="100" t="s">
        <v>157</v>
      </c>
      <c r="O5" s="107">
        <f>IF(P5=0,0,Q5/P5)</f>
        <v>1815.3846153846155</v>
      </c>
      <c r="P5" s="104">
        <v>26</v>
      </c>
      <c r="Q5" s="88">
        <v>47200</v>
      </c>
    </row>
    <row r="6" spans="1:17">
      <c r="A6" s="47" t="s">
        <v>1</v>
      </c>
      <c r="B6" s="174">
        <f>IF(B$2=0,0,(B$7*1+B$8*2+B$9*3+B$10*4)/B$2)</f>
        <v>2.0666666666666669</v>
      </c>
      <c r="C6" s="175"/>
      <c r="E6" s="55" t="s">
        <v>60</v>
      </c>
      <c r="F6" s="52" t="s">
        <v>24</v>
      </c>
      <c r="G6" s="40">
        <v>18</v>
      </c>
      <c r="H6" s="118">
        <f>IF(B$17=0,0,G6/B$17)</f>
        <v>0.33962264150943394</v>
      </c>
      <c r="I6" s="80">
        <v>15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1268.421052631579</v>
      </c>
      <c r="P6" s="104">
        <v>19</v>
      </c>
      <c r="Q6" s="88">
        <v>24100</v>
      </c>
    </row>
    <row r="7" spans="1:17">
      <c r="A7" s="47" t="s">
        <v>2</v>
      </c>
      <c r="B7" s="40">
        <v>12</v>
      </c>
      <c r="C7" s="33">
        <f t="shared" ref="C7:C12" si="2">IF(B$2=0,0,B7/B$2)</f>
        <v>0.4</v>
      </c>
      <c r="E7" s="55" t="s">
        <v>55</v>
      </c>
      <c r="F7" s="52" t="s">
        <v>155</v>
      </c>
      <c r="G7" s="40">
        <v>16</v>
      </c>
      <c r="H7" s="118">
        <f>IF(B$17=0,0,G7/B$17)</f>
        <v>0.30188679245283018</v>
      </c>
      <c r="I7" s="80">
        <v>10</v>
      </c>
      <c r="K7" s="32">
        <v>5</v>
      </c>
      <c r="L7" s="85">
        <v>-39</v>
      </c>
      <c r="N7" s="100" t="s">
        <v>107</v>
      </c>
      <c r="O7" s="107">
        <f t="shared" si="0"/>
        <v>2838.4615384615386</v>
      </c>
      <c r="P7" s="104">
        <v>13</v>
      </c>
      <c r="Q7" s="88">
        <v>36900</v>
      </c>
    </row>
    <row r="8" spans="1:17">
      <c r="A8" s="47" t="s">
        <v>3</v>
      </c>
      <c r="B8" s="40">
        <v>7</v>
      </c>
      <c r="C8" s="33">
        <f>IF(B$2=0,0,B8/B$2)</f>
        <v>0.23333333333333334</v>
      </c>
      <c r="E8" s="55" t="s">
        <v>59</v>
      </c>
      <c r="F8" s="52" t="s">
        <v>23</v>
      </c>
      <c r="G8" s="40">
        <v>11</v>
      </c>
      <c r="H8" s="118">
        <f>IF(B$17=0,0,G8/B$17)</f>
        <v>0.20754716981132076</v>
      </c>
      <c r="I8" s="80">
        <v>9</v>
      </c>
      <c r="K8" s="32">
        <v>6</v>
      </c>
      <c r="L8" s="85">
        <v>43.8</v>
      </c>
      <c r="N8" s="100" t="s">
        <v>108</v>
      </c>
      <c r="O8" s="107">
        <f t="shared" si="0"/>
        <v>972.72727272727275</v>
      </c>
      <c r="P8" s="104">
        <v>11</v>
      </c>
      <c r="Q8" s="88">
        <v>10700</v>
      </c>
    </row>
    <row r="9" spans="1:17">
      <c r="A9" s="48" t="s">
        <v>4</v>
      </c>
      <c r="B9" s="41">
        <v>8</v>
      </c>
      <c r="C9" s="34">
        <f>IF(B$2=0,0,B9/B$2)</f>
        <v>0.26666666666666666</v>
      </c>
      <c r="E9" s="55" t="s">
        <v>56</v>
      </c>
      <c r="F9" s="52" t="s">
        <v>185</v>
      </c>
      <c r="G9" s="40">
        <v>9</v>
      </c>
      <c r="H9" s="118">
        <f>IF(B$17=0,0,G9/B$17)</f>
        <v>0.16981132075471697</v>
      </c>
      <c r="I9" s="80">
        <v>18</v>
      </c>
      <c r="K9" s="32">
        <v>7</v>
      </c>
      <c r="L9" s="85">
        <v>95.1</v>
      </c>
      <c r="N9" s="101" t="s">
        <v>158</v>
      </c>
      <c r="O9" s="108">
        <f t="shared" si="0"/>
        <v>-2400</v>
      </c>
      <c r="P9" s="105">
        <v>4</v>
      </c>
      <c r="Q9" s="89">
        <v>-9600</v>
      </c>
    </row>
    <row r="10" spans="1:17">
      <c r="A10" s="48" t="s">
        <v>152</v>
      </c>
      <c r="B10" s="41">
        <v>3</v>
      </c>
      <c r="C10" s="34">
        <f>IF(B$2=0,0,B10/B$2)</f>
        <v>0.1</v>
      </c>
      <c r="E10" s="55" t="s">
        <v>182</v>
      </c>
      <c r="F10" s="52" t="s">
        <v>19</v>
      </c>
      <c r="G10" s="40">
        <v>6</v>
      </c>
      <c r="H10" s="118">
        <f>IF(B$17=0,0,G10/B$17)</f>
        <v>0.11320754716981132</v>
      </c>
      <c r="I10" s="80">
        <v>6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19</v>
      </c>
      <c r="C11" s="34">
        <f>IF(B$2=0,0,B11/B$2)</f>
        <v>0.6333333333333333</v>
      </c>
      <c r="E11" s="55" t="s">
        <v>58</v>
      </c>
      <c r="F11" s="52" t="s">
        <v>22</v>
      </c>
      <c r="G11" s="40">
        <v>5</v>
      </c>
      <c r="H11" s="118">
        <f>IF(B$17=0,0,G11/B$17)</f>
        <v>9.4339622641509441E-2</v>
      </c>
      <c r="I11" s="80">
        <v>6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77</v>
      </c>
      <c r="F12" s="52" t="s">
        <v>41</v>
      </c>
      <c r="G12" s="40">
        <v>4</v>
      </c>
      <c r="H12" s="118">
        <f>IF(B$17=0,0,G12/B$17)</f>
        <v>7.5471698113207544E-2</v>
      </c>
      <c r="I12" s="80">
        <v>1</v>
      </c>
      <c r="K12" s="32">
        <v>10</v>
      </c>
      <c r="L12" s="85">
        <v>88.5</v>
      </c>
      <c r="N12" s="99" t="s">
        <v>126</v>
      </c>
      <c r="O12" s="109">
        <f>IF(P12=0,0,Q12/P12)</f>
        <v>23.487500000000001</v>
      </c>
      <c r="P12" s="103">
        <v>8</v>
      </c>
      <c r="Q12" s="91">
        <v>187.9</v>
      </c>
    </row>
    <row r="13" spans="1:17">
      <c r="A13" s="50" t="s">
        <v>97</v>
      </c>
      <c r="B13" s="43">
        <v>40</v>
      </c>
      <c r="C13" s="38">
        <f>IF(B$3=0,0,B13/B$3)</f>
        <v>0.17467248908296942</v>
      </c>
      <c r="E13" s="55" t="s">
        <v>62</v>
      </c>
      <c r="F13" s="52" t="s">
        <v>26</v>
      </c>
      <c r="G13" s="40">
        <v>1</v>
      </c>
      <c r="H13" s="118">
        <f>IF(B$17=0,0,G13/B$17)</f>
        <v>1.8867924528301886E-2</v>
      </c>
      <c r="I13" s="80">
        <v>2</v>
      </c>
      <c r="K13" s="32">
        <v>11</v>
      </c>
      <c r="L13" s="85">
        <v>44</v>
      </c>
      <c r="N13" s="100" t="s">
        <v>127</v>
      </c>
      <c r="O13" s="110">
        <f>IF(P13=0,0,Q13/P13)</f>
        <v>12.328571428571427</v>
      </c>
      <c r="P13" s="104">
        <v>7</v>
      </c>
      <c r="Q13" s="92">
        <v>86.3</v>
      </c>
    </row>
    <row r="14" spans="1:17">
      <c r="A14" s="47" t="s">
        <v>94</v>
      </c>
      <c r="B14" s="40">
        <v>41</v>
      </c>
      <c r="C14" s="33">
        <f>IF(B$3=0,0,B14/B$3)</f>
        <v>0.17903930131004367</v>
      </c>
      <c r="E14" s="55" t="s">
        <v>66</v>
      </c>
      <c r="F14" s="52" t="s">
        <v>30</v>
      </c>
      <c r="G14" s="40">
        <v>1</v>
      </c>
      <c r="H14" s="118">
        <f>IF(B$17=0,0,G14/B$17)</f>
        <v>1.8867924528301886E-2</v>
      </c>
      <c r="I14" s="80">
        <v>3</v>
      </c>
      <c r="K14" s="32">
        <v>12</v>
      </c>
      <c r="L14" s="85">
        <v>97.9</v>
      </c>
      <c r="N14" s="100" t="s">
        <v>128</v>
      </c>
      <c r="O14" s="110">
        <f>IF(P14=0,0,Q14/P14)</f>
        <v>24.099999999999998</v>
      </c>
      <c r="P14" s="104">
        <v>5</v>
      </c>
      <c r="Q14" s="92">
        <v>120.49999999999999</v>
      </c>
    </row>
    <row r="15" spans="1:17">
      <c r="A15" s="46" t="s">
        <v>99</v>
      </c>
      <c r="B15" s="39">
        <f>B21</f>
        <v>28</v>
      </c>
      <c r="C15" s="31">
        <f>IF(B$13=0,0,B15/B$13)</f>
        <v>0.7</v>
      </c>
      <c r="E15" s="55" t="s">
        <v>183</v>
      </c>
      <c r="F15" s="52" t="s">
        <v>186</v>
      </c>
      <c r="G15" s="40">
        <v>1</v>
      </c>
      <c r="H15" s="118">
        <f>IF(B$17=0,0,G15/B$17)</f>
        <v>1.8867924528301886E-2</v>
      </c>
      <c r="I15" s="80">
        <v>8</v>
      </c>
      <c r="K15" s="32">
        <v>13</v>
      </c>
      <c r="L15" s="85">
        <v>168.9</v>
      </c>
      <c r="N15" s="101" t="s">
        <v>159</v>
      </c>
      <c r="O15" s="111">
        <f>IF(P15=0,0,Q15/P15)</f>
        <v>18.229999999999997</v>
      </c>
      <c r="P15" s="105">
        <v>10</v>
      </c>
      <c r="Q15" s="93">
        <v>182.29999999999998</v>
      </c>
    </row>
    <row r="16" spans="1:17">
      <c r="A16" s="46" t="s">
        <v>100</v>
      </c>
      <c r="B16" s="39">
        <f>B22</f>
        <v>15</v>
      </c>
      <c r="C16" s="31">
        <f>IF(B$14=0,0,B16/B$14)</f>
        <v>0.36585365853658536</v>
      </c>
      <c r="E16" s="55" t="s">
        <v>71</v>
      </c>
      <c r="F16" s="52" t="s">
        <v>35</v>
      </c>
      <c r="G16" s="40">
        <v>1</v>
      </c>
      <c r="H16" s="118">
        <f>IF(B$17=0,0,G16/B$17)</f>
        <v>1.8867924528301886E-2</v>
      </c>
      <c r="I16" s="80">
        <v>7</v>
      </c>
      <c r="K16" s="32">
        <v>14</v>
      </c>
      <c r="L16" s="85">
        <v>181.4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53</v>
      </c>
      <c r="C17" s="31">
        <f>IF(B$3=0,0,B17/B$3)</f>
        <v>0.23144104803493451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233.9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20</v>
      </c>
      <c r="C18" s="33">
        <f>IF(B$3=0,0,B18/B$3)</f>
        <v>8.7336244541484712E-2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290.89999999999998</v>
      </c>
      <c r="N18" s="99" t="s">
        <v>208</v>
      </c>
      <c r="O18" s="109">
        <f t="shared" ref="O18:O36" si="3">IF(P18=0,0,Q18/P18)</f>
        <v>123.2</v>
      </c>
      <c r="P18" s="103">
        <v>1</v>
      </c>
      <c r="Q18" s="91">
        <v>123.2</v>
      </c>
    </row>
    <row r="19" spans="1:17">
      <c r="A19" s="47" t="s">
        <v>12</v>
      </c>
      <c r="B19" s="40">
        <v>11</v>
      </c>
      <c r="C19" s="33">
        <f>IF(B$17=0,0,B19/B$17)</f>
        <v>0.20754716981132076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344</v>
      </c>
      <c r="N19" s="100" t="s">
        <v>202</v>
      </c>
      <c r="O19" s="110">
        <f t="shared" si="3"/>
        <v>115.4</v>
      </c>
      <c r="P19" s="104">
        <v>2</v>
      </c>
      <c r="Q19" s="92">
        <v>230.8</v>
      </c>
    </row>
    <row r="20" spans="1:17">
      <c r="A20" s="47" t="s">
        <v>11</v>
      </c>
      <c r="B20" s="40">
        <v>42</v>
      </c>
      <c r="C20" s="33">
        <f>IF(B$17=0,0,B20/B$17)</f>
        <v>0.79245283018867929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333.8</v>
      </c>
      <c r="N20" s="100" t="s">
        <v>203</v>
      </c>
      <c r="O20" s="110">
        <f t="shared" si="3"/>
        <v>83.225000000000009</v>
      </c>
      <c r="P20" s="104">
        <v>4</v>
      </c>
      <c r="Q20" s="92">
        <v>332.90000000000003</v>
      </c>
    </row>
    <row r="21" spans="1:17">
      <c r="A21" s="47" t="s">
        <v>151</v>
      </c>
      <c r="B21" s="40">
        <v>28</v>
      </c>
      <c r="C21" s="33">
        <f>IF(B$17=0,0,B21/B$17)</f>
        <v>0.52830188679245282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406.70000000000005</v>
      </c>
      <c r="N21" s="100" t="s">
        <v>215</v>
      </c>
      <c r="O21" s="110">
        <f t="shared" si="3"/>
        <v>66.400000000000006</v>
      </c>
      <c r="P21" s="104">
        <v>1</v>
      </c>
      <c r="Q21" s="92">
        <v>66.400000000000006</v>
      </c>
    </row>
    <row r="22" spans="1:17">
      <c r="A22" s="47" t="s">
        <v>149</v>
      </c>
      <c r="B22" s="40">
        <v>15</v>
      </c>
      <c r="C22" s="33">
        <f>IF(B$17=0,0,B22/B$17)</f>
        <v>0.28301886792452829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418.30000000000007</v>
      </c>
      <c r="N22" s="100" t="s">
        <v>166</v>
      </c>
      <c r="O22" s="110">
        <f t="shared" si="3"/>
        <v>53.75</v>
      </c>
      <c r="P22" s="104">
        <v>4</v>
      </c>
      <c r="Q22" s="92">
        <v>215</v>
      </c>
    </row>
    <row r="23" spans="1:17">
      <c r="A23" s="47" t="s">
        <v>150</v>
      </c>
      <c r="B23" s="40">
        <v>10</v>
      </c>
      <c r="C23" s="33">
        <f>IF(B$17=0,0,B23/B$17)</f>
        <v>0.18867924528301888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K23" s="32">
        <v>21</v>
      </c>
      <c r="L23" s="85">
        <v>470.30000000000007</v>
      </c>
      <c r="N23" s="100" t="s">
        <v>196</v>
      </c>
      <c r="O23" s="110">
        <f t="shared" si="3"/>
        <v>49.7</v>
      </c>
      <c r="P23" s="104">
        <v>1</v>
      </c>
      <c r="Q23" s="92">
        <v>49.7</v>
      </c>
    </row>
    <row r="24" spans="1:17">
      <c r="A24" s="47" t="s">
        <v>5</v>
      </c>
      <c r="B24" s="44">
        <f>IF(B$17=0,0,C24/B$17)</f>
        <v>7998.1132075471696</v>
      </c>
      <c r="C24" s="35">
        <v>423900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422.90000000000009</v>
      </c>
      <c r="N24" s="100" t="s">
        <v>179</v>
      </c>
      <c r="O24" s="110">
        <f t="shared" si="3"/>
        <v>46.750000000000014</v>
      </c>
      <c r="P24" s="104">
        <v>8</v>
      </c>
      <c r="Q24" s="92">
        <v>374.00000000000011</v>
      </c>
    </row>
    <row r="25" spans="1:17">
      <c r="A25" s="48" t="s">
        <v>133</v>
      </c>
      <c r="B25" s="121">
        <f>IF($B$17-B$16=0,0,C25/($B$17-B$16))</f>
        <v>8744.7368421052633</v>
      </c>
      <c r="C25" s="122">
        <v>332300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K25" s="32">
        <v>23</v>
      </c>
      <c r="L25" s="85">
        <v>483.30000000000007</v>
      </c>
      <c r="N25" s="100" t="s">
        <v>223</v>
      </c>
      <c r="O25" s="110">
        <f t="shared" si="3"/>
        <v>42.033333333333339</v>
      </c>
      <c r="P25" s="104">
        <v>3</v>
      </c>
      <c r="Q25" s="92">
        <v>126.10000000000001</v>
      </c>
    </row>
    <row r="26" spans="1:17">
      <c r="A26" s="48" t="s">
        <v>134</v>
      </c>
      <c r="B26" s="121">
        <f>IF(B$16=0,0,C26/B$16)</f>
        <v>6106.666666666667</v>
      </c>
      <c r="C26" s="122">
        <v>91600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487.50000000000006</v>
      </c>
      <c r="N26" s="100" t="s">
        <v>161</v>
      </c>
      <c r="O26" s="110">
        <f t="shared" si="3"/>
        <v>40.43333333333333</v>
      </c>
      <c r="P26" s="104">
        <v>6</v>
      </c>
      <c r="Q26" s="92">
        <v>242.6</v>
      </c>
    </row>
    <row r="27" spans="1:17">
      <c r="A27" s="48" t="s">
        <v>132</v>
      </c>
      <c r="B27" s="121">
        <f>IF(B$18=0,0,C27/B$18)</f>
        <v>-4890</v>
      </c>
      <c r="C27" s="122">
        <v>-97800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K27" s="32">
        <v>25</v>
      </c>
      <c r="L27" s="85">
        <v>464.20000000000005</v>
      </c>
      <c r="N27" s="100" t="s">
        <v>216</v>
      </c>
      <c r="O27" s="110">
        <f t="shared" si="3"/>
        <v>39.562499999999993</v>
      </c>
      <c r="P27" s="104">
        <v>8</v>
      </c>
      <c r="Q27" s="92">
        <v>316.49999999999994</v>
      </c>
    </row>
    <row r="28" spans="1:17">
      <c r="A28" s="47" t="s">
        <v>130</v>
      </c>
      <c r="B28" s="40">
        <v>4</v>
      </c>
      <c r="C28" s="120">
        <v>4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K28" s="32">
        <v>26</v>
      </c>
      <c r="L28" s="85">
        <v>532.30000000000007</v>
      </c>
      <c r="N28" s="100" t="s">
        <v>213</v>
      </c>
      <c r="O28" s="110">
        <f t="shared" si="3"/>
        <v>37.4</v>
      </c>
      <c r="P28" s="104">
        <v>6</v>
      </c>
      <c r="Q28" s="92">
        <v>224.39999999999998</v>
      </c>
    </row>
    <row r="29" spans="1:17">
      <c r="A29" s="47" t="s">
        <v>131</v>
      </c>
      <c r="B29" s="40">
        <v>42</v>
      </c>
      <c r="C29" s="120">
        <v>18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K29" s="32">
        <v>27</v>
      </c>
      <c r="L29" s="85">
        <v>522.80000000000007</v>
      </c>
      <c r="N29" s="100" t="s">
        <v>191</v>
      </c>
      <c r="O29" s="110">
        <f t="shared" si="3"/>
        <v>32.150000000000006</v>
      </c>
      <c r="P29" s="104">
        <v>8</v>
      </c>
      <c r="Q29" s="92">
        <v>257.20000000000005</v>
      </c>
    </row>
    <row r="30" spans="1:17">
      <c r="A30" s="76" t="s">
        <v>111</v>
      </c>
      <c r="B30" s="160">
        <v>4</v>
      </c>
      <c r="C30" s="161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K30" s="32">
        <v>28</v>
      </c>
      <c r="L30" s="85">
        <v>530.50000000000011</v>
      </c>
      <c r="N30" s="100" t="s">
        <v>163</v>
      </c>
      <c r="O30" s="110">
        <f t="shared" si="3"/>
        <v>24.933333333333337</v>
      </c>
      <c r="P30" s="104">
        <v>3</v>
      </c>
      <c r="Q30" s="92">
        <v>74.800000000000011</v>
      </c>
    </row>
    <row r="31" spans="1:17">
      <c r="A31" s="50" t="s">
        <v>148</v>
      </c>
      <c r="B31" s="162">
        <v>71300</v>
      </c>
      <c r="C31" s="163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485.7000000000001</v>
      </c>
      <c r="N31" s="100" t="s">
        <v>195</v>
      </c>
      <c r="O31" s="110">
        <f t="shared" si="3"/>
        <v>7.9249999999999936</v>
      </c>
      <c r="P31" s="104">
        <v>12</v>
      </c>
      <c r="Q31" s="92">
        <v>95.099999999999923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K32" s="32">
        <v>30</v>
      </c>
      <c r="L32" s="85">
        <v>577.00000000000011</v>
      </c>
      <c r="N32" s="100" t="s">
        <v>164</v>
      </c>
      <c r="O32" s="110">
        <f t="shared" si="3"/>
        <v>-7.6999999999999975</v>
      </c>
      <c r="P32" s="104">
        <v>7</v>
      </c>
      <c r="Q32" s="92">
        <v>-53.899999999999984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177</v>
      </c>
      <c r="O33" s="110">
        <f t="shared" si="3"/>
        <v>-10.999999999999996</v>
      </c>
      <c r="P33" s="104">
        <v>2</v>
      </c>
      <c r="Q33" s="92">
        <v>-21.999999999999993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N34" s="100" t="s">
        <v>168</v>
      </c>
      <c r="O34" s="110">
        <f t="shared" si="3"/>
        <v>-14.5625</v>
      </c>
      <c r="P34" s="104">
        <v>8</v>
      </c>
      <c r="Q34" s="92">
        <v>-116.5</v>
      </c>
    </row>
    <row r="35" spans="1:17">
      <c r="A35" s="76" t="s">
        <v>139</v>
      </c>
      <c r="B35" s="136">
        <v>2</v>
      </c>
      <c r="C35" s="126">
        <f t="shared" ref="C35:C47" si="4">IF(B$17=0,0,B35/B$17)</f>
        <v>3.7735849056603772E-2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N35" s="100" t="s">
        <v>167</v>
      </c>
      <c r="O35" s="110">
        <f t="shared" si="3"/>
        <v>-28.2</v>
      </c>
      <c r="P35" s="104">
        <v>1</v>
      </c>
      <c r="Q35" s="92">
        <v>-28.2</v>
      </c>
    </row>
    <row r="36" spans="1:17">
      <c r="A36" s="47" t="s">
        <v>135</v>
      </c>
      <c r="B36" s="40">
        <v>10</v>
      </c>
      <c r="C36" s="33">
        <f t="shared" si="4"/>
        <v>0.18867924528301888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N36" s="100" t="s">
        <v>162</v>
      </c>
      <c r="O36" s="110">
        <f t="shared" si="3"/>
        <v>-38.020000000000003</v>
      </c>
      <c r="P36" s="104">
        <v>5</v>
      </c>
      <c r="Q36" s="92">
        <v>-190.10000000000002</v>
      </c>
    </row>
    <row r="37" spans="1:17">
      <c r="A37" s="47" t="s">
        <v>136</v>
      </c>
      <c r="B37" s="137">
        <v>8</v>
      </c>
      <c r="C37" s="33">
        <f t="shared" si="4"/>
        <v>0.15094339622641509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15</v>
      </c>
      <c r="C38" s="33">
        <f t="shared" si="4"/>
        <v>0.28301886792452829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5</v>
      </c>
      <c r="C39" s="33">
        <f t="shared" si="4"/>
        <v>9.4339622641509441E-2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9</v>
      </c>
      <c r="C40" s="33">
        <f t="shared" si="4"/>
        <v>0.16981132075471697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4</v>
      </c>
      <c r="C41" s="33">
        <f t="shared" si="4"/>
        <v>7.5471698113207544E-2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166</v>
      </c>
      <c r="C1" s="165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4</v>
      </c>
      <c r="C2" s="167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18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68">
        <v>35</v>
      </c>
      <c r="C3" s="169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5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70">
        <v>-127.99999999999999</v>
      </c>
      <c r="C4" s="171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9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72">
        <f>IF(B$2=0,0,B$4/B$2)</f>
        <v>-31.999999999999996</v>
      </c>
      <c r="C5" s="173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17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74">
        <f>IF(B$2=0,0,(B$7*1+B$8*2+B$9*3+B$10*4)/B$2)</f>
        <v>3.25</v>
      </c>
      <c r="C6" s="175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17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2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21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18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5</v>
      </c>
      <c r="N18" s="99" t="s">
        <v>177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161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168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60">
        <v>1</v>
      </c>
      <c r="C30" s="161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2">
        <v>23700</v>
      </c>
      <c r="C31" s="163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4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167</v>
      </c>
      <c r="C1" s="165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1</v>
      </c>
      <c r="C2" s="167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68">
        <v>7</v>
      </c>
      <c r="C3" s="169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70">
        <v>14</v>
      </c>
      <c r="C4" s="171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11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72">
        <f>IF(B$2=0,0,B$4/B$2)</f>
        <v>14</v>
      </c>
      <c r="C5" s="173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13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74">
        <f>IF(B$2=0,0,(B$7*1+B$8*2+B$9*3+B$10*4)/B$2)</f>
        <v>2</v>
      </c>
      <c r="C6" s="175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1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3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13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22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60">
        <v>4</v>
      </c>
      <c r="C30" s="161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2">
        <v>34000</v>
      </c>
      <c r="C31" s="163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168</v>
      </c>
      <c r="C1" s="165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18</v>
      </c>
      <c r="C2" s="167"/>
      <c r="E2" s="54" t="s">
        <v>54</v>
      </c>
      <c r="F2" s="51" t="s">
        <v>20</v>
      </c>
      <c r="G2" s="39">
        <v>24</v>
      </c>
      <c r="H2" s="117">
        <f>IF(B$17=0,0,G2/B$17)</f>
        <v>0.55813953488372092</v>
      </c>
      <c r="I2" s="79">
        <v>11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-38.888888888888886</v>
      </c>
      <c r="P2" s="103">
        <v>18</v>
      </c>
      <c r="Q2" s="87">
        <v>-700</v>
      </c>
    </row>
    <row r="3" spans="1:17">
      <c r="A3" s="47" t="s">
        <v>8</v>
      </c>
      <c r="B3" s="168">
        <v>142</v>
      </c>
      <c r="C3" s="169"/>
      <c r="E3" s="55" t="s">
        <v>181</v>
      </c>
      <c r="F3" s="52" t="s">
        <v>156</v>
      </c>
      <c r="G3" s="40">
        <v>20</v>
      </c>
      <c r="H3" s="118">
        <f>IF(B$17=0,0,G3/B$17)</f>
        <v>0.46511627906976744</v>
      </c>
      <c r="I3" s="80">
        <v>16</v>
      </c>
      <c r="K3" s="32">
        <v>1</v>
      </c>
      <c r="L3" s="85">
        <v>61.1</v>
      </c>
      <c r="N3" s="100" t="s">
        <v>104</v>
      </c>
      <c r="O3" s="107">
        <f t="shared" si="0"/>
        <v>-2133.3333333333335</v>
      </c>
      <c r="P3" s="104">
        <v>18</v>
      </c>
      <c r="Q3" s="88">
        <v>-38400</v>
      </c>
    </row>
    <row r="4" spans="1:17">
      <c r="A4" s="47" t="s">
        <v>6</v>
      </c>
      <c r="B4" s="170">
        <v>154.39999999999998</v>
      </c>
      <c r="C4" s="171"/>
      <c r="E4" s="55" t="s">
        <v>184</v>
      </c>
      <c r="F4" s="52" t="s">
        <v>187</v>
      </c>
      <c r="G4" s="40">
        <v>15</v>
      </c>
      <c r="H4" s="118">
        <f>IF(B$17=0,0,G4/B$17)</f>
        <v>0.34883720930232559</v>
      </c>
      <c r="I4" s="80">
        <v>15</v>
      </c>
      <c r="K4" s="32">
        <v>2</v>
      </c>
      <c r="L4" s="85">
        <v>117.7</v>
      </c>
      <c r="N4" s="100" t="s">
        <v>105</v>
      </c>
      <c r="O4" s="107">
        <f t="shared" si="0"/>
        <v>855.55555555555554</v>
      </c>
      <c r="P4" s="104">
        <v>18</v>
      </c>
      <c r="Q4" s="88">
        <v>15400</v>
      </c>
    </row>
    <row r="5" spans="1:17">
      <c r="A5" s="47" t="s">
        <v>7</v>
      </c>
      <c r="B5" s="172">
        <f>IF(B$2=0,0,B$4/B$2)</f>
        <v>8.5777777777777757</v>
      </c>
      <c r="C5" s="173"/>
      <c r="E5" s="55" t="s">
        <v>55</v>
      </c>
      <c r="F5" s="52" t="s">
        <v>155</v>
      </c>
      <c r="G5" s="40">
        <v>14</v>
      </c>
      <c r="H5" s="118">
        <f>IF(B$17=0,0,G5/B$17)</f>
        <v>0.32558139534883723</v>
      </c>
      <c r="I5" s="80">
        <v>9</v>
      </c>
      <c r="K5" s="32">
        <v>3</v>
      </c>
      <c r="L5" s="85">
        <v>130.9</v>
      </c>
      <c r="N5" s="100" t="s">
        <v>157</v>
      </c>
      <c r="O5" s="107">
        <f>IF(P5=0,0,Q5/P5)</f>
        <v>2082.3529411764707</v>
      </c>
      <c r="P5" s="104">
        <v>17</v>
      </c>
      <c r="Q5" s="88">
        <v>35400</v>
      </c>
    </row>
    <row r="6" spans="1:17">
      <c r="A6" s="47" t="s">
        <v>1</v>
      </c>
      <c r="B6" s="174">
        <f>IF(B$2=0,0,(B$7*1+B$8*2+B$9*3+B$10*4)/B$2)</f>
        <v>2.3333333333333335</v>
      </c>
      <c r="C6" s="175"/>
      <c r="E6" s="55" t="s">
        <v>60</v>
      </c>
      <c r="F6" s="52" t="s">
        <v>24</v>
      </c>
      <c r="G6" s="40">
        <v>13</v>
      </c>
      <c r="H6" s="118">
        <f>IF(B$17=0,0,G6/B$17)</f>
        <v>0.30232558139534882</v>
      </c>
      <c r="I6" s="80">
        <v>19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268.75</v>
      </c>
      <c r="P6" s="104">
        <v>16</v>
      </c>
      <c r="Q6" s="88">
        <v>4300</v>
      </c>
    </row>
    <row r="7" spans="1:17">
      <c r="A7" s="47" t="s">
        <v>2</v>
      </c>
      <c r="B7" s="40">
        <v>7</v>
      </c>
      <c r="C7" s="33">
        <f t="shared" ref="C7:C12" si="2">IF(B$2=0,0,B7/B$2)</f>
        <v>0.3888888888888889</v>
      </c>
      <c r="E7" s="55" t="s">
        <v>56</v>
      </c>
      <c r="F7" s="52" t="s">
        <v>185</v>
      </c>
      <c r="G7" s="40">
        <v>11</v>
      </c>
      <c r="H7" s="118">
        <f>IF(B$17=0,0,G7/B$17)</f>
        <v>0.2558139534883721</v>
      </c>
      <c r="I7" s="80">
        <v>10</v>
      </c>
      <c r="K7" s="32">
        <v>5</v>
      </c>
      <c r="L7" s="85">
        <v>127.9</v>
      </c>
      <c r="N7" s="100" t="s">
        <v>107</v>
      </c>
      <c r="O7" s="107">
        <f t="shared" si="0"/>
        <v>2930.7692307692309</v>
      </c>
      <c r="P7" s="104">
        <v>13</v>
      </c>
      <c r="Q7" s="88">
        <v>38100</v>
      </c>
    </row>
    <row r="8" spans="1:17">
      <c r="A8" s="47" t="s">
        <v>3</v>
      </c>
      <c r="B8" s="40">
        <v>3</v>
      </c>
      <c r="C8" s="33">
        <f>IF(B$2=0,0,B8/B$2)</f>
        <v>0.16666666666666666</v>
      </c>
      <c r="E8" s="55" t="s">
        <v>59</v>
      </c>
      <c r="F8" s="52" t="s">
        <v>23</v>
      </c>
      <c r="G8" s="40">
        <v>8</v>
      </c>
      <c r="H8" s="118">
        <f>IF(B$17=0,0,G8/B$17)</f>
        <v>0.18604651162790697</v>
      </c>
      <c r="I8" s="80">
        <v>12</v>
      </c>
      <c r="K8" s="32">
        <v>6</v>
      </c>
      <c r="L8" s="85">
        <v>81.5</v>
      </c>
      <c r="N8" s="100" t="s">
        <v>108</v>
      </c>
      <c r="O8" s="107">
        <f t="shared" si="0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0.16666666666666666</v>
      </c>
      <c r="E9" s="55" t="s">
        <v>182</v>
      </c>
      <c r="F9" s="52" t="s">
        <v>19</v>
      </c>
      <c r="G9" s="40">
        <v>7</v>
      </c>
      <c r="H9" s="118">
        <f>IF(B$17=0,0,G9/B$17)</f>
        <v>0.16279069767441862</v>
      </c>
      <c r="I9" s="80">
        <v>5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5</v>
      </c>
      <c r="C10" s="34">
        <f>IF(B$2=0,0,B10/B$2)</f>
        <v>0.27777777777777779</v>
      </c>
      <c r="E10" s="55" t="s">
        <v>57</v>
      </c>
      <c r="F10" s="52" t="s">
        <v>21</v>
      </c>
      <c r="G10" s="40">
        <v>7</v>
      </c>
      <c r="H10" s="118">
        <f>IF(B$17=0,0,G10/B$17)</f>
        <v>0.16279069767441862</v>
      </c>
      <c r="I10" s="80">
        <v>16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0.55555555555555558</v>
      </c>
      <c r="E11" s="55" t="s">
        <v>183</v>
      </c>
      <c r="F11" s="52" t="s">
        <v>186</v>
      </c>
      <c r="G11" s="40">
        <v>5</v>
      </c>
      <c r="H11" s="118">
        <f>IF(B$17=0,0,G11/B$17)</f>
        <v>0.11627906976744186</v>
      </c>
      <c r="I11" s="80">
        <v>2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5.5555555555555552E-2</v>
      </c>
      <c r="E12" s="55" t="s">
        <v>71</v>
      </c>
      <c r="F12" s="52" t="s">
        <v>35</v>
      </c>
      <c r="G12" s="40">
        <v>2</v>
      </c>
      <c r="H12" s="118">
        <f>IF(B$17=0,0,G12/B$17)</f>
        <v>4.6511627906976744E-2</v>
      </c>
      <c r="I12" s="80">
        <v>5</v>
      </c>
      <c r="K12" s="32">
        <v>10</v>
      </c>
      <c r="L12" s="85">
        <v>56.099999999999987</v>
      </c>
      <c r="N12" s="99" t="s">
        <v>126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97</v>
      </c>
      <c r="B13" s="43">
        <v>28</v>
      </c>
      <c r="C13" s="38">
        <f>IF(B$3=0,0,B13/B$3)</f>
        <v>0.19718309859154928</v>
      </c>
      <c r="E13" s="55" t="s">
        <v>58</v>
      </c>
      <c r="F13" s="52" t="s">
        <v>22</v>
      </c>
      <c r="G13" s="40">
        <v>1</v>
      </c>
      <c r="H13" s="118">
        <f>IF(B$17=0,0,G13/B$17)</f>
        <v>2.3255813953488372E-2</v>
      </c>
      <c r="I13" s="80">
        <v>12</v>
      </c>
      <c r="K13" s="32">
        <v>11</v>
      </c>
      <c r="L13" s="85">
        <v>109.69999999999999</v>
      </c>
      <c r="N13" s="100" t="s">
        <v>127</v>
      </c>
      <c r="O13" s="110">
        <f>IF(P13=0,0,Q13/P13)</f>
        <v>8.0499999999999972</v>
      </c>
      <c r="P13" s="104">
        <v>6</v>
      </c>
      <c r="Q13" s="92">
        <v>48.299999999999983</v>
      </c>
    </row>
    <row r="14" spans="1:17">
      <c r="A14" s="47" t="s">
        <v>94</v>
      </c>
      <c r="B14" s="40">
        <v>47</v>
      </c>
      <c r="C14" s="33">
        <f>IF(B$3=0,0,B14/B$3)</f>
        <v>0.33098591549295775</v>
      </c>
      <c r="E14" s="55" t="s">
        <v>67</v>
      </c>
      <c r="F14" s="52" t="s">
        <v>31</v>
      </c>
      <c r="G14" s="40">
        <v>1</v>
      </c>
      <c r="H14" s="118">
        <f>IF(B$17=0,0,G14/B$17)</f>
        <v>2.3255813953488372E-2</v>
      </c>
      <c r="I14" s="80">
        <v>5</v>
      </c>
      <c r="K14" s="32">
        <v>12</v>
      </c>
      <c r="L14" s="85">
        <v>195.29999999999998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69</v>
      </c>
      <c r="F15" s="52" t="s">
        <v>33</v>
      </c>
      <c r="G15" s="40">
        <v>1</v>
      </c>
      <c r="H15" s="118">
        <f>IF(B$17=0,0,G15/B$17)</f>
        <v>2.3255813953488372E-2</v>
      </c>
      <c r="I15" s="80">
        <v>2</v>
      </c>
      <c r="K15" s="32">
        <v>13</v>
      </c>
      <c r="L15" s="85">
        <v>136.29999999999998</v>
      </c>
      <c r="N15" s="101" t="s">
        <v>159</v>
      </c>
      <c r="O15" s="111">
        <f>IF(P15=0,0,Q15/P15)</f>
        <v>2.0142857142857133</v>
      </c>
      <c r="P15" s="105">
        <v>7</v>
      </c>
      <c r="Q15" s="93">
        <v>14.099999999999994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77</v>
      </c>
      <c r="F16" s="52" t="s">
        <v>41</v>
      </c>
      <c r="G16" s="40">
        <v>1</v>
      </c>
      <c r="H16" s="118">
        <f>IF(B$17=0,0,G16/B$17)</f>
        <v>2.3255813953488372E-2</v>
      </c>
      <c r="I16" s="80">
        <v>6</v>
      </c>
      <c r="K16" s="32">
        <v>14</v>
      </c>
      <c r="L16" s="85">
        <v>144.69999999999999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43</v>
      </c>
      <c r="C17" s="31">
        <f>IF(B$3=0,0,B17/B$3)</f>
        <v>0.30281690140845069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160.29999999999998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28</v>
      </c>
      <c r="C18" s="33">
        <f>IF(B$3=0,0,B18/B$3)</f>
        <v>0.19718309859154928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K18" s="32">
        <v>16</v>
      </c>
      <c r="L18" s="85">
        <v>136.1</v>
      </c>
      <c r="N18" s="99" t="s">
        <v>166</v>
      </c>
      <c r="O18" s="109">
        <f t="shared" ref="O18:O33" si="3"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17</v>
      </c>
      <c r="C19" s="33">
        <f>IF(B$17=0,0,B19/B$17)</f>
        <v>0.39534883720930231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199.89999999999998</v>
      </c>
      <c r="N19" s="100" t="s">
        <v>199</v>
      </c>
      <c r="O19" s="110">
        <f t="shared" si="3"/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26</v>
      </c>
      <c r="C20" s="33">
        <f>IF(B$17=0,0,B20/B$17)</f>
        <v>0.60465116279069764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154.39999999999998</v>
      </c>
      <c r="N20" s="100" t="s">
        <v>180</v>
      </c>
      <c r="O20" s="110">
        <f t="shared" si="3"/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20</v>
      </c>
      <c r="C21" s="33">
        <f>IF(B$17=0,0,B21/B$17)</f>
        <v>0.46511627906976744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203</v>
      </c>
      <c r="O21" s="110">
        <f t="shared" si="3"/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18</v>
      </c>
      <c r="C22" s="33">
        <f>IF(B$17=0,0,B22/B$17)</f>
        <v>0.41860465116279072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5</v>
      </c>
      <c r="N22" s="100" t="s">
        <v>167</v>
      </c>
      <c r="O22" s="110">
        <f t="shared" si="3"/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0.11627906976744186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175</v>
      </c>
      <c r="O23" s="110">
        <f t="shared" si="3"/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5988.3720930232557</v>
      </c>
      <c r="C24" s="35">
        <v>257500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33.18333333333333</v>
      </c>
      <c r="P24" s="104">
        <v>6</v>
      </c>
      <c r="Q24" s="92">
        <v>199.09999999999997</v>
      </c>
    </row>
    <row r="25" spans="1:17">
      <c r="A25" s="48" t="s">
        <v>133</v>
      </c>
      <c r="B25" s="121">
        <f>IF($B$17-B$16=0,0,C25/($B$17-B$16))</f>
        <v>7592</v>
      </c>
      <c r="C25" s="122">
        <v>189800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161</v>
      </c>
      <c r="O25" s="110">
        <f t="shared" si="3"/>
        <v>30.900000000000006</v>
      </c>
      <c r="P25" s="104">
        <v>3</v>
      </c>
      <c r="Q25" s="92">
        <v>92.700000000000017</v>
      </c>
    </row>
    <row r="26" spans="1:17">
      <c r="A26" s="48" t="s">
        <v>134</v>
      </c>
      <c r="B26" s="121">
        <f>IF(B$16=0,0,C26/B$16)</f>
        <v>3761.1111111111113</v>
      </c>
      <c r="C26" s="122">
        <v>67700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208</v>
      </c>
      <c r="O26" s="110">
        <f t="shared" si="3"/>
        <v>28.900000000000002</v>
      </c>
      <c r="P26" s="104">
        <v>1</v>
      </c>
      <c r="Q26" s="92">
        <v>28.900000000000002</v>
      </c>
    </row>
    <row r="27" spans="1:17">
      <c r="A27" s="48" t="s">
        <v>132</v>
      </c>
      <c r="B27" s="121">
        <f>IF(B$18=0,0,C27/B$18)</f>
        <v>-5835.7142857142853</v>
      </c>
      <c r="C27" s="122">
        <v>-163400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195</v>
      </c>
      <c r="O27" s="110">
        <f t="shared" si="3"/>
        <v>25.7</v>
      </c>
      <c r="P27" s="104">
        <v>7</v>
      </c>
      <c r="Q27" s="92">
        <v>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164</v>
      </c>
      <c r="O28" s="110">
        <f t="shared" si="3"/>
        <v>23.255555555555556</v>
      </c>
      <c r="P28" s="104">
        <v>9</v>
      </c>
      <c r="Q28" s="92">
        <v>209.3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169</v>
      </c>
      <c r="O29" s="110">
        <f t="shared" si="3"/>
        <v>14.5625</v>
      </c>
      <c r="P29" s="104">
        <v>8</v>
      </c>
      <c r="Q29" s="92">
        <v>116.5</v>
      </c>
    </row>
    <row r="30" spans="1:17">
      <c r="A30" s="76" t="s">
        <v>111</v>
      </c>
      <c r="B30" s="160">
        <v>5</v>
      </c>
      <c r="C30" s="161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179</v>
      </c>
      <c r="O30" s="110">
        <f t="shared" si="3"/>
        <v>-11.528571428571428</v>
      </c>
      <c r="P30" s="104">
        <v>7</v>
      </c>
      <c r="Q30" s="92">
        <v>-80.7</v>
      </c>
    </row>
    <row r="31" spans="1:17">
      <c r="A31" s="50" t="s">
        <v>148</v>
      </c>
      <c r="B31" s="162">
        <v>65600</v>
      </c>
      <c r="C31" s="163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163</v>
      </c>
      <c r="O31" s="110">
        <f t="shared" si="3"/>
        <v>-92.550000000000026</v>
      </c>
      <c r="P31" s="104">
        <v>4</v>
      </c>
      <c r="Q31" s="92">
        <v>-370.2000000000001</v>
      </c>
    </row>
    <row r="32" spans="1:17">
      <c r="A32" s="49" t="s">
        <v>112</v>
      </c>
      <c r="B32" s="57">
        <v>1</v>
      </c>
      <c r="C32" s="36">
        <f>IF(B$3=0,0,B32/B$3)</f>
        <v>7.0422535211267607E-3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205</v>
      </c>
      <c r="O32" s="110">
        <f t="shared" si="3"/>
        <v>-102.4</v>
      </c>
      <c r="P32" s="104">
        <v>1</v>
      </c>
      <c r="Q32" s="92">
        <v>-102.4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 t="shared" si="3"/>
        <v>-103.9</v>
      </c>
      <c r="P33" s="104">
        <v>1</v>
      </c>
      <c r="Q33" s="92">
        <v>-103.9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17">
      <c r="A35" s="76" t="s">
        <v>139</v>
      </c>
      <c r="B35" s="136">
        <v>8</v>
      </c>
      <c r="C35" s="126">
        <f t="shared" ref="C35:C47" si="4">IF(B$17=0,0,B35/B$17)</f>
        <v>0.18604651162790697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4"/>
        <v>0.16279069767441862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4"/>
        <v>0.23255813953488372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4"/>
        <v>0.23255813953488372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4"/>
        <v>6.9767441860465115E-2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4"/>
        <v>9.3023255813953487E-2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4"/>
        <v>2.3255813953488372E-2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175</v>
      </c>
      <c r="C1" s="165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2</v>
      </c>
      <c r="C2" s="167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68">
        <v>15</v>
      </c>
      <c r="C3" s="169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70">
        <v>-2.2000000000000011</v>
      </c>
      <c r="C4" s="171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1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72">
        <f>IF(B$2=0,0,B$4/B$2)</f>
        <v>-1.1000000000000005</v>
      </c>
      <c r="C5" s="173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7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74">
        <f>IF(B$2=0,0,(B$7*1+B$8*2+B$9*3+B$10*4)/B$2)</f>
        <v>2.5</v>
      </c>
      <c r="C6" s="175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7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6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16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16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60">
        <v>3</v>
      </c>
      <c r="C30" s="161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2">
        <v>33600</v>
      </c>
      <c r="C31" s="163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177</v>
      </c>
      <c r="C1" s="165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2</v>
      </c>
      <c r="C2" s="167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68">
        <v>19</v>
      </c>
      <c r="C3" s="169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18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70">
        <v>3.8999999999999986</v>
      </c>
      <c r="C4" s="171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13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72">
        <f>IF(B$2=0,0,B$4/B$2)</f>
        <v>1.9499999999999993</v>
      </c>
      <c r="C5" s="173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11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74">
        <f>IF(B$2=0,0,(B$7*1+B$8*2+B$9*3+B$10*4)/B$2)</f>
        <v>2.5</v>
      </c>
      <c r="C6" s="175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10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5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20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19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13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5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9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60">
        <v>2</v>
      </c>
      <c r="C30" s="161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2">
        <v>42500</v>
      </c>
      <c r="C31" s="163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180</v>
      </c>
      <c r="C1" s="165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1</v>
      </c>
      <c r="C2" s="167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68">
        <v>7</v>
      </c>
      <c r="C3" s="169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13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70">
        <v>-52.6</v>
      </c>
      <c r="C4" s="171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20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72">
        <f>IF(B$2=0,0,B$4/B$2)</f>
        <v>-52.6</v>
      </c>
      <c r="C5" s="173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21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74">
        <f>IF(B$2=0,0,(B$7*1+B$8*2+B$9*3+B$10*4)/B$2)</f>
        <v>4</v>
      </c>
      <c r="C6" s="175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20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13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9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7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60">
        <v>0</v>
      </c>
      <c r="C30" s="161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2">
        <v>7400</v>
      </c>
      <c r="C31" s="163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179</v>
      </c>
      <c r="C1" s="165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16</v>
      </c>
      <c r="C2" s="167"/>
      <c r="E2" s="54" t="s">
        <v>60</v>
      </c>
      <c r="F2" s="51" t="s">
        <v>24</v>
      </c>
      <c r="G2" s="39">
        <v>19</v>
      </c>
      <c r="H2" s="117">
        <f>IF(B$17=0,0,G2/B$17)</f>
        <v>0.59375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475</v>
      </c>
      <c r="P2" s="103">
        <v>16</v>
      </c>
      <c r="Q2" s="87">
        <v>7600</v>
      </c>
    </row>
    <row r="3" spans="1:17">
      <c r="A3" s="47" t="s">
        <v>8</v>
      </c>
      <c r="B3" s="168">
        <v>131</v>
      </c>
      <c r="C3" s="169"/>
      <c r="E3" s="55" t="s">
        <v>54</v>
      </c>
      <c r="F3" s="52" t="s">
        <v>20</v>
      </c>
      <c r="G3" s="40">
        <v>18</v>
      </c>
      <c r="H3" s="118">
        <f>IF(B$17=0,0,G3/B$17)</f>
        <v>0.5625</v>
      </c>
      <c r="I3" s="80">
        <v>10</v>
      </c>
      <c r="K3" s="32">
        <v>1</v>
      </c>
      <c r="L3" s="85">
        <v>55.2</v>
      </c>
      <c r="N3" s="100" t="s">
        <v>104</v>
      </c>
      <c r="O3" s="107">
        <f t="shared" si="0"/>
        <v>887.5</v>
      </c>
      <c r="P3" s="104">
        <v>16</v>
      </c>
      <c r="Q3" s="88">
        <v>14200</v>
      </c>
    </row>
    <row r="4" spans="1:17">
      <c r="A4" s="47" t="s">
        <v>6</v>
      </c>
      <c r="B4" s="170">
        <v>-34.6</v>
      </c>
      <c r="C4" s="171"/>
      <c r="E4" s="55" t="s">
        <v>184</v>
      </c>
      <c r="F4" s="52" t="s">
        <v>187</v>
      </c>
      <c r="G4" s="40">
        <v>12</v>
      </c>
      <c r="H4" s="118">
        <f>IF(B$17=0,0,G4/B$17)</f>
        <v>0.375</v>
      </c>
      <c r="I4" s="80">
        <v>14</v>
      </c>
      <c r="K4" s="32">
        <v>2</v>
      </c>
      <c r="L4" s="85">
        <v>33.700000000000003</v>
      </c>
      <c r="N4" s="100" t="s">
        <v>105</v>
      </c>
      <c r="O4" s="107">
        <f t="shared" si="0"/>
        <v>-3662.5</v>
      </c>
      <c r="P4" s="104">
        <v>16</v>
      </c>
      <c r="Q4" s="88">
        <v>-58600</v>
      </c>
    </row>
    <row r="5" spans="1:17">
      <c r="A5" s="47" t="s">
        <v>7</v>
      </c>
      <c r="B5" s="172">
        <f>IF(B$2=0,0,B$4/B$2)</f>
        <v>-2.1625000000000001</v>
      </c>
      <c r="C5" s="173"/>
      <c r="E5" s="55" t="s">
        <v>181</v>
      </c>
      <c r="F5" s="52" t="s">
        <v>156</v>
      </c>
      <c r="G5" s="40">
        <v>10</v>
      </c>
      <c r="H5" s="118">
        <f>IF(B$17=0,0,G5/B$17)</f>
        <v>0.3125</v>
      </c>
      <c r="I5" s="80">
        <v>20</v>
      </c>
      <c r="K5" s="32">
        <v>3</v>
      </c>
      <c r="L5" s="85">
        <v>42.5</v>
      </c>
      <c r="N5" s="100" t="s">
        <v>157</v>
      </c>
      <c r="O5" s="107">
        <f>IF(P5=0,0,Q5/P5)</f>
        <v>650</v>
      </c>
      <c r="P5" s="104">
        <v>14</v>
      </c>
      <c r="Q5" s="88">
        <v>9100</v>
      </c>
    </row>
    <row r="6" spans="1:17">
      <c r="A6" s="47" t="s">
        <v>1</v>
      </c>
      <c r="B6" s="174">
        <f>IF(B$2=0,0,(B$7*1+B$8*2+B$9*3+B$10*4)/B$2)</f>
        <v>2.4375</v>
      </c>
      <c r="C6" s="175"/>
      <c r="E6" s="55" t="s">
        <v>57</v>
      </c>
      <c r="F6" s="52" t="s">
        <v>21</v>
      </c>
      <c r="G6" s="40">
        <v>8</v>
      </c>
      <c r="H6" s="118">
        <f>IF(B$17=0,0,G6/B$17)</f>
        <v>0.25</v>
      </c>
      <c r="I6" s="80">
        <v>10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1346.1538461538462</v>
      </c>
      <c r="P6" s="104">
        <v>13</v>
      </c>
      <c r="Q6" s="88">
        <v>17500</v>
      </c>
    </row>
    <row r="7" spans="1:17">
      <c r="A7" s="47" t="s">
        <v>2</v>
      </c>
      <c r="B7" s="40">
        <v>4</v>
      </c>
      <c r="C7" s="33">
        <f t="shared" ref="C7:C12" si="2">IF(B$2=0,0,B7/B$2)</f>
        <v>0.25</v>
      </c>
      <c r="E7" s="55" t="s">
        <v>56</v>
      </c>
      <c r="F7" s="52" t="s">
        <v>185</v>
      </c>
      <c r="G7" s="40">
        <v>6</v>
      </c>
      <c r="H7" s="118">
        <f>IF(B$17=0,0,G7/B$17)</f>
        <v>0.1875</v>
      </c>
      <c r="I7" s="80">
        <v>17</v>
      </c>
      <c r="K7" s="32">
        <v>5</v>
      </c>
      <c r="L7" s="85">
        <v>22.9</v>
      </c>
      <c r="N7" s="100" t="s">
        <v>107</v>
      </c>
      <c r="O7" s="107">
        <f t="shared" si="0"/>
        <v>-2890</v>
      </c>
      <c r="P7" s="104">
        <v>10</v>
      </c>
      <c r="Q7" s="88">
        <v>-28900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55</v>
      </c>
      <c r="F8" s="52" t="s">
        <v>155</v>
      </c>
      <c r="G8" s="40">
        <v>5</v>
      </c>
      <c r="H8" s="118">
        <f>IF(B$17=0,0,G8/B$17)</f>
        <v>0.15625</v>
      </c>
      <c r="I8" s="80">
        <v>17</v>
      </c>
      <c r="K8" s="32">
        <v>6</v>
      </c>
      <c r="L8" s="85">
        <v>53.5</v>
      </c>
      <c r="N8" s="100" t="s">
        <v>108</v>
      </c>
      <c r="O8" s="107">
        <f t="shared" si="0"/>
        <v>512.5</v>
      </c>
      <c r="P8" s="104">
        <v>8</v>
      </c>
      <c r="Q8" s="88">
        <v>4100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182</v>
      </c>
      <c r="F9" s="52" t="s">
        <v>19</v>
      </c>
      <c r="G9" s="40">
        <v>2</v>
      </c>
      <c r="H9" s="118">
        <f>IF(B$17=0,0,G9/B$17)</f>
        <v>6.25E-2</v>
      </c>
      <c r="I9" s="80">
        <v>10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58</v>
      </c>
      <c r="F10" s="52" t="s">
        <v>22</v>
      </c>
      <c r="G10" s="40">
        <v>2</v>
      </c>
      <c r="H10" s="118">
        <f>IF(B$17=0,0,G10/B$17)</f>
        <v>6.25E-2</v>
      </c>
      <c r="I10" s="80">
        <v>8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</v>
      </c>
      <c r="E11" s="55" t="s">
        <v>59</v>
      </c>
      <c r="F11" s="52" t="s">
        <v>23</v>
      </c>
      <c r="G11" s="40">
        <v>1</v>
      </c>
      <c r="H11" s="118">
        <f>IF(B$17=0,0,G11/B$17)</f>
        <v>3.125E-2</v>
      </c>
      <c r="I11" s="80">
        <v>17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6.25E-2</v>
      </c>
      <c r="E12" s="55" t="s">
        <v>62</v>
      </c>
      <c r="F12" s="52" t="s">
        <v>26</v>
      </c>
      <c r="G12" s="40">
        <v>1</v>
      </c>
      <c r="H12" s="118">
        <f>IF(B$17=0,0,G12/B$17)</f>
        <v>3.125E-2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25</v>
      </c>
      <c r="C13" s="38">
        <f>IF(B$3=0,0,B13/B$3)</f>
        <v>0.19083969465648856</v>
      </c>
      <c r="E13" s="55" t="s">
        <v>72</v>
      </c>
      <c r="F13" s="52" t="s">
        <v>36</v>
      </c>
      <c r="G13" s="40">
        <v>1</v>
      </c>
      <c r="H13" s="118">
        <f>IF(B$17=0,0,G13/B$17)</f>
        <v>3.125E-2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-12.716666666666667</v>
      </c>
      <c r="P13" s="104">
        <v>6</v>
      </c>
      <c r="Q13" s="92">
        <v>-76.3</v>
      </c>
    </row>
    <row r="14" spans="1:17">
      <c r="A14" s="47" t="s">
        <v>94</v>
      </c>
      <c r="B14" s="40">
        <v>33</v>
      </c>
      <c r="C14" s="33">
        <f>IF(B$3=0,0,B14/B$3)</f>
        <v>0.25190839694656486</v>
      </c>
      <c r="E14" s="55" t="s">
        <v>75</v>
      </c>
      <c r="F14" s="52" t="s">
        <v>39</v>
      </c>
      <c r="G14" s="40">
        <v>1</v>
      </c>
      <c r="H14" s="118">
        <f>IF(B$17=0,0,G14/B$17)</f>
        <v>3.125E-2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10</v>
      </c>
      <c r="C15" s="31">
        <f>IF(B$13=0,0,B15/B$13)</f>
        <v>0.4</v>
      </c>
      <c r="E15" s="55" t="s">
        <v>76</v>
      </c>
      <c r="F15" s="52" t="s">
        <v>40</v>
      </c>
      <c r="G15" s="40">
        <v>1</v>
      </c>
      <c r="H15" s="118">
        <f>IF(B$17=0,0,G15/B$17)</f>
        <v>3.125E-2</v>
      </c>
      <c r="I15" s="80">
        <v>1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>IF(B$17=0,0,G16/B$17)</f>
        <v>3.125E-2</v>
      </c>
      <c r="I16" s="80">
        <v>3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</v>
      </c>
      <c r="C17" s="31">
        <f>IF(B$3=0,0,B17/B$3)</f>
        <v>0.24427480916030533</v>
      </c>
      <c r="E17" s="55" t="s">
        <v>78</v>
      </c>
      <c r="F17" s="52" t="s">
        <v>42</v>
      </c>
      <c r="G17" s="40">
        <v>1</v>
      </c>
      <c r="H17" s="118">
        <f>IF(B$17=0,0,G17/B$17)</f>
        <v>3.125E-2</v>
      </c>
      <c r="I17" s="80">
        <v>2</v>
      </c>
      <c r="K17" s="32">
        <v>15</v>
      </c>
      <c r="L17" s="85">
        <v>-11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0.10687022900763359</v>
      </c>
      <c r="E18" s="55" t="s">
        <v>61</v>
      </c>
      <c r="F18" s="52" t="s">
        <v>25</v>
      </c>
      <c r="G18" s="40">
        <v>0</v>
      </c>
      <c r="H18" s="118">
        <f>IF(B$17=0,0,G18/B$17)</f>
        <v>0</v>
      </c>
      <c r="I18" s="80">
        <v>3</v>
      </c>
      <c r="K18" s="32">
        <v>16</v>
      </c>
      <c r="L18" s="85">
        <v>-34.6</v>
      </c>
      <c r="N18" s="99" t="s">
        <v>180</v>
      </c>
      <c r="O18" s="109">
        <f t="shared" ref="O18:O32" si="3"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12</v>
      </c>
      <c r="C19" s="33">
        <f>IF(B$17=0,0,B19/B$17)</f>
        <v>0.375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175</v>
      </c>
      <c r="O19" s="110">
        <f t="shared" si="3"/>
        <v>71</v>
      </c>
      <c r="P19" s="104">
        <v>1</v>
      </c>
      <c r="Q19" s="92">
        <v>71</v>
      </c>
    </row>
    <row r="20" spans="1:17">
      <c r="A20" s="47" t="s">
        <v>11</v>
      </c>
      <c r="B20" s="40">
        <v>20</v>
      </c>
      <c r="C20" s="33">
        <f>IF(B$17=0,0,B20/B$17)</f>
        <v>0.625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208</v>
      </c>
      <c r="O20" s="110">
        <f t="shared" si="3"/>
        <v>43.29999999999999</v>
      </c>
      <c r="P20" s="104">
        <v>3</v>
      </c>
      <c r="Q20" s="92">
        <v>129.89999999999998</v>
      </c>
    </row>
    <row r="21" spans="1:17">
      <c r="A21" s="47" t="s">
        <v>151</v>
      </c>
      <c r="B21" s="40">
        <v>10</v>
      </c>
      <c r="C21" s="33">
        <f>IF(B$17=0,0,B21/B$17)</f>
        <v>0.3125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 t="shared" si="3"/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15</v>
      </c>
      <c r="C22" s="33">
        <f>IF(B$17=0,0,B22/B$17)</f>
        <v>0.46875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5</v>
      </c>
      <c r="N22" s="100" t="s">
        <v>195</v>
      </c>
      <c r="O22" s="110">
        <f t="shared" si="3"/>
        <v>34.120000000000005</v>
      </c>
      <c r="P22" s="104">
        <v>5</v>
      </c>
      <c r="Q22" s="92">
        <v>170.60000000000002</v>
      </c>
    </row>
    <row r="23" spans="1:17">
      <c r="A23" s="47" t="s">
        <v>150</v>
      </c>
      <c r="B23" s="40">
        <v>7</v>
      </c>
      <c r="C23" s="33">
        <f>IF(B$17=0,0,B23/B$17)</f>
        <v>0.21875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 t="shared" si="3"/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4909.375</v>
      </c>
      <c r="C24" s="35">
        <v>157100</v>
      </c>
      <c r="E24" s="55" t="s">
        <v>183</v>
      </c>
      <c r="F24" s="52" t="s">
        <v>186</v>
      </c>
      <c r="G24" s="40">
        <v>0</v>
      </c>
      <c r="H24" s="118">
        <f>IF(B$17=0,0,G24/B$17)</f>
        <v>0</v>
      </c>
      <c r="I24" s="80">
        <v>9</v>
      </c>
      <c r="N24" s="100" t="s">
        <v>163</v>
      </c>
      <c r="O24" s="110">
        <f t="shared" si="3"/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5376.4705882352937</v>
      </c>
      <c r="C25" s="122">
        <v>91400</v>
      </c>
      <c r="E25" s="55" t="s">
        <v>68</v>
      </c>
      <c r="F25" s="52" t="s">
        <v>32</v>
      </c>
      <c r="G25" s="40">
        <v>0</v>
      </c>
      <c r="H25" s="118">
        <f>IF(B$17=0,0,G25/B$17)</f>
        <v>0</v>
      </c>
      <c r="I25" s="80">
        <v>1</v>
      </c>
      <c r="N25" s="100" t="s">
        <v>161</v>
      </c>
      <c r="O25" s="110">
        <f t="shared" si="3"/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11.528571428571427</v>
      </c>
      <c r="P26" s="104">
        <v>7</v>
      </c>
      <c r="Q26" s="92">
        <v>80.699999999999989</v>
      </c>
    </row>
    <row r="27" spans="1:17">
      <c r="A27" s="48" t="s">
        <v>132</v>
      </c>
      <c r="B27" s="121">
        <f>IF(B$18=0,0,C27/B$18)</f>
        <v>-8157.1428571428569</v>
      </c>
      <c r="C27" s="122">
        <v>-114200</v>
      </c>
      <c r="E27" s="55" t="s">
        <v>70</v>
      </c>
      <c r="F27" s="52" t="s">
        <v>34</v>
      </c>
      <c r="G27" s="40">
        <v>0</v>
      </c>
      <c r="H27" s="118">
        <f>IF(B$17=0,0,G27/B$17)</f>
        <v>0</v>
      </c>
      <c r="I27" s="80">
        <v>1</v>
      </c>
      <c r="N27" s="100" t="s">
        <v>164</v>
      </c>
      <c r="O27" s="110">
        <f t="shared" si="3"/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>IF(B$17=0,0,G28/B$17)</f>
        <v>0</v>
      </c>
      <c r="I28" s="80">
        <v>8</v>
      </c>
      <c r="N28" s="100" t="s">
        <v>191</v>
      </c>
      <c r="O28" s="110">
        <f t="shared" si="3"/>
        <v>-27.860000000000003</v>
      </c>
      <c r="P28" s="104">
        <v>5</v>
      </c>
      <c r="Q28" s="92">
        <v>-139.30000000000001</v>
      </c>
    </row>
    <row r="29" spans="1:17">
      <c r="A29" s="47" t="s">
        <v>131</v>
      </c>
      <c r="B29" s="40">
        <v>36</v>
      </c>
      <c r="C29" s="120">
        <v>1</v>
      </c>
      <c r="E29" s="55" t="s">
        <v>73</v>
      </c>
      <c r="F29" s="52" t="s">
        <v>37</v>
      </c>
      <c r="G29" s="40">
        <v>0</v>
      </c>
      <c r="H29" s="118">
        <f>IF(B$17=0,0,G29/B$17)</f>
        <v>0</v>
      </c>
      <c r="I29" s="80">
        <v>1</v>
      </c>
      <c r="N29" s="100" t="s">
        <v>196</v>
      </c>
      <c r="O29" s="110">
        <f t="shared" si="3"/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60">
        <v>5</v>
      </c>
      <c r="C30" s="161"/>
      <c r="E30" s="55" t="s">
        <v>74</v>
      </c>
      <c r="F30" s="52" t="s">
        <v>38</v>
      </c>
      <c r="G30" s="40">
        <v>0</v>
      </c>
      <c r="H30" s="118">
        <f>IF(B$17=0,0,G30/B$17)</f>
        <v>0</v>
      </c>
      <c r="I30" s="80">
        <v>7</v>
      </c>
      <c r="N30" s="100" t="s">
        <v>169</v>
      </c>
      <c r="O30" s="110">
        <f t="shared" si="3"/>
        <v>-46.75</v>
      </c>
      <c r="P30" s="104">
        <v>8</v>
      </c>
      <c r="Q30" s="92">
        <v>-374</v>
      </c>
    </row>
    <row r="31" spans="1:17">
      <c r="A31" s="50" t="s">
        <v>148</v>
      </c>
      <c r="B31" s="162">
        <v>53200</v>
      </c>
      <c r="C31" s="163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205</v>
      </c>
      <c r="O31" s="110">
        <f t="shared" si="3"/>
        <v>-53</v>
      </c>
      <c r="P31" s="104">
        <v>2</v>
      </c>
      <c r="Q31" s="92">
        <v>-106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162</v>
      </c>
      <c r="O32" s="110">
        <f t="shared" si="3"/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4">IF(B$17=0,0,B35/B$17)</f>
        <v>0.1875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4"/>
        <v>0.21875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0.15625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199</v>
      </c>
      <c r="C1" s="165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2</v>
      </c>
      <c r="C2" s="167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68">
        <v>15</v>
      </c>
      <c r="C3" s="169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13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70">
        <v>-97.4</v>
      </c>
      <c r="C4" s="171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20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72">
        <f>IF(B$2=0,0,B$4/B$2)</f>
        <v>-48.7</v>
      </c>
      <c r="C5" s="173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21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74">
        <f>IF(B$2=0,0,(B$7*1+B$8*2+B$9*3+B$10*4)/B$2)</f>
        <v>4</v>
      </c>
      <c r="C6" s="175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20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13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9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7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60">
        <v>0</v>
      </c>
      <c r="C30" s="161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2">
        <v>14100</v>
      </c>
      <c r="C31" s="163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191</v>
      </c>
      <c r="C1" s="165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14</v>
      </c>
      <c r="C2" s="167"/>
      <c r="E2" s="54" t="s">
        <v>54</v>
      </c>
      <c r="F2" s="51" t="s">
        <v>20</v>
      </c>
      <c r="G2" s="39">
        <v>21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-814.28571428571433</v>
      </c>
      <c r="P2" s="103">
        <v>14</v>
      </c>
      <c r="Q2" s="87">
        <v>-11400</v>
      </c>
    </row>
    <row r="3" spans="1:17">
      <c r="A3" s="47" t="s">
        <v>8</v>
      </c>
      <c r="B3" s="168">
        <v>115</v>
      </c>
      <c r="C3" s="169"/>
      <c r="E3" s="55" t="s">
        <v>184</v>
      </c>
      <c r="F3" s="52" t="s">
        <v>187</v>
      </c>
      <c r="G3" s="40">
        <v>11</v>
      </c>
      <c r="H3" s="118">
        <f>IF(B$17=0,0,G3/B$17)</f>
        <v>0.52380952380952384</v>
      </c>
      <c r="I3" s="80">
        <v>8</v>
      </c>
      <c r="K3" s="32">
        <v>1</v>
      </c>
      <c r="L3" s="85">
        <v>-15.4</v>
      </c>
      <c r="N3" s="100" t="s">
        <v>104</v>
      </c>
      <c r="O3" s="107">
        <f t="shared" si="0"/>
        <v>-371.42857142857144</v>
      </c>
      <c r="P3" s="104">
        <v>14</v>
      </c>
      <c r="Q3" s="88">
        <v>-5200</v>
      </c>
    </row>
    <row r="4" spans="1:17">
      <c r="A4" s="47" t="s">
        <v>6</v>
      </c>
      <c r="B4" s="170">
        <v>79.299999999999983</v>
      </c>
      <c r="C4" s="171"/>
      <c r="E4" s="55" t="s">
        <v>60</v>
      </c>
      <c r="F4" s="52" t="s">
        <v>24</v>
      </c>
      <c r="G4" s="40">
        <v>9</v>
      </c>
      <c r="H4" s="118">
        <f>IF(B$17=0,0,G4/B$17)</f>
        <v>0.42857142857142855</v>
      </c>
      <c r="I4" s="80">
        <v>9</v>
      </c>
      <c r="K4" s="32">
        <v>2</v>
      </c>
      <c r="L4" s="85">
        <v>-47.5</v>
      </c>
      <c r="N4" s="100" t="s">
        <v>105</v>
      </c>
      <c r="O4" s="107">
        <f t="shared" si="0"/>
        <v>907.14285714285711</v>
      </c>
      <c r="P4" s="104">
        <v>14</v>
      </c>
      <c r="Q4" s="88">
        <v>12700</v>
      </c>
    </row>
    <row r="5" spans="1:17">
      <c r="A5" s="47" t="s">
        <v>7</v>
      </c>
      <c r="B5" s="172">
        <f>IF(B$2=0,0,B$4/B$2)</f>
        <v>5.6642857142857128</v>
      </c>
      <c r="C5" s="173"/>
      <c r="E5" s="55" t="s">
        <v>59</v>
      </c>
      <c r="F5" s="52" t="s">
        <v>23</v>
      </c>
      <c r="G5" s="40">
        <v>7</v>
      </c>
      <c r="H5" s="118">
        <f>IF(B$17=0,0,G5/B$17)</f>
        <v>0.33333333333333331</v>
      </c>
      <c r="I5" s="80">
        <v>3</v>
      </c>
      <c r="K5" s="32">
        <v>3</v>
      </c>
      <c r="L5" s="85">
        <v>-16.899999999999999</v>
      </c>
      <c r="N5" s="100" t="s">
        <v>157</v>
      </c>
      <c r="O5" s="107">
        <f>IF(P5=0,0,Q5/P5)</f>
        <v>2528.5714285714284</v>
      </c>
      <c r="P5" s="104">
        <v>14</v>
      </c>
      <c r="Q5" s="88">
        <v>35400</v>
      </c>
    </row>
    <row r="6" spans="1:17">
      <c r="A6" s="47" t="s">
        <v>1</v>
      </c>
      <c r="B6" s="174">
        <f>IF(B$2=0,0,(B$7*1+B$8*2+B$9*3+B$10*4)/B$2)</f>
        <v>2.1428571428571428</v>
      </c>
      <c r="C6" s="175"/>
      <c r="E6" s="55" t="s">
        <v>57</v>
      </c>
      <c r="F6" s="52" t="s">
        <v>21</v>
      </c>
      <c r="G6" s="40">
        <v>5</v>
      </c>
      <c r="H6" s="118">
        <f>IF(B$17=0,0,G6/B$17)</f>
        <v>0.23809523809523808</v>
      </c>
      <c r="I6" s="80">
        <v>14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-527.27272727272725</v>
      </c>
      <c r="P6" s="104">
        <v>11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2">IF(B$2=0,0,B7/B$2)</f>
        <v>0.21428571428571427</v>
      </c>
      <c r="E7" s="55" t="s">
        <v>181</v>
      </c>
      <c r="F7" s="52" t="s">
        <v>156</v>
      </c>
      <c r="G7" s="40">
        <v>4</v>
      </c>
      <c r="H7" s="118">
        <f>IF(B$17=0,0,G7/B$17)</f>
        <v>0.19047619047619047</v>
      </c>
      <c r="I7" s="80">
        <v>21</v>
      </c>
      <c r="K7" s="32">
        <v>5</v>
      </c>
      <c r="L7" s="85">
        <v>4.1000000000000014</v>
      </c>
      <c r="N7" s="100" t="s">
        <v>107</v>
      </c>
      <c r="O7" s="107">
        <f t="shared" si="0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7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>IF(B$17=0,0,G8/B$17)</f>
        <v>9.5238095238095233E-2</v>
      </c>
      <c r="I8" s="80">
        <v>20</v>
      </c>
      <c r="K8" s="32">
        <v>6</v>
      </c>
      <c r="L8" s="85">
        <v>70</v>
      </c>
      <c r="N8" s="100" t="s">
        <v>108</v>
      </c>
      <c r="O8" s="107">
        <f t="shared" si="0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0.21428571428571427</v>
      </c>
      <c r="E9" s="55" t="s">
        <v>67</v>
      </c>
      <c r="F9" s="52" t="s">
        <v>31</v>
      </c>
      <c r="G9" s="40">
        <v>2</v>
      </c>
      <c r="H9" s="118">
        <f>IF(B$17=0,0,G9/B$17)</f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56</v>
      </c>
      <c r="F10" s="52" t="s">
        <v>185</v>
      </c>
      <c r="G10" s="40">
        <v>1</v>
      </c>
      <c r="H10" s="118">
        <f>IF(B$17=0,0,G10/B$17)</f>
        <v>4.7619047619047616E-2</v>
      </c>
      <c r="I10" s="80">
        <v>19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0.7142857142857143</v>
      </c>
      <c r="E11" s="55" t="s">
        <v>58</v>
      </c>
      <c r="F11" s="52" t="s">
        <v>22</v>
      </c>
      <c r="G11" s="40">
        <v>1</v>
      </c>
      <c r="H11" s="118">
        <f>IF(B$17=0,0,G11/B$17)</f>
        <v>4.7619047619047616E-2</v>
      </c>
      <c r="I11" s="80">
        <v>10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7.1428571428571425E-2</v>
      </c>
      <c r="E12" s="55" t="s">
        <v>66</v>
      </c>
      <c r="F12" s="52" t="s">
        <v>30</v>
      </c>
      <c r="G12" s="40">
        <v>1</v>
      </c>
      <c r="H12" s="118">
        <f>IF(B$17=0,0,G12/B$17)</f>
        <v>4.7619047619047616E-2</v>
      </c>
      <c r="I12" s="80">
        <v>1</v>
      </c>
      <c r="K12" s="32">
        <v>10</v>
      </c>
      <c r="L12" s="85">
        <v>67.699999999999989</v>
      </c>
      <c r="N12" s="99" t="s">
        <v>126</v>
      </c>
      <c r="O12" s="109">
        <f>IF(P12=0,0,Q12/P12)</f>
        <v>-25.4</v>
      </c>
      <c r="P12" s="103">
        <v>4</v>
      </c>
      <c r="Q12" s="91">
        <v>-101.6</v>
      </c>
    </row>
    <row r="13" spans="1:17">
      <c r="A13" s="50" t="s">
        <v>97</v>
      </c>
      <c r="B13" s="43">
        <v>12</v>
      </c>
      <c r="C13" s="38">
        <f>IF(B$3=0,0,B13/B$3)</f>
        <v>0.10434782608695652</v>
      </c>
      <c r="E13" s="55" t="s">
        <v>183</v>
      </c>
      <c r="F13" s="52" t="s">
        <v>186</v>
      </c>
      <c r="G13" s="40">
        <v>1</v>
      </c>
      <c r="H13" s="118">
        <f>IF(B$17=0,0,G13/B$17)</f>
        <v>4.7619047619047616E-2</v>
      </c>
      <c r="I13" s="80">
        <v>4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28</v>
      </c>
      <c r="C14" s="33">
        <f>IF(B$3=0,0,B14/B$3)</f>
        <v>0.24347826086956523</v>
      </c>
      <c r="E14" s="55" t="s">
        <v>77</v>
      </c>
      <c r="F14" s="52" t="s">
        <v>41</v>
      </c>
      <c r="G14" s="40">
        <v>1</v>
      </c>
      <c r="H14" s="118">
        <f>IF(B$17=0,0,G14/B$17)</f>
        <v>4.7619047619047616E-2</v>
      </c>
      <c r="I14" s="80">
        <v>2</v>
      </c>
      <c r="K14" s="32">
        <v>12</v>
      </c>
      <c r="L14" s="85">
        <v>143.79999999999998</v>
      </c>
      <c r="N14" s="100" t="s">
        <v>128</v>
      </c>
      <c r="O14" s="110">
        <f>IF(P14=0,0,Q14/P14)</f>
        <v>-11.333333333333334</v>
      </c>
      <c r="P14" s="104">
        <v>3</v>
      </c>
      <c r="Q14" s="92">
        <v>-34</v>
      </c>
    </row>
    <row r="15" spans="1:17">
      <c r="A15" s="46" t="s">
        <v>99</v>
      </c>
      <c r="B15" s="39">
        <f>B21</f>
        <v>4</v>
      </c>
      <c r="C15" s="31">
        <f>IF(B$13=0,0,B15/B$13)</f>
        <v>0.33333333333333331</v>
      </c>
      <c r="E15" s="55" t="s">
        <v>182</v>
      </c>
      <c r="F15" s="52" t="s">
        <v>19</v>
      </c>
      <c r="G15" s="40">
        <v>0</v>
      </c>
      <c r="H15" s="118">
        <f>IF(B$17=0,0,G15/B$17)</f>
        <v>0</v>
      </c>
      <c r="I15" s="80">
        <v>13</v>
      </c>
      <c r="K15" s="32">
        <v>13</v>
      </c>
      <c r="L15" s="85">
        <v>78.299999999999983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0.35714285714285715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79.299999999999983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0.18260869565217391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0.13043478260869565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196</v>
      </c>
      <c r="O18" s="109">
        <f t="shared" ref="O18:O29" si="3"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202</v>
      </c>
      <c r="O20" s="110">
        <f t="shared" si="3"/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208</v>
      </c>
      <c r="O21" s="110">
        <f t="shared" si="3"/>
        <v>51.3</v>
      </c>
      <c r="P21" s="104">
        <v>1</v>
      </c>
      <c r="Q21" s="92">
        <v>51.3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203</v>
      </c>
      <c r="O22" s="110">
        <f t="shared" si="3"/>
        <v>48.559999999999995</v>
      </c>
      <c r="P22" s="104">
        <v>5</v>
      </c>
      <c r="Q22" s="92">
        <v>242.79999999999998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205</v>
      </c>
      <c r="O23" s="110">
        <f t="shared" si="3"/>
        <v>47.5</v>
      </c>
      <c r="P23" s="104">
        <v>1</v>
      </c>
      <c r="Q23" s="92">
        <v>47.5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  <c r="N24" s="100" t="s">
        <v>179</v>
      </c>
      <c r="O24" s="110">
        <f t="shared" si="3"/>
        <v>27.859999999999996</v>
      </c>
      <c r="P24" s="104">
        <v>5</v>
      </c>
      <c r="Q24" s="92">
        <v>139.29999999999998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164</v>
      </c>
      <c r="O25" s="110">
        <f t="shared" si="3"/>
        <v>-4.68</v>
      </c>
      <c r="P25" s="104">
        <v>5</v>
      </c>
      <c r="Q25" s="92">
        <v>-23.4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163</v>
      </c>
      <c r="O26" s="110">
        <f t="shared" si="3"/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-3740</v>
      </c>
      <c r="C27" s="122">
        <v>-56100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169</v>
      </c>
      <c r="O27" s="110">
        <f t="shared" si="3"/>
        <v>-32.150000000000006</v>
      </c>
      <c r="P27" s="104">
        <v>8</v>
      </c>
      <c r="Q27" s="92">
        <v>-257.20000000000005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 t="shared" si="3"/>
        <v>-33.183333333333337</v>
      </c>
      <c r="P28" s="104">
        <v>6</v>
      </c>
      <c r="Q28" s="92">
        <v>-199.10000000000002</v>
      </c>
    </row>
    <row r="29" spans="1:17">
      <c r="A29" s="47" t="s">
        <v>131</v>
      </c>
      <c r="B29" s="40">
        <v>33</v>
      </c>
      <c r="C29" s="120">
        <v>12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162</v>
      </c>
      <c r="O29" s="110">
        <f t="shared" si="3"/>
        <v>-47.8</v>
      </c>
      <c r="P29" s="104">
        <v>1</v>
      </c>
      <c r="Q29" s="92">
        <v>-47.8</v>
      </c>
    </row>
    <row r="30" spans="1:17">
      <c r="A30" s="76" t="s">
        <v>111</v>
      </c>
      <c r="B30" s="160">
        <v>5</v>
      </c>
      <c r="C30" s="161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2">
        <v>52500</v>
      </c>
      <c r="C31" s="163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4"/>
        <v>0.23809523809523808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0.23809523809523808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9.5238095238095233E-2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4.7619047619047616E-2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4.7619047619047616E-2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195</v>
      </c>
      <c r="C1" s="165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22</v>
      </c>
      <c r="C2" s="167"/>
      <c r="E2" s="54" t="s">
        <v>181</v>
      </c>
      <c r="F2" s="51" t="s">
        <v>156</v>
      </c>
      <c r="G2" s="39">
        <v>17</v>
      </c>
      <c r="H2" s="117">
        <f>IF(B$17=0,0,G2/B$17)</f>
        <v>0.51515151515151514</v>
      </c>
      <c r="I2" s="79">
        <v>10</v>
      </c>
      <c r="K2" s="30">
        <v>0</v>
      </c>
      <c r="L2" s="84">
        <v>0</v>
      </c>
      <c r="N2" s="99" t="s">
        <v>103</v>
      </c>
      <c r="O2" s="106">
        <f t="shared" ref="O2:O9" si="0">IF(P2=0,0,Q2/P2)</f>
        <v>418.18181818181819</v>
      </c>
      <c r="P2" s="103">
        <v>22</v>
      </c>
      <c r="Q2" s="87">
        <v>9200</v>
      </c>
    </row>
    <row r="3" spans="1:17">
      <c r="A3" s="47" t="s">
        <v>8</v>
      </c>
      <c r="B3" s="168">
        <v>150</v>
      </c>
      <c r="C3" s="169"/>
      <c r="E3" s="55" t="s">
        <v>54</v>
      </c>
      <c r="F3" s="52" t="s">
        <v>20</v>
      </c>
      <c r="G3" s="40">
        <v>16</v>
      </c>
      <c r="H3" s="118">
        <f>IF(B$17=0,0,G3/B$17)</f>
        <v>0.48484848484848486</v>
      </c>
      <c r="I3" s="80">
        <v>14</v>
      </c>
      <c r="K3" s="32">
        <v>1</v>
      </c>
      <c r="L3" s="85">
        <v>-21.3</v>
      </c>
      <c r="N3" s="100" t="s">
        <v>104</v>
      </c>
      <c r="O3" s="107">
        <f t="shared" si="0"/>
        <v>222.72727272727272</v>
      </c>
      <c r="P3" s="104">
        <v>22</v>
      </c>
      <c r="Q3" s="88">
        <v>4900</v>
      </c>
    </row>
    <row r="4" spans="1:17">
      <c r="A4" s="47" t="s">
        <v>6</v>
      </c>
      <c r="B4" s="170">
        <v>-249.60000000000002</v>
      </c>
      <c r="C4" s="171"/>
      <c r="E4" s="55" t="s">
        <v>184</v>
      </c>
      <c r="F4" s="52" t="s">
        <v>187</v>
      </c>
      <c r="G4" s="40">
        <v>13</v>
      </c>
      <c r="H4" s="118">
        <f>IF(B$17=0,0,G4/B$17)</f>
        <v>0.39393939393939392</v>
      </c>
      <c r="I4" s="80">
        <v>13</v>
      </c>
      <c r="K4" s="32">
        <v>2</v>
      </c>
      <c r="L4" s="85">
        <v>-12.200000000000001</v>
      </c>
      <c r="N4" s="100" t="s">
        <v>105</v>
      </c>
      <c r="O4" s="107">
        <f t="shared" si="0"/>
        <v>-763.63636363636363</v>
      </c>
      <c r="P4" s="104">
        <v>22</v>
      </c>
      <c r="Q4" s="88">
        <v>-16800</v>
      </c>
    </row>
    <row r="5" spans="1:17">
      <c r="A5" s="47" t="s">
        <v>7</v>
      </c>
      <c r="B5" s="172">
        <f>IF(B$2=0,0,B$4/B$2)</f>
        <v>-11.345454545454546</v>
      </c>
      <c r="C5" s="173"/>
      <c r="E5" s="55" t="s">
        <v>60</v>
      </c>
      <c r="F5" s="52" t="s">
        <v>24</v>
      </c>
      <c r="G5" s="40">
        <v>11</v>
      </c>
      <c r="H5" s="118">
        <f>IF(B$17=0,0,G5/B$17)</f>
        <v>0.33333333333333331</v>
      </c>
      <c r="I5" s="80">
        <v>16</v>
      </c>
      <c r="K5" s="32">
        <v>3</v>
      </c>
      <c r="L5" s="85">
        <v>-68.400000000000006</v>
      </c>
      <c r="N5" s="100" t="s">
        <v>157</v>
      </c>
      <c r="O5" s="107">
        <f>IF(P5=0,0,Q5/P5)</f>
        <v>-1205.5555555555557</v>
      </c>
      <c r="P5" s="104">
        <v>18</v>
      </c>
      <c r="Q5" s="88">
        <v>-21700</v>
      </c>
    </row>
    <row r="6" spans="1:17">
      <c r="A6" s="47" t="s">
        <v>1</v>
      </c>
      <c r="B6" s="174">
        <f>IF(B$2=0,0,(B$7*1+B$8*2+B$9*3+B$10*4)/B$2)</f>
        <v>2.7272727272727271</v>
      </c>
      <c r="C6" s="175"/>
      <c r="E6" s="55" t="s">
        <v>55</v>
      </c>
      <c r="F6" s="52" t="s">
        <v>155</v>
      </c>
      <c r="G6" s="40">
        <v>9</v>
      </c>
      <c r="H6" s="118">
        <f>IF(B$17=0,0,G6/B$17)</f>
        <v>0.27272727272727271</v>
      </c>
      <c r="I6" s="80">
        <v>12</v>
      </c>
      <c r="K6" s="32">
        <v>4</v>
      </c>
      <c r="L6" s="85">
        <v>-96.4</v>
      </c>
      <c r="N6" s="100" t="s">
        <v>106</v>
      </c>
      <c r="O6" s="107">
        <f t="shared" ref="O6" si="1">IF(P6=0,0,Q6/P6)</f>
        <v>-2933.3333333333335</v>
      </c>
      <c r="P6" s="104">
        <v>12</v>
      </c>
      <c r="Q6" s="88">
        <v>-35200</v>
      </c>
    </row>
    <row r="7" spans="1:17">
      <c r="A7" s="47" t="s">
        <v>2</v>
      </c>
      <c r="B7" s="40">
        <v>3</v>
      </c>
      <c r="C7" s="33">
        <f t="shared" ref="C7:C12" si="2">IF(B$2=0,0,B7/B$2)</f>
        <v>0.13636363636363635</v>
      </c>
      <c r="E7" s="55" t="s">
        <v>56</v>
      </c>
      <c r="F7" s="52" t="s">
        <v>185</v>
      </c>
      <c r="G7" s="40">
        <v>8</v>
      </c>
      <c r="H7" s="118">
        <f>IF(B$17=0,0,G7/B$17)</f>
        <v>0.24242424242424243</v>
      </c>
      <c r="I7" s="80">
        <v>13</v>
      </c>
      <c r="K7" s="32">
        <v>5</v>
      </c>
      <c r="L7" s="85">
        <v>-160.60000000000002</v>
      </c>
      <c r="N7" s="100" t="s">
        <v>107</v>
      </c>
      <c r="O7" s="107">
        <f t="shared" si="0"/>
        <v>-3277.7777777777778</v>
      </c>
      <c r="P7" s="104">
        <v>9</v>
      </c>
      <c r="Q7" s="88">
        <v>-29500</v>
      </c>
    </row>
    <row r="8" spans="1:17">
      <c r="A8" s="47" t="s">
        <v>3</v>
      </c>
      <c r="B8" s="40">
        <v>4</v>
      </c>
      <c r="C8" s="33">
        <f>IF(B$2=0,0,B8/B$2)</f>
        <v>0.18181818181818182</v>
      </c>
      <c r="E8" s="55" t="s">
        <v>59</v>
      </c>
      <c r="F8" s="52" t="s">
        <v>23</v>
      </c>
      <c r="G8" s="40">
        <v>7</v>
      </c>
      <c r="H8" s="118">
        <f>IF(B$17=0,0,G8/B$17)</f>
        <v>0.21212121212121213</v>
      </c>
      <c r="I8" s="80">
        <v>8</v>
      </c>
      <c r="K8" s="32">
        <v>6</v>
      </c>
      <c r="L8" s="85">
        <v>-199.10000000000002</v>
      </c>
      <c r="N8" s="100" t="s">
        <v>108</v>
      </c>
      <c r="O8" s="107">
        <f t="shared" si="0"/>
        <v>-1583.3333333333333</v>
      </c>
      <c r="P8" s="104">
        <v>6</v>
      </c>
      <c r="Q8" s="88">
        <v>-9500</v>
      </c>
    </row>
    <row r="9" spans="1:17">
      <c r="A9" s="48" t="s">
        <v>4</v>
      </c>
      <c r="B9" s="41">
        <v>11</v>
      </c>
      <c r="C9" s="34">
        <f>IF(B$2=0,0,B9/B$2)</f>
        <v>0.5</v>
      </c>
      <c r="E9" s="55" t="s">
        <v>182</v>
      </c>
      <c r="F9" s="52" t="s">
        <v>19</v>
      </c>
      <c r="G9" s="40">
        <v>3</v>
      </c>
      <c r="H9" s="118">
        <f>IF(B$17=0,0,G9/B$17)</f>
        <v>9.0909090909090912E-2</v>
      </c>
      <c r="I9" s="80">
        <v>8</v>
      </c>
      <c r="K9" s="32">
        <v>7</v>
      </c>
      <c r="L9" s="85">
        <v>-223.60000000000002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4</v>
      </c>
      <c r="C10" s="34">
        <f>IF(B$2=0,0,B10/B$2)</f>
        <v>0.18181818181818182</v>
      </c>
      <c r="E10" s="55" t="s">
        <v>71</v>
      </c>
      <c r="F10" s="52" t="s">
        <v>35</v>
      </c>
      <c r="G10" s="40">
        <v>2</v>
      </c>
      <c r="H10" s="118">
        <f>IF(B$17=0,0,G10/B$17)</f>
        <v>6.0606060606060608E-2</v>
      </c>
      <c r="I10" s="80">
        <v>3</v>
      </c>
      <c r="K10" s="32">
        <v>8</v>
      </c>
      <c r="L10" s="85">
        <v>-219.50000000000003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7</v>
      </c>
      <c r="C11" s="34">
        <f>IF(B$2=0,0,B11/B$2)</f>
        <v>0.31818181818181818</v>
      </c>
      <c r="E11" s="55" t="s">
        <v>74</v>
      </c>
      <c r="F11" s="52" t="s">
        <v>38</v>
      </c>
      <c r="G11" s="40">
        <v>2</v>
      </c>
      <c r="H11" s="118">
        <f>IF(B$17=0,0,G11/B$17)</f>
        <v>6.0606060606060608E-2</v>
      </c>
      <c r="I11" s="80">
        <v>4</v>
      </c>
      <c r="K11" s="32">
        <v>9</v>
      </c>
      <c r="L11" s="85">
        <v>-244.40000000000003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2</v>
      </c>
      <c r="C12" s="36">
        <f t="shared" si="2"/>
        <v>9.0909090909090912E-2</v>
      </c>
      <c r="E12" s="55" t="s">
        <v>57</v>
      </c>
      <c r="F12" s="52" t="s">
        <v>21</v>
      </c>
      <c r="G12" s="40">
        <v>1</v>
      </c>
      <c r="H12" s="118">
        <f>IF(B$17=0,0,G12/B$17)</f>
        <v>3.0303030303030304E-2</v>
      </c>
      <c r="I12" s="80">
        <v>17</v>
      </c>
      <c r="K12" s="32">
        <v>10</v>
      </c>
      <c r="L12" s="85">
        <v>-239.90000000000003</v>
      </c>
      <c r="N12" s="99" t="s">
        <v>126</v>
      </c>
      <c r="O12" s="109">
        <f>IF(P12=0,0,Q12/P12)</f>
        <v>-30.700000000000003</v>
      </c>
      <c r="P12" s="103">
        <v>2</v>
      </c>
      <c r="Q12" s="91">
        <v>-61.400000000000006</v>
      </c>
    </row>
    <row r="13" spans="1:17">
      <c r="A13" s="50" t="s">
        <v>97</v>
      </c>
      <c r="B13" s="43">
        <v>34</v>
      </c>
      <c r="C13" s="38">
        <f>IF(B$3=0,0,B13/B$3)</f>
        <v>0.22666666666666666</v>
      </c>
      <c r="E13" s="55" t="s">
        <v>58</v>
      </c>
      <c r="F13" s="52" t="s">
        <v>22</v>
      </c>
      <c r="G13" s="40">
        <v>1</v>
      </c>
      <c r="H13" s="118">
        <f>IF(B$17=0,0,G13/B$17)</f>
        <v>3.0303030303030304E-2</v>
      </c>
      <c r="I13" s="80">
        <v>11</v>
      </c>
      <c r="K13" s="32">
        <v>11</v>
      </c>
      <c r="L13" s="85">
        <v>-300.00000000000006</v>
      </c>
      <c r="N13" s="100" t="s">
        <v>127</v>
      </c>
      <c r="O13" s="110">
        <f>IF(P13=0,0,Q13/P13)</f>
        <v>-25.05</v>
      </c>
      <c r="P13" s="104">
        <v>2</v>
      </c>
      <c r="Q13" s="92">
        <v>-50.1</v>
      </c>
    </row>
    <row r="14" spans="1:17">
      <c r="A14" s="47" t="s">
        <v>94</v>
      </c>
      <c r="B14" s="40">
        <v>40</v>
      </c>
      <c r="C14" s="33">
        <f>IF(B$3=0,0,B14/B$3)</f>
        <v>0.26666666666666666</v>
      </c>
      <c r="E14" s="55" t="s">
        <v>66</v>
      </c>
      <c r="F14" s="52" t="s">
        <v>30</v>
      </c>
      <c r="G14" s="40">
        <v>1</v>
      </c>
      <c r="H14" s="118">
        <f>IF(B$17=0,0,G14/B$17)</f>
        <v>3.0303030303030304E-2</v>
      </c>
      <c r="I14" s="80">
        <v>2</v>
      </c>
      <c r="K14" s="32">
        <v>12</v>
      </c>
      <c r="L14" s="85">
        <v>-290.00000000000006</v>
      </c>
      <c r="N14" s="100" t="s">
        <v>128</v>
      </c>
      <c r="O14" s="110">
        <f>IF(P14=0,0,Q14/P14)</f>
        <v>1.0571428571428565</v>
      </c>
      <c r="P14" s="104">
        <v>7</v>
      </c>
      <c r="Q14" s="92">
        <v>7.399999999999995</v>
      </c>
    </row>
    <row r="15" spans="1:17">
      <c r="A15" s="46" t="s">
        <v>99</v>
      </c>
      <c r="B15" s="39">
        <f>B21</f>
        <v>17</v>
      </c>
      <c r="C15" s="31">
        <f>IF(B$13=0,0,B15/B$13)</f>
        <v>0.5</v>
      </c>
      <c r="E15" s="55" t="s">
        <v>183</v>
      </c>
      <c r="F15" s="52" t="s">
        <v>186</v>
      </c>
      <c r="G15" s="40">
        <v>1</v>
      </c>
      <c r="H15" s="118">
        <f>IF(B$17=0,0,G15/B$17)</f>
        <v>3.0303030303030304E-2</v>
      </c>
      <c r="I15" s="80">
        <v>7</v>
      </c>
      <c r="K15" s="32">
        <v>13</v>
      </c>
      <c r="L15" s="85">
        <v>-302.70000000000005</v>
      </c>
      <c r="N15" s="101" t="s">
        <v>159</v>
      </c>
      <c r="O15" s="111">
        <f>IF(P15=0,0,Q15/P15)</f>
        <v>-13.227272727272727</v>
      </c>
      <c r="P15" s="105">
        <v>11</v>
      </c>
      <c r="Q15" s="93">
        <v>-145.5</v>
      </c>
    </row>
    <row r="16" spans="1:17">
      <c r="A16" s="46" t="s">
        <v>100</v>
      </c>
      <c r="B16" s="39">
        <f>B22</f>
        <v>13</v>
      </c>
      <c r="C16" s="31">
        <f>IF(B$14=0,0,B16/B$14)</f>
        <v>0.32500000000000001</v>
      </c>
      <c r="E16" s="55" t="s">
        <v>77</v>
      </c>
      <c r="F16" s="52" t="s">
        <v>41</v>
      </c>
      <c r="G16" s="40">
        <v>1</v>
      </c>
      <c r="H16" s="118">
        <f>IF(B$17=0,0,G16/B$17)</f>
        <v>3.0303030303030304E-2</v>
      </c>
      <c r="I16" s="80">
        <v>4</v>
      </c>
      <c r="K16" s="32">
        <v>14</v>
      </c>
      <c r="L16" s="85">
        <v>-325.60000000000002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33</v>
      </c>
      <c r="C17" s="31">
        <f>IF(B$3=0,0,B17/B$3)</f>
        <v>0.22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-343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23</v>
      </c>
      <c r="C18" s="33">
        <f>IF(B$3=0,0,B18/B$3)</f>
        <v>0.15333333333333332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K18" s="32">
        <v>16</v>
      </c>
      <c r="L18" s="85">
        <v>-275</v>
      </c>
      <c r="N18" s="99" t="s">
        <v>223</v>
      </c>
      <c r="O18" s="109">
        <f>IF(P18=0,0,Q18/P18)</f>
        <v>47.5</v>
      </c>
      <c r="P18" s="103">
        <v>2</v>
      </c>
      <c r="Q18" s="91">
        <v>95</v>
      </c>
    </row>
    <row r="19" spans="1:17">
      <c r="A19" s="47" t="s">
        <v>12</v>
      </c>
      <c r="B19" s="40">
        <v>14</v>
      </c>
      <c r="C19" s="33">
        <f>IF(B$17=0,0,B19/B$17)</f>
        <v>0.42424242424242425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-298.60000000000002</v>
      </c>
      <c r="N19" s="100" t="s">
        <v>208</v>
      </c>
      <c r="O19" s="110">
        <f>IF(P19=0,0,Q19/P19)</f>
        <v>45.5</v>
      </c>
      <c r="P19" s="104">
        <v>2</v>
      </c>
      <c r="Q19" s="92">
        <v>91</v>
      </c>
    </row>
    <row r="20" spans="1:17">
      <c r="A20" s="47" t="s">
        <v>11</v>
      </c>
      <c r="B20" s="40">
        <v>19</v>
      </c>
      <c r="C20" s="33">
        <f>IF(B$17=0,0,B20/B$17)</f>
        <v>0.5757575757575758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-245.20000000000002</v>
      </c>
      <c r="N20" s="100" t="s">
        <v>216</v>
      </c>
      <c r="O20" s="110">
        <f>IF(P20=0,0,Q20/P20)</f>
        <v>34.571428571428577</v>
      </c>
      <c r="P20" s="104">
        <v>7</v>
      </c>
      <c r="Q20" s="92">
        <v>242.00000000000003</v>
      </c>
    </row>
    <row r="21" spans="1:17">
      <c r="A21" s="47" t="s">
        <v>151</v>
      </c>
      <c r="B21" s="40">
        <v>17</v>
      </c>
      <c r="C21" s="33">
        <f>IF(B$17=0,0,B21/B$17)</f>
        <v>0.51515151515151514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K21" s="32">
        <v>19</v>
      </c>
      <c r="L21" s="85">
        <v>-262.40000000000003</v>
      </c>
      <c r="N21" s="100" t="s">
        <v>215</v>
      </c>
      <c r="O21" s="110">
        <f>IF(P21=0,0,Q21/P21)</f>
        <v>24.4</v>
      </c>
      <c r="P21" s="104">
        <v>1</v>
      </c>
      <c r="Q21" s="92">
        <v>24.4</v>
      </c>
    </row>
    <row r="22" spans="1:17">
      <c r="A22" s="47" t="s">
        <v>149</v>
      </c>
      <c r="B22" s="40">
        <v>13</v>
      </c>
      <c r="C22" s="33">
        <f>IF(B$17=0,0,B22/B$17)</f>
        <v>0.39393939393939392</v>
      </c>
      <c r="E22" s="55" t="s">
        <v>67</v>
      </c>
      <c r="F22" s="52" t="s">
        <v>31</v>
      </c>
      <c r="G22" s="40">
        <v>0</v>
      </c>
      <c r="H22" s="118">
        <f>IF(B$17=0,0,G22/B$17)</f>
        <v>0</v>
      </c>
      <c r="I22" s="80">
        <v>7</v>
      </c>
      <c r="K22" s="32">
        <v>20</v>
      </c>
      <c r="L22" s="85">
        <v>-195.10000000000002</v>
      </c>
      <c r="N22" s="100" t="s">
        <v>203</v>
      </c>
      <c r="O22" s="110">
        <f>IF(P22=0,0,Q22/P22)</f>
        <v>20.5</v>
      </c>
      <c r="P22" s="104">
        <v>1</v>
      </c>
      <c r="Q22" s="92">
        <v>20.5</v>
      </c>
    </row>
    <row r="23" spans="1:17">
      <c r="A23" s="47" t="s">
        <v>150</v>
      </c>
      <c r="B23" s="40">
        <v>3</v>
      </c>
      <c r="C23" s="33">
        <f>IF(B$17=0,0,B23/B$17)</f>
        <v>9.0909090909090912E-2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K23" s="32">
        <v>21</v>
      </c>
      <c r="L23" s="85">
        <v>-205.40000000000003</v>
      </c>
      <c r="N23" s="100" t="s">
        <v>227</v>
      </c>
      <c r="O23" s="110">
        <f>IF(P23=0,0,Q23/P23)</f>
        <v>3.8000000000000029</v>
      </c>
      <c r="P23" s="104">
        <v>2</v>
      </c>
      <c r="Q23" s="92">
        <v>7.6000000000000059</v>
      </c>
    </row>
    <row r="24" spans="1:17">
      <c r="A24" s="47" t="s">
        <v>5</v>
      </c>
      <c r="B24" s="44">
        <f>IF(B$17=0,0,C24/B$17)</f>
        <v>5039.393939393939</v>
      </c>
      <c r="C24" s="35">
        <v>166300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K24" s="32">
        <v>22</v>
      </c>
      <c r="L24" s="85">
        <v>-249.60000000000002</v>
      </c>
      <c r="N24" s="100" t="s">
        <v>169</v>
      </c>
      <c r="O24" s="110">
        <f>IF(P24=0,0,Q24/P24)</f>
        <v>-7.9249999999999936</v>
      </c>
      <c r="P24" s="104">
        <v>12</v>
      </c>
      <c r="Q24" s="92">
        <v>-95.099999999999923</v>
      </c>
    </row>
    <row r="25" spans="1:17">
      <c r="A25" s="48" t="s">
        <v>133</v>
      </c>
      <c r="B25" s="121">
        <f>IF($B$17-B$16=0,0,C25/($B$17-B$16))</f>
        <v>6465</v>
      </c>
      <c r="C25" s="122">
        <v>129300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213</v>
      </c>
      <c r="O25" s="110">
        <f>IF(P25=0,0,Q25/P25)</f>
        <v>-8.4571428571428537</v>
      </c>
      <c r="P25" s="104">
        <v>7</v>
      </c>
      <c r="Q25" s="92">
        <v>-59.199999999999982</v>
      </c>
    </row>
    <row r="26" spans="1:17">
      <c r="A26" s="48" t="s">
        <v>134</v>
      </c>
      <c r="B26" s="121">
        <f>IF(B$16=0,0,C26/B$16)</f>
        <v>2846.1538461538462</v>
      </c>
      <c r="C26" s="122">
        <v>37000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164</v>
      </c>
      <c r="O26" s="110">
        <f>IF(P26=0,0,Q26/P26)</f>
        <v>-19.399999999999999</v>
      </c>
      <c r="P26" s="104">
        <v>4</v>
      </c>
      <c r="Q26" s="92">
        <v>-77.599999999999994</v>
      </c>
    </row>
    <row r="27" spans="1:17">
      <c r="A27" s="48" t="s">
        <v>132</v>
      </c>
      <c r="B27" s="121">
        <f>IF(B$18=0,0,C27/B$18)</f>
        <v>-6834.782608695652</v>
      </c>
      <c r="C27" s="122">
        <v>-157200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161</v>
      </c>
      <c r="O27" s="110">
        <f>IF(P27=0,0,Q27/P27)</f>
        <v>-20.650000000000006</v>
      </c>
      <c r="P27" s="104">
        <v>2</v>
      </c>
      <c r="Q27" s="92">
        <v>-41.300000000000011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>IF(P28=0,0,Q28/P28)</f>
        <v>-25.7</v>
      </c>
      <c r="P28" s="104">
        <v>7</v>
      </c>
      <c r="Q28" s="92">
        <v>-179.9</v>
      </c>
    </row>
    <row r="29" spans="1:17">
      <c r="A29" s="47" t="s">
        <v>131</v>
      </c>
      <c r="B29" s="40">
        <v>19</v>
      </c>
      <c r="C29" s="120">
        <v>0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163</v>
      </c>
      <c r="O29" s="110">
        <f>IF(P29=0,0,Q29/P29)</f>
        <v>-30.9</v>
      </c>
      <c r="P29" s="104">
        <v>1</v>
      </c>
      <c r="Q29" s="92">
        <v>-30.9</v>
      </c>
    </row>
    <row r="30" spans="1:17">
      <c r="A30" s="76" t="s">
        <v>111</v>
      </c>
      <c r="B30" s="160">
        <v>4</v>
      </c>
      <c r="C30" s="161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179</v>
      </c>
      <c r="O30" s="110">
        <f>IF(P30=0,0,Q30/P30)</f>
        <v>-34.119999999999997</v>
      </c>
      <c r="P30" s="104">
        <v>5</v>
      </c>
      <c r="Q30" s="92">
        <v>-170.6</v>
      </c>
    </row>
    <row r="31" spans="1:17">
      <c r="A31" s="50" t="s">
        <v>148</v>
      </c>
      <c r="B31" s="162">
        <v>48000</v>
      </c>
      <c r="C31" s="163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162</v>
      </c>
      <c r="O31" s="110">
        <f>IF(P31=0,0,Q31/P31)</f>
        <v>-43.699999999999996</v>
      </c>
      <c r="P31" s="104">
        <v>4</v>
      </c>
      <c r="Q31" s="92">
        <v>-174.79999999999998</v>
      </c>
    </row>
    <row r="32" spans="1:17">
      <c r="A32" s="49" t="s">
        <v>112</v>
      </c>
      <c r="B32" s="57">
        <v>1</v>
      </c>
      <c r="C32" s="36">
        <f>IF(B$3=0,0,B32/B$3)</f>
        <v>6.6666666666666671E-3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191</v>
      </c>
      <c r="O32" s="110">
        <f>IF(P32=0,0,Q32/P32)</f>
        <v>-65.966666666666669</v>
      </c>
      <c r="P32" s="104">
        <v>3</v>
      </c>
      <c r="Q32" s="92">
        <v>-197.9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205</v>
      </c>
      <c r="O33" s="110">
        <f>IF(P33=0,0,Q33/P33)</f>
        <v>-66.05</v>
      </c>
      <c r="P33" s="104">
        <v>4</v>
      </c>
      <c r="Q33" s="92">
        <v>-264.2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N34" s="100" t="s">
        <v>228</v>
      </c>
      <c r="O34" s="110">
        <f>IF(P34=0,0,Q34/P34)</f>
        <v>-88.7</v>
      </c>
      <c r="P34" s="104">
        <v>2</v>
      </c>
      <c r="Q34" s="92">
        <v>-177.4</v>
      </c>
    </row>
    <row r="35" spans="1:17">
      <c r="A35" s="76" t="s">
        <v>139</v>
      </c>
      <c r="B35" s="136">
        <v>4</v>
      </c>
      <c r="C35" s="126">
        <f t="shared" ref="C35:C47" si="3">IF(B$17=0,0,B35/B$17)</f>
        <v>0.12121212121212122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11</v>
      </c>
      <c r="C36" s="33">
        <f t="shared" si="3"/>
        <v>0.33333333333333331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3"/>
        <v>0.30303030303030304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</v>
      </c>
      <c r="C38" s="33">
        <f t="shared" si="3"/>
        <v>3.0303030303030304E-2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4</v>
      </c>
      <c r="C39" s="33">
        <f t="shared" si="3"/>
        <v>0.12121212121212122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2</v>
      </c>
      <c r="C40" s="33">
        <f t="shared" si="3"/>
        <v>6.0606060606060608E-2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3"/>
        <v>3.0303030303030304E-2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3"/>
        <v>0</v>
      </c>
    </row>
    <row r="44" spans="1:17">
      <c r="A44" s="47" t="s">
        <v>144</v>
      </c>
      <c r="B44" s="137">
        <v>0</v>
      </c>
      <c r="C44" s="33">
        <f t="shared" si="3"/>
        <v>0</v>
      </c>
    </row>
    <row r="45" spans="1:17">
      <c r="A45" s="47" t="s">
        <v>145</v>
      </c>
      <c r="B45" s="137">
        <v>0</v>
      </c>
      <c r="C45" s="33">
        <f t="shared" si="3"/>
        <v>0</v>
      </c>
    </row>
    <row r="46" spans="1:17">
      <c r="A46" s="47" t="s">
        <v>146</v>
      </c>
      <c r="B46" s="137">
        <v>0</v>
      </c>
      <c r="C46" s="33">
        <f t="shared" si="3"/>
        <v>0</v>
      </c>
    </row>
    <row r="47" spans="1:17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196</v>
      </c>
      <c r="C1" s="165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1</v>
      </c>
      <c r="C2" s="167"/>
      <c r="E2" s="54" t="s">
        <v>60</v>
      </c>
      <c r="F2" s="51" t="s">
        <v>24</v>
      </c>
      <c r="G2" s="39">
        <v>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-6000</v>
      </c>
      <c r="P2" s="103">
        <v>1</v>
      </c>
      <c r="Q2" s="87">
        <v>-6000</v>
      </c>
    </row>
    <row r="3" spans="1:17">
      <c r="A3" s="47" t="s">
        <v>8</v>
      </c>
      <c r="B3" s="168">
        <v>8</v>
      </c>
      <c r="C3" s="169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22</v>
      </c>
      <c r="K3" s="32">
        <v>1</v>
      </c>
      <c r="L3" s="85">
        <v>-27.1</v>
      </c>
      <c r="N3" s="100" t="s">
        <v>104</v>
      </c>
      <c r="O3" s="107">
        <f t="shared" si="0"/>
        <v>-4600</v>
      </c>
      <c r="P3" s="104">
        <v>1</v>
      </c>
      <c r="Q3" s="88">
        <v>-4600</v>
      </c>
    </row>
    <row r="4" spans="1:17">
      <c r="A4" s="47" t="s">
        <v>6</v>
      </c>
      <c r="B4" s="170">
        <v>-27.1</v>
      </c>
      <c r="C4" s="171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13</v>
      </c>
      <c r="N4" s="100" t="s">
        <v>105</v>
      </c>
      <c r="O4" s="107">
        <f t="shared" si="0"/>
        <v>1000</v>
      </c>
      <c r="P4" s="104">
        <v>1</v>
      </c>
      <c r="Q4" s="88">
        <v>1000</v>
      </c>
    </row>
    <row r="5" spans="1:17">
      <c r="A5" s="47" t="s">
        <v>7</v>
      </c>
      <c r="B5" s="172">
        <f>IF(B$2=0,0,B$4/B$2)</f>
        <v>-27.1</v>
      </c>
      <c r="C5" s="173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20</v>
      </c>
      <c r="N5" s="100" t="s">
        <v>157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74">
        <f>IF(B$2=0,0,(B$7*1+B$8*2+B$9*3+B$10*4)/B$2)</f>
        <v>3</v>
      </c>
      <c r="C6" s="175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21</v>
      </c>
      <c r="N6" s="100" t="s">
        <v>106</v>
      </c>
      <c r="O6" s="107">
        <f t="shared" ref="O6" si="1">IF(P6=0,0,Q6/P6)</f>
        <v>-1500</v>
      </c>
      <c r="P6" s="104">
        <v>1</v>
      </c>
      <c r="Q6" s="88">
        <v>-1500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20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18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0.25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0.125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9</v>
      </c>
      <c r="N18" s="99" t="s">
        <v>179</v>
      </c>
      <c r="O18" s="109">
        <f>IF(P18=0,0,Q18/P18)</f>
        <v>34.299999999999997</v>
      </c>
      <c r="P18" s="103">
        <v>1</v>
      </c>
      <c r="Q18" s="91">
        <v>34.299999999999997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-49.7</v>
      </c>
      <c r="P19" s="104">
        <v>1</v>
      </c>
      <c r="Q19" s="92">
        <v>-49.7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191</v>
      </c>
      <c r="O20" s="110">
        <f>IF(P20=0,0,Q20/P20)</f>
        <v>-93</v>
      </c>
      <c r="P20" s="104">
        <v>1</v>
      </c>
      <c r="Q20" s="92">
        <v>-93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1000</v>
      </c>
      <c r="C24" s="35">
        <v>1000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7</v>
      </c>
    </row>
    <row r="29" spans="1:17">
      <c r="A29" s="47" t="s">
        <v>131</v>
      </c>
      <c r="B29" s="40">
        <v>8</v>
      </c>
      <c r="C29" s="120">
        <v>8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60">
        <v>0</v>
      </c>
      <c r="C30" s="161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2">
        <v>12900</v>
      </c>
      <c r="C31" s="163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203</v>
      </c>
      <c r="C1" s="165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5</v>
      </c>
      <c r="C2" s="167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68">
        <v>43</v>
      </c>
      <c r="C3" s="169"/>
      <c r="E3" s="55" t="s">
        <v>55</v>
      </c>
      <c r="F3" s="52" t="s">
        <v>155</v>
      </c>
      <c r="G3" s="40">
        <v>2</v>
      </c>
      <c r="H3" s="118">
        <f>IF(B$17=0,0,G3/B$17)</f>
        <v>0.5</v>
      </c>
      <c r="I3" s="80">
        <v>4</v>
      </c>
      <c r="K3" s="32">
        <v>1</v>
      </c>
      <c r="L3" s="85">
        <v>-15</v>
      </c>
      <c r="N3" s="100" t="s">
        <v>104</v>
      </c>
      <c r="O3" s="107">
        <f t="shared" si="0"/>
        <v>-2160</v>
      </c>
      <c r="P3" s="104">
        <v>5</v>
      </c>
      <c r="Q3" s="88">
        <v>-10800</v>
      </c>
    </row>
    <row r="4" spans="1:17">
      <c r="A4" s="47" t="s">
        <v>6</v>
      </c>
      <c r="B4" s="170">
        <v>-161.39999999999998</v>
      </c>
      <c r="C4" s="171"/>
      <c r="E4" s="55" t="s">
        <v>56</v>
      </c>
      <c r="F4" s="52" t="s">
        <v>185</v>
      </c>
      <c r="G4" s="40">
        <v>2</v>
      </c>
      <c r="H4" s="118">
        <f>IF(B$17=0,0,G4/B$17)</f>
        <v>0.5</v>
      </c>
      <c r="I4" s="80">
        <v>1</v>
      </c>
      <c r="K4" s="32">
        <v>2</v>
      </c>
      <c r="L4" s="85">
        <v>-43.9</v>
      </c>
      <c r="N4" s="100" t="s">
        <v>105</v>
      </c>
      <c r="O4" s="107">
        <f t="shared" si="0"/>
        <v>-3860</v>
      </c>
      <c r="P4" s="104">
        <v>5</v>
      </c>
      <c r="Q4" s="88">
        <v>-19300</v>
      </c>
    </row>
    <row r="5" spans="1:17">
      <c r="A5" s="47" t="s">
        <v>7</v>
      </c>
      <c r="B5" s="172">
        <f>IF(B$2=0,0,B$4/B$2)</f>
        <v>-32.279999999999994</v>
      </c>
      <c r="C5" s="173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6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74">
        <f>IF(B$2=0,0,(B$7*1+B$8*2+B$9*3+B$10*4)/B$2)</f>
        <v>3.4</v>
      </c>
      <c r="C6" s="175"/>
      <c r="E6" s="55" t="s">
        <v>184</v>
      </c>
      <c r="F6" s="52" t="s">
        <v>187</v>
      </c>
      <c r="G6" s="40">
        <v>2</v>
      </c>
      <c r="H6" s="118">
        <f>IF(B$17=0,0,G6/B$17)</f>
        <v>0.5</v>
      </c>
      <c r="I6" s="80">
        <v>9</v>
      </c>
      <c r="K6" s="32">
        <v>4</v>
      </c>
      <c r="L6" s="85">
        <v>-144.19999999999999</v>
      </c>
      <c r="N6" s="100" t="s">
        <v>106</v>
      </c>
      <c r="O6" s="107">
        <f t="shared" ref="O6" si="1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0.25</v>
      </c>
      <c r="I7" s="80">
        <v>3</v>
      </c>
      <c r="K7" s="32">
        <v>5</v>
      </c>
      <c r="L7" s="85">
        <v>-161.39999999999998</v>
      </c>
      <c r="N7" s="100" t="s">
        <v>107</v>
      </c>
      <c r="O7" s="107">
        <f t="shared" si="0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>IF(B$17=0,0,G8/B$17)</f>
        <v>0.25</v>
      </c>
      <c r="I8" s="80">
        <v>18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202</v>
      </c>
      <c r="O18" s="109">
        <f t="shared" ref="O18:O24" si="3"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163</v>
      </c>
      <c r="O19" s="110">
        <f t="shared" si="3"/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191</v>
      </c>
      <c r="O21" s="110">
        <f t="shared" si="3"/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 t="shared" si="3"/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205</v>
      </c>
      <c r="O24" s="110">
        <f t="shared" si="3"/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60">
        <v>2</v>
      </c>
      <c r="C30" s="161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2">
        <v>25000</v>
      </c>
      <c r="C31" s="163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202</v>
      </c>
      <c r="C1" s="165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2</v>
      </c>
      <c r="C2" s="167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68">
        <v>17</v>
      </c>
      <c r="C3" s="169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22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70">
        <v>-105.9</v>
      </c>
      <c r="C4" s="171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13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72">
        <f>IF(B$2=0,0,B$4/B$2)</f>
        <v>-52.95</v>
      </c>
      <c r="C5" s="173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20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74">
        <f>IF(B$2=0,0,(B$7*1+B$8*2+B$9*3+B$10*4)/B$2)</f>
        <v>4</v>
      </c>
      <c r="C6" s="175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21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20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18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9</v>
      </c>
      <c r="N18" s="99" t="s">
        <v>203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7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60">
        <v>0</v>
      </c>
      <c r="C30" s="161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2">
        <v>13500</v>
      </c>
      <c r="C31" s="163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205</v>
      </c>
      <c r="C1" s="165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4</v>
      </c>
      <c r="C2" s="167"/>
      <c r="E2" s="54" t="s">
        <v>184</v>
      </c>
      <c r="F2" s="51" t="s">
        <v>187</v>
      </c>
      <c r="G2" s="39">
        <v>7</v>
      </c>
      <c r="H2" s="117">
        <f>IF(B$17=0,0,G2/B$17)</f>
        <v>0.58333333333333337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125</v>
      </c>
      <c r="P2" s="103">
        <v>4</v>
      </c>
      <c r="Q2" s="87">
        <v>500</v>
      </c>
    </row>
    <row r="3" spans="1:17">
      <c r="A3" s="47" t="s">
        <v>8</v>
      </c>
      <c r="B3" s="168">
        <v>28</v>
      </c>
      <c r="C3" s="169"/>
      <c r="E3" s="55" t="s">
        <v>181</v>
      </c>
      <c r="F3" s="52" t="s">
        <v>156</v>
      </c>
      <c r="G3" s="40">
        <v>6</v>
      </c>
      <c r="H3" s="118">
        <f>IF(B$17=0,0,G3/B$17)</f>
        <v>0.5</v>
      </c>
      <c r="I3" s="80">
        <v>11</v>
      </c>
      <c r="K3" s="32">
        <v>1</v>
      </c>
      <c r="L3" s="85">
        <v>-18</v>
      </c>
      <c r="N3" s="100" t="s">
        <v>104</v>
      </c>
      <c r="O3" s="107">
        <f t="shared" si="0"/>
        <v>950</v>
      </c>
      <c r="P3" s="104">
        <v>4</v>
      </c>
      <c r="Q3" s="88">
        <v>3800</v>
      </c>
    </row>
    <row r="4" spans="1:17">
      <c r="A4" s="47" t="s">
        <v>6</v>
      </c>
      <c r="B4" s="170">
        <v>141.1</v>
      </c>
      <c r="C4" s="171"/>
      <c r="E4" s="55" t="s">
        <v>54</v>
      </c>
      <c r="F4" s="52" t="s">
        <v>20</v>
      </c>
      <c r="G4" s="40">
        <v>5</v>
      </c>
      <c r="H4" s="118">
        <f>IF(B$17=0,0,G4/B$17)</f>
        <v>0.41666666666666669</v>
      </c>
      <c r="I4" s="80">
        <v>15</v>
      </c>
      <c r="K4" s="32">
        <v>2</v>
      </c>
      <c r="L4" s="85">
        <v>7</v>
      </c>
      <c r="N4" s="100" t="s">
        <v>105</v>
      </c>
      <c r="O4" s="107">
        <f t="shared" si="0"/>
        <v>3650</v>
      </c>
      <c r="P4" s="104">
        <v>4</v>
      </c>
      <c r="Q4" s="88">
        <v>14600</v>
      </c>
    </row>
    <row r="5" spans="1:17">
      <c r="A5" s="47" t="s">
        <v>7</v>
      </c>
      <c r="B5" s="172">
        <f>IF(B$2=0,0,B$4/B$2)</f>
        <v>35.274999999999999</v>
      </c>
      <c r="C5" s="173"/>
      <c r="E5" s="55" t="s">
        <v>56</v>
      </c>
      <c r="F5" s="52" t="s">
        <v>185</v>
      </c>
      <c r="G5" s="40">
        <v>4</v>
      </c>
      <c r="H5" s="118">
        <f>IF(B$17=0,0,G5/B$17)</f>
        <v>0.33333333333333331</v>
      </c>
      <c r="I5" s="80">
        <v>7</v>
      </c>
      <c r="K5" s="32">
        <v>3</v>
      </c>
      <c r="L5" s="85">
        <v>63.9</v>
      </c>
      <c r="N5" s="100" t="s">
        <v>157</v>
      </c>
      <c r="O5" s="107">
        <f>IF(P5=0,0,Q5/P5)</f>
        <v>-700</v>
      </c>
      <c r="P5" s="104">
        <v>3</v>
      </c>
      <c r="Q5" s="88">
        <v>-2100</v>
      </c>
    </row>
    <row r="6" spans="1:17">
      <c r="A6" s="47" t="s">
        <v>1</v>
      </c>
      <c r="B6" s="174">
        <f>IF(B$2=0,0,(B$7*1+B$8*2+B$9*3+B$10*4)/B$2)</f>
        <v>1.75</v>
      </c>
      <c r="C6" s="175"/>
      <c r="E6" s="55" t="s">
        <v>57</v>
      </c>
      <c r="F6" s="52" t="s">
        <v>21</v>
      </c>
      <c r="G6" s="40">
        <v>4</v>
      </c>
      <c r="H6" s="118">
        <f>IF(B$17=0,0,G6/B$17)</f>
        <v>0.33333333333333331</v>
      </c>
      <c r="I6" s="80">
        <v>6</v>
      </c>
      <c r="K6" s="32">
        <v>4</v>
      </c>
      <c r="L6" s="85">
        <v>141.1</v>
      </c>
      <c r="N6" s="100" t="s">
        <v>106</v>
      </c>
      <c r="O6" s="107">
        <f t="shared" ref="O6" si="1">IF(P6=0,0,Q6/P6)</f>
        <v>3650</v>
      </c>
      <c r="P6" s="104">
        <v>2</v>
      </c>
      <c r="Q6" s="88">
        <v>7300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182</v>
      </c>
      <c r="F7" s="52" t="s">
        <v>19</v>
      </c>
      <c r="G7" s="40">
        <v>2</v>
      </c>
      <c r="H7" s="118">
        <f>IF(B$17=0,0,G7/B$17)</f>
        <v>0.16666666666666666</v>
      </c>
      <c r="I7" s="80">
        <v>4</v>
      </c>
      <c r="N7" s="100" t="s">
        <v>107</v>
      </c>
      <c r="O7" s="107">
        <f t="shared" si="0"/>
        <v>33000</v>
      </c>
      <c r="P7" s="104">
        <v>1</v>
      </c>
      <c r="Q7" s="88">
        <v>33000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55</v>
      </c>
      <c r="F8" s="52" t="s">
        <v>155</v>
      </c>
      <c r="G8" s="40">
        <v>2</v>
      </c>
      <c r="H8" s="118">
        <f>IF(B$17=0,0,G8/B$17)</f>
        <v>0.16666666666666666</v>
      </c>
      <c r="I8" s="80">
        <v>16</v>
      </c>
      <c r="N8" s="100" t="s">
        <v>108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2</v>
      </c>
      <c r="H9" s="118">
        <f>IF(B$17=0,0,G9/B$17)</f>
        <v>0.16666666666666666</v>
      </c>
      <c r="I9" s="80">
        <v>21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1</v>
      </c>
      <c r="H10" s="118">
        <f>IF(B$17=0,0,G10/B$17)</f>
        <v>8.3333333333333329E-2</v>
      </c>
      <c r="I10" s="80">
        <v>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0.75</v>
      </c>
      <c r="E11" s="55" t="s">
        <v>59</v>
      </c>
      <c r="F11" s="52" t="s">
        <v>23</v>
      </c>
      <c r="G11" s="40">
        <v>1</v>
      </c>
      <c r="H11" s="118">
        <f>IF(B$17=0,0,G11/B$17)</f>
        <v>8.3333333333333329E-2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38.699999999999996</v>
      </c>
      <c r="P12" s="103">
        <v>3</v>
      </c>
      <c r="Q12" s="91">
        <v>116.1</v>
      </c>
    </row>
    <row r="13" spans="1:17">
      <c r="A13" s="50" t="s">
        <v>97</v>
      </c>
      <c r="B13" s="43">
        <v>7</v>
      </c>
      <c r="C13" s="38">
        <f>IF(B$3=0,0,B13/B$3)</f>
        <v>0.25</v>
      </c>
      <c r="E13" s="55" t="s">
        <v>74</v>
      </c>
      <c r="F13" s="52" t="s">
        <v>38</v>
      </c>
      <c r="G13" s="40">
        <v>1</v>
      </c>
      <c r="H13" s="118">
        <f>IF(B$17=0,0,G13/B$17)</f>
        <v>8.3333333333333329E-2</v>
      </c>
      <c r="I13" s="80">
        <v>2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6</v>
      </c>
      <c r="C14" s="33">
        <f>IF(B$3=0,0,B14/B$3)</f>
        <v>0.21428571428571427</v>
      </c>
      <c r="E14" s="55" t="s">
        <v>80</v>
      </c>
      <c r="F14" s="52" t="s">
        <v>44</v>
      </c>
      <c r="G14" s="40">
        <v>1</v>
      </c>
      <c r="H14" s="118">
        <f>IF(B$17=0,0,G14/B$17)</f>
        <v>8.3333333333333329E-2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0.42857142857142855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208</v>
      </c>
      <c r="O18" s="109">
        <f t="shared" ref="O18:O24" si="3">IF(P18=0,0,Q18/P18)</f>
        <v>106.5</v>
      </c>
      <c r="P18" s="103">
        <v>1</v>
      </c>
      <c r="Q18" s="91">
        <v>106.5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5</v>
      </c>
      <c r="N19" s="100" t="s">
        <v>168</v>
      </c>
      <c r="O19" s="110">
        <f t="shared" si="3"/>
        <v>102.4</v>
      </c>
      <c r="P19" s="104">
        <v>1</v>
      </c>
      <c r="Q19" s="92">
        <v>102.4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203</v>
      </c>
      <c r="O20" s="110">
        <f t="shared" si="3"/>
        <v>84</v>
      </c>
      <c r="P20" s="104">
        <v>1</v>
      </c>
      <c r="Q20" s="92">
        <v>84</v>
      </c>
    </row>
    <row r="21" spans="1:17">
      <c r="A21" s="47" t="s">
        <v>151</v>
      </c>
      <c r="B21" s="40">
        <v>6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9</v>
      </c>
      <c r="N21" s="100" t="s">
        <v>195</v>
      </c>
      <c r="O21" s="110">
        <f t="shared" si="3"/>
        <v>66.05</v>
      </c>
      <c r="P21" s="104">
        <v>4</v>
      </c>
      <c r="Q21" s="92">
        <v>264.2</v>
      </c>
    </row>
    <row r="22" spans="1:17">
      <c r="A22" s="47" t="s">
        <v>149</v>
      </c>
      <c r="B22" s="40">
        <v>2</v>
      </c>
      <c r="C22" s="33">
        <f>IF(B$17=0,0,B22/B$17)</f>
        <v>0.16666666666666666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53</v>
      </c>
      <c r="P22" s="104">
        <v>2</v>
      </c>
      <c r="Q22" s="92">
        <v>106</v>
      </c>
    </row>
    <row r="23" spans="1:17">
      <c r="A23" s="47" t="s">
        <v>150</v>
      </c>
      <c r="B23" s="40">
        <v>4</v>
      </c>
      <c r="C23" s="33">
        <f>IF(B$17=0,0,B23/B$17)</f>
        <v>0.33333333333333331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164</v>
      </c>
      <c r="O23" s="110">
        <f t="shared" si="3"/>
        <v>-20.599999999999998</v>
      </c>
      <c r="P23" s="104">
        <v>2</v>
      </c>
      <c r="Q23" s="92">
        <v>-41.199999999999996</v>
      </c>
    </row>
    <row r="24" spans="1:17">
      <c r="A24" s="47" t="s">
        <v>5</v>
      </c>
      <c r="B24" s="44">
        <f>IF(B$17=0,0,C24/B$17)</f>
        <v>8333.3333333333339</v>
      </c>
      <c r="C24" s="35">
        <v>100000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-47.5</v>
      </c>
      <c r="P24" s="104">
        <v>1</v>
      </c>
      <c r="Q24" s="92">
        <v>-47.5</v>
      </c>
    </row>
    <row r="25" spans="1:17">
      <c r="A25" s="48" t="s">
        <v>133</v>
      </c>
      <c r="B25" s="121">
        <f>IF($B$17-B$16=0,0,C25/($B$17-B$16))</f>
        <v>9560</v>
      </c>
      <c r="C25" s="122">
        <v>95600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-9466.6666666666661</v>
      </c>
      <c r="C27" s="122">
        <v>-28400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130</v>
      </c>
      <c r="B28" s="40">
        <v>5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17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60">
        <v>3</v>
      </c>
      <c r="C30" s="161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7</v>
      </c>
    </row>
    <row r="31" spans="1:17">
      <c r="A31" s="50" t="s">
        <v>148</v>
      </c>
      <c r="B31" s="162">
        <v>57200</v>
      </c>
      <c r="C31" s="163"/>
      <c r="E31" s="55" t="s">
        <v>78</v>
      </c>
      <c r="F31" s="52" t="s">
        <v>42</v>
      </c>
      <c r="G31" s="40">
        <v>0</v>
      </c>
      <c r="H31" s="118">
        <f>IF(B$17=0,0,G31/B$17)</f>
        <v>0</v>
      </c>
      <c r="I31" s="80">
        <v>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8.3333333333333329E-2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1</v>
      </c>
      <c r="C47" s="36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208</v>
      </c>
      <c r="C1" s="165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3</v>
      </c>
      <c r="C2" s="167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-1833.3333333333333</v>
      </c>
      <c r="P2" s="103">
        <v>3</v>
      </c>
      <c r="Q2" s="87">
        <v>-5500</v>
      </c>
    </row>
    <row r="3" spans="1:17">
      <c r="A3" s="47" t="s">
        <v>8</v>
      </c>
      <c r="B3" s="168">
        <v>23</v>
      </c>
      <c r="C3" s="169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13</v>
      </c>
      <c r="K3" s="32">
        <v>1</v>
      </c>
      <c r="L3" s="85">
        <v>-53.1</v>
      </c>
      <c r="N3" s="100" t="s">
        <v>104</v>
      </c>
      <c r="O3" s="107">
        <f t="shared" si="0"/>
        <v>166.66666666666666</v>
      </c>
      <c r="P3" s="104">
        <v>3</v>
      </c>
      <c r="Q3" s="88">
        <v>500</v>
      </c>
    </row>
    <row r="4" spans="1:17">
      <c r="A4" s="47" t="s">
        <v>6</v>
      </c>
      <c r="B4" s="170">
        <v>-132.69999999999999</v>
      </c>
      <c r="C4" s="171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20</v>
      </c>
      <c r="K4" s="32">
        <v>2</v>
      </c>
      <c r="L4" s="85">
        <v>-82.4</v>
      </c>
      <c r="N4" s="100" t="s">
        <v>105</v>
      </c>
      <c r="O4" s="107">
        <f t="shared" si="0"/>
        <v>-833.33333333333337</v>
      </c>
      <c r="P4" s="104">
        <v>3</v>
      </c>
      <c r="Q4" s="88">
        <v>-2500</v>
      </c>
    </row>
    <row r="5" spans="1:17">
      <c r="A5" s="47" t="s">
        <v>7</v>
      </c>
      <c r="B5" s="172">
        <f>IF(B$2=0,0,B$4/B$2)</f>
        <v>-44.233333333333327</v>
      </c>
      <c r="C5" s="173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21</v>
      </c>
      <c r="K5" s="32">
        <v>3</v>
      </c>
      <c r="L5" s="85">
        <v>-132.69999999999999</v>
      </c>
      <c r="N5" s="100" t="s">
        <v>157</v>
      </c>
      <c r="O5" s="107">
        <f>IF(P5=0,0,Q5/P5)</f>
        <v>-7633.333333333333</v>
      </c>
      <c r="P5" s="104">
        <v>3</v>
      </c>
      <c r="Q5" s="88">
        <v>-22900</v>
      </c>
    </row>
    <row r="6" spans="1:17">
      <c r="A6" s="47" t="s">
        <v>1</v>
      </c>
      <c r="B6" s="174">
        <f>IF(B$2=0,0,(B$7*1+B$8*2+B$9*3+B$10*4)/B$2)</f>
        <v>3.6666666666666665</v>
      </c>
      <c r="C6" s="175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20</v>
      </c>
      <c r="N6" s="100" t="s">
        <v>106</v>
      </c>
      <c r="O6" s="107">
        <f t="shared" ref="O6" si="1">IF(P6=0,0,Q6/P6)</f>
        <v>-1700</v>
      </c>
      <c r="P6" s="104">
        <v>2</v>
      </c>
      <c r="Q6" s="88">
        <v>-3400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18</v>
      </c>
      <c r="N7" s="100" t="s">
        <v>107</v>
      </c>
      <c r="O7" s="107">
        <f t="shared" si="0"/>
        <v>-4000</v>
      </c>
      <c r="P7" s="104">
        <v>2</v>
      </c>
      <c r="Q7" s="88">
        <v>-8000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13</v>
      </c>
      <c r="N8" s="100" t="s">
        <v>108</v>
      </c>
      <c r="O8" s="107">
        <f t="shared" si="0"/>
        <v>-2950</v>
      </c>
      <c r="P8" s="104">
        <v>2</v>
      </c>
      <c r="Q8" s="88">
        <v>-5900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-50.3</v>
      </c>
      <c r="P12" s="103">
        <v>1</v>
      </c>
      <c r="Q12" s="91">
        <v>-50.3</v>
      </c>
    </row>
    <row r="13" spans="1:17">
      <c r="A13" s="50" t="s">
        <v>97</v>
      </c>
      <c r="B13" s="43">
        <v>1</v>
      </c>
      <c r="C13" s="38">
        <f>IF(B$3=0,0,B13/B$3)</f>
        <v>4.3478260869565216E-2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-41.2</v>
      </c>
      <c r="P14" s="104">
        <v>2</v>
      </c>
      <c r="Q14" s="92">
        <v>-82.4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0.21739130434782608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9</v>
      </c>
      <c r="N18" s="99" t="s">
        <v>168</v>
      </c>
      <c r="O18" s="109">
        <f t="shared" ref="O18:O23" si="3"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 t="shared" si="3"/>
        <v>-43.300000000000004</v>
      </c>
      <c r="P19" s="104">
        <v>3</v>
      </c>
      <c r="Q19" s="92">
        <v>-129.9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 t="shared" si="3"/>
        <v>-45.5</v>
      </c>
      <c r="P20" s="104">
        <v>2</v>
      </c>
      <c r="Q20" s="92">
        <v>-91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 t="shared" si="3"/>
        <v>-51.3</v>
      </c>
      <c r="P21" s="104">
        <v>1</v>
      </c>
      <c r="Q21" s="92">
        <v>-51.3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205</v>
      </c>
      <c r="O22" s="110">
        <f t="shared" si="3"/>
        <v>-106.5</v>
      </c>
      <c r="P22" s="104">
        <v>1</v>
      </c>
      <c r="Q22" s="92">
        <v>-106.5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  <c r="N23" s="100" t="s">
        <v>169</v>
      </c>
      <c r="O23" s="110">
        <f t="shared" si="3"/>
        <v>-123.2</v>
      </c>
      <c r="P23" s="104">
        <v>1</v>
      </c>
      <c r="Q23" s="92">
        <v>-123.2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-6340</v>
      </c>
      <c r="C27" s="122">
        <v>-31700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7</v>
      </c>
    </row>
    <row r="29" spans="1:17">
      <c r="A29" s="47" t="s">
        <v>131</v>
      </c>
      <c r="B29" s="40">
        <v>8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60">
        <v>0</v>
      </c>
      <c r="C30" s="161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2">
        <v>10700</v>
      </c>
      <c r="C31" s="163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213</v>
      </c>
      <c r="C1" s="165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9</v>
      </c>
      <c r="C2" s="167"/>
      <c r="E2" s="54" t="s">
        <v>181</v>
      </c>
      <c r="F2" s="51" t="s">
        <v>156</v>
      </c>
      <c r="G2" s="39">
        <v>4</v>
      </c>
      <c r="H2" s="117">
        <f>IF(B$17=0,0,G2/B$17)</f>
        <v>0.66666666666666663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1266.6666666666667</v>
      </c>
      <c r="P2" s="103">
        <v>9</v>
      </c>
      <c r="Q2" s="87">
        <v>11400</v>
      </c>
    </row>
    <row r="3" spans="1:17">
      <c r="A3" s="47" t="s">
        <v>8</v>
      </c>
      <c r="B3" s="168">
        <v>49</v>
      </c>
      <c r="C3" s="169"/>
      <c r="E3" s="55" t="s">
        <v>54</v>
      </c>
      <c r="F3" s="52" t="s">
        <v>20</v>
      </c>
      <c r="G3" s="40">
        <v>4</v>
      </c>
      <c r="H3" s="118">
        <f>IF(B$17=0,0,G3/B$17)</f>
        <v>0.66666666666666663</v>
      </c>
      <c r="I3" s="80">
        <v>6</v>
      </c>
      <c r="K3" s="32">
        <v>1</v>
      </c>
      <c r="L3" s="85">
        <v>-19.5</v>
      </c>
      <c r="N3" s="100" t="s">
        <v>104</v>
      </c>
      <c r="O3" s="107">
        <f t="shared" si="0"/>
        <v>-711.11111111111109</v>
      </c>
      <c r="P3" s="104">
        <v>9</v>
      </c>
      <c r="Q3" s="88">
        <v>-6400</v>
      </c>
    </row>
    <row r="4" spans="1:17">
      <c r="A4" s="47" t="s">
        <v>6</v>
      </c>
      <c r="B4" s="170">
        <v>-99.300000000000011</v>
      </c>
      <c r="C4" s="171"/>
      <c r="E4" s="55" t="s">
        <v>57</v>
      </c>
      <c r="F4" s="52" t="s">
        <v>21</v>
      </c>
      <c r="G4" s="40">
        <v>4</v>
      </c>
      <c r="H4" s="118">
        <f>IF(B$17=0,0,G4/B$17)</f>
        <v>0.66666666666666663</v>
      </c>
      <c r="I4" s="80">
        <v>2</v>
      </c>
      <c r="K4" s="32">
        <v>2</v>
      </c>
      <c r="L4" s="85">
        <v>-12.1</v>
      </c>
      <c r="N4" s="100" t="s">
        <v>105</v>
      </c>
      <c r="O4" s="107">
        <f t="shared" si="0"/>
        <v>-1488.8888888888889</v>
      </c>
      <c r="P4" s="104">
        <v>9</v>
      </c>
      <c r="Q4" s="88">
        <v>-13400</v>
      </c>
    </row>
    <row r="5" spans="1:17">
      <c r="A5" s="47" t="s">
        <v>7</v>
      </c>
      <c r="B5" s="172">
        <f>IF(B$2=0,0,B$4/B$2)</f>
        <v>-11.033333333333335</v>
      </c>
      <c r="C5" s="173"/>
      <c r="E5" s="55" t="s">
        <v>56</v>
      </c>
      <c r="F5" s="52" t="s">
        <v>185</v>
      </c>
      <c r="G5" s="40">
        <v>3</v>
      </c>
      <c r="H5" s="118">
        <f>IF(B$17=0,0,G5/B$17)</f>
        <v>0.5</v>
      </c>
      <c r="I5" s="80">
        <v>1</v>
      </c>
      <c r="K5" s="32">
        <v>3</v>
      </c>
      <c r="L5" s="85">
        <v>-2.5999999999999996</v>
      </c>
      <c r="N5" s="100" t="s">
        <v>157</v>
      </c>
      <c r="O5" s="107">
        <f>IF(P5=0,0,Q5/P5)</f>
        <v>-1875</v>
      </c>
      <c r="P5" s="104">
        <v>8</v>
      </c>
      <c r="Q5" s="88">
        <v>-15000</v>
      </c>
    </row>
    <row r="6" spans="1:17">
      <c r="A6" s="47" t="s">
        <v>1</v>
      </c>
      <c r="B6" s="174">
        <f>IF(B$2=0,0,(B$7*1+B$8*2+B$9*3+B$10*4)/B$2)</f>
        <v>2.6666666666666665</v>
      </c>
      <c r="C6" s="175"/>
      <c r="E6" s="55" t="s">
        <v>184</v>
      </c>
      <c r="F6" s="52" t="s">
        <v>187</v>
      </c>
      <c r="G6" s="40">
        <v>3</v>
      </c>
      <c r="H6" s="118">
        <f>IF(B$17=0,0,G6/B$17)</f>
        <v>0.5</v>
      </c>
      <c r="I6" s="80">
        <v>9</v>
      </c>
      <c r="K6" s="32">
        <v>4</v>
      </c>
      <c r="L6" s="85">
        <v>0</v>
      </c>
      <c r="N6" s="100" t="s">
        <v>106</v>
      </c>
      <c r="O6" s="107">
        <f t="shared" ref="O6" si="1">IF(P6=0,0,Q6/P6)</f>
        <v>-300</v>
      </c>
      <c r="P6" s="104">
        <v>3</v>
      </c>
      <c r="Q6" s="88">
        <v>-900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55</v>
      </c>
      <c r="F7" s="52" t="s">
        <v>155</v>
      </c>
      <c r="G7" s="40">
        <v>2</v>
      </c>
      <c r="H7" s="118">
        <f>IF(B$17=0,0,G7/B$17)</f>
        <v>0.33333333333333331</v>
      </c>
      <c r="I7" s="80">
        <v>7</v>
      </c>
      <c r="K7" s="32">
        <v>5</v>
      </c>
      <c r="L7" s="85">
        <v>-54.9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5</v>
      </c>
      <c r="C8" s="33">
        <f>IF(B$2=0,0,B8/B$2)</f>
        <v>0.55555555555555558</v>
      </c>
      <c r="E8" s="55" t="s">
        <v>59</v>
      </c>
      <c r="F8" s="52" t="s">
        <v>23</v>
      </c>
      <c r="G8" s="40">
        <v>2</v>
      </c>
      <c r="H8" s="118">
        <f>IF(B$17=0,0,G8/B$17)</f>
        <v>0.33333333333333331</v>
      </c>
      <c r="I8" s="80">
        <v>3</v>
      </c>
      <c r="K8" s="32">
        <v>6</v>
      </c>
      <c r="L8" s="85">
        <v>-98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0.22222222222222221</v>
      </c>
      <c r="E9" s="55" t="s">
        <v>60</v>
      </c>
      <c r="F9" s="52" t="s">
        <v>24</v>
      </c>
      <c r="G9" s="40">
        <v>2</v>
      </c>
      <c r="H9" s="118">
        <f>IF(B$17=0,0,G9/B$17)</f>
        <v>0.33333333333333331</v>
      </c>
      <c r="I9" s="80">
        <v>16</v>
      </c>
      <c r="K9" s="32">
        <v>7</v>
      </c>
      <c r="L9" s="85">
        <v>-93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1</v>
      </c>
      <c r="H10" s="118">
        <f>IF(B$17=0,0,G10/B$17)</f>
        <v>0.16666666666666666</v>
      </c>
      <c r="I10" s="80">
        <v>1</v>
      </c>
      <c r="K10" s="32">
        <v>8</v>
      </c>
      <c r="L10" s="85">
        <v>-78.2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0.55555555555555558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13</v>
      </c>
      <c r="K11" s="32">
        <v>9</v>
      </c>
      <c r="L11" s="85">
        <v>-99.300000000000011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7.4</v>
      </c>
      <c r="P12" s="103">
        <v>1</v>
      </c>
      <c r="Q12" s="91">
        <v>7.4</v>
      </c>
    </row>
    <row r="13" spans="1:17">
      <c r="A13" s="50" t="s">
        <v>97</v>
      </c>
      <c r="B13" s="43">
        <v>10</v>
      </c>
      <c r="C13" s="38">
        <f>IF(B$3=0,0,B13/B$3)</f>
        <v>0.20408163265306123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-13.466666666666667</v>
      </c>
      <c r="P13" s="104">
        <v>3</v>
      </c>
      <c r="Q13" s="92">
        <v>-40.4</v>
      </c>
    </row>
    <row r="14" spans="1:17">
      <c r="A14" s="47" t="s">
        <v>94</v>
      </c>
      <c r="B14" s="40">
        <v>2</v>
      </c>
      <c r="C14" s="33">
        <f>IF(B$3=0,0,B14/B$3)</f>
        <v>4.0816326530612242E-2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-20.25</v>
      </c>
      <c r="P14" s="104">
        <v>2</v>
      </c>
      <c r="Q14" s="92">
        <v>-40.5</v>
      </c>
    </row>
    <row r="15" spans="1:17">
      <c r="A15" s="46" t="s">
        <v>99</v>
      </c>
      <c r="B15" s="39">
        <f>B21</f>
        <v>4</v>
      </c>
      <c r="C15" s="31">
        <f>IF(B$13=0,0,B15/B$13)</f>
        <v>0.4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-8.6</v>
      </c>
      <c r="P15" s="105">
        <v>3</v>
      </c>
      <c r="Q15" s="93">
        <v>-25.8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</v>
      </c>
      <c r="C17" s="31">
        <f>IF(B$3=0,0,B17/B$3)</f>
        <v>0.12244897959183673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6</v>
      </c>
      <c r="C18" s="33">
        <f>IF(B$3=0,0,B18/B$3)</f>
        <v>0.12244897959183673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227</v>
      </c>
      <c r="O18" s="109">
        <f>IF(P18=0,0,Q18/P18)</f>
        <v>27.900000000000002</v>
      </c>
      <c r="P18" s="103">
        <v>2</v>
      </c>
      <c r="Q18" s="91">
        <v>55.800000000000004</v>
      </c>
    </row>
    <row r="19" spans="1:17">
      <c r="A19" s="47" t="s">
        <v>12</v>
      </c>
      <c r="B19" s="40">
        <v>3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216</v>
      </c>
      <c r="O19" s="110">
        <f>IF(P19=0,0,Q19/P19)</f>
        <v>9.2750000000000004</v>
      </c>
      <c r="P19" s="104">
        <v>4</v>
      </c>
      <c r="Q19" s="92">
        <v>37.1</v>
      </c>
    </row>
    <row r="20" spans="1:17">
      <c r="A20" s="47" t="s">
        <v>11</v>
      </c>
      <c r="B20" s="40">
        <v>3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>IF(P20=0,0,Q20/P20)</f>
        <v>8.4571428571428537</v>
      </c>
      <c r="P20" s="104">
        <v>7</v>
      </c>
      <c r="Q20" s="92">
        <v>59.199999999999982</v>
      </c>
    </row>
    <row r="21" spans="1:17">
      <c r="A21" s="47" t="s">
        <v>151</v>
      </c>
      <c r="B21" s="40">
        <v>4</v>
      </c>
      <c r="C21" s="33">
        <f>IF(B$17=0,0,B21/B$17)</f>
        <v>0.66666666666666663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223</v>
      </c>
      <c r="O21" s="110">
        <f>IF(P21=0,0,Q21/P21)</f>
        <v>-5.25</v>
      </c>
      <c r="P21" s="104">
        <v>2</v>
      </c>
      <c r="Q21" s="92">
        <v>-10.5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161</v>
      </c>
      <c r="O22" s="110">
        <f>IF(P22=0,0,Q22/P22)</f>
        <v>-32.56666666666667</v>
      </c>
      <c r="P22" s="104">
        <v>3</v>
      </c>
      <c r="Q22" s="92">
        <v>-97.7</v>
      </c>
    </row>
    <row r="23" spans="1:17">
      <c r="A23" s="47" t="s">
        <v>150</v>
      </c>
      <c r="B23" s="40">
        <v>2</v>
      </c>
      <c r="C23" s="33">
        <f>IF(B$17=0,0,B23/B$17)</f>
        <v>0.33333333333333331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>IF(P23=0,0,Q23/P23)</f>
        <v>-37.4</v>
      </c>
      <c r="P23" s="104">
        <v>6</v>
      </c>
      <c r="Q23" s="92">
        <v>-224.39999999999998</v>
      </c>
    </row>
    <row r="24" spans="1:17">
      <c r="A24" s="47" t="s">
        <v>5</v>
      </c>
      <c r="B24" s="44">
        <f>IF(B$17=0,0,C24/B$17)</f>
        <v>7300</v>
      </c>
      <c r="C24" s="35">
        <v>43800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228</v>
      </c>
      <c r="O24" s="110">
        <f>IF(P24=0,0,Q24/P24)</f>
        <v>-64.599999999999994</v>
      </c>
      <c r="P24" s="104">
        <v>2</v>
      </c>
      <c r="Q24" s="92">
        <v>-129.19999999999999</v>
      </c>
    </row>
    <row r="25" spans="1:17">
      <c r="A25" s="48" t="s">
        <v>133</v>
      </c>
      <c r="B25" s="121">
        <f>IF($B$17-B$16=0,0,C25/($B$17-B$16))</f>
        <v>7300</v>
      </c>
      <c r="C25" s="122">
        <v>43800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162</v>
      </c>
      <c r="O25" s="110">
        <f>IF(P25=0,0,Q25/P25)</f>
        <v>-87.5</v>
      </c>
      <c r="P25" s="104">
        <v>1</v>
      </c>
      <c r="Q25" s="92">
        <v>-87.5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-5966.666666666667</v>
      </c>
      <c r="C27" s="122">
        <v>-35800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14</v>
      </c>
      <c r="C29" s="120">
        <v>5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60">
        <v>2</v>
      </c>
      <c r="C30" s="161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2">
        <v>34800</v>
      </c>
      <c r="C31" s="163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3</v>
      </c>
      <c r="C38" s="33">
        <f t="shared" si="3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215</v>
      </c>
      <c r="C1" s="165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1</v>
      </c>
      <c r="C2" s="167"/>
      <c r="E2" s="54" t="s">
        <v>60</v>
      </c>
      <c r="F2" s="51" t="s">
        <v>24</v>
      </c>
      <c r="G2" s="39">
        <v>2</v>
      </c>
      <c r="H2" s="117">
        <f>IF(B$17=0,0,G2/B$17)</f>
        <v>2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-3900</v>
      </c>
      <c r="P2" s="103">
        <v>1</v>
      </c>
      <c r="Q2" s="87">
        <v>-3900</v>
      </c>
    </row>
    <row r="3" spans="1:17">
      <c r="A3" s="47" t="s">
        <v>8</v>
      </c>
      <c r="B3" s="168">
        <v>6</v>
      </c>
      <c r="C3" s="169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22</v>
      </c>
      <c r="K3" s="32">
        <v>1</v>
      </c>
      <c r="L3" s="85">
        <v>-14.4</v>
      </c>
      <c r="N3" s="100" t="s">
        <v>104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70">
        <v>-14.4</v>
      </c>
      <c r="C4" s="171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13</v>
      </c>
      <c r="N4" s="100" t="s">
        <v>105</v>
      </c>
      <c r="O4" s="107">
        <f t="shared" si="0"/>
        <v>4500</v>
      </c>
      <c r="P4" s="104">
        <v>1</v>
      </c>
      <c r="Q4" s="88">
        <v>4500</v>
      </c>
    </row>
    <row r="5" spans="1:17">
      <c r="A5" s="47" t="s">
        <v>7</v>
      </c>
      <c r="B5" s="172">
        <f>IF(B$2=0,0,B$4/B$2)</f>
        <v>-14.4</v>
      </c>
      <c r="C5" s="173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20</v>
      </c>
      <c r="N5" s="100" t="s">
        <v>157</v>
      </c>
      <c r="O5" s="107">
        <f>IF(P5=0,0,Q5/P5)</f>
        <v>0</v>
      </c>
      <c r="P5" s="104">
        <v>1</v>
      </c>
      <c r="Q5" s="88">
        <v>0</v>
      </c>
    </row>
    <row r="6" spans="1:17">
      <c r="A6" s="47" t="s">
        <v>1</v>
      </c>
      <c r="B6" s="174">
        <f>IF(B$2=0,0,(B$7*1+B$8*2+B$9*3+B$10*4)/B$2)</f>
        <v>3</v>
      </c>
      <c r="C6" s="175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21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20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18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0.33333333333333331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0.16666666666666666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-14.4</v>
      </c>
      <c r="P14" s="104">
        <v>1</v>
      </c>
      <c r="Q14" s="92">
        <v>-14.4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1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0.16666666666666666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0.16666666666666666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9</v>
      </c>
      <c r="N18" s="99" t="s">
        <v>216</v>
      </c>
      <c r="O18" s="109">
        <f>IF(P18=0,0,Q18/P18)</f>
        <v>33.200000000000003</v>
      </c>
      <c r="P18" s="103">
        <v>1</v>
      </c>
      <c r="Q18" s="91">
        <v>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-24.4</v>
      </c>
      <c r="P19" s="104">
        <v>1</v>
      </c>
      <c r="Q19" s="92">
        <v>-24.4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-66.400000000000006</v>
      </c>
      <c r="P20" s="104">
        <v>1</v>
      </c>
      <c r="Q20" s="92">
        <v>-66.400000000000006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3900</v>
      </c>
      <c r="C24" s="35">
        <v>3900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7</v>
      </c>
    </row>
    <row r="29" spans="1:17">
      <c r="A29" s="47" t="s">
        <v>131</v>
      </c>
      <c r="B29" s="40">
        <v>5</v>
      </c>
      <c r="C29" s="120">
        <v>5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60">
        <v>0</v>
      </c>
      <c r="C30" s="161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2">
        <v>25600</v>
      </c>
      <c r="C31" s="163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1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21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216</v>
      </c>
      <c r="C1" s="165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9</v>
      </c>
      <c r="C2" s="167"/>
      <c r="E2" s="54" t="s">
        <v>184</v>
      </c>
      <c r="F2" s="51" t="s">
        <v>187</v>
      </c>
      <c r="G2" s="39">
        <v>7</v>
      </c>
      <c r="H2" s="117">
        <f>IF(B$17=0,0,G2/B$17)</f>
        <v>1.4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1722.2222222222222</v>
      </c>
      <c r="P2" s="103">
        <v>9</v>
      </c>
      <c r="Q2" s="87">
        <v>15500</v>
      </c>
    </row>
    <row r="3" spans="1:17">
      <c r="A3" s="47" t="s">
        <v>8</v>
      </c>
      <c r="B3" s="168">
        <v>53</v>
      </c>
      <c r="C3" s="169"/>
      <c r="E3" s="55" t="s">
        <v>181</v>
      </c>
      <c r="F3" s="52" t="s">
        <v>156</v>
      </c>
      <c r="G3" s="40">
        <v>3</v>
      </c>
      <c r="H3" s="118">
        <f>IF(B$17=0,0,G3/B$17)</f>
        <v>0.6</v>
      </c>
      <c r="I3" s="80">
        <v>8</v>
      </c>
      <c r="K3" s="32">
        <v>1</v>
      </c>
      <c r="L3" s="85">
        <v>-47.6</v>
      </c>
      <c r="N3" s="100" t="s">
        <v>104</v>
      </c>
      <c r="O3" s="107">
        <f t="shared" si="0"/>
        <v>-2344.4444444444443</v>
      </c>
      <c r="P3" s="104">
        <v>9</v>
      </c>
      <c r="Q3" s="88">
        <v>-21100</v>
      </c>
    </row>
    <row r="4" spans="1:17">
      <c r="A4" s="47" t="s">
        <v>6</v>
      </c>
      <c r="B4" s="170">
        <v>-192.89999999999998</v>
      </c>
      <c r="C4" s="171"/>
      <c r="E4" s="55" t="s">
        <v>54</v>
      </c>
      <c r="F4" s="52" t="s">
        <v>20</v>
      </c>
      <c r="G4" s="40">
        <v>3</v>
      </c>
      <c r="H4" s="118">
        <f>IF(B$17=0,0,G4/B$17)</f>
        <v>0.6</v>
      </c>
      <c r="I4" s="80">
        <v>9</v>
      </c>
      <c r="K4" s="32">
        <v>2</v>
      </c>
      <c r="L4" s="85">
        <v>-102</v>
      </c>
      <c r="N4" s="100" t="s">
        <v>105</v>
      </c>
      <c r="O4" s="107">
        <f t="shared" si="0"/>
        <v>-3477.7777777777778</v>
      </c>
      <c r="P4" s="104">
        <v>9</v>
      </c>
      <c r="Q4" s="88">
        <v>-31300</v>
      </c>
    </row>
    <row r="5" spans="1:17">
      <c r="A5" s="47" t="s">
        <v>7</v>
      </c>
      <c r="B5" s="172">
        <f>IF(B$2=0,0,B$4/B$2)</f>
        <v>-21.43333333333333</v>
      </c>
      <c r="C5" s="173"/>
      <c r="E5" s="55" t="s">
        <v>55</v>
      </c>
      <c r="F5" s="52" t="s">
        <v>155</v>
      </c>
      <c r="G5" s="40">
        <v>2</v>
      </c>
      <c r="H5" s="118">
        <f>IF(B$17=0,0,G5/B$17)</f>
        <v>0.4</v>
      </c>
      <c r="I5" s="80">
        <v>6</v>
      </c>
      <c r="K5" s="32">
        <v>3</v>
      </c>
      <c r="L5" s="85">
        <v>-97.3</v>
      </c>
      <c r="N5" s="100" t="s">
        <v>157</v>
      </c>
      <c r="O5" s="107">
        <f>IF(P5=0,0,Q5/P5)</f>
        <v>-3933.3333333333335</v>
      </c>
      <c r="P5" s="104">
        <v>6</v>
      </c>
      <c r="Q5" s="88">
        <v>-23600</v>
      </c>
    </row>
    <row r="6" spans="1:17">
      <c r="A6" s="47" t="s">
        <v>1</v>
      </c>
      <c r="B6" s="174">
        <f>IF(B$2=0,0,(B$7*1+B$8*2+B$9*3+B$10*4)/B$2)</f>
        <v>3</v>
      </c>
      <c r="C6" s="175"/>
      <c r="E6" s="55" t="s">
        <v>60</v>
      </c>
      <c r="F6" s="52" t="s">
        <v>24</v>
      </c>
      <c r="G6" s="40">
        <v>2</v>
      </c>
      <c r="H6" s="118">
        <f>IF(B$17=0,0,G6/B$17)</f>
        <v>0.4</v>
      </c>
      <c r="I6" s="80">
        <v>13</v>
      </c>
      <c r="K6" s="32">
        <v>4</v>
      </c>
      <c r="L6" s="85">
        <v>-144.4</v>
      </c>
      <c r="N6" s="100" t="s">
        <v>106</v>
      </c>
      <c r="O6" s="107">
        <f t="shared" ref="O6" si="1">IF(P6=0,0,Q6/P6)</f>
        <v>-5366.666666666667</v>
      </c>
      <c r="P6" s="104">
        <v>3</v>
      </c>
      <c r="Q6" s="88">
        <v>-16100</v>
      </c>
    </row>
    <row r="7" spans="1:17">
      <c r="A7" s="47" t="s">
        <v>2</v>
      </c>
      <c r="B7" s="40">
        <v>1</v>
      </c>
      <c r="C7" s="33">
        <f t="shared" ref="C7:C12" si="2">IF(B$2=0,0,B7/B$2)</f>
        <v>0.1111111111111111</v>
      </c>
      <c r="E7" s="55" t="s">
        <v>56</v>
      </c>
      <c r="F7" s="52" t="s">
        <v>185</v>
      </c>
      <c r="G7" s="40">
        <v>1</v>
      </c>
      <c r="H7" s="118">
        <f>IF(B$17=0,0,G7/B$17)</f>
        <v>0.2</v>
      </c>
      <c r="I7" s="80">
        <v>15</v>
      </c>
      <c r="K7" s="32">
        <v>5</v>
      </c>
      <c r="L7" s="85">
        <v>-133.4</v>
      </c>
      <c r="N7" s="100" t="s">
        <v>107</v>
      </c>
      <c r="O7" s="107">
        <f t="shared" si="0"/>
        <v>-1300</v>
      </c>
      <c r="P7" s="104">
        <v>1</v>
      </c>
      <c r="Q7" s="88">
        <v>-1300</v>
      </c>
    </row>
    <row r="8" spans="1:17">
      <c r="A8" s="47" t="s">
        <v>3</v>
      </c>
      <c r="B8" s="40">
        <v>2</v>
      </c>
      <c r="C8" s="33">
        <f>IF(B$2=0,0,B8/B$2)</f>
        <v>0.22222222222222221</v>
      </c>
      <c r="E8" s="55" t="s">
        <v>59</v>
      </c>
      <c r="F8" s="52" t="s">
        <v>23</v>
      </c>
      <c r="G8" s="40">
        <v>1</v>
      </c>
      <c r="H8" s="118">
        <f>IF(B$17=0,0,G8/B$17)</f>
        <v>0.2</v>
      </c>
      <c r="I8" s="80">
        <v>10</v>
      </c>
      <c r="K8" s="32">
        <v>6</v>
      </c>
      <c r="L8" s="85">
        <v>-76.900000000000006</v>
      </c>
      <c r="N8" s="100" t="s">
        <v>108</v>
      </c>
      <c r="O8" s="107">
        <f t="shared" si="0"/>
        <v>0</v>
      </c>
      <c r="P8" s="104">
        <v>1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0.22222222222222221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13</v>
      </c>
      <c r="K9" s="32">
        <v>7</v>
      </c>
      <c r="L9" s="85">
        <v>-101.5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4</v>
      </c>
      <c r="C10" s="34">
        <f>IF(B$2=0,0,B10/B$2)</f>
        <v>0.44444444444444442</v>
      </c>
      <c r="E10" s="55" t="s">
        <v>57</v>
      </c>
      <c r="F10" s="52" t="s">
        <v>21</v>
      </c>
      <c r="G10" s="40">
        <v>0</v>
      </c>
      <c r="H10" s="118">
        <f>IF(B$17=0,0,G10/B$17)</f>
        <v>0</v>
      </c>
      <c r="I10" s="80">
        <v>18</v>
      </c>
      <c r="K10" s="32">
        <v>8</v>
      </c>
      <c r="L10" s="85">
        <v>-123.6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0.33333333333333331</v>
      </c>
      <c r="E11" s="55" t="s">
        <v>58</v>
      </c>
      <c r="F11" s="52" t="s">
        <v>22</v>
      </c>
      <c r="G11" s="40">
        <v>0</v>
      </c>
      <c r="H11" s="118">
        <f>IF(B$17=0,0,G11/B$17)</f>
        <v>0</v>
      </c>
      <c r="I11" s="80">
        <v>13</v>
      </c>
      <c r="K11" s="32">
        <v>9</v>
      </c>
      <c r="L11" s="85">
        <v>-192.89999999999998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-47</v>
      </c>
      <c r="P12" s="103">
        <v>3</v>
      </c>
      <c r="Q12" s="91">
        <v>-141</v>
      </c>
    </row>
    <row r="13" spans="1:17">
      <c r="A13" s="50" t="s">
        <v>97</v>
      </c>
      <c r="B13" s="43">
        <v>8</v>
      </c>
      <c r="C13" s="38">
        <f>IF(B$3=0,0,B13/B$3)</f>
        <v>0.15094339622641509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-54.4</v>
      </c>
      <c r="P13" s="104">
        <v>1</v>
      </c>
      <c r="Q13" s="92">
        <v>-54.4</v>
      </c>
    </row>
    <row r="14" spans="1:17">
      <c r="A14" s="47" t="s">
        <v>94</v>
      </c>
      <c r="B14" s="40">
        <v>5</v>
      </c>
      <c r="C14" s="33">
        <f>IF(B$3=0,0,B14/B$3)</f>
        <v>9.4339622641509441E-2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30.6</v>
      </c>
      <c r="P14" s="104">
        <v>2</v>
      </c>
      <c r="Q14" s="92">
        <v>61.2</v>
      </c>
    </row>
    <row r="15" spans="1:17">
      <c r="A15" s="46" t="s">
        <v>99</v>
      </c>
      <c r="B15" s="39">
        <f>B21</f>
        <v>3</v>
      </c>
      <c r="C15" s="31">
        <f>IF(B$13=0,0,B15/B$13)</f>
        <v>0.375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-19.566666666666666</v>
      </c>
      <c r="P15" s="105">
        <v>3</v>
      </c>
      <c r="Q15" s="93">
        <v>-58.7</v>
      </c>
    </row>
    <row r="16" spans="1:17">
      <c r="A16" s="46" t="s">
        <v>100</v>
      </c>
      <c r="B16" s="39">
        <f>B22</f>
        <v>2</v>
      </c>
      <c r="C16" s="31">
        <f>IF(B$14=0,0,B16/B$14)</f>
        <v>0.4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</v>
      </c>
      <c r="C17" s="31">
        <f>IF(B$3=0,0,B17/B$3)</f>
        <v>9.4339622641509441E-2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0.18867924528301888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223</v>
      </c>
      <c r="O18" s="109">
        <f t="shared" ref="O18:O24" si="3">IF(P18=0,0,Q18/P18)</f>
        <v>3.2500000000000036</v>
      </c>
      <c r="P18" s="103">
        <v>4</v>
      </c>
      <c r="Q18" s="91">
        <v>13.000000000000014</v>
      </c>
    </row>
    <row r="19" spans="1:17">
      <c r="A19" s="47" t="s">
        <v>12</v>
      </c>
      <c r="B19" s="40">
        <v>2</v>
      </c>
      <c r="C19" s="33">
        <f>IF(B$17=0,0,B19/B$17)</f>
        <v>0.4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213</v>
      </c>
      <c r="O19" s="110">
        <f t="shared" si="3"/>
        <v>-9.2750000000000004</v>
      </c>
      <c r="P19" s="104">
        <v>4</v>
      </c>
      <c r="Q19" s="92">
        <v>-37.1</v>
      </c>
    </row>
    <row r="20" spans="1:17">
      <c r="A20" s="47" t="s">
        <v>11</v>
      </c>
      <c r="B20" s="40">
        <v>3</v>
      </c>
      <c r="C20" s="33">
        <f>IF(B$17=0,0,B20/B$17)</f>
        <v>0.6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215</v>
      </c>
      <c r="O20" s="110">
        <f t="shared" si="3"/>
        <v>-33.200000000000003</v>
      </c>
      <c r="P20" s="104">
        <v>1</v>
      </c>
      <c r="Q20" s="92">
        <v>-33.200000000000003</v>
      </c>
    </row>
    <row r="21" spans="1:17">
      <c r="A21" s="47" t="s">
        <v>151</v>
      </c>
      <c r="B21" s="40">
        <v>3</v>
      </c>
      <c r="C21" s="33">
        <f>IF(B$17=0,0,B21/B$17)</f>
        <v>0.6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162</v>
      </c>
      <c r="O21" s="110">
        <f t="shared" si="3"/>
        <v>-33.950000000000003</v>
      </c>
      <c r="P21" s="104">
        <v>2</v>
      </c>
      <c r="Q21" s="92">
        <v>-67.900000000000006</v>
      </c>
    </row>
    <row r="22" spans="1:17">
      <c r="A22" s="47" t="s">
        <v>149</v>
      </c>
      <c r="B22" s="40">
        <v>2</v>
      </c>
      <c r="C22" s="33">
        <f>IF(B$17=0,0,B22/B$17)</f>
        <v>0.4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195</v>
      </c>
      <c r="O22" s="110">
        <f t="shared" si="3"/>
        <v>-34.571428571428569</v>
      </c>
      <c r="P22" s="104">
        <v>7</v>
      </c>
      <c r="Q22" s="92">
        <v>-242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-39.5625</v>
      </c>
      <c r="P23" s="104">
        <v>8</v>
      </c>
      <c r="Q23" s="92">
        <v>-316.5</v>
      </c>
    </row>
    <row r="24" spans="1:17">
      <c r="A24" s="47" t="s">
        <v>5</v>
      </c>
      <c r="B24" s="44">
        <f>IF(B$17=0,0,C24/B$17)</f>
        <v>9040</v>
      </c>
      <c r="C24" s="35">
        <v>45200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161</v>
      </c>
      <c r="O24" s="110">
        <f t="shared" si="3"/>
        <v>-87.9</v>
      </c>
      <c r="P24" s="104">
        <v>1</v>
      </c>
      <c r="Q24" s="92">
        <v>-87.9</v>
      </c>
    </row>
    <row r="25" spans="1:17">
      <c r="A25" s="48" t="s">
        <v>133</v>
      </c>
      <c r="B25" s="121">
        <f>IF($B$17-B$16=0,0,C25/($B$17-B$16))</f>
        <v>10400</v>
      </c>
      <c r="C25" s="122">
        <v>31200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7000</v>
      </c>
      <c r="C26" s="122">
        <v>14000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-8680</v>
      </c>
      <c r="C27" s="122">
        <v>-86800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15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60">
        <v>4</v>
      </c>
      <c r="C30" s="161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2">
        <v>36500</v>
      </c>
      <c r="C31" s="163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1</v>
      </c>
      <c r="C37" s="33">
        <f t="shared" si="4"/>
        <v>0.2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2</v>
      </c>
      <c r="C38" s="33">
        <f t="shared" si="4"/>
        <v>0.4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1</v>
      </c>
      <c r="C40" s="33">
        <f t="shared" si="4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41">
        <v>0</v>
      </c>
      <c r="C43" s="33">
        <f t="shared" si="4"/>
        <v>0</v>
      </c>
    </row>
    <row r="44" spans="1:9">
      <c r="A44" s="47" t="s">
        <v>144</v>
      </c>
      <c r="B44" s="141">
        <v>0</v>
      </c>
      <c r="C44" s="33">
        <f t="shared" si="4"/>
        <v>0</v>
      </c>
    </row>
    <row r="45" spans="1:9">
      <c r="A45" s="47" t="s">
        <v>145</v>
      </c>
      <c r="B45" s="141">
        <v>0</v>
      </c>
      <c r="C45" s="33">
        <f t="shared" si="4"/>
        <v>0</v>
      </c>
    </row>
    <row r="46" spans="1:9">
      <c r="A46" s="47" t="s">
        <v>146</v>
      </c>
      <c r="B46" s="141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223</v>
      </c>
      <c r="C1" s="165"/>
      <c r="E1" s="114" t="s">
        <v>129</v>
      </c>
      <c r="F1" s="143" t="s">
        <v>91</v>
      </c>
      <c r="G1" s="142" t="s">
        <v>92</v>
      </c>
      <c r="H1" s="115" t="s">
        <v>93</v>
      </c>
      <c r="I1" s="143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4</v>
      </c>
      <c r="C2" s="167"/>
      <c r="E2" s="54" t="s">
        <v>181</v>
      </c>
      <c r="F2" s="51" t="s">
        <v>156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-3300</v>
      </c>
      <c r="P2" s="103">
        <v>4</v>
      </c>
      <c r="Q2" s="87">
        <v>-13200</v>
      </c>
    </row>
    <row r="3" spans="1:17">
      <c r="A3" s="47" t="s">
        <v>8</v>
      </c>
      <c r="B3" s="168">
        <v>21</v>
      </c>
      <c r="C3" s="169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-47</v>
      </c>
      <c r="N3" s="100" t="s">
        <v>104</v>
      </c>
      <c r="O3" s="107">
        <f t="shared" si="0"/>
        <v>-2700</v>
      </c>
      <c r="P3" s="104">
        <v>4</v>
      </c>
      <c r="Q3" s="88">
        <v>-10800</v>
      </c>
    </row>
    <row r="4" spans="1:17">
      <c r="A4" s="47" t="s">
        <v>6</v>
      </c>
      <c r="B4" s="170">
        <v>-72.5</v>
      </c>
      <c r="C4" s="171"/>
      <c r="E4" s="55" t="s">
        <v>60</v>
      </c>
      <c r="F4" s="52" t="s">
        <v>24</v>
      </c>
      <c r="G4" s="40">
        <v>2</v>
      </c>
      <c r="H4" s="118">
        <f>IF(B$17=0,0,G4/B$17)</f>
        <v>1</v>
      </c>
      <c r="I4" s="80">
        <v>2</v>
      </c>
      <c r="K4" s="32">
        <v>2</v>
      </c>
      <c r="L4" s="85">
        <v>-44.9</v>
      </c>
      <c r="N4" s="100" t="s">
        <v>105</v>
      </c>
      <c r="O4" s="107">
        <f t="shared" si="0"/>
        <v>-100</v>
      </c>
      <c r="P4" s="104">
        <v>4</v>
      </c>
      <c r="Q4" s="88">
        <v>-400</v>
      </c>
    </row>
    <row r="5" spans="1:17">
      <c r="A5" s="47" t="s">
        <v>7</v>
      </c>
      <c r="B5" s="172">
        <f>IF(B$2=0,0,B$4/B$2)</f>
        <v>-18.125</v>
      </c>
      <c r="C5" s="173"/>
      <c r="E5" s="55" t="s">
        <v>56</v>
      </c>
      <c r="F5" s="52" t="s">
        <v>185</v>
      </c>
      <c r="G5" s="40">
        <v>1</v>
      </c>
      <c r="H5" s="118">
        <f>IF(B$17=0,0,G5/B$17)</f>
        <v>0.5</v>
      </c>
      <c r="I5" s="80">
        <v>1</v>
      </c>
      <c r="K5" s="32">
        <v>3</v>
      </c>
      <c r="L5" s="85">
        <v>-45.5</v>
      </c>
      <c r="N5" s="100" t="s">
        <v>157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74">
        <f>IF(B$2=0,0,(B$7*1+B$8*2+B$9*3+B$10*4)/B$2)</f>
        <v>2.75</v>
      </c>
      <c r="C6" s="175"/>
      <c r="E6" s="55" t="s">
        <v>182</v>
      </c>
      <c r="F6" s="52" t="s">
        <v>19</v>
      </c>
      <c r="G6" s="40">
        <v>0</v>
      </c>
      <c r="H6" s="118">
        <f>IF(B$17=0,0,G6/B$17)</f>
        <v>0</v>
      </c>
      <c r="I6" s="80">
        <v>13</v>
      </c>
      <c r="K6" s="32">
        <v>4</v>
      </c>
      <c r="L6" s="85">
        <v>-72.5</v>
      </c>
      <c r="N6" s="100" t="s">
        <v>106</v>
      </c>
      <c r="O6" s="107">
        <f t="shared" ref="O6" si="1">IF(P6=0,0,Q6/P6)</f>
        <v>-7100</v>
      </c>
      <c r="P6" s="104">
        <v>1</v>
      </c>
      <c r="Q6" s="88">
        <v>-7100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54</v>
      </c>
      <c r="F7" s="52" t="s">
        <v>20</v>
      </c>
      <c r="G7" s="40">
        <v>0</v>
      </c>
      <c r="H7" s="118">
        <f>IF(B$17=0,0,G7/B$17)</f>
        <v>0</v>
      </c>
      <c r="I7" s="80">
        <v>20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2</v>
      </c>
      <c r="C8" s="33">
        <f>IF(B$2=0,0,B8/B$2)</f>
        <v>0.5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18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0.25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0.5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6</v>
      </c>
      <c r="C13" s="38">
        <f>IF(B$3=0,0,B13/B$3)</f>
        <v>0.2857142857142857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0.75</v>
      </c>
      <c r="P13" s="104">
        <v>2</v>
      </c>
      <c r="Q13" s="92">
        <v>1.5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-27</v>
      </c>
      <c r="P14" s="104">
        <v>1</v>
      </c>
      <c r="Q14" s="92">
        <v>-27</v>
      </c>
    </row>
    <row r="15" spans="1:17">
      <c r="A15" s="46" t="s">
        <v>99</v>
      </c>
      <c r="B15" s="39">
        <f>B21</f>
        <v>2</v>
      </c>
      <c r="C15" s="31">
        <f>IF(B$13=0,0,B15/B$13)</f>
        <v>0.33333333333333331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-47</v>
      </c>
      <c r="P15" s="105">
        <v>1</v>
      </c>
      <c r="Q15" s="93">
        <v>-47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5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9.5238095238095233E-2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0.19047619047619047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9</v>
      </c>
      <c r="N18" s="99" t="s">
        <v>213</v>
      </c>
      <c r="O18" s="109">
        <f>IF(P18=0,0,Q18/P18)</f>
        <v>5.25</v>
      </c>
      <c r="P18" s="103">
        <v>2</v>
      </c>
      <c r="Q18" s="91">
        <v>10.5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216</v>
      </c>
      <c r="O19" s="110">
        <f>IF(P19=0,0,Q19/P19)</f>
        <v>-3.2500000000000036</v>
      </c>
      <c r="P19" s="104">
        <v>4</v>
      </c>
      <c r="Q19" s="92">
        <v>-13.000000000000014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-42.033333333333331</v>
      </c>
      <c r="P20" s="104">
        <v>3</v>
      </c>
      <c r="Q20" s="92">
        <v>-126.1</v>
      </c>
    </row>
    <row r="21" spans="1:17">
      <c r="A21" s="47" t="s">
        <v>151</v>
      </c>
      <c r="B21" s="40">
        <v>2</v>
      </c>
      <c r="C21" s="33">
        <f>IF(B$17=0,0,B21/B$17)</f>
        <v>1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195</v>
      </c>
      <c r="O21" s="110">
        <f>IF(P21=0,0,Q21/P21)</f>
        <v>-47.5</v>
      </c>
      <c r="P21" s="104">
        <v>2</v>
      </c>
      <c r="Q21" s="92">
        <v>-95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161</v>
      </c>
      <c r="O22" s="110">
        <f>IF(P22=0,0,Q22/P22)</f>
        <v>-66.399999999999991</v>
      </c>
      <c r="P22" s="104">
        <v>1</v>
      </c>
      <c r="Q22" s="92">
        <v>-66.399999999999991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7200</v>
      </c>
      <c r="C24" s="35">
        <v>14400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7200</v>
      </c>
      <c r="C25" s="122">
        <v>14400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-5450</v>
      </c>
      <c r="C27" s="122">
        <v>-21800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2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7</v>
      </c>
    </row>
    <row r="29" spans="1:17">
      <c r="A29" s="47" t="s">
        <v>131</v>
      </c>
      <c r="B29" s="40">
        <v>5</v>
      </c>
      <c r="C29" s="120">
        <v>4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60">
        <v>1</v>
      </c>
      <c r="C30" s="161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2">
        <v>22100</v>
      </c>
      <c r="C31" s="163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4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5">
        <v>1</v>
      </c>
      <c r="C37" s="33">
        <f t="shared" si="3"/>
        <v>0.5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5">
        <v>1</v>
      </c>
      <c r="C38" s="33">
        <f t="shared" si="3"/>
        <v>0.5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5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5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5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5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21</v>
      </c>
    </row>
    <row r="43" spans="1:9">
      <c r="A43" s="47" t="s">
        <v>143</v>
      </c>
      <c r="B43" s="145">
        <v>0</v>
      </c>
      <c r="C43" s="33">
        <f t="shared" si="3"/>
        <v>0</v>
      </c>
    </row>
    <row r="44" spans="1:9">
      <c r="A44" s="47" t="s">
        <v>144</v>
      </c>
      <c r="B44" s="145">
        <v>0</v>
      </c>
      <c r="C44" s="33">
        <f t="shared" si="3"/>
        <v>0</v>
      </c>
    </row>
    <row r="45" spans="1:9">
      <c r="A45" s="47" t="s">
        <v>145</v>
      </c>
      <c r="B45" s="145">
        <v>0</v>
      </c>
      <c r="C45" s="33">
        <f t="shared" si="3"/>
        <v>0</v>
      </c>
    </row>
    <row r="46" spans="1:9">
      <c r="A46" s="47" t="s">
        <v>146</v>
      </c>
      <c r="B46" s="145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228</v>
      </c>
      <c r="C1" s="165"/>
      <c r="E1" s="114" t="s">
        <v>129</v>
      </c>
      <c r="F1" s="151" t="s">
        <v>91</v>
      </c>
      <c r="G1" s="150" t="s">
        <v>92</v>
      </c>
      <c r="H1" s="115" t="s">
        <v>93</v>
      </c>
      <c r="I1" s="151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2</v>
      </c>
      <c r="C2" s="167"/>
      <c r="E2" s="54" t="s">
        <v>54</v>
      </c>
      <c r="F2" s="51" t="s">
        <v>20</v>
      </c>
      <c r="G2" s="39">
        <v>4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10650</v>
      </c>
      <c r="P2" s="103">
        <v>2</v>
      </c>
      <c r="Q2" s="87">
        <v>21300</v>
      </c>
    </row>
    <row r="3" spans="1:17">
      <c r="A3" s="47" t="s">
        <v>8</v>
      </c>
      <c r="B3" s="168">
        <v>11</v>
      </c>
      <c r="C3" s="169"/>
      <c r="E3" s="55" t="s">
        <v>181</v>
      </c>
      <c r="F3" s="52" t="s">
        <v>156</v>
      </c>
      <c r="G3" s="40">
        <v>2</v>
      </c>
      <c r="H3" s="118">
        <f>IF(B$17=0,0,G3/B$17)</f>
        <v>0.5</v>
      </c>
      <c r="I3" s="80">
        <v>11</v>
      </c>
      <c r="K3" s="32">
        <v>1</v>
      </c>
      <c r="L3" s="85">
        <v>60.4</v>
      </c>
      <c r="N3" s="100" t="s">
        <v>104</v>
      </c>
      <c r="O3" s="107">
        <f t="shared" si="0"/>
        <v>-2250</v>
      </c>
      <c r="P3" s="104">
        <v>2</v>
      </c>
      <c r="Q3" s="88">
        <v>-4500</v>
      </c>
    </row>
    <row r="4" spans="1:17">
      <c r="A4" s="47" t="s">
        <v>6</v>
      </c>
      <c r="B4" s="170">
        <v>122.9</v>
      </c>
      <c r="C4" s="171"/>
      <c r="E4" s="55" t="s">
        <v>55</v>
      </c>
      <c r="F4" s="52" t="s">
        <v>155</v>
      </c>
      <c r="G4" s="40">
        <v>2</v>
      </c>
      <c r="H4" s="118">
        <f>IF(B$17=0,0,G4/B$17)</f>
        <v>0.5</v>
      </c>
      <c r="I4" s="80">
        <v>4</v>
      </c>
      <c r="K4" s="32">
        <v>2</v>
      </c>
      <c r="L4" s="85">
        <v>122.9</v>
      </c>
      <c r="N4" s="100" t="s">
        <v>105</v>
      </c>
      <c r="O4" s="107">
        <f t="shared" si="0"/>
        <v>8050</v>
      </c>
      <c r="P4" s="104">
        <v>2</v>
      </c>
      <c r="Q4" s="88">
        <v>16100</v>
      </c>
    </row>
    <row r="5" spans="1:17">
      <c r="A5" s="47" t="s">
        <v>7</v>
      </c>
      <c r="B5" s="172">
        <f>IF(B$2=0,0,B$4/B$2)</f>
        <v>61.45</v>
      </c>
      <c r="C5" s="173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6</v>
      </c>
      <c r="N5" s="100" t="s">
        <v>157</v>
      </c>
      <c r="O5" s="107">
        <f>IF(P5=0,0,Q5/P5)</f>
        <v>0</v>
      </c>
      <c r="P5" s="104">
        <v>2</v>
      </c>
      <c r="Q5" s="88">
        <v>0</v>
      </c>
    </row>
    <row r="6" spans="1:17">
      <c r="A6" s="47" t="s">
        <v>1</v>
      </c>
      <c r="B6" s="174">
        <f>IF(B$2=0,0,(B$7*1+B$8*2+B$9*3+B$10*4)/B$2)</f>
        <v>1</v>
      </c>
      <c r="C6" s="175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10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2</v>
      </c>
      <c r="C7" s="33">
        <f t="shared" ref="C7:C12" si="2">IF(B$2=0,0,B7/B$2)</f>
        <v>1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5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184</v>
      </c>
      <c r="F8" s="52" t="s">
        <v>187</v>
      </c>
      <c r="G8" s="40">
        <v>1</v>
      </c>
      <c r="H8" s="118">
        <f>IF(B$17=0,0,G8/B$17)</f>
        <v>0.25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56</v>
      </c>
      <c r="F10" s="52" t="s">
        <v>185</v>
      </c>
      <c r="G10" s="40">
        <v>0</v>
      </c>
      <c r="H10" s="118">
        <f>IF(B$17=0,0,G10/B$17)</f>
        <v>0</v>
      </c>
      <c r="I10" s="80">
        <v>20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1</v>
      </c>
      <c r="E11" s="55" t="s">
        <v>58</v>
      </c>
      <c r="F11" s="52" t="s">
        <v>22</v>
      </c>
      <c r="G11" s="40">
        <v>0</v>
      </c>
      <c r="H11" s="118">
        <f>IF(B$17=0,0,G11/B$17)</f>
        <v>0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60.4</v>
      </c>
      <c r="P12" s="103">
        <v>1</v>
      </c>
      <c r="Q12" s="91">
        <v>60.4</v>
      </c>
    </row>
    <row r="13" spans="1:17">
      <c r="A13" s="50" t="s">
        <v>97</v>
      </c>
      <c r="B13" s="43">
        <v>2</v>
      </c>
      <c r="C13" s="38">
        <f>IF(B$3=0,0,B13/B$3)</f>
        <v>0.18181818181818182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0.18181818181818182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62.5</v>
      </c>
      <c r="P14" s="104">
        <v>1</v>
      </c>
      <c r="Q14" s="92">
        <v>62.5</v>
      </c>
    </row>
    <row r="15" spans="1:17">
      <c r="A15" s="46" t="s">
        <v>99</v>
      </c>
      <c r="B15" s="39">
        <f>B21</f>
        <v>2</v>
      </c>
      <c r="C15" s="31">
        <f>IF(B$13=0,0,B15/B$13)</f>
        <v>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0.36363636363636365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227</v>
      </c>
      <c r="O18" s="109">
        <f>IF(P18=0,0,Q18/P18)</f>
        <v>92.5</v>
      </c>
      <c r="P18" s="103">
        <v>2</v>
      </c>
      <c r="Q18" s="91">
        <v>185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195</v>
      </c>
      <c r="O19" s="110">
        <f>IF(P19=0,0,Q19/P19)</f>
        <v>88.699999999999989</v>
      </c>
      <c r="P19" s="104">
        <v>2</v>
      </c>
      <c r="Q19" s="92">
        <v>177.39999999999998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213</v>
      </c>
      <c r="O20" s="110">
        <f>IF(P20=0,0,Q20/P20)</f>
        <v>64.599999999999994</v>
      </c>
      <c r="P20" s="104">
        <v>2</v>
      </c>
      <c r="Q20" s="92">
        <v>129.19999999999999</v>
      </c>
    </row>
    <row r="21" spans="1:17">
      <c r="A21" s="47" t="s">
        <v>151</v>
      </c>
      <c r="B21" s="40">
        <v>2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0.25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8800</v>
      </c>
      <c r="C24" s="35">
        <v>35200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7733.333333333333</v>
      </c>
      <c r="C25" s="122">
        <v>23200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12000</v>
      </c>
      <c r="C26" s="122">
        <v>12000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11</v>
      </c>
      <c r="C29" s="120">
        <v>11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60">
        <v>4</v>
      </c>
      <c r="C30" s="161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2">
        <v>42500</v>
      </c>
      <c r="C31" s="163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2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3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3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3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3">
        <v>1</v>
      </c>
      <c r="C40" s="33">
        <f t="shared" si="3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3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3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3">
        <v>0</v>
      </c>
      <c r="C43" s="33">
        <f t="shared" si="3"/>
        <v>0</v>
      </c>
    </row>
    <row r="44" spans="1:9">
      <c r="A44" s="47" t="s">
        <v>144</v>
      </c>
      <c r="B44" s="153">
        <v>0</v>
      </c>
      <c r="C44" s="33">
        <f t="shared" si="3"/>
        <v>0</v>
      </c>
    </row>
    <row r="45" spans="1:9">
      <c r="A45" s="47" t="s">
        <v>145</v>
      </c>
      <c r="B45" s="153">
        <v>0</v>
      </c>
      <c r="C45" s="33">
        <f t="shared" si="3"/>
        <v>0</v>
      </c>
    </row>
    <row r="46" spans="1:9">
      <c r="A46" s="47" t="s">
        <v>146</v>
      </c>
      <c r="B46" s="153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 t="s">
        <v>227</v>
      </c>
      <c r="C1" s="165"/>
      <c r="E1" s="114" t="s">
        <v>129</v>
      </c>
      <c r="F1" s="151" t="s">
        <v>91</v>
      </c>
      <c r="G1" s="150" t="s">
        <v>92</v>
      </c>
      <c r="H1" s="115" t="s">
        <v>93</v>
      </c>
      <c r="I1" s="151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2</v>
      </c>
      <c r="C2" s="167"/>
      <c r="E2" s="54" t="s">
        <v>184</v>
      </c>
      <c r="F2" s="51" t="s">
        <v>187</v>
      </c>
      <c r="G2" s="39">
        <v>2</v>
      </c>
      <c r="H2" s="117">
        <f>IF(B$17=0,0,G2/B$17)</f>
        <v>2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-13650</v>
      </c>
      <c r="P2" s="103">
        <v>2</v>
      </c>
      <c r="Q2" s="87">
        <v>-27300</v>
      </c>
    </row>
    <row r="3" spans="1:17">
      <c r="A3" s="47" t="s">
        <v>8</v>
      </c>
      <c r="B3" s="168">
        <v>11</v>
      </c>
      <c r="C3" s="169"/>
      <c r="E3" s="55" t="s">
        <v>181</v>
      </c>
      <c r="F3" s="52" t="s">
        <v>156</v>
      </c>
      <c r="G3" s="40">
        <v>1</v>
      </c>
      <c r="H3" s="118">
        <f>IF(B$17=0,0,G3/B$17)</f>
        <v>1</v>
      </c>
      <c r="I3" s="80">
        <v>1</v>
      </c>
      <c r="K3" s="32">
        <v>1</v>
      </c>
      <c r="L3" s="85">
        <v>-64.900000000000006</v>
      </c>
      <c r="N3" s="100" t="s">
        <v>104</v>
      </c>
      <c r="O3" s="107">
        <f t="shared" si="0"/>
        <v>-3750</v>
      </c>
      <c r="P3" s="104">
        <v>2</v>
      </c>
      <c r="Q3" s="88">
        <v>-7500</v>
      </c>
    </row>
    <row r="4" spans="1:17">
      <c r="A4" s="47" t="s">
        <v>6</v>
      </c>
      <c r="B4" s="170">
        <v>-62.100000000000009</v>
      </c>
      <c r="C4" s="171"/>
      <c r="E4" s="55" t="s">
        <v>55</v>
      </c>
      <c r="F4" s="52" t="s">
        <v>155</v>
      </c>
      <c r="G4" s="40">
        <v>1</v>
      </c>
      <c r="H4" s="118">
        <f>IF(B$17=0,0,G4/B$17)</f>
        <v>1</v>
      </c>
      <c r="I4" s="80">
        <v>1</v>
      </c>
      <c r="K4" s="32">
        <v>2</v>
      </c>
      <c r="L4" s="85">
        <v>-62.100000000000009</v>
      </c>
      <c r="N4" s="100" t="s">
        <v>105</v>
      </c>
      <c r="O4" s="107">
        <f t="shared" si="0"/>
        <v>-4650</v>
      </c>
      <c r="P4" s="104">
        <v>2</v>
      </c>
      <c r="Q4" s="88">
        <v>-9300</v>
      </c>
    </row>
    <row r="5" spans="1:17">
      <c r="A5" s="47" t="s">
        <v>7</v>
      </c>
      <c r="B5" s="172">
        <f>IF(B$2=0,0,B$4/B$2)</f>
        <v>-31.050000000000004</v>
      </c>
      <c r="C5" s="173"/>
      <c r="E5" s="55" t="s">
        <v>57</v>
      </c>
      <c r="F5" s="52" t="s">
        <v>21</v>
      </c>
      <c r="G5" s="40">
        <v>1</v>
      </c>
      <c r="H5" s="118">
        <f>IF(B$17=0,0,G5/B$17)</f>
        <v>1</v>
      </c>
      <c r="I5" s="80">
        <v>1</v>
      </c>
      <c r="N5" s="100" t="s">
        <v>157</v>
      </c>
      <c r="O5" s="107">
        <f>IF(P5=0,0,Q5/P5)</f>
        <v>6000</v>
      </c>
      <c r="P5" s="104">
        <v>2</v>
      </c>
      <c r="Q5" s="88">
        <v>12000</v>
      </c>
    </row>
    <row r="6" spans="1:17">
      <c r="A6" s="47" t="s">
        <v>1</v>
      </c>
      <c r="B6" s="174">
        <f>IF(B$2=0,0,(B$7*1+B$8*2+B$9*3+B$10*4)/B$2)</f>
        <v>3</v>
      </c>
      <c r="C6" s="175"/>
      <c r="E6" s="55" t="s">
        <v>59</v>
      </c>
      <c r="F6" s="52" t="s">
        <v>23</v>
      </c>
      <c r="G6" s="40">
        <v>1</v>
      </c>
      <c r="H6" s="118">
        <f>IF(B$17=0,0,G6/B$17)</f>
        <v>1</v>
      </c>
      <c r="I6" s="80">
        <v>1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0</v>
      </c>
      <c r="H7" s="118">
        <f>IF(B$17=0,0,G7/B$17)</f>
        <v>0</v>
      </c>
      <c r="I7" s="80">
        <v>13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54</v>
      </c>
      <c r="F8" s="52" t="s">
        <v>20</v>
      </c>
      <c r="G8" s="40">
        <v>0</v>
      </c>
      <c r="H8" s="118">
        <f>IF(B$17=0,0,G8/B$17)</f>
        <v>0</v>
      </c>
      <c r="I8" s="80">
        <v>20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56</v>
      </c>
      <c r="F9" s="52" t="s">
        <v>185</v>
      </c>
      <c r="G9" s="40">
        <v>0</v>
      </c>
      <c r="H9" s="118">
        <f>IF(B$17=0,0,G9/B$17)</f>
        <v>0</v>
      </c>
      <c r="I9" s="80">
        <v>20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22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0.5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0.18181818181818182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-31.050000000000004</v>
      </c>
      <c r="P13" s="104">
        <v>2</v>
      </c>
      <c r="Q13" s="92">
        <v>-62.100000000000009</v>
      </c>
    </row>
    <row r="14" spans="1:17">
      <c r="A14" s="47" t="s">
        <v>94</v>
      </c>
      <c r="B14" s="40">
        <v>3</v>
      </c>
      <c r="C14" s="33">
        <f>IF(B$3=0,0,B14/B$3)</f>
        <v>0.27272727272727271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9.0909090909090912E-2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5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0.27272727272727271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195</v>
      </c>
      <c r="O18" s="109">
        <f>IF(P18=0,0,Q18/P18)</f>
        <v>-3.8000000000000043</v>
      </c>
      <c r="P18" s="103">
        <v>2</v>
      </c>
      <c r="Q18" s="91">
        <v>-7.6000000000000085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213</v>
      </c>
      <c r="O19" s="110">
        <f>IF(P19=0,0,Q19/P19)</f>
        <v>-27.900000000000002</v>
      </c>
      <c r="P19" s="104">
        <v>2</v>
      </c>
      <c r="Q19" s="92">
        <v>-55.800000000000004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228</v>
      </c>
      <c r="O20" s="110">
        <f>IF(P20=0,0,Q20/P20)</f>
        <v>-92.5</v>
      </c>
      <c r="P20" s="104">
        <v>2</v>
      </c>
      <c r="Q20" s="92">
        <v>-185</v>
      </c>
    </row>
    <row r="21" spans="1:17">
      <c r="A21" s="47" t="s">
        <v>151</v>
      </c>
      <c r="B21" s="40">
        <v>1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12000</v>
      </c>
      <c r="C24" s="35">
        <v>12000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12000</v>
      </c>
      <c r="C25" s="122">
        <v>12000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-9533.3333333333339</v>
      </c>
      <c r="C27" s="122">
        <v>-28600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7</v>
      </c>
    </row>
    <row r="30" spans="1:17">
      <c r="A30" s="76" t="s">
        <v>111</v>
      </c>
      <c r="B30" s="160">
        <v>3</v>
      </c>
      <c r="C30" s="161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2">
        <v>22800</v>
      </c>
      <c r="C31" s="163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2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3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3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3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3">
        <v>1</v>
      </c>
      <c r="C40" s="33">
        <f t="shared" si="3"/>
        <v>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3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3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3">
        <v>0</v>
      </c>
      <c r="C43" s="33">
        <f t="shared" si="3"/>
        <v>0</v>
      </c>
    </row>
    <row r="44" spans="1:9">
      <c r="A44" s="47" t="s">
        <v>144</v>
      </c>
      <c r="B44" s="153">
        <v>0</v>
      </c>
      <c r="C44" s="33">
        <f t="shared" si="3"/>
        <v>0</v>
      </c>
    </row>
    <row r="45" spans="1:9">
      <c r="A45" s="47" t="s">
        <v>145</v>
      </c>
      <c r="B45" s="153">
        <v>0</v>
      </c>
      <c r="C45" s="33">
        <f t="shared" si="3"/>
        <v>0</v>
      </c>
    </row>
    <row r="46" spans="1:9">
      <c r="A46" s="47" t="s">
        <v>146</v>
      </c>
      <c r="B46" s="153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4"/>
      <c r="C1" s="165"/>
      <c r="E1" s="114" t="s">
        <v>129</v>
      </c>
      <c r="F1" s="147" t="s">
        <v>91</v>
      </c>
      <c r="G1" s="146" t="s">
        <v>92</v>
      </c>
      <c r="H1" s="115" t="s">
        <v>93</v>
      </c>
      <c r="I1" s="147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66">
        <v>0</v>
      </c>
      <c r="C2" s="167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0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47" t="s">
        <v>8</v>
      </c>
      <c r="B3" s="168">
        <v>0</v>
      </c>
      <c r="C3" s="169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47" t="s">
        <v>6</v>
      </c>
      <c r="B4" s="170">
        <v>0</v>
      </c>
      <c r="C4" s="171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47" t="s">
        <v>7</v>
      </c>
      <c r="B5" s="172">
        <f>IF(B$2=0,0,B$4/B$2)</f>
        <v>0</v>
      </c>
      <c r="C5" s="173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47" t="s">
        <v>1</v>
      </c>
      <c r="B6" s="174">
        <f>IF(B$2=0,0,(B$7*1+B$8*2+B$9*3+B$10*4)/B$2)</f>
        <v>0</v>
      </c>
      <c r="C6" s="175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0</v>
      </c>
      <c r="C13" s="38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60">
        <v>0</v>
      </c>
      <c r="C30" s="161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62">
        <v>-1000000</v>
      </c>
      <c r="C31" s="163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48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49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49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49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49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49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49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49">
        <v>0</v>
      </c>
      <c r="C43" s="33">
        <f t="shared" si="4"/>
        <v>0</v>
      </c>
    </row>
    <row r="44" spans="1:9">
      <c r="A44" s="47" t="s">
        <v>144</v>
      </c>
      <c r="B44" s="149">
        <v>0</v>
      </c>
      <c r="C44" s="33">
        <f t="shared" si="4"/>
        <v>0</v>
      </c>
    </row>
    <row r="45" spans="1:9">
      <c r="A45" s="47" t="s">
        <v>145</v>
      </c>
      <c r="B45" s="149">
        <v>0</v>
      </c>
      <c r="C45" s="33">
        <f t="shared" si="4"/>
        <v>0</v>
      </c>
    </row>
    <row r="46" spans="1:9">
      <c r="A46" s="47" t="s">
        <v>146</v>
      </c>
      <c r="B46" s="149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64"/>
      <c r="C1" s="165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66">
        <v>0</v>
      </c>
      <c r="C2" s="167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68">
        <v>0</v>
      </c>
      <c r="C3" s="169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70">
        <v>0</v>
      </c>
      <c r="C4" s="171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72">
        <f>IF(B$2=0,0,B$4/B$2)</f>
        <v>0</v>
      </c>
      <c r="C5" s="173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74">
        <f>IF(B$2=0,0,(B$7*1+B$8*2+B$9*3+B$10*4)/B$2)</f>
        <v>0</v>
      </c>
      <c r="C6" s="175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60">
        <v>0</v>
      </c>
      <c r="C30" s="161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62">
        <v>-1000000</v>
      </c>
      <c r="C31" s="163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32</vt:i4>
      </vt:variant>
      <vt:variant>
        <vt:lpstr>名前付き一覧</vt:lpstr>
      </vt:variant>
      <vt:variant>
        <vt:i4>1653</vt:i4>
      </vt:variant>
    </vt:vector>
  </HeadingPairs>
  <TitlesOfParts>
    <vt:vector size="1685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巻島夢樹!アガリ数</vt:lpstr>
      <vt:lpstr>関谷洸佑!アガリ数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西沢武留!アガリ数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巻島夢樹!アガリ率</vt:lpstr>
      <vt:lpstr>関谷洸佑!アガリ率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西沢武留!アガリ率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巻島夢樹!ダマアガリ数</vt:lpstr>
      <vt:lpstr>関谷洸佑!ダマアガリ数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西沢武留!ダマアガリ数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巻島夢樹!ダマアガリ率</vt:lpstr>
      <vt:lpstr>関谷洸佑!ダマアガリ率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西沢武留!ダマアガリ率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巻島夢樹!チョンボ数</vt:lpstr>
      <vt:lpstr>関谷洸佑!チョンボ数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西沢武留!チョンボ数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巻島夢樹!チョンボ率</vt:lpstr>
      <vt:lpstr>関谷洸佑!チョンボ率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西沢武留!チョンボ率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巻島夢樹!ツモ数</vt:lpstr>
      <vt:lpstr>関谷洸佑!ツモ数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西沢武留!ツモ数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巻島夢樹!ツモ率</vt:lpstr>
      <vt:lpstr>関谷洸佑!ツモ率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西沢武留!ツモ率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巻島夢樹!トップ数</vt:lpstr>
      <vt:lpstr>関谷洸佑!トップ数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西沢武留!トップ数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巻島夢樹!トップ率</vt:lpstr>
      <vt:lpstr>関谷洸佑!トップ率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西沢武留!トップ率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巻島夢樹!ふっとび数</vt:lpstr>
      <vt:lpstr>関谷洸佑!ふっとび数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西沢武留!ふっとび数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巻島夢樹!ふっとび率</vt:lpstr>
      <vt:lpstr>関谷洸佑!ふっとび率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西沢武留!ふっとび率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巻島夢樹!ラス数</vt:lpstr>
      <vt:lpstr>関谷洸佑!ラス数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西沢武留!ラス数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巻島夢樹!ラス率</vt:lpstr>
      <vt:lpstr>関谷洸佑!ラス率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西沢武留!ラス率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巻島夢樹!リーチアガリ数</vt:lpstr>
      <vt:lpstr>関谷洸佑!リーチアガリ数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西沢武留!リーチアガリ数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巻島夢樹!リーチアガリ率</vt:lpstr>
      <vt:lpstr>関谷洸佑!リーチアガリ率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西沢武留!リーチアガリ率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巻島夢樹!リーチ数</vt:lpstr>
      <vt:lpstr>関谷洸佑!リーチ数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西沢武留!リーチ数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巻島夢樹!リーチ成功数</vt:lpstr>
      <vt:lpstr>関谷洸佑!リーチ成功数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西沢武留!リーチ成功数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巻島夢樹!リーチ成功率</vt:lpstr>
      <vt:lpstr>関谷洸佑!リーチ成功率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西沢武留!リーチ成功率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巻島夢樹!リーチ率</vt:lpstr>
      <vt:lpstr>関谷洸佑!リーチ率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西沢武留!リーチ率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巻島夢樹!ロン数</vt:lpstr>
      <vt:lpstr>関谷洸佑!ロン数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西沢武留!ロン数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巻島夢樹!ロン率</vt:lpstr>
      <vt:lpstr>関谷洸佑!ロン率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西沢武留!ロン率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巻島夢樹!現行連続アガリ</vt:lpstr>
      <vt:lpstr>関谷洸佑!現行連続アガリ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西沢武留!現行連続アガリ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巻島夢樹!現行連続無放銃</vt:lpstr>
      <vt:lpstr>関谷洸佑!現行連続無放銃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西沢武留!現行連続無放銃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巻島夢樹!最高点</vt:lpstr>
      <vt:lpstr>関谷洸佑!最高点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西沢武留!最高点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巻島夢樹!最大ドラ数</vt:lpstr>
      <vt:lpstr>関谷洸佑!最大ドラ数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西沢武留!最大ドラ数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巻島夢樹!最大点数</vt:lpstr>
      <vt:lpstr>関谷洸佑!最大点数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西沢武留!最大点数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巻島夢樹!三位数</vt:lpstr>
      <vt:lpstr>関谷洸佑!三位数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西沢武留!三位数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巻島夢樹!三位率</vt:lpstr>
      <vt:lpstr>関谷洸佑!三位率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西沢武留!三位率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巻島夢樹!総局数</vt:lpstr>
      <vt:lpstr>関谷洸佑!総局数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西沢武留!総局数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巻島夢樹!対戦数</vt:lpstr>
      <vt:lpstr>関谷洸佑!対戦数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西沢武留!対戦数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巻島夢樹!通算アガリ点</vt:lpstr>
      <vt:lpstr>関谷洸佑!通算アガリ点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西沢武留!通算アガリ点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巻島夢樹!通算スコア</vt:lpstr>
      <vt:lpstr>関谷洸佑!通算スコア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西沢武留!通算スコア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巻島夢樹!通算副露アガリ点</vt:lpstr>
      <vt:lpstr>関谷洸佑!通算副露アガリ点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西沢武留!通算副露アガリ点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巻島夢樹!通算放銃点</vt:lpstr>
      <vt:lpstr>関谷洸佑!通算放銃点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西沢武留!通算放銃点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巻島夢樹!通算門前アガリ点</vt:lpstr>
      <vt:lpstr>関谷洸佑!通算門前アガリ点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西沢武留!通算門前アガリ点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巻島夢樹!二位数</vt:lpstr>
      <vt:lpstr>関谷洸佑!二位数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西沢武留!二位数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巻島夢樹!二位率</vt:lpstr>
      <vt:lpstr>関谷洸佑!二位率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西沢武留!二位率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巻島夢樹!副露アガリ数</vt:lpstr>
      <vt:lpstr>関谷洸佑!副露アガリ数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西沢武留!副露アガリ数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巻島夢樹!副露アガリ点</vt:lpstr>
      <vt:lpstr>関谷洸佑!副露アガリ点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西沢武留!副露アガリ点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巻島夢樹!副露アガリ率</vt:lpstr>
      <vt:lpstr>関谷洸佑!副露アガリ率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西沢武留!副露アガリ率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巻島夢樹!副露数</vt:lpstr>
      <vt:lpstr>関谷洸佑!副露数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西沢武留!副露数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巻島夢樹!副露成功数</vt:lpstr>
      <vt:lpstr>関谷洸佑!副露成功数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西沢武留!副露成功数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巻島夢樹!副露成功率</vt:lpstr>
      <vt:lpstr>関谷洸佑!副露成功率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西沢武留!副露成功率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巻島夢樹!副露率</vt:lpstr>
      <vt:lpstr>関谷洸佑!副露率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西沢武留!副露率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巻島夢樹!平均アガリ点</vt:lpstr>
      <vt:lpstr>関谷洸佑!平均アガリ点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西沢武留!平均アガリ点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巻島夢樹!平均スコア</vt:lpstr>
      <vt:lpstr>関谷洸佑!平均スコア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西沢武留!平均スコア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巻島夢樹!平均順位</vt:lpstr>
      <vt:lpstr>関谷洸佑!平均順位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西沢武留!平均順位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巻島夢樹!平均放銃点</vt:lpstr>
      <vt:lpstr>関谷洸佑!平均放銃点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西沢武留!平均放銃点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巻島夢樹!放銃数</vt:lpstr>
      <vt:lpstr>関谷洸佑!放銃数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西沢武留!放銃数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巻島夢樹!放銃率</vt:lpstr>
      <vt:lpstr>関谷洸佑!放銃率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西沢武留!放銃率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巻島夢樹!名前</vt:lpstr>
      <vt:lpstr>関谷洸佑!名前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西沢武留!名前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巻島夢樹!門前アガリ点</vt:lpstr>
      <vt:lpstr>関谷洸佑!門前アガリ点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西沢武留!門前アガリ点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巻島夢樹!連続アガリ</vt:lpstr>
      <vt:lpstr>関谷洸佑!連続アガリ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西沢武留!連続アガリ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巻島夢樹!連続無放銃</vt:lpstr>
      <vt:lpstr>関谷洸佑!連続無放銃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西沢武留!連続無放銃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巻島夢樹!連対数</vt:lpstr>
      <vt:lpstr>関谷洸佑!連対数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西沢武留!連対数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巻島夢樹!連対率</vt:lpstr>
      <vt:lpstr>関谷洸佑!連対率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西沢武留!連対率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dcterms:created xsi:type="dcterms:W3CDTF">2018-11-18T09:24:12Z</dcterms:created>
  <dcterms:modified xsi:type="dcterms:W3CDTF">2022-06-23T09:50:14Z</dcterms:modified>
</cp:coreProperties>
</file>