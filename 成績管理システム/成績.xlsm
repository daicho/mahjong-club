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A46C822C-5261-478E-8B28-0AB00477B30D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Template" sheetId="2228" state="hidden" r:id="rId1"/>
    <sheet name="Cache" sheetId="2227" state="hidden" r:id="rId2"/>
    <sheet name="Players" sheetId="3285" state="hidden" r:id="rId3"/>
    <sheet name="ランキング" sheetId="3332" r:id="rId4"/>
    <sheet name="全体" sheetId="3351" r:id="rId5"/>
    <sheet name="松澤亮太" sheetId="3352" r:id="rId6"/>
    <sheet name="滝沢悠人" sheetId="3353" r:id="rId7"/>
    <sheet name="大池陸斗" sheetId="3354" r:id="rId8"/>
    <sheet name="百瀬成空" sheetId="3355" r:id="rId9"/>
    <sheet name="佐藤成浩" sheetId="3356" r:id="rId10"/>
    <sheet name="依田幸憲" sheetId="3357" r:id="rId11"/>
    <sheet name="保谷一貴" sheetId="3358" r:id="rId12"/>
    <sheet name="高野源太" sheetId="3359" r:id="rId13"/>
  </sheets>
  <definedNames>
    <definedName name="アガリ数" localSheetId="10">依田幸憲!$B$19</definedName>
    <definedName name="アガリ数" localSheetId="12">高野源太!$B$19</definedName>
    <definedName name="アガリ数" localSheetId="9">佐藤成浩!$B$19</definedName>
    <definedName name="アガリ数" localSheetId="5">松澤亮太!$B$19</definedName>
    <definedName name="アガリ数" localSheetId="4">全体!$B$19</definedName>
    <definedName name="アガリ数" localSheetId="7">大池陸斗!$B$19</definedName>
    <definedName name="アガリ数" localSheetId="6">滝沢悠人!$B$19</definedName>
    <definedName name="アガリ数" localSheetId="8">百瀬成空!$B$19</definedName>
    <definedName name="アガリ数" localSheetId="11">保谷一貴!$B$19</definedName>
    <definedName name="アガリ数">Template!$B$19</definedName>
    <definedName name="アガリ率" localSheetId="10">依田幸憲!$C$19</definedName>
    <definedName name="アガリ率" localSheetId="12">高野源太!$C$19</definedName>
    <definedName name="アガリ率" localSheetId="9">佐藤成浩!$C$19</definedName>
    <definedName name="アガリ率" localSheetId="5">松澤亮太!$C$19</definedName>
    <definedName name="アガリ率" localSheetId="4">全体!$C$19</definedName>
    <definedName name="アガリ率" localSheetId="7">大池陸斗!$C$19</definedName>
    <definedName name="アガリ率" localSheetId="6">滝沢悠人!$C$19</definedName>
    <definedName name="アガリ率" localSheetId="8">百瀬成空!$C$19</definedName>
    <definedName name="アガリ率" localSheetId="11">保谷一貴!$C$19</definedName>
    <definedName name="アガリ率">Template!$C$19</definedName>
    <definedName name="チョンボ数" localSheetId="10">依田幸憲!$B$29</definedName>
    <definedName name="チョンボ数" localSheetId="12">高野源太!$B$29</definedName>
    <definedName name="チョンボ数" localSheetId="9">佐藤成浩!$B$29</definedName>
    <definedName name="チョンボ数" localSheetId="5">松澤亮太!$B$29</definedName>
    <definedName name="チョンボ数" localSheetId="4">全体!$B$29</definedName>
    <definedName name="チョンボ数" localSheetId="7">大池陸斗!$B$29</definedName>
    <definedName name="チョンボ数" localSheetId="6">滝沢悠人!$B$29</definedName>
    <definedName name="チョンボ数" localSheetId="8">百瀬成空!$B$29</definedName>
    <definedName name="チョンボ数" localSheetId="11">保谷一貴!$B$29</definedName>
    <definedName name="チョンボ数">Template!$B$29</definedName>
    <definedName name="チョンボ率" localSheetId="10">依田幸憲!$C$29</definedName>
    <definedName name="チョンボ率" localSheetId="12">高野源太!$C$29</definedName>
    <definedName name="チョンボ率" localSheetId="9">佐藤成浩!$C$29</definedName>
    <definedName name="チョンボ率" localSheetId="5">松澤亮太!$C$29</definedName>
    <definedName name="チョンボ率" localSheetId="4">全体!$C$29</definedName>
    <definedName name="チョンボ率" localSheetId="7">大池陸斗!$C$29</definedName>
    <definedName name="チョンボ率" localSheetId="6">滝沢悠人!$C$29</definedName>
    <definedName name="チョンボ率" localSheetId="8">百瀬成空!$C$29</definedName>
    <definedName name="チョンボ率" localSheetId="11">保谷一貴!$C$29</definedName>
    <definedName name="チョンボ率">Template!$C$29</definedName>
    <definedName name="ツモ数" localSheetId="10">依田幸憲!$B$20</definedName>
    <definedName name="ツモ数" localSheetId="12">高野源太!$B$20</definedName>
    <definedName name="ツモ数" localSheetId="9">佐藤成浩!$B$20</definedName>
    <definedName name="ツモ数" localSheetId="5">松澤亮太!$B$20</definedName>
    <definedName name="ツモ数" localSheetId="4">全体!$B$20</definedName>
    <definedName name="ツモ数" localSheetId="7">大池陸斗!$B$20</definedName>
    <definedName name="ツモ数" localSheetId="6">滝沢悠人!$B$20</definedName>
    <definedName name="ツモ数" localSheetId="8">百瀬成空!$B$20</definedName>
    <definedName name="ツモ数" localSheetId="11">保谷一貴!$B$20</definedName>
    <definedName name="ツモ数">Template!$B$20</definedName>
    <definedName name="ツモ率" localSheetId="10">依田幸憲!$C$20</definedName>
    <definedName name="ツモ率" localSheetId="12">高野源太!$C$20</definedName>
    <definedName name="ツモ率" localSheetId="9">佐藤成浩!$C$20</definedName>
    <definedName name="ツモ率" localSheetId="5">松澤亮太!$C$20</definedName>
    <definedName name="ツモ率" localSheetId="4">全体!$C$20</definedName>
    <definedName name="ツモ率" localSheetId="7">大池陸斗!$C$20</definedName>
    <definedName name="ツモ率" localSheetId="6">滝沢悠人!$C$20</definedName>
    <definedName name="ツモ率" localSheetId="8">百瀬成空!$C$20</definedName>
    <definedName name="ツモ率" localSheetId="11">保谷一貴!$C$20</definedName>
    <definedName name="ツモ率">Template!$C$20</definedName>
    <definedName name="トップ数" localSheetId="10">依田幸憲!$B$7</definedName>
    <definedName name="トップ数" localSheetId="12">高野源太!$B$7</definedName>
    <definedName name="トップ数" localSheetId="9">佐藤成浩!$B$7</definedName>
    <definedName name="トップ数" localSheetId="5">松澤亮太!$B$7</definedName>
    <definedName name="トップ数" localSheetId="4">全体!$B$7</definedName>
    <definedName name="トップ数" localSheetId="7">大池陸斗!$B$7</definedName>
    <definedName name="トップ数" localSheetId="6">滝沢悠人!$B$7</definedName>
    <definedName name="トップ数" localSheetId="8">百瀬成空!$B$7</definedName>
    <definedName name="トップ数" localSheetId="11">保谷一貴!$B$7</definedName>
    <definedName name="トップ数">Template!$B$7</definedName>
    <definedName name="トップ率" localSheetId="10">依田幸憲!$C$7</definedName>
    <definedName name="トップ率" localSheetId="12">高野源太!$C$7</definedName>
    <definedName name="トップ率" localSheetId="9">佐藤成浩!$C$7</definedName>
    <definedName name="トップ率" localSheetId="5">松澤亮太!$C$7</definedName>
    <definedName name="トップ率" localSheetId="4">全体!$C$7</definedName>
    <definedName name="トップ率" localSheetId="7">大池陸斗!$C$7</definedName>
    <definedName name="トップ率" localSheetId="6">滝沢悠人!$C$7</definedName>
    <definedName name="トップ率" localSheetId="8">百瀬成空!$C$7</definedName>
    <definedName name="トップ率" localSheetId="11">保谷一貴!$C$7</definedName>
    <definedName name="トップ率">Template!$C$7</definedName>
    <definedName name="ふっとばし数" localSheetId="10">依田幸憲!$B$13</definedName>
    <definedName name="ふっとばし数" localSheetId="12">高野源太!$B$13</definedName>
    <definedName name="ふっとばし数" localSheetId="9">佐藤成浩!$B$13</definedName>
    <definedName name="ふっとばし数" localSheetId="5">松澤亮太!$B$13</definedName>
    <definedName name="ふっとばし数" localSheetId="4">全体!$B$13</definedName>
    <definedName name="ふっとばし数" localSheetId="7">大池陸斗!$B$13</definedName>
    <definedName name="ふっとばし数" localSheetId="6">滝沢悠人!$B$13</definedName>
    <definedName name="ふっとばし数" localSheetId="8">百瀬成空!$B$13</definedName>
    <definedName name="ふっとばし数" localSheetId="11">保谷一貴!$B$13</definedName>
    <definedName name="ふっとばし数">Template!$B$13</definedName>
    <definedName name="ふっとばし率" localSheetId="10">依田幸憲!$C$13</definedName>
    <definedName name="ふっとばし率" localSheetId="12">高野源太!$C$13</definedName>
    <definedName name="ふっとばし率" localSheetId="9">佐藤成浩!$C$13</definedName>
    <definedName name="ふっとばし率" localSheetId="5">松澤亮太!$C$13</definedName>
    <definedName name="ふっとばし率" localSheetId="4">全体!$C$13</definedName>
    <definedName name="ふっとばし率" localSheetId="7">大池陸斗!$C$13</definedName>
    <definedName name="ふっとばし率" localSheetId="6">滝沢悠人!$C$13</definedName>
    <definedName name="ふっとばし率" localSheetId="8">百瀬成空!$C$13</definedName>
    <definedName name="ふっとばし率" localSheetId="11">保谷一貴!$C$13</definedName>
    <definedName name="ふっとばし率">Template!$C$13</definedName>
    <definedName name="ふっとび数" localSheetId="10">依田幸憲!$B$12</definedName>
    <definedName name="ふっとび数" localSheetId="12">高野源太!$B$12</definedName>
    <definedName name="ふっとび数" localSheetId="9">佐藤成浩!$B$12</definedName>
    <definedName name="ふっとび数" localSheetId="5">松澤亮太!$B$12</definedName>
    <definedName name="ふっとび数" localSheetId="4">全体!$B$12</definedName>
    <definedName name="ふっとび数" localSheetId="7">大池陸斗!$B$12</definedName>
    <definedName name="ふっとび数" localSheetId="6">滝沢悠人!$B$12</definedName>
    <definedName name="ふっとび数" localSheetId="8">百瀬成空!$B$12</definedName>
    <definedName name="ふっとび数" localSheetId="11">保谷一貴!$B$12</definedName>
    <definedName name="ふっとび数">Template!$B$12</definedName>
    <definedName name="ふっとび率" localSheetId="10">依田幸憲!$C$12</definedName>
    <definedName name="ふっとび率" localSheetId="12">高野源太!$C$12</definedName>
    <definedName name="ふっとび率" localSheetId="9">佐藤成浩!$C$12</definedName>
    <definedName name="ふっとび率" localSheetId="5">松澤亮太!$C$12</definedName>
    <definedName name="ふっとび率" localSheetId="4">全体!$C$12</definedName>
    <definedName name="ふっとび率" localSheetId="7">大池陸斗!$C$12</definedName>
    <definedName name="ふっとび率" localSheetId="6">滝沢悠人!$C$12</definedName>
    <definedName name="ふっとび率" localSheetId="8">百瀬成空!$C$12</definedName>
    <definedName name="ふっとび率" localSheetId="11">保谷一貴!$C$12</definedName>
    <definedName name="ふっとび率">Template!$C$12</definedName>
    <definedName name="ラス率" localSheetId="10">依田幸憲!$C$10</definedName>
    <definedName name="ラス率" localSheetId="12">高野源太!$C$10</definedName>
    <definedName name="ラス率" localSheetId="9">佐藤成浩!$C$10</definedName>
    <definedName name="ラス率" localSheetId="5">松澤亮太!$C$10</definedName>
    <definedName name="ラス率" localSheetId="4">全体!$C$10</definedName>
    <definedName name="ラス率" localSheetId="7">大池陸斗!$C$10</definedName>
    <definedName name="ラス率" localSheetId="6">滝沢悠人!$C$10</definedName>
    <definedName name="ラス率" localSheetId="8">百瀬成空!$C$10</definedName>
    <definedName name="ラス率" localSheetId="11">保谷一貴!$C$10</definedName>
    <definedName name="ラス率">Template!$C$10</definedName>
    <definedName name="リーチ数" localSheetId="10">依田幸憲!$B$15</definedName>
    <definedName name="リーチ数" localSheetId="12">高野源太!$B$15</definedName>
    <definedName name="リーチ数" localSheetId="9">佐藤成浩!$B$15</definedName>
    <definedName name="リーチ数" localSheetId="5">松澤亮太!$B$15</definedName>
    <definedName name="リーチ数" localSheetId="4">全体!$B$15</definedName>
    <definedName name="リーチ数" localSheetId="7">大池陸斗!$B$15</definedName>
    <definedName name="リーチ数" localSheetId="6">滝沢悠人!$B$15</definedName>
    <definedName name="リーチ数" localSheetId="8">百瀬成空!$B$15</definedName>
    <definedName name="リーチ数" localSheetId="11">保谷一貴!$B$15</definedName>
    <definedName name="リーチ数">Template!$B$15</definedName>
    <definedName name="リーチ成功数" localSheetId="10">依田幸憲!$B$17</definedName>
    <definedName name="リーチ成功数" localSheetId="12">高野源太!$B$17</definedName>
    <definedName name="リーチ成功数" localSheetId="9">佐藤成浩!$B$17</definedName>
    <definedName name="リーチ成功数" localSheetId="5">松澤亮太!$B$17</definedName>
    <definedName name="リーチ成功数" localSheetId="4">全体!$B$17</definedName>
    <definedName name="リーチ成功数" localSheetId="7">大池陸斗!$B$17</definedName>
    <definedName name="リーチ成功数" localSheetId="6">滝沢悠人!$B$17</definedName>
    <definedName name="リーチ成功数" localSheetId="8">百瀬成空!$B$17</definedName>
    <definedName name="リーチ成功数" localSheetId="11">保谷一貴!$B$17</definedName>
    <definedName name="リーチ成功数">Template!$B$17</definedName>
    <definedName name="リーチ成功率" localSheetId="10">依田幸憲!$C$17</definedName>
    <definedName name="リーチ成功率" localSheetId="12">高野源太!$C$17</definedName>
    <definedName name="リーチ成功率" localSheetId="9">佐藤成浩!$C$17</definedName>
    <definedName name="リーチ成功率" localSheetId="5">松澤亮太!$C$17</definedName>
    <definedName name="リーチ成功率" localSheetId="4">全体!$C$17</definedName>
    <definedName name="リーチ成功率" localSheetId="7">大池陸斗!$C$17</definedName>
    <definedName name="リーチ成功率" localSheetId="6">滝沢悠人!$C$17</definedName>
    <definedName name="リーチ成功率" localSheetId="8">百瀬成空!$C$17</definedName>
    <definedName name="リーチ成功率" localSheetId="11">保谷一貴!$C$17</definedName>
    <definedName name="リーチ成功率">Template!$C$17</definedName>
    <definedName name="リーチ率" localSheetId="10">依田幸憲!$C$15</definedName>
    <definedName name="リーチ率" localSheetId="12">高野源太!$C$15</definedName>
    <definedName name="リーチ率" localSheetId="9">佐藤成浩!$C$15</definedName>
    <definedName name="リーチ率" localSheetId="5">松澤亮太!$C$15</definedName>
    <definedName name="リーチ率" localSheetId="4">全体!$C$15</definedName>
    <definedName name="リーチ率" localSheetId="7">大池陸斗!$C$15</definedName>
    <definedName name="リーチ率" localSheetId="6">滝沢悠人!$C$15</definedName>
    <definedName name="リーチ率" localSheetId="8">百瀬成空!$C$15</definedName>
    <definedName name="リーチ率" localSheetId="11">保谷一貴!$C$15</definedName>
    <definedName name="リーチ率">Template!$C$15</definedName>
    <definedName name="ロン数" localSheetId="10">依田幸憲!$B$21</definedName>
    <definedName name="ロン数" localSheetId="12">高野源太!$B$21</definedName>
    <definedName name="ロン数" localSheetId="9">佐藤成浩!$B$21</definedName>
    <definedName name="ロン数" localSheetId="5">松澤亮太!$B$21</definedName>
    <definedName name="ロン数" localSheetId="4">全体!$B$21</definedName>
    <definedName name="ロン数" localSheetId="7">大池陸斗!$B$21</definedName>
    <definedName name="ロン数" localSheetId="6">滝沢悠人!$B$21</definedName>
    <definedName name="ロン数" localSheetId="8">百瀬成空!$B$21</definedName>
    <definedName name="ロン数" localSheetId="11">保谷一貴!$B$21</definedName>
    <definedName name="ロン数">Template!$B$21</definedName>
    <definedName name="ロン率" localSheetId="10">依田幸憲!$C$21</definedName>
    <definedName name="ロン率" localSheetId="12">高野源太!$C$21</definedName>
    <definedName name="ロン率" localSheetId="9">佐藤成浩!$C$21</definedName>
    <definedName name="ロン率" localSheetId="5">松澤亮太!$C$21</definedName>
    <definedName name="ロン率" localSheetId="4">全体!$C$21</definedName>
    <definedName name="ロン率" localSheetId="7">大池陸斗!$C$21</definedName>
    <definedName name="ロン率" localSheetId="6">滝沢悠人!$C$21</definedName>
    <definedName name="ロン率" localSheetId="8">百瀬成空!$C$21</definedName>
    <definedName name="ロン率" localSheetId="11">保谷一貴!$C$21</definedName>
    <definedName name="ロン率">Template!$C$21</definedName>
    <definedName name="逆転数" localSheetId="10">依田幸憲!$B$14</definedName>
    <definedName name="逆転数" localSheetId="12">高野源太!$B$14</definedName>
    <definedName name="逆転数" localSheetId="9">佐藤成浩!$B$14</definedName>
    <definedName name="逆転数" localSheetId="5">松澤亮太!$B$14</definedName>
    <definedName name="逆転数" localSheetId="4">全体!$B$14</definedName>
    <definedName name="逆転数" localSheetId="7">大池陸斗!$B$14</definedName>
    <definedName name="逆転数" localSheetId="6">滝沢悠人!$B$14</definedName>
    <definedName name="逆転数" localSheetId="8">百瀬成空!$B$14</definedName>
    <definedName name="逆転数" localSheetId="11">保谷一貴!$B$14</definedName>
    <definedName name="逆転数">Template!$B$14</definedName>
    <definedName name="逆転率" localSheetId="10">依田幸憲!$C$14</definedName>
    <definedName name="逆転率" localSheetId="12">高野源太!$C$14</definedName>
    <definedName name="逆転率" localSheetId="9">佐藤成浩!$C$14</definedName>
    <definedName name="逆転率" localSheetId="5">松澤亮太!$C$14</definedName>
    <definedName name="逆転率" localSheetId="4">全体!$C$14</definedName>
    <definedName name="逆転率" localSheetId="7">大池陸斗!$C$14</definedName>
    <definedName name="逆転率" localSheetId="6">滝沢悠人!$C$14</definedName>
    <definedName name="逆転率" localSheetId="8">百瀬成空!$C$14</definedName>
    <definedName name="逆転率" localSheetId="11">保谷一貴!$C$14</definedName>
    <definedName name="逆転率">Template!$C$14</definedName>
    <definedName name="最高点" localSheetId="10">依田幸憲!$B$28</definedName>
    <definedName name="最高点" localSheetId="12">高野源太!$B$28</definedName>
    <definedName name="最高点" localSheetId="9">佐藤成浩!$B$28</definedName>
    <definedName name="最高点" localSheetId="5">松澤亮太!$B$28</definedName>
    <definedName name="最高点" localSheetId="4">全体!$B$28</definedName>
    <definedName name="最高点" localSheetId="7">大池陸斗!$B$28</definedName>
    <definedName name="最高点" localSheetId="6">滝沢悠人!$B$28</definedName>
    <definedName name="最高点" localSheetId="8">百瀬成空!$B$28</definedName>
    <definedName name="最高点" localSheetId="11">保谷一貴!$B$28</definedName>
    <definedName name="最高点">Template!$B$28</definedName>
    <definedName name="最大ドラ数" localSheetId="10">依田幸憲!$B$27</definedName>
    <definedName name="最大ドラ数" localSheetId="12">高野源太!$B$27</definedName>
    <definedName name="最大ドラ数" localSheetId="9">佐藤成浩!$B$27</definedName>
    <definedName name="最大ドラ数" localSheetId="5">松澤亮太!$B$27</definedName>
    <definedName name="最大ドラ数" localSheetId="4">全体!$B$27</definedName>
    <definedName name="最大ドラ数" localSheetId="7">大池陸斗!$B$27</definedName>
    <definedName name="最大ドラ数" localSheetId="6">滝沢悠人!$B$27</definedName>
    <definedName name="最大ドラ数" localSheetId="8">百瀬成空!$B$27</definedName>
    <definedName name="最大ドラ数" localSheetId="11">保谷一貴!$B$27</definedName>
    <definedName name="最大ドラ数">Template!$B$27</definedName>
    <definedName name="最大点数" localSheetId="10">依田幸憲!$B$28</definedName>
    <definedName name="最大点数" localSheetId="12">高野源太!$B$28</definedName>
    <definedName name="最大点数" localSheetId="9">佐藤成浩!$B$28</definedName>
    <definedName name="最大点数" localSheetId="5">松澤亮太!$B$28</definedName>
    <definedName name="最大点数" localSheetId="4">全体!$B$28</definedName>
    <definedName name="最大点数" localSheetId="7">大池陸斗!$B$28</definedName>
    <definedName name="最大点数" localSheetId="6">滝沢悠人!$B$28</definedName>
    <definedName name="最大点数" localSheetId="8">百瀬成空!$B$28</definedName>
    <definedName name="最大点数" localSheetId="11">保谷一貴!$B$28</definedName>
    <definedName name="最大点数">Template!$B$28</definedName>
    <definedName name="総局数" localSheetId="10">依田幸憲!$B$3</definedName>
    <definedName name="総局数" localSheetId="12">高野源太!$B$3</definedName>
    <definedName name="総局数" localSheetId="9">佐藤成浩!$B$3</definedName>
    <definedName name="総局数" localSheetId="5">松澤亮太!$B$3</definedName>
    <definedName name="総局数" localSheetId="4">全体!$B$3</definedName>
    <definedName name="総局数" localSheetId="7">大池陸斗!$B$3</definedName>
    <definedName name="総局数" localSheetId="6">滝沢悠人!$B$3</definedName>
    <definedName name="総局数" localSheetId="8">百瀬成空!$B$3</definedName>
    <definedName name="総局数" localSheetId="11">保谷一貴!$B$3</definedName>
    <definedName name="総局数">Template!$B$3</definedName>
    <definedName name="対戦数" localSheetId="10">依田幸憲!$B$2</definedName>
    <definedName name="対戦数" localSheetId="12">高野源太!$B$2</definedName>
    <definedName name="対戦数" localSheetId="9">佐藤成浩!$B$2</definedName>
    <definedName name="対戦数" localSheetId="5">松澤亮太!$B$2</definedName>
    <definedName name="対戦数" localSheetId="4">全体!$B$2</definedName>
    <definedName name="対戦数" localSheetId="7">大池陸斗!$B$2</definedName>
    <definedName name="対戦数" localSheetId="6">滝沢悠人!$B$2</definedName>
    <definedName name="対戦数" localSheetId="8">百瀬成空!$B$2</definedName>
    <definedName name="対戦数" localSheetId="11">保谷一貴!$B$2</definedName>
    <definedName name="対戦数">Template!$B$2</definedName>
    <definedName name="通算スコア" localSheetId="10">依田幸憲!$B$4</definedName>
    <definedName name="通算スコア" localSheetId="12">高野源太!$B$4</definedName>
    <definedName name="通算スコア" localSheetId="9">佐藤成浩!$B$4</definedName>
    <definedName name="通算スコア" localSheetId="5">松澤亮太!$B$4</definedName>
    <definedName name="通算スコア" localSheetId="4">全体!$B$4</definedName>
    <definedName name="通算スコア" localSheetId="7">大池陸斗!$B$4</definedName>
    <definedName name="通算スコア" localSheetId="6">滝沢悠人!$B$4</definedName>
    <definedName name="通算スコア" localSheetId="8">百瀬成空!$B$4</definedName>
    <definedName name="通算スコア" localSheetId="11">保谷一貴!$B$4</definedName>
    <definedName name="通算スコア">Template!$B$4</definedName>
    <definedName name="副露数" localSheetId="10">依田幸憲!$B$16</definedName>
    <definedName name="副露数" localSheetId="12">高野源太!$B$16</definedName>
    <definedName name="副露数" localSheetId="9">佐藤成浩!$B$16</definedName>
    <definedName name="副露数" localSheetId="5">松澤亮太!$B$16</definedName>
    <definedName name="副露数" localSheetId="4">全体!$B$16</definedName>
    <definedName name="副露数" localSheetId="7">大池陸斗!$B$16</definedName>
    <definedName name="副露数" localSheetId="6">滝沢悠人!$B$16</definedName>
    <definedName name="副露数" localSheetId="8">百瀬成空!$B$16</definedName>
    <definedName name="副露数" localSheetId="11">保谷一貴!$B$16</definedName>
    <definedName name="副露数">Template!$B$16</definedName>
    <definedName name="副露成功数" localSheetId="10">依田幸憲!$B$18</definedName>
    <definedName name="副露成功数" localSheetId="12">高野源太!$B$18</definedName>
    <definedName name="副露成功数" localSheetId="9">佐藤成浩!$B$18</definedName>
    <definedName name="副露成功数" localSheetId="5">松澤亮太!$B$18</definedName>
    <definedName name="副露成功数" localSheetId="4">全体!$B$18</definedName>
    <definedName name="副露成功数" localSheetId="7">大池陸斗!$B$18</definedName>
    <definedName name="副露成功数" localSheetId="6">滝沢悠人!$B$18</definedName>
    <definedName name="副露成功数" localSheetId="8">百瀬成空!$B$18</definedName>
    <definedName name="副露成功数" localSheetId="11">保谷一貴!$B$18</definedName>
    <definedName name="副露成功数">Template!$B$18</definedName>
    <definedName name="副露成功率" localSheetId="10">依田幸憲!$C$18</definedName>
    <definedName name="副露成功率" localSheetId="12">高野源太!$C$18</definedName>
    <definedName name="副露成功率" localSheetId="9">佐藤成浩!$C$18</definedName>
    <definedName name="副露成功率" localSheetId="5">松澤亮太!$C$18</definedName>
    <definedName name="副露成功率" localSheetId="4">全体!$C$18</definedName>
    <definedName name="副露成功率" localSheetId="7">大池陸斗!$C$18</definedName>
    <definedName name="副露成功率" localSheetId="6">滝沢悠人!$C$18</definedName>
    <definedName name="副露成功率" localSheetId="8">百瀬成空!$C$18</definedName>
    <definedName name="副露成功率" localSheetId="11">保谷一貴!$C$18</definedName>
    <definedName name="副露成功率">Template!$C$18</definedName>
    <definedName name="副露率" localSheetId="10">依田幸憲!$C$16</definedName>
    <definedName name="副露率" localSheetId="12">高野源太!$C$16</definedName>
    <definedName name="副露率" localSheetId="9">佐藤成浩!$C$16</definedName>
    <definedName name="副露率" localSheetId="5">松澤亮太!$C$16</definedName>
    <definedName name="副露率" localSheetId="4">全体!$C$16</definedName>
    <definedName name="副露率" localSheetId="7">大池陸斗!$C$16</definedName>
    <definedName name="副露率" localSheetId="6">滝沢悠人!$C$16</definedName>
    <definedName name="副露率" localSheetId="8">百瀬成空!$C$16</definedName>
    <definedName name="副露率" localSheetId="11">保谷一貴!$C$16</definedName>
    <definedName name="副露率">Template!$C$16</definedName>
    <definedName name="平均アガリ点" localSheetId="10">依田幸憲!$B$25</definedName>
    <definedName name="平均アガリ点" localSheetId="12">高野源太!$B$25</definedName>
    <definedName name="平均アガリ点" localSheetId="9">佐藤成浩!$B$25</definedName>
    <definedName name="平均アガリ点" localSheetId="5">松澤亮太!$B$25</definedName>
    <definedName name="平均アガリ点" localSheetId="4">全体!$B$25</definedName>
    <definedName name="平均アガリ点" localSheetId="7">大池陸斗!$B$25</definedName>
    <definedName name="平均アガリ点" localSheetId="6">滝沢悠人!$B$25</definedName>
    <definedName name="平均アガリ点" localSheetId="8">百瀬成空!$B$25</definedName>
    <definedName name="平均アガリ点" localSheetId="11">保谷一貴!$B$25</definedName>
    <definedName name="平均アガリ点">Template!$B$25</definedName>
    <definedName name="平均スコア" localSheetId="10">依田幸憲!$B$5</definedName>
    <definedName name="平均スコア" localSheetId="12">高野源太!$B$5</definedName>
    <definedName name="平均スコア" localSheetId="9">佐藤成浩!$B$5</definedName>
    <definedName name="平均スコア" localSheetId="5">松澤亮太!$B$5</definedName>
    <definedName name="平均スコア" localSheetId="4">全体!$B$5</definedName>
    <definedName name="平均スコア" localSheetId="7">大池陸斗!$B$5</definedName>
    <definedName name="平均スコア" localSheetId="6">滝沢悠人!$B$5</definedName>
    <definedName name="平均スコア" localSheetId="8">百瀬成空!$B$5</definedName>
    <definedName name="平均スコア" localSheetId="11">保谷一貴!$B$5</definedName>
    <definedName name="平均スコア">Template!$B$5</definedName>
    <definedName name="平均順位" localSheetId="10">依田幸憲!$B$6</definedName>
    <definedName name="平均順位" localSheetId="12">高野源太!$B$6</definedName>
    <definedName name="平均順位" localSheetId="9">佐藤成浩!$B$6</definedName>
    <definedName name="平均順位" localSheetId="5">松澤亮太!$B$6</definedName>
    <definedName name="平均順位" localSheetId="4">全体!$B$6</definedName>
    <definedName name="平均順位" localSheetId="7">大池陸斗!$B$6</definedName>
    <definedName name="平均順位" localSheetId="6">滝沢悠人!$B$6</definedName>
    <definedName name="平均順位" localSheetId="8">百瀬成空!$B$6</definedName>
    <definedName name="平均順位" localSheetId="11">保谷一貴!$B$6</definedName>
    <definedName name="平均順位">Template!$B$6</definedName>
    <definedName name="平均放銃点" localSheetId="10">依田幸憲!$B$26</definedName>
    <definedName name="平均放銃点" localSheetId="12">高野源太!$B$26</definedName>
    <definedName name="平均放銃点" localSheetId="9">佐藤成浩!$B$26</definedName>
    <definedName name="平均放銃点" localSheetId="5">松澤亮太!$B$26</definedName>
    <definedName name="平均放銃点" localSheetId="4">全体!$B$26</definedName>
    <definedName name="平均放銃点" localSheetId="7">大池陸斗!$B$26</definedName>
    <definedName name="平均放銃点" localSheetId="6">滝沢悠人!$B$26</definedName>
    <definedName name="平均放銃点" localSheetId="8">百瀬成空!$B$26</definedName>
    <definedName name="平均放銃点" localSheetId="11">保谷一貴!$B$26</definedName>
    <definedName name="平均放銃点">Template!$B$26</definedName>
    <definedName name="放銃数" localSheetId="10">依田幸憲!$B$22</definedName>
    <definedName name="放銃数" localSheetId="12">高野源太!$B$22</definedName>
    <definedName name="放銃数" localSheetId="9">佐藤成浩!$B$22</definedName>
    <definedName name="放銃数" localSheetId="5">松澤亮太!$B$22</definedName>
    <definedName name="放銃数" localSheetId="4">全体!$B$22</definedName>
    <definedName name="放銃数" localSheetId="7">大池陸斗!$B$22</definedName>
    <definedName name="放銃数" localSheetId="6">滝沢悠人!$B$22</definedName>
    <definedName name="放銃数" localSheetId="8">百瀬成空!$B$22</definedName>
    <definedName name="放銃数" localSheetId="11">保谷一貴!$B$22</definedName>
    <definedName name="放銃数">Template!$B$22</definedName>
    <definedName name="放銃率" localSheetId="10">依田幸憲!$C$22</definedName>
    <definedName name="放銃率" localSheetId="12">高野源太!$C$22</definedName>
    <definedName name="放銃率" localSheetId="9">佐藤成浩!$C$22</definedName>
    <definedName name="放銃率" localSheetId="5">松澤亮太!$C$22</definedName>
    <definedName name="放銃率" localSheetId="4">全体!$C$22</definedName>
    <definedName name="放銃率" localSheetId="7">大池陸斗!$C$22</definedName>
    <definedName name="放銃率" localSheetId="6">滝沢悠人!$C$22</definedName>
    <definedName name="放銃率" localSheetId="8">百瀬成空!$C$22</definedName>
    <definedName name="放銃率" localSheetId="11">保谷一貴!$C$22</definedName>
    <definedName name="放銃率">Template!$C$22</definedName>
    <definedName name="連続アガリ" localSheetId="10">依田幸憲!$B$23</definedName>
    <definedName name="連続アガリ" localSheetId="12">高野源太!$B$23</definedName>
    <definedName name="連続アガリ" localSheetId="9">佐藤成浩!$B$23</definedName>
    <definedName name="連続アガリ" localSheetId="5">松澤亮太!$B$23</definedName>
    <definedName name="連続アガリ" localSheetId="4">全体!$B$23</definedName>
    <definedName name="連続アガリ" localSheetId="7">大池陸斗!$B$23</definedName>
    <definedName name="連続アガリ" localSheetId="6">滝沢悠人!$B$23</definedName>
    <definedName name="連続アガリ" localSheetId="8">百瀬成空!$B$23</definedName>
    <definedName name="連続アガリ" localSheetId="11">保谷一貴!$B$23</definedName>
    <definedName name="連続アガリ">Template!$B$23</definedName>
    <definedName name="連続無放銃" localSheetId="10">依田幸憲!$B$24</definedName>
    <definedName name="連続無放銃" localSheetId="12">高野源太!$B$24</definedName>
    <definedName name="連続無放銃" localSheetId="9">佐藤成浩!$B$24</definedName>
    <definedName name="連続無放銃" localSheetId="5">松澤亮太!$B$24</definedName>
    <definedName name="連続無放銃" localSheetId="4">全体!$B$24</definedName>
    <definedName name="連続無放銃" localSheetId="7">大池陸斗!$B$24</definedName>
    <definedName name="連続無放銃" localSheetId="6">滝沢悠人!$B$24</definedName>
    <definedName name="連続無放銃" localSheetId="8">百瀬成空!$B$24</definedName>
    <definedName name="連続無放銃" localSheetId="11">保谷一貴!$B$24</definedName>
    <definedName name="連続無放銃">Template!$B$24</definedName>
    <definedName name="連対数" localSheetId="10">依田幸憲!$B$11</definedName>
    <definedName name="連対数" localSheetId="12">高野源太!$B$11</definedName>
    <definedName name="連対数" localSheetId="9">佐藤成浩!$B$11</definedName>
    <definedName name="連対数" localSheetId="5">松澤亮太!$B$11</definedName>
    <definedName name="連対数" localSheetId="4">全体!$B$11</definedName>
    <definedName name="連対数" localSheetId="7">大池陸斗!$B$11</definedName>
    <definedName name="連対数" localSheetId="6">滝沢悠人!$B$11</definedName>
    <definedName name="連対数" localSheetId="8">百瀬成空!$B$11</definedName>
    <definedName name="連対数" localSheetId="11">保谷一貴!$B$11</definedName>
    <definedName name="連対数">Template!$B$11</definedName>
    <definedName name="連対率" localSheetId="10">依田幸憲!$C$11</definedName>
    <definedName name="連対率" localSheetId="12">高野源太!$C$11</definedName>
    <definedName name="連対率" localSheetId="9">佐藤成浩!$C$11</definedName>
    <definedName name="連対率" localSheetId="5">松澤亮太!$C$11</definedName>
    <definedName name="連対率" localSheetId="4">全体!$C$11</definedName>
    <definedName name="連対率" localSheetId="7">大池陸斗!$C$11</definedName>
    <definedName name="連対率" localSheetId="6">滝沢悠人!$C$11</definedName>
    <definedName name="連対率" localSheetId="8">百瀬成空!$C$11</definedName>
    <definedName name="連対率" localSheetId="11">保谷一貴!$C$11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3359" l="1"/>
  <c r="O19" i="3359"/>
  <c r="O18" i="3359"/>
  <c r="C29" i="3359"/>
  <c r="B26" i="3359"/>
  <c r="C22" i="3359"/>
  <c r="C19" i="3359"/>
  <c r="B19" i="3359"/>
  <c r="H45" i="3359" s="1"/>
  <c r="C18" i="3359"/>
  <c r="C17" i="3359"/>
  <c r="C16" i="3359"/>
  <c r="O15" i="3359"/>
  <c r="C15" i="3359"/>
  <c r="O14" i="3359"/>
  <c r="C14" i="3359"/>
  <c r="O13" i="3359"/>
  <c r="C13" i="3359"/>
  <c r="O12" i="3359"/>
  <c r="C12" i="3359"/>
  <c r="B11" i="3359"/>
  <c r="C11" i="3359" s="1"/>
  <c r="C10" i="3359"/>
  <c r="O9" i="3359"/>
  <c r="C9" i="3359"/>
  <c r="O8" i="3359"/>
  <c r="H10" i="3359"/>
  <c r="C8" i="3359"/>
  <c r="O7" i="3359"/>
  <c r="C7" i="3359"/>
  <c r="O6" i="3359"/>
  <c r="B6" i="3359"/>
  <c r="O5" i="3359"/>
  <c r="B5" i="3359"/>
  <c r="O4" i="3359"/>
  <c r="H6" i="3359"/>
  <c r="O3" i="3359"/>
  <c r="O2" i="3359"/>
  <c r="H3" i="3359"/>
  <c r="O20" i="3358"/>
  <c r="O19" i="3358"/>
  <c r="O18" i="3358"/>
  <c r="C29" i="3358"/>
  <c r="B26" i="3358"/>
  <c r="C22" i="3358"/>
  <c r="B19" i="3358"/>
  <c r="H44" i="3358" s="1"/>
  <c r="C18" i="3358"/>
  <c r="C17" i="3358"/>
  <c r="C16" i="3358"/>
  <c r="O15" i="3358"/>
  <c r="C15" i="3358"/>
  <c r="O14" i="3358"/>
  <c r="C14" i="3358"/>
  <c r="O13" i="3358"/>
  <c r="C13" i="3358"/>
  <c r="O12" i="3358"/>
  <c r="H13" i="3358"/>
  <c r="C12" i="3358"/>
  <c r="B11" i="3358"/>
  <c r="C11" i="3358" s="1"/>
  <c r="C10" i="3358"/>
  <c r="O9" i="3358"/>
  <c r="H10" i="3358"/>
  <c r="C9" i="3358"/>
  <c r="O8" i="3358"/>
  <c r="C8" i="3358"/>
  <c r="O7" i="3358"/>
  <c r="C7" i="3358"/>
  <c r="O6" i="3358"/>
  <c r="B6" i="3358"/>
  <c r="O5" i="3358"/>
  <c r="H3" i="3358"/>
  <c r="B5" i="3358"/>
  <c r="O4" i="3358"/>
  <c r="O3" i="3358"/>
  <c r="O2" i="3358"/>
  <c r="O20" i="3357"/>
  <c r="O19" i="3357"/>
  <c r="O18" i="3357"/>
  <c r="C29" i="3357"/>
  <c r="H27" i="3357"/>
  <c r="B26" i="3357"/>
  <c r="B25" i="3357"/>
  <c r="C22" i="3357"/>
  <c r="C20" i="3357"/>
  <c r="C19" i="3357"/>
  <c r="B19" i="3357"/>
  <c r="H45" i="3357" s="1"/>
  <c r="H18" i="3357"/>
  <c r="C18" i="3357"/>
  <c r="C17" i="3357"/>
  <c r="H16" i="3357"/>
  <c r="C16" i="3357"/>
  <c r="O15" i="3357"/>
  <c r="H15" i="3357"/>
  <c r="C15" i="3357"/>
  <c r="O14" i="3357"/>
  <c r="C14" i="3357"/>
  <c r="O13" i="3357"/>
  <c r="C13" i="3357"/>
  <c r="O12" i="3357"/>
  <c r="H12" i="3357"/>
  <c r="C12" i="3357"/>
  <c r="B11" i="3357"/>
  <c r="C11" i="3357" s="1"/>
  <c r="C10" i="3357"/>
  <c r="O9" i="3357"/>
  <c r="H9" i="3357"/>
  <c r="C9" i="3357"/>
  <c r="O8" i="3357"/>
  <c r="H8" i="3357"/>
  <c r="C8" i="3357"/>
  <c r="O7" i="3357"/>
  <c r="H7" i="3357"/>
  <c r="C7" i="3357"/>
  <c r="O6" i="3357"/>
  <c r="H6" i="3357"/>
  <c r="B6" i="3357"/>
  <c r="O5" i="3357"/>
  <c r="H5" i="3357"/>
  <c r="B5" i="3357"/>
  <c r="O4" i="3357"/>
  <c r="H4" i="3357"/>
  <c r="O3" i="3357"/>
  <c r="H3" i="3357"/>
  <c r="O2" i="3357"/>
  <c r="H2" i="3357"/>
  <c r="O25" i="3351"/>
  <c r="O20" i="3356"/>
  <c r="O19" i="3356"/>
  <c r="O18" i="3356"/>
  <c r="C29" i="3356"/>
  <c r="H28" i="3356"/>
  <c r="B26" i="3356"/>
  <c r="C22" i="3356"/>
  <c r="C20" i="3356"/>
  <c r="C19" i="3356"/>
  <c r="B19" i="3356"/>
  <c r="H6" i="3356" s="1"/>
  <c r="C18" i="3356"/>
  <c r="H18" i="3356"/>
  <c r="C17" i="3356"/>
  <c r="H17" i="3356"/>
  <c r="C16" i="3356"/>
  <c r="O15" i="3356"/>
  <c r="H16" i="3356"/>
  <c r="C15" i="3356"/>
  <c r="O14" i="3356"/>
  <c r="H15" i="3356"/>
  <c r="C14" i="3356"/>
  <c r="O13" i="3356"/>
  <c r="C13" i="3356"/>
  <c r="O12" i="3356"/>
  <c r="H13" i="3356"/>
  <c r="C12" i="3356"/>
  <c r="H12" i="3356"/>
  <c r="B11" i="3356"/>
  <c r="C11" i="3356" s="1"/>
  <c r="H11" i="3356"/>
  <c r="C10" i="3356"/>
  <c r="O9" i="3356"/>
  <c r="H5" i="3356"/>
  <c r="C9" i="3356"/>
  <c r="O8" i="3356"/>
  <c r="H10" i="3356"/>
  <c r="C8" i="3356"/>
  <c r="O7" i="3356"/>
  <c r="H4" i="3356"/>
  <c r="C7" i="3356"/>
  <c r="O6" i="3356"/>
  <c r="H9" i="3356"/>
  <c r="B6" i="3356"/>
  <c r="O5" i="3356"/>
  <c r="H2" i="3356"/>
  <c r="B5" i="3356"/>
  <c r="O4" i="3356"/>
  <c r="H8" i="3356"/>
  <c r="O3" i="3356"/>
  <c r="H7" i="3356"/>
  <c r="O2" i="3356"/>
  <c r="H3" i="3356"/>
  <c r="O24" i="3351"/>
  <c r="O23" i="3351"/>
  <c r="O22" i="3351"/>
  <c r="H28" i="3359" l="1"/>
  <c r="H43" i="3359"/>
  <c r="H2" i="3359"/>
  <c r="H8" i="3359"/>
  <c r="H13" i="3359"/>
  <c r="H17" i="3359"/>
  <c r="H9" i="3359"/>
  <c r="C20" i="3359"/>
  <c r="B25" i="3359"/>
  <c r="H27" i="3359"/>
  <c r="H30" i="3359"/>
  <c r="H34" i="3359"/>
  <c r="H38" i="3359"/>
  <c r="H42" i="3359"/>
  <c r="H35" i="3359"/>
  <c r="H7" i="3359"/>
  <c r="H12" i="3359"/>
  <c r="H15" i="3359"/>
  <c r="H18" i="3359"/>
  <c r="C21" i="3359"/>
  <c r="H23" i="3359"/>
  <c r="H32" i="3359"/>
  <c r="H36" i="3359"/>
  <c r="H40" i="3359"/>
  <c r="H44" i="3359"/>
  <c r="H16" i="3359"/>
  <c r="H20" i="3359"/>
  <c r="H22" i="3359"/>
  <c r="H25" i="3359"/>
  <c r="H31" i="3359"/>
  <c r="H39" i="3359"/>
  <c r="H5" i="3359"/>
  <c r="H4" i="3359"/>
  <c r="H11" i="3359"/>
  <c r="H14" i="3359"/>
  <c r="H19" i="3359"/>
  <c r="H21" i="3359"/>
  <c r="H24" i="3359"/>
  <c r="H26" i="3359"/>
  <c r="H29" i="3359"/>
  <c r="H33" i="3359"/>
  <c r="H37" i="3359"/>
  <c r="H41" i="3359"/>
  <c r="H8" i="3358"/>
  <c r="H6" i="3358"/>
  <c r="H11" i="3358"/>
  <c r="H17" i="3358"/>
  <c r="H19" i="3358"/>
  <c r="H24" i="3358"/>
  <c r="H4" i="3358"/>
  <c r="C19" i="3358"/>
  <c r="H37" i="3358"/>
  <c r="H16" i="3358"/>
  <c r="H31" i="3358"/>
  <c r="H5" i="3358"/>
  <c r="H9" i="3358"/>
  <c r="H15" i="3358"/>
  <c r="H18" i="3358"/>
  <c r="H7" i="3358"/>
  <c r="H12" i="3358"/>
  <c r="C20" i="3358"/>
  <c r="H27" i="3358"/>
  <c r="H42" i="3358"/>
  <c r="C21" i="3358"/>
  <c r="H25" i="3358"/>
  <c r="H28" i="3358"/>
  <c r="H33" i="3358"/>
  <c r="H38" i="3358"/>
  <c r="H43" i="3358"/>
  <c r="H22" i="3358"/>
  <c r="B25" i="3358"/>
  <c r="H34" i="3358"/>
  <c r="H39" i="3358"/>
  <c r="H45" i="3358"/>
  <c r="H14" i="3358"/>
  <c r="H20" i="3358"/>
  <c r="H30" i="3358"/>
  <c r="H35" i="3358"/>
  <c r="H41" i="3358"/>
  <c r="H2" i="3358"/>
  <c r="H21" i="3358"/>
  <c r="H23" i="3358"/>
  <c r="H26" i="3358"/>
  <c r="H29" i="3358"/>
  <c r="H32" i="3358"/>
  <c r="H36" i="3358"/>
  <c r="H40" i="3358"/>
  <c r="H30" i="3357"/>
  <c r="H34" i="3357"/>
  <c r="H38" i="3357"/>
  <c r="H42" i="3357"/>
  <c r="H20" i="3357"/>
  <c r="H22" i="3357"/>
  <c r="H25" i="3357"/>
  <c r="H28" i="3357"/>
  <c r="H31" i="3357"/>
  <c r="H35" i="3357"/>
  <c r="H39" i="3357"/>
  <c r="H43" i="3357"/>
  <c r="H11" i="3357"/>
  <c r="H14" i="3357"/>
  <c r="H17" i="3357"/>
  <c r="C21" i="3357"/>
  <c r="H23" i="3357"/>
  <c r="H32" i="3357"/>
  <c r="H36" i="3357"/>
  <c r="H40" i="3357"/>
  <c r="H44" i="3357"/>
  <c r="H10" i="3357"/>
  <c r="H13" i="3357"/>
  <c r="H19" i="3357"/>
  <c r="H21" i="3357"/>
  <c r="H24" i="3357"/>
  <c r="H26" i="3357"/>
  <c r="H29" i="3357"/>
  <c r="H33" i="3357"/>
  <c r="H37" i="3357"/>
  <c r="H41" i="3357"/>
  <c r="H19" i="3356"/>
  <c r="B25" i="3356"/>
  <c r="H31" i="3356"/>
  <c r="H35" i="3356"/>
  <c r="H39" i="3356"/>
  <c r="H43" i="3356"/>
  <c r="H21" i="3356"/>
  <c r="H23" i="3356"/>
  <c r="H26" i="3356"/>
  <c r="H29" i="3356"/>
  <c r="H32" i="3356"/>
  <c r="H36" i="3356"/>
  <c r="H40" i="3356"/>
  <c r="H44" i="3356"/>
  <c r="C21" i="3356"/>
  <c r="H24" i="3356"/>
  <c r="H33" i="3356"/>
  <c r="H37" i="3356"/>
  <c r="H41" i="3356"/>
  <c r="H45" i="3356"/>
  <c r="H14" i="3356"/>
  <c r="H20" i="3356"/>
  <c r="H22" i="3356"/>
  <c r="H25" i="3356"/>
  <c r="H27" i="3356"/>
  <c r="H30" i="3356"/>
  <c r="H34" i="3356"/>
  <c r="H38" i="3356"/>
  <c r="H42" i="3356"/>
  <c r="O20" i="3355" l="1"/>
  <c r="O19" i="3355"/>
  <c r="O18" i="3355"/>
  <c r="C29" i="3355"/>
  <c r="B26" i="3355"/>
  <c r="C22" i="3355"/>
  <c r="B19" i="3355"/>
  <c r="H43" i="3355" s="1"/>
  <c r="C18" i="3355"/>
  <c r="C17" i="3355"/>
  <c r="H17" i="3355"/>
  <c r="C16" i="3355"/>
  <c r="O15" i="3355"/>
  <c r="C15" i="3355"/>
  <c r="O14" i="3355"/>
  <c r="C14" i="3355"/>
  <c r="O13" i="3355"/>
  <c r="C13" i="3355"/>
  <c r="O12" i="3355"/>
  <c r="C12" i="3355"/>
  <c r="B11" i="3355"/>
  <c r="C11" i="3355" s="1"/>
  <c r="C10" i="3355"/>
  <c r="O9" i="3355"/>
  <c r="H10" i="3355"/>
  <c r="C9" i="3355"/>
  <c r="O8" i="3355"/>
  <c r="C8" i="3355"/>
  <c r="O7" i="3355"/>
  <c r="C7" i="3355"/>
  <c r="O6" i="3355"/>
  <c r="B6" i="3355"/>
  <c r="O5" i="3355"/>
  <c r="B5" i="3355"/>
  <c r="O4" i="3355"/>
  <c r="O3" i="3355"/>
  <c r="O2" i="3355"/>
  <c r="H2" i="3355"/>
  <c r="O20" i="3354"/>
  <c r="O19" i="3354"/>
  <c r="O18" i="3354"/>
  <c r="H32" i="3354"/>
  <c r="C29" i="3354"/>
  <c r="B26" i="3354"/>
  <c r="C22" i="3354"/>
  <c r="B19" i="3354"/>
  <c r="H43" i="3354" s="1"/>
  <c r="C18" i="3354"/>
  <c r="C17" i="3354"/>
  <c r="C16" i="3354"/>
  <c r="O15" i="3354"/>
  <c r="C15" i="3354"/>
  <c r="O14" i="3354"/>
  <c r="C14" i="3354"/>
  <c r="O13" i="3354"/>
  <c r="C13" i="3354"/>
  <c r="O12" i="3354"/>
  <c r="C12" i="3354"/>
  <c r="B11" i="3354"/>
  <c r="C11" i="3354" s="1"/>
  <c r="C10" i="3354"/>
  <c r="O9" i="3354"/>
  <c r="C9" i="3354"/>
  <c r="O8" i="3354"/>
  <c r="H4" i="3354"/>
  <c r="C8" i="3354"/>
  <c r="O7" i="3354"/>
  <c r="C7" i="3354"/>
  <c r="O6" i="3354"/>
  <c r="B6" i="3354"/>
  <c r="O5" i="3354"/>
  <c r="B5" i="3354"/>
  <c r="O4" i="3354"/>
  <c r="H6" i="3354"/>
  <c r="O3" i="3354"/>
  <c r="O2" i="3354"/>
  <c r="H2" i="3354"/>
  <c r="O20" i="3353"/>
  <c r="O19" i="3353"/>
  <c r="O18" i="3353"/>
  <c r="H35" i="3353"/>
  <c r="H30" i="3353"/>
  <c r="C29" i="3353"/>
  <c r="B26" i="3353"/>
  <c r="B25" i="3353"/>
  <c r="H24" i="3353"/>
  <c r="C22" i="3353"/>
  <c r="C20" i="3353"/>
  <c r="H20" i="3353"/>
  <c r="C19" i="3353"/>
  <c r="B19" i="3353"/>
  <c r="H45" i="3353" s="1"/>
  <c r="H19" i="3353"/>
  <c r="C18" i="3353"/>
  <c r="H18" i="3353"/>
  <c r="C17" i="3353"/>
  <c r="H17" i="3353"/>
  <c r="C16" i="3353"/>
  <c r="O15" i="3353"/>
  <c r="H16" i="3353"/>
  <c r="C15" i="3353"/>
  <c r="O14" i="3353"/>
  <c r="H15" i="3353"/>
  <c r="C14" i="3353"/>
  <c r="O13" i="3353"/>
  <c r="H14" i="3353"/>
  <c r="C13" i="3353"/>
  <c r="O12" i="3353"/>
  <c r="H13" i="3353"/>
  <c r="C12" i="3353"/>
  <c r="H12" i="3353"/>
  <c r="B11" i="3353"/>
  <c r="C11" i="3353" s="1"/>
  <c r="H11" i="3353"/>
  <c r="C10" i="3353"/>
  <c r="O9" i="3353"/>
  <c r="H9" i="3353"/>
  <c r="C9" i="3353"/>
  <c r="O8" i="3353"/>
  <c r="H8" i="3353"/>
  <c r="C8" i="3353"/>
  <c r="O7" i="3353"/>
  <c r="H6" i="3353"/>
  <c r="C7" i="3353"/>
  <c r="O6" i="3353"/>
  <c r="H7" i="3353"/>
  <c r="B6" i="3353"/>
  <c r="O5" i="3353"/>
  <c r="H2" i="3353"/>
  <c r="B5" i="3353"/>
  <c r="O4" i="3353"/>
  <c r="H5" i="3353"/>
  <c r="O3" i="3353"/>
  <c r="H10" i="3353"/>
  <c r="O2" i="3353"/>
  <c r="H4" i="3353"/>
  <c r="O21" i="3351"/>
  <c r="O20" i="3352"/>
  <c r="O19" i="3352"/>
  <c r="O18" i="3352"/>
  <c r="C29" i="3352"/>
  <c r="B26" i="3352"/>
  <c r="C22" i="3352"/>
  <c r="B19" i="3352"/>
  <c r="H43" i="3352" s="1"/>
  <c r="C18" i="3352"/>
  <c r="C17" i="3352"/>
  <c r="C16" i="3352"/>
  <c r="O15" i="3352"/>
  <c r="C15" i="3352"/>
  <c r="O14" i="3352"/>
  <c r="C14" i="3352"/>
  <c r="O13" i="3352"/>
  <c r="C13" i="3352"/>
  <c r="O12" i="3352"/>
  <c r="C12" i="3352"/>
  <c r="B11" i="3352"/>
  <c r="C11" i="3352" s="1"/>
  <c r="C10" i="3352"/>
  <c r="O9" i="3352"/>
  <c r="C9" i="3352"/>
  <c r="O8" i="3352"/>
  <c r="H10" i="3352"/>
  <c r="C8" i="3352"/>
  <c r="O7" i="3352"/>
  <c r="C7" i="3352"/>
  <c r="O6" i="3352"/>
  <c r="B6" i="3352"/>
  <c r="O5" i="3352"/>
  <c r="B5" i="3352"/>
  <c r="O4" i="3352"/>
  <c r="H2" i="3352"/>
  <c r="O3" i="3352"/>
  <c r="O2" i="3352"/>
  <c r="H5" i="3352"/>
  <c r="O20" i="3351"/>
  <c r="O19" i="3351"/>
  <c r="O18" i="3351"/>
  <c r="C29" i="3351"/>
  <c r="B26" i="3351"/>
  <c r="C22" i="3351"/>
  <c r="B19" i="3351"/>
  <c r="H5" i="3351" s="1"/>
  <c r="C18" i="3351"/>
  <c r="C17" i="3351"/>
  <c r="C16" i="3351"/>
  <c r="O15" i="3351"/>
  <c r="C15" i="3351"/>
  <c r="O14" i="3351"/>
  <c r="C14" i="3351"/>
  <c r="O13" i="3351"/>
  <c r="C13" i="3351"/>
  <c r="O12" i="3351"/>
  <c r="C12" i="3351"/>
  <c r="B11" i="3351"/>
  <c r="C11" i="3351" s="1"/>
  <c r="C10" i="3351"/>
  <c r="O9" i="3351"/>
  <c r="C9" i="3351"/>
  <c r="O8" i="3351"/>
  <c r="C8" i="3351"/>
  <c r="O7" i="3351"/>
  <c r="C7" i="3351"/>
  <c r="O6" i="3351"/>
  <c r="B6" i="3351"/>
  <c r="O5" i="3351"/>
  <c r="B5" i="3351"/>
  <c r="O4" i="3351"/>
  <c r="O3" i="3351"/>
  <c r="O2" i="3351"/>
  <c r="H9" i="3355" l="1"/>
  <c r="H16" i="3355"/>
  <c r="H6" i="3355"/>
  <c r="H13" i="3355"/>
  <c r="H3" i="3355"/>
  <c r="H19" i="3355"/>
  <c r="C20" i="3355"/>
  <c r="H24" i="3355"/>
  <c r="H26" i="3355"/>
  <c r="H30" i="3355"/>
  <c r="H36" i="3355"/>
  <c r="H41" i="3355"/>
  <c r="C21" i="3355"/>
  <c r="H25" i="3355"/>
  <c r="H27" i="3355"/>
  <c r="H32" i="3355"/>
  <c r="H37" i="3355"/>
  <c r="H42" i="3355"/>
  <c r="H8" i="3355"/>
  <c r="H12" i="3355"/>
  <c r="H15" i="3355"/>
  <c r="H18" i="3355"/>
  <c r="C19" i="3355"/>
  <c r="H22" i="3355"/>
  <c r="B25" i="3355"/>
  <c r="H33" i="3355"/>
  <c r="H38" i="3355"/>
  <c r="H44" i="3355"/>
  <c r="H4" i="3355"/>
  <c r="H7" i="3355"/>
  <c r="H11" i="3355"/>
  <c r="H14" i="3355"/>
  <c r="H20" i="3355"/>
  <c r="H29" i="3355"/>
  <c r="H34" i="3355"/>
  <c r="H40" i="3355"/>
  <c r="H45" i="3355"/>
  <c r="H21" i="3355"/>
  <c r="H23" i="3355"/>
  <c r="H5" i="3355"/>
  <c r="H28" i="3355"/>
  <c r="H31" i="3355"/>
  <c r="H35" i="3355"/>
  <c r="H39" i="3355"/>
  <c r="H7" i="3354"/>
  <c r="H9" i="3354"/>
  <c r="H12" i="3354"/>
  <c r="H16" i="3354"/>
  <c r="H18" i="3354"/>
  <c r="C20" i="3354"/>
  <c r="H23" i="3354"/>
  <c r="H26" i="3354"/>
  <c r="H30" i="3354"/>
  <c r="H36" i="3354"/>
  <c r="H41" i="3354"/>
  <c r="H15" i="3354"/>
  <c r="C21" i="3354"/>
  <c r="H37" i="3354"/>
  <c r="H14" i="3354"/>
  <c r="C19" i="3354"/>
  <c r="H21" i="3354"/>
  <c r="B25" i="3354"/>
  <c r="H33" i="3354"/>
  <c r="H38" i="3354"/>
  <c r="H44" i="3354"/>
  <c r="H24" i="3354"/>
  <c r="H27" i="3354"/>
  <c r="H42" i="3354"/>
  <c r="H8" i="3354"/>
  <c r="H11" i="3354"/>
  <c r="H17" i="3354"/>
  <c r="H5" i="3354"/>
  <c r="H3" i="3354"/>
  <c r="H10" i="3354"/>
  <c r="H13" i="3354"/>
  <c r="H19" i="3354"/>
  <c r="H29" i="3354"/>
  <c r="H34" i="3354"/>
  <c r="H40" i="3354"/>
  <c r="H45" i="3354"/>
  <c r="H20" i="3354"/>
  <c r="H22" i="3354"/>
  <c r="H25" i="3354"/>
  <c r="H28" i="3354"/>
  <c r="H31" i="3354"/>
  <c r="H35" i="3354"/>
  <c r="H39" i="3354"/>
  <c r="H27" i="3353"/>
  <c r="H38" i="3353"/>
  <c r="H43" i="3353"/>
  <c r="H22" i="3353"/>
  <c r="H31" i="3353"/>
  <c r="H3" i="3353"/>
  <c r="H39" i="3353"/>
  <c r="C21" i="3353"/>
  <c r="H25" i="3353"/>
  <c r="H28" i="3353"/>
  <c r="H34" i="3353"/>
  <c r="H42" i="3353"/>
  <c r="H21" i="3353"/>
  <c r="H23" i="3353"/>
  <c r="H26" i="3353"/>
  <c r="H29" i="3353"/>
  <c r="H32" i="3353"/>
  <c r="H36" i="3353"/>
  <c r="H40" i="3353"/>
  <c r="H44" i="3353"/>
  <c r="H33" i="3353"/>
  <c r="H37" i="3353"/>
  <c r="H41" i="3353"/>
  <c r="H4" i="3351"/>
  <c r="H10" i="3351"/>
  <c r="H3" i="3351"/>
  <c r="H7" i="3351"/>
  <c r="H19" i="3351"/>
  <c r="H7" i="3352"/>
  <c r="H11" i="3352"/>
  <c r="H13" i="3352"/>
  <c r="H17" i="3352"/>
  <c r="H19" i="3352"/>
  <c r="C20" i="3352"/>
  <c r="H23" i="3352"/>
  <c r="H26" i="3352"/>
  <c r="H30" i="3352"/>
  <c r="H36" i="3352"/>
  <c r="H41" i="3352"/>
  <c r="H16" i="3352"/>
  <c r="C21" i="3352"/>
  <c r="H27" i="3352"/>
  <c r="H37" i="3352"/>
  <c r="C19" i="3352"/>
  <c r="B25" i="3352"/>
  <c r="H33" i="3352"/>
  <c r="H38" i="3352"/>
  <c r="H44" i="3352"/>
  <c r="H24" i="3352"/>
  <c r="H32" i="3352"/>
  <c r="H42" i="3352"/>
  <c r="H9" i="3352"/>
  <c r="H12" i="3352"/>
  <c r="H15" i="3352"/>
  <c r="H18" i="3352"/>
  <c r="H22" i="3352"/>
  <c r="H6" i="3352"/>
  <c r="H8" i="3352"/>
  <c r="H3" i="3352"/>
  <c r="H14" i="3352"/>
  <c r="H20" i="3352"/>
  <c r="H29" i="3352"/>
  <c r="H34" i="3352"/>
  <c r="H40" i="3352"/>
  <c r="H45" i="3352"/>
  <c r="H21" i="3352"/>
  <c r="H4" i="3352"/>
  <c r="H25" i="3352"/>
  <c r="H28" i="3352"/>
  <c r="H31" i="3352"/>
  <c r="H35" i="3352"/>
  <c r="H39" i="3352"/>
  <c r="H25" i="3351"/>
  <c r="H15" i="3351"/>
  <c r="H18" i="3351"/>
  <c r="H21" i="3351"/>
  <c r="H6" i="3351"/>
  <c r="C20" i="3351"/>
  <c r="C19" i="3351"/>
  <c r="H9" i="3351"/>
  <c r="H11" i="3351"/>
  <c r="H17" i="3351"/>
  <c r="H2" i="3351"/>
  <c r="H8" i="3351"/>
  <c r="H16" i="3351"/>
  <c r="H20" i="3351"/>
  <c r="H12" i="3351"/>
  <c r="C21" i="3351"/>
  <c r="B25" i="3351"/>
  <c r="H28" i="3351"/>
  <c r="H31" i="3351"/>
  <c r="H35" i="3351"/>
  <c r="H39" i="3351"/>
  <c r="H43" i="3351"/>
  <c r="H23" i="3351"/>
  <c r="H13" i="3351"/>
  <c r="H14" i="3351"/>
  <c r="H29" i="3351"/>
  <c r="H32" i="3351"/>
  <c r="H36" i="3351"/>
  <c r="H40" i="3351"/>
  <c r="H44" i="3351"/>
  <c r="H33" i="3351"/>
  <c r="H37" i="3351"/>
  <c r="H41" i="3351"/>
  <c r="H45" i="3351"/>
  <c r="H22" i="3351"/>
  <c r="H24" i="3351"/>
  <c r="H26" i="3351"/>
  <c r="H27" i="3351"/>
  <c r="H30" i="3351"/>
  <c r="H34" i="3351"/>
  <c r="H38" i="3351"/>
  <c r="H42" i="3351"/>
  <c r="C11" i="2228" l="1"/>
  <c r="B11" i="2228"/>
  <c r="B6" i="2228" l="1"/>
  <c r="O8" i="2228" l="1"/>
  <c r="O5" i="2228"/>
  <c r="O14" i="2228"/>
  <c r="C10" i="2228"/>
  <c r="B26" i="2228" l="1"/>
  <c r="C16" i="2228" l="1"/>
  <c r="C15" i="2228"/>
  <c r="C22" i="2228"/>
  <c r="O15" i="2228" l="1"/>
  <c r="O13" i="2228"/>
  <c r="O12" i="2228"/>
  <c r="O7" i="2228"/>
  <c r="C14" i="2228" l="1"/>
  <c r="C13" i="2228"/>
  <c r="C12" i="2228"/>
  <c r="C8" i="2228"/>
  <c r="O2" i="2228" l="1"/>
  <c r="O9" i="2228"/>
  <c r="O6" i="2228"/>
  <c r="O4" i="2228"/>
  <c r="O3" i="2228"/>
  <c r="C29" i="2228" l="1"/>
  <c r="C19" i="2228" l="1"/>
  <c r="B19" i="2228"/>
  <c r="H18" i="2228" s="1"/>
  <c r="C18" i="2228"/>
  <c r="C17" i="2228"/>
  <c r="C9" i="2228"/>
  <c r="C7" i="2228"/>
  <c r="B5" i="2228"/>
  <c r="H45" i="2228" l="1"/>
  <c r="H5" i="2228"/>
  <c r="B25" i="2228"/>
  <c r="H42" i="2228"/>
  <c r="H35" i="2228"/>
  <c r="H28" i="2228"/>
  <c r="H20" i="2228"/>
  <c r="H12" i="2228"/>
  <c r="H4" i="2228"/>
  <c r="H41" i="2228"/>
  <c r="H33" i="2228"/>
  <c r="H26" i="2228"/>
  <c r="H10" i="2228"/>
  <c r="H2" i="2228"/>
  <c r="H31" i="2228"/>
  <c r="H16" i="2228"/>
  <c r="H30" i="2228"/>
  <c r="H7" i="2228"/>
  <c r="H29" i="2228"/>
  <c r="H6" i="2228"/>
  <c r="H43" i="2228"/>
  <c r="H21" i="2228"/>
  <c r="H34" i="2228"/>
  <c r="H27" i="2228"/>
  <c r="H19" i="2228"/>
  <c r="H11" i="2228"/>
  <c r="H3" i="2228"/>
  <c r="H15" i="2228"/>
  <c r="H22" i="2228"/>
  <c r="H40" i="2228"/>
  <c r="H32" i="2228"/>
  <c r="H25" i="2228"/>
  <c r="H17" i="2228"/>
  <c r="H9" i="2228"/>
  <c r="H39" i="2228"/>
  <c r="H24" i="2228"/>
  <c r="H8" i="2228"/>
  <c r="H38" i="2228"/>
  <c r="H23" i="2228"/>
  <c r="H37" i="2228"/>
  <c r="H14" i="2228"/>
  <c r="H36" i="2228"/>
  <c r="H13" i="2228"/>
  <c r="H44" i="2228"/>
  <c r="C20" i="2228"/>
  <c r="C21" i="2228"/>
</calcChain>
</file>

<file path=xl/sharedStrings.xml><?xml version="1.0" encoding="utf-8"?>
<sst xmlns="http://schemas.openxmlformats.org/spreadsheetml/2006/main" count="1720" uniqueCount="170">
  <si>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</si>
  <si>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</si>
  <si>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</si>
  <si>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</si>
  <si>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</si>
  <si>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</si>
  <si>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</si>
  <si>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</si>
  <si>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</si>
  <si>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</si>
  <si>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</si>
  <si>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</si>
  <si>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</si>
  <si>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</si>
  <si>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</si>
  <si>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</si>
  <si>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</si>
  <si>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</si>
  <si>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</si>
  <si>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</si>
  <si>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</si>
  <si>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</si>
  <si>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</si>
  <si>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</si>
  <si>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</si>
  <si>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</si>
  <si>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</si>
  <si>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</si>
  <si>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</si>
  <si>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</si>
  <si>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</si>
  <si>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</si>
  <si>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</si>
  <si>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</si>
  <si>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</si>
  <si>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</si>
  <si>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</si>
  <si>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</si>
  <si>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</si>
  <si>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</si>
  <si>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</si>
  <si>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</si>
  <si>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</si>
  <si>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</si>
  <si>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</si>
  <si>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</si>
  <si>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</si>
  <si>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</si>
  <si>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</si>
  <si>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</si>
  <si>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</si>
  <si>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</si>
  <si>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</si>
  <si>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</si>
  <si>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</si>
  <si>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</si>
  <si>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</si>
  <si>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</si>
  <si>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</si>
  <si>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</si>
  <si>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</si>
  <si>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</si>
  <si>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</si>
  <si>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</si>
  <si>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</si>
  <si>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</si>
  <si>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</si>
  <si>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</si>
  <si>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</si>
  <si>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</si>
  <si>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</si>
  <si>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</si>
  <si>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</si>
  <si>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</si>
  <si>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</si>
  <si>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</si>
  <si>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</si>
  <si>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</si>
  <si>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</si>
  <si>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</si>
  <si>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</si>
  <si>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</si>
  <si>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</si>
  <si>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</si>
  <si>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</si>
  <si>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</si>
  <si>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</si>
  <si>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</si>
  <si>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</si>
  <si>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</si>
  <si>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</si>
  <si>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</si>
  <si>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</si>
  <si>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</si>
  <si>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</si>
  <si>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</si>
  <si>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</si>
  <si>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</si>
  <si>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</si>
  <si>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</si>
  <si>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</si>
  <si>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</si>
  <si>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</si>
  <si>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</si>
  <si>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</si>
  <si>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</si>
  <si>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</si>
  <si>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</si>
  <si>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</si>
  <si>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</si>
  <si>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</si>
  <si>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</si>
  <si>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</si>
  <si>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</si>
  <si>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</si>
  <si>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</si>
  <si>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</si>
  <si>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</si>
  <si>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</si>
  <si>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</si>
  <si>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</si>
  <si>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</si>
  <si>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</si>
  <si>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</si>
  <si>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</si>
  <si>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</si>
  <si>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</si>
  <si>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</si>
  <si>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</si>
  <si>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</si>
  <si>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</si>
  <si>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</si>
  <si>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</si>
  <si>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</si>
  <si>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</si>
  <si>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</si>
  <si>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</si>
  <si>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</si>
  <si>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</si>
  <si>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</si>
  <si>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</si>
  <si>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</si>
  <si>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コード</t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</si>
  <si>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</si>
  <si>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</si>
  <si>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</si>
  <si>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</si>
  <si>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4位</t>
    <rPh sb="1" eb="2">
      <t>イ</t>
    </rPh>
    <phoneticPr fontId="1"/>
  </si>
  <si>
    <t>西家</t>
    <rPh sb="0" eb="1">
      <t>ニシ</t>
    </rPh>
    <rPh sb="1" eb="2">
      <t>ケ</t>
    </rPh>
    <phoneticPr fontId="1"/>
  </si>
  <si>
    <t>北家</t>
    <rPh sb="0" eb="2">
      <t>ホッケ</t>
    </rPh>
    <phoneticPr fontId="1"/>
  </si>
  <si>
    <t>南4局</t>
    <rPh sb="0" eb="1">
      <t>ミナミ</t>
    </rPh>
    <rPh sb="2" eb="3">
      <t>キョク</t>
    </rPh>
    <phoneticPr fontId="1"/>
  </si>
  <si>
    <t>東4局</t>
    <rPh sb="0" eb="1">
      <t>ヒガシ</t>
    </rPh>
    <rPh sb="2" eb="3">
      <t>キョク</t>
    </rPh>
    <phoneticPr fontId="1"/>
  </si>
  <si>
    <t>18</t>
    <phoneticPr fontId="1"/>
  </si>
  <si>
    <t>三色同順</t>
    <rPh sb="2" eb="4">
      <t>ドウジュン</t>
    </rPh>
    <phoneticPr fontId="1"/>
  </si>
  <si>
    <t>連対率</t>
    <rPh sb="0" eb="2">
      <t>レンタイ</t>
    </rPh>
    <rPh sb="2" eb="3">
      <t>リツ</t>
    </rPh>
    <phoneticPr fontId="1"/>
  </si>
  <si>
    <t>連対</t>
    <rPh sb="0" eb="2">
      <t>レンタイ</t>
    </rPh>
    <phoneticPr fontId="1"/>
  </si>
  <si>
    <t>―</t>
  </si>
  <si>
    <t>2019-11-15@A.xlsm</t>
  </si>
  <si>
    <t>Sheet1</t>
  </si>
  <si>
    <t>全体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</si>
  <si>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</si>
  <si>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</si>
  <si>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</si>
  <si>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</si>
  <si>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</si>
  <si>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</si>
  <si>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</si>
  <si>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</si>
  <si>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</si>
  <si>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最高点</t>
    <rPh sb="0" eb="3">
      <t>サイコウテン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</si>
</sst>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全体!$L$2:$L$10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0F-4BC0-8667-2C7D896D0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-250</c:v>
                </c:pt>
                <c:pt idx="3">
                  <c:v>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4-454E-9E6D-0A5A03956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松澤亮太!$L$2:$L$3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7F-48AF-9206-B2F412882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0</c:v>
                </c:pt>
                <c:pt idx="1">
                  <c:v>8000</c:v>
                </c:pt>
                <c:pt idx="2">
                  <c:v>500</c:v>
                </c:pt>
                <c:pt idx="3">
                  <c:v>-1100</c:v>
                </c:pt>
                <c:pt idx="4">
                  <c:v>0</c:v>
                </c:pt>
                <c:pt idx="5">
                  <c:v>-500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7-470C-9743-8FFB11EC7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滝沢悠人!$L$2:$L$3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74.900000000000006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A6-4113-81C8-16668D94D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21800</c:v>
                </c:pt>
                <c:pt idx="2">
                  <c:v>-1500</c:v>
                </c:pt>
                <c:pt idx="3">
                  <c:v>-1100</c:v>
                </c:pt>
                <c:pt idx="4">
                  <c:v>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2B8-8FD9-58A6D37EC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大池陸斗!$L$2:$L$3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40-45BC-86CC-C75A71648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-12000</c:v>
                </c:pt>
                <c:pt idx="1">
                  <c:v>-8600</c:v>
                </c:pt>
                <c:pt idx="2">
                  <c:v>-1500</c:v>
                </c:pt>
                <c:pt idx="3">
                  <c:v>6300</c:v>
                </c:pt>
                <c:pt idx="4">
                  <c:v>-2600</c:v>
                </c:pt>
                <c:pt idx="5">
                  <c:v>-8300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0-4BE2-8B93-218A749DC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百瀬成空!$L$2:$L$3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9-4F2A-9604-9C8C0E73B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-21200</c:v>
                </c:pt>
                <c:pt idx="2">
                  <c:v>500</c:v>
                </c:pt>
                <c:pt idx="3">
                  <c:v>-2100</c:v>
                </c:pt>
                <c:pt idx="4">
                  <c:v>2600</c:v>
                </c:pt>
                <c:pt idx="5">
                  <c:v>10100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7-4891-8ACC-64E0218C5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佐藤成浩!$L$2:$L$3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85-4276-B609-767736DD3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17200</c:v>
                </c:pt>
                <c:pt idx="1">
                  <c:v>0</c:v>
                </c:pt>
                <c:pt idx="2">
                  <c:v>-3000</c:v>
                </c:pt>
                <c:pt idx="3">
                  <c:v>-13400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92-48A1-97BB-EC28A0A64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依田幸憲!$L$2:$L$3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75-4095-8375-D78396566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-20500</c:v>
                </c:pt>
                <c:pt idx="1">
                  <c:v>0</c:v>
                </c:pt>
                <c:pt idx="2">
                  <c:v>-4000</c:v>
                </c:pt>
                <c:pt idx="3">
                  <c:v>-1400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5-4A95-AF71-A9A214022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AF-4F75-8C31-472512765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02-4652-A716-0B3F9CD85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高野源太!$L$2:$L$3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61.1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62-433F-AA61-C41E6A6D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5800</c:v>
                </c:pt>
                <c:pt idx="1">
                  <c:v>-13000</c:v>
                </c:pt>
                <c:pt idx="2">
                  <c:v>13000</c:v>
                </c:pt>
                <c:pt idx="3">
                  <c:v>10300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A3-49FD-8132-93321CCE1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A7ABB5F-C2A4-4AEA-A747-487DFD810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B2005C-3526-4A6C-8175-941B726AEE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D478BF-AE8E-412E-9908-BB1D9DD06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B08297-0FB2-45ED-B646-D280F882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331B13-46C1-4A16-83D7-CCBA6FB34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FBEAEE-F68B-4FAC-BBE6-B7483AB4D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A4BD12-B271-444C-B566-F47BFE2944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55D327-0DFB-42CE-8998-A8988B538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4295163-E988-46BA-9EDC-2E2D3547A6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B3D237-6C2D-4070-A18D-15F843A6B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8F1372-86B0-4E51-B457-51D8FC74A3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BE52530-8776-4FAF-BE60-357F69F4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6C6B55-E287-4A87-B029-4B1A76ACF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93557A-FAE4-4F6B-A599-EEB6CF2B0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2CE227-E97E-4347-988F-EEE12920DA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C1D82B6-A48D-4DDF-B229-BDA7674D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26DE4A-D94A-43F0-ABD4-6327402A9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98E252-9170-4FB4-9082-8654DCA886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5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5" bestFit="1" customWidth="1"/>
    <col min="6" max="6" width="11" style="10" bestFit="1" customWidth="1"/>
    <col min="7" max="8" width="9" style="1" customWidth="1"/>
    <col min="9" max="9" width="9" style="29" customWidth="1"/>
    <col min="10" max="10" width="3.625" style="1" customWidth="1"/>
    <col min="11" max="11" width="3.5" style="5" customWidth="1"/>
    <col min="12" max="12" width="9" style="77" customWidth="1"/>
    <col min="13" max="13" width="3.625" style="1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1"/>
  </cols>
  <sheetData>
    <row r="1" spans="1:17" x14ac:dyDescent="0.4">
      <c r="A1" s="19" t="s">
        <v>0</v>
      </c>
      <c r="B1" s="123"/>
      <c r="C1" s="124"/>
      <c r="E1" s="106" t="s">
        <v>142</v>
      </c>
      <c r="F1" s="114" t="s">
        <v>104</v>
      </c>
      <c r="G1" s="113" t="s">
        <v>105</v>
      </c>
      <c r="H1" s="107" t="s">
        <v>106</v>
      </c>
      <c r="I1" s="114" t="s">
        <v>130</v>
      </c>
      <c r="K1" s="2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135</v>
      </c>
    </row>
    <row r="2" spans="1:17" x14ac:dyDescent="0.4">
      <c r="A2" s="20" t="s">
        <v>9</v>
      </c>
      <c r="B2" s="125">
        <v>0</v>
      </c>
      <c r="C2" s="126"/>
      <c r="E2" s="47" t="s">
        <v>59</v>
      </c>
      <c r="F2" s="44" t="s">
        <v>21</v>
      </c>
      <c r="G2" s="36">
        <v>0</v>
      </c>
      <c r="H2" s="109">
        <f t="shared" ref="H2:H45" si="0">IF(B$19=0,0,G2/B$19)</f>
        <v>0</v>
      </c>
      <c r="I2" s="71"/>
      <c r="K2" s="3">
        <v>0</v>
      </c>
      <c r="L2" s="76">
        <v>0</v>
      </c>
      <c r="N2" s="91" t="s">
        <v>115</v>
      </c>
      <c r="O2" s="98">
        <f t="shared" ref="O2:O9" si="1">IF(P2=0,0,Q2/P2)</f>
        <v>0</v>
      </c>
      <c r="P2" s="95">
        <v>0</v>
      </c>
      <c r="Q2" s="79">
        <v>0</v>
      </c>
    </row>
    <row r="3" spans="1:17" x14ac:dyDescent="0.4">
      <c r="A3" s="21" t="s">
        <v>8</v>
      </c>
      <c r="B3" s="127">
        <v>0</v>
      </c>
      <c r="C3" s="128"/>
      <c r="E3" s="48" t="s">
        <v>60</v>
      </c>
      <c r="F3" s="45" t="s">
        <v>22</v>
      </c>
      <c r="G3" s="37">
        <v>0</v>
      </c>
      <c r="H3" s="110">
        <f t="shared" si="0"/>
        <v>0</v>
      </c>
      <c r="I3" s="72"/>
      <c r="N3" s="92" t="s">
        <v>116</v>
      </c>
      <c r="O3" s="99">
        <f t="shared" si="1"/>
        <v>0</v>
      </c>
      <c r="P3" s="96">
        <v>0</v>
      </c>
      <c r="Q3" s="80">
        <v>0</v>
      </c>
    </row>
    <row r="4" spans="1:17" x14ac:dyDescent="0.4">
      <c r="A4" s="21" t="s">
        <v>6</v>
      </c>
      <c r="B4" s="129">
        <v>0</v>
      </c>
      <c r="C4" s="130"/>
      <c r="E4" s="48" t="s">
        <v>61</v>
      </c>
      <c r="F4" s="45" t="s">
        <v>23</v>
      </c>
      <c r="G4" s="37">
        <v>0</v>
      </c>
      <c r="H4" s="110">
        <f t="shared" si="0"/>
        <v>0</v>
      </c>
      <c r="I4" s="72"/>
      <c r="N4" s="92" t="s">
        <v>117</v>
      </c>
      <c r="O4" s="99">
        <f t="shared" si="1"/>
        <v>0</v>
      </c>
      <c r="P4" s="96">
        <v>0</v>
      </c>
      <c r="Q4" s="80">
        <v>0</v>
      </c>
    </row>
    <row r="5" spans="1:17" x14ac:dyDescent="0.4">
      <c r="A5" s="21" t="s">
        <v>7</v>
      </c>
      <c r="B5" s="131">
        <f>IF(B$2=0,0,B$4/B$2)</f>
        <v>0</v>
      </c>
      <c r="C5" s="132"/>
      <c r="E5" s="48" t="s">
        <v>62</v>
      </c>
      <c r="F5" s="45" t="s">
        <v>24</v>
      </c>
      <c r="G5" s="37">
        <v>0</v>
      </c>
      <c r="H5" s="110">
        <f t="shared" si="0"/>
        <v>0</v>
      </c>
      <c r="I5" s="72"/>
      <c r="N5" s="92" t="s">
        <v>151</v>
      </c>
      <c r="O5" s="99">
        <f t="shared" ref="O5" si="2">IF(P5=0,0,Q5/P5)</f>
        <v>0</v>
      </c>
      <c r="P5" s="96">
        <v>0</v>
      </c>
      <c r="Q5" s="80">
        <v>0</v>
      </c>
    </row>
    <row r="6" spans="1:17" x14ac:dyDescent="0.4">
      <c r="A6" s="21" t="s">
        <v>1</v>
      </c>
      <c r="B6" s="121">
        <f>IF(B$2=0,0,(B$7*1+B$8*2+B$9*3+B$10*4)/B$2)</f>
        <v>0</v>
      </c>
      <c r="C6" s="122"/>
      <c r="E6" s="48" t="s">
        <v>63</v>
      </c>
      <c r="F6" s="45" t="s">
        <v>12</v>
      </c>
      <c r="G6" s="37">
        <v>0</v>
      </c>
      <c r="H6" s="110">
        <f t="shared" si="0"/>
        <v>0</v>
      </c>
      <c r="I6" s="72"/>
      <c r="N6" s="92" t="s">
        <v>118</v>
      </c>
      <c r="O6" s="99">
        <f t="shared" si="1"/>
        <v>0</v>
      </c>
      <c r="P6" s="96">
        <v>0</v>
      </c>
      <c r="Q6" s="80">
        <v>0</v>
      </c>
    </row>
    <row r="7" spans="1:17" x14ac:dyDescent="0.4">
      <c r="A7" s="21" t="s">
        <v>2</v>
      </c>
      <c r="B7" s="14">
        <v>0</v>
      </c>
      <c r="C7" s="6">
        <f>IF(B$2=0,0,B7/B$2)</f>
        <v>0</v>
      </c>
      <c r="E7" s="48" t="s">
        <v>64</v>
      </c>
      <c r="F7" s="45" t="s">
        <v>25</v>
      </c>
      <c r="G7" s="37">
        <v>0</v>
      </c>
      <c r="H7" s="110">
        <f t="shared" si="0"/>
        <v>0</v>
      </c>
      <c r="I7" s="72"/>
      <c r="N7" s="92" t="s">
        <v>119</v>
      </c>
      <c r="O7" s="99">
        <f t="shared" si="1"/>
        <v>0</v>
      </c>
      <c r="P7" s="96">
        <v>0</v>
      </c>
      <c r="Q7" s="80">
        <v>0</v>
      </c>
    </row>
    <row r="8" spans="1:17" x14ac:dyDescent="0.4">
      <c r="A8" s="21" t="s">
        <v>3</v>
      </c>
      <c r="B8" s="14">
        <v>0</v>
      </c>
      <c r="C8" s="6">
        <f>IF(B$2=0,0,B8/B$2)</f>
        <v>0</v>
      </c>
      <c r="E8" s="48" t="s">
        <v>65</v>
      </c>
      <c r="F8" s="45" t="s">
        <v>26</v>
      </c>
      <c r="G8" s="37">
        <v>0</v>
      </c>
      <c r="H8" s="110">
        <f t="shared" si="0"/>
        <v>0</v>
      </c>
      <c r="I8" s="72"/>
      <c r="N8" s="92" t="s">
        <v>120</v>
      </c>
      <c r="O8" s="99">
        <f t="shared" ref="O8" si="3">IF(P8=0,0,Q8/P8)</f>
        <v>0</v>
      </c>
      <c r="P8" s="96">
        <v>0</v>
      </c>
      <c r="Q8" s="80">
        <v>0</v>
      </c>
    </row>
    <row r="9" spans="1:17" x14ac:dyDescent="0.4">
      <c r="A9" s="22" t="s">
        <v>4</v>
      </c>
      <c r="B9" s="15">
        <v>0</v>
      </c>
      <c r="C9" s="7">
        <f t="shared" ref="C9" si="4">IF(B$2=0,0,B9/B$2)</f>
        <v>0</v>
      </c>
      <c r="E9" s="48" t="s">
        <v>66</v>
      </c>
      <c r="F9" s="45" t="s">
        <v>27</v>
      </c>
      <c r="G9" s="37">
        <v>0</v>
      </c>
      <c r="H9" s="110">
        <f t="shared" si="0"/>
        <v>0</v>
      </c>
      <c r="I9" s="72"/>
      <c r="N9" s="93" t="s">
        <v>150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147</v>
      </c>
      <c r="B10" s="38">
        <v>0</v>
      </c>
      <c r="C10" s="33">
        <f t="shared" ref="C10" si="5">IF(B$2=0,0,B10/B$2)</f>
        <v>0</v>
      </c>
      <c r="E10" s="48" t="s">
        <v>67</v>
      </c>
      <c r="F10" s="45" t="s">
        <v>28</v>
      </c>
      <c r="G10" s="37">
        <v>0</v>
      </c>
      <c r="H10" s="110">
        <f t="shared" si="0"/>
        <v>0</v>
      </c>
      <c r="I10" s="72"/>
      <c r="N10" s="35"/>
      <c r="O10" s="104"/>
      <c r="P10" s="88"/>
      <c r="Q10" s="86"/>
    </row>
    <row r="11" spans="1:17" x14ac:dyDescent="0.4">
      <c r="A11" s="41" t="s">
        <v>155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0">
        <f t="shared" si="0"/>
        <v>0</v>
      </c>
      <c r="I11" s="72"/>
      <c r="N11" s="90" t="s">
        <v>139</v>
      </c>
      <c r="O11" s="30" t="s">
        <v>109</v>
      </c>
      <c r="P11" s="94" t="s">
        <v>105</v>
      </c>
      <c r="Q11" s="82" t="s">
        <v>134</v>
      </c>
    </row>
    <row r="12" spans="1:17" x14ac:dyDescent="0.4">
      <c r="A12" s="22" t="s">
        <v>19</v>
      </c>
      <c r="B12" s="15">
        <v>0</v>
      </c>
      <c r="C12" s="7">
        <f>IF(B$2=0,0,B12/B$2)</f>
        <v>0</v>
      </c>
      <c r="E12" s="48" t="s">
        <v>69</v>
      </c>
      <c r="F12" s="45" t="s">
        <v>30</v>
      </c>
      <c r="G12" s="37">
        <v>0</v>
      </c>
      <c r="H12" s="110">
        <f t="shared" si="0"/>
        <v>0</v>
      </c>
      <c r="I12" s="72"/>
      <c r="N12" s="91" t="s">
        <v>140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 t="shared" si="0"/>
        <v>0</v>
      </c>
      <c r="I13" s="72"/>
      <c r="N13" s="92" t="s">
        <v>141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136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 t="shared" si="0"/>
        <v>0</v>
      </c>
      <c r="I14" s="72"/>
      <c r="N14" s="92" t="s">
        <v>148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24" t="s">
        <v>110</v>
      </c>
      <c r="B15" s="16">
        <v>0</v>
      </c>
      <c r="C15" s="11">
        <f>IF(B$3=0,0,B15/B$3)</f>
        <v>0</v>
      </c>
      <c r="E15" s="48" t="s">
        <v>72</v>
      </c>
      <c r="F15" s="45" t="s">
        <v>33</v>
      </c>
      <c r="G15" s="37">
        <v>0</v>
      </c>
      <c r="H15" s="110">
        <f t="shared" si="0"/>
        <v>0</v>
      </c>
      <c r="I15" s="72"/>
      <c r="N15" s="93" t="s">
        <v>149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21" t="s">
        <v>107</v>
      </c>
      <c r="B16" s="14">
        <v>0</v>
      </c>
      <c r="C16" s="6">
        <f>IF(B$3=0,0,B16/B$3)</f>
        <v>0</v>
      </c>
      <c r="E16" s="48" t="s">
        <v>73</v>
      </c>
      <c r="F16" s="45" t="s">
        <v>34</v>
      </c>
      <c r="G16" s="37">
        <v>0</v>
      </c>
      <c r="H16" s="110">
        <f t="shared" si="0"/>
        <v>0</v>
      </c>
      <c r="I16" s="72"/>
      <c r="N16" s="29"/>
      <c r="O16" s="87"/>
      <c r="P16" s="89"/>
      <c r="Q16" s="87"/>
    </row>
    <row r="17" spans="1:17" x14ac:dyDescent="0.4">
      <c r="A17" s="20" t="s">
        <v>112</v>
      </c>
      <c r="B17" s="13">
        <v>0</v>
      </c>
      <c r="C17" s="4">
        <f>IF(B$15=0,0,B17/B$15)</f>
        <v>0</v>
      </c>
      <c r="E17" s="48" t="s">
        <v>74</v>
      </c>
      <c r="F17" s="45" t="s">
        <v>35</v>
      </c>
      <c r="G17" s="37">
        <v>0</v>
      </c>
      <c r="H17" s="110">
        <f t="shared" si="0"/>
        <v>0</v>
      </c>
      <c r="I17" s="72"/>
      <c r="N17" s="90" t="s">
        <v>131</v>
      </c>
      <c r="O17" s="30" t="s">
        <v>132</v>
      </c>
      <c r="P17" s="94" t="s">
        <v>133</v>
      </c>
      <c r="Q17" s="82" t="s">
        <v>134</v>
      </c>
    </row>
    <row r="18" spans="1:17" x14ac:dyDescent="0.4">
      <c r="A18" s="20" t="s">
        <v>113</v>
      </c>
      <c r="B18" s="13">
        <v>0</v>
      </c>
      <c r="C18" s="4">
        <f>IF(B$16=0,0,B18/B$16)</f>
        <v>0</v>
      </c>
      <c r="E18" s="48" t="s">
        <v>152</v>
      </c>
      <c r="F18" s="45" t="s">
        <v>153</v>
      </c>
      <c r="G18" s="37">
        <v>0</v>
      </c>
      <c r="H18" s="110">
        <f t="shared" si="0"/>
        <v>0</v>
      </c>
      <c r="I18" s="72"/>
      <c r="N18" s="91"/>
      <c r="O18" s="101"/>
      <c r="P18" s="95"/>
      <c r="Q18" s="83"/>
    </row>
    <row r="19" spans="1:17" x14ac:dyDescent="0.4">
      <c r="A19" s="20" t="s">
        <v>10</v>
      </c>
      <c r="B19" s="13">
        <f>B21+B20</f>
        <v>0</v>
      </c>
      <c r="C19" s="4">
        <f>IF(B$3=0,0,B19/B$3)</f>
        <v>0</v>
      </c>
      <c r="E19" s="48" t="s">
        <v>75</v>
      </c>
      <c r="F19" s="45" t="s">
        <v>36</v>
      </c>
      <c r="G19" s="37">
        <v>0</v>
      </c>
      <c r="H19" s="110">
        <f t="shared" si="0"/>
        <v>0</v>
      </c>
      <c r="I19" s="72"/>
    </row>
    <row r="20" spans="1:17" x14ac:dyDescent="0.4">
      <c r="A20" s="21" t="s">
        <v>12</v>
      </c>
      <c r="B20" s="14">
        <v>0</v>
      </c>
      <c r="C20" s="6">
        <f>IF(B$19=0,0,B20/B$19)</f>
        <v>0</v>
      </c>
      <c r="E20" s="48" t="s">
        <v>76</v>
      </c>
      <c r="F20" s="45" t="s">
        <v>37</v>
      </c>
      <c r="G20" s="37">
        <v>0</v>
      </c>
      <c r="H20" s="110">
        <f t="shared" si="0"/>
        <v>0</v>
      </c>
      <c r="I20" s="72"/>
    </row>
    <row r="21" spans="1:17" x14ac:dyDescent="0.4">
      <c r="A21" s="21" t="s">
        <v>11</v>
      </c>
      <c r="B21" s="14">
        <v>0</v>
      </c>
      <c r="C21" s="6">
        <f>IF(B$19=0,0,B21/B$19)</f>
        <v>0</v>
      </c>
      <c r="E21" s="48" t="s">
        <v>77</v>
      </c>
      <c r="F21" s="45" t="s">
        <v>38</v>
      </c>
      <c r="G21" s="37">
        <v>0</v>
      </c>
      <c r="H21" s="110">
        <f t="shared" si="0"/>
        <v>0</v>
      </c>
      <c r="I21" s="72"/>
    </row>
    <row r="22" spans="1:17" x14ac:dyDescent="0.4">
      <c r="A22" s="40" t="s">
        <v>13</v>
      </c>
      <c r="B22" s="37">
        <v>0</v>
      </c>
      <c r="C22" s="32">
        <f>IF(B$3=0,0,B22/B$3)</f>
        <v>0</v>
      </c>
      <c r="E22" s="48" t="s">
        <v>78</v>
      </c>
      <c r="F22" s="45" t="s">
        <v>39</v>
      </c>
      <c r="G22" s="37">
        <v>0</v>
      </c>
      <c r="H22" s="110">
        <f t="shared" si="0"/>
        <v>0</v>
      </c>
      <c r="I22" s="72"/>
    </row>
    <row r="23" spans="1:17" x14ac:dyDescent="0.4">
      <c r="A23" s="40" t="s">
        <v>143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 t="shared" si="0"/>
        <v>0</v>
      </c>
      <c r="I23" s="72"/>
    </row>
    <row r="24" spans="1:17" x14ac:dyDescent="0.4">
      <c r="A24" s="21" t="s">
        <v>144</v>
      </c>
      <c r="B24" s="14">
        <v>0</v>
      </c>
      <c r="C24" s="112">
        <v>0</v>
      </c>
      <c r="E24" s="48" t="s">
        <v>80</v>
      </c>
      <c r="F24" s="45" t="s">
        <v>41</v>
      </c>
      <c r="G24" s="37">
        <v>0</v>
      </c>
      <c r="H24" s="110">
        <f t="shared" si="0"/>
        <v>0</v>
      </c>
      <c r="I24" s="72"/>
    </row>
    <row r="25" spans="1:17" x14ac:dyDescent="0.4">
      <c r="A25" s="21" t="s">
        <v>5</v>
      </c>
      <c r="B25" s="17">
        <f>IF(B$19=0,0,C25/B$19)</f>
        <v>0</v>
      </c>
      <c r="C25" s="8">
        <v>0</v>
      </c>
      <c r="E25" s="48" t="s">
        <v>81</v>
      </c>
      <c r="F25" s="45" t="s">
        <v>42</v>
      </c>
      <c r="G25" s="37">
        <v>0</v>
      </c>
      <c r="H25" s="110">
        <f t="shared" si="0"/>
        <v>0</v>
      </c>
      <c r="I25" s="72"/>
    </row>
    <row r="26" spans="1:17" x14ac:dyDescent="0.4">
      <c r="A26" s="23" t="s">
        <v>14</v>
      </c>
      <c r="B26" s="18">
        <f>IF(B$22=0,0,C26/B$22)</f>
        <v>0</v>
      </c>
      <c r="C26" s="12">
        <v>0</v>
      </c>
      <c r="E26" s="48" t="s">
        <v>82</v>
      </c>
      <c r="F26" s="45" t="s">
        <v>43</v>
      </c>
      <c r="G26" s="37">
        <v>0</v>
      </c>
      <c r="H26" s="110">
        <f t="shared" si="0"/>
        <v>0</v>
      </c>
      <c r="I26" s="72"/>
    </row>
    <row r="27" spans="1:17" x14ac:dyDescent="0.4">
      <c r="A27" s="68" t="s">
        <v>124</v>
      </c>
      <c r="B27" s="119">
        <v>0</v>
      </c>
      <c r="C27" s="120"/>
      <c r="E27" s="48" t="s">
        <v>83</v>
      </c>
      <c r="F27" s="45" t="s">
        <v>44</v>
      </c>
      <c r="G27" s="37">
        <v>0</v>
      </c>
      <c r="H27" s="110">
        <f t="shared" si="0"/>
        <v>0</v>
      </c>
      <c r="I27" s="72"/>
    </row>
    <row r="28" spans="1:17" x14ac:dyDescent="0.4">
      <c r="A28" s="43" t="s">
        <v>169</v>
      </c>
      <c r="B28" s="117">
        <v>-1000000</v>
      </c>
      <c r="C28" s="118"/>
      <c r="E28" s="48" t="s">
        <v>84</v>
      </c>
      <c r="F28" s="45" t="s">
        <v>45</v>
      </c>
      <c r="G28" s="37">
        <v>0</v>
      </c>
      <c r="H28" s="110">
        <f t="shared" si="0"/>
        <v>0</v>
      </c>
      <c r="I28" s="72"/>
    </row>
    <row r="29" spans="1:17" x14ac:dyDescent="0.4">
      <c r="A29" s="23" t="s">
        <v>125</v>
      </c>
      <c r="B29" s="28">
        <v>0</v>
      </c>
      <c r="C29" s="9">
        <f>IF(B$3=0,0,B29/B$3)</f>
        <v>0</v>
      </c>
      <c r="E29" s="48" t="s">
        <v>85</v>
      </c>
      <c r="F29" s="45" t="s">
        <v>46</v>
      </c>
      <c r="G29" s="37">
        <v>0</v>
      </c>
      <c r="H29" s="110">
        <f t="shared" si="0"/>
        <v>0</v>
      </c>
      <c r="I29" s="72"/>
    </row>
    <row r="30" spans="1:17" x14ac:dyDescent="0.4">
      <c r="E30" s="48" t="s">
        <v>86</v>
      </c>
      <c r="F30" s="45" t="s">
        <v>47</v>
      </c>
      <c r="G30" s="37">
        <v>0</v>
      </c>
      <c r="H30" s="110">
        <f t="shared" si="0"/>
        <v>0</v>
      </c>
      <c r="I30" s="72"/>
    </row>
    <row r="31" spans="1:17" x14ac:dyDescent="0.4">
      <c r="E31" s="48" t="s">
        <v>87</v>
      </c>
      <c r="F31" s="45" t="s">
        <v>48</v>
      </c>
      <c r="G31" s="37">
        <v>0</v>
      </c>
      <c r="H31" s="110">
        <f t="shared" si="0"/>
        <v>0</v>
      </c>
      <c r="I31" s="72"/>
    </row>
    <row r="32" spans="1:17" x14ac:dyDescent="0.4">
      <c r="E32" s="48" t="s">
        <v>88</v>
      </c>
      <c r="F32" s="45" t="s">
        <v>49</v>
      </c>
      <c r="G32" s="37">
        <v>0</v>
      </c>
      <c r="H32" s="110">
        <f t="shared" si="0"/>
        <v>0</v>
      </c>
      <c r="I32" s="72"/>
    </row>
    <row r="33" spans="5:9" x14ac:dyDescent="0.4">
      <c r="E33" s="48" t="s">
        <v>89</v>
      </c>
      <c r="F33" s="45" t="s">
        <v>50</v>
      </c>
      <c r="G33" s="37">
        <v>0</v>
      </c>
      <c r="H33" s="110">
        <f t="shared" si="0"/>
        <v>0</v>
      </c>
      <c r="I33" s="72"/>
    </row>
    <row r="34" spans="5:9" x14ac:dyDescent="0.4">
      <c r="E34" s="48" t="s">
        <v>90</v>
      </c>
      <c r="F34" s="45" t="s">
        <v>51</v>
      </c>
      <c r="G34" s="37">
        <v>0</v>
      </c>
      <c r="H34" s="110">
        <f t="shared" si="0"/>
        <v>0</v>
      </c>
      <c r="I34" s="72"/>
    </row>
    <row r="35" spans="5:9" x14ac:dyDescent="0.4">
      <c r="E35" s="48" t="s">
        <v>91</v>
      </c>
      <c r="F35" s="45" t="s">
        <v>52</v>
      </c>
      <c r="G35" s="37">
        <v>0</v>
      </c>
      <c r="H35" s="110">
        <f t="shared" si="0"/>
        <v>0</v>
      </c>
      <c r="I35" s="72"/>
    </row>
    <row r="36" spans="5:9" x14ac:dyDescent="0.4">
      <c r="E36" s="48" t="s">
        <v>92</v>
      </c>
      <c r="F36" s="45" t="s">
        <v>53</v>
      </c>
      <c r="G36" s="37">
        <v>0</v>
      </c>
      <c r="H36" s="110">
        <f t="shared" si="0"/>
        <v>0</v>
      </c>
      <c r="I36" s="72"/>
    </row>
    <row r="37" spans="5:9" x14ac:dyDescent="0.4">
      <c r="E37" s="48" t="s">
        <v>93</v>
      </c>
      <c r="F37" s="45" t="s">
        <v>54</v>
      </c>
      <c r="G37" s="37">
        <v>0</v>
      </c>
      <c r="H37" s="110">
        <f t="shared" si="0"/>
        <v>0</v>
      </c>
      <c r="I37" s="72"/>
    </row>
    <row r="38" spans="5:9" x14ac:dyDescent="0.4">
      <c r="E38" s="48" t="s">
        <v>94</v>
      </c>
      <c r="F38" s="45" t="s">
        <v>55</v>
      </c>
      <c r="G38" s="37">
        <v>0</v>
      </c>
      <c r="H38" s="110">
        <f t="shared" si="0"/>
        <v>0</v>
      </c>
      <c r="I38" s="72"/>
    </row>
    <row r="39" spans="5:9" x14ac:dyDescent="0.4">
      <c r="E39" s="48" t="s">
        <v>95</v>
      </c>
      <c r="F39" s="45" t="s">
        <v>56</v>
      </c>
      <c r="G39" s="37">
        <v>0</v>
      </c>
      <c r="H39" s="110">
        <f t="shared" si="0"/>
        <v>0</v>
      </c>
      <c r="I39" s="72"/>
    </row>
    <row r="40" spans="5:9" x14ac:dyDescent="0.4">
      <c r="E40" s="48" t="s">
        <v>96</v>
      </c>
      <c r="F40" s="45" t="s">
        <v>57</v>
      </c>
      <c r="G40" s="37">
        <v>0</v>
      </c>
      <c r="H40" s="110">
        <f t="shared" si="0"/>
        <v>0</v>
      </c>
      <c r="I40" s="72"/>
    </row>
    <row r="41" spans="5:9" x14ac:dyDescent="0.4">
      <c r="E41" s="48" t="s">
        <v>97</v>
      </c>
      <c r="F41" s="45" t="s">
        <v>58</v>
      </c>
      <c r="G41" s="37">
        <v>0</v>
      </c>
      <c r="H41" s="110">
        <f t="shared" si="0"/>
        <v>0</v>
      </c>
      <c r="I41" s="72"/>
    </row>
    <row r="42" spans="5:9" x14ac:dyDescent="0.4">
      <c r="E42" s="48" t="s">
        <v>98</v>
      </c>
      <c r="F42" s="45" t="s">
        <v>101</v>
      </c>
      <c r="G42" s="37">
        <v>0</v>
      </c>
      <c r="H42" s="110">
        <f t="shared" si="0"/>
        <v>0</v>
      </c>
      <c r="I42" s="72"/>
    </row>
    <row r="43" spans="5:9" x14ac:dyDescent="0.4">
      <c r="E43" s="48" t="s">
        <v>99</v>
      </c>
      <c r="F43" s="45" t="s">
        <v>102</v>
      </c>
      <c r="G43" s="37">
        <v>0</v>
      </c>
      <c r="H43" s="110">
        <f t="shared" si="0"/>
        <v>0</v>
      </c>
      <c r="I43" s="72"/>
    </row>
    <row r="44" spans="5:9" x14ac:dyDescent="0.4">
      <c r="E44" s="48" t="s">
        <v>100</v>
      </c>
      <c r="F44" s="45" t="s">
        <v>103</v>
      </c>
      <c r="G44" s="37">
        <v>0</v>
      </c>
      <c r="H44" s="110">
        <f t="shared" si="0"/>
        <v>0</v>
      </c>
      <c r="I44" s="72"/>
    </row>
    <row r="45" spans="5:9" x14ac:dyDescent="0.4">
      <c r="E45" s="49" t="s">
        <v>145</v>
      </c>
      <c r="F45" s="46" t="s">
        <v>146</v>
      </c>
      <c r="G45" s="39">
        <v>0</v>
      </c>
      <c r="H45" s="111">
        <f t="shared" si="0"/>
        <v>0</v>
      </c>
      <c r="I45" s="73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3"/>
  <sheetViews>
    <sheetView workbookViewId="0"/>
  </sheetViews>
  <sheetFormatPr defaultColWidth="9" defaultRowHeight="18.75" x14ac:dyDescent="0.4"/>
  <cols>
    <col min="1" max="1" width="19.25" style="26" customWidth="1"/>
    <col min="2" max="2" width="19.25" style="27" customWidth="1"/>
    <col min="3" max="16384" width="9" style="26"/>
  </cols>
  <sheetData>
    <row r="1" spans="1:3" x14ac:dyDescent="0.4">
      <c r="A1" s="25">
        <v>32874</v>
      </c>
      <c r="B1" s="25">
        <v>2958465</v>
      </c>
    </row>
    <row r="2" spans="1:3" x14ac:dyDescent="0.4">
      <c r="A2" s="26" t="s">
        <v>157</v>
      </c>
      <c r="B2" s="27">
        <v>43787.441250000003</v>
      </c>
      <c r="C2" s="26" t="s">
        <v>158</v>
      </c>
    </row>
    <row r="3" spans="1:3" x14ac:dyDescent="0.4">
      <c r="A3" s="26" t="s">
        <v>164</v>
      </c>
      <c r="B3" s="27">
        <v>43786.923078703701</v>
      </c>
      <c r="C3" s="26" t="s">
        <v>158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159</v>
      </c>
      <c r="B1">
        <v>8</v>
      </c>
    </row>
    <row r="2" spans="1:2" x14ac:dyDescent="0.4">
      <c r="A2" t="s">
        <v>163</v>
      </c>
      <c r="B2">
        <v>1</v>
      </c>
    </row>
    <row r="3" spans="1:2" x14ac:dyDescent="0.4">
      <c r="A3" t="s">
        <v>160</v>
      </c>
      <c r="B3">
        <v>1</v>
      </c>
    </row>
    <row r="4" spans="1:2" x14ac:dyDescent="0.4">
      <c r="A4" t="s">
        <v>161</v>
      </c>
      <c r="B4">
        <v>1</v>
      </c>
    </row>
    <row r="5" spans="1:2" x14ac:dyDescent="0.4">
      <c r="A5" t="s">
        <v>162</v>
      </c>
      <c r="B5">
        <v>1</v>
      </c>
    </row>
    <row r="6" spans="1:2" x14ac:dyDescent="0.4">
      <c r="A6" t="s">
        <v>168</v>
      </c>
      <c r="B6">
        <v>1</v>
      </c>
    </row>
    <row r="7" spans="1:2" x14ac:dyDescent="0.4">
      <c r="A7" t="s">
        <v>165</v>
      </c>
      <c r="B7">
        <v>1</v>
      </c>
    </row>
    <row r="8" spans="1:2" x14ac:dyDescent="0.4">
      <c r="A8" t="s">
        <v>166</v>
      </c>
      <c r="B8">
        <v>1</v>
      </c>
    </row>
    <row r="9" spans="1:2" x14ac:dyDescent="0.4">
      <c r="A9" t="s">
        <v>167</v>
      </c>
      <c r="B9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1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60" customWidth="1"/>
    <col min="2" max="2" width="10.75" style="61" customWidth="1"/>
    <col min="3" max="3" width="10.75" style="62" customWidth="1"/>
    <col min="4" max="4" width="10.75" style="63" customWidth="1"/>
    <col min="5" max="5" width="10.75" style="75" customWidth="1"/>
    <col min="6" max="6" width="10.75" style="63" customWidth="1"/>
    <col min="7" max="7" width="10.75" style="64" customWidth="1"/>
    <col min="8" max="8" width="10.75" style="63" customWidth="1"/>
    <col min="9" max="9" width="10.75" style="65" customWidth="1"/>
    <col min="10" max="10" width="10.75" style="63" customWidth="1"/>
    <col min="11" max="11" width="10.75" style="65" customWidth="1"/>
    <col min="12" max="12" width="10.75" style="63" customWidth="1"/>
    <col min="13" max="13" width="10.75" style="65" customWidth="1"/>
    <col min="14" max="14" width="10.75" style="63" customWidth="1"/>
    <col min="15" max="15" width="10.75" style="66" customWidth="1"/>
    <col min="16" max="16" width="10.75" style="63" customWidth="1"/>
    <col min="17" max="17" width="10.75" style="66" customWidth="1"/>
    <col min="18" max="18" width="10.75" style="63" customWidth="1"/>
    <col min="19" max="19" width="10.75" style="67" customWidth="1"/>
    <col min="20" max="20" width="10.75" style="63" customWidth="1"/>
    <col min="21" max="21" width="10.75" style="67" customWidth="1"/>
    <col min="22" max="22" width="10.75" style="63" customWidth="1"/>
    <col min="23" max="23" width="10.75" style="65" customWidth="1"/>
    <col min="24" max="24" width="10.75" style="63" customWidth="1"/>
    <col min="25" max="25" width="10.75" style="66" customWidth="1"/>
    <col min="26" max="26" width="10.75" style="63" customWidth="1"/>
    <col min="27" max="27" width="10.75" style="66" customWidth="1"/>
    <col min="28" max="28" width="10.75" style="63" customWidth="1"/>
    <col min="29" max="29" width="10.75" style="66" customWidth="1"/>
    <col min="30" max="30" width="10.75" style="63" customWidth="1"/>
    <col min="31" max="31" width="10.75" style="66" customWidth="1"/>
    <col min="32" max="32" width="10.75" style="63" customWidth="1"/>
    <col min="33" max="33" width="10.75" style="66" customWidth="1"/>
    <col min="34" max="34" width="10.75" style="63" customWidth="1"/>
    <col min="35" max="35" width="10.75" style="70" customWidth="1"/>
    <col min="36" max="16384" width="9" style="51"/>
  </cols>
  <sheetData>
    <row r="1" spans="1:35" x14ac:dyDescent="0.4">
      <c r="A1" s="50"/>
      <c r="B1" s="135" t="s">
        <v>6</v>
      </c>
      <c r="C1" s="136"/>
      <c r="D1" s="135" t="s">
        <v>7</v>
      </c>
      <c r="E1" s="136"/>
      <c r="F1" s="135" t="s">
        <v>16</v>
      </c>
      <c r="G1" s="136"/>
      <c r="H1" s="135" t="s">
        <v>15</v>
      </c>
      <c r="I1" s="136"/>
      <c r="J1" s="135" t="s">
        <v>138</v>
      </c>
      <c r="K1" s="136"/>
      <c r="L1" s="135" t="s">
        <v>154</v>
      </c>
      <c r="M1" s="136"/>
      <c r="N1" s="135" t="s">
        <v>127</v>
      </c>
      <c r="O1" s="136"/>
      <c r="P1" s="135" t="s">
        <v>128</v>
      </c>
      <c r="Q1" s="136"/>
      <c r="R1" s="135" t="s">
        <v>5</v>
      </c>
      <c r="S1" s="136"/>
      <c r="T1" s="135" t="s">
        <v>17</v>
      </c>
      <c r="U1" s="136"/>
      <c r="V1" s="135" t="s">
        <v>18</v>
      </c>
      <c r="W1" s="136"/>
      <c r="X1" s="135" t="s">
        <v>111</v>
      </c>
      <c r="Y1" s="136"/>
      <c r="Z1" s="135" t="s">
        <v>108</v>
      </c>
      <c r="AA1" s="136"/>
      <c r="AB1" s="135" t="s">
        <v>114</v>
      </c>
      <c r="AC1" s="136"/>
      <c r="AD1" s="135" t="s">
        <v>129</v>
      </c>
      <c r="AE1" s="136"/>
      <c r="AF1" s="135" t="s">
        <v>126</v>
      </c>
      <c r="AG1" s="136"/>
      <c r="AH1" s="135" t="s">
        <v>169</v>
      </c>
      <c r="AI1" s="136"/>
    </row>
    <row r="2" spans="1:35" x14ac:dyDescent="0.4">
      <c r="A2" s="50" t="s">
        <v>137</v>
      </c>
      <c r="B2" s="137"/>
      <c r="C2" s="138"/>
      <c r="D2" s="137"/>
      <c r="E2" s="138"/>
      <c r="F2" s="133" t="s">
        <v>156</v>
      </c>
      <c r="G2" s="134"/>
      <c r="H2" s="133" t="s">
        <v>156</v>
      </c>
      <c r="I2" s="134"/>
      <c r="J2" s="133" t="s">
        <v>156</v>
      </c>
      <c r="K2" s="134"/>
      <c r="L2" s="133" t="s">
        <v>156</v>
      </c>
      <c r="M2" s="134"/>
      <c r="N2" s="133" t="s">
        <v>156</v>
      </c>
      <c r="O2" s="134"/>
      <c r="P2" s="133" t="s">
        <v>156</v>
      </c>
      <c r="Q2" s="134"/>
      <c r="R2" s="133" t="s">
        <v>156</v>
      </c>
      <c r="S2" s="134"/>
      <c r="T2" s="133" t="s">
        <v>156</v>
      </c>
      <c r="U2" s="134"/>
      <c r="V2" s="133" t="s">
        <v>156</v>
      </c>
      <c r="W2" s="134"/>
      <c r="X2" s="133" t="s">
        <v>156</v>
      </c>
      <c r="Y2" s="134"/>
      <c r="Z2" s="133" t="s">
        <v>156</v>
      </c>
      <c r="AA2" s="134"/>
      <c r="AB2" s="133" t="s">
        <v>156</v>
      </c>
      <c r="AC2" s="134"/>
      <c r="AD2" s="133" t="s">
        <v>156</v>
      </c>
      <c r="AE2" s="134"/>
      <c r="AF2" s="133" t="s">
        <v>156</v>
      </c>
      <c r="AG2" s="134"/>
      <c r="AH2" s="133" t="s">
        <v>156</v>
      </c>
      <c r="AI2" s="134"/>
    </row>
    <row r="3" spans="1:35" x14ac:dyDescent="0.4">
      <c r="A3" s="52">
        <v>1</v>
      </c>
      <c r="B3" s="53" t="s">
        <v>160</v>
      </c>
      <c r="C3" s="54">
        <v>74.900000000000006</v>
      </c>
      <c r="D3" s="55" t="s">
        <v>160</v>
      </c>
      <c r="E3" s="74">
        <v>74.900000000000006</v>
      </c>
      <c r="F3" s="55" t="s">
        <v>160</v>
      </c>
      <c r="G3" s="56">
        <v>1</v>
      </c>
      <c r="H3" s="55" t="s">
        <v>160</v>
      </c>
      <c r="I3" s="57">
        <v>1</v>
      </c>
      <c r="J3" s="55" t="s">
        <v>163</v>
      </c>
      <c r="K3" s="57">
        <v>0</v>
      </c>
      <c r="L3" s="55" t="s">
        <v>163</v>
      </c>
      <c r="M3" s="57">
        <v>1</v>
      </c>
      <c r="N3" s="55" t="s">
        <v>167</v>
      </c>
      <c r="O3" s="58">
        <v>0.42857142857142855</v>
      </c>
      <c r="P3" s="55" t="s">
        <v>163</v>
      </c>
      <c r="Q3" s="58">
        <v>0</v>
      </c>
      <c r="R3" s="55" t="s">
        <v>168</v>
      </c>
      <c r="S3" s="59">
        <v>18000</v>
      </c>
      <c r="T3" s="55" t="s">
        <v>163</v>
      </c>
      <c r="U3" s="59">
        <v>0</v>
      </c>
      <c r="V3" s="55" t="s">
        <v>163</v>
      </c>
      <c r="W3" s="57">
        <v>0</v>
      </c>
      <c r="X3" s="55" t="s">
        <v>167</v>
      </c>
      <c r="Y3" s="58">
        <v>0.42857142857142855</v>
      </c>
      <c r="Z3" s="55" t="s">
        <v>162</v>
      </c>
      <c r="AA3" s="58">
        <v>0.3</v>
      </c>
      <c r="AB3" s="55" t="s">
        <v>160</v>
      </c>
      <c r="AC3" s="58">
        <v>0.66666666666666663</v>
      </c>
      <c r="AD3" s="55" t="s">
        <v>163</v>
      </c>
      <c r="AE3" s="58">
        <v>1</v>
      </c>
      <c r="AF3" s="55" t="s">
        <v>161</v>
      </c>
      <c r="AG3" s="58">
        <v>1</v>
      </c>
      <c r="AH3" s="55" t="s">
        <v>159</v>
      </c>
      <c r="AI3" s="69">
        <v>54900</v>
      </c>
    </row>
    <row r="4" spans="1:35" x14ac:dyDescent="0.4">
      <c r="A4" s="60">
        <v>2</v>
      </c>
      <c r="B4" s="61" t="s">
        <v>167</v>
      </c>
      <c r="C4" s="62">
        <v>61.1</v>
      </c>
      <c r="D4" s="63" t="s">
        <v>167</v>
      </c>
      <c r="E4" s="75">
        <v>61.1</v>
      </c>
      <c r="F4" s="63" t="s">
        <v>167</v>
      </c>
      <c r="G4" s="64">
        <v>1</v>
      </c>
      <c r="H4" s="63" t="s">
        <v>167</v>
      </c>
      <c r="I4" s="65">
        <v>1</v>
      </c>
      <c r="J4" s="63" t="s">
        <v>160</v>
      </c>
      <c r="K4" s="65">
        <v>0</v>
      </c>
      <c r="L4" s="63" t="s">
        <v>160</v>
      </c>
      <c r="M4" s="65">
        <v>1</v>
      </c>
      <c r="N4" s="63" t="s">
        <v>160</v>
      </c>
      <c r="O4" s="66">
        <v>0.3</v>
      </c>
      <c r="P4" s="63" t="s">
        <v>166</v>
      </c>
      <c r="Q4" s="66">
        <v>0</v>
      </c>
      <c r="R4" s="63" t="s">
        <v>163</v>
      </c>
      <c r="S4" s="67">
        <v>12000</v>
      </c>
      <c r="T4" s="63" t="s">
        <v>166</v>
      </c>
      <c r="U4" s="67">
        <v>0</v>
      </c>
      <c r="V4" s="63" t="s">
        <v>160</v>
      </c>
      <c r="W4" s="65">
        <v>0</v>
      </c>
      <c r="X4" s="63" t="s">
        <v>163</v>
      </c>
      <c r="Y4" s="66">
        <v>0.4</v>
      </c>
      <c r="Z4" s="63" t="s">
        <v>168</v>
      </c>
      <c r="AA4" s="66">
        <v>0.2857142857142857</v>
      </c>
      <c r="AB4" s="63" t="s">
        <v>167</v>
      </c>
      <c r="AC4" s="66">
        <v>0.66666666666666663</v>
      </c>
      <c r="AD4" s="63" t="s">
        <v>159</v>
      </c>
      <c r="AE4" s="66">
        <v>0.1</v>
      </c>
      <c r="AF4" s="63" t="s">
        <v>167</v>
      </c>
      <c r="AG4" s="66">
        <v>0.66666666666666663</v>
      </c>
      <c r="AH4" s="63" t="s">
        <v>160</v>
      </c>
      <c r="AI4" s="70">
        <v>54900</v>
      </c>
    </row>
    <row r="5" spans="1:35" x14ac:dyDescent="0.4">
      <c r="A5" s="60">
        <v>3</v>
      </c>
      <c r="B5" s="61" t="s">
        <v>166</v>
      </c>
      <c r="C5" s="62">
        <v>14</v>
      </c>
      <c r="D5" s="63" t="s">
        <v>166</v>
      </c>
      <c r="E5" s="75">
        <v>14</v>
      </c>
      <c r="F5" s="63" t="s">
        <v>163</v>
      </c>
      <c r="G5" s="64">
        <v>2</v>
      </c>
      <c r="H5" s="63" t="s">
        <v>159</v>
      </c>
      <c r="I5" s="65">
        <v>0.25</v>
      </c>
      <c r="J5" s="63" t="s">
        <v>162</v>
      </c>
      <c r="K5" s="65">
        <v>0</v>
      </c>
      <c r="L5" s="63" t="s">
        <v>166</v>
      </c>
      <c r="M5" s="65">
        <v>1</v>
      </c>
      <c r="N5" s="63" t="s">
        <v>166</v>
      </c>
      <c r="O5" s="66">
        <v>0.2857142857142857</v>
      </c>
      <c r="P5" s="63" t="s">
        <v>160</v>
      </c>
      <c r="Q5" s="66">
        <v>0.1</v>
      </c>
      <c r="R5" s="63" t="s">
        <v>160</v>
      </c>
      <c r="S5" s="67">
        <v>11933.333333333334</v>
      </c>
      <c r="T5" s="63" t="s">
        <v>161</v>
      </c>
      <c r="U5" s="67">
        <v>-6800</v>
      </c>
      <c r="V5" s="63" t="s">
        <v>162</v>
      </c>
      <c r="W5" s="65">
        <v>0</v>
      </c>
      <c r="X5" s="63" t="s">
        <v>162</v>
      </c>
      <c r="Y5" s="66">
        <v>0.4</v>
      </c>
      <c r="Z5" s="63" t="s">
        <v>160</v>
      </c>
      <c r="AA5" s="66">
        <v>0.2</v>
      </c>
      <c r="AB5" s="63" t="s">
        <v>162</v>
      </c>
      <c r="AC5" s="66">
        <v>0.5</v>
      </c>
      <c r="AD5" s="63" t="s">
        <v>160</v>
      </c>
      <c r="AE5" s="66">
        <v>0</v>
      </c>
      <c r="AF5" s="63" t="s">
        <v>166</v>
      </c>
      <c r="AG5" s="66">
        <v>0.5</v>
      </c>
      <c r="AH5" s="63" t="s">
        <v>167</v>
      </c>
      <c r="AI5" s="70">
        <v>41100</v>
      </c>
    </row>
    <row r="6" spans="1:35" x14ac:dyDescent="0.4">
      <c r="A6" s="60">
        <v>4</v>
      </c>
      <c r="B6" s="61" t="s">
        <v>163</v>
      </c>
      <c r="C6" s="62">
        <v>11.9</v>
      </c>
      <c r="D6" s="63" t="s">
        <v>163</v>
      </c>
      <c r="E6" s="75">
        <v>11.9</v>
      </c>
      <c r="F6" s="63" t="s">
        <v>166</v>
      </c>
      <c r="G6" s="64">
        <v>2</v>
      </c>
      <c r="H6" s="63" t="s">
        <v>163</v>
      </c>
      <c r="I6" s="65">
        <v>0</v>
      </c>
      <c r="J6" s="63" t="s">
        <v>168</v>
      </c>
      <c r="K6" s="65">
        <v>0</v>
      </c>
      <c r="L6" s="63" t="s">
        <v>167</v>
      </c>
      <c r="M6" s="65">
        <v>1</v>
      </c>
      <c r="N6" s="63" t="s">
        <v>162</v>
      </c>
      <c r="O6" s="66">
        <v>0.2</v>
      </c>
      <c r="P6" s="63" t="s">
        <v>162</v>
      </c>
      <c r="Q6" s="66">
        <v>0.1</v>
      </c>
      <c r="R6" s="63" t="s">
        <v>159</v>
      </c>
      <c r="S6" s="67">
        <v>9753.8461538461543</v>
      </c>
      <c r="T6" s="63" t="s">
        <v>160</v>
      </c>
      <c r="U6" s="67">
        <v>-8000</v>
      </c>
      <c r="V6" s="63" t="s">
        <v>168</v>
      </c>
      <c r="W6" s="65">
        <v>0</v>
      </c>
      <c r="X6" s="63" t="s">
        <v>159</v>
      </c>
      <c r="Y6" s="66">
        <v>0.3235294117647059</v>
      </c>
      <c r="Z6" s="63" t="s">
        <v>159</v>
      </c>
      <c r="AA6" s="66">
        <v>0.14705882352941177</v>
      </c>
      <c r="AB6" s="63" t="s">
        <v>168</v>
      </c>
      <c r="AC6" s="66">
        <v>0.5</v>
      </c>
      <c r="AD6" s="63" t="s">
        <v>161</v>
      </c>
      <c r="AE6" s="66">
        <v>0</v>
      </c>
      <c r="AF6" s="63" t="s">
        <v>159</v>
      </c>
      <c r="AG6" s="66">
        <v>0.38461538461538464</v>
      </c>
      <c r="AH6" s="63" t="s">
        <v>166</v>
      </c>
      <c r="AI6" s="70">
        <v>34000</v>
      </c>
    </row>
    <row r="7" spans="1:35" x14ac:dyDescent="0.4">
      <c r="A7" s="60">
        <v>5</v>
      </c>
      <c r="B7" s="61" t="s">
        <v>159</v>
      </c>
      <c r="C7" s="62">
        <v>7.1054273576010019E-15</v>
      </c>
      <c r="D7" s="63" t="s">
        <v>159</v>
      </c>
      <c r="E7" s="75">
        <v>8.8817841970012523E-16</v>
      </c>
      <c r="F7" s="63" t="s">
        <v>159</v>
      </c>
      <c r="G7" s="64">
        <v>2.5</v>
      </c>
      <c r="H7" s="63" t="s">
        <v>161</v>
      </c>
      <c r="I7" s="65">
        <v>0</v>
      </c>
      <c r="J7" s="63" t="s">
        <v>166</v>
      </c>
      <c r="K7" s="65">
        <v>0</v>
      </c>
      <c r="L7" s="63" t="s">
        <v>159</v>
      </c>
      <c r="M7" s="65">
        <v>0.5</v>
      </c>
      <c r="N7" s="63" t="s">
        <v>159</v>
      </c>
      <c r="O7" s="66">
        <v>0.19117647058823528</v>
      </c>
      <c r="P7" s="63" t="s">
        <v>159</v>
      </c>
      <c r="Q7" s="66">
        <v>0.11764705882352941</v>
      </c>
      <c r="R7" s="63" t="s">
        <v>167</v>
      </c>
      <c r="S7" s="67">
        <v>9733.3333333333339</v>
      </c>
      <c r="T7" s="63" t="s">
        <v>159</v>
      </c>
      <c r="U7" s="67">
        <v>-10300</v>
      </c>
      <c r="V7" s="63" t="s">
        <v>166</v>
      </c>
      <c r="W7" s="65">
        <v>0</v>
      </c>
      <c r="X7" s="63" t="s">
        <v>160</v>
      </c>
      <c r="Y7" s="66">
        <v>0.3</v>
      </c>
      <c r="Z7" s="63" t="s">
        <v>166</v>
      </c>
      <c r="AA7" s="66">
        <v>0.14285714285714285</v>
      </c>
      <c r="AB7" s="63" t="s">
        <v>166</v>
      </c>
      <c r="AC7" s="66">
        <v>0.5</v>
      </c>
      <c r="AD7" s="63" t="s">
        <v>162</v>
      </c>
      <c r="AE7" s="66">
        <v>0</v>
      </c>
      <c r="AF7" s="63" t="s">
        <v>160</v>
      </c>
      <c r="AG7" s="66">
        <v>0.33333333333333331</v>
      </c>
      <c r="AH7" s="63" t="s">
        <v>163</v>
      </c>
      <c r="AI7" s="70">
        <v>31900</v>
      </c>
    </row>
    <row r="8" spans="1:35" x14ac:dyDescent="0.4">
      <c r="A8" s="60">
        <v>6</v>
      </c>
      <c r="B8" s="61" t="s">
        <v>168</v>
      </c>
      <c r="C8" s="62">
        <v>-14.2</v>
      </c>
      <c r="D8" s="63" t="s">
        <v>168</v>
      </c>
      <c r="E8" s="75">
        <v>-14.2</v>
      </c>
      <c r="F8" s="63" t="s">
        <v>162</v>
      </c>
      <c r="G8" s="64">
        <v>3</v>
      </c>
      <c r="H8" s="63" t="s">
        <v>162</v>
      </c>
      <c r="I8" s="65">
        <v>0</v>
      </c>
      <c r="J8" s="63" t="s">
        <v>167</v>
      </c>
      <c r="K8" s="65">
        <v>0</v>
      </c>
      <c r="L8" s="63" t="s">
        <v>161</v>
      </c>
      <c r="M8" s="65">
        <v>0</v>
      </c>
      <c r="N8" s="63" t="s">
        <v>168</v>
      </c>
      <c r="O8" s="66">
        <v>0.14285714285714285</v>
      </c>
      <c r="P8" s="63" t="s">
        <v>168</v>
      </c>
      <c r="Q8" s="66">
        <v>0.14285714285714285</v>
      </c>
      <c r="R8" s="63" t="s">
        <v>166</v>
      </c>
      <c r="S8" s="67">
        <v>8600</v>
      </c>
      <c r="T8" s="63" t="s">
        <v>162</v>
      </c>
      <c r="U8" s="67">
        <v>-12000</v>
      </c>
      <c r="V8" s="63" t="s">
        <v>167</v>
      </c>
      <c r="W8" s="65">
        <v>0</v>
      </c>
      <c r="X8" s="63" t="s">
        <v>161</v>
      </c>
      <c r="Y8" s="66">
        <v>0.3</v>
      </c>
      <c r="Z8" s="63" t="s">
        <v>163</v>
      </c>
      <c r="AA8" s="66">
        <v>0.1</v>
      </c>
      <c r="AB8" s="63" t="s">
        <v>159</v>
      </c>
      <c r="AC8" s="66">
        <v>0.40909090909090912</v>
      </c>
      <c r="AD8" s="63" t="s">
        <v>168</v>
      </c>
      <c r="AE8" s="66">
        <v>0</v>
      </c>
      <c r="AF8" s="63" t="s">
        <v>163</v>
      </c>
      <c r="AG8" s="66">
        <v>0</v>
      </c>
      <c r="AH8" s="63" t="s">
        <v>168</v>
      </c>
      <c r="AI8" s="70">
        <v>25800</v>
      </c>
    </row>
    <row r="9" spans="1:35" x14ac:dyDescent="0.4">
      <c r="A9" s="60">
        <v>7</v>
      </c>
      <c r="B9" s="61" t="s">
        <v>162</v>
      </c>
      <c r="C9" s="62">
        <v>-25.1</v>
      </c>
      <c r="D9" s="63" t="s">
        <v>162</v>
      </c>
      <c r="E9" s="75">
        <v>-25.1</v>
      </c>
      <c r="F9" s="63" t="s">
        <v>168</v>
      </c>
      <c r="G9" s="64">
        <v>3</v>
      </c>
      <c r="H9" s="63" t="s">
        <v>168</v>
      </c>
      <c r="I9" s="65">
        <v>0</v>
      </c>
      <c r="J9" s="63" t="s">
        <v>159</v>
      </c>
      <c r="K9" s="65">
        <v>0.25</v>
      </c>
      <c r="L9" s="63" t="s">
        <v>162</v>
      </c>
      <c r="M9" s="65">
        <v>0</v>
      </c>
      <c r="N9" s="63" t="s">
        <v>163</v>
      </c>
      <c r="O9" s="66">
        <v>0.1</v>
      </c>
      <c r="P9" s="63" t="s">
        <v>165</v>
      </c>
      <c r="Q9" s="66">
        <v>0.14285714285714285</v>
      </c>
      <c r="R9" s="63" t="s">
        <v>162</v>
      </c>
      <c r="S9" s="67">
        <v>5300</v>
      </c>
      <c r="T9" s="63" t="s">
        <v>168</v>
      </c>
      <c r="U9" s="67">
        <v>-12000</v>
      </c>
      <c r="V9" s="63" t="s">
        <v>159</v>
      </c>
      <c r="W9" s="65">
        <v>0.25</v>
      </c>
      <c r="X9" s="63" t="s">
        <v>168</v>
      </c>
      <c r="Y9" s="66">
        <v>0.2857142857142857</v>
      </c>
      <c r="Z9" s="63" t="s">
        <v>161</v>
      </c>
      <c r="AA9" s="66">
        <v>0.1</v>
      </c>
      <c r="AB9" s="63" t="s">
        <v>161</v>
      </c>
      <c r="AC9" s="66">
        <v>0.33333333333333331</v>
      </c>
      <c r="AD9" s="63" t="s">
        <v>165</v>
      </c>
      <c r="AE9" s="66">
        <v>0</v>
      </c>
      <c r="AF9" s="63" t="s">
        <v>162</v>
      </c>
      <c r="AG9" s="66">
        <v>0</v>
      </c>
      <c r="AH9" s="63" t="s">
        <v>162</v>
      </c>
      <c r="AI9" s="70">
        <v>14900</v>
      </c>
    </row>
    <row r="10" spans="1:35" x14ac:dyDescent="0.4">
      <c r="A10" s="60">
        <v>8</v>
      </c>
      <c r="B10" s="61" t="s">
        <v>165</v>
      </c>
      <c r="C10" s="62">
        <v>-60.9</v>
      </c>
      <c r="D10" s="63" t="s">
        <v>165</v>
      </c>
      <c r="E10" s="75">
        <v>-60.9</v>
      </c>
      <c r="F10" s="63" t="s">
        <v>161</v>
      </c>
      <c r="G10" s="64">
        <v>4</v>
      </c>
      <c r="H10" s="63" t="s">
        <v>165</v>
      </c>
      <c r="I10" s="65">
        <v>0</v>
      </c>
      <c r="J10" s="63" t="s">
        <v>161</v>
      </c>
      <c r="K10" s="65">
        <v>1</v>
      </c>
      <c r="L10" s="63" t="s">
        <v>168</v>
      </c>
      <c r="M10" s="65">
        <v>0</v>
      </c>
      <c r="N10" s="63" t="s">
        <v>161</v>
      </c>
      <c r="O10" s="66">
        <v>0.1</v>
      </c>
      <c r="P10" s="63" t="s">
        <v>167</v>
      </c>
      <c r="Q10" s="66">
        <v>0.14285714285714285</v>
      </c>
      <c r="R10" s="63" t="s">
        <v>161</v>
      </c>
      <c r="S10" s="67">
        <v>4000</v>
      </c>
      <c r="T10" s="63" t="s">
        <v>167</v>
      </c>
      <c r="U10" s="67">
        <v>-12000</v>
      </c>
      <c r="V10" s="63" t="s">
        <v>161</v>
      </c>
      <c r="W10" s="65">
        <v>1</v>
      </c>
      <c r="X10" s="63" t="s">
        <v>166</v>
      </c>
      <c r="Y10" s="66">
        <v>0.2857142857142857</v>
      </c>
      <c r="Z10" s="63" t="s">
        <v>165</v>
      </c>
      <c r="AA10" s="66">
        <v>0</v>
      </c>
      <c r="AB10" s="63" t="s">
        <v>163</v>
      </c>
      <c r="AC10" s="66">
        <v>0</v>
      </c>
      <c r="AD10" s="63" t="s">
        <v>166</v>
      </c>
      <c r="AE10" s="66">
        <v>0</v>
      </c>
      <c r="AF10" s="63" t="s">
        <v>168</v>
      </c>
      <c r="AG10" s="66">
        <v>0</v>
      </c>
      <c r="AH10" s="63" t="s">
        <v>165</v>
      </c>
      <c r="AI10" s="70">
        <v>-900</v>
      </c>
    </row>
    <row r="11" spans="1:35" x14ac:dyDescent="0.4">
      <c r="A11" s="60">
        <v>9</v>
      </c>
      <c r="B11" s="61" t="s">
        <v>161</v>
      </c>
      <c r="C11" s="62">
        <v>-61.7</v>
      </c>
      <c r="D11" s="63" t="s">
        <v>161</v>
      </c>
      <c r="E11" s="75">
        <v>-61.7</v>
      </c>
      <c r="F11" s="63" t="s">
        <v>165</v>
      </c>
      <c r="G11" s="64">
        <v>4</v>
      </c>
      <c r="H11" s="63" t="s">
        <v>166</v>
      </c>
      <c r="I11" s="65">
        <v>0</v>
      </c>
      <c r="J11" s="63" t="s">
        <v>165</v>
      </c>
      <c r="K11" s="65">
        <v>1</v>
      </c>
      <c r="L11" s="63" t="s">
        <v>165</v>
      </c>
      <c r="M11" s="65">
        <v>0</v>
      </c>
      <c r="N11" s="63" t="s">
        <v>165</v>
      </c>
      <c r="O11" s="66">
        <v>0</v>
      </c>
      <c r="P11" s="63" t="s">
        <v>161</v>
      </c>
      <c r="Q11" s="66">
        <v>0.3</v>
      </c>
      <c r="R11" s="63" t="s">
        <v>165</v>
      </c>
      <c r="S11" s="67">
        <v>0</v>
      </c>
      <c r="T11" s="63" t="s">
        <v>165</v>
      </c>
      <c r="U11" s="67">
        <v>-18000</v>
      </c>
      <c r="V11" s="63" t="s">
        <v>165</v>
      </c>
      <c r="W11" s="65">
        <v>1</v>
      </c>
      <c r="X11" s="63" t="s">
        <v>165</v>
      </c>
      <c r="Y11" s="66">
        <v>0.14285714285714285</v>
      </c>
      <c r="Z11" s="63" t="s">
        <v>167</v>
      </c>
      <c r="AA11" s="66">
        <v>0</v>
      </c>
      <c r="AB11" s="63" t="s">
        <v>165</v>
      </c>
      <c r="AC11" s="66">
        <v>0</v>
      </c>
      <c r="AD11" s="63" t="s">
        <v>167</v>
      </c>
      <c r="AE11" s="66">
        <v>0</v>
      </c>
      <c r="AF11" s="63" t="s">
        <v>165</v>
      </c>
      <c r="AG11" s="66">
        <v>0</v>
      </c>
      <c r="AH11" s="63" t="s">
        <v>161</v>
      </c>
      <c r="AI11" s="70">
        <v>-1700</v>
      </c>
    </row>
  </sheetData>
  <sortState xmlns:xlrd2="http://schemas.microsoft.com/office/spreadsheetml/2017/richdata2" ref="AH3:AI37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F1:G1"/>
    <mergeCell ref="H1:I1"/>
    <mergeCell ref="N1:O1"/>
    <mergeCell ref="J1:K1"/>
    <mergeCell ref="L1:M1"/>
    <mergeCell ref="B2:C2"/>
    <mergeCell ref="D2:E2"/>
    <mergeCell ref="F2:G2"/>
    <mergeCell ref="H2:I2"/>
    <mergeCell ref="N2:O2"/>
    <mergeCell ref="J2:K2"/>
    <mergeCell ref="L2:M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665B-22B9-4F39-A203-A6CA05B11F48}">
  <sheetPr codeName="Sheet4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159</v>
      </c>
      <c r="C1" s="124"/>
      <c r="E1" s="106" t="s">
        <v>142</v>
      </c>
      <c r="F1" s="116" t="s">
        <v>104</v>
      </c>
      <c r="G1" s="115" t="s">
        <v>105</v>
      </c>
      <c r="H1" s="107" t="s">
        <v>106</v>
      </c>
      <c r="I1" s="116" t="s">
        <v>130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134</v>
      </c>
    </row>
    <row r="2" spans="1:17" x14ac:dyDescent="0.4">
      <c r="A2" s="20" t="s">
        <v>9</v>
      </c>
      <c r="B2" s="125">
        <v>8</v>
      </c>
      <c r="C2" s="126"/>
      <c r="E2" s="47" t="s">
        <v>62</v>
      </c>
      <c r="F2" s="44" t="s">
        <v>24</v>
      </c>
      <c r="G2" s="36">
        <v>11</v>
      </c>
      <c r="H2" s="109">
        <f>IF(B$19=0,0,G2/B$19)</f>
        <v>0.84615384615384615</v>
      </c>
      <c r="I2" s="71">
        <v>5</v>
      </c>
      <c r="K2" s="3">
        <v>0</v>
      </c>
      <c r="L2" s="76">
        <v>0</v>
      </c>
      <c r="N2" s="91" t="s">
        <v>115</v>
      </c>
      <c r="O2" s="98">
        <f t="shared" ref="O2:O9" si="0">IF(P2=0,0,Q2/P2)</f>
        <v>0</v>
      </c>
      <c r="P2" s="95">
        <v>8</v>
      </c>
      <c r="Q2" s="79">
        <v>0</v>
      </c>
    </row>
    <row r="3" spans="1:17" x14ac:dyDescent="0.4">
      <c r="A3" s="40" t="s">
        <v>8</v>
      </c>
      <c r="B3" s="127">
        <v>68</v>
      </c>
      <c r="C3" s="128"/>
      <c r="E3" s="48" t="s">
        <v>59</v>
      </c>
      <c r="F3" s="45" t="s">
        <v>21</v>
      </c>
      <c r="G3" s="37">
        <v>9</v>
      </c>
      <c r="H3" s="110">
        <f>IF(B$19=0,0,G3/B$19)</f>
        <v>0.69230769230769229</v>
      </c>
      <c r="I3" s="72">
        <v>4</v>
      </c>
      <c r="K3" s="5">
        <v>1</v>
      </c>
      <c r="L3" s="77">
        <v>11.9</v>
      </c>
      <c r="N3" s="92" t="s">
        <v>116</v>
      </c>
      <c r="O3" s="99">
        <f t="shared" si="0"/>
        <v>0</v>
      </c>
      <c r="P3" s="96">
        <v>8</v>
      </c>
      <c r="Q3" s="80">
        <v>0</v>
      </c>
    </row>
    <row r="4" spans="1:17" x14ac:dyDescent="0.4">
      <c r="A4" s="40" t="s">
        <v>6</v>
      </c>
      <c r="B4" s="129">
        <v>7.1054273576010019E-15</v>
      </c>
      <c r="C4" s="130"/>
      <c r="E4" s="48" t="s">
        <v>61</v>
      </c>
      <c r="F4" s="45" t="s">
        <v>23</v>
      </c>
      <c r="G4" s="37">
        <v>9</v>
      </c>
      <c r="H4" s="110">
        <f>IF(B$19=0,0,G4/B$19)</f>
        <v>0.69230769230769229</v>
      </c>
      <c r="I4" s="72">
        <v>3</v>
      </c>
      <c r="K4" s="5">
        <v>2</v>
      </c>
      <c r="L4" s="77">
        <v>86.800000000000011</v>
      </c>
      <c r="N4" s="92" t="s">
        <v>117</v>
      </c>
      <c r="O4" s="99">
        <f t="shared" si="0"/>
        <v>-250</v>
      </c>
      <c r="P4" s="96">
        <v>8</v>
      </c>
      <c r="Q4" s="80">
        <v>-2000</v>
      </c>
    </row>
    <row r="5" spans="1:17" x14ac:dyDescent="0.4">
      <c r="A5" s="40" t="s">
        <v>7</v>
      </c>
      <c r="B5" s="131">
        <f>IF(B$2=0,0,B$4/B$2)</f>
        <v>8.8817841970012523E-16</v>
      </c>
      <c r="C5" s="132"/>
      <c r="E5" s="48" t="s">
        <v>145</v>
      </c>
      <c r="F5" s="45" t="s">
        <v>146</v>
      </c>
      <c r="G5" s="37">
        <v>7</v>
      </c>
      <c r="H5" s="110">
        <f>IF(B$19=0,0,G5/B$19)</f>
        <v>0.53846153846153844</v>
      </c>
      <c r="I5" s="72">
        <v>4</v>
      </c>
      <c r="K5" s="5">
        <v>3</v>
      </c>
      <c r="L5" s="77">
        <v>25.100000000000009</v>
      </c>
      <c r="N5" s="92" t="s">
        <v>151</v>
      </c>
      <c r="O5" s="99">
        <f t="shared" si="0"/>
        <v>250</v>
      </c>
      <c r="P5" s="96">
        <v>8</v>
      </c>
      <c r="Q5" s="80">
        <v>2000</v>
      </c>
    </row>
    <row r="6" spans="1:17" x14ac:dyDescent="0.4">
      <c r="A6" s="40" t="s">
        <v>1</v>
      </c>
      <c r="B6" s="121">
        <f>IF(B$2=0,0,(B$7*1+B$8*2+B$9*3+B$10*4)/B$2)</f>
        <v>2.5</v>
      </c>
      <c r="C6" s="122"/>
      <c r="E6" s="48" t="s">
        <v>63</v>
      </c>
      <c r="F6" s="45" t="s">
        <v>12</v>
      </c>
      <c r="G6" s="37">
        <v>5</v>
      </c>
      <c r="H6" s="110">
        <f>IF(B$19=0,0,G6/B$19)</f>
        <v>0.38461538461538464</v>
      </c>
      <c r="I6" s="72">
        <v>4</v>
      </c>
      <c r="K6" s="5">
        <v>4</v>
      </c>
      <c r="L6" s="77">
        <v>7.1054273576010019E-15</v>
      </c>
      <c r="N6" s="92" t="s">
        <v>118</v>
      </c>
      <c r="O6" s="99">
        <f t="shared" si="0"/>
        <v>0</v>
      </c>
      <c r="P6" s="96">
        <v>4</v>
      </c>
      <c r="Q6" s="80">
        <v>0</v>
      </c>
    </row>
    <row r="7" spans="1:17" x14ac:dyDescent="0.4">
      <c r="A7" s="40" t="s">
        <v>2</v>
      </c>
      <c r="B7" s="37">
        <v>2</v>
      </c>
      <c r="C7" s="32">
        <f>IF(B$2=0,0,B7/B$2)</f>
        <v>0.25</v>
      </c>
      <c r="E7" s="48" t="s">
        <v>64</v>
      </c>
      <c r="F7" s="45" t="s">
        <v>25</v>
      </c>
      <c r="G7" s="37">
        <v>5</v>
      </c>
      <c r="H7" s="110">
        <f>IF(B$19=0,0,G7/B$19)</f>
        <v>0.38461538461538464</v>
      </c>
      <c r="I7" s="72">
        <v>4</v>
      </c>
      <c r="K7" s="5">
        <v>5</v>
      </c>
      <c r="L7" s="77">
        <v>-14.199999999999992</v>
      </c>
      <c r="N7" s="92" t="s">
        <v>119</v>
      </c>
      <c r="O7" s="99">
        <f t="shared" si="0"/>
        <v>0</v>
      </c>
      <c r="P7" s="96">
        <v>4</v>
      </c>
      <c r="Q7" s="80">
        <v>0</v>
      </c>
    </row>
    <row r="8" spans="1:17" x14ac:dyDescent="0.4">
      <c r="A8" s="40" t="s">
        <v>3</v>
      </c>
      <c r="B8" s="37">
        <v>2</v>
      </c>
      <c r="C8" s="32">
        <f>IF(B$2=0,0,B8/B$2)</f>
        <v>0.25</v>
      </c>
      <c r="E8" s="48" t="s">
        <v>66</v>
      </c>
      <c r="F8" s="45" t="s">
        <v>27</v>
      </c>
      <c r="G8" s="37">
        <v>3</v>
      </c>
      <c r="H8" s="110">
        <f>IF(B$19=0,0,G8/B$19)</f>
        <v>0.23076923076923078</v>
      </c>
      <c r="I8" s="72">
        <v>4</v>
      </c>
      <c r="K8" s="5">
        <v>6</v>
      </c>
      <c r="L8" s="77">
        <v>-75.099999999999994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2</v>
      </c>
      <c r="C9" s="33">
        <f t="shared" ref="C9:C10" si="1">IF(B$2=0,0,B9/B$2)</f>
        <v>0.25</v>
      </c>
      <c r="E9" s="48" t="s">
        <v>60</v>
      </c>
      <c r="F9" s="45" t="s">
        <v>22</v>
      </c>
      <c r="G9" s="37">
        <v>2</v>
      </c>
      <c r="H9" s="110">
        <f>IF(B$19=0,0,G9/B$19)</f>
        <v>0.15384615384615385</v>
      </c>
      <c r="I9" s="72">
        <v>3</v>
      </c>
      <c r="K9" s="5">
        <v>7</v>
      </c>
      <c r="L9" s="77">
        <v>-61.099999999999994</v>
      </c>
      <c r="N9" s="93" t="s">
        <v>150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147</v>
      </c>
      <c r="B10" s="38">
        <v>2</v>
      </c>
      <c r="C10" s="33">
        <f t="shared" si="1"/>
        <v>0.25</v>
      </c>
      <c r="E10" s="48" t="s">
        <v>65</v>
      </c>
      <c r="F10" s="45" t="s">
        <v>26</v>
      </c>
      <c r="G10" s="37">
        <v>2</v>
      </c>
      <c r="H10" s="110">
        <f>IF(B$19=0,0,G10/B$19)</f>
        <v>0.15384615384615385</v>
      </c>
      <c r="I10" s="72">
        <v>3</v>
      </c>
      <c r="K10" s="5">
        <v>8</v>
      </c>
      <c r="L10" s="77">
        <v>7.1054273576010019E-15</v>
      </c>
      <c r="N10" s="35"/>
      <c r="O10" s="104"/>
      <c r="P10" s="88"/>
      <c r="Q10" s="86"/>
    </row>
    <row r="11" spans="1:17" x14ac:dyDescent="0.4">
      <c r="A11" s="41" t="s">
        <v>155</v>
      </c>
      <c r="B11" s="38">
        <f>トップ数+B8</f>
        <v>4</v>
      </c>
      <c r="C11" s="33">
        <f>IF(B$2=0,0,B11/B$2)</f>
        <v>0.5</v>
      </c>
      <c r="E11" s="48" t="s">
        <v>67</v>
      </c>
      <c r="F11" s="45" t="s">
        <v>28</v>
      </c>
      <c r="G11" s="37">
        <v>1</v>
      </c>
      <c r="H11" s="110">
        <f>IF(B$19=0,0,G11/B$19)</f>
        <v>7.6923076923076927E-2</v>
      </c>
      <c r="I11" s="72">
        <v>2</v>
      </c>
      <c r="N11" s="90" t="s">
        <v>139</v>
      </c>
      <c r="O11" s="30" t="s">
        <v>109</v>
      </c>
      <c r="P11" s="94" t="s">
        <v>105</v>
      </c>
      <c r="Q11" s="82" t="s">
        <v>134</v>
      </c>
    </row>
    <row r="12" spans="1:17" x14ac:dyDescent="0.4">
      <c r="A12" s="41" t="s">
        <v>19</v>
      </c>
      <c r="B12" s="38">
        <v>2</v>
      </c>
      <c r="C12" s="33">
        <f>IF(B$2=0,0,B12/B$2)</f>
        <v>0.25</v>
      </c>
      <c r="E12" s="48" t="s">
        <v>152</v>
      </c>
      <c r="F12" s="45" t="s">
        <v>153</v>
      </c>
      <c r="G12" s="37">
        <v>1</v>
      </c>
      <c r="H12" s="110">
        <f>IF(B$19=0,0,G12/B$19)</f>
        <v>7.6923076923076927E-2</v>
      </c>
      <c r="I12" s="72">
        <v>2</v>
      </c>
      <c r="N12" s="91" t="s">
        <v>140</v>
      </c>
      <c r="O12" s="101">
        <f>IF(P12=0,0,Q12/P12)</f>
        <v>-1.1499999999999995</v>
      </c>
      <c r="P12" s="95">
        <v>2</v>
      </c>
      <c r="Q12" s="83">
        <v>-2.2999999999999989</v>
      </c>
    </row>
    <row r="13" spans="1:17" x14ac:dyDescent="0.4">
      <c r="A13" s="41" t="s">
        <v>123</v>
      </c>
      <c r="B13" s="38">
        <v>2</v>
      </c>
      <c r="C13" s="33">
        <f>IF(B$2=0,0,B13/B$2)</f>
        <v>0.25</v>
      </c>
      <c r="E13" s="48" t="s">
        <v>78</v>
      </c>
      <c r="F13" s="45" t="s">
        <v>39</v>
      </c>
      <c r="G13" s="37">
        <v>1</v>
      </c>
      <c r="H13" s="110">
        <f>IF(B$19=0,0,G13/B$19)</f>
        <v>7.6923076923076927E-2</v>
      </c>
      <c r="I13" s="72">
        <v>2</v>
      </c>
      <c r="N13" s="92" t="s">
        <v>141</v>
      </c>
      <c r="O13" s="102">
        <f>IF(P13=0,0,Q13/P13)</f>
        <v>7.0000000000000036</v>
      </c>
      <c r="P13" s="96">
        <v>2</v>
      </c>
      <c r="Q13" s="84">
        <v>14.000000000000007</v>
      </c>
    </row>
    <row r="14" spans="1:17" x14ac:dyDescent="0.4">
      <c r="A14" s="42" t="s">
        <v>136</v>
      </c>
      <c r="B14" s="39">
        <v>1</v>
      </c>
      <c r="C14" s="34">
        <f>IF(B$2=0,0,B14/B$2)</f>
        <v>0.125</v>
      </c>
      <c r="E14" s="48" t="s">
        <v>81</v>
      </c>
      <c r="F14" s="45" t="s">
        <v>42</v>
      </c>
      <c r="G14" s="37">
        <v>1</v>
      </c>
      <c r="H14" s="110">
        <f>IF(B$19=0,0,G14/B$19)</f>
        <v>7.6923076923076927E-2</v>
      </c>
      <c r="I14" s="72">
        <v>2</v>
      </c>
      <c r="N14" s="92" t="s">
        <v>148</v>
      </c>
      <c r="O14" s="102">
        <f>IF(P14=0,0,Q14/P14)</f>
        <v>-23.85</v>
      </c>
      <c r="P14" s="96">
        <v>2</v>
      </c>
      <c r="Q14" s="84">
        <v>-47.7</v>
      </c>
    </row>
    <row r="15" spans="1:17" x14ac:dyDescent="0.4">
      <c r="A15" s="43" t="s">
        <v>110</v>
      </c>
      <c r="B15" s="16">
        <v>22</v>
      </c>
      <c r="C15" s="11">
        <f>IF(B$3=0,0,B15/B$3)</f>
        <v>0.3235294117647059</v>
      </c>
      <c r="E15" s="48" t="s">
        <v>68</v>
      </c>
      <c r="F15" s="45" t="s">
        <v>29</v>
      </c>
      <c r="G15" s="37">
        <v>0</v>
      </c>
      <c r="H15" s="110">
        <f>IF(B$19=0,0,G15/B$19)</f>
        <v>0</v>
      </c>
      <c r="I15" s="72">
        <v>1</v>
      </c>
      <c r="N15" s="93" t="s">
        <v>149</v>
      </c>
      <c r="O15" s="103">
        <f>IF(P15=0,0,Q15/P15)</f>
        <v>18</v>
      </c>
      <c r="P15" s="97">
        <v>2</v>
      </c>
      <c r="Q15" s="85">
        <v>36</v>
      </c>
    </row>
    <row r="16" spans="1:17" x14ac:dyDescent="0.4">
      <c r="A16" s="40" t="s">
        <v>107</v>
      </c>
      <c r="B16" s="37">
        <v>10</v>
      </c>
      <c r="C16" s="32">
        <f>IF(B$3=0,0,B16/B$3)</f>
        <v>0.14705882352941177</v>
      </c>
      <c r="E16" s="48" t="s">
        <v>69</v>
      </c>
      <c r="F16" s="45" t="s">
        <v>30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9</v>
      </c>
      <c r="C17" s="4">
        <f>IF(B$15=0,0,B17/B$15)</f>
        <v>0.40909090909090912</v>
      </c>
      <c r="E17" s="48" t="s">
        <v>70</v>
      </c>
      <c r="F17" s="45" t="s">
        <v>31</v>
      </c>
      <c r="G17" s="37">
        <v>0</v>
      </c>
      <c r="H17" s="110">
        <f>IF(B$19=0,0,G17/B$19)</f>
        <v>0</v>
      </c>
      <c r="I17" s="72">
        <v>1</v>
      </c>
      <c r="N17" s="90" t="s">
        <v>131</v>
      </c>
      <c r="O17" s="30" t="s">
        <v>109</v>
      </c>
      <c r="P17" s="94" t="s">
        <v>105</v>
      </c>
      <c r="Q17" s="82" t="s">
        <v>134</v>
      </c>
    </row>
    <row r="18" spans="1:17" x14ac:dyDescent="0.4">
      <c r="A18" s="20" t="s">
        <v>113</v>
      </c>
      <c r="B18" s="36">
        <v>1</v>
      </c>
      <c r="C18" s="4">
        <f>IF(B$16=0,0,B18/B$16)</f>
        <v>0.1</v>
      </c>
      <c r="E18" s="48" t="s">
        <v>71</v>
      </c>
      <c r="F18" s="45" t="s">
        <v>32</v>
      </c>
      <c r="G18" s="37">
        <v>0</v>
      </c>
      <c r="H18" s="110">
        <f>IF(B$19=0,0,G18/B$19)</f>
        <v>0</v>
      </c>
      <c r="I18" s="72">
        <v>1</v>
      </c>
      <c r="N18" s="91" t="s">
        <v>160</v>
      </c>
      <c r="O18" s="101">
        <f>IF(P18=0,0,Q18/P18)</f>
        <v>-99.866666666666674</v>
      </c>
      <c r="P18" s="95">
        <v>3</v>
      </c>
      <c r="Q18" s="83">
        <v>-299.60000000000002</v>
      </c>
    </row>
    <row r="19" spans="1:17" x14ac:dyDescent="0.4">
      <c r="A19" s="20" t="s">
        <v>10</v>
      </c>
      <c r="B19" s="36">
        <f>B21+B20</f>
        <v>13</v>
      </c>
      <c r="C19" s="4">
        <f>IF(B$3=0,0,B19/B$3)</f>
        <v>0.19117647058823528</v>
      </c>
      <c r="E19" s="48" t="s">
        <v>72</v>
      </c>
      <c r="F19" s="45" t="s">
        <v>33</v>
      </c>
      <c r="G19" s="37">
        <v>0</v>
      </c>
      <c r="H19" s="110">
        <f>IF(B$19=0,0,G19/B$19)</f>
        <v>0</v>
      </c>
      <c r="I19" s="72">
        <v>1</v>
      </c>
      <c r="N19" s="92" t="s">
        <v>161</v>
      </c>
      <c r="O19" s="102">
        <f>IF(P19=0,0,Q19/P19)</f>
        <v>82.266666666666666</v>
      </c>
      <c r="P19" s="96">
        <v>3</v>
      </c>
      <c r="Q19" s="84">
        <v>246.8</v>
      </c>
    </row>
    <row r="20" spans="1:17" x14ac:dyDescent="0.4">
      <c r="A20" s="40" t="s">
        <v>12</v>
      </c>
      <c r="B20" s="37">
        <v>5</v>
      </c>
      <c r="C20" s="32">
        <f>IF(B$19=0,0,B20/B$19)</f>
        <v>0.38461538461538464</v>
      </c>
      <c r="E20" s="48" t="s">
        <v>73</v>
      </c>
      <c r="F20" s="45" t="s">
        <v>34</v>
      </c>
      <c r="G20" s="37">
        <v>0</v>
      </c>
      <c r="H20" s="110">
        <f>IF(B$19=0,0,G20/B$19)</f>
        <v>0</v>
      </c>
      <c r="I20" s="72">
        <v>1</v>
      </c>
      <c r="N20" s="92" t="s">
        <v>162</v>
      </c>
      <c r="O20" s="102">
        <f>IF(P20=0,0,Q20/P20)</f>
        <v>33.466666666666669</v>
      </c>
      <c r="P20" s="96">
        <v>3</v>
      </c>
      <c r="Q20" s="84">
        <v>100.4</v>
      </c>
    </row>
    <row r="21" spans="1:17" x14ac:dyDescent="0.4">
      <c r="A21" s="40" t="s">
        <v>11</v>
      </c>
      <c r="B21" s="37">
        <v>8</v>
      </c>
      <c r="C21" s="32">
        <f>IF(B$19=0,0,B21/B$19)</f>
        <v>0.61538461538461542</v>
      </c>
      <c r="E21" s="48" t="s">
        <v>74</v>
      </c>
      <c r="F21" s="45" t="s">
        <v>35</v>
      </c>
      <c r="G21" s="37">
        <v>0</v>
      </c>
      <c r="H21" s="110">
        <f>IF(B$19=0,0,G21/B$19)</f>
        <v>0</v>
      </c>
      <c r="I21" s="72">
        <v>1</v>
      </c>
      <c r="N21" s="92" t="s">
        <v>163</v>
      </c>
      <c r="O21" s="102">
        <f>IF(P21=0,0,Q21/P21)</f>
        <v>-15.866666666666665</v>
      </c>
      <c r="P21" s="96">
        <v>3</v>
      </c>
      <c r="Q21" s="84">
        <v>-47.599999999999994</v>
      </c>
    </row>
    <row r="22" spans="1:17" x14ac:dyDescent="0.4">
      <c r="A22" s="40" t="s">
        <v>13</v>
      </c>
      <c r="B22" s="37">
        <v>8</v>
      </c>
      <c r="C22" s="32">
        <f>IF(B$3=0,0,B22/B$3)</f>
        <v>0.11764705882352941</v>
      </c>
      <c r="E22" s="48" t="s">
        <v>75</v>
      </c>
      <c r="F22" s="45" t="s">
        <v>36</v>
      </c>
      <c r="G22" s="37">
        <v>0</v>
      </c>
      <c r="H22" s="110">
        <f>IF(B$19=0,0,G22/B$19)</f>
        <v>0</v>
      </c>
      <c r="I22" s="72">
        <v>1</v>
      </c>
      <c r="N22" s="92" t="s">
        <v>165</v>
      </c>
      <c r="O22" s="102">
        <f>IF(P22=0,0,Q22/P22)</f>
        <v>81.2</v>
      </c>
      <c r="P22" s="96">
        <v>3</v>
      </c>
      <c r="Q22" s="84">
        <v>243.6</v>
      </c>
    </row>
    <row r="23" spans="1:17" x14ac:dyDescent="0.4">
      <c r="A23" s="40" t="s">
        <v>143</v>
      </c>
      <c r="B23" s="37">
        <v>0</v>
      </c>
      <c r="C23" s="112">
        <v>0</v>
      </c>
      <c r="E23" s="48" t="s">
        <v>76</v>
      </c>
      <c r="F23" s="45" t="s">
        <v>37</v>
      </c>
      <c r="G23" s="37">
        <v>0</v>
      </c>
      <c r="H23" s="110">
        <f>IF(B$19=0,0,G23/B$19)</f>
        <v>0</v>
      </c>
      <c r="I23" s="72">
        <v>1</v>
      </c>
      <c r="N23" s="92" t="s">
        <v>166</v>
      </c>
      <c r="O23" s="102">
        <f>IF(P23=0,0,Q23/P23)</f>
        <v>-18.666666666666664</v>
      </c>
      <c r="P23" s="96">
        <v>3</v>
      </c>
      <c r="Q23" s="84">
        <v>-55.999999999999993</v>
      </c>
    </row>
    <row r="24" spans="1:17" x14ac:dyDescent="0.4">
      <c r="A24" s="40" t="s">
        <v>144</v>
      </c>
      <c r="B24" s="37">
        <v>0</v>
      </c>
      <c r="C24" s="112">
        <v>3</v>
      </c>
      <c r="E24" s="48" t="s">
        <v>77</v>
      </c>
      <c r="F24" s="45" t="s">
        <v>38</v>
      </c>
      <c r="G24" s="37">
        <v>0</v>
      </c>
      <c r="H24" s="110">
        <f>IF(B$19=0,0,G24/B$19)</f>
        <v>0</v>
      </c>
      <c r="I24" s="72">
        <v>1</v>
      </c>
      <c r="N24" s="92" t="s">
        <v>167</v>
      </c>
      <c r="O24" s="102">
        <f>IF(P24=0,0,Q24/P24)</f>
        <v>-81.466666666666654</v>
      </c>
      <c r="P24" s="96">
        <v>3</v>
      </c>
      <c r="Q24" s="84">
        <v>-244.39999999999998</v>
      </c>
    </row>
    <row r="25" spans="1:17" x14ac:dyDescent="0.4">
      <c r="A25" s="40" t="s">
        <v>5</v>
      </c>
      <c r="B25" s="17">
        <f>IF(B$19=0,0,C25/B$19)</f>
        <v>9753.8461538461543</v>
      </c>
      <c r="C25" s="8">
        <v>126800</v>
      </c>
      <c r="E25" s="48" t="s">
        <v>79</v>
      </c>
      <c r="F25" s="45" t="s">
        <v>40</v>
      </c>
      <c r="G25" s="37">
        <v>0</v>
      </c>
      <c r="H25" s="110">
        <f>IF(B$19=0,0,G25/B$19)</f>
        <v>0</v>
      </c>
      <c r="I25" s="72">
        <v>1</v>
      </c>
      <c r="N25" s="92" t="s">
        <v>168</v>
      </c>
      <c r="O25" s="102">
        <f>IF(P25=0,0,Q25/P25)</f>
        <v>18.933333333333334</v>
      </c>
      <c r="P25" s="96">
        <v>3</v>
      </c>
      <c r="Q25" s="84">
        <v>56.8</v>
      </c>
    </row>
    <row r="26" spans="1:17" x14ac:dyDescent="0.4">
      <c r="A26" s="42" t="s">
        <v>14</v>
      </c>
      <c r="B26" s="18">
        <f>IF(B$22=0,0,C26/B$22)</f>
        <v>-10300</v>
      </c>
      <c r="C26" s="12">
        <v>-82400</v>
      </c>
      <c r="E26" s="48" t="s">
        <v>80</v>
      </c>
      <c r="F26" s="45" t="s">
        <v>41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4</v>
      </c>
      <c r="C27" s="120"/>
      <c r="E27" s="48" t="s">
        <v>82</v>
      </c>
      <c r="F27" s="45" t="s">
        <v>43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169</v>
      </c>
      <c r="B28" s="117">
        <v>54900</v>
      </c>
      <c r="C28" s="118"/>
      <c r="E28" s="48" t="s">
        <v>83</v>
      </c>
      <c r="F28" s="45" t="s">
        <v>44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84</v>
      </c>
      <c r="F29" s="45" t="s">
        <v>45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85</v>
      </c>
      <c r="F30" s="45" t="s">
        <v>46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86</v>
      </c>
      <c r="F31" s="45" t="s">
        <v>47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87</v>
      </c>
      <c r="F32" s="45" t="s">
        <v>48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88</v>
      </c>
      <c r="F33" s="45" t="s">
        <v>49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89</v>
      </c>
      <c r="F34" s="45" t="s">
        <v>50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90</v>
      </c>
      <c r="F35" s="45" t="s">
        <v>51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91</v>
      </c>
      <c r="F36" s="45" t="s">
        <v>52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92</v>
      </c>
      <c r="F37" s="45" t="s">
        <v>53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93</v>
      </c>
      <c r="F38" s="45" t="s">
        <v>54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94</v>
      </c>
      <c r="F39" s="45" t="s">
        <v>55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95</v>
      </c>
      <c r="F40" s="45" t="s">
        <v>56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96</v>
      </c>
      <c r="F41" s="45" t="s">
        <v>57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97</v>
      </c>
      <c r="F42" s="45" t="s">
        <v>58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98</v>
      </c>
      <c r="F43" s="45" t="s">
        <v>101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99</v>
      </c>
      <c r="F44" s="45" t="s">
        <v>102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100</v>
      </c>
      <c r="F45" s="46" t="s">
        <v>103</v>
      </c>
      <c r="G45" s="39">
        <v>0</v>
      </c>
      <c r="H45" s="111">
        <f>IF(B$19=0,0,G45/B$19)</f>
        <v>0</v>
      </c>
      <c r="I45" s="73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6D08-BEA6-4944-93AC-FE2ECA09A7E1}">
  <sheetPr codeName="Sheet5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163</v>
      </c>
      <c r="C1" s="124"/>
      <c r="E1" s="106" t="s">
        <v>142</v>
      </c>
      <c r="F1" s="116" t="s">
        <v>104</v>
      </c>
      <c r="G1" s="115" t="s">
        <v>105</v>
      </c>
      <c r="H1" s="107" t="s">
        <v>106</v>
      </c>
      <c r="I1" s="116" t="s">
        <v>130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134</v>
      </c>
    </row>
    <row r="2" spans="1:17" x14ac:dyDescent="0.4">
      <c r="A2" s="20" t="s">
        <v>9</v>
      </c>
      <c r="B2" s="125">
        <v>1</v>
      </c>
      <c r="C2" s="126"/>
      <c r="E2" s="47" t="s">
        <v>61</v>
      </c>
      <c r="F2" s="44" t="s">
        <v>23</v>
      </c>
      <c r="G2" s="36">
        <v>3</v>
      </c>
      <c r="H2" s="109">
        <f>IF(B$19=0,0,G2/B$19)</f>
        <v>3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0">IF(P2=0,0,Q2/P2)</f>
        <v>0</v>
      </c>
      <c r="P2" s="95">
        <v>1</v>
      </c>
      <c r="Q2" s="79">
        <v>0</v>
      </c>
    </row>
    <row r="3" spans="1:17" x14ac:dyDescent="0.4">
      <c r="A3" s="40" t="s">
        <v>8</v>
      </c>
      <c r="B3" s="127">
        <v>10</v>
      </c>
      <c r="C3" s="128"/>
      <c r="E3" s="48" t="s">
        <v>67</v>
      </c>
      <c r="F3" s="45" t="s">
        <v>28</v>
      </c>
      <c r="G3" s="37">
        <v>1</v>
      </c>
      <c r="H3" s="110">
        <f>IF(B$19=0,0,G3/B$19)</f>
        <v>1</v>
      </c>
      <c r="I3" s="72">
        <v>1</v>
      </c>
      <c r="K3" s="5">
        <v>1</v>
      </c>
      <c r="L3" s="77">
        <v>11.9</v>
      </c>
      <c r="N3" s="92" t="s">
        <v>116</v>
      </c>
      <c r="O3" s="99">
        <f t="shared" si="0"/>
        <v>8000</v>
      </c>
      <c r="P3" s="96">
        <v>1</v>
      </c>
      <c r="Q3" s="80">
        <v>8000</v>
      </c>
    </row>
    <row r="4" spans="1:17" x14ac:dyDescent="0.4">
      <c r="A4" s="40" t="s">
        <v>6</v>
      </c>
      <c r="B4" s="129">
        <v>11.9</v>
      </c>
      <c r="C4" s="130"/>
      <c r="E4" s="48" t="s">
        <v>78</v>
      </c>
      <c r="F4" s="45" t="s">
        <v>39</v>
      </c>
      <c r="G4" s="37">
        <v>1</v>
      </c>
      <c r="H4" s="110">
        <f>IF(B$19=0,0,G4/B$19)</f>
        <v>1</v>
      </c>
      <c r="I4" s="72">
        <v>1</v>
      </c>
      <c r="N4" s="92" t="s">
        <v>117</v>
      </c>
      <c r="O4" s="99">
        <f t="shared" si="0"/>
        <v>500</v>
      </c>
      <c r="P4" s="96">
        <v>1</v>
      </c>
      <c r="Q4" s="80">
        <v>500</v>
      </c>
    </row>
    <row r="5" spans="1:17" x14ac:dyDescent="0.4">
      <c r="A5" s="40" t="s">
        <v>7</v>
      </c>
      <c r="B5" s="131">
        <f>IF(B$2=0,0,B$4/B$2)</f>
        <v>11.9</v>
      </c>
      <c r="C5" s="132"/>
      <c r="E5" s="48" t="s">
        <v>59</v>
      </c>
      <c r="F5" s="45" t="s">
        <v>21</v>
      </c>
      <c r="G5" s="37">
        <v>0</v>
      </c>
      <c r="H5" s="110">
        <f>IF(B$19=0,0,G5/B$19)</f>
        <v>0</v>
      </c>
      <c r="I5" s="72">
        <v>8</v>
      </c>
      <c r="N5" s="92" t="s">
        <v>151</v>
      </c>
      <c r="O5" s="99">
        <f t="shared" si="0"/>
        <v>-1100</v>
      </c>
      <c r="P5" s="96">
        <v>1</v>
      </c>
      <c r="Q5" s="80">
        <v>-1100</v>
      </c>
    </row>
    <row r="6" spans="1:17" x14ac:dyDescent="0.4">
      <c r="A6" s="40" t="s">
        <v>1</v>
      </c>
      <c r="B6" s="121">
        <f>IF(B$2=0,0,(B$7*1+B$8*2+B$9*3+B$10*4)/B$2)</f>
        <v>2</v>
      </c>
      <c r="C6" s="122"/>
      <c r="E6" s="48" t="s">
        <v>60</v>
      </c>
      <c r="F6" s="45" t="s">
        <v>22</v>
      </c>
      <c r="G6" s="37">
        <v>0</v>
      </c>
      <c r="H6" s="110">
        <f>IF(B$19=0,0,G6/B$19)</f>
        <v>0</v>
      </c>
      <c r="I6" s="72">
        <v>4</v>
      </c>
      <c r="N6" s="92" t="s">
        <v>118</v>
      </c>
      <c r="O6" s="99">
        <f t="shared" si="0"/>
        <v>0</v>
      </c>
      <c r="P6" s="96">
        <v>1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62</v>
      </c>
      <c r="F7" s="45" t="s">
        <v>24</v>
      </c>
      <c r="G7" s="37">
        <v>0</v>
      </c>
      <c r="H7" s="110">
        <f>IF(B$19=0,0,G7/B$19)</f>
        <v>0</v>
      </c>
      <c r="I7" s="72">
        <v>6</v>
      </c>
      <c r="N7" s="92" t="s">
        <v>119</v>
      </c>
      <c r="O7" s="99">
        <f t="shared" si="0"/>
        <v>-500</v>
      </c>
      <c r="P7" s="96">
        <v>1</v>
      </c>
      <c r="Q7" s="80">
        <v>-500</v>
      </c>
    </row>
    <row r="8" spans="1:17" x14ac:dyDescent="0.4">
      <c r="A8" s="40" t="s">
        <v>3</v>
      </c>
      <c r="B8" s="37">
        <v>1</v>
      </c>
      <c r="C8" s="32">
        <f>IF(B$2=0,0,B8/B$2)</f>
        <v>1</v>
      </c>
      <c r="E8" s="48" t="s">
        <v>63</v>
      </c>
      <c r="F8" s="45" t="s">
        <v>12</v>
      </c>
      <c r="G8" s="37">
        <v>0</v>
      </c>
      <c r="H8" s="110">
        <f>IF(B$19=0,0,G8/B$19)</f>
        <v>0</v>
      </c>
      <c r="I8" s="72">
        <v>6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64</v>
      </c>
      <c r="F9" s="45" t="s">
        <v>25</v>
      </c>
      <c r="G9" s="37">
        <v>0</v>
      </c>
      <c r="H9" s="110">
        <f>IF(B$19=0,0,G9/B$19)</f>
        <v>0</v>
      </c>
      <c r="I9" s="72">
        <v>6</v>
      </c>
      <c r="N9" s="93" t="s">
        <v>150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147</v>
      </c>
      <c r="B10" s="38">
        <v>0</v>
      </c>
      <c r="C10" s="33">
        <f t="shared" si="1"/>
        <v>0</v>
      </c>
      <c r="E10" s="48" t="s">
        <v>65</v>
      </c>
      <c r="F10" s="45" t="s">
        <v>26</v>
      </c>
      <c r="G10" s="37">
        <v>0</v>
      </c>
      <c r="H10" s="110">
        <f>IF(B$19=0,0,G10/B$19)</f>
        <v>0</v>
      </c>
      <c r="I10" s="72">
        <v>4</v>
      </c>
      <c r="N10" s="35"/>
      <c r="O10" s="104"/>
      <c r="P10" s="88"/>
      <c r="Q10" s="86"/>
    </row>
    <row r="11" spans="1:17" x14ac:dyDescent="0.4">
      <c r="A11" s="41" t="s">
        <v>155</v>
      </c>
      <c r="B11" s="38">
        <f>トップ数+B8</f>
        <v>1</v>
      </c>
      <c r="C11" s="33">
        <f>IF(B$2=0,0,B11/B$2)</f>
        <v>1</v>
      </c>
      <c r="E11" s="48" t="s">
        <v>66</v>
      </c>
      <c r="F11" s="45" t="s">
        <v>27</v>
      </c>
      <c r="G11" s="37">
        <v>0</v>
      </c>
      <c r="H11" s="110">
        <f>IF(B$19=0,0,G11/B$19)</f>
        <v>0</v>
      </c>
      <c r="I11" s="72">
        <v>5</v>
      </c>
      <c r="N11" s="90" t="s">
        <v>139</v>
      </c>
      <c r="O11" s="30" t="s">
        <v>109</v>
      </c>
      <c r="P11" s="94" t="s">
        <v>105</v>
      </c>
      <c r="Q11" s="82" t="s">
        <v>134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>IF(B$19=0,0,G12/B$19)</f>
        <v>0</v>
      </c>
      <c r="I12" s="72">
        <v>1</v>
      </c>
      <c r="N12" s="91" t="s">
        <v>140</v>
      </c>
      <c r="O12" s="101">
        <f>IF(P12=0,0,Q12/P12)</f>
        <v>11.9</v>
      </c>
      <c r="P12" s="95">
        <v>1</v>
      </c>
      <c r="Q12" s="83">
        <v>11.9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69</v>
      </c>
      <c r="F13" s="45" t="s">
        <v>30</v>
      </c>
      <c r="G13" s="37">
        <v>0</v>
      </c>
      <c r="H13" s="110">
        <f>IF(B$19=0,0,G13/B$19)</f>
        <v>0</v>
      </c>
      <c r="I13" s="72">
        <v>1</v>
      </c>
      <c r="N13" s="92" t="s">
        <v>141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136</v>
      </c>
      <c r="B14" s="39">
        <v>0</v>
      </c>
      <c r="C14" s="34">
        <f>IF(B$2=0,0,B14/B$2)</f>
        <v>0</v>
      </c>
      <c r="E14" s="48" t="s">
        <v>70</v>
      </c>
      <c r="F14" s="45" t="s">
        <v>31</v>
      </c>
      <c r="G14" s="37">
        <v>0</v>
      </c>
      <c r="H14" s="110">
        <f>IF(B$19=0,0,G14/B$19)</f>
        <v>0</v>
      </c>
      <c r="I14" s="72">
        <v>1</v>
      </c>
      <c r="N14" s="92" t="s">
        <v>148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4</v>
      </c>
      <c r="C15" s="11">
        <f>IF(B$3=0,0,B15/B$3)</f>
        <v>0.4</v>
      </c>
      <c r="E15" s="48" t="s">
        <v>71</v>
      </c>
      <c r="F15" s="45" t="s">
        <v>32</v>
      </c>
      <c r="G15" s="37">
        <v>0</v>
      </c>
      <c r="H15" s="110">
        <f>IF(B$19=0,0,G15/B$19)</f>
        <v>0</v>
      </c>
      <c r="I15" s="72">
        <v>1</v>
      </c>
      <c r="N15" s="93" t="s">
        <v>149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1</v>
      </c>
      <c r="C16" s="32">
        <f>IF(B$3=0,0,B16/B$3)</f>
        <v>0.1</v>
      </c>
      <c r="E16" s="48" t="s">
        <v>72</v>
      </c>
      <c r="F16" s="45" t="s">
        <v>33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0</v>
      </c>
      <c r="C17" s="4">
        <f>IF(B$15=0,0,B17/B$15)</f>
        <v>0</v>
      </c>
      <c r="E17" s="48" t="s">
        <v>73</v>
      </c>
      <c r="F17" s="45" t="s">
        <v>34</v>
      </c>
      <c r="G17" s="37">
        <v>0</v>
      </c>
      <c r="H17" s="110">
        <f>IF(B$19=0,0,G17/B$19)</f>
        <v>0</v>
      </c>
      <c r="I17" s="72">
        <v>1</v>
      </c>
      <c r="N17" s="90" t="s">
        <v>131</v>
      </c>
      <c r="O17" s="30" t="s">
        <v>109</v>
      </c>
      <c r="P17" s="94" t="s">
        <v>105</v>
      </c>
      <c r="Q17" s="82" t="s">
        <v>134</v>
      </c>
    </row>
    <row r="18" spans="1:17" x14ac:dyDescent="0.4">
      <c r="A18" s="20" t="s">
        <v>113</v>
      </c>
      <c r="B18" s="36">
        <v>1</v>
      </c>
      <c r="C18" s="4">
        <f>IF(B$16=0,0,B18/B$16)</f>
        <v>1</v>
      </c>
      <c r="E18" s="48" t="s">
        <v>74</v>
      </c>
      <c r="F18" s="45" t="s">
        <v>35</v>
      </c>
      <c r="G18" s="37">
        <v>0</v>
      </c>
      <c r="H18" s="110">
        <f>IF(B$19=0,0,G18/B$19)</f>
        <v>0</v>
      </c>
      <c r="I18" s="72">
        <v>1</v>
      </c>
      <c r="N18" s="91" t="s">
        <v>160</v>
      </c>
      <c r="O18" s="101">
        <f>IF(P18=0,0,Q18/P18)</f>
        <v>-63.000000000000007</v>
      </c>
      <c r="P18" s="95">
        <v>1</v>
      </c>
      <c r="Q18" s="83">
        <v>-63.000000000000007</v>
      </c>
    </row>
    <row r="19" spans="1:17" x14ac:dyDescent="0.4">
      <c r="A19" s="20" t="s">
        <v>10</v>
      </c>
      <c r="B19" s="36">
        <f>B21+B20</f>
        <v>1</v>
      </c>
      <c r="C19" s="4">
        <f>IF(B$3=0,0,B19/B$3)</f>
        <v>0.1</v>
      </c>
      <c r="E19" s="48" t="s">
        <v>152</v>
      </c>
      <c r="F19" s="45" t="s">
        <v>153</v>
      </c>
      <c r="G19" s="37">
        <v>0</v>
      </c>
      <c r="H19" s="110">
        <f>IF(B$19=0,0,G19/B$19)</f>
        <v>0</v>
      </c>
      <c r="I19" s="72">
        <v>3</v>
      </c>
      <c r="N19" s="92" t="s">
        <v>161</v>
      </c>
      <c r="O19" s="102">
        <f>IF(P19=0,0,Q19/P19)</f>
        <v>73.600000000000009</v>
      </c>
      <c r="P19" s="96">
        <v>1</v>
      </c>
      <c r="Q19" s="84">
        <v>73.600000000000009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75</v>
      </c>
      <c r="F20" s="45" t="s">
        <v>36</v>
      </c>
      <c r="G20" s="37">
        <v>0</v>
      </c>
      <c r="H20" s="110">
        <f>IF(B$19=0,0,G20/B$19)</f>
        <v>0</v>
      </c>
      <c r="I20" s="72">
        <v>1</v>
      </c>
      <c r="N20" s="92" t="s">
        <v>162</v>
      </c>
      <c r="O20" s="102">
        <f>IF(P20=0,0,Q20/P20)</f>
        <v>37</v>
      </c>
      <c r="P20" s="96">
        <v>1</v>
      </c>
      <c r="Q20" s="84">
        <v>37</v>
      </c>
    </row>
    <row r="21" spans="1:17" x14ac:dyDescent="0.4">
      <c r="A21" s="40" t="s">
        <v>11</v>
      </c>
      <c r="B21" s="37">
        <v>1</v>
      </c>
      <c r="C21" s="32">
        <f>IF(B$19=0,0,B21/B$19)</f>
        <v>1</v>
      </c>
      <c r="E21" s="48" t="s">
        <v>76</v>
      </c>
      <c r="F21" s="45" t="s">
        <v>37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0</v>
      </c>
      <c r="C22" s="32">
        <f>IF(B$3=0,0,B22/B$3)</f>
        <v>0</v>
      </c>
      <c r="E22" s="48" t="s">
        <v>77</v>
      </c>
      <c r="F22" s="45" t="s">
        <v>38</v>
      </c>
      <c r="G22" s="37">
        <v>0</v>
      </c>
      <c r="H22" s="110">
        <f>IF(B$19=0,0,G22/B$19)</f>
        <v>0</v>
      </c>
      <c r="I22" s="72">
        <v>1</v>
      </c>
    </row>
    <row r="23" spans="1:17" x14ac:dyDescent="0.4">
      <c r="A23" s="40" t="s">
        <v>143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144</v>
      </c>
      <c r="B24" s="37">
        <v>0</v>
      </c>
      <c r="C24" s="112">
        <v>10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12000</v>
      </c>
      <c r="C25" s="8">
        <v>12000</v>
      </c>
      <c r="E25" s="48" t="s">
        <v>81</v>
      </c>
      <c r="F25" s="45" t="s">
        <v>42</v>
      </c>
      <c r="G25" s="37">
        <v>0</v>
      </c>
      <c r="H25" s="110">
        <f>IF(B$19=0,0,G25/B$19)</f>
        <v>0</v>
      </c>
      <c r="I25" s="72">
        <v>3</v>
      </c>
    </row>
    <row r="26" spans="1:17" x14ac:dyDescent="0.4">
      <c r="A26" s="42" t="s">
        <v>14</v>
      </c>
      <c r="B26" s="18">
        <f>IF(B$22=0,0,C26/B$22)</f>
        <v>0</v>
      </c>
      <c r="C26" s="12">
        <v>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3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169</v>
      </c>
      <c r="B28" s="117">
        <v>31900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145</v>
      </c>
      <c r="F45" s="46" t="s">
        <v>146</v>
      </c>
      <c r="G45" s="39">
        <v>0</v>
      </c>
      <c r="H45" s="111">
        <f>IF(B$19=0,0,G45/B$19)</f>
        <v>0</v>
      </c>
      <c r="I45" s="73">
        <v>5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1FC08-33B9-41CB-826D-A98CE459BE90}">
  <sheetPr codeName="Sheet6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160</v>
      </c>
      <c r="C1" s="124"/>
      <c r="E1" s="106" t="s">
        <v>142</v>
      </c>
      <c r="F1" s="116" t="s">
        <v>104</v>
      </c>
      <c r="G1" s="115" t="s">
        <v>105</v>
      </c>
      <c r="H1" s="107" t="s">
        <v>106</v>
      </c>
      <c r="I1" s="116" t="s">
        <v>130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134</v>
      </c>
    </row>
    <row r="2" spans="1:17" x14ac:dyDescent="0.4">
      <c r="A2" s="20" t="s">
        <v>9</v>
      </c>
      <c r="B2" s="125">
        <v>1</v>
      </c>
      <c r="C2" s="126"/>
      <c r="E2" s="47" t="s">
        <v>62</v>
      </c>
      <c r="F2" s="44" t="s">
        <v>24</v>
      </c>
      <c r="G2" s="36">
        <v>3</v>
      </c>
      <c r="H2" s="109">
        <f>IF(B$19=0,0,G2/B$19)</f>
        <v>1</v>
      </c>
      <c r="I2" s="71">
        <v>3</v>
      </c>
      <c r="K2" s="3">
        <v>0</v>
      </c>
      <c r="L2" s="76">
        <v>0</v>
      </c>
      <c r="N2" s="91" t="s">
        <v>115</v>
      </c>
      <c r="O2" s="98">
        <f t="shared" ref="O2:O9" si="0">IF(P2=0,0,Q2/P2)</f>
        <v>12000</v>
      </c>
      <c r="P2" s="95">
        <v>1</v>
      </c>
      <c r="Q2" s="79">
        <v>12000</v>
      </c>
    </row>
    <row r="3" spans="1:17" x14ac:dyDescent="0.4">
      <c r="A3" s="40" t="s">
        <v>8</v>
      </c>
      <c r="B3" s="127">
        <v>10</v>
      </c>
      <c r="C3" s="128"/>
      <c r="E3" s="48" t="s">
        <v>145</v>
      </c>
      <c r="F3" s="45" t="s">
        <v>146</v>
      </c>
      <c r="G3" s="37">
        <v>3</v>
      </c>
      <c r="H3" s="110">
        <f>IF(B$19=0,0,G3/B$19)</f>
        <v>1</v>
      </c>
      <c r="I3" s="72">
        <v>2</v>
      </c>
      <c r="K3" s="5">
        <v>1</v>
      </c>
      <c r="L3" s="77">
        <v>74.900000000000006</v>
      </c>
      <c r="N3" s="92" t="s">
        <v>116</v>
      </c>
      <c r="O3" s="99">
        <f t="shared" si="0"/>
        <v>21800</v>
      </c>
      <c r="P3" s="96">
        <v>1</v>
      </c>
      <c r="Q3" s="80">
        <v>21800</v>
      </c>
    </row>
    <row r="4" spans="1:17" x14ac:dyDescent="0.4">
      <c r="A4" s="40" t="s">
        <v>6</v>
      </c>
      <c r="B4" s="129">
        <v>74.900000000000006</v>
      </c>
      <c r="C4" s="130"/>
      <c r="E4" s="48" t="s">
        <v>59</v>
      </c>
      <c r="F4" s="45" t="s">
        <v>21</v>
      </c>
      <c r="G4" s="37">
        <v>2</v>
      </c>
      <c r="H4" s="110">
        <f>IF(B$19=0,0,G4/B$19)</f>
        <v>0.66666666666666663</v>
      </c>
      <c r="I4" s="72">
        <v>5</v>
      </c>
      <c r="N4" s="92" t="s">
        <v>117</v>
      </c>
      <c r="O4" s="99">
        <f t="shared" si="0"/>
        <v>-1500</v>
      </c>
      <c r="P4" s="96">
        <v>1</v>
      </c>
      <c r="Q4" s="80">
        <v>-1500</v>
      </c>
    </row>
    <row r="5" spans="1:17" x14ac:dyDescent="0.4">
      <c r="A5" s="40" t="s">
        <v>7</v>
      </c>
      <c r="B5" s="131">
        <f>IF(B$2=0,0,B$4/B$2)</f>
        <v>74.900000000000006</v>
      </c>
      <c r="C5" s="132"/>
      <c r="E5" s="48" t="s">
        <v>61</v>
      </c>
      <c r="F5" s="45" t="s">
        <v>23</v>
      </c>
      <c r="G5" s="37">
        <v>2</v>
      </c>
      <c r="H5" s="110">
        <f>IF(B$19=0,0,G5/B$19)</f>
        <v>0.66666666666666663</v>
      </c>
      <c r="I5" s="72">
        <v>4</v>
      </c>
      <c r="N5" s="92" t="s">
        <v>151</v>
      </c>
      <c r="O5" s="99">
        <f t="shared" si="0"/>
        <v>-1100</v>
      </c>
      <c r="P5" s="96">
        <v>1</v>
      </c>
      <c r="Q5" s="80">
        <v>-1100</v>
      </c>
    </row>
    <row r="6" spans="1:17" x14ac:dyDescent="0.4">
      <c r="A6" s="40" t="s">
        <v>1</v>
      </c>
      <c r="B6" s="121">
        <f>IF(B$2=0,0,(B$7*1+B$8*2+B$9*3+B$10*4)/B$2)</f>
        <v>1</v>
      </c>
      <c r="C6" s="122"/>
      <c r="E6" s="48" t="s">
        <v>64</v>
      </c>
      <c r="F6" s="45" t="s">
        <v>25</v>
      </c>
      <c r="G6" s="37">
        <v>2</v>
      </c>
      <c r="H6" s="110">
        <f>IF(B$19=0,0,G6/B$19)</f>
        <v>0.66666666666666663</v>
      </c>
      <c r="I6" s="72">
        <v>2</v>
      </c>
      <c r="N6" s="92" t="s">
        <v>118</v>
      </c>
      <c r="O6" s="99">
        <f t="shared" si="0"/>
        <v>0</v>
      </c>
      <c r="P6" s="96">
        <v>1</v>
      </c>
      <c r="Q6" s="80">
        <v>0</v>
      </c>
    </row>
    <row r="7" spans="1:17" x14ac:dyDescent="0.4">
      <c r="A7" s="40" t="s">
        <v>2</v>
      </c>
      <c r="B7" s="37">
        <v>1</v>
      </c>
      <c r="C7" s="32">
        <f>IF(B$2=0,0,B7/B$2)</f>
        <v>1</v>
      </c>
      <c r="E7" s="48" t="s">
        <v>63</v>
      </c>
      <c r="F7" s="45" t="s">
        <v>12</v>
      </c>
      <c r="G7" s="37">
        <v>1</v>
      </c>
      <c r="H7" s="110">
        <f>IF(B$19=0,0,G7/B$19)</f>
        <v>0.33333333333333331</v>
      </c>
      <c r="I7" s="72">
        <v>5</v>
      </c>
      <c r="N7" s="92" t="s">
        <v>119</v>
      </c>
      <c r="O7" s="99">
        <f t="shared" si="0"/>
        <v>-1300</v>
      </c>
      <c r="P7" s="96">
        <v>1</v>
      </c>
      <c r="Q7" s="80">
        <v>-1300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65</v>
      </c>
      <c r="F8" s="45" t="s">
        <v>26</v>
      </c>
      <c r="G8" s="37">
        <v>1</v>
      </c>
      <c r="H8" s="110">
        <f>IF(B$19=0,0,G8/B$19)</f>
        <v>0.33333333333333331</v>
      </c>
      <c r="I8" s="72">
        <v>2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66</v>
      </c>
      <c r="F9" s="45" t="s">
        <v>27</v>
      </c>
      <c r="G9" s="37">
        <v>1</v>
      </c>
      <c r="H9" s="110">
        <f>IF(B$19=0,0,G9/B$19)</f>
        <v>0.33333333333333331</v>
      </c>
      <c r="I9" s="72">
        <v>2</v>
      </c>
      <c r="N9" s="93" t="s">
        <v>150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147</v>
      </c>
      <c r="B10" s="38">
        <v>0</v>
      </c>
      <c r="C10" s="33">
        <f t="shared" si="1"/>
        <v>0</v>
      </c>
      <c r="E10" s="48" t="s">
        <v>60</v>
      </c>
      <c r="F10" s="45" t="s">
        <v>22</v>
      </c>
      <c r="G10" s="37">
        <v>0</v>
      </c>
      <c r="H10" s="110">
        <f>IF(B$19=0,0,G10/B$19)</f>
        <v>0</v>
      </c>
      <c r="I10" s="72">
        <v>4</v>
      </c>
      <c r="N10" s="35"/>
      <c r="O10" s="104"/>
      <c r="P10" s="88"/>
      <c r="Q10" s="86"/>
    </row>
    <row r="11" spans="1:17" x14ac:dyDescent="0.4">
      <c r="A11" s="41" t="s">
        <v>155</v>
      </c>
      <c r="B11" s="38">
        <f>トップ数+B8</f>
        <v>1</v>
      </c>
      <c r="C11" s="33">
        <f>IF(B$2=0,0,B11/B$2)</f>
        <v>1</v>
      </c>
      <c r="E11" s="48" t="s">
        <v>67</v>
      </c>
      <c r="F11" s="45" t="s">
        <v>28</v>
      </c>
      <c r="G11" s="37">
        <v>0</v>
      </c>
      <c r="H11" s="110">
        <f>IF(B$19=0,0,G11/B$19)</f>
        <v>0</v>
      </c>
      <c r="I11" s="72">
        <v>3</v>
      </c>
      <c r="N11" s="90" t="s">
        <v>139</v>
      </c>
      <c r="O11" s="30" t="s">
        <v>109</v>
      </c>
      <c r="P11" s="94" t="s">
        <v>105</v>
      </c>
      <c r="Q11" s="82" t="s">
        <v>134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>IF(B$19=0,0,G12/B$19)</f>
        <v>0</v>
      </c>
      <c r="I12" s="72">
        <v>1</v>
      </c>
      <c r="N12" s="91" t="s">
        <v>140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1</v>
      </c>
      <c r="C13" s="33">
        <f>IF(B$2=0,0,B13/B$2)</f>
        <v>1</v>
      </c>
      <c r="E13" s="48" t="s">
        <v>69</v>
      </c>
      <c r="F13" s="45" t="s">
        <v>30</v>
      </c>
      <c r="G13" s="37">
        <v>0</v>
      </c>
      <c r="H13" s="110">
        <f>IF(B$19=0,0,G13/B$19)</f>
        <v>0</v>
      </c>
      <c r="I13" s="72">
        <v>1</v>
      </c>
      <c r="N13" s="92" t="s">
        <v>141</v>
      </c>
      <c r="O13" s="102">
        <f>IF(P13=0,0,Q13/P13)</f>
        <v>74.900000000000006</v>
      </c>
      <c r="P13" s="96">
        <v>1</v>
      </c>
      <c r="Q13" s="84">
        <v>74.900000000000006</v>
      </c>
    </row>
    <row r="14" spans="1:17" x14ac:dyDescent="0.4">
      <c r="A14" s="42" t="s">
        <v>136</v>
      </c>
      <c r="B14" s="39">
        <v>0</v>
      </c>
      <c r="C14" s="34">
        <f>IF(B$2=0,0,B14/B$2)</f>
        <v>0</v>
      </c>
      <c r="E14" s="48" t="s">
        <v>70</v>
      </c>
      <c r="F14" s="45" t="s">
        <v>31</v>
      </c>
      <c r="G14" s="37">
        <v>0</v>
      </c>
      <c r="H14" s="110">
        <f>IF(B$19=0,0,G14/B$19)</f>
        <v>0</v>
      </c>
      <c r="I14" s="72">
        <v>1</v>
      </c>
      <c r="N14" s="92" t="s">
        <v>148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3</v>
      </c>
      <c r="C15" s="11">
        <f>IF(B$3=0,0,B15/B$3)</f>
        <v>0.3</v>
      </c>
      <c r="E15" s="48" t="s">
        <v>71</v>
      </c>
      <c r="F15" s="45" t="s">
        <v>32</v>
      </c>
      <c r="G15" s="37">
        <v>0</v>
      </c>
      <c r="H15" s="110">
        <f>IF(B$19=0,0,G15/B$19)</f>
        <v>0</v>
      </c>
      <c r="I15" s="72">
        <v>1</v>
      </c>
      <c r="N15" s="93" t="s">
        <v>149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2</v>
      </c>
      <c r="C16" s="32">
        <f>IF(B$3=0,0,B16/B$3)</f>
        <v>0.2</v>
      </c>
      <c r="E16" s="48" t="s">
        <v>72</v>
      </c>
      <c r="F16" s="45" t="s">
        <v>33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2</v>
      </c>
      <c r="C17" s="4">
        <f>IF(B$15=0,0,B17/B$15)</f>
        <v>0.66666666666666663</v>
      </c>
      <c r="E17" s="48" t="s">
        <v>73</v>
      </c>
      <c r="F17" s="45" t="s">
        <v>34</v>
      </c>
      <c r="G17" s="37">
        <v>0</v>
      </c>
      <c r="H17" s="110">
        <f>IF(B$19=0,0,G17/B$19)</f>
        <v>0</v>
      </c>
      <c r="I17" s="72">
        <v>1</v>
      </c>
      <c r="N17" s="90" t="s">
        <v>131</v>
      </c>
      <c r="O17" s="30" t="s">
        <v>109</v>
      </c>
      <c r="P17" s="94" t="s">
        <v>105</v>
      </c>
      <c r="Q17" s="82" t="s">
        <v>134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74</v>
      </c>
      <c r="F18" s="45" t="s">
        <v>35</v>
      </c>
      <c r="G18" s="37">
        <v>0</v>
      </c>
      <c r="H18" s="110">
        <f>IF(B$19=0,0,G18/B$19)</f>
        <v>0</v>
      </c>
      <c r="I18" s="72">
        <v>1</v>
      </c>
      <c r="N18" s="91" t="s">
        <v>161</v>
      </c>
      <c r="O18" s="101">
        <f>IF(P18=0,0,Q18/P18)</f>
        <v>136.60000000000002</v>
      </c>
      <c r="P18" s="95">
        <v>1</v>
      </c>
      <c r="Q18" s="83">
        <v>136.60000000000002</v>
      </c>
    </row>
    <row r="19" spans="1:17" x14ac:dyDescent="0.4">
      <c r="A19" s="20" t="s">
        <v>10</v>
      </c>
      <c r="B19" s="36">
        <f>B21+B20</f>
        <v>3</v>
      </c>
      <c r="C19" s="4">
        <f>IF(B$3=0,0,B19/B$3)</f>
        <v>0.3</v>
      </c>
      <c r="E19" s="48" t="s">
        <v>152</v>
      </c>
      <c r="F19" s="45" t="s">
        <v>153</v>
      </c>
      <c r="G19" s="37">
        <v>0</v>
      </c>
      <c r="H19" s="110">
        <f>IF(B$19=0,0,G19/B$19)</f>
        <v>0</v>
      </c>
      <c r="I19" s="72">
        <v>3</v>
      </c>
      <c r="N19" s="92" t="s">
        <v>162</v>
      </c>
      <c r="O19" s="102">
        <f>IF(P19=0,0,Q19/P19)</f>
        <v>100</v>
      </c>
      <c r="P19" s="96">
        <v>1</v>
      </c>
      <c r="Q19" s="84">
        <v>100</v>
      </c>
    </row>
    <row r="20" spans="1:17" x14ac:dyDescent="0.4">
      <c r="A20" s="40" t="s">
        <v>12</v>
      </c>
      <c r="B20" s="37">
        <v>1</v>
      </c>
      <c r="C20" s="32">
        <f>IF(B$19=0,0,B20/B$19)</f>
        <v>0.33333333333333331</v>
      </c>
      <c r="E20" s="48" t="s">
        <v>75</v>
      </c>
      <c r="F20" s="45" t="s">
        <v>36</v>
      </c>
      <c r="G20" s="37">
        <v>0</v>
      </c>
      <c r="H20" s="110">
        <f>IF(B$19=0,0,G20/B$19)</f>
        <v>0</v>
      </c>
      <c r="I20" s="72">
        <v>1</v>
      </c>
      <c r="N20" s="92" t="s">
        <v>163</v>
      </c>
      <c r="O20" s="102">
        <f>IF(P20=0,0,Q20/P20)</f>
        <v>63.000000000000007</v>
      </c>
      <c r="P20" s="96">
        <v>1</v>
      </c>
      <c r="Q20" s="84">
        <v>63.000000000000007</v>
      </c>
    </row>
    <row r="21" spans="1:17" x14ac:dyDescent="0.4">
      <c r="A21" s="40" t="s">
        <v>11</v>
      </c>
      <c r="B21" s="37">
        <v>2</v>
      </c>
      <c r="C21" s="32">
        <f>IF(B$19=0,0,B21/B$19)</f>
        <v>0.66666666666666663</v>
      </c>
      <c r="E21" s="48" t="s">
        <v>76</v>
      </c>
      <c r="F21" s="45" t="s">
        <v>37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</v>
      </c>
      <c r="E22" s="48" t="s">
        <v>77</v>
      </c>
      <c r="F22" s="45" t="s">
        <v>38</v>
      </c>
      <c r="G22" s="37">
        <v>0</v>
      </c>
      <c r="H22" s="110">
        <f>IF(B$19=0,0,G22/B$19)</f>
        <v>0</v>
      </c>
      <c r="I22" s="72">
        <v>1</v>
      </c>
    </row>
    <row r="23" spans="1:17" x14ac:dyDescent="0.4">
      <c r="A23" s="40" t="s">
        <v>143</v>
      </c>
      <c r="B23" s="37">
        <v>0</v>
      </c>
      <c r="C23" s="112">
        <v>0</v>
      </c>
      <c r="E23" s="48" t="s">
        <v>78</v>
      </c>
      <c r="F23" s="45" t="s">
        <v>39</v>
      </c>
      <c r="G23" s="37">
        <v>0</v>
      </c>
      <c r="H23" s="110">
        <f>IF(B$19=0,0,G23/B$19)</f>
        <v>0</v>
      </c>
      <c r="I23" s="72">
        <v>3</v>
      </c>
    </row>
    <row r="24" spans="1:17" x14ac:dyDescent="0.4">
      <c r="A24" s="40" t="s">
        <v>144</v>
      </c>
      <c r="B24" s="37">
        <v>0</v>
      </c>
      <c r="C24" s="112">
        <v>0</v>
      </c>
      <c r="E24" s="48" t="s">
        <v>79</v>
      </c>
      <c r="F24" s="45" t="s">
        <v>40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11933.333333333334</v>
      </c>
      <c r="C25" s="8">
        <v>35800</v>
      </c>
      <c r="E25" s="48" t="s">
        <v>80</v>
      </c>
      <c r="F25" s="45" t="s">
        <v>41</v>
      </c>
      <c r="G25" s="37">
        <v>0</v>
      </c>
      <c r="H25" s="110">
        <f>IF(B$19=0,0,G25/B$19)</f>
        <v>0</v>
      </c>
      <c r="I25" s="72">
        <v>1</v>
      </c>
    </row>
    <row r="26" spans="1:17" x14ac:dyDescent="0.4">
      <c r="A26" s="42" t="s">
        <v>14</v>
      </c>
      <c r="B26" s="18">
        <f>IF(B$22=0,0,C26/B$22)</f>
        <v>-8000</v>
      </c>
      <c r="C26" s="12">
        <v>-8000</v>
      </c>
      <c r="E26" s="48" t="s">
        <v>81</v>
      </c>
      <c r="F26" s="45" t="s">
        <v>42</v>
      </c>
      <c r="G26" s="37">
        <v>0</v>
      </c>
      <c r="H26" s="110">
        <f>IF(B$19=0,0,G26/B$19)</f>
        <v>0</v>
      </c>
      <c r="I26" s="72">
        <v>3</v>
      </c>
    </row>
    <row r="27" spans="1:17" x14ac:dyDescent="0.4">
      <c r="A27" s="68" t="s">
        <v>124</v>
      </c>
      <c r="B27" s="119">
        <v>3</v>
      </c>
      <c r="C27" s="120"/>
      <c r="E27" s="48" t="s">
        <v>82</v>
      </c>
      <c r="F27" s="45" t="s">
        <v>43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169</v>
      </c>
      <c r="B28" s="117">
        <v>54900</v>
      </c>
      <c r="C28" s="118"/>
      <c r="E28" s="48" t="s">
        <v>83</v>
      </c>
      <c r="F28" s="45" t="s">
        <v>44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84</v>
      </c>
      <c r="F29" s="45" t="s">
        <v>45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85</v>
      </c>
      <c r="F30" s="45" t="s">
        <v>46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86</v>
      </c>
      <c r="F31" s="45" t="s">
        <v>47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87</v>
      </c>
      <c r="F32" s="45" t="s">
        <v>48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88</v>
      </c>
      <c r="F33" s="45" t="s">
        <v>49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89</v>
      </c>
      <c r="F34" s="45" t="s">
        <v>50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90</v>
      </c>
      <c r="F35" s="45" t="s">
        <v>51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91</v>
      </c>
      <c r="F36" s="45" t="s">
        <v>52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92</v>
      </c>
      <c r="F37" s="45" t="s">
        <v>53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93</v>
      </c>
      <c r="F38" s="45" t="s">
        <v>54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94</v>
      </c>
      <c r="F39" s="45" t="s">
        <v>55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95</v>
      </c>
      <c r="F40" s="45" t="s">
        <v>56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96</v>
      </c>
      <c r="F41" s="45" t="s">
        <v>57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97</v>
      </c>
      <c r="F42" s="45" t="s">
        <v>58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98</v>
      </c>
      <c r="F43" s="45" t="s">
        <v>101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99</v>
      </c>
      <c r="F44" s="45" t="s">
        <v>102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100</v>
      </c>
      <c r="F45" s="46" t="s">
        <v>103</v>
      </c>
      <c r="G45" s="39">
        <v>0</v>
      </c>
      <c r="H45" s="111">
        <f>IF(B$19=0,0,G45/B$19)</f>
        <v>0</v>
      </c>
      <c r="I45" s="73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12A6-2AC9-48A4-B21D-A81200A077A3}">
  <sheetPr codeName="Sheet7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161</v>
      </c>
      <c r="C1" s="124"/>
      <c r="E1" s="106" t="s">
        <v>142</v>
      </c>
      <c r="F1" s="116" t="s">
        <v>104</v>
      </c>
      <c r="G1" s="115" t="s">
        <v>105</v>
      </c>
      <c r="H1" s="107" t="s">
        <v>106</v>
      </c>
      <c r="I1" s="116" t="s">
        <v>130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134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1</v>
      </c>
      <c r="H2" s="109">
        <f>IF(B$19=0,0,G2/B$19)</f>
        <v>1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0">IF(P2=0,0,Q2/P2)</f>
        <v>-12000</v>
      </c>
      <c r="P2" s="95">
        <v>1</v>
      </c>
      <c r="Q2" s="79">
        <v>-12000</v>
      </c>
    </row>
    <row r="3" spans="1:17" x14ac:dyDescent="0.4">
      <c r="A3" s="40" t="s">
        <v>8</v>
      </c>
      <c r="B3" s="127">
        <v>10</v>
      </c>
      <c r="C3" s="128"/>
      <c r="E3" s="48" t="s">
        <v>63</v>
      </c>
      <c r="F3" s="45" t="s">
        <v>12</v>
      </c>
      <c r="G3" s="37">
        <v>1</v>
      </c>
      <c r="H3" s="110">
        <f>IF(B$19=0,0,G3/B$19)</f>
        <v>1</v>
      </c>
      <c r="I3" s="72">
        <v>1</v>
      </c>
      <c r="K3" s="5">
        <v>1</v>
      </c>
      <c r="L3" s="77">
        <v>-61.7</v>
      </c>
      <c r="N3" s="92" t="s">
        <v>116</v>
      </c>
      <c r="O3" s="99">
        <f t="shared" si="0"/>
        <v>-8600</v>
      </c>
      <c r="P3" s="96">
        <v>1</v>
      </c>
      <c r="Q3" s="80">
        <v>-8600</v>
      </c>
    </row>
    <row r="4" spans="1:17" x14ac:dyDescent="0.4">
      <c r="A4" s="40" t="s">
        <v>6</v>
      </c>
      <c r="B4" s="129">
        <v>-61.7</v>
      </c>
      <c r="C4" s="130"/>
      <c r="E4" s="48" t="s">
        <v>65</v>
      </c>
      <c r="F4" s="45" t="s">
        <v>26</v>
      </c>
      <c r="G4" s="37">
        <v>1</v>
      </c>
      <c r="H4" s="110">
        <f>IF(B$19=0,0,G4/B$19)</f>
        <v>1</v>
      </c>
      <c r="I4" s="72">
        <v>1</v>
      </c>
      <c r="N4" s="92" t="s">
        <v>117</v>
      </c>
      <c r="O4" s="99">
        <f t="shared" si="0"/>
        <v>-1500</v>
      </c>
      <c r="P4" s="96">
        <v>1</v>
      </c>
      <c r="Q4" s="80">
        <v>-1500</v>
      </c>
    </row>
    <row r="5" spans="1:17" x14ac:dyDescent="0.4">
      <c r="A5" s="40" t="s">
        <v>7</v>
      </c>
      <c r="B5" s="131">
        <f>IF(B$2=0,0,B$4/B$2)</f>
        <v>-61.7</v>
      </c>
      <c r="C5" s="132"/>
      <c r="E5" s="48" t="s">
        <v>60</v>
      </c>
      <c r="F5" s="45" t="s">
        <v>22</v>
      </c>
      <c r="G5" s="37">
        <v>0</v>
      </c>
      <c r="H5" s="110">
        <f>IF(B$19=0,0,G5/B$19)</f>
        <v>0</v>
      </c>
      <c r="I5" s="72">
        <v>4</v>
      </c>
      <c r="N5" s="92" t="s">
        <v>151</v>
      </c>
      <c r="O5" s="99">
        <f t="shared" si="0"/>
        <v>6300</v>
      </c>
      <c r="P5" s="96">
        <v>1</v>
      </c>
      <c r="Q5" s="80">
        <v>6300</v>
      </c>
    </row>
    <row r="6" spans="1:17" x14ac:dyDescent="0.4">
      <c r="A6" s="40" t="s">
        <v>1</v>
      </c>
      <c r="B6" s="121">
        <f>IF(B$2=0,0,(B$7*1+B$8*2+B$9*3+B$10*4)/B$2)</f>
        <v>4</v>
      </c>
      <c r="C6" s="122"/>
      <c r="E6" s="48" t="s">
        <v>61</v>
      </c>
      <c r="F6" s="45" t="s">
        <v>23</v>
      </c>
      <c r="G6" s="37">
        <v>0</v>
      </c>
      <c r="H6" s="110">
        <f>IF(B$19=0,0,G6/B$19)</f>
        <v>0</v>
      </c>
      <c r="I6" s="72">
        <v>7</v>
      </c>
      <c r="N6" s="92" t="s">
        <v>118</v>
      </c>
      <c r="O6" s="99">
        <f t="shared" si="0"/>
        <v>-2600</v>
      </c>
      <c r="P6" s="96">
        <v>1</v>
      </c>
      <c r="Q6" s="80">
        <v>-2600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62</v>
      </c>
      <c r="F7" s="45" t="s">
        <v>24</v>
      </c>
      <c r="G7" s="37">
        <v>0</v>
      </c>
      <c r="H7" s="110">
        <f>IF(B$19=0,0,G7/B$19)</f>
        <v>0</v>
      </c>
      <c r="I7" s="72">
        <v>6</v>
      </c>
      <c r="N7" s="92" t="s">
        <v>119</v>
      </c>
      <c r="O7" s="99">
        <f t="shared" si="0"/>
        <v>-8300</v>
      </c>
      <c r="P7" s="96">
        <v>1</v>
      </c>
      <c r="Q7" s="80">
        <v>-8300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64</v>
      </c>
      <c r="F8" s="45" t="s">
        <v>25</v>
      </c>
      <c r="G8" s="37">
        <v>0</v>
      </c>
      <c r="H8" s="110">
        <f>IF(B$19=0,0,G8/B$19)</f>
        <v>0</v>
      </c>
      <c r="I8" s="72">
        <v>6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66</v>
      </c>
      <c r="F9" s="45" t="s">
        <v>27</v>
      </c>
      <c r="G9" s="37">
        <v>0</v>
      </c>
      <c r="H9" s="110">
        <f>IF(B$19=0,0,G9/B$19)</f>
        <v>0</v>
      </c>
      <c r="I9" s="72">
        <v>5</v>
      </c>
      <c r="N9" s="93" t="s">
        <v>150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147</v>
      </c>
      <c r="B10" s="38">
        <v>1</v>
      </c>
      <c r="C10" s="33">
        <f t="shared" si="1"/>
        <v>1</v>
      </c>
      <c r="E10" s="48" t="s">
        <v>67</v>
      </c>
      <c r="F10" s="45" t="s">
        <v>28</v>
      </c>
      <c r="G10" s="37">
        <v>0</v>
      </c>
      <c r="H10" s="110">
        <f>IF(B$19=0,0,G10/B$19)</f>
        <v>0</v>
      </c>
      <c r="I10" s="72">
        <v>3</v>
      </c>
      <c r="N10" s="35"/>
      <c r="O10" s="104"/>
      <c r="P10" s="88"/>
      <c r="Q10" s="86"/>
    </row>
    <row r="11" spans="1:17" x14ac:dyDescent="0.4">
      <c r="A11" s="41" t="s">
        <v>155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0">
        <f>IF(B$19=0,0,G11/B$19)</f>
        <v>0</v>
      </c>
      <c r="I11" s="72">
        <v>1</v>
      </c>
      <c r="N11" s="90" t="s">
        <v>139</v>
      </c>
      <c r="O11" s="30" t="s">
        <v>109</v>
      </c>
      <c r="P11" s="94" t="s">
        <v>105</v>
      </c>
      <c r="Q11" s="82" t="s">
        <v>134</v>
      </c>
    </row>
    <row r="12" spans="1:17" x14ac:dyDescent="0.4">
      <c r="A12" s="41" t="s">
        <v>19</v>
      </c>
      <c r="B12" s="38">
        <v>1</v>
      </c>
      <c r="C12" s="33">
        <f>IF(B$2=0,0,B12/B$2)</f>
        <v>1</v>
      </c>
      <c r="E12" s="48" t="s">
        <v>69</v>
      </c>
      <c r="F12" s="45" t="s">
        <v>30</v>
      </c>
      <c r="G12" s="37">
        <v>0</v>
      </c>
      <c r="H12" s="110">
        <f>IF(B$19=0,0,G12/B$19)</f>
        <v>0</v>
      </c>
      <c r="I12" s="72">
        <v>1</v>
      </c>
      <c r="N12" s="91" t="s">
        <v>140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>IF(B$19=0,0,G13/B$19)</f>
        <v>0</v>
      </c>
      <c r="I13" s="72">
        <v>1</v>
      </c>
      <c r="N13" s="92" t="s">
        <v>141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136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>IF(B$19=0,0,G14/B$19)</f>
        <v>0</v>
      </c>
      <c r="I14" s="72">
        <v>1</v>
      </c>
      <c r="N14" s="92" t="s">
        <v>148</v>
      </c>
      <c r="O14" s="102">
        <f>IF(P14=0,0,Q14/P14)</f>
        <v>-61.7</v>
      </c>
      <c r="P14" s="96">
        <v>1</v>
      </c>
      <c r="Q14" s="84">
        <v>-61.7</v>
      </c>
    </row>
    <row r="15" spans="1:17" x14ac:dyDescent="0.4">
      <c r="A15" s="43" t="s">
        <v>110</v>
      </c>
      <c r="B15" s="16">
        <v>3</v>
      </c>
      <c r="C15" s="11">
        <f>IF(B$3=0,0,B15/B$3)</f>
        <v>0.3</v>
      </c>
      <c r="E15" s="48" t="s">
        <v>72</v>
      </c>
      <c r="F15" s="45" t="s">
        <v>33</v>
      </c>
      <c r="G15" s="37">
        <v>0</v>
      </c>
      <c r="H15" s="110">
        <f>IF(B$19=0,0,G15/B$19)</f>
        <v>0</v>
      </c>
      <c r="I15" s="72">
        <v>1</v>
      </c>
      <c r="N15" s="93" t="s">
        <v>149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1</v>
      </c>
      <c r="C16" s="32">
        <f>IF(B$3=0,0,B16/B$3)</f>
        <v>0.1</v>
      </c>
      <c r="E16" s="48" t="s">
        <v>73</v>
      </c>
      <c r="F16" s="45" t="s">
        <v>34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1</v>
      </c>
      <c r="C17" s="4">
        <f>IF(B$15=0,0,B17/B$15)</f>
        <v>0.33333333333333331</v>
      </c>
      <c r="E17" s="48" t="s">
        <v>74</v>
      </c>
      <c r="F17" s="45" t="s">
        <v>35</v>
      </c>
      <c r="G17" s="37">
        <v>0</v>
      </c>
      <c r="H17" s="110">
        <f>IF(B$19=0,0,G17/B$19)</f>
        <v>0</v>
      </c>
      <c r="I17" s="72">
        <v>1</v>
      </c>
      <c r="N17" s="90" t="s">
        <v>131</v>
      </c>
      <c r="O17" s="30" t="s">
        <v>109</v>
      </c>
      <c r="P17" s="94" t="s">
        <v>105</v>
      </c>
      <c r="Q17" s="82" t="s">
        <v>134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152</v>
      </c>
      <c r="F18" s="45" t="s">
        <v>153</v>
      </c>
      <c r="G18" s="37">
        <v>0</v>
      </c>
      <c r="H18" s="110">
        <f>IF(B$19=0,0,G18/B$19)</f>
        <v>0</v>
      </c>
      <c r="I18" s="72">
        <v>3</v>
      </c>
      <c r="N18" s="91" t="s">
        <v>162</v>
      </c>
      <c r="O18" s="101">
        <f>IF(P18=0,0,Q18/P18)</f>
        <v>-36.6</v>
      </c>
      <c r="P18" s="95">
        <v>1</v>
      </c>
      <c r="Q18" s="83">
        <v>-36.6</v>
      </c>
    </row>
    <row r="19" spans="1:17" x14ac:dyDescent="0.4">
      <c r="A19" s="20" t="s">
        <v>10</v>
      </c>
      <c r="B19" s="36">
        <f>B21+B20</f>
        <v>1</v>
      </c>
      <c r="C19" s="4">
        <f>IF(B$3=0,0,B19/B$3)</f>
        <v>0.1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163</v>
      </c>
      <c r="O19" s="102">
        <f>IF(P19=0,0,Q19/P19)</f>
        <v>-73.600000000000009</v>
      </c>
      <c r="P19" s="96">
        <v>1</v>
      </c>
      <c r="Q19" s="84">
        <v>-73.600000000000009</v>
      </c>
    </row>
    <row r="20" spans="1:17" x14ac:dyDescent="0.4">
      <c r="A20" s="40" t="s">
        <v>12</v>
      </c>
      <c r="B20" s="37">
        <v>1</v>
      </c>
      <c r="C20" s="32">
        <f>IF(B$19=0,0,B20/B$19)</f>
        <v>1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160</v>
      </c>
      <c r="O20" s="102">
        <f>IF(P20=0,0,Q20/P20)</f>
        <v>-136.60000000000002</v>
      </c>
      <c r="P20" s="96">
        <v>1</v>
      </c>
      <c r="Q20" s="84">
        <v>-136.60000000000002</v>
      </c>
    </row>
    <row r="21" spans="1:17" x14ac:dyDescent="0.4">
      <c r="A21" s="40" t="s">
        <v>11</v>
      </c>
      <c r="B21" s="37">
        <v>0</v>
      </c>
      <c r="C21" s="32">
        <f>IF(B$19=0,0,B21/B$19)</f>
        <v>0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3</v>
      </c>
      <c r="C22" s="32">
        <f>IF(B$3=0,0,B22/B$3)</f>
        <v>0.3</v>
      </c>
      <c r="E22" s="48" t="s">
        <v>78</v>
      </c>
      <c r="F22" s="45" t="s">
        <v>39</v>
      </c>
      <c r="G22" s="37">
        <v>0</v>
      </c>
      <c r="H22" s="110">
        <f>IF(B$19=0,0,G22/B$19)</f>
        <v>0</v>
      </c>
      <c r="I22" s="72">
        <v>3</v>
      </c>
    </row>
    <row r="23" spans="1:17" x14ac:dyDescent="0.4">
      <c r="A23" s="40" t="s">
        <v>143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144</v>
      </c>
      <c r="B24" s="37">
        <v>0</v>
      </c>
      <c r="C24" s="112">
        <v>2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4000</v>
      </c>
      <c r="C25" s="8">
        <v>4000</v>
      </c>
      <c r="E25" s="48" t="s">
        <v>81</v>
      </c>
      <c r="F25" s="45" t="s">
        <v>42</v>
      </c>
      <c r="G25" s="37">
        <v>0</v>
      </c>
      <c r="H25" s="110">
        <f>IF(B$19=0,0,G25/B$19)</f>
        <v>0</v>
      </c>
      <c r="I25" s="72">
        <v>3</v>
      </c>
    </row>
    <row r="26" spans="1:17" x14ac:dyDescent="0.4">
      <c r="A26" s="42" t="s">
        <v>14</v>
      </c>
      <c r="B26" s="18">
        <f>IF(B$22=0,0,C26/B$22)</f>
        <v>-6800</v>
      </c>
      <c r="C26" s="12">
        <v>-20400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0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169</v>
      </c>
      <c r="B28" s="117">
        <v>-1700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145</v>
      </c>
      <c r="F45" s="46" t="s">
        <v>146</v>
      </c>
      <c r="G45" s="39">
        <v>0</v>
      </c>
      <c r="H45" s="111">
        <f>IF(B$19=0,0,G45/B$19)</f>
        <v>0</v>
      </c>
      <c r="I45" s="73">
        <v>5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F979E-E0C1-44A7-9B20-92025EF1A8C5}">
  <sheetPr codeName="Sheet8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162</v>
      </c>
      <c r="C1" s="124"/>
      <c r="E1" s="106" t="s">
        <v>142</v>
      </c>
      <c r="F1" s="116" t="s">
        <v>104</v>
      </c>
      <c r="G1" s="115" t="s">
        <v>105</v>
      </c>
      <c r="H1" s="107" t="s">
        <v>106</v>
      </c>
      <c r="I1" s="116" t="s">
        <v>130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134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2</v>
      </c>
      <c r="H2" s="109">
        <f>IF(B$19=0,0,G2/B$19)</f>
        <v>1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0">IF(P2=0,0,Q2/P2)</f>
        <v>0</v>
      </c>
      <c r="P2" s="95">
        <v>1</v>
      </c>
      <c r="Q2" s="79">
        <v>0</v>
      </c>
    </row>
    <row r="3" spans="1:17" x14ac:dyDescent="0.4">
      <c r="A3" s="40" t="s">
        <v>8</v>
      </c>
      <c r="B3" s="127">
        <v>10</v>
      </c>
      <c r="C3" s="128"/>
      <c r="E3" s="48" t="s">
        <v>61</v>
      </c>
      <c r="F3" s="45" t="s">
        <v>23</v>
      </c>
      <c r="G3" s="37">
        <v>2</v>
      </c>
      <c r="H3" s="110">
        <f>IF(B$19=0,0,G3/B$19)</f>
        <v>1</v>
      </c>
      <c r="I3" s="72">
        <v>2</v>
      </c>
      <c r="K3" s="5">
        <v>1</v>
      </c>
      <c r="L3" s="77">
        <v>-25.1</v>
      </c>
      <c r="N3" s="92" t="s">
        <v>116</v>
      </c>
      <c r="O3" s="99">
        <f t="shared" si="0"/>
        <v>-21200</v>
      </c>
      <c r="P3" s="96">
        <v>1</v>
      </c>
      <c r="Q3" s="80">
        <v>-21200</v>
      </c>
    </row>
    <row r="4" spans="1:17" x14ac:dyDescent="0.4">
      <c r="A4" s="40" t="s">
        <v>6</v>
      </c>
      <c r="B4" s="129">
        <v>-25.1</v>
      </c>
      <c r="C4" s="130"/>
      <c r="E4" s="48" t="s">
        <v>60</v>
      </c>
      <c r="F4" s="45" t="s">
        <v>22</v>
      </c>
      <c r="G4" s="37">
        <v>1</v>
      </c>
      <c r="H4" s="110">
        <f>IF(B$19=0,0,G4/B$19)</f>
        <v>0.5</v>
      </c>
      <c r="I4" s="72">
        <v>1</v>
      </c>
      <c r="N4" s="92" t="s">
        <v>117</v>
      </c>
      <c r="O4" s="99">
        <f t="shared" si="0"/>
        <v>500</v>
      </c>
      <c r="P4" s="96">
        <v>1</v>
      </c>
      <c r="Q4" s="80">
        <v>500</v>
      </c>
    </row>
    <row r="5" spans="1:17" x14ac:dyDescent="0.4">
      <c r="A5" s="40" t="s">
        <v>7</v>
      </c>
      <c r="B5" s="131">
        <f>IF(B$2=0,0,B$4/B$2)</f>
        <v>-25.1</v>
      </c>
      <c r="C5" s="132"/>
      <c r="E5" s="48" t="s">
        <v>81</v>
      </c>
      <c r="F5" s="45" t="s">
        <v>42</v>
      </c>
      <c r="G5" s="37">
        <v>1</v>
      </c>
      <c r="H5" s="110">
        <f>IF(B$19=0,0,G5/B$19)</f>
        <v>0.5</v>
      </c>
      <c r="I5" s="72">
        <v>1</v>
      </c>
      <c r="N5" s="92" t="s">
        <v>151</v>
      </c>
      <c r="O5" s="99">
        <f t="shared" si="0"/>
        <v>-2100</v>
      </c>
      <c r="P5" s="96">
        <v>1</v>
      </c>
      <c r="Q5" s="80">
        <v>-2100</v>
      </c>
    </row>
    <row r="6" spans="1:17" x14ac:dyDescent="0.4">
      <c r="A6" s="40" t="s">
        <v>1</v>
      </c>
      <c r="B6" s="121">
        <f>IF(B$2=0,0,(B$7*1+B$8*2+B$9*3+B$10*4)/B$2)</f>
        <v>3</v>
      </c>
      <c r="C6" s="122"/>
      <c r="E6" s="48" t="s">
        <v>62</v>
      </c>
      <c r="F6" s="45" t="s">
        <v>24</v>
      </c>
      <c r="G6" s="37">
        <v>0</v>
      </c>
      <c r="H6" s="110">
        <f>IF(B$19=0,0,G6/B$19)</f>
        <v>0</v>
      </c>
      <c r="I6" s="72">
        <v>6</v>
      </c>
      <c r="N6" s="92" t="s">
        <v>118</v>
      </c>
      <c r="O6" s="99">
        <f t="shared" si="0"/>
        <v>2600</v>
      </c>
      <c r="P6" s="96">
        <v>1</v>
      </c>
      <c r="Q6" s="80">
        <v>2600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63</v>
      </c>
      <c r="F7" s="45" t="s">
        <v>12</v>
      </c>
      <c r="G7" s="37">
        <v>0</v>
      </c>
      <c r="H7" s="110">
        <f>IF(B$19=0,0,G7/B$19)</f>
        <v>0</v>
      </c>
      <c r="I7" s="72">
        <v>6</v>
      </c>
      <c r="N7" s="92" t="s">
        <v>119</v>
      </c>
      <c r="O7" s="99">
        <f t="shared" si="0"/>
        <v>10100</v>
      </c>
      <c r="P7" s="96">
        <v>1</v>
      </c>
      <c r="Q7" s="80">
        <v>10100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64</v>
      </c>
      <c r="F8" s="45" t="s">
        <v>25</v>
      </c>
      <c r="G8" s="37">
        <v>0</v>
      </c>
      <c r="H8" s="110">
        <f>IF(B$19=0,0,G8/B$19)</f>
        <v>0</v>
      </c>
      <c r="I8" s="72">
        <v>6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1</v>
      </c>
      <c r="C9" s="33">
        <f t="shared" ref="C9:C10" si="1">IF(B$2=0,0,B9/B$2)</f>
        <v>1</v>
      </c>
      <c r="E9" s="48" t="s">
        <v>65</v>
      </c>
      <c r="F9" s="45" t="s">
        <v>26</v>
      </c>
      <c r="G9" s="37">
        <v>0</v>
      </c>
      <c r="H9" s="110">
        <f>IF(B$19=0,0,G9/B$19)</f>
        <v>0</v>
      </c>
      <c r="I9" s="72">
        <v>4</v>
      </c>
      <c r="N9" s="93" t="s">
        <v>150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147</v>
      </c>
      <c r="B10" s="38">
        <v>0</v>
      </c>
      <c r="C10" s="33">
        <f t="shared" si="1"/>
        <v>0</v>
      </c>
      <c r="E10" s="48" t="s">
        <v>66</v>
      </c>
      <c r="F10" s="45" t="s">
        <v>27</v>
      </c>
      <c r="G10" s="37">
        <v>0</v>
      </c>
      <c r="H10" s="110">
        <f>IF(B$19=0,0,G10/B$19)</f>
        <v>0</v>
      </c>
      <c r="I10" s="72">
        <v>5</v>
      </c>
      <c r="N10" s="35"/>
      <c r="O10" s="104"/>
      <c r="P10" s="88"/>
      <c r="Q10" s="86"/>
    </row>
    <row r="11" spans="1:17" x14ac:dyDescent="0.4">
      <c r="A11" s="41" t="s">
        <v>155</v>
      </c>
      <c r="B11" s="38">
        <f>トップ数+B8</f>
        <v>0</v>
      </c>
      <c r="C11" s="33">
        <f>IF(B$2=0,0,B11/B$2)</f>
        <v>0</v>
      </c>
      <c r="E11" s="48" t="s">
        <v>67</v>
      </c>
      <c r="F11" s="45" t="s">
        <v>28</v>
      </c>
      <c r="G11" s="37">
        <v>0</v>
      </c>
      <c r="H11" s="110">
        <f>IF(B$19=0,0,G11/B$19)</f>
        <v>0</v>
      </c>
      <c r="I11" s="72">
        <v>3</v>
      </c>
      <c r="N11" s="90" t="s">
        <v>139</v>
      </c>
      <c r="O11" s="30" t="s">
        <v>109</v>
      </c>
      <c r="P11" s="94" t="s">
        <v>105</v>
      </c>
      <c r="Q11" s="82" t="s">
        <v>134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>IF(B$19=0,0,G12/B$19)</f>
        <v>0</v>
      </c>
      <c r="I12" s="72">
        <v>1</v>
      </c>
      <c r="N12" s="91" t="s">
        <v>140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69</v>
      </c>
      <c r="F13" s="45" t="s">
        <v>30</v>
      </c>
      <c r="G13" s="37">
        <v>0</v>
      </c>
      <c r="H13" s="110">
        <f>IF(B$19=0,0,G13/B$19)</f>
        <v>0</v>
      </c>
      <c r="I13" s="72">
        <v>1</v>
      </c>
      <c r="N13" s="92" t="s">
        <v>141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136</v>
      </c>
      <c r="B14" s="39">
        <v>0</v>
      </c>
      <c r="C14" s="34">
        <f>IF(B$2=0,0,B14/B$2)</f>
        <v>0</v>
      </c>
      <c r="E14" s="48" t="s">
        <v>70</v>
      </c>
      <c r="F14" s="45" t="s">
        <v>31</v>
      </c>
      <c r="G14" s="37">
        <v>0</v>
      </c>
      <c r="H14" s="110">
        <f>IF(B$19=0,0,G14/B$19)</f>
        <v>0</v>
      </c>
      <c r="I14" s="72">
        <v>1</v>
      </c>
      <c r="N14" s="92" t="s">
        <v>148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4</v>
      </c>
      <c r="C15" s="11">
        <f>IF(B$3=0,0,B15/B$3)</f>
        <v>0.4</v>
      </c>
      <c r="E15" s="48" t="s">
        <v>71</v>
      </c>
      <c r="F15" s="45" t="s">
        <v>32</v>
      </c>
      <c r="G15" s="37">
        <v>0</v>
      </c>
      <c r="H15" s="110">
        <f>IF(B$19=0,0,G15/B$19)</f>
        <v>0</v>
      </c>
      <c r="I15" s="72">
        <v>1</v>
      </c>
      <c r="N15" s="93" t="s">
        <v>149</v>
      </c>
      <c r="O15" s="103">
        <f>IF(P15=0,0,Q15/P15)</f>
        <v>-25.1</v>
      </c>
      <c r="P15" s="97">
        <v>1</v>
      </c>
      <c r="Q15" s="85">
        <v>-25.1</v>
      </c>
    </row>
    <row r="16" spans="1:17" x14ac:dyDescent="0.4">
      <c r="A16" s="40" t="s">
        <v>107</v>
      </c>
      <c r="B16" s="37">
        <v>3</v>
      </c>
      <c r="C16" s="32">
        <f>IF(B$3=0,0,B16/B$3)</f>
        <v>0.3</v>
      </c>
      <c r="E16" s="48" t="s">
        <v>72</v>
      </c>
      <c r="F16" s="45" t="s">
        <v>33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2</v>
      </c>
      <c r="C17" s="4">
        <f>IF(B$15=0,0,B17/B$15)</f>
        <v>0.5</v>
      </c>
      <c r="E17" s="48" t="s">
        <v>73</v>
      </c>
      <c r="F17" s="45" t="s">
        <v>34</v>
      </c>
      <c r="G17" s="37">
        <v>0</v>
      </c>
      <c r="H17" s="110">
        <f>IF(B$19=0,0,G17/B$19)</f>
        <v>0</v>
      </c>
      <c r="I17" s="72">
        <v>1</v>
      </c>
      <c r="N17" s="90" t="s">
        <v>131</v>
      </c>
      <c r="O17" s="30" t="s">
        <v>109</v>
      </c>
      <c r="P17" s="94" t="s">
        <v>105</v>
      </c>
      <c r="Q17" s="82" t="s">
        <v>134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74</v>
      </c>
      <c r="F18" s="45" t="s">
        <v>35</v>
      </c>
      <c r="G18" s="37">
        <v>0</v>
      </c>
      <c r="H18" s="110">
        <f>IF(B$19=0,0,G18/B$19)</f>
        <v>0</v>
      </c>
      <c r="I18" s="72">
        <v>1</v>
      </c>
      <c r="N18" s="91" t="s">
        <v>163</v>
      </c>
      <c r="O18" s="101">
        <f>IF(P18=0,0,Q18/P18)</f>
        <v>-37</v>
      </c>
      <c r="P18" s="95">
        <v>1</v>
      </c>
      <c r="Q18" s="83">
        <v>-37</v>
      </c>
    </row>
    <row r="19" spans="1:17" x14ac:dyDescent="0.4">
      <c r="A19" s="20" t="s">
        <v>10</v>
      </c>
      <c r="B19" s="36">
        <f>B21+B20</f>
        <v>2</v>
      </c>
      <c r="C19" s="4">
        <f>IF(B$3=0,0,B19/B$3)</f>
        <v>0.2</v>
      </c>
      <c r="E19" s="48" t="s">
        <v>152</v>
      </c>
      <c r="F19" s="45" t="s">
        <v>153</v>
      </c>
      <c r="G19" s="37">
        <v>0</v>
      </c>
      <c r="H19" s="110">
        <f>IF(B$19=0,0,G19/B$19)</f>
        <v>0</v>
      </c>
      <c r="I19" s="72">
        <v>3</v>
      </c>
      <c r="N19" s="92" t="s">
        <v>160</v>
      </c>
      <c r="O19" s="102">
        <f>IF(P19=0,0,Q19/P19)</f>
        <v>-100</v>
      </c>
      <c r="P19" s="96">
        <v>1</v>
      </c>
      <c r="Q19" s="84">
        <v>-100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75</v>
      </c>
      <c r="F20" s="45" t="s">
        <v>36</v>
      </c>
      <c r="G20" s="37">
        <v>0</v>
      </c>
      <c r="H20" s="110">
        <f>IF(B$19=0,0,G20/B$19)</f>
        <v>0</v>
      </c>
      <c r="I20" s="72">
        <v>1</v>
      </c>
      <c r="N20" s="92" t="s">
        <v>161</v>
      </c>
      <c r="O20" s="102">
        <f>IF(P20=0,0,Q20/P20)</f>
        <v>36.6</v>
      </c>
      <c r="P20" s="96">
        <v>1</v>
      </c>
      <c r="Q20" s="84">
        <v>36.6</v>
      </c>
    </row>
    <row r="21" spans="1:17" x14ac:dyDescent="0.4">
      <c r="A21" s="40" t="s">
        <v>11</v>
      </c>
      <c r="B21" s="37">
        <v>2</v>
      </c>
      <c r="C21" s="32">
        <f>IF(B$19=0,0,B21/B$19)</f>
        <v>1</v>
      </c>
      <c r="E21" s="48" t="s">
        <v>76</v>
      </c>
      <c r="F21" s="45" t="s">
        <v>37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</v>
      </c>
      <c r="E22" s="48" t="s">
        <v>77</v>
      </c>
      <c r="F22" s="45" t="s">
        <v>38</v>
      </c>
      <c r="G22" s="37">
        <v>0</v>
      </c>
      <c r="H22" s="110">
        <f>IF(B$19=0,0,G22/B$19)</f>
        <v>0</v>
      </c>
      <c r="I22" s="72">
        <v>1</v>
      </c>
    </row>
    <row r="23" spans="1:17" x14ac:dyDescent="0.4">
      <c r="A23" s="40" t="s">
        <v>143</v>
      </c>
      <c r="B23" s="37">
        <v>1</v>
      </c>
      <c r="C23" s="112">
        <v>1</v>
      </c>
      <c r="E23" s="48" t="s">
        <v>78</v>
      </c>
      <c r="F23" s="45" t="s">
        <v>39</v>
      </c>
      <c r="G23" s="37">
        <v>0</v>
      </c>
      <c r="H23" s="110">
        <f>IF(B$19=0,0,G23/B$19)</f>
        <v>0</v>
      </c>
      <c r="I23" s="72">
        <v>3</v>
      </c>
    </row>
    <row r="24" spans="1:17" x14ac:dyDescent="0.4">
      <c r="A24" s="40" t="s">
        <v>144</v>
      </c>
      <c r="B24" s="37">
        <v>0</v>
      </c>
      <c r="C24" s="112">
        <v>6</v>
      </c>
      <c r="E24" s="48" t="s">
        <v>79</v>
      </c>
      <c r="F24" s="45" t="s">
        <v>40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5300</v>
      </c>
      <c r="C25" s="8">
        <v>10600</v>
      </c>
      <c r="E25" s="48" t="s">
        <v>80</v>
      </c>
      <c r="F25" s="45" t="s">
        <v>41</v>
      </c>
      <c r="G25" s="37">
        <v>0</v>
      </c>
      <c r="H25" s="110">
        <f>IF(B$19=0,0,G25/B$19)</f>
        <v>0</v>
      </c>
      <c r="I25" s="72">
        <v>1</v>
      </c>
    </row>
    <row r="26" spans="1:17" x14ac:dyDescent="0.4">
      <c r="A26" s="42" t="s">
        <v>14</v>
      </c>
      <c r="B26" s="18">
        <f>IF(B$22=0,0,C26/B$22)</f>
        <v>-12000</v>
      </c>
      <c r="C26" s="12">
        <v>-12000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2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169</v>
      </c>
      <c r="B28" s="117">
        <v>14900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145</v>
      </c>
      <c r="F45" s="46" t="s">
        <v>146</v>
      </c>
      <c r="G45" s="39">
        <v>0</v>
      </c>
      <c r="H45" s="111">
        <f>IF(B$19=0,0,G45/B$19)</f>
        <v>0</v>
      </c>
      <c r="I45" s="73">
        <v>5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2DC5C-1B54-409C-A086-C2B32ED01CF0}">
  <sheetPr codeName="Sheet9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168</v>
      </c>
      <c r="C1" s="124"/>
      <c r="E1" s="106" t="s">
        <v>142</v>
      </c>
      <c r="F1" s="116" t="s">
        <v>104</v>
      </c>
      <c r="G1" s="115" t="s">
        <v>105</v>
      </c>
      <c r="H1" s="107" t="s">
        <v>106</v>
      </c>
      <c r="I1" s="116" t="s">
        <v>130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134</v>
      </c>
    </row>
    <row r="2" spans="1:17" x14ac:dyDescent="0.4">
      <c r="A2" s="20" t="s">
        <v>9</v>
      </c>
      <c r="B2" s="125">
        <v>1</v>
      </c>
      <c r="C2" s="126"/>
      <c r="E2" s="47" t="s">
        <v>62</v>
      </c>
      <c r="F2" s="44" t="s">
        <v>24</v>
      </c>
      <c r="G2" s="36">
        <v>2</v>
      </c>
      <c r="H2" s="109">
        <f>IF(B$19=0,0,G2/B$19)</f>
        <v>2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0">IF(P2=0,0,Q2/P2)</f>
        <v>17200</v>
      </c>
      <c r="P2" s="95">
        <v>1</v>
      </c>
      <c r="Q2" s="79">
        <v>17200</v>
      </c>
    </row>
    <row r="3" spans="1:17" x14ac:dyDescent="0.4">
      <c r="A3" s="40" t="s">
        <v>8</v>
      </c>
      <c r="B3" s="127">
        <v>7</v>
      </c>
      <c r="C3" s="128"/>
      <c r="E3" s="48" t="s">
        <v>59</v>
      </c>
      <c r="F3" s="45" t="s">
        <v>21</v>
      </c>
      <c r="G3" s="37">
        <v>1</v>
      </c>
      <c r="H3" s="110">
        <f>IF(B$19=0,0,G3/B$19)</f>
        <v>1</v>
      </c>
      <c r="I3" s="72">
        <v>1</v>
      </c>
      <c r="K3" s="5">
        <v>1</v>
      </c>
      <c r="L3" s="77">
        <v>-14.2</v>
      </c>
      <c r="N3" s="92" t="s">
        <v>116</v>
      </c>
      <c r="O3" s="99">
        <f t="shared" si="0"/>
        <v>0</v>
      </c>
      <c r="P3" s="96">
        <v>1</v>
      </c>
      <c r="Q3" s="80">
        <v>0</v>
      </c>
    </row>
    <row r="4" spans="1:17" x14ac:dyDescent="0.4">
      <c r="A4" s="40" t="s">
        <v>6</v>
      </c>
      <c r="B4" s="129">
        <v>-14.2</v>
      </c>
      <c r="C4" s="130"/>
      <c r="E4" s="48" t="s">
        <v>64</v>
      </c>
      <c r="F4" s="45" t="s">
        <v>25</v>
      </c>
      <c r="G4" s="37">
        <v>1</v>
      </c>
      <c r="H4" s="110">
        <f>IF(B$19=0,0,G4/B$19)</f>
        <v>1</v>
      </c>
      <c r="I4" s="72">
        <v>1</v>
      </c>
      <c r="N4" s="92" t="s">
        <v>117</v>
      </c>
      <c r="O4" s="99">
        <f t="shared" si="0"/>
        <v>-3000</v>
      </c>
      <c r="P4" s="96">
        <v>1</v>
      </c>
      <c r="Q4" s="80">
        <v>-3000</v>
      </c>
    </row>
    <row r="5" spans="1:17" x14ac:dyDescent="0.4">
      <c r="A5" s="40" t="s">
        <v>7</v>
      </c>
      <c r="B5" s="131">
        <f>IF(B$2=0,0,B$4/B$2)</f>
        <v>-14.2</v>
      </c>
      <c r="C5" s="132"/>
      <c r="E5" s="48" t="s">
        <v>66</v>
      </c>
      <c r="F5" s="45" t="s">
        <v>27</v>
      </c>
      <c r="G5" s="37">
        <v>1</v>
      </c>
      <c r="H5" s="110">
        <f>IF(B$19=0,0,G5/B$19)</f>
        <v>1</v>
      </c>
      <c r="I5" s="72">
        <v>1</v>
      </c>
      <c r="N5" s="92" t="s">
        <v>151</v>
      </c>
      <c r="O5" s="99">
        <f t="shared" si="0"/>
        <v>-13400</v>
      </c>
      <c r="P5" s="96">
        <v>1</v>
      </c>
      <c r="Q5" s="80">
        <v>-13400</v>
      </c>
    </row>
    <row r="6" spans="1:17" x14ac:dyDescent="0.4">
      <c r="A6" s="40" t="s">
        <v>1</v>
      </c>
      <c r="B6" s="121">
        <f>IF(B$2=0,0,(B$7*1+B$8*2+B$9*3+B$10*4)/B$2)</f>
        <v>3</v>
      </c>
      <c r="C6" s="122"/>
      <c r="E6" s="48" t="s">
        <v>145</v>
      </c>
      <c r="F6" s="45" t="s">
        <v>146</v>
      </c>
      <c r="G6" s="37">
        <v>1</v>
      </c>
      <c r="H6" s="110">
        <f>IF(B$19=0,0,G6/B$19)</f>
        <v>1</v>
      </c>
      <c r="I6" s="72">
        <v>2</v>
      </c>
      <c r="N6" s="92" t="s">
        <v>118</v>
      </c>
      <c r="O6" s="99">
        <f t="shared" si="0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60</v>
      </c>
      <c r="F7" s="45" t="s">
        <v>22</v>
      </c>
      <c r="G7" s="37">
        <v>0</v>
      </c>
      <c r="H7" s="110">
        <f>IF(B$19=0,0,G7/B$19)</f>
        <v>0</v>
      </c>
      <c r="I7" s="72">
        <v>4</v>
      </c>
      <c r="N7" s="92" t="s">
        <v>119</v>
      </c>
      <c r="O7" s="99">
        <f t="shared" si="0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61</v>
      </c>
      <c r="F8" s="45" t="s">
        <v>23</v>
      </c>
      <c r="G8" s="37">
        <v>0</v>
      </c>
      <c r="H8" s="110">
        <f>IF(B$19=0,0,G8/B$19)</f>
        <v>0</v>
      </c>
      <c r="I8" s="72">
        <v>7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1</v>
      </c>
      <c r="C9" s="33">
        <f t="shared" ref="C9:C10" si="1">IF(B$2=0,0,B9/B$2)</f>
        <v>1</v>
      </c>
      <c r="E9" s="48" t="s">
        <v>63</v>
      </c>
      <c r="F9" s="45" t="s">
        <v>12</v>
      </c>
      <c r="G9" s="37">
        <v>0</v>
      </c>
      <c r="H9" s="110">
        <f>IF(B$19=0,0,G9/B$19)</f>
        <v>0</v>
      </c>
      <c r="I9" s="72">
        <v>6</v>
      </c>
      <c r="N9" s="93" t="s">
        <v>150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147</v>
      </c>
      <c r="B10" s="38">
        <v>0</v>
      </c>
      <c r="C10" s="33">
        <f t="shared" si="1"/>
        <v>0</v>
      </c>
      <c r="E10" s="48" t="s">
        <v>65</v>
      </c>
      <c r="F10" s="45" t="s">
        <v>26</v>
      </c>
      <c r="G10" s="37">
        <v>0</v>
      </c>
      <c r="H10" s="110">
        <f>IF(B$19=0,0,G10/B$19)</f>
        <v>0</v>
      </c>
      <c r="I10" s="72">
        <v>4</v>
      </c>
      <c r="N10" s="35"/>
      <c r="O10" s="104"/>
      <c r="P10" s="88"/>
      <c r="Q10" s="86"/>
    </row>
    <row r="11" spans="1:17" x14ac:dyDescent="0.4">
      <c r="A11" s="41" t="s">
        <v>155</v>
      </c>
      <c r="B11" s="38">
        <f>トップ数+B8</f>
        <v>0</v>
      </c>
      <c r="C11" s="33">
        <f>IF(B$2=0,0,B11/B$2)</f>
        <v>0</v>
      </c>
      <c r="E11" s="48" t="s">
        <v>67</v>
      </c>
      <c r="F11" s="45" t="s">
        <v>28</v>
      </c>
      <c r="G11" s="37">
        <v>0</v>
      </c>
      <c r="H11" s="110">
        <f>IF(B$19=0,0,G11/B$19)</f>
        <v>0</v>
      </c>
      <c r="I11" s="72">
        <v>3</v>
      </c>
      <c r="N11" s="90" t="s">
        <v>139</v>
      </c>
      <c r="O11" s="30" t="s">
        <v>109</v>
      </c>
      <c r="P11" s="94" t="s">
        <v>105</v>
      </c>
      <c r="Q11" s="82" t="s">
        <v>134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>IF(B$19=0,0,G12/B$19)</f>
        <v>0</v>
      </c>
      <c r="I12" s="72">
        <v>1</v>
      </c>
      <c r="N12" s="91" t="s">
        <v>140</v>
      </c>
      <c r="O12" s="101">
        <f>IF(P12=0,0,Q12/P12)</f>
        <v>-14.2</v>
      </c>
      <c r="P12" s="95">
        <v>1</v>
      </c>
      <c r="Q12" s="83">
        <v>-14.2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69</v>
      </c>
      <c r="F13" s="45" t="s">
        <v>30</v>
      </c>
      <c r="G13" s="37">
        <v>0</v>
      </c>
      <c r="H13" s="110">
        <f>IF(B$19=0,0,G13/B$19)</f>
        <v>0</v>
      </c>
      <c r="I13" s="72">
        <v>1</v>
      </c>
      <c r="N13" s="92" t="s">
        <v>141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136</v>
      </c>
      <c r="B14" s="39">
        <v>0</v>
      </c>
      <c r="C14" s="34">
        <f>IF(B$2=0,0,B14/B$2)</f>
        <v>0</v>
      </c>
      <c r="E14" s="48" t="s">
        <v>70</v>
      </c>
      <c r="F14" s="45" t="s">
        <v>31</v>
      </c>
      <c r="G14" s="37">
        <v>0</v>
      </c>
      <c r="H14" s="110">
        <f>IF(B$19=0,0,G14/B$19)</f>
        <v>0</v>
      </c>
      <c r="I14" s="72">
        <v>1</v>
      </c>
      <c r="N14" s="92" t="s">
        <v>148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2</v>
      </c>
      <c r="C15" s="11">
        <f>IF(B$3=0,0,B15/B$3)</f>
        <v>0.2857142857142857</v>
      </c>
      <c r="E15" s="48" t="s">
        <v>71</v>
      </c>
      <c r="F15" s="45" t="s">
        <v>32</v>
      </c>
      <c r="G15" s="37">
        <v>0</v>
      </c>
      <c r="H15" s="110">
        <f>IF(B$19=0,0,G15/B$19)</f>
        <v>0</v>
      </c>
      <c r="I15" s="72">
        <v>1</v>
      </c>
      <c r="N15" s="93" t="s">
        <v>149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2</v>
      </c>
      <c r="C16" s="32">
        <f>IF(B$3=0,0,B16/B$3)</f>
        <v>0.2857142857142857</v>
      </c>
      <c r="E16" s="48" t="s">
        <v>72</v>
      </c>
      <c r="F16" s="45" t="s">
        <v>33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1</v>
      </c>
      <c r="C17" s="4">
        <f>IF(B$15=0,0,B17/B$15)</f>
        <v>0.5</v>
      </c>
      <c r="E17" s="48" t="s">
        <v>73</v>
      </c>
      <c r="F17" s="45" t="s">
        <v>34</v>
      </c>
      <c r="G17" s="37">
        <v>0</v>
      </c>
      <c r="H17" s="110">
        <f>IF(B$19=0,0,G17/B$19)</f>
        <v>0</v>
      </c>
      <c r="I17" s="72">
        <v>1</v>
      </c>
      <c r="N17" s="90" t="s">
        <v>131</v>
      </c>
      <c r="O17" s="30" t="s">
        <v>109</v>
      </c>
      <c r="P17" s="94" t="s">
        <v>105</v>
      </c>
      <c r="Q17" s="82" t="s">
        <v>134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74</v>
      </c>
      <c r="F18" s="45" t="s">
        <v>35</v>
      </c>
      <c r="G18" s="37">
        <v>0</v>
      </c>
      <c r="H18" s="110">
        <f>IF(B$19=0,0,G18/B$19)</f>
        <v>0</v>
      </c>
      <c r="I18" s="72">
        <v>1</v>
      </c>
      <c r="N18" s="91" t="s">
        <v>165</v>
      </c>
      <c r="O18" s="101">
        <f>IF(P18=0,0,Q18/P18)</f>
        <v>46.7</v>
      </c>
      <c r="P18" s="95">
        <v>1</v>
      </c>
      <c r="Q18" s="83">
        <v>46.7</v>
      </c>
    </row>
    <row r="19" spans="1:17" x14ac:dyDescent="0.4">
      <c r="A19" s="20" t="s">
        <v>10</v>
      </c>
      <c r="B19" s="36">
        <f>B21+B20</f>
        <v>1</v>
      </c>
      <c r="C19" s="4">
        <f>IF(B$3=0,0,B19/B$3)</f>
        <v>0.14285714285714285</v>
      </c>
      <c r="E19" s="48" t="s">
        <v>152</v>
      </c>
      <c r="F19" s="45" t="s">
        <v>153</v>
      </c>
      <c r="G19" s="37">
        <v>0</v>
      </c>
      <c r="H19" s="110">
        <f>IF(B$19=0,0,G19/B$19)</f>
        <v>0</v>
      </c>
      <c r="I19" s="72">
        <v>3</v>
      </c>
      <c r="N19" s="92" t="s">
        <v>166</v>
      </c>
      <c r="O19" s="102">
        <f>IF(P19=0,0,Q19/P19)</f>
        <v>-28.2</v>
      </c>
      <c r="P19" s="96">
        <v>1</v>
      </c>
      <c r="Q19" s="84">
        <v>-28.2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75</v>
      </c>
      <c r="F20" s="45" t="s">
        <v>36</v>
      </c>
      <c r="G20" s="37">
        <v>0</v>
      </c>
      <c r="H20" s="110">
        <f>IF(B$19=0,0,G20/B$19)</f>
        <v>0</v>
      </c>
      <c r="I20" s="72">
        <v>1</v>
      </c>
      <c r="N20" s="92" t="s">
        <v>167</v>
      </c>
      <c r="O20" s="102">
        <f>IF(P20=0,0,Q20/P20)</f>
        <v>-75.3</v>
      </c>
      <c r="P20" s="96">
        <v>1</v>
      </c>
      <c r="Q20" s="84">
        <v>-75.3</v>
      </c>
    </row>
    <row r="21" spans="1:17" x14ac:dyDescent="0.4">
      <c r="A21" s="40" t="s">
        <v>11</v>
      </c>
      <c r="B21" s="37">
        <v>1</v>
      </c>
      <c r="C21" s="32">
        <f>IF(B$19=0,0,B21/B$19)</f>
        <v>1</v>
      </c>
      <c r="E21" s="48" t="s">
        <v>76</v>
      </c>
      <c r="F21" s="45" t="s">
        <v>37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0.14285714285714285</v>
      </c>
      <c r="E22" s="48" t="s">
        <v>77</v>
      </c>
      <c r="F22" s="45" t="s">
        <v>38</v>
      </c>
      <c r="G22" s="37">
        <v>0</v>
      </c>
      <c r="H22" s="110">
        <f>IF(B$19=0,0,G22/B$19)</f>
        <v>0</v>
      </c>
      <c r="I22" s="72">
        <v>1</v>
      </c>
    </row>
    <row r="23" spans="1:17" x14ac:dyDescent="0.4">
      <c r="A23" s="40" t="s">
        <v>143</v>
      </c>
      <c r="B23" s="37">
        <v>0</v>
      </c>
      <c r="C23" s="112">
        <v>0</v>
      </c>
      <c r="E23" s="48" t="s">
        <v>78</v>
      </c>
      <c r="F23" s="45" t="s">
        <v>39</v>
      </c>
      <c r="G23" s="37">
        <v>0</v>
      </c>
      <c r="H23" s="110">
        <f>IF(B$19=0,0,G23/B$19)</f>
        <v>0</v>
      </c>
      <c r="I23" s="72">
        <v>3</v>
      </c>
    </row>
    <row r="24" spans="1:17" x14ac:dyDescent="0.4">
      <c r="A24" s="40" t="s">
        <v>144</v>
      </c>
      <c r="B24" s="37">
        <v>0</v>
      </c>
      <c r="C24" s="112">
        <v>1</v>
      </c>
      <c r="E24" s="48" t="s">
        <v>79</v>
      </c>
      <c r="F24" s="45" t="s">
        <v>40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18000</v>
      </c>
      <c r="C25" s="8">
        <v>18000</v>
      </c>
      <c r="E25" s="48" t="s">
        <v>80</v>
      </c>
      <c r="F25" s="45" t="s">
        <v>41</v>
      </c>
      <c r="G25" s="37">
        <v>0</v>
      </c>
      <c r="H25" s="110">
        <f>IF(B$19=0,0,G25/B$19)</f>
        <v>0</v>
      </c>
      <c r="I25" s="72">
        <v>1</v>
      </c>
    </row>
    <row r="26" spans="1:17" x14ac:dyDescent="0.4">
      <c r="A26" s="42" t="s">
        <v>14</v>
      </c>
      <c r="B26" s="18">
        <f>IF(B$22=0,0,C26/B$22)</f>
        <v>-12000</v>
      </c>
      <c r="C26" s="12">
        <v>-12000</v>
      </c>
      <c r="E26" s="48" t="s">
        <v>81</v>
      </c>
      <c r="F26" s="45" t="s">
        <v>42</v>
      </c>
      <c r="G26" s="37">
        <v>0</v>
      </c>
      <c r="H26" s="110">
        <f>IF(B$19=0,0,G26/B$19)</f>
        <v>0</v>
      </c>
      <c r="I26" s="72">
        <v>3</v>
      </c>
    </row>
    <row r="27" spans="1:17" x14ac:dyDescent="0.4">
      <c r="A27" s="68" t="s">
        <v>124</v>
      </c>
      <c r="B27" s="119">
        <v>3</v>
      </c>
      <c r="C27" s="120"/>
      <c r="E27" s="48" t="s">
        <v>82</v>
      </c>
      <c r="F27" s="45" t="s">
        <v>43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169</v>
      </c>
      <c r="B28" s="117">
        <v>25800</v>
      </c>
      <c r="C28" s="118"/>
      <c r="E28" s="48" t="s">
        <v>83</v>
      </c>
      <c r="F28" s="45" t="s">
        <v>44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84</v>
      </c>
      <c r="F29" s="45" t="s">
        <v>45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85</v>
      </c>
      <c r="F30" s="45" t="s">
        <v>46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86</v>
      </c>
      <c r="F31" s="45" t="s">
        <v>47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87</v>
      </c>
      <c r="F32" s="45" t="s">
        <v>48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88</v>
      </c>
      <c r="F33" s="45" t="s">
        <v>49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89</v>
      </c>
      <c r="F34" s="45" t="s">
        <v>50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90</v>
      </c>
      <c r="F35" s="45" t="s">
        <v>51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91</v>
      </c>
      <c r="F36" s="45" t="s">
        <v>52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92</v>
      </c>
      <c r="F37" s="45" t="s">
        <v>53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93</v>
      </c>
      <c r="F38" s="45" t="s">
        <v>54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94</v>
      </c>
      <c r="F39" s="45" t="s">
        <v>55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95</v>
      </c>
      <c r="F40" s="45" t="s">
        <v>56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96</v>
      </c>
      <c r="F41" s="45" t="s">
        <v>57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97</v>
      </c>
      <c r="F42" s="45" t="s">
        <v>58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98</v>
      </c>
      <c r="F43" s="45" t="s">
        <v>101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99</v>
      </c>
      <c r="F44" s="45" t="s">
        <v>102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100</v>
      </c>
      <c r="F45" s="46" t="s">
        <v>103</v>
      </c>
      <c r="G45" s="39">
        <v>0</v>
      </c>
      <c r="H45" s="111">
        <f>IF(B$19=0,0,G45/B$19)</f>
        <v>0</v>
      </c>
      <c r="I45" s="73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1B743-0233-402C-AFBA-621568B5D6CD}">
  <sheetPr codeName="Sheet10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165</v>
      </c>
      <c r="C1" s="124"/>
      <c r="E1" s="106" t="s">
        <v>142</v>
      </c>
      <c r="F1" s="116" t="s">
        <v>104</v>
      </c>
      <c r="G1" s="115" t="s">
        <v>105</v>
      </c>
      <c r="H1" s="107" t="s">
        <v>106</v>
      </c>
      <c r="I1" s="116" t="s">
        <v>130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134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0</v>
      </c>
      <c r="H2" s="109">
        <f>IF(B$19=0,0,G2/B$19)</f>
        <v>0</v>
      </c>
      <c r="I2" s="71">
        <v>8</v>
      </c>
      <c r="K2" s="3">
        <v>0</v>
      </c>
      <c r="L2" s="76">
        <v>0</v>
      </c>
      <c r="N2" s="91" t="s">
        <v>115</v>
      </c>
      <c r="O2" s="98">
        <f t="shared" ref="O2:O9" si="0">IF(P2=0,0,Q2/P2)</f>
        <v>-20500</v>
      </c>
      <c r="P2" s="95">
        <v>1</v>
      </c>
      <c r="Q2" s="79">
        <v>-20500</v>
      </c>
    </row>
    <row r="3" spans="1:17" x14ac:dyDescent="0.4">
      <c r="A3" s="40" t="s">
        <v>8</v>
      </c>
      <c r="B3" s="127">
        <v>7</v>
      </c>
      <c r="C3" s="128"/>
      <c r="E3" s="48" t="s">
        <v>60</v>
      </c>
      <c r="F3" s="45" t="s">
        <v>22</v>
      </c>
      <c r="G3" s="37">
        <v>0</v>
      </c>
      <c r="H3" s="110">
        <f>IF(B$19=0,0,G3/B$19)</f>
        <v>0</v>
      </c>
      <c r="I3" s="72">
        <v>4</v>
      </c>
      <c r="K3" s="5">
        <v>1</v>
      </c>
      <c r="L3" s="77">
        <v>-60.9</v>
      </c>
      <c r="N3" s="92" t="s">
        <v>116</v>
      </c>
      <c r="O3" s="99">
        <f t="shared" si="0"/>
        <v>0</v>
      </c>
      <c r="P3" s="96">
        <v>1</v>
      </c>
      <c r="Q3" s="80">
        <v>0</v>
      </c>
    </row>
    <row r="4" spans="1:17" x14ac:dyDescent="0.4">
      <c r="A4" s="40" t="s">
        <v>6</v>
      </c>
      <c r="B4" s="129">
        <v>-60.9</v>
      </c>
      <c r="C4" s="130"/>
      <c r="E4" s="48" t="s">
        <v>61</v>
      </c>
      <c r="F4" s="45" t="s">
        <v>23</v>
      </c>
      <c r="G4" s="37">
        <v>0</v>
      </c>
      <c r="H4" s="110">
        <f>IF(B$19=0,0,G4/B$19)</f>
        <v>0</v>
      </c>
      <c r="I4" s="72">
        <v>7</v>
      </c>
      <c r="N4" s="92" t="s">
        <v>117</v>
      </c>
      <c r="O4" s="99">
        <f t="shared" si="0"/>
        <v>-4000</v>
      </c>
      <c r="P4" s="96">
        <v>1</v>
      </c>
      <c r="Q4" s="80">
        <v>-4000</v>
      </c>
    </row>
    <row r="5" spans="1:17" x14ac:dyDescent="0.4">
      <c r="A5" s="40" t="s">
        <v>7</v>
      </c>
      <c r="B5" s="131">
        <f>IF(B$2=0,0,B$4/B$2)</f>
        <v>-60.9</v>
      </c>
      <c r="C5" s="132"/>
      <c r="E5" s="48" t="s">
        <v>62</v>
      </c>
      <c r="F5" s="45" t="s">
        <v>24</v>
      </c>
      <c r="G5" s="37">
        <v>0</v>
      </c>
      <c r="H5" s="110">
        <f>IF(B$19=0,0,G5/B$19)</f>
        <v>0</v>
      </c>
      <c r="I5" s="72">
        <v>6</v>
      </c>
      <c r="N5" s="92" t="s">
        <v>151</v>
      </c>
      <c r="O5" s="99">
        <f t="shared" si="0"/>
        <v>-1400</v>
      </c>
      <c r="P5" s="96">
        <v>1</v>
      </c>
      <c r="Q5" s="80">
        <v>-1400</v>
      </c>
    </row>
    <row r="6" spans="1:17" x14ac:dyDescent="0.4">
      <c r="A6" s="40" t="s">
        <v>1</v>
      </c>
      <c r="B6" s="121">
        <f>IF(B$2=0,0,(B$7*1+B$8*2+B$9*3+B$10*4)/B$2)</f>
        <v>4</v>
      </c>
      <c r="C6" s="122"/>
      <c r="E6" s="48" t="s">
        <v>63</v>
      </c>
      <c r="F6" s="45" t="s">
        <v>12</v>
      </c>
      <c r="G6" s="37">
        <v>0</v>
      </c>
      <c r="H6" s="110">
        <f>IF(B$19=0,0,G6/B$19)</f>
        <v>0</v>
      </c>
      <c r="I6" s="72">
        <v>6</v>
      </c>
      <c r="N6" s="92" t="s">
        <v>118</v>
      </c>
      <c r="O6" s="99">
        <f t="shared" si="0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64</v>
      </c>
      <c r="F7" s="45" t="s">
        <v>25</v>
      </c>
      <c r="G7" s="37">
        <v>0</v>
      </c>
      <c r="H7" s="110">
        <f>IF(B$19=0,0,G7/B$19)</f>
        <v>0</v>
      </c>
      <c r="I7" s="72">
        <v>6</v>
      </c>
      <c r="N7" s="92" t="s">
        <v>119</v>
      </c>
      <c r="O7" s="99">
        <f t="shared" si="0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65</v>
      </c>
      <c r="F8" s="45" t="s">
        <v>26</v>
      </c>
      <c r="G8" s="37">
        <v>0</v>
      </c>
      <c r="H8" s="110">
        <f>IF(B$19=0,0,G8/B$19)</f>
        <v>0</v>
      </c>
      <c r="I8" s="72">
        <v>4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66</v>
      </c>
      <c r="F9" s="45" t="s">
        <v>27</v>
      </c>
      <c r="G9" s="37">
        <v>0</v>
      </c>
      <c r="H9" s="110">
        <f>IF(B$19=0,0,G9/B$19)</f>
        <v>0</v>
      </c>
      <c r="I9" s="72">
        <v>5</v>
      </c>
      <c r="N9" s="93" t="s">
        <v>150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147</v>
      </c>
      <c r="B10" s="38">
        <v>1</v>
      </c>
      <c r="C10" s="33">
        <f t="shared" si="1"/>
        <v>1</v>
      </c>
      <c r="E10" s="48" t="s">
        <v>67</v>
      </c>
      <c r="F10" s="45" t="s">
        <v>28</v>
      </c>
      <c r="G10" s="37">
        <v>0</v>
      </c>
      <c r="H10" s="110">
        <f>IF(B$19=0,0,G10/B$19)</f>
        <v>0</v>
      </c>
      <c r="I10" s="72">
        <v>3</v>
      </c>
      <c r="N10" s="35"/>
      <c r="O10" s="104"/>
      <c r="P10" s="88"/>
      <c r="Q10" s="86"/>
    </row>
    <row r="11" spans="1:17" x14ac:dyDescent="0.4">
      <c r="A11" s="41" t="s">
        <v>155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0">
        <f>IF(B$19=0,0,G11/B$19)</f>
        <v>0</v>
      </c>
      <c r="I11" s="72">
        <v>1</v>
      </c>
      <c r="N11" s="90" t="s">
        <v>139</v>
      </c>
      <c r="O11" s="30" t="s">
        <v>109</v>
      </c>
      <c r="P11" s="94" t="s">
        <v>105</v>
      </c>
      <c r="Q11" s="82" t="s">
        <v>134</v>
      </c>
    </row>
    <row r="12" spans="1:17" x14ac:dyDescent="0.4">
      <c r="A12" s="41" t="s">
        <v>19</v>
      </c>
      <c r="B12" s="38">
        <v>1</v>
      </c>
      <c r="C12" s="33">
        <f>IF(B$2=0,0,B12/B$2)</f>
        <v>1</v>
      </c>
      <c r="E12" s="48" t="s">
        <v>69</v>
      </c>
      <c r="F12" s="45" t="s">
        <v>30</v>
      </c>
      <c r="G12" s="37">
        <v>0</v>
      </c>
      <c r="H12" s="110">
        <f>IF(B$19=0,0,G12/B$19)</f>
        <v>0</v>
      </c>
      <c r="I12" s="72">
        <v>1</v>
      </c>
      <c r="N12" s="91" t="s">
        <v>140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>IF(B$19=0,0,G13/B$19)</f>
        <v>0</v>
      </c>
      <c r="I13" s="72">
        <v>1</v>
      </c>
      <c r="N13" s="92" t="s">
        <v>141</v>
      </c>
      <c r="O13" s="102">
        <f>IF(P13=0,0,Q13/P13)</f>
        <v>-60.9</v>
      </c>
      <c r="P13" s="96">
        <v>1</v>
      </c>
      <c r="Q13" s="84">
        <v>-60.9</v>
      </c>
    </row>
    <row r="14" spans="1:17" x14ac:dyDescent="0.4">
      <c r="A14" s="42" t="s">
        <v>136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>IF(B$19=0,0,G14/B$19)</f>
        <v>0</v>
      </c>
      <c r="I14" s="72">
        <v>1</v>
      </c>
      <c r="N14" s="92" t="s">
        <v>148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1</v>
      </c>
      <c r="C15" s="11">
        <f>IF(B$3=0,0,B15/B$3)</f>
        <v>0.14285714285714285</v>
      </c>
      <c r="E15" s="48" t="s">
        <v>72</v>
      </c>
      <c r="F15" s="45" t="s">
        <v>33</v>
      </c>
      <c r="G15" s="37">
        <v>0</v>
      </c>
      <c r="H15" s="110">
        <f>IF(B$19=0,0,G15/B$19)</f>
        <v>0</v>
      </c>
      <c r="I15" s="72">
        <v>1</v>
      </c>
      <c r="N15" s="93" t="s">
        <v>149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0</v>
      </c>
      <c r="C16" s="32">
        <f>IF(B$3=0,0,B16/B$3)</f>
        <v>0</v>
      </c>
      <c r="E16" s="48" t="s">
        <v>73</v>
      </c>
      <c r="F16" s="45" t="s">
        <v>34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0</v>
      </c>
      <c r="C17" s="4">
        <f>IF(B$15=0,0,B17/B$15)</f>
        <v>0</v>
      </c>
      <c r="E17" s="48" t="s">
        <v>74</v>
      </c>
      <c r="F17" s="45" t="s">
        <v>35</v>
      </c>
      <c r="G17" s="37">
        <v>0</v>
      </c>
      <c r="H17" s="110">
        <f>IF(B$19=0,0,G17/B$19)</f>
        <v>0</v>
      </c>
      <c r="I17" s="72">
        <v>1</v>
      </c>
      <c r="N17" s="90" t="s">
        <v>131</v>
      </c>
      <c r="O17" s="30" t="s">
        <v>109</v>
      </c>
      <c r="P17" s="94" t="s">
        <v>105</v>
      </c>
      <c r="Q17" s="82" t="s">
        <v>134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152</v>
      </c>
      <c r="F18" s="45" t="s">
        <v>153</v>
      </c>
      <c r="G18" s="37">
        <v>0</v>
      </c>
      <c r="H18" s="110">
        <f>IF(B$19=0,0,G18/B$19)</f>
        <v>0</v>
      </c>
      <c r="I18" s="72">
        <v>3</v>
      </c>
      <c r="N18" s="91" t="s">
        <v>166</v>
      </c>
      <c r="O18" s="101">
        <f>IF(P18=0,0,Q18/P18)</f>
        <v>-74.900000000000006</v>
      </c>
      <c r="P18" s="95">
        <v>1</v>
      </c>
      <c r="Q18" s="83">
        <v>-74.900000000000006</v>
      </c>
    </row>
    <row r="19" spans="1:17" x14ac:dyDescent="0.4">
      <c r="A19" s="20" t="s">
        <v>10</v>
      </c>
      <c r="B19" s="36">
        <f>B21+B20</f>
        <v>0</v>
      </c>
      <c r="C19" s="4">
        <f>IF(B$3=0,0,B19/B$3)</f>
        <v>0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167</v>
      </c>
      <c r="O19" s="102">
        <f>IF(P19=0,0,Q19/P19)</f>
        <v>-122</v>
      </c>
      <c r="P19" s="96">
        <v>1</v>
      </c>
      <c r="Q19" s="84">
        <v>-122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168</v>
      </c>
      <c r="O20" s="102">
        <f>IF(P20=0,0,Q20/P20)</f>
        <v>-46.7</v>
      </c>
      <c r="P20" s="96">
        <v>1</v>
      </c>
      <c r="Q20" s="84">
        <v>-46.7</v>
      </c>
    </row>
    <row r="21" spans="1:17" x14ac:dyDescent="0.4">
      <c r="A21" s="40" t="s">
        <v>11</v>
      </c>
      <c r="B21" s="37">
        <v>0</v>
      </c>
      <c r="C21" s="32">
        <f>IF(B$19=0,0,B21/B$19)</f>
        <v>0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0.14285714285714285</v>
      </c>
      <c r="E22" s="48" t="s">
        <v>78</v>
      </c>
      <c r="F22" s="45" t="s">
        <v>39</v>
      </c>
      <c r="G22" s="37">
        <v>0</v>
      </c>
      <c r="H22" s="110">
        <f>IF(B$19=0,0,G22/B$19)</f>
        <v>0</v>
      </c>
      <c r="I22" s="72">
        <v>3</v>
      </c>
    </row>
    <row r="23" spans="1:17" x14ac:dyDescent="0.4">
      <c r="A23" s="40" t="s">
        <v>143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144</v>
      </c>
      <c r="B24" s="37">
        <v>0</v>
      </c>
      <c r="C24" s="112">
        <v>6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0</v>
      </c>
      <c r="C25" s="8">
        <v>0</v>
      </c>
      <c r="E25" s="48" t="s">
        <v>81</v>
      </c>
      <c r="F25" s="45" t="s">
        <v>42</v>
      </c>
      <c r="G25" s="37">
        <v>0</v>
      </c>
      <c r="H25" s="110">
        <f>IF(B$19=0,0,G25/B$19)</f>
        <v>0</v>
      </c>
      <c r="I25" s="72">
        <v>3</v>
      </c>
    </row>
    <row r="26" spans="1:17" x14ac:dyDescent="0.4">
      <c r="A26" s="42" t="s">
        <v>14</v>
      </c>
      <c r="B26" s="18">
        <f>IF(B$22=0,0,C26/B$22)</f>
        <v>-18000</v>
      </c>
      <c r="C26" s="12">
        <v>-18000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0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169</v>
      </c>
      <c r="B28" s="117">
        <v>-900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145</v>
      </c>
      <c r="F45" s="46" t="s">
        <v>146</v>
      </c>
      <c r="G45" s="39">
        <v>0</v>
      </c>
      <c r="H45" s="111">
        <f>IF(B$19=0,0,G45/B$19)</f>
        <v>0</v>
      </c>
      <c r="I45" s="73">
        <v>5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6308D-A1D5-4A19-BC98-29FB3544A65F}">
  <sheetPr codeName="Sheet11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166</v>
      </c>
      <c r="C1" s="124"/>
      <c r="E1" s="106" t="s">
        <v>142</v>
      </c>
      <c r="F1" s="116" t="s">
        <v>104</v>
      </c>
      <c r="G1" s="115" t="s">
        <v>105</v>
      </c>
      <c r="H1" s="107" t="s">
        <v>106</v>
      </c>
      <c r="I1" s="116" t="s">
        <v>130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134</v>
      </c>
    </row>
    <row r="2" spans="1:17" x14ac:dyDescent="0.4">
      <c r="A2" s="20" t="s">
        <v>9</v>
      </c>
      <c r="B2" s="125">
        <v>1</v>
      </c>
      <c r="C2" s="126"/>
      <c r="E2" s="47" t="s">
        <v>145</v>
      </c>
      <c r="F2" s="44" t="s">
        <v>146</v>
      </c>
      <c r="G2" s="36">
        <v>3</v>
      </c>
      <c r="H2" s="109">
        <f>IF(B$19=0,0,G2/B$19)</f>
        <v>1.5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0">IF(P2=0,0,Q2/P2)</f>
        <v>-2500</v>
      </c>
      <c r="P2" s="95">
        <v>1</v>
      </c>
      <c r="Q2" s="79">
        <v>-2500</v>
      </c>
    </row>
    <row r="3" spans="1:17" x14ac:dyDescent="0.4">
      <c r="A3" s="40" t="s">
        <v>8</v>
      </c>
      <c r="B3" s="127">
        <v>7</v>
      </c>
      <c r="C3" s="128"/>
      <c r="E3" s="48" t="s">
        <v>62</v>
      </c>
      <c r="F3" s="45" t="s">
        <v>24</v>
      </c>
      <c r="G3" s="37">
        <v>2</v>
      </c>
      <c r="H3" s="110">
        <f>IF(B$19=0,0,G3/B$19)</f>
        <v>1</v>
      </c>
      <c r="I3" s="72">
        <v>3</v>
      </c>
      <c r="K3" s="5">
        <v>1</v>
      </c>
      <c r="L3" s="77">
        <v>14</v>
      </c>
      <c r="N3" s="92" t="s">
        <v>116</v>
      </c>
      <c r="O3" s="99">
        <f t="shared" si="0"/>
        <v>13000</v>
      </c>
      <c r="P3" s="96">
        <v>1</v>
      </c>
      <c r="Q3" s="80">
        <v>13000</v>
      </c>
    </row>
    <row r="4" spans="1:17" x14ac:dyDescent="0.4">
      <c r="A4" s="40" t="s">
        <v>6</v>
      </c>
      <c r="B4" s="129">
        <v>14</v>
      </c>
      <c r="C4" s="130"/>
      <c r="E4" s="48" t="s">
        <v>59</v>
      </c>
      <c r="F4" s="45" t="s">
        <v>21</v>
      </c>
      <c r="G4" s="37">
        <v>1</v>
      </c>
      <c r="H4" s="110">
        <f>IF(B$19=0,0,G4/B$19)</f>
        <v>0.5</v>
      </c>
      <c r="I4" s="72">
        <v>7</v>
      </c>
      <c r="N4" s="92" t="s">
        <v>117</v>
      </c>
      <c r="O4" s="99">
        <f t="shared" si="0"/>
        <v>-6000</v>
      </c>
      <c r="P4" s="96">
        <v>1</v>
      </c>
      <c r="Q4" s="80">
        <v>-6000</v>
      </c>
    </row>
    <row r="5" spans="1:17" x14ac:dyDescent="0.4">
      <c r="A5" s="40" t="s">
        <v>7</v>
      </c>
      <c r="B5" s="131">
        <f>IF(B$2=0,0,B$4/B$2)</f>
        <v>14</v>
      </c>
      <c r="C5" s="132"/>
      <c r="E5" s="48" t="s">
        <v>61</v>
      </c>
      <c r="F5" s="45" t="s">
        <v>23</v>
      </c>
      <c r="G5" s="37">
        <v>1</v>
      </c>
      <c r="H5" s="110">
        <f>IF(B$19=0,0,G5/B$19)</f>
        <v>0.5</v>
      </c>
      <c r="I5" s="72">
        <v>5</v>
      </c>
      <c r="N5" s="92" t="s">
        <v>151</v>
      </c>
      <c r="O5" s="99">
        <f t="shared" si="0"/>
        <v>4500</v>
      </c>
      <c r="P5" s="96">
        <v>1</v>
      </c>
      <c r="Q5" s="80">
        <v>4500</v>
      </c>
    </row>
    <row r="6" spans="1:17" x14ac:dyDescent="0.4">
      <c r="A6" s="40" t="s">
        <v>1</v>
      </c>
      <c r="B6" s="121">
        <f>IF(B$2=0,0,(B$7*1+B$8*2+B$9*3+B$10*4)/B$2)</f>
        <v>2</v>
      </c>
      <c r="C6" s="122"/>
      <c r="E6" s="48" t="s">
        <v>63</v>
      </c>
      <c r="F6" s="45" t="s">
        <v>12</v>
      </c>
      <c r="G6" s="37">
        <v>1</v>
      </c>
      <c r="H6" s="110">
        <f>IF(B$19=0,0,G6/B$19)</f>
        <v>0.5</v>
      </c>
      <c r="I6" s="72">
        <v>3</v>
      </c>
      <c r="N6" s="92" t="s">
        <v>118</v>
      </c>
      <c r="O6" s="99">
        <f t="shared" si="0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64</v>
      </c>
      <c r="F7" s="45" t="s">
        <v>25</v>
      </c>
      <c r="G7" s="37">
        <v>1</v>
      </c>
      <c r="H7" s="110">
        <f>IF(B$19=0,0,G7/B$19)</f>
        <v>0.5</v>
      </c>
      <c r="I7" s="72">
        <v>3</v>
      </c>
      <c r="N7" s="92" t="s">
        <v>119</v>
      </c>
      <c r="O7" s="99">
        <f t="shared" si="0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1</v>
      </c>
      <c r="C8" s="32">
        <f>IF(B$2=0,0,B8/B$2)</f>
        <v>1</v>
      </c>
      <c r="E8" s="48" t="s">
        <v>60</v>
      </c>
      <c r="F8" s="45" t="s">
        <v>22</v>
      </c>
      <c r="G8" s="37">
        <v>0</v>
      </c>
      <c r="H8" s="110">
        <f>IF(B$19=0,0,G8/B$19)</f>
        <v>0</v>
      </c>
      <c r="I8" s="72">
        <v>4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65</v>
      </c>
      <c r="F9" s="45" t="s">
        <v>26</v>
      </c>
      <c r="G9" s="37">
        <v>0</v>
      </c>
      <c r="H9" s="110">
        <f>IF(B$19=0,0,G9/B$19)</f>
        <v>0</v>
      </c>
      <c r="I9" s="72">
        <v>4</v>
      </c>
      <c r="N9" s="93" t="s">
        <v>150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147</v>
      </c>
      <c r="B10" s="38">
        <v>0</v>
      </c>
      <c r="C10" s="33">
        <f t="shared" si="1"/>
        <v>0</v>
      </c>
      <c r="E10" s="48" t="s">
        <v>66</v>
      </c>
      <c r="F10" s="45" t="s">
        <v>27</v>
      </c>
      <c r="G10" s="37">
        <v>0</v>
      </c>
      <c r="H10" s="110">
        <f>IF(B$19=0,0,G10/B$19)</f>
        <v>0</v>
      </c>
      <c r="I10" s="72">
        <v>5</v>
      </c>
      <c r="N10" s="35"/>
      <c r="O10" s="104"/>
      <c r="P10" s="88"/>
      <c r="Q10" s="86"/>
    </row>
    <row r="11" spans="1:17" x14ac:dyDescent="0.4">
      <c r="A11" s="41" t="s">
        <v>155</v>
      </c>
      <c r="B11" s="38">
        <f>トップ数+B8</f>
        <v>1</v>
      </c>
      <c r="C11" s="33">
        <f>IF(B$2=0,0,B11/B$2)</f>
        <v>1</v>
      </c>
      <c r="E11" s="48" t="s">
        <v>67</v>
      </c>
      <c r="F11" s="45" t="s">
        <v>28</v>
      </c>
      <c r="G11" s="37">
        <v>0</v>
      </c>
      <c r="H11" s="110">
        <f>IF(B$19=0,0,G11/B$19)</f>
        <v>0</v>
      </c>
      <c r="I11" s="72">
        <v>3</v>
      </c>
      <c r="N11" s="90" t="s">
        <v>139</v>
      </c>
      <c r="O11" s="30" t="s">
        <v>109</v>
      </c>
      <c r="P11" s="94" t="s">
        <v>105</v>
      </c>
      <c r="Q11" s="82" t="s">
        <v>134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>IF(B$19=0,0,G12/B$19)</f>
        <v>0</v>
      </c>
      <c r="I12" s="72">
        <v>1</v>
      </c>
      <c r="N12" s="91" t="s">
        <v>140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69</v>
      </c>
      <c r="F13" s="45" t="s">
        <v>30</v>
      </c>
      <c r="G13" s="37">
        <v>0</v>
      </c>
      <c r="H13" s="110">
        <f>IF(B$19=0,0,G13/B$19)</f>
        <v>0</v>
      </c>
      <c r="I13" s="72">
        <v>1</v>
      </c>
      <c r="N13" s="92" t="s">
        <v>141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136</v>
      </c>
      <c r="B14" s="39">
        <v>0</v>
      </c>
      <c r="C14" s="34">
        <f>IF(B$2=0,0,B14/B$2)</f>
        <v>0</v>
      </c>
      <c r="E14" s="48" t="s">
        <v>70</v>
      </c>
      <c r="F14" s="45" t="s">
        <v>31</v>
      </c>
      <c r="G14" s="37">
        <v>0</v>
      </c>
      <c r="H14" s="110">
        <f>IF(B$19=0,0,G14/B$19)</f>
        <v>0</v>
      </c>
      <c r="I14" s="72">
        <v>1</v>
      </c>
      <c r="N14" s="92" t="s">
        <v>148</v>
      </c>
      <c r="O14" s="102">
        <f>IF(P14=0,0,Q14/P14)</f>
        <v>14</v>
      </c>
      <c r="P14" s="96">
        <v>1</v>
      </c>
      <c r="Q14" s="84">
        <v>14</v>
      </c>
    </row>
    <row r="15" spans="1:17" x14ac:dyDescent="0.4">
      <c r="A15" s="43" t="s">
        <v>110</v>
      </c>
      <c r="B15" s="16">
        <v>2</v>
      </c>
      <c r="C15" s="11">
        <f>IF(B$3=0,0,B15/B$3)</f>
        <v>0.2857142857142857</v>
      </c>
      <c r="E15" s="48" t="s">
        <v>71</v>
      </c>
      <c r="F15" s="45" t="s">
        <v>32</v>
      </c>
      <c r="G15" s="37">
        <v>0</v>
      </c>
      <c r="H15" s="110">
        <f>IF(B$19=0,0,G15/B$19)</f>
        <v>0</v>
      </c>
      <c r="I15" s="72">
        <v>1</v>
      </c>
      <c r="N15" s="93" t="s">
        <v>149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1</v>
      </c>
      <c r="C16" s="32">
        <f>IF(B$3=0,0,B16/B$3)</f>
        <v>0.14285714285714285</v>
      </c>
      <c r="E16" s="48" t="s">
        <v>72</v>
      </c>
      <c r="F16" s="45" t="s">
        <v>33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1</v>
      </c>
      <c r="C17" s="4">
        <f>IF(B$15=0,0,B17/B$15)</f>
        <v>0.5</v>
      </c>
      <c r="E17" s="48" t="s">
        <v>73</v>
      </c>
      <c r="F17" s="45" t="s">
        <v>34</v>
      </c>
      <c r="G17" s="37">
        <v>0</v>
      </c>
      <c r="H17" s="110">
        <f>IF(B$19=0,0,G17/B$19)</f>
        <v>0</v>
      </c>
      <c r="I17" s="72">
        <v>1</v>
      </c>
      <c r="N17" s="90" t="s">
        <v>131</v>
      </c>
      <c r="O17" s="30" t="s">
        <v>109</v>
      </c>
      <c r="P17" s="94" t="s">
        <v>105</v>
      </c>
      <c r="Q17" s="82" t="s">
        <v>134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74</v>
      </c>
      <c r="F18" s="45" t="s">
        <v>35</v>
      </c>
      <c r="G18" s="37">
        <v>0</v>
      </c>
      <c r="H18" s="110">
        <f>IF(B$19=0,0,G18/B$19)</f>
        <v>0</v>
      </c>
      <c r="I18" s="72">
        <v>1</v>
      </c>
      <c r="N18" s="91" t="s">
        <v>167</v>
      </c>
      <c r="O18" s="101">
        <f>IF(P18=0,0,Q18/P18)</f>
        <v>-47.1</v>
      </c>
      <c r="P18" s="95">
        <v>1</v>
      </c>
      <c r="Q18" s="83">
        <v>-47.1</v>
      </c>
    </row>
    <row r="19" spans="1:17" x14ac:dyDescent="0.4">
      <c r="A19" s="20" t="s">
        <v>10</v>
      </c>
      <c r="B19" s="36">
        <f>B21+B20</f>
        <v>2</v>
      </c>
      <c r="C19" s="4">
        <f>IF(B$3=0,0,B19/B$3)</f>
        <v>0.2857142857142857</v>
      </c>
      <c r="E19" s="48" t="s">
        <v>152</v>
      </c>
      <c r="F19" s="45" t="s">
        <v>153</v>
      </c>
      <c r="G19" s="37">
        <v>0</v>
      </c>
      <c r="H19" s="110">
        <f>IF(B$19=0,0,G19/B$19)</f>
        <v>0</v>
      </c>
      <c r="I19" s="72">
        <v>3</v>
      </c>
      <c r="N19" s="92" t="s">
        <v>168</v>
      </c>
      <c r="O19" s="102">
        <f>IF(P19=0,0,Q19/P19)</f>
        <v>28.2</v>
      </c>
      <c r="P19" s="96">
        <v>1</v>
      </c>
      <c r="Q19" s="84">
        <v>28.2</v>
      </c>
    </row>
    <row r="20" spans="1:17" x14ac:dyDescent="0.4">
      <c r="A20" s="40" t="s">
        <v>12</v>
      </c>
      <c r="B20" s="37">
        <v>1</v>
      </c>
      <c r="C20" s="32">
        <f>IF(B$19=0,0,B20/B$19)</f>
        <v>0.5</v>
      </c>
      <c r="E20" s="48" t="s">
        <v>75</v>
      </c>
      <c r="F20" s="45" t="s">
        <v>36</v>
      </c>
      <c r="G20" s="37">
        <v>0</v>
      </c>
      <c r="H20" s="110">
        <f>IF(B$19=0,0,G20/B$19)</f>
        <v>0</v>
      </c>
      <c r="I20" s="72">
        <v>1</v>
      </c>
      <c r="N20" s="92" t="s">
        <v>165</v>
      </c>
      <c r="O20" s="102">
        <f>IF(P20=0,0,Q20/P20)</f>
        <v>74.900000000000006</v>
      </c>
      <c r="P20" s="96">
        <v>1</v>
      </c>
      <c r="Q20" s="84">
        <v>74.900000000000006</v>
      </c>
    </row>
    <row r="21" spans="1:17" x14ac:dyDescent="0.4">
      <c r="A21" s="40" t="s">
        <v>11</v>
      </c>
      <c r="B21" s="37">
        <v>1</v>
      </c>
      <c r="C21" s="32">
        <f>IF(B$19=0,0,B21/B$19)</f>
        <v>0.5</v>
      </c>
      <c r="E21" s="48" t="s">
        <v>76</v>
      </c>
      <c r="F21" s="45" t="s">
        <v>37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0</v>
      </c>
      <c r="C22" s="32">
        <f>IF(B$3=0,0,B22/B$3)</f>
        <v>0</v>
      </c>
      <c r="E22" s="48" t="s">
        <v>77</v>
      </c>
      <c r="F22" s="45" t="s">
        <v>38</v>
      </c>
      <c r="G22" s="37">
        <v>0</v>
      </c>
      <c r="H22" s="110">
        <f>IF(B$19=0,0,G22/B$19)</f>
        <v>0</v>
      </c>
      <c r="I22" s="72">
        <v>1</v>
      </c>
    </row>
    <row r="23" spans="1:17" x14ac:dyDescent="0.4">
      <c r="A23" s="40" t="s">
        <v>143</v>
      </c>
      <c r="B23" s="37">
        <v>1</v>
      </c>
      <c r="C23" s="112">
        <v>1</v>
      </c>
      <c r="E23" s="48" t="s">
        <v>78</v>
      </c>
      <c r="F23" s="45" t="s">
        <v>39</v>
      </c>
      <c r="G23" s="37">
        <v>0</v>
      </c>
      <c r="H23" s="110">
        <f>IF(B$19=0,0,G23/B$19)</f>
        <v>0</v>
      </c>
      <c r="I23" s="72">
        <v>3</v>
      </c>
    </row>
    <row r="24" spans="1:17" x14ac:dyDescent="0.4">
      <c r="A24" s="40" t="s">
        <v>144</v>
      </c>
      <c r="B24" s="37">
        <v>0</v>
      </c>
      <c r="C24" s="112">
        <v>7</v>
      </c>
      <c r="E24" s="48" t="s">
        <v>79</v>
      </c>
      <c r="F24" s="45" t="s">
        <v>40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8600</v>
      </c>
      <c r="C25" s="8">
        <v>17200</v>
      </c>
      <c r="E25" s="48" t="s">
        <v>80</v>
      </c>
      <c r="F25" s="45" t="s">
        <v>41</v>
      </c>
      <c r="G25" s="37">
        <v>0</v>
      </c>
      <c r="H25" s="110">
        <f>IF(B$19=0,0,G25/B$19)</f>
        <v>0</v>
      </c>
      <c r="I25" s="72">
        <v>1</v>
      </c>
    </row>
    <row r="26" spans="1:17" x14ac:dyDescent="0.4">
      <c r="A26" s="42" t="s">
        <v>14</v>
      </c>
      <c r="B26" s="18">
        <f>IF(B$22=0,0,C26/B$22)</f>
        <v>0</v>
      </c>
      <c r="C26" s="12">
        <v>0</v>
      </c>
      <c r="E26" s="48" t="s">
        <v>81</v>
      </c>
      <c r="F26" s="45" t="s">
        <v>42</v>
      </c>
      <c r="G26" s="37">
        <v>0</v>
      </c>
      <c r="H26" s="110">
        <f>IF(B$19=0,0,G26/B$19)</f>
        <v>0</v>
      </c>
      <c r="I26" s="72">
        <v>3</v>
      </c>
    </row>
    <row r="27" spans="1:17" x14ac:dyDescent="0.4">
      <c r="A27" s="68" t="s">
        <v>124</v>
      </c>
      <c r="B27" s="119">
        <v>4</v>
      </c>
      <c r="C27" s="120"/>
      <c r="E27" s="48" t="s">
        <v>82</v>
      </c>
      <c r="F27" s="45" t="s">
        <v>43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169</v>
      </c>
      <c r="B28" s="117">
        <v>34000</v>
      </c>
      <c r="C28" s="118"/>
      <c r="E28" s="48" t="s">
        <v>83</v>
      </c>
      <c r="F28" s="45" t="s">
        <v>44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84</v>
      </c>
      <c r="F29" s="45" t="s">
        <v>45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85</v>
      </c>
      <c r="F30" s="45" t="s">
        <v>46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86</v>
      </c>
      <c r="F31" s="45" t="s">
        <v>47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87</v>
      </c>
      <c r="F32" s="45" t="s">
        <v>48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88</v>
      </c>
      <c r="F33" s="45" t="s">
        <v>49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89</v>
      </c>
      <c r="F34" s="45" t="s">
        <v>50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90</v>
      </c>
      <c r="F35" s="45" t="s">
        <v>51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91</v>
      </c>
      <c r="F36" s="45" t="s">
        <v>52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92</v>
      </c>
      <c r="F37" s="45" t="s">
        <v>53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93</v>
      </c>
      <c r="F38" s="45" t="s">
        <v>54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94</v>
      </c>
      <c r="F39" s="45" t="s">
        <v>55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95</v>
      </c>
      <c r="F40" s="45" t="s">
        <v>56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96</v>
      </c>
      <c r="F41" s="45" t="s">
        <v>57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97</v>
      </c>
      <c r="F42" s="45" t="s">
        <v>58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98</v>
      </c>
      <c r="F43" s="45" t="s">
        <v>101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99</v>
      </c>
      <c r="F44" s="45" t="s">
        <v>102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100</v>
      </c>
      <c r="F45" s="46" t="s">
        <v>103</v>
      </c>
      <c r="G45" s="39">
        <v>0</v>
      </c>
      <c r="H45" s="111">
        <f>IF(B$19=0,0,G45/B$19)</f>
        <v>0</v>
      </c>
      <c r="I45" s="73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A4D9D-48D6-4BB1-A23C-C85C36BADF17}">
  <sheetPr codeName="Sheet12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167</v>
      </c>
      <c r="C1" s="124"/>
      <c r="E1" s="106" t="s">
        <v>142</v>
      </c>
      <c r="F1" s="116" t="s">
        <v>104</v>
      </c>
      <c r="G1" s="115" t="s">
        <v>105</v>
      </c>
      <c r="H1" s="107" t="s">
        <v>106</v>
      </c>
      <c r="I1" s="116" t="s">
        <v>130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134</v>
      </c>
    </row>
    <row r="2" spans="1:17" x14ac:dyDescent="0.4">
      <c r="A2" s="20" t="s">
        <v>9</v>
      </c>
      <c r="B2" s="125">
        <v>1</v>
      </c>
      <c r="C2" s="126"/>
      <c r="E2" s="47" t="s">
        <v>62</v>
      </c>
      <c r="F2" s="44" t="s">
        <v>24</v>
      </c>
      <c r="G2" s="36">
        <v>4</v>
      </c>
      <c r="H2" s="109">
        <f>IF(B$19=0,0,G2/B$19)</f>
        <v>1.3333333333333333</v>
      </c>
      <c r="I2" s="71">
        <v>2</v>
      </c>
      <c r="K2" s="3">
        <v>0</v>
      </c>
      <c r="L2" s="76">
        <v>0</v>
      </c>
      <c r="N2" s="91" t="s">
        <v>115</v>
      </c>
      <c r="O2" s="98">
        <f t="shared" ref="O2:O9" si="0">IF(P2=0,0,Q2/P2)</f>
        <v>5800</v>
      </c>
      <c r="P2" s="95">
        <v>1</v>
      </c>
      <c r="Q2" s="79">
        <v>5800</v>
      </c>
    </row>
    <row r="3" spans="1:17" x14ac:dyDescent="0.4">
      <c r="A3" s="40" t="s">
        <v>8</v>
      </c>
      <c r="B3" s="127">
        <v>7</v>
      </c>
      <c r="C3" s="128"/>
      <c r="E3" s="48" t="s">
        <v>59</v>
      </c>
      <c r="F3" s="45" t="s">
        <v>21</v>
      </c>
      <c r="G3" s="37">
        <v>2</v>
      </c>
      <c r="H3" s="110">
        <f>IF(B$19=0,0,G3/B$19)</f>
        <v>0.66666666666666663</v>
      </c>
      <c r="I3" s="72">
        <v>5</v>
      </c>
      <c r="K3" s="5">
        <v>1</v>
      </c>
      <c r="L3" s="77">
        <v>61.1</v>
      </c>
      <c r="N3" s="92" t="s">
        <v>116</v>
      </c>
      <c r="O3" s="99">
        <f t="shared" si="0"/>
        <v>-13000</v>
      </c>
      <c r="P3" s="96">
        <v>1</v>
      </c>
      <c r="Q3" s="80">
        <v>-13000</v>
      </c>
    </row>
    <row r="4" spans="1:17" x14ac:dyDescent="0.4">
      <c r="A4" s="40" t="s">
        <v>6</v>
      </c>
      <c r="B4" s="129">
        <v>61.1</v>
      </c>
      <c r="C4" s="130"/>
      <c r="E4" s="48" t="s">
        <v>63</v>
      </c>
      <c r="F4" s="45" t="s">
        <v>12</v>
      </c>
      <c r="G4" s="37">
        <v>2</v>
      </c>
      <c r="H4" s="110">
        <f>IF(B$19=0,0,G4/B$19)</f>
        <v>0.66666666666666663</v>
      </c>
      <c r="I4" s="72">
        <v>2</v>
      </c>
      <c r="N4" s="92" t="s">
        <v>117</v>
      </c>
      <c r="O4" s="99">
        <f t="shared" si="0"/>
        <v>13000</v>
      </c>
      <c r="P4" s="96">
        <v>1</v>
      </c>
      <c r="Q4" s="80">
        <v>13000</v>
      </c>
    </row>
    <row r="5" spans="1:17" x14ac:dyDescent="0.4">
      <c r="A5" s="40" t="s">
        <v>7</v>
      </c>
      <c r="B5" s="131">
        <f>IF(B$2=0,0,B$4/B$2)</f>
        <v>61.1</v>
      </c>
      <c r="C5" s="132"/>
      <c r="E5" s="48" t="s">
        <v>60</v>
      </c>
      <c r="F5" s="45" t="s">
        <v>22</v>
      </c>
      <c r="G5" s="37">
        <v>1</v>
      </c>
      <c r="H5" s="110">
        <f>IF(B$19=0,0,G5/B$19)</f>
        <v>0.33333333333333331</v>
      </c>
      <c r="I5" s="72">
        <v>2</v>
      </c>
      <c r="N5" s="92" t="s">
        <v>151</v>
      </c>
      <c r="O5" s="99">
        <f t="shared" si="0"/>
        <v>10300</v>
      </c>
      <c r="P5" s="96">
        <v>1</v>
      </c>
      <c r="Q5" s="80">
        <v>10300</v>
      </c>
    </row>
    <row r="6" spans="1:17" x14ac:dyDescent="0.4">
      <c r="A6" s="40" t="s">
        <v>1</v>
      </c>
      <c r="B6" s="121">
        <f>IF(B$2=0,0,(B$7*1+B$8*2+B$9*3+B$10*4)/B$2)</f>
        <v>1</v>
      </c>
      <c r="C6" s="122"/>
      <c r="E6" s="48" t="s">
        <v>61</v>
      </c>
      <c r="F6" s="45" t="s">
        <v>23</v>
      </c>
      <c r="G6" s="37">
        <v>1</v>
      </c>
      <c r="H6" s="110">
        <f>IF(B$19=0,0,G6/B$19)</f>
        <v>0.33333333333333331</v>
      </c>
      <c r="I6" s="72">
        <v>6</v>
      </c>
      <c r="N6" s="92" t="s">
        <v>118</v>
      </c>
      <c r="O6" s="99">
        <f t="shared" si="0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1</v>
      </c>
      <c r="C7" s="32">
        <f>IF(B$2=0,0,B7/B$2)</f>
        <v>1</v>
      </c>
      <c r="E7" s="48" t="s">
        <v>64</v>
      </c>
      <c r="F7" s="45" t="s">
        <v>25</v>
      </c>
      <c r="G7" s="37">
        <v>1</v>
      </c>
      <c r="H7" s="110">
        <f>IF(B$19=0,0,G7/B$19)</f>
        <v>0.33333333333333331</v>
      </c>
      <c r="I7" s="72">
        <v>5</v>
      </c>
      <c r="N7" s="92" t="s">
        <v>119</v>
      </c>
      <c r="O7" s="99">
        <f t="shared" si="0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66</v>
      </c>
      <c r="F8" s="45" t="s">
        <v>27</v>
      </c>
      <c r="G8" s="37">
        <v>1</v>
      </c>
      <c r="H8" s="110">
        <f>IF(B$19=0,0,G8/B$19)</f>
        <v>0.33333333333333331</v>
      </c>
      <c r="I8" s="72">
        <v>2</v>
      </c>
      <c r="N8" s="92" t="s">
        <v>120</v>
      </c>
      <c r="O8" s="99">
        <f t="shared" si="0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1">IF(B$2=0,0,B9/B$2)</f>
        <v>0</v>
      </c>
      <c r="E9" s="48" t="s">
        <v>152</v>
      </c>
      <c r="F9" s="45" t="s">
        <v>153</v>
      </c>
      <c r="G9" s="37">
        <v>1</v>
      </c>
      <c r="H9" s="110">
        <f>IF(B$19=0,0,G9/B$19)</f>
        <v>0.33333333333333331</v>
      </c>
      <c r="I9" s="72">
        <v>1</v>
      </c>
      <c r="N9" s="93" t="s">
        <v>150</v>
      </c>
      <c r="O9" s="100">
        <f t="shared" si="0"/>
        <v>0</v>
      </c>
      <c r="P9" s="97">
        <v>0</v>
      </c>
      <c r="Q9" s="81">
        <v>0</v>
      </c>
    </row>
    <row r="10" spans="1:17" x14ac:dyDescent="0.4">
      <c r="A10" s="41" t="s">
        <v>147</v>
      </c>
      <c r="B10" s="38">
        <v>0</v>
      </c>
      <c r="C10" s="33">
        <f t="shared" si="1"/>
        <v>0</v>
      </c>
      <c r="E10" s="48" t="s">
        <v>65</v>
      </c>
      <c r="F10" s="45" t="s">
        <v>26</v>
      </c>
      <c r="G10" s="37">
        <v>0</v>
      </c>
      <c r="H10" s="110">
        <f>IF(B$19=0,0,G10/B$19)</f>
        <v>0</v>
      </c>
      <c r="I10" s="72">
        <v>4</v>
      </c>
      <c r="N10" s="35"/>
      <c r="O10" s="104"/>
      <c r="P10" s="88"/>
      <c r="Q10" s="86"/>
    </row>
    <row r="11" spans="1:17" x14ac:dyDescent="0.4">
      <c r="A11" s="41" t="s">
        <v>155</v>
      </c>
      <c r="B11" s="38">
        <f>トップ数+B8</f>
        <v>1</v>
      </c>
      <c r="C11" s="33">
        <f>IF(B$2=0,0,B11/B$2)</f>
        <v>1</v>
      </c>
      <c r="E11" s="48" t="s">
        <v>67</v>
      </c>
      <c r="F11" s="45" t="s">
        <v>28</v>
      </c>
      <c r="G11" s="37">
        <v>0</v>
      </c>
      <c r="H11" s="110">
        <f>IF(B$19=0,0,G11/B$19)</f>
        <v>0</v>
      </c>
      <c r="I11" s="72">
        <v>3</v>
      </c>
      <c r="N11" s="90" t="s">
        <v>139</v>
      </c>
      <c r="O11" s="30" t="s">
        <v>109</v>
      </c>
      <c r="P11" s="94" t="s">
        <v>105</v>
      </c>
      <c r="Q11" s="82" t="s">
        <v>134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>IF(B$19=0,0,G12/B$19)</f>
        <v>0</v>
      </c>
      <c r="I12" s="72">
        <v>1</v>
      </c>
      <c r="N12" s="91" t="s">
        <v>140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1</v>
      </c>
      <c r="C13" s="33">
        <f>IF(B$2=0,0,B13/B$2)</f>
        <v>1</v>
      </c>
      <c r="E13" s="48" t="s">
        <v>69</v>
      </c>
      <c r="F13" s="45" t="s">
        <v>30</v>
      </c>
      <c r="G13" s="37">
        <v>0</v>
      </c>
      <c r="H13" s="110">
        <f>IF(B$19=0,0,G13/B$19)</f>
        <v>0</v>
      </c>
      <c r="I13" s="72">
        <v>1</v>
      </c>
      <c r="N13" s="92" t="s">
        <v>141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136</v>
      </c>
      <c r="B14" s="39">
        <v>1</v>
      </c>
      <c r="C14" s="34">
        <f>IF(B$2=0,0,B14/B$2)</f>
        <v>1</v>
      </c>
      <c r="E14" s="48" t="s">
        <v>70</v>
      </c>
      <c r="F14" s="45" t="s">
        <v>31</v>
      </c>
      <c r="G14" s="37">
        <v>0</v>
      </c>
      <c r="H14" s="110">
        <f>IF(B$19=0,0,G14/B$19)</f>
        <v>0</v>
      </c>
      <c r="I14" s="72">
        <v>1</v>
      </c>
      <c r="N14" s="92" t="s">
        <v>148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3</v>
      </c>
      <c r="C15" s="11">
        <f>IF(B$3=0,0,B15/B$3)</f>
        <v>0.42857142857142855</v>
      </c>
      <c r="E15" s="48" t="s">
        <v>71</v>
      </c>
      <c r="F15" s="45" t="s">
        <v>32</v>
      </c>
      <c r="G15" s="37">
        <v>0</v>
      </c>
      <c r="H15" s="110">
        <f>IF(B$19=0,0,G15/B$19)</f>
        <v>0</v>
      </c>
      <c r="I15" s="72">
        <v>1</v>
      </c>
      <c r="N15" s="93" t="s">
        <v>149</v>
      </c>
      <c r="O15" s="103">
        <f>IF(P15=0,0,Q15/P15)</f>
        <v>61.1</v>
      </c>
      <c r="P15" s="97">
        <v>1</v>
      </c>
      <c r="Q15" s="85">
        <v>61.1</v>
      </c>
    </row>
    <row r="16" spans="1:17" x14ac:dyDescent="0.4">
      <c r="A16" s="40" t="s">
        <v>107</v>
      </c>
      <c r="B16" s="37">
        <v>0</v>
      </c>
      <c r="C16" s="32">
        <f>IF(B$3=0,0,B16/B$3)</f>
        <v>0</v>
      </c>
      <c r="E16" s="48" t="s">
        <v>72</v>
      </c>
      <c r="F16" s="45" t="s">
        <v>33</v>
      </c>
      <c r="G16" s="37">
        <v>0</v>
      </c>
      <c r="H16" s="110">
        <f>IF(B$19=0,0,G16/B$19)</f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2</v>
      </c>
      <c r="C17" s="4">
        <f>IF(B$15=0,0,B17/B$15)</f>
        <v>0.66666666666666663</v>
      </c>
      <c r="E17" s="48" t="s">
        <v>73</v>
      </c>
      <c r="F17" s="45" t="s">
        <v>34</v>
      </c>
      <c r="G17" s="37">
        <v>0</v>
      </c>
      <c r="H17" s="110">
        <f>IF(B$19=0,0,G17/B$19)</f>
        <v>0</v>
      </c>
      <c r="I17" s="72">
        <v>1</v>
      </c>
      <c r="N17" s="90" t="s">
        <v>131</v>
      </c>
      <c r="O17" s="30" t="s">
        <v>109</v>
      </c>
      <c r="P17" s="94" t="s">
        <v>105</v>
      </c>
      <c r="Q17" s="82" t="s">
        <v>134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74</v>
      </c>
      <c r="F18" s="45" t="s">
        <v>35</v>
      </c>
      <c r="G18" s="37">
        <v>0</v>
      </c>
      <c r="H18" s="110">
        <f>IF(B$19=0,0,G18/B$19)</f>
        <v>0</v>
      </c>
      <c r="I18" s="72">
        <v>1</v>
      </c>
      <c r="N18" s="91" t="s">
        <v>168</v>
      </c>
      <c r="O18" s="101">
        <f>IF(P18=0,0,Q18/P18)</f>
        <v>75.3</v>
      </c>
      <c r="P18" s="95">
        <v>1</v>
      </c>
      <c r="Q18" s="83">
        <v>75.3</v>
      </c>
    </row>
    <row r="19" spans="1:17" x14ac:dyDescent="0.4">
      <c r="A19" s="20" t="s">
        <v>10</v>
      </c>
      <c r="B19" s="36">
        <f>B21+B20</f>
        <v>3</v>
      </c>
      <c r="C19" s="4">
        <f>IF(B$3=0,0,B19/B$3)</f>
        <v>0.42857142857142855</v>
      </c>
      <c r="E19" s="48" t="s">
        <v>75</v>
      </c>
      <c r="F19" s="45" t="s">
        <v>36</v>
      </c>
      <c r="G19" s="37">
        <v>0</v>
      </c>
      <c r="H19" s="110">
        <f>IF(B$19=0,0,G19/B$19)</f>
        <v>0</v>
      </c>
      <c r="I19" s="72">
        <v>1</v>
      </c>
      <c r="N19" s="92" t="s">
        <v>165</v>
      </c>
      <c r="O19" s="102">
        <f>IF(P19=0,0,Q19/P19)</f>
        <v>122</v>
      </c>
      <c r="P19" s="96">
        <v>1</v>
      </c>
      <c r="Q19" s="84">
        <v>122</v>
      </c>
    </row>
    <row r="20" spans="1:17" x14ac:dyDescent="0.4">
      <c r="A20" s="40" t="s">
        <v>12</v>
      </c>
      <c r="B20" s="37">
        <v>2</v>
      </c>
      <c r="C20" s="32">
        <f>IF(B$19=0,0,B20/B$19)</f>
        <v>0.66666666666666663</v>
      </c>
      <c r="E20" s="48" t="s">
        <v>76</v>
      </c>
      <c r="F20" s="45" t="s">
        <v>37</v>
      </c>
      <c r="G20" s="37">
        <v>0</v>
      </c>
      <c r="H20" s="110">
        <f>IF(B$19=0,0,G20/B$19)</f>
        <v>0</v>
      </c>
      <c r="I20" s="72">
        <v>1</v>
      </c>
      <c r="N20" s="92" t="s">
        <v>166</v>
      </c>
      <c r="O20" s="102">
        <f>IF(P20=0,0,Q20/P20)</f>
        <v>47.1</v>
      </c>
      <c r="P20" s="96">
        <v>1</v>
      </c>
      <c r="Q20" s="84">
        <v>47.1</v>
      </c>
    </row>
    <row r="21" spans="1:17" x14ac:dyDescent="0.4">
      <c r="A21" s="40" t="s">
        <v>11</v>
      </c>
      <c r="B21" s="37">
        <v>1</v>
      </c>
      <c r="C21" s="32">
        <f>IF(B$19=0,0,B21/B$19)</f>
        <v>0.33333333333333331</v>
      </c>
      <c r="E21" s="48" t="s">
        <v>77</v>
      </c>
      <c r="F21" s="45" t="s">
        <v>38</v>
      </c>
      <c r="G21" s="37">
        <v>0</v>
      </c>
      <c r="H21" s="110">
        <f>IF(B$19=0,0,G21/B$19)</f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0.14285714285714285</v>
      </c>
      <c r="E22" s="48" t="s">
        <v>78</v>
      </c>
      <c r="F22" s="45" t="s">
        <v>39</v>
      </c>
      <c r="G22" s="37">
        <v>0</v>
      </c>
      <c r="H22" s="110">
        <f>IF(B$19=0,0,G22/B$19)</f>
        <v>0</v>
      </c>
      <c r="I22" s="72">
        <v>3</v>
      </c>
    </row>
    <row r="23" spans="1:17" x14ac:dyDescent="0.4">
      <c r="A23" s="40" t="s">
        <v>143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>IF(B$19=0,0,G23/B$19)</f>
        <v>0</v>
      </c>
      <c r="I23" s="72">
        <v>1</v>
      </c>
    </row>
    <row r="24" spans="1:17" x14ac:dyDescent="0.4">
      <c r="A24" s="40" t="s">
        <v>144</v>
      </c>
      <c r="B24" s="37">
        <v>0</v>
      </c>
      <c r="C24" s="112">
        <v>3</v>
      </c>
      <c r="E24" s="48" t="s">
        <v>80</v>
      </c>
      <c r="F24" s="45" t="s">
        <v>41</v>
      </c>
      <c r="G24" s="37">
        <v>0</v>
      </c>
      <c r="H24" s="110">
        <f>IF(B$19=0,0,G24/B$19)</f>
        <v>0</v>
      </c>
      <c r="I24" s="72">
        <v>1</v>
      </c>
    </row>
    <row r="25" spans="1:17" x14ac:dyDescent="0.4">
      <c r="A25" s="40" t="s">
        <v>5</v>
      </c>
      <c r="B25" s="17">
        <f>IF(B$19=0,0,C25/B$19)</f>
        <v>9733.3333333333339</v>
      </c>
      <c r="C25" s="8">
        <v>29200</v>
      </c>
      <c r="E25" s="48" t="s">
        <v>81</v>
      </c>
      <c r="F25" s="45" t="s">
        <v>42</v>
      </c>
      <c r="G25" s="37">
        <v>0</v>
      </c>
      <c r="H25" s="110">
        <f>IF(B$19=0,0,G25/B$19)</f>
        <v>0</v>
      </c>
      <c r="I25" s="72">
        <v>3</v>
      </c>
    </row>
    <row r="26" spans="1:17" x14ac:dyDescent="0.4">
      <c r="A26" s="42" t="s">
        <v>14</v>
      </c>
      <c r="B26" s="18">
        <f>IF(B$22=0,0,C26/B$22)</f>
        <v>-12000</v>
      </c>
      <c r="C26" s="12">
        <v>-12000</v>
      </c>
      <c r="E26" s="48" t="s">
        <v>82</v>
      </c>
      <c r="F26" s="45" t="s">
        <v>43</v>
      </c>
      <c r="G26" s="37">
        <v>0</v>
      </c>
      <c r="H26" s="110">
        <f>IF(B$19=0,0,G26/B$19)</f>
        <v>0</v>
      </c>
      <c r="I26" s="72">
        <v>1</v>
      </c>
    </row>
    <row r="27" spans="1:17" x14ac:dyDescent="0.4">
      <c r="A27" s="68" t="s">
        <v>124</v>
      </c>
      <c r="B27" s="119">
        <v>3</v>
      </c>
      <c r="C27" s="120"/>
      <c r="E27" s="48" t="s">
        <v>83</v>
      </c>
      <c r="F27" s="45" t="s">
        <v>44</v>
      </c>
      <c r="G27" s="37">
        <v>0</v>
      </c>
      <c r="H27" s="110">
        <f>IF(B$19=0,0,G27/B$19)</f>
        <v>0</v>
      </c>
      <c r="I27" s="72">
        <v>1</v>
      </c>
    </row>
    <row r="28" spans="1:17" x14ac:dyDescent="0.4">
      <c r="A28" s="43" t="s">
        <v>169</v>
      </c>
      <c r="B28" s="117">
        <v>41100</v>
      </c>
      <c r="C28" s="118"/>
      <c r="E28" s="48" t="s">
        <v>84</v>
      </c>
      <c r="F28" s="45" t="s">
        <v>45</v>
      </c>
      <c r="G28" s="37">
        <v>0</v>
      </c>
      <c r="H28" s="110">
        <f>IF(B$19=0,0,G28/B$19)</f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>IF(B$19=0,0,G29/B$19)</f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>IF(B$19=0,0,G30/B$19)</f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>IF(B$19=0,0,G31/B$19)</f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>IF(B$19=0,0,G32/B$19)</f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>IF(B$19=0,0,G33/B$19)</f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>IF(B$19=0,0,G34/B$19)</f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>IF(B$19=0,0,G35/B$19)</f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>IF(B$19=0,0,G36/B$19)</f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>IF(B$19=0,0,G37/B$19)</f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>IF(B$19=0,0,G38/B$19)</f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>IF(B$19=0,0,G39/B$19)</f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>IF(B$19=0,0,G40/B$19)</f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>IF(B$19=0,0,G41/B$19)</f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>IF(B$19=0,0,G42/B$19)</f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>IF(B$19=0,0,G43/B$19)</f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>IF(B$19=0,0,G44/B$19)</f>
        <v>0</v>
      </c>
      <c r="I44" s="72">
        <v>1</v>
      </c>
    </row>
    <row r="45" spans="5:9" x14ac:dyDescent="0.4">
      <c r="E45" s="49" t="s">
        <v>145</v>
      </c>
      <c r="F45" s="46" t="s">
        <v>146</v>
      </c>
      <c r="G45" s="39">
        <v>0</v>
      </c>
      <c r="H45" s="111">
        <f>IF(B$19=0,0,G45/B$19)</f>
        <v>0</v>
      </c>
      <c r="I45" s="73">
        <v>5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410</vt:i4>
      </vt:variant>
    </vt:vector>
  </HeadingPairs>
  <TitlesOfParts>
    <vt:vector size="423" baseType="lpstr">
      <vt:lpstr>Template</vt:lpstr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依田幸憲!アガリ数</vt:lpstr>
      <vt:lpstr>高野源太!アガリ数</vt:lpstr>
      <vt:lpstr>佐藤成浩!アガリ数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保谷一貴!アガリ数</vt:lpstr>
      <vt:lpstr>アガリ数</vt:lpstr>
      <vt:lpstr>依田幸憲!アガリ率</vt:lpstr>
      <vt:lpstr>高野源太!アガリ率</vt:lpstr>
      <vt:lpstr>佐藤成浩!アガリ率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保谷一貴!アガリ率</vt:lpstr>
      <vt:lpstr>アガリ率</vt:lpstr>
      <vt:lpstr>依田幸憲!チョンボ数</vt:lpstr>
      <vt:lpstr>高野源太!チョンボ数</vt:lpstr>
      <vt:lpstr>佐藤成浩!チョンボ数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保谷一貴!チョンボ数</vt:lpstr>
      <vt:lpstr>チョンボ数</vt:lpstr>
      <vt:lpstr>依田幸憲!チョンボ率</vt:lpstr>
      <vt:lpstr>高野源太!チョンボ率</vt:lpstr>
      <vt:lpstr>佐藤成浩!チョンボ率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保谷一貴!チョンボ率</vt:lpstr>
      <vt:lpstr>チョンボ率</vt:lpstr>
      <vt:lpstr>依田幸憲!ツモ数</vt:lpstr>
      <vt:lpstr>高野源太!ツモ数</vt:lpstr>
      <vt:lpstr>佐藤成浩!ツモ数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保谷一貴!ツモ数</vt:lpstr>
      <vt:lpstr>ツモ数</vt:lpstr>
      <vt:lpstr>依田幸憲!ツモ率</vt:lpstr>
      <vt:lpstr>高野源太!ツモ率</vt:lpstr>
      <vt:lpstr>佐藤成浩!ツモ率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保谷一貴!ツモ率</vt:lpstr>
      <vt:lpstr>ツモ率</vt:lpstr>
      <vt:lpstr>依田幸憲!トップ数</vt:lpstr>
      <vt:lpstr>高野源太!トップ数</vt:lpstr>
      <vt:lpstr>佐藤成浩!トップ数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保谷一貴!トップ数</vt:lpstr>
      <vt:lpstr>トップ数</vt:lpstr>
      <vt:lpstr>依田幸憲!トップ率</vt:lpstr>
      <vt:lpstr>高野源太!トップ率</vt:lpstr>
      <vt:lpstr>佐藤成浩!トップ率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保谷一貴!トップ率</vt:lpstr>
      <vt:lpstr>トップ率</vt:lpstr>
      <vt:lpstr>依田幸憲!ふっとばし数</vt:lpstr>
      <vt:lpstr>高野源太!ふっとばし数</vt:lpstr>
      <vt:lpstr>佐藤成浩!ふっとばし数</vt:lpstr>
      <vt:lpstr>松澤亮太!ふっとばし数</vt:lpstr>
      <vt:lpstr>全体!ふっとばし数</vt:lpstr>
      <vt:lpstr>大池陸斗!ふっとばし数</vt:lpstr>
      <vt:lpstr>滝沢悠人!ふっとばし数</vt:lpstr>
      <vt:lpstr>百瀬成空!ふっとばし数</vt:lpstr>
      <vt:lpstr>保谷一貴!ふっとばし数</vt:lpstr>
      <vt:lpstr>ふっとばし数</vt:lpstr>
      <vt:lpstr>依田幸憲!ふっとばし率</vt:lpstr>
      <vt:lpstr>高野源太!ふっとばし率</vt:lpstr>
      <vt:lpstr>佐藤成浩!ふっとばし率</vt:lpstr>
      <vt:lpstr>松澤亮太!ふっとばし率</vt:lpstr>
      <vt:lpstr>全体!ふっとばし率</vt:lpstr>
      <vt:lpstr>大池陸斗!ふっとばし率</vt:lpstr>
      <vt:lpstr>滝沢悠人!ふっとばし率</vt:lpstr>
      <vt:lpstr>百瀬成空!ふっとばし率</vt:lpstr>
      <vt:lpstr>保谷一貴!ふっとばし率</vt:lpstr>
      <vt:lpstr>ふっとばし率</vt:lpstr>
      <vt:lpstr>依田幸憲!ふっとび数</vt:lpstr>
      <vt:lpstr>高野源太!ふっとび数</vt:lpstr>
      <vt:lpstr>佐藤成浩!ふっとび数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保谷一貴!ふっとび数</vt:lpstr>
      <vt:lpstr>ふっとび数</vt:lpstr>
      <vt:lpstr>依田幸憲!ふっとび率</vt:lpstr>
      <vt:lpstr>高野源太!ふっとび率</vt:lpstr>
      <vt:lpstr>佐藤成浩!ふっとび率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保谷一貴!ふっとび率</vt:lpstr>
      <vt:lpstr>ふっとび率</vt:lpstr>
      <vt:lpstr>依田幸憲!ラス率</vt:lpstr>
      <vt:lpstr>高野源太!ラス率</vt:lpstr>
      <vt:lpstr>佐藤成浩!ラス率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保谷一貴!ラス率</vt:lpstr>
      <vt:lpstr>ラス率</vt:lpstr>
      <vt:lpstr>依田幸憲!リーチ数</vt:lpstr>
      <vt:lpstr>高野源太!リーチ数</vt:lpstr>
      <vt:lpstr>佐藤成浩!リーチ数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保谷一貴!リーチ数</vt:lpstr>
      <vt:lpstr>リーチ数</vt:lpstr>
      <vt:lpstr>依田幸憲!リーチ成功数</vt:lpstr>
      <vt:lpstr>高野源太!リーチ成功数</vt:lpstr>
      <vt:lpstr>佐藤成浩!リーチ成功数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保谷一貴!リーチ成功数</vt:lpstr>
      <vt:lpstr>リーチ成功数</vt:lpstr>
      <vt:lpstr>依田幸憲!リーチ成功率</vt:lpstr>
      <vt:lpstr>高野源太!リーチ成功率</vt:lpstr>
      <vt:lpstr>佐藤成浩!リーチ成功率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保谷一貴!リーチ成功率</vt:lpstr>
      <vt:lpstr>リーチ成功率</vt:lpstr>
      <vt:lpstr>依田幸憲!リーチ率</vt:lpstr>
      <vt:lpstr>高野源太!リーチ率</vt:lpstr>
      <vt:lpstr>佐藤成浩!リーチ率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保谷一貴!リーチ率</vt:lpstr>
      <vt:lpstr>リーチ率</vt:lpstr>
      <vt:lpstr>依田幸憲!ロン数</vt:lpstr>
      <vt:lpstr>高野源太!ロン数</vt:lpstr>
      <vt:lpstr>佐藤成浩!ロン数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保谷一貴!ロン数</vt:lpstr>
      <vt:lpstr>ロン数</vt:lpstr>
      <vt:lpstr>依田幸憲!ロン率</vt:lpstr>
      <vt:lpstr>高野源太!ロン率</vt:lpstr>
      <vt:lpstr>佐藤成浩!ロン率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保谷一貴!ロン率</vt:lpstr>
      <vt:lpstr>ロン率</vt:lpstr>
      <vt:lpstr>依田幸憲!逆転数</vt:lpstr>
      <vt:lpstr>高野源太!逆転数</vt:lpstr>
      <vt:lpstr>佐藤成浩!逆転数</vt:lpstr>
      <vt:lpstr>松澤亮太!逆転数</vt:lpstr>
      <vt:lpstr>全体!逆転数</vt:lpstr>
      <vt:lpstr>大池陸斗!逆転数</vt:lpstr>
      <vt:lpstr>滝沢悠人!逆転数</vt:lpstr>
      <vt:lpstr>百瀬成空!逆転数</vt:lpstr>
      <vt:lpstr>保谷一貴!逆転数</vt:lpstr>
      <vt:lpstr>逆転数</vt:lpstr>
      <vt:lpstr>依田幸憲!逆転率</vt:lpstr>
      <vt:lpstr>高野源太!逆転率</vt:lpstr>
      <vt:lpstr>佐藤成浩!逆転率</vt:lpstr>
      <vt:lpstr>松澤亮太!逆転率</vt:lpstr>
      <vt:lpstr>全体!逆転率</vt:lpstr>
      <vt:lpstr>大池陸斗!逆転率</vt:lpstr>
      <vt:lpstr>滝沢悠人!逆転率</vt:lpstr>
      <vt:lpstr>百瀬成空!逆転率</vt:lpstr>
      <vt:lpstr>保谷一貴!逆転率</vt:lpstr>
      <vt:lpstr>逆転率</vt:lpstr>
      <vt:lpstr>依田幸憲!最高点</vt:lpstr>
      <vt:lpstr>高野源太!最高点</vt:lpstr>
      <vt:lpstr>佐藤成浩!最高点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保谷一貴!最高点</vt:lpstr>
      <vt:lpstr>最高点</vt:lpstr>
      <vt:lpstr>依田幸憲!最大ドラ数</vt:lpstr>
      <vt:lpstr>高野源太!最大ドラ数</vt:lpstr>
      <vt:lpstr>佐藤成浩!最大ドラ数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保谷一貴!最大ドラ数</vt:lpstr>
      <vt:lpstr>最大ドラ数</vt:lpstr>
      <vt:lpstr>依田幸憲!最大点数</vt:lpstr>
      <vt:lpstr>高野源太!最大点数</vt:lpstr>
      <vt:lpstr>佐藤成浩!最大点数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保谷一貴!最大点数</vt:lpstr>
      <vt:lpstr>最大点数</vt:lpstr>
      <vt:lpstr>依田幸憲!総局数</vt:lpstr>
      <vt:lpstr>高野源太!総局数</vt:lpstr>
      <vt:lpstr>佐藤成浩!総局数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保谷一貴!総局数</vt:lpstr>
      <vt:lpstr>総局数</vt:lpstr>
      <vt:lpstr>依田幸憲!対戦数</vt:lpstr>
      <vt:lpstr>高野源太!対戦数</vt:lpstr>
      <vt:lpstr>佐藤成浩!対戦数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保谷一貴!対戦数</vt:lpstr>
      <vt:lpstr>対戦数</vt:lpstr>
      <vt:lpstr>依田幸憲!通算スコア</vt:lpstr>
      <vt:lpstr>高野源太!通算スコア</vt:lpstr>
      <vt:lpstr>佐藤成浩!通算スコア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保谷一貴!通算スコア</vt:lpstr>
      <vt:lpstr>通算スコア</vt:lpstr>
      <vt:lpstr>依田幸憲!副露数</vt:lpstr>
      <vt:lpstr>高野源太!副露数</vt:lpstr>
      <vt:lpstr>佐藤成浩!副露数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保谷一貴!副露数</vt:lpstr>
      <vt:lpstr>副露数</vt:lpstr>
      <vt:lpstr>依田幸憲!副露成功数</vt:lpstr>
      <vt:lpstr>高野源太!副露成功数</vt:lpstr>
      <vt:lpstr>佐藤成浩!副露成功数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保谷一貴!副露成功数</vt:lpstr>
      <vt:lpstr>副露成功数</vt:lpstr>
      <vt:lpstr>依田幸憲!副露成功率</vt:lpstr>
      <vt:lpstr>高野源太!副露成功率</vt:lpstr>
      <vt:lpstr>佐藤成浩!副露成功率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保谷一貴!副露成功率</vt:lpstr>
      <vt:lpstr>副露成功率</vt:lpstr>
      <vt:lpstr>依田幸憲!副露率</vt:lpstr>
      <vt:lpstr>高野源太!副露率</vt:lpstr>
      <vt:lpstr>佐藤成浩!副露率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保谷一貴!副露率</vt:lpstr>
      <vt:lpstr>副露率</vt:lpstr>
      <vt:lpstr>依田幸憲!平均アガリ点</vt:lpstr>
      <vt:lpstr>高野源太!平均アガリ点</vt:lpstr>
      <vt:lpstr>佐藤成浩!平均アガリ点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保谷一貴!平均アガリ点</vt:lpstr>
      <vt:lpstr>平均アガリ点</vt:lpstr>
      <vt:lpstr>依田幸憲!平均スコア</vt:lpstr>
      <vt:lpstr>高野源太!平均スコア</vt:lpstr>
      <vt:lpstr>佐藤成浩!平均スコア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保谷一貴!平均スコア</vt:lpstr>
      <vt:lpstr>平均スコア</vt:lpstr>
      <vt:lpstr>依田幸憲!平均順位</vt:lpstr>
      <vt:lpstr>高野源太!平均順位</vt:lpstr>
      <vt:lpstr>佐藤成浩!平均順位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保谷一貴!平均順位</vt:lpstr>
      <vt:lpstr>平均順位</vt:lpstr>
      <vt:lpstr>依田幸憲!平均放銃点</vt:lpstr>
      <vt:lpstr>高野源太!平均放銃点</vt:lpstr>
      <vt:lpstr>佐藤成浩!平均放銃点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保谷一貴!平均放銃点</vt:lpstr>
      <vt:lpstr>平均放銃点</vt:lpstr>
      <vt:lpstr>依田幸憲!放銃数</vt:lpstr>
      <vt:lpstr>高野源太!放銃数</vt:lpstr>
      <vt:lpstr>佐藤成浩!放銃数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保谷一貴!放銃数</vt:lpstr>
      <vt:lpstr>放銃数</vt:lpstr>
      <vt:lpstr>依田幸憲!放銃率</vt:lpstr>
      <vt:lpstr>高野源太!放銃率</vt:lpstr>
      <vt:lpstr>佐藤成浩!放銃率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保谷一貴!放銃率</vt:lpstr>
      <vt:lpstr>放銃率</vt:lpstr>
      <vt:lpstr>依田幸憲!連続アガリ</vt:lpstr>
      <vt:lpstr>高野源太!連続アガリ</vt:lpstr>
      <vt:lpstr>佐藤成浩!連続アガリ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保谷一貴!連続アガリ</vt:lpstr>
      <vt:lpstr>連続アガリ</vt:lpstr>
      <vt:lpstr>依田幸憲!連続無放銃</vt:lpstr>
      <vt:lpstr>高野源太!連続無放銃</vt:lpstr>
      <vt:lpstr>佐藤成浩!連続無放銃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保谷一貴!連続無放銃</vt:lpstr>
      <vt:lpstr>連続無放銃</vt:lpstr>
      <vt:lpstr>依田幸憲!連対数</vt:lpstr>
      <vt:lpstr>高野源太!連対数</vt:lpstr>
      <vt:lpstr>佐藤成浩!連対数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保谷一貴!連対数</vt:lpstr>
      <vt:lpstr>連対数</vt:lpstr>
      <vt:lpstr>依田幸憲!連対率</vt:lpstr>
      <vt:lpstr>高野源太!連対率</vt:lpstr>
      <vt:lpstr>佐藤成浩!連対率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保谷一貴!連対率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2019-11-19T16:34:23Z</dcterms:modified>
</cp:coreProperties>
</file>