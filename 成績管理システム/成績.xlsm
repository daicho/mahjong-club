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-club\成績管理システム\"/>
    </mc:Choice>
  </mc:AlternateContent>
  <xr:revisionPtr revIDLastSave="0" documentId="13_ncr:1_{6284130D-B0A8-48D6-A92A-661D31F11C03}" xr6:coauthVersionLast="41" xr6:coauthVersionMax="41" xr10:uidLastSave="{00000000-0000-0000-0000-000000000000}"/>
  <bookViews>
    <workbookView xWindow="7515" yWindow="4590" windowWidth="21600" windowHeight="11505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083" r:id="rId4"/>
    <sheet name="松澤亮太" sheetId="6084" r:id="rId5"/>
    <sheet name="滝沢悠人" sheetId="6085" r:id="rId6"/>
    <sheet name="大池陸斗" sheetId="6086" r:id="rId7"/>
    <sheet name="百瀬成空" sheetId="6087" r:id="rId8"/>
    <sheet name="佐藤成浩" sheetId="6088" r:id="rId9"/>
    <sheet name="依田幸憲" sheetId="6089" r:id="rId10"/>
    <sheet name="保谷一貴" sheetId="6090" r:id="rId11"/>
    <sheet name="高野源太" sheetId="6091" r:id="rId12"/>
    <sheet name="矢ヶ崎健" sheetId="6092" r:id="rId13"/>
    <sheet name="小林郁斗" sheetId="6093" r:id="rId14"/>
    <sheet name="木角有希" sheetId="6094" r:id="rId15"/>
    <sheet name="福澤大地" sheetId="6095" r:id="rId16"/>
    <sheet name="Template" sheetId="2228" state="hidden" r:id="rId17"/>
  </sheets>
  <definedNames>
    <definedName name="アガリ数" localSheetId="9">依田幸憲!$B$17</definedName>
    <definedName name="アガリ数" localSheetId="11">高野源太!$B$17</definedName>
    <definedName name="アガリ数" localSheetId="8">佐藤成浩!$B$17</definedName>
    <definedName name="アガリ数" localSheetId="13">小林郁斗!$B$17</definedName>
    <definedName name="アガリ数" localSheetId="4">松澤亮太!$B$17</definedName>
    <definedName name="アガリ数" localSheetId="3">全体!$B$17</definedName>
    <definedName name="アガリ数" localSheetId="6">大池陸斗!$B$17</definedName>
    <definedName name="アガリ数" localSheetId="5">滝沢悠人!$B$17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14">木角有希!$B$17</definedName>
    <definedName name="アガリ数" localSheetId="12">矢ヶ崎健!$B$17</definedName>
    <definedName name="アガリ数">Template!$B$17</definedName>
    <definedName name="アガリ率" localSheetId="9">依田幸憲!$C$17</definedName>
    <definedName name="アガリ率" localSheetId="11">高野源太!$C$17</definedName>
    <definedName name="アガリ率" localSheetId="8">佐藤成浩!$C$17</definedName>
    <definedName name="アガリ率" localSheetId="13">小林郁斗!$C$17</definedName>
    <definedName name="アガリ率" localSheetId="4">松澤亮太!$C$17</definedName>
    <definedName name="アガリ率" localSheetId="3">全体!$C$17</definedName>
    <definedName name="アガリ率" localSheetId="6">大池陸斗!$C$17</definedName>
    <definedName name="アガリ率" localSheetId="5">滝沢悠人!$C$17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14">木角有希!$C$17</definedName>
    <definedName name="アガリ率" localSheetId="12">矢ヶ崎健!$C$17</definedName>
    <definedName name="アガリ率">Template!$C$17</definedName>
    <definedName name="ダマアガリ数" localSheetId="9">依田幸憲!$B$23</definedName>
    <definedName name="ダマアガリ数" localSheetId="11">高野源太!$B$23</definedName>
    <definedName name="ダマアガリ数" localSheetId="8">佐藤成浩!$B$23</definedName>
    <definedName name="ダマアガリ数" localSheetId="13">小林郁斗!$B$23</definedName>
    <definedName name="ダマアガリ数" localSheetId="4">松澤亮太!$B$23</definedName>
    <definedName name="ダマアガリ数" localSheetId="3">全体!$B$23</definedName>
    <definedName name="ダマアガリ数" localSheetId="6">大池陸斗!$B$23</definedName>
    <definedName name="ダマアガリ数" localSheetId="5">滝沢悠人!$B$23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14">木角有希!$B$23</definedName>
    <definedName name="ダマアガリ数" localSheetId="12">矢ヶ崎健!$B$23</definedName>
    <definedName name="ダマアガリ数">Template!$B$23</definedName>
    <definedName name="ダマアガリ点" localSheetId="9">依田幸憲!#REF!</definedName>
    <definedName name="ダマアガリ点" localSheetId="11">高野源太!#REF!</definedName>
    <definedName name="ダマアガリ点" localSheetId="8">佐藤成浩!#REF!</definedName>
    <definedName name="ダマアガリ点" localSheetId="13">小林郁斗!#REF!</definedName>
    <definedName name="ダマアガリ点" localSheetId="4">松澤亮太!#REF!</definedName>
    <definedName name="ダマアガリ点" localSheetId="3">全体!#REF!</definedName>
    <definedName name="ダマアガリ点" localSheetId="6">大池陸斗!#REF!</definedName>
    <definedName name="ダマアガリ点" localSheetId="5">滝沢悠人!#REF!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14">木角有希!#REF!</definedName>
    <definedName name="ダマアガリ点" localSheetId="12">矢ヶ崎健!#REF!</definedName>
    <definedName name="ダマアガリ点">Template!#REF!</definedName>
    <definedName name="ダマアガリ率" localSheetId="9">依田幸憲!$C$23</definedName>
    <definedName name="ダマアガリ率" localSheetId="11">高野源太!$C$23</definedName>
    <definedName name="ダマアガリ率" localSheetId="8">佐藤成浩!$C$23</definedName>
    <definedName name="ダマアガリ率" localSheetId="13">小林郁斗!$C$23</definedName>
    <definedName name="ダマアガリ率" localSheetId="4">松澤亮太!$C$23</definedName>
    <definedName name="ダマアガリ率" localSheetId="3">全体!$C$23</definedName>
    <definedName name="ダマアガリ率" localSheetId="6">大池陸斗!$C$23</definedName>
    <definedName name="ダマアガリ率" localSheetId="5">滝沢悠人!$C$23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14">木角有希!$C$23</definedName>
    <definedName name="ダマアガリ率" localSheetId="12">矢ヶ崎健!$C$23</definedName>
    <definedName name="ダマアガリ率">Template!$C$23</definedName>
    <definedName name="チョンボ数" localSheetId="9">依田幸憲!$B$32</definedName>
    <definedName name="チョンボ数" localSheetId="11">高野源太!$B$32</definedName>
    <definedName name="チョンボ数" localSheetId="8">佐藤成浩!$B$32</definedName>
    <definedName name="チョンボ数" localSheetId="13">小林郁斗!$B$32</definedName>
    <definedName name="チョンボ数" localSheetId="4">松澤亮太!$B$32</definedName>
    <definedName name="チョンボ数" localSheetId="3">全体!$B$32</definedName>
    <definedName name="チョンボ数" localSheetId="6">大池陸斗!$B$32</definedName>
    <definedName name="チョンボ数" localSheetId="5">滝沢悠人!$B$32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14">木角有希!$B$32</definedName>
    <definedName name="チョンボ数" localSheetId="12">矢ヶ崎健!$B$32</definedName>
    <definedName name="チョンボ数">Template!$B$32</definedName>
    <definedName name="チョンボ率" localSheetId="9">依田幸憲!$C$32</definedName>
    <definedName name="チョンボ率" localSheetId="11">高野源太!$C$32</definedName>
    <definedName name="チョンボ率" localSheetId="8">佐藤成浩!$C$32</definedName>
    <definedName name="チョンボ率" localSheetId="13">小林郁斗!$C$32</definedName>
    <definedName name="チョンボ率" localSheetId="4">松澤亮太!$C$32</definedName>
    <definedName name="チョンボ率" localSheetId="3">全体!$C$32</definedName>
    <definedName name="チョンボ率" localSheetId="6">大池陸斗!$C$32</definedName>
    <definedName name="チョンボ率" localSheetId="5">滝沢悠人!$C$32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14">木角有希!$C$32</definedName>
    <definedName name="チョンボ率" localSheetId="12">矢ヶ崎健!$C$32</definedName>
    <definedName name="チョンボ率">Template!$C$32</definedName>
    <definedName name="ツモ数" localSheetId="9">依田幸憲!$B$19</definedName>
    <definedName name="ツモ数" localSheetId="11">高野源太!$B$19</definedName>
    <definedName name="ツモ数" localSheetId="8">佐藤成浩!$B$19</definedName>
    <definedName name="ツモ数" localSheetId="13">小林郁斗!$B$19</definedName>
    <definedName name="ツモ数" localSheetId="4">松澤亮太!$B$19</definedName>
    <definedName name="ツモ数" localSheetId="3">全体!$B$19</definedName>
    <definedName name="ツモ数" localSheetId="6">大池陸斗!$B$19</definedName>
    <definedName name="ツモ数" localSheetId="5">滝沢悠人!$B$19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14">木角有希!$B$19</definedName>
    <definedName name="ツモ数" localSheetId="12">矢ヶ崎健!$B$19</definedName>
    <definedName name="ツモ数">Template!$B$19</definedName>
    <definedName name="ツモ率" localSheetId="9">依田幸憲!$C$19</definedName>
    <definedName name="ツモ率" localSheetId="11">高野源太!$C$19</definedName>
    <definedName name="ツモ率" localSheetId="8">佐藤成浩!$C$19</definedName>
    <definedName name="ツモ率" localSheetId="13">小林郁斗!$C$19</definedName>
    <definedName name="ツモ率" localSheetId="4">松澤亮太!$C$19</definedName>
    <definedName name="ツモ率" localSheetId="3">全体!$C$19</definedName>
    <definedName name="ツモ率" localSheetId="6">大池陸斗!$C$19</definedName>
    <definedName name="ツモ率" localSheetId="5">滝沢悠人!$C$19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14">木角有希!$C$19</definedName>
    <definedName name="ツモ率" localSheetId="12">矢ヶ崎健!$C$19</definedName>
    <definedName name="ツモ率">Template!$C$19</definedName>
    <definedName name="トップ数" localSheetId="9">依田幸憲!$B$7</definedName>
    <definedName name="トップ数" localSheetId="11">高野源太!$B$7</definedName>
    <definedName name="トップ数" localSheetId="8">佐藤成浩!$B$7</definedName>
    <definedName name="トップ数" localSheetId="13">小林郁斗!$B$7</definedName>
    <definedName name="トップ数" localSheetId="4">松澤亮太!$B$7</definedName>
    <definedName name="トップ数" localSheetId="3">全体!$B$7</definedName>
    <definedName name="トップ数" localSheetId="6">大池陸斗!$B$7</definedName>
    <definedName name="トップ数" localSheetId="5">滝沢悠人!$B$7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14">木角有希!$B$7</definedName>
    <definedName name="トップ数" localSheetId="12">矢ヶ崎健!$B$7</definedName>
    <definedName name="トップ数">Template!$B$7</definedName>
    <definedName name="トップ率" localSheetId="9">依田幸憲!$C$7</definedName>
    <definedName name="トップ率" localSheetId="11">高野源太!$C$7</definedName>
    <definedName name="トップ率" localSheetId="8">佐藤成浩!$C$7</definedName>
    <definedName name="トップ率" localSheetId="13">小林郁斗!$C$7</definedName>
    <definedName name="トップ率" localSheetId="4">松澤亮太!$C$7</definedName>
    <definedName name="トップ率" localSheetId="3">全体!$C$7</definedName>
    <definedName name="トップ率" localSheetId="6">大池陸斗!$C$7</definedName>
    <definedName name="トップ率" localSheetId="5">滝沢悠人!$C$7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14">木角有希!$C$7</definedName>
    <definedName name="トップ率" localSheetId="12">矢ヶ崎健!$C$7</definedName>
    <definedName name="トップ率">Template!$C$7</definedName>
    <definedName name="ふっとばし数" localSheetId="9">依田幸憲!#REF!</definedName>
    <definedName name="ふっとばし数" localSheetId="11">高野源太!#REF!</definedName>
    <definedName name="ふっとばし数" localSheetId="8">佐藤成浩!#REF!</definedName>
    <definedName name="ふっとばし数" localSheetId="13">小林郁斗!#REF!</definedName>
    <definedName name="ふっとばし数" localSheetId="4">松澤亮太!#REF!</definedName>
    <definedName name="ふっとばし数" localSheetId="3">全体!#REF!</definedName>
    <definedName name="ふっとばし数" localSheetId="6">大池陸斗!#REF!</definedName>
    <definedName name="ふっとばし数" localSheetId="5">滝沢悠人!#REF!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14">木角有希!#REF!</definedName>
    <definedName name="ふっとばし数" localSheetId="12">矢ヶ崎健!#REF!</definedName>
    <definedName name="ふっとばし数">Template!#REF!</definedName>
    <definedName name="ふっとばし率" localSheetId="9">依田幸憲!#REF!</definedName>
    <definedName name="ふっとばし率" localSheetId="11">高野源太!#REF!</definedName>
    <definedName name="ふっとばし率" localSheetId="8">佐藤成浩!#REF!</definedName>
    <definedName name="ふっとばし率" localSheetId="13">小林郁斗!#REF!</definedName>
    <definedName name="ふっとばし率" localSheetId="4">松澤亮太!#REF!</definedName>
    <definedName name="ふっとばし率" localSheetId="3">全体!#REF!</definedName>
    <definedName name="ふっとばし率" localSheetId="6">大池陸斗!#REF!</definedName>
    <definedName name="ふっとばし率" localSheetId="5">滝沢悠人!#REF!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14">木角有希!#REF!</definedName>
    <definedName name="ふっとばし率" localSheetId="12">矢ヶ崎健!#REF!</definedName>
    <definedName name="ふっとばし率">Template!#REF!</definedName>
    <definedName name="ふっとび数" localSheetId="9">依田幸憲!$B$12</definedName>
    <definedName name="ふっとび数" localSheetId="11">高野源太!$B$12</definedName>
    <definedName name="ふっとび数" localSheetId="8">佐藤成浩!$B$12</definedName>
    <definedName name="ふっとび数" localSheetId="13">小林郁斗!$B$12</definedName>
    <definedName name="ふっとび数" localSheetId="4">松澤亮太!$B$12</definedName>
    <definedName name="ふっとび数" localSheetId="3">全体!$B$12</definedName>
    <definedName name="ふっとび数" localSheetId="6">大池陸斗!$B$12</definedName>
    <definedName name="ふっとび数" localSheetId="5">滝沢悠人!$B$12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14">木角有希!$B$12</definedName>
    <definedName name="ふっとび数" localSheetId="12">矢ヶ崎健!$B$12</definedName>
    <definedName name="ふっとび数">Template!$B$12</definedName>
    <definedName name="ふっとび率" localSheetId="9">依田幸憲!$C$12</definedName>
    <definedName name="ふっとび率" localSheetId="11">高野源太!$C$12</definedName>
    <definedName name="ふっとび率" localSheetId="8">佐藤成浩!$C$12</definedName>
    <definedName name="ふっとび率" localSheetId="13">小林郁斗!$C$12</definedName>
    <definedName name="ふっとび率" localSheetId="4">松澤亮太!$C$12</definedName>
    <definedName name="ふっとび率" localSheetId="3">全体!$C$12</definedName>
    <definedName name="ふっとび率" localSheetId="6">大池陸斗!$C$12</definedName>
    <definedName name="ふっとび率" localSheetId="5">滝沢悠人!$C$12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14">木角有希!$C$12</definedName>
    <definedName name="ふっとび率" localSheetId="12">矢ヶ崎健!$C$12</definedName>
    <definedName name="ふっとび率">Template!$C$12</definedName>
    <definedName name="ラス数" localSheetId="9">依田幸憲!$B$10</definedName>
    <definedName name="ラス数" localSheetId="11">高野源太!$B$10</definedName>
    <definedName name="ラス数" localSheetId="8">佐藤成浩!$B$10</definedName>
    <definedName name="ラス数" localSheetId="13">小林郁斗!$B$10</definedName>
    <definedName name="ラス数" localSheetId="4">松澤亮太!$B$10</definedName>
    <definedName name="ラス数" localSheetId="3">全体!$B$10</definedName>
    <definedName name="ラス数" localSheetId="6">大池陸斗!$B$10</definedName>
    <definedName name="ラス数" localSheetId="5">滝沢悠人!$B$10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14">木角有希!$B$10</definedName>
    <definedName name="ラス数" localSheetId="12">矢ヶ崎健!$B$10</definedName>
    <definedName name="ラス数">Template!$B$10</definedName>
    <definedName name="ラス率" localSheetId="9">依田幸憲!$C$10</definedName>
    <definedName name="ラス率" localSheetId="11">高野源太!$C$10</definedName>
    <definedName name="ラス率" localSheetId="8">佐藤成浩!$C$10</definedName>
    <definedName name="ラス率" localSheetId="13">小林郁斗!$C$10</definedName>
    <definedName name="ラス率" localSheetId="4">松澤亮太!$C$10</definedName>
    <definedName name="ラス率" localSheetId="3">全体!$C$10</definedName>
    <definedName name="ラス率" localSheetId="6">大池陸斗!$C$10</definedName>
    <definedName name="ラス率" localSheetId="5">滝沢悠人!$C$10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14">木角有希!$C$10</definedName>
    <definedName name="ラス率" localSheetId="12">矢ヶ崎健!$C$10</definedName>
    <definedName name="ラス率">Template!$C$10</definedName>
    <definedName name="リーチアガリ数" localSheetId="9">依田幸憲!$B$21</definedName>
    <definedName name="リーチアガリ数" localSheetId="11">高野源太!$B$21</definedName>
    <definedName name="リーチアガリ数" localSheetId="8">佐藤成浩!$B$21</definedName>
    <definedName name="リーチアガリ数" localSheetId="13">小林郁斗!$B$21</definedName>
    <definedName name="リーチアガリ数" localSheetId="4">松澤亮太!$B$21</definedName>
    <definedName name="リーチアガリ数" localSheetId="3">全体!$B$21</definedName>
    <definedName name="リーチアガリ数" localSheetId="6">大池陸斗!$B$21</definedName>
    <definedName name="リーチアガリ数" localSheetId="5">滝沢悠人!$B$21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14">木角有希!$B$21</definedName>
    <definedName name="リーチアガリ数" localSheetId="12">矢ヶ崎健!$B$21</definedName>
    <definedName name="リーチアガリ数">Template!$B$21</definedName>
    <definedName name="リーチアガリ率" localSheetId="9">依田幸憲!$C$21</definedName>
    <definedName name="リーチアガリ率" localSheetId="11">高野源太!$C$21</definedName>
    <definedName name="リーチアガリ率" localSheetId="8">佐藤成浩!$C$21</definedName>
    <definedName name="リーチアガリ率" localSheetId="13">小林郁斗!$C$21</definedName>
    <definedName name="リーチアガリ率" localSheetId="4">松澤亮太!$C$21</definedName>
    <definedName name="リーチアガリ率" localSheetId="3">全体!$C$21</definedName>
    <definedName name="リーチアガリ率" localSheetId="6">大池陸斗!$C$21</definedName>
    <definedName name="リーチアガリ率" localSheetId="5">滝沢悠人!$C$21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14">木角有希!$C$21</definedName>
    <definedName name="リーチアガリ率" localSheetId="12">矢ヶ崎健!$C$21</definedName>
    <definedName name="リーチアガリ率">Template!$C$21</definedName>
    <definedName name="リーチ数" localSheetId="9">依田幸憲!$B$13</definedName>
    <definedName name="リーチ数" localSheetId="11">高野源太!$B$13</definedName>
    <definedName name="リーチ数" localSheetId="8">佐藤成浩!$B$13</definedName>
    <definedName name="リーチ数" localSheetId="13">小林郁斗!$B$13</definedName>
    <definedName name="リーチ数" localSheetId="4">松澤亮太!$B$13</definedName>
    <definedName name="リーチ数" localSheetId="3">全体!$B$13</definedName>
    <definedName name="リーチ数" localSheetId="6">大池陸斗!$B$13</definedName>
    <definedName name="リーチ数" localSheetId="5">滝沢悠人!$B$13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14">木角有希!$B$13</definedName>
    <definedName name="リーチ数" localSheetId="12">矢ヶ崎健!$B$13</definedName>
    <definedName name="リーチ数">Template!$B$13</definedName>
    <definedName name="リーチ成功数" localSheetId="9">依田幸憲!$B$15</definedName>
    <definedName name="リーチ成功数" localSheetId="11">高野源太!$B$15</definedName>
    <definedName name="リーチ成功数" localSheetId="8">佐藤成浩!$B$15</definedName>
    <definedName name="リーチ成功数" localSheetId="13">小林郁斗!$B$15</definedName>
    <definedName name="リーチ成功数" localSheetId="4">松澤亮太!$B$15</definedName>
    <definedName name="リーチ成功数" localSheetId="3">全体!$B$15</definedName>
    <definedName name="リーチ成功数" localSheetId="6">大池陸斗!$B$15</definedName>
    <definedName name="リーチ成功数" localSheetId="5">滝沢悠人!$B$15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14">木角有希!$B$15</definedName>
    <definedName name="リーチ成功数" localSheetId="12">矢ヶ崎健!$B$15</definedName>
    <definedName name="リーチ成功数">Template!$B$15</definedName>
    <definedName name="リーチ成功率" localSheetId="9">依田幸憲!$C$15</definedName>
    <definedName name="リーチ成功率" localSheetId="11">高野源太!$C$15</definedName>
    <definedName name="リーチ成功率" localSheetId="8">佐藤成浩!$C$15</definedName>
    <definedName name="リーチ成功率" localSheetId="13">小林郁斗!$C$15</definedName>
    <definedName name="リーチ成功率" localSheetId="4">松澤亮太!$C$15</definedName>
    <definedName name="リーチ成功率" localSheetId="3">全体!$C$15</definedName>
    <definedName name="リーチ成功率" localSheetId="6">大池陸斗!$C$15</definedName>
    <definedName name="リーチ成功率" localSheetId="5">滝沢悠人!$C$15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14">木角有希!$C$15</definedName>
    <definedName name="リーチ成功率" localSheetId="12">矢ヶ崎健!$C$15</definedName>
    <definedName name="リーチ成功率">Template!$C$15</definedName>
    <definedName name="リーチ率" localSheetId="9">依田幸憲!$C$13</definedName>
    <definedName name="リーチ率" localSheetId="11">高野源太!$C$13</definedName>
    <definedName name="リーチ率" localSheetId="8">佐藤成浩!$C$13</definedName>
    <definedName name="リーチ率" localSheetId="13">小林郁斗!$C$13</definedName>
    <definedName name="リーチ率" localSheetId="4">松澤亮太!$C$13</definedName>
    <definedName name="リーチ率" localSheetId="3">全体!$C$13</definedName>
    <definedName name="リーチ率" localSheetId="6">大池陸斗!$C$13</definedName>
    <definedName name="リーチ率" localSheetId="5">滝沢悠人!$C$13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14">木角有希!$C$13</definedName>
    <definedName name="リーチ率" localSheetId="12">矢ヶ崎健!$C$13</definedName>
    <definedName name="リーチ率">Template!$C$13</definedName>
    <definedName name="ロン数" localSheetId="9">依田幸憲!$B$20</definedName>
    <definedName name="ロン数" localSheetId="11">高野源太!$B$20</definedName>
    <definedName name="ロン数" localSheetId="8">佐藤成浩!$B$20</definedName>
    <definedName name="ロン数" localSheetId="13">小林郁斗!$B$20</definedName>
    <definedName name="ロン数" localSheetId="4">松澤亮太!$B$20</definedName>
    <definedName name="ロン数" localSheetId="3">全体!$B$20</definedName>
    <definedName name="ロン数" localSheetId="6">大池陸斗!$B$20</definedName>
    <definedName name="ロン数" localSheetId="5">滝沢悠人!$B$20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14">木角有希!$B$20</definedName>
    <definedName name="ロン数" localSheetId="12">矢ヶ崎健!$B$20</definedName>
    <definedName name="ロン数">Template!$B$20</definedName>
    <definedName name="ロン率" localSheetId="9">依田幸憲!$C$20</definedName>
    <definedName name="ロン率" localSheetId="11">高野源太!$C$20</definedName>
    <definedName name="ロン率" localSheetId="8">佐藤成浩!$C$20</definedName>
    <definedName name="ロン率" localSheetId="13">小林郁斗!$C$20</definedName>
    <definedName name="ロン率" localSheetId="4">松澤亮太!$C$20</definedName>
    <definedName name="ロン率" localSheetId="3">全体!$C$20</definedName>
    <definedName name="ロン率" localSheetId="6">大池陸斗!$C$20</definedName>
    <definedName name="ロン率" localSheetId="5">滝沢悠人!$C$20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14">木角有希!$C$20</definedName>
    <definedName name="ロン率" localSheetId="12">矢ヶ崎健!$C$20</definedName>
    <definedName name="ロン率">Template!$C$20</definedName>
    <definedName name="逆転数" localSheetId="9">依田幸憲!#REF!</definedName>
    <definedName name="逆転数" localSheetId="11">高野源太!#REF!</definedName>
    <definedName name="逆転数" localSheetId="8">佐藤成浩!#REF!</definedName>
    <definedName name="逆転数" localSheetId="13">小林郁斗!#REF!</definedName>
    <definedName name="逆転数" localSheetId="4">松澤亮太!#REF!</definedName>
    <definedName name="逆転数" localSheetId="3">全体!#REF!</definedName>
    <definedName name="逆転数" localSheetId="6">大池陸斗!#REF!</definedName>
    <definedName name="逆転数" localSheetId="5">滝沢悠人!#REF!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14">木角有希!#REF!</definedName>
    <definedName name="逆転数" localSheetId="12">矢ヶ崎健!#REF!</definedName>
    <definedName name="逆転数">Template!#REF!</definedName>
    <definedName name="逆転率" localSheetId="9">依田幸憲!#REF!</definedName>
    <definedName name="逆転率" localSheetId="11">高野源太!#REF!</definedName>
    <definedName name="逆転率" localSheetId="8">佐藤成浩!#REF!</definedName>
    <definedName name="逆転率" localSheetId="13">小林郁斗!#REF!</definedName>
    <definedName name="逆転率" localSheetId="4">松澤亮太!#REF!</definedName>
    <definedName name="逆転率" localSheetId="3">全体!#REF!</definedName>
    <definedName name="逆転率" localSheetId="6">大池陸斗!#REF!</definedName>
    <definedName name="逆転率" localSheetId="5">滝沢悠人!#REF!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14">木角有希!#REF!</definedName>
    <definedName name="逆転率" localSheetId="12">矢ヶ崎健!#REF!</definedName>
    <definedName name="逆転率">Template!#REF!</definedName>
    <definedName name="現行連続アガリ" localSheetId="9">依田幸憲!$C$28</definedName>
    <definedName name="現行連続アガリ" localSheetId="11">高野源太!$C$28</definedName>
    <definedName name="現行連続アガリ" localSheetId="8">佐藤成浩!$C$28</definedName>
    <definedName name="現行連続アガリ" localSheetId="13">小林郁斗!$C$28</definedName>
    <definedName name="現行連続アガリ" localSheetId="4">松澤亮太!$C$28</definedName>
    <definedName name="現行連続アガリ" localSheetId="3">全体!$C$28</definedName>
    <definedName name="現行連続アガリ" localSheetId="6">大池陸斗!$C$28</definedName>
    <definedName name="現行連続アガリ" localSheetId="5">滝沢悠人!$C$28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14">木角有希!$C$28</definedName>
    <definedName name="現行連続アガリ" localSheetId="12">矢ヶ崎健!$C$28</definedName>
    <definedName name="現行連続アガリ">Template!$C$28</definedName>
    <definedName name="現行連続無放銃" localSheetId="9">依田幸憲!$C$29</definedName>
    <definedName name="現行連続無放銃" localSheetId="11">高野源太!$C$29</definedName>
    <definedName name="現行連続無放銃" localSheetId="8">佐藤成浩!$C$29</definedName>
    <definedName name="現行連続無放銃" localSheetId="13">小林郁斗!$C$29</definedName>
    <definedName name="現行連続無放銃" localSheetId="4">松澤亮太!$C$29</definedName>
    <definedName name="現行連続無放銃" localSheetId="3">全体!$C$29</definedName>
    <definedName name="現行連続無放銃" localSheetId="6">大池陸斗!$C$29</definedName>
    <definedName name="現行連続無放銃" localSheetId="5">滝沢悠人!$C$29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14">木角有希!$C$29</definedName>
    <definedName name="現行連続無放銃" localSheetId="12">矢ヶ崎健!$C$29</definedName>
    <definedName name="現行連続無放銃">Template!$C$29</definedName>
    <definedName name="最高点" localSheetId="9">依田幸憲!$B$31</definedName>
    <definedName name="最高点" localSheetId="11">高野源太!$B$31</definedName>
    <definedName name="最高点" localSheetId="8">佐藤成浩!$B$31</definedName>
    <definedName name="最高点" localSheetId="13">小林郁斗!$B$31</definedName>
    <definedName name="最高点" localSheetId="4">松澤亮太!$B$31</definedName>
    <definedName name="最高点" localSheetId="3">全体!$B$31</definedName>
    <definedName name="最高点" localSheetId="6">大池陸斗!$B$31</definedName>
    <definedName name="最高点" localSheetId="5">滝沢悠人!$B$31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14">木角有希!$B$31</definedName>
    <definedName name="最高点" localSheetId="12">矢ヶ崎健!$B$31</definedName>
    <definedName name="最高点">Template!$B$31</definedName>
    <definedName name="最大ドラ数" localSheetId="9">依田幸憲!$B$30</definedName>
    <definedName name="最大ドラ数" localSheetId="11">高野源太!$B$30</definedName>
    <definedName name="最大ドラ数" localSheetId="8">佐藤成浩!$B$30</definedName>
    <definedName name="最大ドラ数" localSheetId="13">小林郁斗!$B$30</definedName>
    <definedName name="最大ドラ数" localSheetId="4">松澤亮太!$B$30</definedName>
    <definedName name="最大ドラ数" localSheetId="3">全体!$B$30</definedName>
    <definedName name="最大ドラ数" localSheetId="6">大池陸斗!$B$30</definedName>
    <definedName name="最大ドラ数" localSheetId="5">滝沢悠人!$B$30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14">木角有希!$B$30</definedName>
    <definedName name="最大ドラ数" localSheetId="12">矢ヶ崎健!$B$30</definedName>
    <definedName name="最大ドラ数">Template!$B$30</definedName>
    <definedName name="最大点数" localSheetId="9">依田幸憲!$B$31</definedName>
    <definedName name="最大点数" localSheetId="11">高野源太!$B$31</definedName>
    <definedName name="最大点数" localSheetId="8">佐藤成浩!$B$31</definedName>
    <definedName name="最大点数" localSheetId="13">小林郁斗!$B$31</definedName>
    <definedName name="最大点数" localSheetId="4">松澤亮太!$B$31</definedName>
    <definedName name="最大点数" localSheetId="3">全体!$B$31</definedName>
    <definedName name="最大点数" localSheetId="6">大池陸斗!$B$31</definedName>
    <definedName name="最大点数" localSheetId="5">滝沢悠人!$B$31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14">木角有希!$B$31</definedName>
    <definedName name="最大点数" localSheetId="12">矢ヶ崎健!$B$31</definedName>
    <definedName name="最大点数">Template!$B$31</definedName>
    <definedName name="三位数" localSheetId="9">依田幸憲!$B$9</definedName>
    <definedName name="三位数" localSheetId="11">高野源太!$B$9</definedName>
    <definedName name="三位数" localSheetId="8">佐藤成浩!$B$9</definedName>
    <definedName name="三位数" localSheetId="13">小林郁斗!$B$9</definedName>
    <definedName name="三位数" localSheetId="4">松澤亮太!$B$9</definedName>
    <definedName name="三位数" localSheetId="3">全体!$B$9</definedName>
    <definedName name="三位数" localSheetId="6">大池陸斗!$B$9</definedName>
    <definedName name="三位数" localSheetId="5">滝沢悠人!$B$9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14">木角有希!$B$9</definedName>
    <definedName name="三位数" localSheetId="12">矢ヶ崎健!$B$9</definedName>
    <definedName name="三位数">Template!$B$9</definedName>
    <definedName name="三位率" localSheetId="9">依田幸憲!$C$9</definedName>
    <definedName name="三位率" localSheetId="11">高野源太!$C$9</definedName>
    <definedName name="三位率" localSheetId="8">佐藤成浩!$C$9</definedName>
    <definedName name="三位率" localSheetId="13">小林郁斗!$C$9</definedName>
    <definedName name="三位率" localSheetId="4">松澤亮太!$C$9</definedName>
    <definedName name="三位率" localSheetId="3">全体!$C$9</definedName>
    <definedName name="三位率" localSheetId="6">大池陸斗!$C$9</definedName>
    <definedName name="三位率" localSheetId="5">滝沢悠人!$C$9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14">木角有希!$C$9</definedName>
    <definedName name="三位率" localSheetId="12">矢ヶ崎健!$C$9</definedName>
    <definedName name="三位率">Template!$C$9</definedName>
    <definedName name="総局数" localSheetId="9">依田幸憲!$B$3</definedName>
    <definedName name="総局数" localSheetId="11">高野源太!$B$3</definedName>
    <definedName name="総局数" localSheetId="8">佐藤成浩!$B$3</definedName>
    <definedName name="総局数" localSheetId="13">小林郁斗!$B$3</definedName>
    <definedName name="総局数" localSheetId="4">松澤亮太!$B$3</definedName>
    <definedName name="総局数" localSheetId="3">全体!$B$3</definedName>
    <definedName name="総局数" localSheetId="6">大池陸斗!$B$3</definedName>
    <definedName name="総局数" localSheetId="5">滝沢悠人!$B$3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14">木角有希!$B$3</definedName>
    <definedName name="総局数" localSheetId="12">矢ヶ崎健!$B$3</definedName>
    <definedName name="総局数">Template!$B$3</definedName>
    <definedName name="対戦数" localSheetId="9">依田幸憲!$B$2</definedName>
    <definedName name="対戦数" localSheetId="11">高野源太!$B$2</definedName>
    <definedName name="対戦数" localSheetId="8">佐藤成浩!$B$2</definedName>
    <definedName name="対戦数" localSheetId="13">小林郁斗!$B$2</definedName>
    <definedName name="対戦数" localSheetId="4">松澤亮太!$B$2</definedName>
    <definedName name="対戦数" localSheetId="3">全体!$B$2</definedName>
    <definedName name="対戦数" localSheetId="6">大池陸斗!$B$2</definedName>
    <definedName name="対戦数" localSheetId="5">滝沢悠人!$B$2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14">木角有希!$B$2</definedName>
    <definedName name="対戦数" localSheetId="12">矢ヶ崎健!$B$2</definedName>
    <definedName name="対戦数">Template!$B$2</definedName>
    <definedName name="通算アガリ点" localSheetId="9">依田幸憲!$C$24</definedName>
    <definedName name="通算アガリ点" localSheetId="11">高野源太!$C$24</definedName>
    <definedName name="通算アガリ点" localSheetId="8">佐藤成浩!$C$24</definedName>
    <definedName name="通算アガリ点" localSheetId="13">小林郁斗!$C$24</definedName>
    <definedName name="通算アガリ点" localSheetId="4">松澤亮太!$C$24</definedName>
    <definedName name="通算アガリ点" localSheetId="3">全体!$C$24</definedName>
    <definedName name="通算アガリ点" localSheetId="6">大池陸斗!$C$24</definedName>
    <definedName name="通算アガリ点" localSheetId="5">滝沢悠人!$C$24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14">木角有希!$C$24</definedName>
    <definedName name="通算アガリ点" localSheetId="12">矢ヶ崎健!$C$24</definedName>
    <definedName name="通算アガリ点">Template!$C$24</definedName>
    <definedName name="通算スコア" localSheetId="9">依田幸憲!$B$4</definedName>
    <definedName name="通算スコア" localSheetId="11">高野源太!$B$4</definedName>
    <definedName name="通算スコア" localSheetId="8">佐藤成浩!$B$4</definedName>
    <definedName name="通算スコア" localSheetId="13">小林郁斗!$B$4</definedName>
    <definedName name="通算スコア" localSheetId="4">松澤亮太!$B$4</definedName>
    <definedName name="通算スコア" localSheetId="3">全体!$B$4</definedName>
    <definedName name="通算スコア" localSheetId="6">大池陸斗!$B$4</definedName>
    <definedName name="通算スコア" localSheetId="5">滝沢悠人!$B$4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14">木角有希!$B$4</definedName>
    <definedName name="通算スコア" localSheetId="12">矢ヶ崎健!$B$4</definedName>
    <definedName name="通算スコア">Template!$B$4</definedName>
    <definedName name="通算副露アガリ点" localSheetId="9">依田幸憲!$C$26</definedName>
    <definedName name="通算副露アガリ点" localSheetId="11">高野源太!$C$26</definedName>
    <definedName name="通算副露アガリ点" localSheetId="8">佐藤成浩!$C$26</definedName>
    <definedName name="通算副露アガリ点" localSheetId="13">小林郁斗!$C$26</definedName>
    <definedName name="通算副露アガリ点" localSheetId="4">松澤亮太!$C$26</definedName>
    <definedName name="通算副露アガリ点" localSheetId="3">全体!$C$26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14">木角有希!$C$26</definedName>
    <definedName name="通算副露アガリ点" localSheetId="12">矢ヶ崎健!$C$26</definedName>
    <definedName name="通算副露アガリ点">Template!$C$26</definedName>
    <definedName name="通算放銃点" localSheetId="9">依田幸憲!$C$27</definedName>
    <definedName name="通算放銃点" localSheetId="11">高野源太!$C$27</definedName>
    <definedName name="通算放銃点" localSheetId="8">佐藤成浩!$C$27</definedName>
    <definedName name="通算放銃点" localSheetId="13">小林郁斗!$C$27</definedName>
    <definedName name="通算放銃点" localSheetId="4">松澤亮太!$C$27</definedName>
    <definedName name="通算放銃点" localSheetId="3">全体!$C$27</definedName>
    <definedName name="通算放銃点" localSheetId="6">大池陸斗!$C$27</definedName>
    <definedName name="通算放銃点" localSheetId="5">滝沢悠人!$C$27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14">木角有希!$C$27</definedName>
    <definedName name="通算放銃点" localSheetId="12">矢ヶ崎健!$C$27</definedName>
    <definedName name="通算放銃点">Template!$C$27</definedName>
    <definedName name="通算門前アガリ点" localSheetId="9">依田幸憲!$C$25</definedName>
    <definedName name="通算門前アガリ点" localSheetId="11">高野源太!$C$25</definedName>
    <definedName name="通算門前アガリ点" localSheetId="8">佐藤成浩!$C$25</definedName>
    <definedName name="通算門前アガリ点" localSheetId="13">小林郁斗!$C$25</definedName>
    <definedName name="通算門前アガリ点" localSheetId="4">松澤亮太!$C$25</definedName>
    <definedName name="通算門前アガリ点" localSheetId="3">全体!$C$25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14">木角有希!$C$25</definedName>
    <definedName name="通算門前アガリ点" localSheetId="12">矢ヶ崎健!$C$25</definedName>
    <definedName name="通算門前アガリ点">Template!$C$25</definedName>
    <definedName name="二位数" localSheetId="9">依田幸憲!$B$8</definedName>
    <definedName name="二位数" localSheetId="11">高野源太!$B$8</definedName>
    <definedName name="二位数" localSheetId="8">佐藤成浩!$B$8</definedName>
    <definedName name="二位数" localSheetId="13">小林郁斗!$B$8</definedName>
    <definedName name="二位数" localSheetId="4">松澤亮太!$B$8</definedName>
    <definedName name="二位数" localSheetId="3">全体!$B$8</definedName>
    <definedName name="二位数" localSheetId="6">大池陸斗!$B$8</definedName>
    <definedName name="二位数" localSheetId="5">滝沢悠人!$B$8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14">木角有希!$B$8</definedName>
    <definedName name="二位数" localSheetId="12">矢ヶ崎健!$B$8</definedName>
    <definedName name="二位数">Template!$B$8</definedName>
    <definedName name="二位率" localSheetId="9">依田幸憲!$C$8</definedName>
    <definedName name="二位率" localSheetId="11">高野源太!$C$8</definedName>
    <definedName name="二位率" localSheetId="8">佐藤成浩!$C$8</definedName>
    <definedName name="二位率" localSheetId="13">小林郁斗!$C$8</definedName>
    <definedName name="二位率" localSheetId="4">松澤亮太!$C$8</definedName>
    <definedName name="二位率" localSheetId="3">全体!$C$8</definedName>
    <definedName name="二位率" localSheetId="6">大池陸斗!$C$8</definedName>
    <definedName name="二位率" localSheetId="5">滝沢悠人!$C$8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14">木角有希!$C$8</definedName>
    <definedName name="二位率" localSheetId="12">矢ヶ崎健!$C$8</definedName>
    <definedName name="二位率">Template!$C$8</definedName>
    <definedName name="副露アガリ数" localSheetId="9">依田幸憲!$B$22</definedName>
    <definedName name="副露アガリ数" localSheetId="11">高野源太!$B$22</definedName>
    <definedName name="副露アガリ数" localSheetId="8">佐藤成浩!$B$22</definedName>
    <definedName name="副露アガリ数" localSheetId="13">小林郁斗!$B$22</definedName>
    <definedName name="副露アガリ数" localSheetId="4">松澤亮太!$B$22</definedName>
    <definedName name="副露アガリ数" localSheetId="3">全体!$B$22</definedName>
    <definedName name="副露アガリ数" localSheetId="6">大池陸斗!$B$22</definedName>
    <definedName name="副露アガリ数" localSheetId="5">滝沢悠人!$B$22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14">木角有希!$B$22</definedName>
    <definedName name="副露アガリ数" localSheetId="12">矢ヶ崎健!$B$22</definedName>
    <definedName name="副露アガリ数">Template!$B$22</definedName>
    <definedName name="副露アガリ点" localSheetId="9">依田幸憲!$B$26</definedName>
    <definedName name="副露アガリ点" localSheetId="11">高野源太!$B$26</definedName>
    <definedName name="副露アガリ点" localSheetId="8">佐藤成浩!$B$26</definedName>
    <definedName name="副露アガリ点" localSheetId="13">小林郁斗!$B$26</definedName>
    <definedName name="副露アガリ点" localSheetId="4">松澤亮太!$B$26</definedName>
    <definedName name="副露アガリ点" localSheetId="3">全体!$B$26</definedName>
    <definedName name="副露アガリ点" localSheetId="6">大池陸斗!$B$26</definedName>
    <definedName name="副露アガリ点" localSheetId="5">滝沢悠人!$B$26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14">木角有希!$B$26</definedName>
    <definedName name="副露アガリ点" localSheetId="12">矢ヶ崎健!$B$26</definedName>
    <definedName name="副露アガリ点">Template!$B$26</definedName>
    <definedName name="副露アガリ率" localSheetId="9">依田幸憲!$C$22</definedName>
    <definedName name="副露アガリ率" localSheetId="11">高野源太!$C$22</definedName>
    <definedName name="副露アガリ率" localSheetId="8">佐藤成浩!$C$22</definedName>
    <definedName name="副露アガリ率" localSheetId="13">小林郁斗!$C$22</definedName>
    <definedName name="副露アガリ率" localSheetId="4">松澤亮太!$C$22</definedName>
    <definedName name="副露アガリ率" localSheetId="3">全体!$C$22</definedName>
    <definedName name="副露アガリ率" localSheetId="6">大池陸斗!$C$22</definedName>
    <definedName name="副露アガリ率" localSheetId="5">滝沢悠人!$C$22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14">木角有希!$C$22</definedName>
    <definedName name="副露アガリ率" localSheetId="12">矢ヶ崎健!$C$22</definedName>
    <definedName name="副露アガリ率">Template!$C$22</definedName>
    <definedName name="副露数" localSheetId="9">依田幸憲!$B$14</definedName>
    <definedName name="副露数" localSheetId="11">高野源太!$B$14</definedName>
    <definedName name="副露数" localSheetId="8">佐藤成浩!$B$14</definedName>
    <definedName name="副露数" localSheetId="13">小林郁斗!$B$14</definedName>
    <definedName name="副露数" localSheetId="4">松澤亮太!$B$14</definedName>
    <definedName name="副露数" localSheetId="3">全体!$B$14</definedName>
    <definedName name="副露数" localSheetId="6">大池陸斗!$B$14</definedName>
    <definedName name="副露数" localSheetId="5">滝沢悠人!$B$14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14">木角有希!$B$14</definedName>
    <definedName name="副露数" localSheetId="12">矢ヶ崎健!$B$14</definedName>
    <definedName name="副露数">Template!$B$14</definedName>
    <definedName name="副露成功数" localSheetId="9">依田幸憲!$B$16</definedName>
    <definedName name="副露成功数" localSheetId="11">高野源太!$B$16</definedName>
    <definedName name="副露成功数" localSheetId="8">佐藤成浩!$B$16</definedName>
    <definedName name="副露成功数" localSheetId="13">小林郁斗!$B$16</definedName>
    <definedName name="副露成功数" localSheetId="4">松澤亮太!$B$16</definedName>
    <definedName name="副露成功数" localSheetId="3">全体!$B$16</definedName>
    <definedName name="副露成功数" localSheetId="6">大池陸斗!$B$16</definedName>
    <definedName name="副露成功数" localSheetId="5">滝沢悠人!$B$16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14">木角有希!$B$16</definedName>
    <definedName name="副露成功数" localSheetId="12">矢ヶ崎健!$B$16</definedName>
    <definedName name="副露成功数">Template!$B$16</definedName>
    <definedName name="副露成功率" localSheetId="9">依田幸憲!$C$16</definedName>
    <definedName name="副露成功率" localSheetId="11">高野源太!$C$16</definedName>
    <definedName name="副露成功率" localSheetId="8">佐藤成浩!$C$16</definedName>
    <definedName name="副露成功率" localSheetId="13">小林郁斗!$C$16</definedName>
    <definedName name="副露成功率" localSheetId="4">松澤亮太!$C$16</definedName>
    <definedName name="副露成功率" localSheetId="3">全体!$C$16</definedName>
    <definedName name="副露成功率" localSheetId="6">大池陸斗!$C$16</definedName>
    <definedName name="副露成功率" localSheetId="5">滝沢悠人!$C$16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14">木角有希!$C$16</definedName>
    <definedName name="副露成功率" localSheetId="12">矢ヶ崎健!$C$16</definedName>
    <definedName name="副露成功率">Template!$C$16</definedName>
    <definedName name="副露率" localSheetId="9">依田幸憲!$C$14</definedName>
    <definedName name="副露率" localSheetId="11">高野源太!$C$14</definedName>
    <definedName name="副露率" localSheetId="8">佐藤成浩!$C$14</definedName>
    <definedName name="副露率" localSheetId="13">小林郁斗!$C$14</definedName>
    <definedName name="副露率" localSheetId="4">松澤亮太!$C$14</definedName>
    <definedName name="副露率" localSheetId="3">全体!$C$14</definedName>
    <definedName name="副露率" localSheetId="6">大池陸斗!$C$14</definedName>
    <definedName name="副露率" localSheetId="5">滝沢悠人!$C$14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14">木角有希!$C$14</definedName>
    <definedName name="副露率" localSheetId="12">矢ヶ崎健!$C$14</definedName>
    <definedName name="副露率">Template!$C$14</definedName>
    <definedName name="平均アガリ点" localSheetId="9">依田幸憲!$B$24</definedName>
    <definedName name="平均アガリ点" localSheetId="11">高野源太!$B$24</definedName>
    <definedName name="平均アガリ点" localSheetId="8">佐藤成浩!$B$24</definedName>
    <definedName name="平均アガリ点" localSheetId="13">小林郁斗!$B$24</definedName>
    <definedName name="平均アガリ点" localSheetId="4">松澤亮太!$B$24</definedName>
    <definedName name="平均アガリ点" localSheetId="3">全体!$B$24</definedName>
    <definedName name="平均アガリ点" localSheetId="6">大池陸斗!$B$24</definedName>
    <definedName name="平均アガリ点" localSheetId="5">滝沢悠人!$B$24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14">木角有希!$B$24</definedName>
    <definedName name="平均アガリ点" localSheetId="12">矢ヶ崎健!$B$24</definedName>
    <definedName name="平均アガリ点">Template!$B$24</definedName>
    <definedName name="平均スコア" localSheetId="9">依田幸憲!$B$5</definedName>
    <definedName name="平均スコア" localSheetId="11">高野源太!$B$5</definedName>
    <definedName name="平均スコア" localSheetId="8">佐藤成浩!$B$5</definedName>
    <definedName name="平均スコア" localSheetId="13">小林郁斗!$B$5</definedName>
    <definedName name="平均スコア" localSheetId="4">松澤亮太!$B$5</definedName>
    <definedName name="平均スコア" localSheetId="3">全体!$B$5</definedName>
    <definedName name="平均スコア" localSheetId="6">大池陸斗!$B$5</definedName>
    <definedName name="平均スコア" localSheetId="5">滝沢悠人!$B$5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14">木角有希!$B$5</definedName>
    <definedName name="平均スコア" localSheetId="12">矢ヶ崎健!$B$5</definedName>
    <definedName name="平均スコア">Template!$B$5</definedName>
    <definedName name="平均順位" localSheetId="9">依田幸憲!$B$6</definedName>
    <definedName name="平均順位" localSheetId="11">高野源太!$B$6</definedName>
    <definedName name="平均順位" localSheetId="8">佐藤成浩!$B$6</definedName>
    <definedName name="平均順位" localSheetId="13">小林郁斗!$B$6</definedName>
    <definedName name="平均順位" localSheetId="4">松澤亮太!$B$6</definedName>
    <definedName name="平均順位" localSheetId="3">全体!$B$6</definedName>
    <definedName name="平均順位" localSheetId="6">大池陸斗!$B$6</definedName>
    <definedName name="平均順位" localSheetId="5">滝沢悠人!$B$6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14">木角有希!$B$6</definedName>
    <definedName name="平均順位" localSheetId="12">矢ヶ崎健!$B$6</definedName>
    <definedName name="平均順位">Template!$B$6</definedName>
    <definedName name="平均放銃点" localSheetId="9">依田幸憲!$B$27</definedName>
    <definedName name="平均放銃点" localSheetId="11">高野源太!$B$27</definedName>
    <definedName name="平均放銃点" localSheetId="8">佐藤成浩!$B$27</definedName>
    <definedName name="平均放銃点" localSheetId="13">小林郁斗!$B$27</definedName>
    <definedName name="平均放銃点" localSheetId="4">松澤亮太!$B$27</definedName>
    <definedName name="平均放銃点" localSheetId="3">全体!$B$27</definedName>
    <definedName name="平均放銃点" localSheetId="6">大池陸斗!$B$27</definedName>
    <definedName name="平均放銃点" localSheetId="5">滝沢悠人!$B$27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14">木角有希!$B$27</definedName>
    <definedName name="平均放銃点" localSheetId="12">矢ヶ崎健!$B$27</definedName>
    <definedName name="平均放銃点">Template!$B$27</definedName>
    <definedName name="放銃数" localSheetId="9">依田幸憲!$B$18</definedName>
    <definedName name="放銃数" localSheetId="11">高野源太!$B$18</definedName>
    <definedName name="放銃数" localSheetId="8">佐藤成浩!$B$18</definedName>
    <definedName name="放銃数" localSheetId="13">小林郁斗!$B$18</definedName>
    <definedName name="放銃数" localSheetId="4">松澤亮太!$B$18</definedName>
    <definedName name="放銃数" localSheetId="3">全体!$B$18</definedName>
    <definedName name="放銃数" localSheetId="6">大池陸斗!$B$18</definedName>
    <definedName name="放銃数" localSheetId="5">滝沢悠人!$B$18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14">木角有希!$B$18</definedName>
    <definedName name="放銃数" localSheetId="12">矢ヶ崎健!$B$18</definedName>
    <definedName name="放銃数">Template!$B$18</definedName>
    <definedName name="放銃率" localSheetId="9">依田幸憲!$C$18</definedName>
    <definedName name="放銃率" localSheetId="11">高野源太!$C$18</definedName>
    <definedName name="放銃率" localSheetId="8">佐藤成浩!$C$18</definedName>
    <definedName name="放銃率" localSheetId="13">小林郁斗!$C$18</definedName>
    <definedName name="放銃率" localSheetId="4">松澤亮太!$C$18</definedName>
    <definedName name="放銃率" localSheetId="3">全体!$C$18</definedName>
    <definedName name="放銃率" localSheetId="6">大池陸斗!$C$18</definedName>
    <definedName name="放銃率" localSheetId="5">滝沢悠人!$C$18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14">木角有希!$C$18</definedName>
    <definedName name="放銃率" localSheetId="12">矢ヶ崎健!$C$18</definedName>
    <definedName name="放銃率">Template!$C$18</definedName>
    <definedName name="名前" localSheetId="9">依田幸憲!$B$1</definedName>
    <definedName name="名前" localSheetId="11">高野源太!$B$1</definedName>
    <definedName name="名前" localSheetId="8">佐藤成浩!$B$1</definedName>
    <definedName name="名前" localSheetId="13">小林郁斗!$B$1</definedName>
    <definedName name="名前" localSheetId="4">松澤亮太!$B$1</definedName>
    <definedName name="名前" localSheetId="3">全体!$B$1</definedName>
    <definedName name="名前" localSheetId="6">大池陸斗!$B$1</definedName>
    <definedName name="名前" localSheetId="5">滝沢悠人!$B$1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14">木角有希!$B$1</definedName>
    <definedName name="名前" localSheetId="12">矢ヶ崎健!$B$1</definedName>
    <definedName name="名前">Template!$B$1</definedName>
    <definedName name="門前アガリ点" localSheetId="9">依田幸憲!$B$25</definedName>
    <definedName name="門前アガリ点" localSheetId="11">高野源太!$B$25</definedName>
    <definedName name="門前アガリ点" localSheetId="8">佐藤成浩!$B$25</definedName>
    <definedName name="門前アガリ点" localSheetId="13">小林郁斗!$B$25</definedName>
    <definedName name="門前アガリ点" localSheetId="4">松澤亮太!$B$25</definedName>
    <definedName name="門前アガリ点" localSheetId="3">全体!$B$25</definedName>
    <definedName name="門前アガリ点" localSheetId="6">大池陸斗!$B$25</definedName>
    <definedName name="門前アガリ点" localSheetId="5">滝沢悠人!$B$25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14">木角有希!$B$25</definedName>
    <definedName name="門前アガリ点" localSheetId="12">矢ヶ崎健!$B$25</definedName>
    <definedName name="門前アガリ点">Template!$B$25</definedName>
    <definedName name="連続アガリ" localSheetId="9">依田幸憲!$B$28</definedName>
    <definedName name="連続アガリ" localSheetId="11">高野源太!$B$28</definedName>
    <definedName name="連続アガリ" localSheetId="8">佐藤成浩!$B$28</definedName>
    <definedName name="連続アガリ" localSheetId="13">小林郁斗!$B$28</definedName>
    <definedName name="連続アガリ" localSheetId="4">松澤亮太!$B$28</definedName>
    <definedName name="連続アガリ" localSheetId="3">全体!$B$28</definedName>
    <definedName name="連続アガリ" localSheetId="6">大池陸斗!$B$28</definedName>
    <definedName name="連続アガリ" localSheetId="5">滝沢悠人!$B$28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14">木角有希!$B$28</definedName>
    <definedName name="連続アガリ" localSheetId="12">矢ヶ崎健!$B$28</definedName>
    <definedName name="連続アガリ">Template!$B$28</definedName>
    <definedName name="連続無放銃" localSheetId="9">依田幸憲!$B$29</definedName>
    <definedName name="連続無放銃" localSheetId="11">高野源太!$B$29</definedName>
    <definedName name="連続無放銃" localSheetId="8">佐藤成浩!$B$29</definedName>
    <definedName name="連続無放銃" localSheetId="13">小林郁斗!$B$29</definedName>
    <definedName name="連続無放銃" localSheetId="4">松澤亮太!$B$29</definedName>
    <definedName name="連続無放銃" localSheetId="3">全体!$B$29</definedName>
    <definedName name="連続無放銃" localSheetId="6">大池陸斗!$B$29</definedName>
    <definedName name="連続無放銃" localSheetId="5">滝沢悠人!$B$29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14">木角有希!$B$29</definedName>
    <definedName name="連続無放銃" localSheetId="12">矢ヶ崎健!$B$29</definedName>
    <definedName name="連続無放銃">Template!$B$29</definedName>
    <definedName name="連対数" localSheetId="9">依田幸憲!$B$11</definedName>
    <definedName name="連対数" localSheetId="11">高野源太!$B$11</definedName>
    <definedName name="連対数" localSheetId="8">佐藤成浩!$B$11</definedName>
    <definedName name="連対数" localSheetId="13">小林郁斗!$B$11</definedName>
    <definedName name="連対数" localSheetId="4">松澤亮太!$B$11</definedName>
    <definedName name="連対数" localSheetId="3">全体!$B$11</definedName>
    <definedName name="連対数" localSheetId="6">大池陸斗!$B$11</definedName>
    <definedName name="連対数" localSheetId="5">滝沢悠人!$B$11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14">木角有希!$B$11</definedName>
    <definedName name="連対数" localSheetId="12">矢ヶ崎健!$B$11</definedName>
    <definedName name="連対数">Template!$B$11</definedName>
    <definedName name="連対率" localSheetId="9">依田幸憲!$C$11</definedName>
    <definedName name="連対率" localSheetId="11">高野源太!$C$11</definedName>
    <definedName name="連対率" localSheetId="8">佐藤成浩!$C$11</definedName>
    <definedName name="連対率" localSheetId="13">小林郁斗!$C$11</definedName>
    <definedName name="連対率" localSheetId="4">松澤亮太!$C$11</definedName>
    <definedName name="連対率" localSheetId="3">全体!$C$11</definedName>
    <definedName name="連対率" localSheetId="6">大池陸斗!$C$11</definedName>
    <definedName name="連対率" localSheetId="5">滝沢悠人!$C$11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14">木角有希!$C$11</definedName>
    <definedName name="連対率" localSheetId="12">矢ヶ崎健!$C$11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25" i="6091" l="1"/>
  <c r="O22" i="6091"/>
  <c r="O19" i="6095"/>
  <c r="O18" i="6095"/>
  <c r="O20" i="6095"/>
  <c r="C32" i="6095"/>
  <c r="B27" i="6095"/>
  <c r="B26" i="6095"/>
  <c r="C18" i="6095"/>
  <c r="B17" i="6095"/>
  <c r="C47" i="6095" s="1"/>
  <c r="C16" i="6095"/>
  <c r="B16" i="6095"/>
  <c r="O15" i="6095"/>
  <c r="B15" i="6095"/>
  <c r="C15" i="6095" s="1"/>
  <c r="O14" i="6095"/>
  <c r="C14" i="6095"/>
  <c r="O13" i="6095"/>
  <c r="C13" i="6095"/>
  <c r="O12" i="6095"/>
  <c r="C12" i="6095"/>
  <c r="C11" i="6095"/>
  <c r="B11" i="6095"/>
  <c r="C10" i="6095"/>
  <c r="O9" i="6095"/>
  <c r="C9" i="6095"/>
  <c r="O8" i="6095"/>
  <c r="C8" i="6095"/>
  <c r="O7" i="6095"/>
  <c r="C7" i="6095"/>
  <c r="O6" i="6095"/>
  <c r="B6" i="6095"/>
  <c r="O5" i="6095"/>
  <c r="B5" i="6095"/>
  <c r="O4" i="6095"/>
  <c r="O3" i="6095"/>
  <c r="O2" i="6095"/>
  <c r="O19" i="6092"/>
  <c r="O22" i="6092"/>
  <c r="O18" i="6083"/>
  <c r="O19" i="6094"/>
  <c r="O20" i="6094"/>
  <c r="O18" i="6094"/>
  <c r="C47" i="6094"/>
  <c r="C46" i="6094"/>
  <c r="C45" i="6094"/>
  <c r="H44" i="6094"/>
  <c r="C44" i="6094"/>
  <c r="C43" i="6094"/>
  <c r="H42" i="6094"/>
  <c r="C42" i="6094"/>
  <c r="C41" i="6094"/>
  <c r="H40" i="6094"/>
  <c r="C40" i="6094"/>
  <c r="C39" i="6094"/>
  <c r="H38" i="6094"/>
  <c r="C38" i="6094"/>
  <c r="C37" i="6094"/>
  <c r="H36" i="6094"/>
  <c r="C36" i="6094"/>
  <c r="C35" i="6094"/>
  <c r="H34" i="6094"/>
  <c r="H33" i="6094"/>
  <c r="C32" i="6094"/>
  <c r="H31" i="6094"/>
  <c r="H30" i="6094"/>
  <c r="H28" i="6094"/>
  <c r="H27" i="6094"/>
  <c r="B27" i="6094"/>
  <c r="H25" i="6094"/>
  <c r="B24" i="6094"/>
  <c r="H23" i="6094"/>
  <c r="C23" i="6094"/>
  <c r="C22" i="6094"/>
  <c r="H21" i="6094"/>
  <c r="C21" i="6094"/>
  <c r="C20" i="6094"/>
  <c r="H19" i="6094"/>
  <c r="C19" i="6094"/>
  <c r="C18" i="6094"/>
  <c r="H17" i="6094"/>
  <c r="C17" i="6094"/>
  <c r="B17" i="6094"/>
  <c r="H45" i="6094" s="1"/>
  <c r="H16" i="6094"/>
  <c r="C16" i="6094"/>
  <c r="B16" i="6094"/>
  <c r="B26" i="6094" s="1"/>
  <c r="O15" i="6094"/>
  <c r="H15" i="6094"/>
  <c r="C15" i="6094"/>
  <c r="B15" i="6094"/>
  <c r="O14" i="6094"/>
  <c r="H14" i="6094"/>
  <c r="C14" i="6094"/>
  <c r="O13" i="6094"/>
  <c r="H13" i="6094"/>
  <c r="C13" i="6094"/>
  <c r="O12" i="6094"/>
  <c r="H12" i="6094"/>
  <c r="C12" i="6094"/>
  <c r="H11" i="6094"/>
  <c r="C11" i="6094"/>
  <c r="B11" i="6094"/>
  <c r="H10" i="6094"/>
  <c r="C10" i="6094"/>
  <c r="O9" i="6094"/>
  <c r="H9" i="6094"/>
  <c r="C9" i="6094"/>
  <c r="O8" i="6094"/>
  <c r="H8" i="6094"/>
  <c r="C8" i="6094"/>
  <c r="O7" i="6094"/>
  <c r="H7" i="6094"/>
  <c r="C7" i="6094"/>
  <c r="O6" i="6094"/>
  <c r="H6" i="6094"/>
  <c r="B6" i="6094"/>
  <c r="O5" i="6094"/>
  <c r="H5" i="6094"/>
  <c r="B5" i="6094"/>
  <c r="O4" i="6094"/>
  <c r="H4" i="6094"/>
  <c r="O3" i="6094"/>
  <c r="H3" i="6094"/>
  <c r="O2" i="6094"/>
  <c r="H2" i="6094"/>
  <c r="O29" i="6083"/>
  <c r="O21" i="6089"/>
  <c r="O18" i="6089"/>
  <c r="O18" i="6086"/>
  <c r="O19" i="6086"/>
  <c r="O20" i="6086"/>
  <c r="O21" i="6093"/>
  <c r="O22" i="6093"/>
  <c r="O24" i="6088"/>
  <c r="O21" i="6084"/>
  <c r="O23" i="6084"/>
  <c r="O23" i="6085"/>
  <c r="O24" i="6085"/>
  <c r="O21" i="6088"/>
  <c r="O19" i="6088"/>
  <c r="O18" i="6088"/>
  <c r="O25" i="6083"/>
  <c r="O19" i="6093"/>
  <c r="O18" i="6093"/>
  <c r="O20" i="6093"/>
  <c r="C32" i="6093"/>
  <c r="B27" i="6093"/>
  <c r="C18" i="6093"/>
  <c r="B17" i="6093"/>
  <c r="C47" i="6093" s="1"/>
  <c r="B16" i="6093"/>
  <c r="C16" i="6093" s="1"/>
  <c r="O15" i="6093"/>
  <c r="B15" i="6093"/>
  <c r="C15" i="6093" s="1"/>
  <c r="O14" i="6093"/>
  <c r="C14" i="6093"/>
  <c r="O13" i="6093"/>
  <c r="C13" i="6093"/>
  <c r="O12" i="6093"/>
  <c r="C12" i="6093"/>
  <c r="B11" i="6093"/>
  <c r="C11" i="6093" s="1"/>
  <c r="C10" i="6093"/>
  <c r="O9" i="6093"/>
  <c r="C9" i="6093"/>
  <c r="O8" i="6093"/>
  <c r="C8" i="6093"/>
  <c r="O7" i="6093"/>
  <c r="H6" i="6093"/>
  <c r="C7" i="6093"/>
  <c r="O6" i="6093"/>
  <c r="B6" i="6093"/>
  <c r="O5" i="6093"/>
  <c r="B5" i="6093"/>
  <c r="O4" i="6093"/>
  <c r="O3" i="6093"/>
  <c r="O2" i="6093"/>
  <c r="O22" i="6085"/>
  <c r="O21" i="6085"/>
  <c r="O24" i="6091"/>
  <c r="O19" i="6091"/>
  <c r="O21" i="6091"/>
  <c r="O18" i="6092"/>
  <c r="O20" i="6092"/>
  <c r="O21" i="6092"/>
  <c r="C32" i="6092"/>
  <c r="B27" i="6092"/>
  <c r="C19" i="6092"/>
  <c r="C18" i="6092"/>
  <c r="B17" i="6092"/>
  <c r="C47" i="6092" s="1"/>
  <c r="H17" i="6092"/>
  <c r="C16" i="6092"/>
  <c r="B16" i="6092"/>
  <c r="O15" i="6092"/>
  <c r="H16" i="6092"/>
  <c r="B15" i="6092"/>
  <c r="C15" i="6092" s="1"/>
  <c r="O14" i="6092"/>
  <c r="H15" i="6092"/>
  <c r="C14" i="6092"/>
  <c r="O13" i="6092"/>
  <c r="C13" i="6092"/>
  <c r="O12" i="6092"/>
  <c r="H13" i="6092"/>
  <c r="C12" i="6092"/>
  <c r="H12" i="6092"/>
  <c r="B11" i="6092"/>
  <c r="C11" i="6092" s="1"/>
  <c r="H8" i="6092"/>
  <c r="C10" i="6092"/>
  <c r="O9" i="6092"/>
  <c r="H11" i="6092"/>
  <c r="C9" i="6092"/>
  <c r="O8" i="6092"/>
  <c r="H10" i="6092"/>
  <c r="C8" i="6092"/>
  <c r="O7" i="6092"/>
  <c r="C7" i="6092"/>
  <c r="O6" i="6092"/>
  <c r="H6" i="6092"/>
  <c r="B6" i="6092"/>
  <c r="O5" i="6092"/>
  <c r="H5" i="6092"/>
  <c r="B5" i="6092"/>
  <c r="O4" i="6092"/>
  <c r="H2" i="6092"/>
  <c r="O3" i="6092"/>
  <c r="H4" i="6092"/>
  <c r="O2" i="6092"/>
  <c r="H3" i="6092"/>
  <c r="O24" i="6084"/>
  <c r="O22" i="6084"/>
  <c r="O24" i="6083"/>
  <c r="H4" i="6095" l="1"/>
  <c r="H2" i="6095"/>
  <c r="H14" i="6095"/>
  <c r="C20" i="6095"/>
  <c r="H31" i="6095"/>
  <c r="C36" i="6095"/>
  <c r="H9" i="6095"/>
  <c r="H12" i="6095"/>
  <c r="H15" i="6095"/>
  <c r="H16" i="6095"/>
  <c r="H17" i="6095"/>
  <c r="C19" i="6095"/>
  <c r="C23" i="6095"/>
  <c r="H29" i="6095"/>
  <c r="C35" i="6095"/>
  <c r="C39" i="6095"/>
  <c r="C43" i="6095"/>
  <c r="C44" i="6095"/>
  <c r="H5" i="6095"/>
  <c r="H13" i="6095"/>
  <c r="B25" i="6095"/>
  <c r="C17" i="6095"/>
  <c r="C21" i="6095"/>
  <c r="C37" i="6095"/>
  <c r="C41" i="6095"/>
  <c r="C45" i="6095"/>
  <c r="H8" i="6095"/>
  <c r="B24" i="6095"/>
  <c r="C40" i="6095"/>
  <c r="H11" i="6095"/>
  <c r="H3" i="6095"/>
  <c r="H7" i="6095"/>
  <c r="H10" i="6095"/>
  <c r="C22" i="6095"/>
  <c r="H34" i="6095"/>
  <c r="C38" i="6095"/>
  <c r="C42" i="6095"/>
  <c r="C46" i="6095"/>
  <c r="H19" i="6095"/>
  <c r="H21" i="6095"/>
  <c r="H23" i="6095"/>
  <c r="H25" i="6095"/>
  <c r="H27" i="6095"/>
  <c r="H30" i="6095"/>
  <c r="H33" i="6095"/>
  <c r="H36" i="6095"/>
  <c r="H38" i="6095"/>
  <c r="H40" i="6095"/>
  <c r="H42" i="6095"/>
  <c r="H44" i="6095"/>
  <c r="H6" i="6095"/>
  <c r="H18" i="6095"/>
  <c r="H20" i="6095"/>
  <c r="H22" i="6095"/>
  <c r="H24" i="6095"/>
  <c r="H26" i="6095"/>
  <c r="H28" i="6095"/>
  <c r="H32" i="6095"/>
  <c r="H35" i="6095"/>
  <c r="H37" i="6095"/>
  <c r="H39" i="6095"/>
  <c r="H41" i="6095"/>
  <c r="H43" i="6095"/>
  <c r="H45" i="6095"/>
  <c r="C40" i="6092"/>
  <c r="C23" i="6092"/>
  <c r="H7" i="6092"/>
  <c r="H14" i="6092"/>
  <c r="B25" i="6092"/>
  <c r="C17" i="6092"/>
  <c r="B25" i="6094"/>
  <c r="H18" i="6094"/>
  <c r="H20" i="6094"/>
  <c r="H22" i="6094"/>
  <c r="H24" i="6094"/>
  <c r="H26" i="6094"/>
  <c r="H29" i="6094"/>
  <c r="H32" i="6094"/>
  <c r="H35" i="6094"/>
  <c r="H37" i="6094"/>
  <c r="H39" i="6094"/>
  <c r="H41" i="6094"/>
  <c r="H43" i="6094"/>
  <c r="H13" i="6093"/>
  <c r="H5" i="6093"/>
  <c r="H11" i="6093"/>
  <c r="H16" i="6093"/>
  <c r="B26" i="6093"/>
  <c r="C20" i="6093"/>
  <c r="H8" i="6093"/>
  <c r="H15" i="6093"/>
  <c r="B25" i="6093"/>
  <c r="C17" i="6093"/>
  <c r="C21" i="6093"/>
  <c r="H4" i="6093"/>
  <c r="H7" i="6093"/>
  <c r="H14" i="6093"/>
  <c r="H19" i="6093"/>
  <c r="C22" i="6093"/>
  <c r="H2" i="6093"/>
  <c r="H3" i="6093"/>
  <c r="H12" i="6093"/>
  <c r="H17" i="6093"/>
  <c r="H18" i="6093"/>
  <c r="B24" i="6093"/>
  <c r="C37" i="6093"/>
  <c r="C41" i="6093"/>
  <c r="H21" i="6093"/>
  <c r="C23" i="6093"/>
  <c r="H29" i="6093"/>
  <c r="C45" i="6093"/>
  <c r="C39" i="6093"/>
  <c r="C19" i="6093"/>
  <c r="H22" i="6093"/>
  <c r="C35" i="6093"/>
  <c r="C43" i="6093"/>
  <c r="H20" i="6093"/>
  <c r="H9" i="6093"/>
  <c r="H23" i="6093"/>
  <c r="H25" i="6093"/>
  <c r="H27" i="6093"/>
  <c r="H30" i="6093"/>
  <c r="H33" i="6093"/>
  <c r="H36" i="6093"/>
  <c r="H38" i="6093"/>
  <c r="H40" i="6093"/>
  <c r="H42" i="6093"/>
  <c r="H44" i="6093"/>
  <c r="H10" i="6093"/>
  <c r="H31" i="6093"/>
  <c r="H34" i="6093"/>
  <c r="C36" i="6093"/>
  <c r="C38" i="6093"/>
  <c r="C40" i="6093"/>
  <c r="C42" i="6093"/>
  <c r="C44" i="6093"/>
  <c r="C46" i="6093"/>
  <c r="H24" i="6093"/>
  <c r="H26" i="6093"/>
  <c r="H28" i="6093"/>
  <c r="H32" i="6093"/>
  <c r="H35" i="6093"/>
  <c r="H37" i="6093"/>
  <c r="H39" i="6093"/>
  <c r="H41" i="6093"/>
  <c r="H43" i="6093"/>
  <c r="H45" i="6093"/>
  <c r="C35" i="6092"/>
  <c r="H29" i="6092"/>
  <c r="C36" i="6092"/>
  <c r="C22" i="6092"/>
  <c r="H31" i="6092"/>
  <c r="C39" i="6092"/>
  <c r="C43" i="6092"/>
  <c r="C44" i="6092"/>
  <c r="C20" i="6092"/>
  <c r="B24" i="6092"/>
  <c r="C37" i="6092"/>
  <c r="C41" i="6092"/>
  <c r="C45" i="6092"/>
  <c r="C21" i="6092"/>
  <c r="H34" i="6092"/>
  <c r="C38" i="6092"/>
  <c r="C42" i="6092"/>
  <c r="C46" i="6092"/>
  <c r="B26" i="6092"/>
  <c r="H19" i="6092"/>
  <c r="H21" i="6092"/>
  <c r="H23" i="6092"/>
  <c r="H25" i="6092"/>
  <c r="H27" i="6092"/>
  <c r="H30" i="6092"/>
  <c r="H33" i="6092"/>
  <c r="H36" i="6092"/>
  <c r="H38" i="6092"/>
  <c r="H40" i="6092"/>
  <c r="H42" i="6092"/>
  <c r="H44" i="6092"/>
  <c r="H9" i="6092"/>
  <c r="H18" i="6092"/>
  <c r="H20" i="6092"/>
  <c r="H22" i="6092"/>
  <c r="H24" i="6092"/>
  <c r="H26" i="6092"/>
  <c r="H28" i="6092"/>
  <c r="H32" i="6092"/>
  <c r="H35" i="6092"/>
  <c r="H37" i="6092"/>
  <c r="H39" i="6092"/>
  <c r="H41" i="6092"/>
  <c r="H43" i="6092"/>
  <c r="H45" i="6092"/>
  <c r="O23" i="6091" l="1"/>
  <c r="O18" i="6091"/>
  <c r="O20" i="6091"/>
  <c r="C32" i="6091"/>
  <c r="B27" i="6091"/>
  <c r="C18" i="6091"/>
  <c r="B17" i="6091"/>
  <c r="C46" i="6091" s="1"/>
  <c r="C16" i="6091"/>
  <c r="B16" i="6091"/>
  <c r="B26" i="6091" s="1"/>
  <c r="O15" i="6091"/>
  <c r="B15" i="6091"/>
  <c r="C15" i="6091" s="1"/>
  <c r="O14" i="6091"/>
  <c r="C14" i="6091"/>
  <c r="O13" i="6091"/>
  <c r="C13" i="6091"/>
  <c r="O12" i="6091"/>
  <c r="C12" i="6091"/>
  <c r="B11" i="6091"/>
  <c r="C11" i="6091" s="1"/>
  <c r="C10" i="6091"/>
  <c r="O9" i="6091"/>
  <c r="C9" i="6091"/>
  <c r="O8" i="6091"/>
  <c r="C8" i="6091"/>
  <c r="O7" i="6091"/>
  <c r="C7" i="6091"/>
  <c r="O6" i="6091"/>
  <c r="B6" i="6091"/>
  <c r="O5" i="6091"/>
  <c r="B5" i="6091"/>
  <c r="O4" i="6091"/>
  <c r="O3" i="6091"/>
  <c r="O2" i="6091"/>
  <c r="O18" i="6090"/>
  <c r="O19" i="6090"/>
  <c r="O20" i="6090"/>
  <c r="C39" i="6090"/>
  <c r="C32" i="6090"/>
  <c r="B27" i="6090"/>
  <c r="B26" i="6090"/>
  <c r="C22" i="6090"/>
  <c r="C18" i="6090"/>
  <c r="B17" i="6090"/>
  <c r="C46" i="6090" s="1"/>
  <c r="H17" i="6090"/>
  <c r="C16" i="6090"/>
  <c r="B16" i="6090"/>
  <c r="O15" i="6090"/>
  <c r="H16" i="6090"/>
  <c r="C15" i="6090"/>
  <c r="B15" i="6090"/>
  <c r="O14" i="6090"/>
  <c r="H15" i="6090"/>
  <c r="C14" i="6090"/>
  <c r="O13" i="6090"/>
  <c r="H14" i="6090"/>
  <c r="C13" i="6090"/>
  <c r="O12" i="6090"/>
  <c r="C12" i="6090"/>
  <c r="H12" i="6090"/>
  <c r="B11" i="6090"/>
  <c r="C11" i="6090" s="1"/>
  <c r="H11" i="6090"/>
  <c r="C10" i="6090"/>
  <c r="O9" i="6090"/>
  <c r="C9" i="6090"/>
  <c r="O8" i="6090"/>
  <c r="C8" i="6090"/>
  <c r="O7" i="6090"/>
  <c r="H7" i="6090"/>
  <c r="C7" i="6090"/>
  <c r="O6" i="6090"/>
  <c r="H6" i="6090"/>
  <c r="B6" i="6090"/>
  <c r="O5" i="6090"/>
  <c r="B5" i="6090"/>
  <c r="O4" i="6090"/>
  <c r="O3" i="6090"/>
  <c r="H8" i="6090"/>
  <c r="O2" i="6090"/>
  <c r="O19" i="6089"/>
  <c r="O22" i="6089"/>
  <c r="O20" i="6089"/>
  <c r="C32" i="6089"/>
  <c r="B27" i="6089"/>
  <c r="C18" i="6089"/>
  <c r="B17" i="6089"/>
  <c r="C47" i="6089" s="1"/>
  <c r="B16" i="6089"/>
  <c r="C16" i="6089" s="1"/>
  <c r="O15" i="6089"/>
  <c r="B15" i="6089"/>
  <c r="C15" i="6089" s="1"/>
  <c r="O14" i="6089"/>
  <c r="C14" i="6089"/>
  <c r="O13" i="6089"/>
  <c r="C13" i="6089"/>
  <c r="O12" i="6089"/>
  <c r="C12" i="6089"/>
  <c r="B11" i="6089"/>
  <c r="C11" i="6089" s="1"/>
  <c r="C10" i="6089"/>
  <c r="O9" i="6089"/>
  <c r="C9" i="6089"/>
  <c r="O8" i="6089"/>
  <c r="C8" i="6089"/>
  <c r="O7" i="6089"/>
  <c r="C7" i="6089"/>
  <c r="O6" i="6089"/>
  <c r="B6" i="6089"/>
  <c r="O5" i="6089"/>
  <c r="B5" i="6089"/>
  <c r="O4" i="6089"/>
  <c r="O3" i="6089"/>
  <c r="O2" i="6089"/>
  <c r="O22" i="6083"/>
  <c r="O23" i="6088"/>
  <c r="O22" i="6088"/>
  <c r="O20" i="6088"/>
  <c r="C32" i="6088"/>
  <c r="B27" i="6088"/>
  <c r="B26" i="6088"/>
  <c r="C18" i="6088"/>
  <c r="B17" i="6088"/>
  <c r="C47" i="6088" s="1"/>
  <c r="C16" i="6088"/>
  <c r="B16" i="6088"/>
  <c r="O15" i="6088"/>
  <c r="B15" i="6088"/>
  <c r="C15" i="6088" s="1"/>
  <c r="O14" i="6088"/>
  <c r="C14" i="6088"/>
  <c r="O13" i="6088"/>
  <c r="C13" i="6088"/>
  <c r="O12" i="6088"/>
  <c r="C12" i="6088"/>
  <c r="B11" i="6088"/>
  <c r="C11" i="6088" s="1"/>
  <c r="C10" i="6088"/>
  <c r="O9" i="6088"/>
  <c r="C9" i="6088"/>
  <c r="O8" i="6088"/>
  <c r="C8" i="6088"/>
  <c r="O7" i="6088"/>
  <c r="C7" i="6088"/>
  <c r="O6" i="6088"/>
  <c r="B6" i="6088"/>
  <c r="O5" i="6088"/>
  <c r="B5" i="6088"/>
  <c r="O4" i="6088"/>
  <c r="O3" i="6088"/>
  <c r="H5" i="6088"/>
  <c r="O2" i="6088"/>
  <c r="O28" i="6083"/>
  <c r="O27" i="6083"/>
  <c r="O19" i="6083"/>
  <c r="H6" i="6089" l="1"/>
  <c r="H5" i="6089"/>
  <c r="B26" i="6089"/>
  <c r="H13" i="6089"/>
  <c r="H28" i="6089"/>
  <c r="C39" i="6089"/>
  <c r="C41" i="6089"/>
  <c r="C22" i="6089"/>
  <c r="H3" i="6089"/>
  <c r="C43" i="6089"/>
  <c r="H2" i="6089"/>
  <c r="H7" i="6089"/>
  <c r="H10" i="6089"/>
  <c r="H12" i="6089"/>
  <c r="C17" i="6089"/>
  <c r="B24" i="6089"/>
  <c r="H4" i="6089"/>
  <c r="H9" i="6089"/>
  <c r="C35" i="6089"/>
  <c r="H8" i="6089"/>
  <c r="H11" i="6089"/>
  <c r="H14" i="6089"/>
  <c r="H15" i="6089"/>
  <c r="H16" i="6089"/>
  <c r="C20" i="6089"/>
  <c r="C37" i="6089"/>
  <c r="C45" i="6089"/>
  <c r="C45" i="6088"/>
  <c r="H3" i="6088"/>
  <c r="H13" i="6088"/>
  <c r="H2" i="6088"/>
  <c r="H10" i="6088"/>
  <c r="C20" i="6088"/>
  <c r="C35" i="6088"/>
  <c r="H9" i="6088"/>
  <c r="H11" i="6088"/>
  <c r="H14" i="6088"/>
  <c r="C43" i="6088"/>
  <c r="H8" i="6088"/>
  <c r="H6" i="6088"/>
  <c r="H7" i="6088"/>
  <c r="H12" i="6088"/>
  <c r="H15" i="6088"/>
  <c r="H16" i="6088"/>
  <c r="H17" i="6088"/>
  <c r="C37" i="6088"/>
  <c r="H3" i="6091"/>
  <c r="H4" i="6091"/>
  <c r="H6" i="6091"/>
  <c r="H19" i="6091"/>
  <c r="H5" i="6091"/>
  <c r="H32" i="6091"/>
  <c r="H12" i="6091"/>
  <c r="H10" i="6091"/>
  <c r="H13" i="6091"/>
  <c r="H15" i="6091"/>
  <c r="H26" i="6091"/>
  <c r="C39" i="6091"/>
  <c r="H41" i="6091"/>
  <c r="H16" i="6091"/>
  <c r="H17" i="6091"/>
  <c r="H18" i="6091"/>
  <c r="H22" i="6091"/>
  <c r="C35" i="6091"/>
  <c r="C43" i="6091"/>
  <c r="C22" i="6091"/>
  <c r="H29" i="6091"/>
  <c r="H37" i="6091"/>
  <c r="H45" i="6091"/>
  <c r="H20" i="6091"/>
  <c r="H24" i="6091"/>
  <c r="C37" i="6091"/>
  <c r="C41" i="6091"/>
  <c r="C45" i="6091"/>
  <c r="H8" i="6091"/>
  <c r="C17" i="6091"/>
  <c r="C20" i="6091"/>
  <c r="B24" i="6091"/>
  <c r="H28" i="6091"/>
  <c r="H35" i="6091"/>
  <c r="H39" i="6091"/>
  <c r="H43" i="6091"/>
  <c r="C47" i="6091"/>
  <c r="H11" i="6091"/>
  <c r="H21" i="6091"/>
  <c r="H23" i="6091"/>
  <c r="H25" i="6091"/>
  <c r="H27" i="6091"/>
  <c r="H30" i="6091"/>
  <c r="H33" i="6091"/>
  <c r="H36" i="6091"/>
  <c r="H38" i="6091"/>
  <c r="H40" i="6091"/>
  <c r="H42" i="6091"/>
  <c r="H44" i="6091"/>
  <c r="H9" i="6091"/>
  <c r="H2" i="6091"/>
  <c r="H7" i="6091"/>
  <c r="H14" i="6091"/>
  <c r="C19" i="6091"/>
  <c r="C21" i="6091"/>
  <c r="C23" i="6091"/>
  <c r="B25" i="6091"/>
  <c r="H31" i="6091"/>
  <c r="H34" i="6091"/>
  <c r="C36" i="6091"/>
  <c r="C38" i="6091"/>
  <c r="C40" i="6091"/>
  <c r="C42" i="6091"/>
  <c r="C44" i="6091"/>
  <c r="H20" i="6090"/>
  <c r="C23" i="6090"/>
  <c r="C35" i="6090"/>
  <c r="H41" i="6090"/>
  <c r="H3" i="6090"/>
  <c r="H10" i="6090"/>
  <c r="H13" i="6090"/>
  <c r="B25" i="6090"/>
  <c r="C17" i="6090"/>
  <c r="C20" i="6090"/>
  <c r="H24" i="6090"/>
  <c r="H29" i="6090"/>
  <c r="H37" i="6090"/>
  <c r="C41" i="6090"/>
  <c r="H4" i="6090"/>
  <c r="H5" i="6090"/>
  <c r="H9" i="6090"/>
  <c r="H18" i="6090"/>
  <c r="C21" i="6090"/>
  <c r="H26" i="6090"/>
  <c r="H32" i="6090"/>
  <c r="C37" i="6090"/>
  <c r="C45" i="6090"/>
  <c r="C43" i="6090"/>
  <c r="H45" i="6090"/>
  <c r="C19" i="6090"/>
  <c r="H22" i="6090"/>
  <c r="B24" i="6090"/>
  <c r="H28" i="6090"/>
  <c r="H35" i="6090"/>
  <c r="H39" i="6090"/>
  <c r="H43" i="6090"/>
  <c r="C47" i="6090"/>
  <c r="H19" i="6090"/>
  <c r="H21" i="6090"/>
  <c r="H23" i="6090"/>
  <c r="H25" i="6090"/>
  <c r="H27" i="6090"/>
  <c r="H30" i="6090"/>
  <c r="H33" i="6090"/>
  <c r="H36" i="6090"/>
  <c r="H38" i="6090"/>
  <c r="H40" i="6090"/>
  <c r="H42" i="6090"/>
  <c r="H44" i="6090"/>
  <c r="H2" i="6090"/>
  <c r="H31" i="6090"/>
  <c r="H34" i="6090"/>
  <c r="C36" i="6090"/>
  <c r="C38" i="6090"/>
  <c r="C40" i="6090"/>
  <c r="C42" i="6090"/>
  <c r="C44" i="6090"/>
  <c r="H18" i="6089"/>
  <c r="H20" i="6089"/>
  <c r="H22" i="6089"/>
  <c r="H24" i="6089"/>
  <c r="H26" i="6089"/>
  <c r="H29" i="6089"/>
  <c r="H32" i="6089"/>
  <c r="H35" i="6089"/>
  <c r="H37" i="6089"/>
  <c r="H39" i="6089"/>
  <c r="H41" i="6089"/>
  <c r="H43" i="6089"/>
  <c r="H45" i="6089"/>
  <c r="C19" i="6089"/>
  <c r="C21" i="6089"/>
  <c r="C23" i="6089"/>
  <c r="B25" i="6089"/>
  <c r="H30" i="6089"/>
  <c r="H33" i="6089"/>
  <c r="C36" i="6089"/>
  <c r="C38" i="6089"/>
  <c r="C40" i="6089"/>
  <c r="C42" i="6089"/>
  <c r="C44" i="6089"/>
  <c r="C46" i="6089"/>
  <c r="H17" i="6089"/>
  <c r="H19" i="6089"/>
  <c r="H21" i="6089"/>
  <c r="H23" i="6089"/>
  <c r="H25" i="6089"/>
  <c r="H27" i="6089"/>
  <c r="H31" i="6089"/>
  <c r="H34" i="6089"/>
  <c r="H36" i="6089"/>
  <c r="H38" i="6089"/>
  <c r="H40" i="6089"/>
  <c r="H42" i="6089"/>
  <c r="H44" i="6089"/>
  <c r="C22" i="6088"/>
  <c r="H29" i="6088"/>
  <c r="C39" i="6088"/>
  <c r="C17" i="6088"/>
  <c r="B24" i="6088"/>
  <c r="C41" i="6088"/>
  <c r="H19" i="6088"/>
  <c r="H21" i="6088"/>
  <c r="H23" i="6088"/>
  <c r="H25" i="6088"/>
  <c r="H27" i="6088"/>
  <c r="H30" i="6088"/>
  <c r="H33" i="6088"/>
  <c r="H36" i="6088"/>
  <c r="H38" i="6088"/>
  <c r="H40" i="6088"/>
  <c r="H42" i="6088"/>
  <c r="H44" i="6088"/>
  <c r="H4" i="6088"/>
  <c r="C19" i="6088"/>
  <c r="C21" i="6088"/>
  <c r="C23" i="6088"/>
  <c r="B25" i="6088"/>
  <c r="H31" i="6088"/>
  <c r="H34" i="6088"/>
  <c r="C36" i="6088"/>
  <c r="C38" i="6088"/>
  <c r="C40" i="6088"/>
  <c r="C42" i="6088"/>
  <c r="C44" i="6088"/>
  <c r="C46" i="6088"/>
  <c r="H18" i="6088"/>
  <c r="H20" i="6088"/>
  <c r="H22" i="6088"/>
  <c r="H24" i="6088"/>
  <c r="H26" i="6088"/>
  <c r="H28" i="6088"/>
  <c r="H32" i="6088"/>
  <c r="H35" i="6088"/>
  <c r="H37" i="6088"/>
  <c r="H39" i="6088"/>
  <c r="H41" i="6088"/>
  <c r="H43" i="6088"/>
  <c r="H45" i="6088"/>
  <c r="O18" i="6087" l="1"/>
  <c r="O20" i="6087"/>
  <c r="O19" i="6087"/>
  <c r="C32" i="6087"/>
  <c r="B27" i="6087"/>
  <c r="C18" i="6087"/>
  <c r="B17" i="6087"/>
  <c r="H45" i="6087" s="1"/>
  <c r="C16" i="6087"/>
  <c r="B16" i="6087"/>
  <c r="B26" i="6087" s="1"/>
  <c r="O15" i="6087"/>
  <c r="C15" i="6087"/>
  <c r="B15" i="6087"/>
  <c r="O14" i="6087"/>
  <c r="C14" i="6087"/>
  <c r="O13" i="6087"/>
  <c r="C13" i="6087"/>
  <c r="O12" i="6087"/>
  <c r="C12" i="6087"/>
  <c r="C11" i="6087"/>
  <c r="B11" i="6087"/>
  <c r="C10" i="6087"/>
  <c r="O9" i="6087"/>
  <c r="C9" i="6087"/>
  <c r="O8" i="6087"/>
  <c r="C8" i="6087"/>
  <c r="O7" i="6087"/>
  <c r="C7" i="6087"/>
  <c r="O6" i="6087"/>
  <c r="B6" i="6087"/>
  <c r="O5" i="6087"/>
  <c r="H6" i="6087"/>
  <c r="B5" i="6087"/>
  <c r="O4" i="6087"/>
  <c r="O3" i="6087"/>
  <c r="O2" i="6087"/>
  <c r="O23" i="6086"/>
  <c r="O22" i="6086"/>
  <c r="O21" i="6086"/>
  <c r="C32" i="6086"/>
  <c r="B27" i="6086"/>
  <c r="C18" i="6086"/>
  <c r="B17" i="6086"/>
  <c r="H7" i="6086" s="1"/>
  <c r="C16" i="6086"/>
  <c r="B16" i="6086"/>
  <c r="B26" i="6086" s="1"/>
  <c r="O15" i="6086"/>
  <c r="B15" i="6086"/>
  <c r="C15" i="6086" s="1"/>
  <c r="O14" i="6086"/>
  <c r="C14" i="6086"/>
  <c r="O13" i="6086"/>
  <c r="C13" i="6086"/>
  <c r="O12" i="6086"/>
  <c r="C12" i="6086"/>
  <c r="B11" i="6086"/>
  <c r="C11" i="6086" s="1"/>
  <c r="C10" i="6086"/>
  <c r="O9" i="6086"/>
  <c r="C9" i="6086"/>
  <c r="O8" i="6086"/>
  <c r="H8" i="6086"/>
  <c r="C8" i="6086"/>
  <c r="O7" i="6086"/>
  <c r="C7" i="6086"/>
  <c r="O6" i="6086"/>
  <c r="B6" i="6086"/>
  <c r="O5" i="6086"/>
  <c r="B5" i="6086"/>
  <c r="O4" i="6086"/>
  <c r="O3" i="6086"/>
  <c r="H5" i="6086"/>
  <c r="O2" i="6086"/>
  <c r="O20" i="6085"/>
  <c r="O19" i="6085"/>
  <c r="O18" i="6085"/>
  <c r="C32" i="6085"/>
  <c r="B27" i="6085"/>
  <c r="C18" i="6085"/>
  <c r="B17" i="6085"/>
  <c r="H2" i="6085" s="1"/>
  <c r="C16" i="6085"/>
  <c r="B16" i="6085"/>
  <c r="B26" i="6085" s="1"/>
  <c r="O15" i="6085"/>
  <c r="B15" i="6085"/>
  <c r="C15" i="6085" s="1"/>
  <c r="O14" i="6085"/>
  <c r="H15" i="6085"/>
  <c r="C14" i="6085"/>
  <c r="O13" i="6085"/>
  <c r="C13" i="6085"/>
  <c r="O12" i="6085"/>
  <c r="C12" i="6085"/>
  <c r="C11" i="6085"/>
  <c r="B11" i="6085"/>
  <c r="C10" i="6085"/>
  <c r="O9" i="6085"/>
  <c r="C9" i="6085"/>
  <c r="O8" i="6085"/>
  <c r="C8" i="6085"/>
  <c r="O7" i="6085"/>
  <c r="C7" i="6085"/>
  <c r="O6" i="6085"/>
  <c r="B6" i="6085"/>
  <c r="O5" i="6085"/>
  <c r="B5" i="6085"/>
  <c r="O4" i="6085"/>
  <c r="O3" i="6085"/>
  <c r="H11" i="6085"/>
  <c r="O2" i="6085"/>
  <c r="O21" i="6083"/>
  <c r="O19" i="6084"/>
  <c r="O18" i="6084"/>
  <c r="O20" i="6084"/>
  <c r="C32" i="6084"/>
  <c r="B27" i="6084"/>
  <c r="C18" i="6084"/>
  <c r="B17" i="6084"/>
  <c r="C47" i="6084" s="1"/>
  <c r="H18" i="6084"/>
  <c r="C16" i="6084"/>
  <c r="B16" i="6084"/>
  <c r="O15" i="6084"/>
  <c r="H17" i="6084"/>
  <c r="B15" i="6084"/>
  <c r="C15" i="6084" s="1"/>
  <c r="O14" i="6084"/>
  <c r="H16" i="6084"/>
  <c r="C14" i="6084"/>
  <c r="O13" i="6084"/>
  <c r="C13" i="6084"/>
  <c r="O12" i="6084"/>
  <c r="C12" i="6084"/>
  <c r="B11" i="6084"/>
  <c r="C11" i="6084" s="1"/>
  <c r="C10" i="6084"/>
  <c r="O9" i="6084"/>
  <c r="C9" i="6084"/>
  <c r="O8" i="6084"/>
  <c r="C8" i="6084"/>
  <c r="O7" i="6084"/>
  <c r="C7" i="6084"/>
  <c r="O6" i="6084"/>
  <c r="H10" i="6084"/>
  <c r="B6" i="6084"/>
  <c r="O5" i="6084"/>
  <c r="B5" i="6084"/>
  <c r="O4" i="6084"/>
  <c r="O3" i="6084"/>
  <c r="O2" i="6084"/>
  <c r="H4" i="6084"/>
  <c r="O20" i="6083"/>
  <c r="O26" i="6083"/>
  <c r="O23" i="6083"/>
  <c r="C32" i="6083"/>
  <c r="B27" i="6083"/>
  <c r="C18" i="6083"/>
  <c r="B17" i="6083"/>
  <c r="C47" i="6083" s="1"/>
  <c r="B16" i="6083"/>
  <c r="C16" i="6083" s="1"/>
  <c r="O15" i="6083"/>
  <c r="B15" i="6083"/>
  <c r="C15" i="6083" s="1"/>
  <c r="O14" i="6083"/>
  <c r="C14" i="6083"/>
  <c r="O13" i="6083"/>
  <c r="C13" i="6083"/>
  <c r="O12" i="6083"/>
  <c r="C12" i="6083"/>
  <c r="B11" i="6083"/>
  <c r="C11" i="6083" s="1"/>
  <c r="C10" i="6083"/>
  <c r="O9" i="6083"/>
  <c r="C9" i="6083"/>
  <c r="O8" i="6083"/>
  <c r="C8" i="6083"/>
  <c r="O7" i="6083"/>
  <c r="C7" i="6083"/>
  <c r="O6" i="6083"/>
  <c r="B6" i="6083"/>
  <c r="O5" i="6083"/>
  <c r="B5" i="6083"/>
  <c r="O4" i="6083"/>
  <c r="O3" i="6083"/>
  <c r="O2" i="6083"/>
  <c r="H10" i="6086" l="1"/>
  <c r="H14" i="6086"/>
  <c r="H4" i="6086"/>
  <c r="H18" i="6086"/>
  <c r="H2" i="6086"/>
  <c r="H9" i="6086"/>
  <c r="H3" i="6086"/>
  <c r="C20" i="6086"/>
  <c r="H3" i="6084"/>
  <c r="H30" i="6084"/>
  <c r="H2" i="6084"/>
  <c r="H6" i="6084"/>
  <c r="C22" i="6084"/>
  <c r="C39" i="6084"/>
  <c r="C40" i="6084"/>
  <c r="C23" i="6084"/>
  <c r="H13" i="6084"/>
  <c r="C35" i="6084"/>
  <c r="C44" i="6084"/>
  <c r="H9" i="6084"/>
  <c r="H11" i="6084"/>
  <c r="C19" i="6084"/>
  <c r="H28" i="6084"/>
  <c r="C36" i="6084"/>
  <c r="H9" i="6087"/>
  <c r="C35" i="6087"/>
  <c r="H2" i="6087"/>
  <c r="H3" i="6087"/>
  <c r="H11" i="6087"/>
  <c r="H18" i="6087"/>
  <c r="C38" i="6087"/>
  <c r="C23" i="6087"/>
  <c r="H31" i="6087"/>
  <c r="H40" i="6087"/>
  <c r="H4" i="6087"/>
  <c r="H7" i="6087"/>
  <c r="H14" i="6087"/>
  <c r="C20" i="6087"/>
  <c r="C43" i="6087"/>
  <c r="C19" i="6087"/>
  <c r="H22" i="6087"/>
  <c r="B24" i="6087"/>
  <c r="H28" i="6087"/>
  <c r="H33" i="6087"/>
  <c r="H36" i="6087"/>
  <c r="C39" i="6087"/>
  <c r="C42" i="6087"/>
  <c r="H44" i="6087"/>
  <c r="H10" i="6087"/>
  <c r="H13" i="6087"/>
  <c r="C17" i="6087"/>
  <c r="H20" i="6087"/>
  <c r="C22" i="6087"/>
  <c r="H5" i="6087"/>
  <c r="H30" i="6087"/>
  <c r="H34" i="6087"/>
  <c r="C37" i="6087"/>
  <c r="C40" i="6087"/>
  <c r="H42" i="6087"/>
  <c r="C45" i="6087"/>
  <c r="C46" i="6087"/>
  <c r="H8" i="6087"/>
  <c r="H12" i="6087"/>
  <c r="H15" i="6087"/>
  <c r="H16" i="6087"/>
  <c r="H17" i="6087"/>
  <c r="C21" i="6087"/>
  <c r="H24" i="6087"/>
  <c r="H27" i="6087"/>
  <c r="C36" i="6087"/>
  <c r="H38" i="6087"/>
  <c r="C41" i="6087"/>
  <c r="C44" i="6087"/>
  <c r="C47" i="6087"/>
  <c r="B25" i="6087"/>
  <c r="H19" i="6087"/>
  <c r="H21" i="6087"/>
  <c r="H23" i="6087"/>
  <c r="H25" i="6087"/>
  <c r="H26" i="6087"/>
  <c r="H29" i="6087"/>
  <c r="H32" i="6087"/>
  <c r="H35" i="6087"/>
  <c r="H37" i="6087"/>
  <c r="H39" i="6087"/>
  <c r="H41" i="6087"/>
  <c r="H43" i="6087"/>
  <c r="H10" i="6083"/>
  <c r="H6" i="6083"/>
  <c r="H4" i="6083"/>
  <c r="H19" i="6083"/>
  <c r="H9" i="6083"/>
  <c r="H8" i="6083"/>
  <c r="C19" i="6086"/>
  <c r="H22" i="6086"/>
  <c r="B24" i="6086"/>
  <c r="H29" i="6086"/>
  <c r="H34" i="6086"/>
  <c r="H37" i="6086"/>
  <c r="C39" i="6086"/>
  <c r="C42" i="6086"/>
  <c r="H45" i="6086"/>
  <c r="H11" i="6086"/>
  <c r="H13" i="6086"/>
  <c r="C17" i="6086"/>
  <c r="H20" i="6086"/>
  <c r="C22" i="6086"/>
  <c r="H26" i="6086"/>
  <c r="H31" i="6086"/>
  <c r="H35" i="6086"/>
  <c r="C37" i="6086"/>
  <c r="C40" i="6086"/>
  <c r="H43" i="6086"/>
  <c r="C45" i="6086"/>
  <c r="C23" i="6086"/>
  <c r="H32" i="6086"/>
  <c r="C35" i="6086"/>
  <c r="C38" i="6086"/>
  <c r="H41" i="6086"/>
  <c r="C43" i="6086"/>
  <c r="C46" i="6086"/>
  <c r="H6" i="6086"/>
  <c r="H12" i="6086"/>
  <c r="H15" i="6086"/>
  <c r="H16" i="6086"/>
  <c r="H17" i="6086"/>
  <c r="C21" i="6086"/>
  <c r="H24" i="6086"/>
  <c r="H28" i="6086"/>
  <c r="C36" i="6086"/>
  <c r="H39" i="6086"/>
  <c r="C41" i="6086"/>
  <c r="C44" i="6086"/>
  <c r="C47" i="6086"/>
  <c r="B25" i="6086"/>
  <c r="H19" i="6086"/>
  <c r="H21" i="6086"/>
  <c r="H23" i="6086"/>
  <c r="H25" i="6086"/>
  <c r="H27" i="6086"/>
  <c r="H30" i="6086"/>
  <c r="H33" i="6086"/>
  <c r="H36" i="6086"/>
  <c r="H38" i="6086"/>
  <c r="H40" i="6086"/>
  <c r="H42" i="6086"/>
  <c r="H44" i="6086"/>
  <c r="H7" i="6085"/>
  <c r="H16" i="6085"/>
  <c r="H17" i="6085"/>
  <c r="C20" i="6085"/>
  <c r="H32" i="6085"/>
  <c r="H39" i="6085"/>
  <c r="H41" i="6085"/>
  <c r="C43" i="6085"/>
  <c r="C23" i="6085"/>
  <c r="H8" i="6085"/>
  <c r="H12" i="6085"/>
  <c r="H14" i="6085"/>
  <c r="H18" i="6085"/>
  <c r="H24" i="6085"/>
  <c r="C35" i="6085"/>
  <c r="H4" i="6085"/>
  <c r="H5" i="6085"/>
  <c r="H6" i="6085"/>
  <c r="H10" i="6085"/>
  <c r="C38" i="6085"/>
  <c r="C44" i="6085"/>
  <c r="C46" i="6085"/>
  <c r="C21" i="6085"/>
  <c r="H28" i="6085"/>
  <c r="C36" i="6085"/>
  <c r="C41" i="6085"/>
  <c r="C47" i="6085"/>
  <c r="C19" i="6085"/>
  <c r="H22" i="6085"/>
  <c r="B24" i="6085"/>
  <c r="H29" i="6085"/>
  <c r="H34" i="6085"/>
  <c r="H37" i="6085"/>
  <c r="C39" i="6085"/>
  <c r="C42" i="6085"/>
  <c r="H45" i="6085"/>
  <c r="H3" i="6085"/>
  <c r="H9" i="6085"/>
  <c r="H13" i="6085"/>
  <c r="C17" i="6085"/>
  <c r="H20" i="6085"/>
  <c r="C22" i="6085"/>
  <c r="H26" i="6085"/>
  <c r="H31" i="6085"/>
  <c r="H35" i="6085"/>
  <c r="C37" i="6085"/>
  <c r="C40" i="6085"/>
  <c r="H43" i="6085"/>
  <c r="C45" i="6085"/>
  <c r="B25" i="6085"/>
  <c r="H19" i="6085"/>
  <c r="H21" i="6085"/>
  <c r="H23" i="6085"/>
  <c r="H25" i="6085"/>
  <c r="H27" i="6085"/>
  <c r="H30" i="6085"/>
  <c r="H33" i="6085"/>
  <c r="H36" i="6085"/>
  <c r="H38" i="6085"/>
  <c r="H40" i="6085"/>
  <c r="H42" i="6085"/>
  <c r="H44" i="6085"/>
  <c r="C43" i="6084"/>
  <c r="C20" i="6084"/>
  <c r="B24" i="6084"/>
  <c r="C37" i="6084"/>
  <c r="C41" i="6084"/>
  <c r="C45" i="6084"/>
  <c r="H15" i="6084"/>
  <c r="H5" i="6084"/>
  <c r="H12" i="6084"/>
  <c r="H14" i="6084"/>
  <c r="B25" i="6084"/>
  <c r="C17" i="6084"/>
  <c r="C21" i="6084"/>
  <c r="H33" i="6084"/>
  <c r="C38" i="6084"/>
  <c r="C42" i="6084"/>
  <c r="C46" i="6084"/>
  <c r="B26" i="6084"/>
  <c r="H19" i="6084"/>
  <c r="H21" i="6084"/>
  <c r="H8" i="6084"/>
  <c r="H24" i="6084"/>
  <c r="H26" i="6084"/>
  <c r="H29" i="6084"/>
  <c r="H32" i="6084"/>
  <c r="H35" i="6084"/>
  <c r="H37" i="6084"/>
  <c r="H39" i="6084"/>
  <c r="H41" i="6084"/>
  <c r="H43" i="6084"/>
  <c r="H45" i="6084"/>
  <c r="H7" i="6084"/>
  <c r="H20" i="6084"/>
  <c r="H22" i="6084"/>
  <c r="H23" i="6084"/>
  <c r="H25" i="6084"/>
  <c r="H27" i="6084"/>
  <c r="H31" i="6084"/>
  <c r="H34" i="6084"/>
  <c r="H36" i="6084"/>
  <c r="H38" i="6084"/>
  <c r="H40" i="6084"/>
  <c r="H42" i="6084"/>
  <c r="H44" i="6084"/>
  <c r="C20" i="6083"/>
  <c r="B24" i="6083"/>
  <c r="C37" i="6083"/>
  <c r="C41" i="6083"/>
  <c r="H18" i="6083"/>
  <c r="B25" i="6083"/>
  <c r="C21" i="6083"/>
  <c r="C38" i="6083"/>
  <c r="H3" i="6083"/>
  <c r="C22" i="6083"/>
  <c r="H29" i="6083"/>
  <c r="C35" i="6083"/>
  <c r="C39" i="6083"/>
  <c r="C43" i="6083"/>
  <c r="C17" i="6083"/>
  <c r="H34" i="6083"/>
  <c r="C42" i="6083"/>
  <c r="H2" i="6083"/>
  <c r="H11" i="6083"/>
  <c r="H7" i="6083"/>
  <c r="H17" i="6083"/>
  <c r="H20" i="6083"/>
  <c r="H21" i="6083"/>
  <c r="H22" i="6083"/>
  <c r="C19" i="6083"/>
  <c r="C23" i="6083"/>
  <c r="H31" i="6083"/>
  <c r="C36" i="6083"/>
  <c r="C40" i="6083"/>
  <c r="C44" i="6083"/>
  <c r="C45" i="6083"/>
  <c r="B26" i="6083"/>
  <c r="H13" i="6083"/>
  <c r="H14" i="6083"/>
  <c r="H15" i="6083"/>
  <c r="H26" i="6083"/>
  <c r="H27" i="6083"/>
  <c r="H30" i="6083"/>
  <c r="H33" i="6083"/>
  <c r="H36" i="6083"/>
  <c r="H38" i="6083"/>
  <c r="H40" i="6083"/>
  <c r="H42" i="6083"/>
  <c r="H44" i="6083"/>
  <c r="H5" i="6083"/>
  <c r="C46" i="6083"/>
  <c r="H12" i="6083"/>
  <c r="H23" i="6083"/>
  <c r="H24" i="6083"/>
  <c r="H25" i="6083"/>
  <c r="H16" i="6083"/>
  <c r="H28" i="6083"/>
  <c r="H32" i="6083"/>
  <c r="H35" i="6083"/>
  <c r="H37" i="6083"/>
  <c r="H39" i="6083"/>
  <c r="H41" i="6083"/>
  <c r="H43" i="6083"/>
  <c r="H45" i="6083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5" i="2228"/>
  <c r="H30" i="2228"/>
  <c r="H34" i="2228"/>
  <c r="H38" i="2228"/>
  <c r="H42" i="2228"/>
  <c r="H17" i="2228"/>
  <c r="H19" i="2228"/>
  <c r="H22" i="2228"/>
  <c r="H24" i="2228"/>
  <c r="H27" i="2228"/>
  <c r="H31" i="2228"/>
  <c r="H35" i="2228"/>
  <c r="H39" i="2228"/>
  <c r="H43" i="2228"/>
  <c r="H25" i="2228"/>
  <c r="H28" i="2228"/>
  <c r="H32" i="2228"/>
  <c r="H36" i="2228"/>
  <c r="H40" i="2228"/>
  <c r="H44" i="2228"/>
</calcChain>
</file>

<file path=xl/sharedStrings.xml><?xml version="1.0" encoding="utf-8"?>
<sst xmlns="http://schemas.openxmlformats.org/spreadsheetml/2006/main" count="3021" uniqueCount="196">
  <si>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</si>
  <si>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</si>
  <si>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</si>
  <si>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</si>
  <si>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</si>
  <si>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</si>
  <si>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</si>
  <si>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</si>
  <si>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</si>
  <si>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</si>
  <si>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</si>
  <si>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</si>
  <si>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</si>
  <si>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</si>
  <si>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</si>
  <si>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</si>
  <si>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</si>
  <si>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</si>
  <si>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</si>
  <si>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</si>
  <si>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</si>
  <si>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</si>
  <si>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</si>
  <si>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</si>
  <si>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</si>
  <si>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</si>
  <si>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</si>
  <si>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</si>
  <si>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</si>
  <si>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</si>
  <si>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</si>
  <si>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</si>
  <si>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</si>
  <si>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</si>
  <si>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</si>
  <si>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</si>
  <si>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</si>
  <si>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</si>
  <si>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</si>
  <si>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</si>
  <si>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</si>
  <si>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</si>
  <si>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</si>
  <si>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</si>
  <si>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</si>
  <si>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</si>
  <si>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</si>
  <si>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</si>
  <si>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</si>
  <si>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</si>
  <si>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</si>
  <si>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</si>
  <si>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</si>
  <si>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</si>
  <si>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</si>
  <si>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</si>
  <si>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</si>
  <si>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</si>
  <si>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</si>
  <si>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</si>
  <si>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</si>
  <si>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</si>
  <si>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</si>
  <si>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</si>
  <si>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</si>
  <si>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</si>
  <si>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</si>
  <si>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</si>
  <si>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</si>
  <si>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</si>
  <si>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</si>
  <si>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</si>
  <si>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</si>
  <si>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</si>
  <si>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</si>
  <si>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</si>
  <si>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</si>
  <si>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</si>
  <si>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</si>
  <si>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</si>
  <si>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</si>
  <si>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</si>
  <si>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</si>
  <si>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</si>
  <si>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</si>
  <si>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</si>
  <si>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</si>
  <si>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</si>
  <si>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</si>
  <si>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</si>
  <si>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</si>
  <si>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</si>
  <si>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44</t>
  </si>
  <si>
    <t>45</t>
  </si>
  <si>
    <t>46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</si>
  <si>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</si>
  <si>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</si>
  <si>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</si>
  <si>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</si>
  <si>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</si>
  <si>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</si>
  <si>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</si>
  <si>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</si>
  <si>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</si>
  <si>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</si>
  <si>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</si>
  <si>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</si>
  <si>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</si>
  <si>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</si>
  <si>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</si>
  <si>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</si>
  <si>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</si>
  <si>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</si>
  <si>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</si>
  <si>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</si>
  <si>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</si>
  <si>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</si>
  <si>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</si>
  <si>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</si>
  <si>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</si>
  <si>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</si>
  <si>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</si>
  <si>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</si>
  <si>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</si>
  <si>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</si>
  <si>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</si>
  <si>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</si>
  <si>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</si>
  <si>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</si>
  <si>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</si>
  <si>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</si>
  <si>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</si>
  <si>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</si>
  <si>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</si>
  <si>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</si>
  <si>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</si>
  <si>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</si>
  <si>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</si>
  <si>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</si>
  <si>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</si>
  <si>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</si>
  <si>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</si>
  <si>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</si>
  <si>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</si>
  <si>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</si>
  <si>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</si>
  <si>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</si>
  <si>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</si>
  <si>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</si>
  <si>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</si>
  <si>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</si>
  <si>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</si>
  <si>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</si>
  <si>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</si>
  <si>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</si>
  <si>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</si>
  <si>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</si>
  <si>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</si>
  <si>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</si>
  <si>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</si>
  <si>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</si>
  <si>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</si>
  <si>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</si>
  <si>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</si>
  <si>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</si>
  <si>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</si>
  <si>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</si>
  <si>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</si>
  <si>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</si>
  <si>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</si>
  <si>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</si>
  <si>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</si>
  <si>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</si>
  <si>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</si>
  <si>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―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</si>
  <si>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</si>
  <si>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</si>
  <si>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</si>
  <si>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</si>
  <si>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</si>
  <si>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</si>
  <si>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</si>
  <si>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</si>
  <si>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</si>
  <si>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</si>
  <si>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</si>
  <si>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</si>
  <si>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</si>
  <si>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</si>
  <si>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</si>
  <si>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</si>
  <si>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</si>
  <si>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国士無双十三面待ち</t>
  </si>
  <si>
    <t>四暗刻単騎待ち</t>
    <rPh sb="5" eb="6">
      <t>マ</t>
    </rPh>
    <phoneticPr fontId="1"/>
  </si>
  <si>
    <t>純正九蓮宝燈</t>
  </si>
  <si>
    <t>赤ドラ</t>
    <rPh sb="0" eb="1">
      <t>アカ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</si>
</sst>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58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4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37" xfId="0" applyNumberFormat="1" applyBorder="1" applyAlignment="1">
      <alignment horizontal="center" vertical="center" shrinkToFit="1"/>
    </xf>
    <xf numFmtId="0" fontId="0" fillId="0" borderId="23" xfId="0" applyNumberFormat="1" applyBorder="1" applyAlignment="1">
      <alignment horizontal="center" vertical="center" shrinkToFit="1"/>
    </xf>
    <xf numFmtId="0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全体!$L$2:$L$26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-14.199999999999989</c:v>
                </c:pt>
                <c:pt idx="24">
                  <c:v>-0.99999999999998934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90-4267-8BC1-B0FDBC2655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-83.333333333333329</c:v>
                </c:pt>
                <c:pt idx="1">
                  <c:v>41.666666666666664</c:v>
                </c:pt>
                <c:pt idx="2">
                  <c:v>-41.666666666666664</c:v>
                </c:pt>
                <c:pt idx="3">
                  <c:v>41.666666666666664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34-4E40-A3A1-D9E36ABD5D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7</c:v>
                </c:pt>
                <c:pt idx="1">
                  <c:v>5</c:v>
                </c:pt>
                <c:pt idx="2">
                  <c:v>9</c:v>
                </c:pt>
                <c:pt idx="3">
                  <c:v>7</c:v>
                </c:pt>
                <c:pt idx="4">
                  <c:v>4</c:v>
                </c:pt>
                <c:pt idx="5">
                  <c:v>8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A6-4435-B67D-30E8A84B82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松澤亮太!$L$2:$L$5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42-4447-A6F6-AE06F47C5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0</c:v>
                </c:pt>
                <c:pt idx="1">
                  <c:v>700</c:v>
                </c:pt>
                <c:pt idx="2">
                  <c:v>-1300</c:v>
                </c:pt>
                <c:pt idx="3">
                  <c:v>-800</c:v>
                </c:pt>
                <c:pt idx="4">
                  <c:v>1833.3333333333333</c:v>
                </c:pt>
                <c:pt idx="5">
                  <c:v>-1166.6666666666667</c:v>
                </c:pt>
                <c:pt idx="6">
                  <c:v>-2500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AD-4E7F-A23F-CA6B328E37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9B-4985-8FFB-75F84C40CC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滝沢悠人!$L$2:$L$5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C7-4721-897C-45186434D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-2766.6666666666665</c:v>
                </c:pt>
                <c:pt idx="1">
                  <c:v>7933.333333333333</c:v>
                </c:pt>
                <c:pt idx="2">
                  <c:v>-500</c:v>
                </c:pt>
                <c:pt idx="3">
                  <c:v>-866.66666666666663</c:v>
                </c:pt>
                <c:pt idx="4">
                  <c:v>-2166.6666666666665</c:v>
                </c:pt>
                <c:pt idx="5">
                  <c:v>-1433.3333333333333</c:v>
                </c:pt>
                <c:pt idx="6">
                  <c:v>-4000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AC-45AF-BAE3-41C0787EC8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70-4832-A240-5491C5BC7D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大池陸斗!$L$2:$L$4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3C-4C81-BDB0-5B4C02ADAB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-3350</c:v>
                </c:pt>
                <c:pt idx="1">
                  <c:v>200</c:v>
                </c:pt>
                <c:pt idx="2">
                  <c:v>750</c:v>
                </c:pt>
                <c:pt idx="3">
                  <c:v>7150</c:v>
                </c:pt>
                <c:pt idx="4">
                  <c:v>2700</c:v>
                </c:pt>
                <c:pt idx="5">
                  <c:v>1850</c:v>
                </c:pt>
                <c:pt idx="6">
                  <c:v>-2000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8B-4577-9458-2B7F66072E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09-4D3B-8408-7EF9B8A84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百瀬成空!$L$2:$L$3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5E-4D2F-97D1-A91149EE5A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-21200</c:v>
                </c:pt>
                <c:pt idx="2">
                  <c:v>500</c:v>
                </c:pt>
                <c:pt idx="3">
                  <c:v>-2100</c:v>
                </c:pt>
                <c:pt idx="4">
                  <c:v>2600</c:v>
                </c:pt>
                <c:pt idx="5">
                  <c:v>10100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AC-48B3-8161-218240B88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1B-4EEF-877E-E2F4587486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佐藤成浩!$L$2:$L$5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96-4611-BF67-33DC708C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8466.6666666666661</c:v>
                </c:pt>
                <c:pt idx="1">
                  <c:v>-500</c:v>
                </c:pt>
                <c:pt idx="2">
                  <c:v>-1766.6666666666667</c:v>
                </c:pt>
                <c:pt idx="3">
                  <c:v>-3466.6666666666665</c:v>
                </c:pt>
                <c:pt idx="4">
                  <c:v>-4000</c:v>
                </c:pt>
                <c:pt idx="5">
                  <c:v>-2000</c:v>
                </c:pt>
                <c:pt idx="6">
                  <c:v>-1500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3D-4253-B582-3F5C620113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0C-4275-B71B-3C0245F0A1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依田幸憲!$L$2:$L$4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93-41A1-8FFD-20EEB44B3F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-11300</c:v>
                </c:pt>
                <c:pt idx="1">
                  <c:v>-1000</c:v>
                </c:pt>
                <c:pt idx="2">
                  <c:v>-1850</c:v>
                </c:pt>
                <c:pt idx="3">
                  <c:v>-700</c:v>
                </c:pt>
                <c:pt idx="4">
                  <c:v>0</c:v>
                </c:pt>
                <c:pt idx="5">
                  <c:v>-3000</c:v>
                </c:pt>
                <c:pt idx="6">
                  <c:v>4000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55-4CC8-B7B8-8759F2BD37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1E-44C0-84D3-7ECBFED0AB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1F-4E0E-9696-F6F9A29792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CA-43DF-BBBA-00B1A187B9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3A-4CCF-9BD5-14EFAE5F0D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高野源太!$L$2:$L$5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76-4513-B3B5-F9F73FE726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3766.6666666666665</c:v>
                </c:pt>
                <c:pt idx="1">
                  <c:v>-3833.3333333333335</c:v>
                </c:pt>
                <c:pt idx="2">
                  <c:v>4666.666666666667</c:v>
                </c:pt>
                <c:pt idx="3">
                  <c:v>3800</c:v>
                </c:pt>
                <c:pt idx="4">
                  <c:v>2500</c:v>
                </c:pt>
                <c:pt idx="5">
                  <c:v>5850</c:v>
                </c:pt>
                <c:pt idx="6">
                  <c:v>-6000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06-4BED-AB84-716AC58C1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0D-49C4-A2C8-FCF2CDEBA8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F2-4B1D-AC9A-FF46778C4D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02-4EED-BEAA-753897047A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94-4658-9182-3FA997A5EF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DB-4349-BAA3-3D121EAEE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68-4C08-9393-FD91768FB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B3-4278-8306-EAB87B7586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FE-44E8-82AA-2A2A887AD0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60-4D6C-9DDC-50E96E5D70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61-4167-ABDD-8EA01E462F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福澤大地!$L$2:$L$3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54.2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9F-44C9-B725-3843C6E7C7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10600</c:v>
                </c:pt>
                <c:pt idx="2">
                  <c:v>-2000</c:v>
                </c:pt>
                <c:pt idx="3">
                  <c:v>-1000</c:v>
                </c:pt>
                <c:pt idx="4">
                  <c:v>-1000</c:v>
                </c:pt>
                <c:pt idx="5">
                  <c:v>1100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72-4BED-8BF1-83991CDA6E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B2-4ACA-9A72-0F7C24EB52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7E968CE-0FDB-45A6-B16A-1A2C1B2639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4C7849E-18FE-40B7-B369-4EB068D6BB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4763AE0-9AFE-4C24-B14A-73F88DAC66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66D0A73-4424-4E3D-ABA5-4D344585D9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3CEA25F-BD72-43AB-AF59-5F79C6AFC6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B3AC58D-D743-4E9E-BA54-9739509AFB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8B81BEB-6DE0-4F1F-80FA-DC07AFFF12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8061549-E99A-46BB-84F4-0052A2A97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D965D193-BD16-44DA-9FF0-1B62F67A02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CCBC2FE-28B5-4BF4-83C4-58190EE423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39B5F61-23D5-4ECD-B5A1-9045D619B0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DFFF5CE3-40B9-4D3C-82EF-CC3E41A110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C374B35-E586-4235-BA14-AE37AAC132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2EA6DEB-7D99-4FB7-927D-C7A326A048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E251EB5-619F-45C7-BD64-D0499FC7E2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6521901-A444-467E-8E12-411AC97A60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E7E0E9E-6248-4BA5-89C9-DAAD46411C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BC62A62-AB58-428E-9CC1-7B30A5801C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25745B8-58E9-4CA3-BE0A-6E206DF0C3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E8DB239-F08E-4D0D-9DFA-92AF9DD201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D41B1B83-9870-497B-ADB2-986316B6ED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427A7D8-279D-490E-A130-6166FAA9BD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FEFDCDA-C014-4D87-B7F0-068C2234EA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9E6ECC4-60E1-4C77-BE92-ECCE4F73AE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176D4C8-197D-43CF-9A34-C5286998E7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37703BE-1BF9-4C05-81E9-6545FFDE81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6EB99F4-C7F2-4323-8FDC-E5CC300542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2279CD5-545C-4E04-A94A-AA9E8F0572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66EEAC5-45AD-4999-AFF1-150F93018E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3189097-0A48-468C-9EA6-0BEBB98721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93BEFD5-F9D1-46B0-8725-6B2898EE28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767C565-174F-417F-91CE-353CAB1B87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04245EA-5C57-4386-95B9-F9CDAA2372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98C5EBD-AC88-45A7-BD2E-4735176699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BB96390-FEE9-4B86-9E73-A1AC7869FA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EDF2359-B24A-453F-A0AC-2FC55E5D8A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88155BF-7390-4CE3-9F92-FF521F874E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36AD743-8C68-4B7A-823E-B73B27CCBD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06D7DB3-71F1-4FFA-9954-C8BB2E73D0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D5"/>
  <sheetViews>
    <sheetView workbookViewId="0"/>
  </sheetViews>
  <sheetFormatPr defaultColWidth="9" defaultRowHeight="18.75"/>
  <cols>
    <col min="1" max="1" width="19.25" style="24" customWidth="1"/>
    <col min="2" max="2" width="19.2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164</v>
      </c>
      <c r="B2" s="25">
        <v>43801.013252314813</v>
      </c>
      <c r="C2" s="24" t="s">
        <v>106</v>
      </c>
    </row>
    <row r="3" spans="1:4">
      <c r="A3" s="24" t="s">
        <v>169</v>
      </c>
      <c r="B3" s="25">
        <v>43801.505798611113</v>
      </c>
      <c r="C3" s="24" t="s">
        <v>106</v>
      </c>
    </row>
    <row r="4" spans="1:4">
      <c r="A4" s="24" t="s">
        <v>179</v>
      </c>
      <c r="B4" s="25">
        <v>43805.918657407405</v>
      </c>
      <c r="C4" s="24" t="s">
        <v>106</v>
      </c>
      <c r="D4" s="24" t="s">
        <v>181</v>
      </c>
    </row>
    <row r="5" spans="1:4">
      <c r="A5" s="24" t="s">
        <v>183</v>
      </c>
      <c r="B5" s="25">
        <v>43805.918657407405</v>
      </c>
      <c r="C5" s="24" t="s">
        <v>106</v>
      </c>
      <c r="D5" s="24" t="s">
        <v>181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3"/>
  <sheetViews>
    <sheetView workbookViewId="0"/>
  </sheetViews>
  <sheetFormatPr defaultRowHeight="18.75"/>
  <cols>
    <col min="1" max="1" width="11" customWidth="1"/>
    <col min="2" max="2" width="9" customWidth="1"/>
  </cols>
  <sheetData>
    <row r="1" spans="1:2">
      <c r="A1" t="s">
        <v>118</v>
      </c>
      <c r="B1">
        <v>24</v>
      </c>
    </row>
    <row r="2" spans="1:2">
      <c r="A2" t="s">
        <v>168</v>
      </c>
      <c r="B2">
        <v>3</v>
      </c>
    </row>
    <row r="3" spans="1:2">
      <c r="A3" t="s">
        <v>165</v>
      </c>
      <c r="B3">
        <v>3</v>
      </c>
    </row>
    <row r="4" spans="1:2">
      <c r="A4" t="s">
        <v>166</v>
      </c>
      <c r="B4">
        <v>2</v>
      </c>
    </row>
    <row r="5" spans="1:2">
      <c r="A5" t="s">
        <v>167</v>
      </c>
      <c r="B5">
        <v>1</v>
      </c>
    </row>
    <row r="6" spans="1:2">
      <c r="A6" t="s">
        <v>173</v>
      </c>
      <c r="B6">
        <v>3</v>
      </c>
    </row>
    <row r="7" spans="1:2">
      <c r="A7" t="s">
        <v>170</v>
      </c>
      <c r="B7">
        <v>2</v>
      </c>
    </row>
    <row r="8" spans="1:2">
      <c r="A8" t="s">
        <v>171</v>
      </c>
      <c r="B8">
        <v>1</v>
      </c>
    </row>
    <row r="9" spans="1:2">
      <c r="A9" t="s">
        <v>172</v>
      </c>
      <c r="B9">
        <v>3</v>
      </c>
    </row>
    <row r="10" spans="1:2">
      <c r="A10" t="s">
        <v>180</v>
      </c>
      <c r="B10">
        <v>2</v>
      </c>
    </row>
    <row r="11" spans="1:2">
      <c r="A11" t="s">
        <v>182</v>
      </c>
      <c r="B11">
        <v>2</v>
      </c>
    </row>
    <row r="12" spans="1:2">
      <c r="A12" t="s">
        <v>185</v>
      </c>
      <c r="B12">
        <v>1</v>
      </c>
    </row>
    <row r="13" spans="1:2">
      <c r="A13" t="s">
        <v>184</v>
      </c>
      <c r="B13">
        <v>1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G15"/>
  <sheetViews>
    <sheetView showGridLines="0" tabSelected="1" zoomScale="130" zoomScaleNormal="130" workbookViewId="0"/>
  </sheetViews>
  <sheetFormatPr defaultColWidth="9" defaultRowHeight="18.75"/>
  <cols>
    <col min="1" max="1" width="6" style="68" customWidth="1"/>
    <col min="2" max="2" width="10.75" style="69" customWidth="1"/>
    <col min="3" max="3" width="10.75" style="70" customWidth="1"/>
    <col min="4" max="4" width="10.75" style="71" customWidth="1"/>
    <col min="5" max="5" width="10.75" style="83" customWidth="1"/>
    <col min="6" max="6" width="10.75" style="71" customWidth="1"/>
    <col min="7" max="7" width="10.75" style="72" customWidth="1"/>
    <col min="8" max="8" width="10.75" style="71" customWidth="1"/>
    <col min="9" max="9" width="10.75" style="73" customWidth="1"/>
    <col min="10" max="10" width="10.75" style="71" customWidth="1"/>
    <col min="11" max="11" width="10.75" style="73" customWidth="1"/>
    <col min="12" max="12" width="10.75" style="71" customWidth="1"/>
    <col min="13" max="13" width="10.75" style="73" customWidth="1"/>
    <col min="14" max="14" width="10.75" style="71" customWidth="1"/>
    <col min="15" max="15" width="10.75" style="74" customWidth="1"/>
    <col min="16" max="16" width="10.75" style="71" customWidth="1"/>
    <col min="17" max="17" width="10.75" style="74" customWidth="1"/>
    <col min="18" max="18" width="10.75" style="71" customWidth="1"/>
    <col min="19" max="19" width="10.75" style="75" customWidth="1"/>
    <col min="20" max="20" width="10.75" style="71" customWidth="1"/>
    <col min="21" max="21" width="10.75" style="75" customWidth="1"/>
    <col min="22" max="22" width="10.75" style="71" customWidth="1"/>
    <col min="23" max="23" width="10.75" style="74" customWidth="1"/>
    <col min="24" max="24" width="10.75" style="71" customWidth="1"/>
    <col min="25" max="25" width="10.75" style="74" customWidth="1"/>
    <col min="26" max="26" width="10.75" style="71" customWidth="1"/>
    <col min="27" max="27" width="10.75" style="74" customWidth="1"/>
    <col min="28" max="28" width="10.75" style="71" customWidth="1"/>
    <col min="29" max="29" width="10.75" style="74" customWidth="1"/>
    <col min="30" max="30" width="10.75" style="71" customWidth="1"/>
    <col min="31" max="31" width="10.75" style="74" customWidth="1"/>
    <col min="32" max="32" width="10.75" style="71" customWidth="1"/>
    <col min="33" max="33" width="10.75" style="78" customWidth="1"/>
    <col min="34" max="16384" width="9" style="59"/>
  </cols>
  <sheetData>
    <row r="1" spans="1:33">
      <c r="A1" s="58"/>
      <c r="B1" s="136" t="s">
        <v>6</v>
      </c>
      <c r="C1" s="137"/>
      <c r="D1" s="136" t="s">
        <v>7</v>
      </c>
      <c r="E1" s="137"/>
      <c r="F1" s="136" t="s">
        <v>15</v>
      </c>
      <c r="G1" s="137"/>
      <c r="H1" s="136" t="s">
        <v>14</v>
      </c>
      <c r="I1" s="137"/>
      <c r="J1" s="136" t="s">
        <v>129</v>
      </c>
      <c r="K1" s="137"/>
      <c r="L1" s="136" t="s">
        <v>158</v>
      </c>
      <c r="M1" s="137"/>
      <c r="N1" s="136" t="s">
        <v>119</v>
      </c>
      <c r="O1" s="137"/>
      <c r="P1" s="136" t="s">
        <v>120</v>
      </c>
      <c r="Q1" s="137"/>
      <c r="R1" s="136" t="s">
        <v>5</v>
      </c>
      <c r="S1" s="137"/>
      <c r="T1" s="136" t="s">
        <v>16</v>
      </c>
      <c r="U1" s="137"/>
      <c r="V1" s="136" t="s">
        <v>102</v>
      </c>
      <c r="W1" s="137"/>
      <c r="X1" s="136" t="s">
        <v>99</v>
      </c>
      <c r="Y1" s="137"/>
      <c r="Z1" s="136" t="s">
        <v>105</v>
      </c>
      <c r="AA1" s="137"/>
      <c r="AB1" s="136" t="s">
        <v>121</v>
      </c>
      <c r="AC1" s="137"/>
      <c r="AD1" s="136" t="s">
        <v>117</v>
      </c>
      <c r="AE1" s="137"/>
      <c r="AF1" s="136" t="s">
        <v>152</v>
      </c>
      <c r="AG1" s="137"/>
    </row>
    <row r="2" spans="1:33">
      <c r="A2" s="58" t="s">
        <v>128</v>
      </c>
      <c r="B2" s="138"/>
      <c r="C2" s="139"/>
      <c r="D2" s="138"/>
      <c r="E2" s="139"/>
      <c r="F2" s="140" t="s">
        <v>174</v>
      </c>
      <c r="G2" s="141"/>
      <c r="H2" s="140" t="s">
        <v>174</v>
      </c>
      <c r="I2" s="141"/>
      <c r="J2" s="140" t="s">
        <v>174</v>
      </c>
      <c r="K2" s="141"/>
      <c r="L2" s="140" t="s">
        <v>174</v>
      </c>
      <c r="M2" s="141"/>
      <c r="N2" s="140" t="s">
        <v>174</v>
      </c>
      <c r="O2" s="141"/>
      <c r="P2" s="140" t="s">
        <v>174</v>
      </c>
      <c r="Q2" s="141"/>
      <c r="R2" s="140" t="s">
        <v>174</v>
      </c>
      <c r="S2" s="141"/>
      <c r="T2" s="140" t="s">
        <v>174</v>
      </c>
      <c r="U2" s="141"/>
      <c r="V2" s="140" t="s">
        <v>174</v>
      </c>
      <c r="W2" s="141"/>
      <c r="X2" s="140" t="s">
        <v>174</v>
      </c>
      <c r="Y2" s="141"/>
      <c r="Z2" s="140" t="s">
        <v>174</v>
      </c>
      <c r="AA2" s="141"/>
      <c r="AB2" s="140" t="s">
        <v>174</v>
      </c>
      <c r="AC2" s="141"/>
      <c r="AD2" s="140" t="s">
        <v>174</v>
      </c>
      <c r="AE2" s="141"/>
      <c r="AF2" s="140" t="s">
        <v>174</v>
      </c>
      <c r="AG2" s="141"/>
    </row>
    <row r="3" spans="1:33">
      <c r="A3" s="60">
        <v>1</v>
      </c>
      <c r="B3" s="61" t="s">
        <v>172</v>
      </c>
      <c r="C3" s="62">
        <v>130.9</v>
      </c>
      <c r="D3" s="63" t="s">
        <v>184</v>
      </c>
      <c r="E3" s="82">
        <v>54.2</v>
      </c>
      <c r="F3" s="63" t="s">
        <v>184</v>
      </c>
      <c r="G3" s="64">
        <v>1</v>
      </c>
      <c r="H3" s="63" t="s">
        <v>184</v>
      </c>
      <c r="I3" s="65">
        <v>1</v>
      </c>
      <c r="J3" s="63" t="s">
        <v>167</v>
      </c>
      <c r="K3" s="65">
        <v>0</v>
      </c>
      <c r="L3" s="63" t="s">
        <v>171</v>
      </c>
      <c r="M3" s="65">
        <v>1</v>
      </c>
      <c r="N3" s="63" t="s">
        <v>172</v>
      </c>
      <c r="O3" s="66">
        <v>0.40909090909090912</v>
      </c>
      <c r="P3" s="63" t="s">
        <v>171</v>
      </c>
      <c r="Q3" s="66">
        <v>0</v>
      </c>
      <c r="R3" s="63" t="s">
        <v>173</v>
      </c>
      <c r="S3" s="67">
        <v>13000</v>
      </c>
      <c r="T3" s="63" t="s">
        <v>171</v>
      </c>
      <c r="U3" s="67">
        <v>0</v>
      </c>
      <c r="V3" s="63" t="s">
        <v>170</v>
      </c>
      <c r="W3" s="66">
        <v>0.11764705882352941</v>
      </c>
      <c r="X3" s="63" t="s">
        <v>167</v>
      </c>
      <c r="Y3" s="66">
        <v>0.3</v>
      </c>
      <c r="Z3" s="63" t="s">
        <v>166</v>
      </c>
      <c r="AA3" s="66">
        <v>0.77777777777777779</v>
      </c>
      <c r="AB3" s="63" t="s">
        <v>170</v>
      </c>
      <c r="AC3" s="66">
        <v>0.66666666666666663</v>
      </c>
      <c r="AD3" s="63" t="s">
        <v>166</v>
      </c>
      <c r="AE3" s="66">
        <v>0.7142857142857143</v>
      </c>
      <c r="AF3" s="63" t="s">
        <v>118</v>
      </c>
      <c r="AG3" s="77">
        <v>67800</v>
      </c>
    </row>
    <row r="4" spans="1:33">
      <c r="A4" s="68">
        <v>2</v>
      </c>
      <c r="B4" s="69" t="s">
        <v>184</v>
      </c>
      <c r="C4" s="70">
        <v>54.2</v>
      </c>
      <c r="D4" s="71" t="s">
        <v>172</v>
      </c>
      <c r="E4" s="83">
        <v>43.633333333333333</v>
      </c>
      <c r="F4" s="71" t="s">
        <v>172</v>
      </c>
      <c r="G4" s="72">
        <v>1.3333333333333333</v>
      </c>
      <c r="H4" s="71" t="s">
        <v>172</v>
      </c>
      <c r="I4" s="73">
        <v>0.66666666666666663</v>
      </c>
      <c r="J4" s="71" t="s">
        <v>173</v>
      </c>
      <c r="K4" s="73">
        <v>0</v>
      </c>
      <c r="L4" s="71" t="s">
        <v>172</v>
      </c>
      <c r="M4" s="73">
        <v>1</v>
      </c>
      <c r="N4" s="71" t="s">
        <v>166</v>
      </c>
      <c r="O4" s="74">
        <v>0.35</v>
      </c>
      <c r="P4" s="71" t="s">
        <v>172</v>
      </c>
      <c r="Q4" s="74">
        <v>4.5454545454545456E-2</v>
      </c>
      <c r="R4" s="71" t="s">
        <v>165</v>
      </c>
      <c r="S4" s="75">
        <v>9925</v>
      </c>
      <c r="T4" s="71" t="s">
        <v>184</v>
      </c>
      <c r="U4" s="75">
        <v>-2000</v>
      </c>
      <c r="V4" s="71" t="s">
        <v>185</v>
      </c>
      <c r="W4" s="74">
        <v>0.14285714285714285</v>
      </c>
      <c r="X4" s="71" t="s">
        <v>185</v>
      </c>
      <c r="Y4" s="74">
        <v>0.2857142857142857</v>
      </c>
      <c r="Z4" s="71" t="s">
        <v>180</v>
      </c>
      <c r="AA4" s="74">
        <v>0.75</v>
      </c>
      <c r="AB4" s="71" t="s">
        <v>172</v>
      </c>
      <c r="AC4" s="74">
        <v>0.5</v>
      </c>
      <c r="AD4" s="71" t="s">
        <v>170</v>
      </c>
      <c r="AE4" s="74">
        <v>0.66666666666666663</v>
      </c>
      <c r="AF4" s="71" t="s">
        <v>166</v>
      </c>
      <c r="AG4" s="78">
        <v>67800</v>
      </c>
    </row>
    <row r="5" spans="1:33">
      <c r="A5" s="68">
        <v>3</v>
      </c>
      <c r="B5" s="69" t="s">
        <v>166</v>
      </c>
      <c r="C5" s="70">
        <v>26.099999999999994</v>
      </c>
      <c r="D5" s="71" t="s">
        <v>171</v>
      </c>
      <c r="E5" s="83">
        <v>14</v>
      </c>
      <c r="F5" s="71" t="s">
        <v>171</v>
      </c>
      <c r="G5" s="72">
        <v>2</v>
      </c>
      <c r="H5" s="71" t="s">
        <v>166</v>
      </c>
      <c r="I5" s="73">
        <v>0.5</v>
      </c>
      <c r="J5" s="71" t="s">
        <v>171</v>
      </c>
      <c r="K5" s="73">
        <v>0</v>
      </c>
      <c r="L5" s="71" t="s">
        <v>184</v>
      </c>
      <c r="M5" s="73">
        <v>1</v>
      </c>
      <c r="N5" s="71" t="s">
        <v>171</v>
      </c>
      <c r="O5" s="74">
        <v>0.2857142857142857</v>
      </c>
      <c r="P5" s="71" t="s">
        <v>170</v>
      </c>
      <c r="Q5" s="74">
        <v>5.8823529411764705E-2</v>
      </c>
      <c r="R5" s="71" t="s">
        <v>171</v>
      </c>
      <c r="S5" s="75">
        <v>8600</v>
      </c>
      <c r="T5" s="71" t="s">
        <v>180</v>
      </c>
      <c r="U5" s="75">
        <v>-2950</v>
      </c>
      <c r="V5" s="71" t="s">
        <v>165</v>
      </c>
      <c r="W5" s="74">
        <v>0.18518518518518517</v>
      </c>
      <c r="X5" s="71" t="s">
        <v>172</v>
      </c>
      <c r="Y5" s="74">
        <v>0.27272727272727271</v>
      </c>
      <c r="Z5" s="71" t="s">
        <v>182</v>
      </c>
      <c r="AA5" s="74">
        <v>0.75</v>
      </c>
      <c r="AB5" s="71" t="s">
        <v>168</v>
      </c>
      <c r="AC5" s="74">
        <v>0.33333333333333331</v>
      </c>
      <c r="AD5" s="71" t="s">
        <v>172</v>
      </c>
      <c r="AE5" s="74">
        <v>0.55555555555555558</v>
      </c>
      <c r="AF5" s="71" t="s">
        <v>165</v>
      </c>
      <c r="AG5" s="78">
        <v>54900</v>
      </c>
    </row>
    <row r="6" spans="1:33">
      <c r="A6" s="68">
        <v>4</v>
      </c>
      <c r="B6" s="69" t="s">
        <v>171</v>
      </c>
      <c r="C6" s="70">
        <v>14</v>
      </c>
      <c r="D6" s="71" t="s">
        <v>166</v>
      </c>
      <c r="E6" s="83">
        <v>13.049999999999997</v>
      </c>
      <c r="F6" s="71" t="s">
        <v>118</v>
      </c>
      <c r="G6" s="72">
        <v>2.5</v>
      </c>
      <c r="H6" s="71" t="s">
        <v>182</v>
      </c>
      <c r="I6" s="73">
        <v>0.5</v>
      </c>
      <c r="J6" s="71" t="s">
        <v>172</v>
      </c>
      <c r="K6" s="73">
        <v>0</v>
      </c>
      <c r="L6" s="71" t="s">
        <v>118</v>
      </c>
      <c r="M6" s="73">
        <v>0.5</v>
      </c>
      <c r="N6" s="71" t="s">
        <v>184</v>
      </c>
      <c r="O6" s="74">
        <v>0.2857142857142857</v>
      </c>
      <c r="P6" s="71" t="s">
        <v>168</v>
      </c>
      <c r="Q6" s="74">
        <v>7.407407407407407E-2</v>
      </c>
      <c r="R6" s="71" t="s">
        <v>180</v>
      </c>
      <c r="S6" s="75">
        <v>8400</v>
      </c>
      <c r="T6" s="71" t="s">
        <v>168</v>
      </c>
      <c r="U6" s="75">
        <v>-5300</v>
      </c>
      <c r="V6" s="71" t="s">
        <v>173</v>
      </c>
      <c r="W6" s="74">
        <v>0.19230769230769232</v>
      </c>
      <c r="X6" s="71" t="s">
        <v>173</v>
      </c>
      <c r="Y6" s="74">
        <v>0.19230769230769232</v>
      </c>
      <c r="Z6" s="71" t="s">
        <v>172</v>
      </c>
      <c r="AA6" s="74">
        <v>0.66666666666666663</v>
      </c>
      <c r="AB6" s="71" t="s">
        <v>182</v>
      </c>
      <c r="AC6" s="74">
        <v>0.33333333333333331</v>
      </c>
      <c r="AD6" s="71" t="s">
        <v>171</v>
      </c>
      <c r="AE6" s="74">
        <v>0.5</v>
      </c>
      <c r="AF6" s="71" t="s">
        <v>182</v>
      </c>
      <c r="AG6" s="78">
        <v>42500</v>
      </c>
    </row>
    <row r="7" spans="1:33">
      <c r="A7" s="68">
        <v>5</v>
      </c>
      <c r="B7" s="69" t="s">
        <v>182</v>
      </c>
      <c r="C7" s="70">
        <v>3.8999999999999986</v>
      </c>
      <c r="D7" s="71" t="s">
        <v>182</v>
      </c>
      <c r="E7" s="83">
        <v>1.9499999999999993</v>
      </c>
      <c r="F7" s="71" t="s">
        <v>166</v>
      </c>
      <c r="G7" s="72">
        <v>2.5</v>
      </c>
      <c r="H7" s="71" t="s">
        <v>165</v>
      </c>
      <c r="I7" s="73">
        <v>0.33333333333333331</v>
      </c>
      <c r="J7" s="71" t="s">
        <v>180</v>
      </c>
      <c r="K7" s="73">
        <v>0</v>
      </c>
      <c r="L7" s="71" t="s">
        <v>166</v>
      </c>
      <c r="M7" s="73">
        <v>0.5</v>
      </c>
      <c r="N7" s="71" t="s">
        <v>182</v>
      </c>
      <c r="O7" s="74">
        <v>0.21052631578947367</v>
      </c>
      <c r="P7" s="71" t="s">
        <v>167</v>
      </c>
      <c r="Q7" s="74">
        <v>0.1</v>
      </c>
      <c r="R7" s="71" t="s">
        <v>168</v>
      </c>
      <c r="S7" s="75">
        <v>7033.333333333333</v>
      </c>
      <c r="T7" s="71" t="s">
        <v>173</v>
      </c>
      <c r="U7" s="75">
        <v>-5500</v>
      </c>
      <c r="V7" s="71" t="s">
        <v>182</v>
      </c>
      <c r="W7" s="74">
        <v>0.21052631578947367</v>
      </c>
      <c r="X7" s="71" t="s">
        <v>170</v>
      </c>
      <c r="Y7" s="74">
        <v>0.17647058823529413</v>
      </c>
      <c r="Z7" s="71" t="s">
        <v>118</v>
      </c>
      <c r="AA7" s="74">
        <v>0.54</v>
      </c>
      <c r="AB7" s="71" t="s">
        <v>118</v>
      </c>
      <c r="AC7" s="74">
        <v>0.23333333333333334</v>
      </c>
      <c r="AD7" s="71" t="s">
        <v>184</v>
      </c>
      <c r="AE7" s="74">
        <v>0.5</v>
      </c>
      <c r="AF7" s="71" t="s">
        <v>172</v>
      </c>
      <c r="AG7" s="78">
        <v>41100</v>
      </c>
    </row>
    <row r="8" spans="1:33">
      <c r="A8" s="68">
        <v>6</v>
      </c>
      <c r="B8" s="69" t="s">
        <v>118</v>
      </c>
      <c r="C8" s="70">
        <v>-0.99999999999998934</v>
      </c>
      <c r="D8" s="71" t="s">
        <v>118</v>
      </c>
      <c r="E8" s="83">
        <v>-4.166666666666622E-2</v>
      </c>
      <c r="F8" s="71" t="s">
        <v>180</v>
      </c>
      <c r="G8" s="72">
        <v>2.5</v>
      </c>
      <c r="H8" s="71" t="s">
        <v>118</v>
      </c>
      <c r="I8" s="73">
        <v>0.25</v>
      </c>
      <c r="J8" s="71" t="s">
        <v>184</v>
      </c>
      <c r="K8" s="73">
        <v>0</v>
      </c>
      <c r="L8" s="71" t="s">
        <v>170</v>
      </c>
      <c r="M8" s="73">
        <v>0.5</v>
      </c>
      <c r="N8" s="71" t="s">
        <v>118</v>
      </c>
      <c r="O8" s="74">
        <v>0.20098039215686275</v>
      </c>
      <c r="P8" s="71" t="s">
        <v>182</v>
      </c>
      <c r="Q8" s="74">
        <v>0.10526315789473684</v>
      </c>
      <c r="R8" s="71" t="s">
        <v>118</v>
      </c>
      <c r="S8" s="75">
        <v>6763.4146341463411</v>
      </c>
      <c r="T8" s="71" t="s">
        <v>182</v>
      </c>
      <c r="U8" s="75">
        <v>-5950</v>
      </c>
      <c r="V8" s="71" t="s">
        <v>168</v>
      </c>
      <c r="W8" s="74">
        <v>0.22222222222222221</v>
      </c>
      <c r="X8" s="71" t="s">
        <v>182</v>
      </c>
      <c r="Y8" s="74">
        <v>0.15789473684210525</v>
      </c>
      <c r="Z8" s="71" t="s">
        <v>167</v>
      </c>
      <c r="AA8" s="74">
        <v>0.5</v>
      </c>
      <c r="AB8" s="71" t="s">
        <v>165</v>
      </c>
      <c r="AC8" s="74">
        <v>0</v>
      </c>
      <c r="AD8" s="71" t="s">
        <v>118</v>
      </c>
      <c r="AE8" s="74">
        <v>0.41463414634146339</v>
      </c>
      <c r="AF8" s="71" t="s">
        <v>173</v>
      </c>
      <c r="AG8" s="78">
        <v>34800</v>
      </c>
    </row>
    <row r="9" spans="1:33">
      <c r="A9" s="68">
        <v>7</v>
      </c>
      <c r="B9" s="69" t="s">
        <v>180</v>
      </c>
      <c r="C9" s="70">
        <v>-2.2000000000000011</v>
      </c>
      <c r="D9" s="71" t="s">
        <v>180</v>
      </c>
      <c r="E9" s="83">
        <v>-1.1000000000000005</v>
      </c>
      <c r="F9" s="71" t="s">
        <v>182</v>
      </c>
      <c r="G9" s="72">
        <v>2.5</v>
      </c>
      <c r="H9" s="71" t="s">
        <v>168</v>
      </c>
      <c r="I9" s="73">
        <v>0</v>
      </c>
      <c r="J9" s="71" t="s">
        <v>118</v>
      </c>
      <c r="K9" s="73">
        <v>0.25</v>
      </c>
      <c r="L9" s="71" t="s">
        <v>180</v>
      </c>
      <c r="M9" s="73">
        <v>0.5</v>
      </c>
      <c r="N9" s="71" t="s">
        <v>167</v>
      </c>
      <c r="O9" s="74">
        <v>0.2</v>
      </c>
      <c r="P9" s="71" t="s">
        <v>118</v>
      </c>
      <c r="Q9" s="74">
        <v>0.11764705882352941</v>
      </c>
      <c r="R9" s="71" t="s">
        <v>166</v>
      </c>
      <c r="S9" s="75">
        <v>6714.2857142857147</v>
      </c>
      <c r="T9" s="71" t="s">
        <v>185</v>
      </c>
      <c r="U9" s="75">
        <v>-6600</v>
      </c>
      <c r="V9" s="71" t="s">
        <v>118</v>
      </c>
      <c r="W9" s="74">
        <v>0.24509803921568626</v>
      </c>
      <c r="X9" s="71" t="s">
        <v>118</v>
      </c>
      <c r="Y9" s="74">
        <v>0.14705882352941177</v>
      </c>
      <c r="Z9" s="71" t="s">
        <v>170</v>
      </c>
      <c r="AA9" s="74">
        <v>0.5</v>
      </c>
      <c r="AB9" s="71" t="s">
        <v>166</v>
      </c>
      <c r="AC9" s="74">
        <v>0</v>
      </c>
      <c r="AD9" s="71" t="s">
        <v>180</v>
      </c>
      <c r="AE9" s="74">
        <v>0.33333333333333331</v>
      </c>
      <c r="AF9" s="71" t="s">
        <v>184</v>
      </c>
      <c r="AG9" s="78">
        <v>34200</v>
      </c>
    </row>
    <row r="10" spans="1:33">
      <c r="A10" s="68">
        <v>8</v>
      </c>
      <c r="B10" s="69" t="s">
        <v>165</v>
      </c>
      <c r="C10" s="70">
        <v>-7.4999999999999929</v>
      </c>
      <c r="D10" s="71" t="s">
        <v>165</v>
      </c>
      <c r="E10" s="83">
        <v>-2.4999999999999978</v>
      </c>
      <c r="F10" s="71" t="s">
        <v>165</v>
      </c>
      <c r="G10" s="72">
        <v>2.6666666666666665</v>
      </c>
      <c r="H10" s="71" t="s">
        <v>167</v>
      </c>
      <c r="I10" s="73">
        <v>0</v>
      </c>
      <c r="J10" s="71" t="s">
        <v>168</v>
      </c>
      <c r="K10" s="73">
        <v>0.33333333333333331</v>
      </c>
      <c r="L10" s="71" t="s">
        <v>182</v>
      </c>
      <c r="M10" s="73">
        <v>0.5</v>
      </c>
      <c r="N10" s="71" t="s">
        <v>180</v>
      </c>
      <c r="O10" s="74">
        <v>0.2</v>
      </c>
      <c r="P10" s="71" t="s">
        <v>180</v>
      </c>
      <c r="Q10" s="74">
        <v>0.13333333333333333</v>
      </c>
      <c r="R10" s="71" t="s">
        <v>182</v>
      </c>
      <c r="S10" s="75">
        <v>5900</v>
      </c>
      <c r="T10" s="71" t="s">
        <v>118</v>
      </c>
      <c r="U10" s="75">
        <v>-6758.333333333333</v>
      </c>
      <c r="V10" s="71" t="s">
        <v>180</v>
      </c>
      <c r="W10" s="74">
        <v>0.26666666666666666</v>
      </c>
      <c r="X10" s="71" t="s">
        <v>171</v>
      </c>
      <c r="Y10" s="74">
        <v>0.14285714285714285</v>
      </c>
      <c r="Z10" s="71" t="s">
        <v>171</v>
      </c>
      <c r="AA10" s="74">
        <v>0.5</v>
      </c>
      <c r="AB10" s="71" t="s">
        <v>167</v>
      </c>
      <c r="AC10" s="74">
        <v>0</v>
      </c>
      <c r="AD10" s="71" t="s">
        <v>165</v>
      </c>
      <c r="AE10" s="74">
        <v>0.25</v>
      </c>
      <c r="AF10" s="71" t="s">
        <v>171</v>
      </c>
      <c r="AG10" s="78">
        <v>34000</v>
      </c>
    </row>
    <row r="11" spans="1:33">
      <c r="A11" s="68">
        <v>9</v>
      </c>
      <c r="B11" s="69" t="s">
        <v>167</v>
      </c>
      <c r="C11" s="70">
        <v>-25.1</v>
      </c>
      <c r="D11" s="71" t="s">
        <v>173</v>
      </c>
      <c r="E11" s="83">
        <v>-10.766666666666666</v>
      </c>
      <c r="F11" s="71" t="s">
        <v>173</v>
      </c>
      <c r="G11" s="72">
        <v>2.6666666666666665</v>
      </c>
      <c r="H11" s="71" t="s">
        <v>173</v>
      </c>
      <c r="I11" s="73">
        <v>0</v>
      </c>
      <c r="J11" s="71" t="s">
        <v>165</v>
      </c>
      <c r="K11" s="73">
        <v>0.33333333333333331</v>
      </c>
      <c r="L11" s="71" t="s">
        <v>168</v>
      </c>
      <c r="M11" s="73">
        <v>0.33333333333333331</v>
      </c>
      <c r="N11" s="71" t="s">
        <v>170</v>
      </c>
      <c r="O11" s="74">
        <v>0.17647058823529413</v>
      </c>
      <c r="P11" s="71" t="s">
        <v>184</v>
      </c>
      <c r="Q11" s="74">
        <v>0.14285714285714285</v>
      </c>
      <c r="R11" s="71" t="s">
        <v>172</v>
      </c>
      <c r="S11" s="75">
        <v>5700</v>
      </c>
      <c r="T11" s="71" t="s">
        <v>166</v>
      </c>
      <c r="U11" s="75">
        <v>-6800</v>
      </c>
      <c r="V11" s="71" t="s">
        <v>172</v>
      </c>
      <c r="W11" s="74">
        <v>0.27272727272727271</v>
      </c>
      <c r="X11" s="71" t="s">
        <v>168</v>
      </c>
      <c r="Y11" s="74">
        <v>0.1111111111111111</v>
      </c>
      <c r="Z11" s="71" t="s">
        <v>184</v>
      </c>
      <c r="AA11" s="74">
        <v>0.5</v>
      </c>
      <c r="AB11" s="71" t="s">
        <v>173</v>
      </c>
      <c r="AC11" s="74">
        <v>0</v>
      </c>
      <c r="AD11" s="71" t="s">
        <v>182</v>
      </c>
      <c r="AE11" s="74">
        <v>0.25</v>
      </c>
      <c r="AF11" s="71" t="s">
        <v>180</v>
      </c>
      <c r="AG11" s="78">
        <v>33600</v>
      </c>
    </row>
    <row r="12" spans="1:33">
      <c r="A12" s="68">
        <v>10</v>
      </c>
      <c r="B12" s="69" t="s">
        <v>173</v>
      </c>
      <c r="C12" s="70">
        <v>-32.299999999999997</v>
      </c>
      <c r="D12" s="71" t="s">
        <v>168</v>
      </c>
      <c r="E12" s="83">
        <v>-17.733333333333334</v>
      </c>
      <c r="F12" s="71" t="s">
        <v>168</v>
      </c>
      <c r="G12" s="72">
        <v>3</v>
      </c>
      <c r="H12" s="71" t="s">
        <v>170</v>
      </c>
      <c r="I12" s="73">
        <v>0</v>
      </c>
      <c r="J12" s="71" t="s">
        <v>166</v>
      </c>
      <c r="K12" s="73">
        <v>0.5</v>
      </c>
      <c r="L12" s="71" t="s">
        <v>165</v>
      </c>
      <c r="M12" s="73">
        <v>0.33333333333333331</v>
      </c>
      <c r="N12" s="71" t="s">
        <v>165</v>
      </c>
      <c r="O12" s="74">
        <v>0.14814814814814814</v>
      </c>
      <c r="P12" s="71" t="s">
        <v>166</v>
      </c>
      <c r="Q12" s="74">
        <v>0.15</v>
      </c>
      <c r="R12" s="71" t="s">
        <v>167</v>
      </c>
      <c r="S12" s="75">
        <v>5300</v>
      </c>
      <c r="T12" s="71" t="s">
        <v>165</v>
      </c>
      <c r="U12" s="75">
        <v>-6840</v>
      </c>
      <c r="V12" s="71" t="s">
        <v>171</v>
      </c>
      <c r="W12" s="74">
        <v>0.2857142857142857</v>
      </c>
      <c r="X12" s="71" t="s">
        <v>165</v>
      </c>
      <c r="Y12" s="74">
        <v>0.1111111111111111</v>
      </c>
      <c r="Z12" s="71" t="s">
        <v>165</v>
      </c>
      <c r="AA12" s="74">
        <v>0.4</v>
      </c>
      <c r="AB12" s="71" t="s">
        <v>171</v>
      </c>
      <c r="AC12" s="74">
        <v>0</v>
      </c>
      <c r="AD12" s="71" t="s">
        <v>168</v>
      </c>
      <c r="AE12" s="74">
        <v>0</v>
      </c>
      <c r="AF12" s="71" t="s">
        <v>168</v>
      </c>
      <c r="AG12" s="78">
        <v>31900</v>
      </c>
    </row>
    <row r="13" spans="1:33">
      <c r="A13" s="68">
        <v>11</v>
      </c>
      <c r="B13" s="69" t="s">
        <v>185</v>
      </c>
      <c r="C13" s="70">
        <v>-52.6</v>
      </c>
      <c r="D13" s="71" t="s">
        <v>167</v>
      </c>
      <c r="E13" s="83">
        <v>-25.1</v>
      </c>
      <c r="F13" s="71" t="s">
        <v>167</v>
      </c>
      <c r="G13" s="72">
        <v>3</v>
      </c>
      <c r="H13" s="71" t="s">
        <v>171</v>
      </c>
      <c r="I13" s="73">
        <v>0</v>
      </c>
      <c r="J13" s="71" t="s">
        <v>170</v>
      </c>
      <c r="K13" s="73">
        <v>0.5</v>
      </c>
      <c r="L13" s="71" t="s">
        <v>173</v>
      </c>
      <c r="M13" s="73">
        <v>0.33333333333333331</v>
      </c>
      <c r="N13" s="71" t="s">
        <v>168</v>
      </c>
      <c r="O13" s="74">
        <v>0.1111111111111111</v>
      </c>
      <c r="P13" s="71" t="s">
        <v>173</v>
      </c>
      <c r="Q13" s="74">
        <v>0.15384615384615385</v>
      </c>
      <c r="R13" s="71" t="s">
        <v>184</v>
      </c>
      <c r="S13" s="75">
        <v>4550</v>
      </c>
      <c r="T13" s="71" t="s">
        <v>167</v>
      </c>
      <c r="U13" s="75">
        <v>-12000</v>
      </c>
      <c r="V13" s="71" t="s">
        <v>184</v>
      </c>
      <c r="W13" s="74">
        <v>0.2857142857142857</v>
      </c>
      <c r="X13" s="71" t="s">
        <v>166</v>
      </c>
      <c r="Y13" s="74">
        <v>0.05</v>
      </c>
      <c r="Z13" s="71" t="s">
        <v>173</v>
      </c>
      <c r="AA13" s="74">
        <v>0.4</v>
      </c>
      <c r="AB13" s="71" t="s">
        <v>180</v>
      </c>
      <c r="AC13" s="74">
        <v>0</v>
      </c>
      <c r="AD13" s="71" t="s">
        <v>167</v>
      </c>
      <c r="AE13" s="74">
        <v>0</v>
      </c>
      <c r="AF13" s="71" t="s">
        <v>170</v>
      </c>
      <c r="AG13" s="78">
        <v>23700</v>
      </c>
    </row>
    <row r="14" spans="1:33">
      <c r="A14" s="68">
        <v>12</v>
      </c>
      <c r="B14" s="69" t="s">
        <v>168</v>
      </c>
      <c r="C14" s="70">
        <v>-53.2</v>
      </c>
      <c r="D14" s="71" t="s">
        <v>170</v>
      </c>
      <c r="E14" s="83">
        <v>-28.599999999999998</v>
      </c>
      <c r="F14" s="71" t="s">
        <v>170</v>
      </c>
      <c r="G14" s="72">
        <v>3</v>
      </c>
      <c r="H14" s="71" t="s">
        <v>180</v>
      </c>
      <c r="I14" s="73">
        <v>0</v>
      </c>
      <c r="J14" s="71" t="s">
        <v>182</v>
      </c>
      <c r="K14" s="73">
        <v>0.5</v>
      </c>
      <c r="L14" s="71" t="s">
        <v>167</v>
      </c>
      <c r="M14" s="73">
        <v>0</v>
      </c>
      <c r="N14" s="71" t="s">
        <v>173</v>
      </c>
      <c r="O14" s="74">
        <v>7.6923076923076927E-2</v>
      </c>
      <c r="P14" s="71" t="s">
        <v>165</v>
      </c>
      <c r="Q14" s="74">
        <v>0.18518518518518517</v>
      </c>
      <c r="R14" s="71" t="s">
        <v>170</v>
      </c>
      <c r="S14" s="75">
        <v>2166.6666666666665</v>
      </c>
      <c r="T14" s="71" t="s">
        <v>172</v>
      </c>
      <c r="U14" s="75">
        <v>-12000</v>
      </c>
      <c r="V14" s="71" t="s">
        <v>167</v>
      </c>
      <c r="W14" s="74">
        <v>0.4</v>
      </c>
      <c r="X14" s="71" t="s">
        <v>180</v>
      </c>
      <c r="Y14" s="74">
        <v>0</v>
      </c>
      <c r="Z14" s="71" t="s">
        <v>168</v>
      </c>
      <c r="AA14" s="74">
        <v>0.16666666666666666</v>
      </c>
      <c r="AB14" s="71" t="s">
        <v>185</v>
      </c>
      <c r="AC14" s="74">
        <v>0</v>
      </c>
      <c r="AD14" s="71" t="s">
        <v>173</v>
      </c>
      <c r="AE14" s="74">
        <v>0</v>
      </c>
      <c r="AF14" s="71" t="s">
        <v>167</v>
      </c>
      <c r="AG14" s="78">
        <v>14900</v>
      </c>
    </row>
    <row r="15" spans="1:33">
      <c r="A15" s="68">
        <v>13</v>
      </c>
      <c r="B15" s="69" t="s">
        <v>170</v>
      </c>
      <c r="C15" s="70">
        <v>-57.199999999999996</v>
      </c>
      <c r="D15" s="71" t="s">
        <v>185</v>
      </c>
      <c r="E15" s="83">
        <v>-52.6</v>
      </c>
      <c r="F15" s="71" t="s">
        <v>185</v>
      </c>
      <c r="G15" s="72">
        <v>4</v>
      </c>
      <c r="H15" s="71" t="s">
        <v>185</v>
      </c>
      <c r="I15" s="73">
        <v>0</v>
      </c>
      <c r="J15" s="71" t="s">
        <v>185</v>
      </c>
      <c r="K15" s="73">
        <v>1</v>
      </c>
      <c r="L15" s="71" t="s">
        <v>185</v>
      </c>
      <c r="M15" s="73">
        <v>0</v>
      </c>
      <c r="N15" s="71" t="s">
        <v>185</v>
      </c>
      <c r="O15" s="74">
        <v>0</v>
      </c>
      <c r="P15" s="71" t="s">
        <v>185</v>
      </c>
      <c r="Q15" s="74">
        <v>0.2857142857142857</v>
      </c>
      <c r="R15" s="71" t="s">
        <v>185</v>
      </c>
      <c r="S15" s="75">
        <v>0</v>
      </c>
      <c r="T15" s="71" t="s">
        <v>170</v>
      </c>
      <c r="U15" s="75">
        <v>-18000</v>
      </c>
      <c r="V15" s="71" t="s">
        <v>166</v>
      </c>
      <c r="W15" s="74">
        <v>0.45</v>
      </c>
      <c r="X15" s="71" t="s">
        <v>184</v>
      </c>
      <c r="Y15" s="74">
        <v>0</v>
      </c>
      <c r="Z15" s="71" t="s">
        <v>185</v>
      </c>
      <c r="AA15" s="74">
        <v>0</v>
      </c>
      <c r="AB15" s="71" t="s">
        <v>184</v>
      </c>
      <c r="AC15" s="74">
        <v>0</v>
      </c>
      <c r="AD15" s="71" t="s">
        <v>185</v>
      </c>
      <c r="AE15" s="74">
        <v>0</v>
      </c>
      <c r="AF15" s="71" t="s">
        <v>185</v>
      </c>
      <c r="AG15" s="78">
        <v>7400</v>
      </c>
    </row>
  </sheetData>
  <sortState xmlns:xlrd2="http://schemas.microsoft.com/office/spreadsheetml/2017/richdata2" ref="AF3:AG44">
    <sortCondition descending="1" ref="AG1"/>
  </sortState>
  <mergeCells count="32">
    <mergeCell ref="AD2:AE2"/>
    <mergeCell ref="P1:Q1"/>
    <mergeCell ref="AF2:AG2"/>
    <mergeCell ref="V2:W2"/>
    <mergeCell ref="X2:Y2"/>
    <mergeCell ref="Z2:AA2"/>
    <mergeCell ref="AB2:AC2"/>
    <mergeCell ref="P2:Q2"/>
    <mergeCell ref="R2:S2"/>
    <mergeCell ref="T2:U2"/>
    <mergeCell ref="AF1:AG1"/>
    <mergeCell ref="R1:S1"/>
    <mergeCell ref="T1:U1"/>
    <mergeCell ref="AD1:AE1"/>
    <mergeCell ref="V1:W1"/>
    <mergeCell ref="X1:Y1"/>
    <mergeCell ref="B2:C2"/>
    <mergeCell ref="D2:E2"/>
    <mergeCell ref="F2:G2"/>
    <mergeCell ref="H2:I2"/>
    <mergeCell ref="N2:O2"/>
    <mergeCell ref="J2:K2"/>
    <mergeCell ref="L2:M2"/>
    <mergeCell ref="Z1:AA1"/>
    <mergeCell ref="AB1:AC1"/>
    <mergeCell ref="B1:C1"/>
    <mergeCell ref="D1:E1"/>
    <mergeCell ref="F1:G1"/>
    <mergeCell ref="H1:I1"/>
    <mergeCell ref="N1:O1"/>
    <mergeCell ref="J1:K1"/>
    <mergeCell ref="L1:M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C2E071-18B9-4B7A-AE6D-DF7148643A8A}">
  <sheetPr codeName="Sheet4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6" t="s">
        <v>118</v>
      </c>
      <c r="C1" s="14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48">
        <v>24</v>
      </c>
      <c r="C2" s="149"/>
      <c r="E2" s="54" t="s">
        <v>186</v>
      </c>
      <c r="F2" s="51" t="s">
        <v>160</v>
      </c>
      <c r="G2" s="39">
        <v>26</v>
      </c>
      <c r="H2" s="117">
        <f>IF(B$17=0,0,G2/B$17)</f>
        <v>0.63414634146341464</v>
      </c>
      <c r="I2" s="79">
        <v>6</v>
      </c>
      <c r="K2" s="30">
        <v>0</v>
      </c>
      <c r="L2" s="84">
        <v>0</v>
      </c>
      <c r="N2" s="99" t="s">
        <v>107</v>
      </c>
      <c r="O2" s="106">
        <f t="shared" ref="O2:O9" si="0">IF(P2=0,0,Q2/P2)</f>
        <v>-83.333333333333329</v>
      </c>
      <c r="P2" s="103">
        <v>24</v>
      </c>
      <c r="Q2" s="87">
        <v>-2000</v>
      </c>
    </row>
    <row r="3" spans="1:17">
      <c r="A3" s="47" t="s">
        <v>8</v>
      </c>
      <c r="B3" s="150">
        <v>204</v>
      </c>
      <c r="C3" s="151"/>
      <c r="E3" s="55" t="s">
        <v>55</v>
      </c>
      <c r="F3" s="52" t="s">
        <v>20</v>
      </c>
      <c r="G3" s="40">
        <v>25</v>
      </c>
      <c r="H3" s="118">
        <f>IF(B$17=0,0,G3/B$17)</f>
        <v>0.6097560975609756</v>
      </c>
      <c r="I3" s="80">
        <v>5</v>
      </c>
      <c r="K3" s="32">
        <v>1</v>
      </c>
      <c r="L3" s="85">
        <v>11.9</v>
      </c>
      <c r="N3" s="100" t="s">
        <v>108</v>
      </c>
      <c r="O3" s="107">
        <f t="shared" si="0"/>
        <v>41.666666666666664</v>
      </c>
      <c r="P3" s="104">
        <v>24</v>
      </c>
      <c r="Q3" s="88">
        <v>1000</v>
      </c>
    </row>
    <row r="4" spans="1:17">
      <c r="A4" s="47" t="s">
        <v>6</v>
      </c>
      <c r="B4" s="152">
        <v>-0.99999999999998934</v>
      </c>
      <c r="C4" s="153"/>
      <c r="E4" s="55" t="s">
        <v>56</v>
      </c>
      <c r="F4" s="52" t="s">
        <v>159</v>
      </c>
      <c r="G4" s="40">
        <v>18</v>
      </c>
      <c r="H4" s="118">
        <f>IF(B$17=0,0,G4/B$17)</f>
        <v>0.43902439024390244</v>
      </c>
      <c r="I4" s="80">
        <v>6</v>
      </c>
      <c r="K4" s="32">
        <v>2</v>
      </c>
      <c r="L4" s="85">
        <v>86.800000000000011</v>
      </c>
      <c r="N4" s="100" t="s">
        <v>109</v>
      </c>
      <c r="O4" s="107">
        <f t="shared" si="0"/>
        <v>-41.666666666666664</v>
      </c>
      <c r="P4" s="104">
        <v>24</v>
      </c>
      <c r="Q4" s="88">
        <v>-1000</v>
      </c>
    </row>
    <row r="5" spans="1:17">
      <c r="A5" s="47" t="s">
        <v>7</v>
      </c>
      <c r="B5" s="154">
        <f>IF(B$2=0,0,B$4/B$2)</f>
        <v>-4.166666666666622E-2</v>
      </c>
      <c r="C5" s="155"/>
      <c r="E5" s="55" t="s">
        <v>189</v>
      </c>
      <c r="F5" s="52" t="s">
        <v>195</v>
      </c>
      <c r="G5" s="40">
        <v>16</v>
      </c>
      <c r="H5" s="118">
        <f>IF(B$17=0,0,G5/B$17)</f>
        <v>0.3902439024390244</v>
      </c>
      <c r="I5" s="80">
        <v>5</v>
      </c>
      <c r="K5" s="32">
        <v>3</v>
      </c>
      <c r="L5" s="85">
        <v>25.100000000000009</v>
      </c>
      <c r="N5" s="100" t="s">
        <v>161</v>
      </c>
      <c r="O5" s="107">
        <f>IF(P5=0,0,Q5/P5)</f>
        <v>41.666666666666664</v>
      </c>
      <c r="P5" s="104">
        <v>24</v>
      </c>
      <c r="Q5" s="88">
        <v>1000</v>
      </c>
    </row>
    <row r="6" spans="1:17">
      <c r="A6" s="47" t="s">
        <v>1</v>
      </c>
      <c r="B6" s="156">
        <f>IF(B$2=0,0,(B$7*1+B$8*2+B$9*3+B$10*4)/B$2)</f>
        <v>2.5</v>
      </c>
      <c r="C6" s="157"/>
      <c r="E6" s="55" t="s">
        <v>57</v>
      </c>
      <c r="F6" s="52" t="s">
        <v>190</v>
      </c>
      <c r="G6" s="40">
        <v>13</v>
      </c>
      <c r="H6" s="118">
        <f>IF(B$17=0,0,G6/B$17)</f>
        <v>0.31707317073170732</v>
      </c>
      <c r="I6" s="80">
        <v>6</v>
      </c>
      <c r="K6" s="32">
        <v>4</v>
      </c>
      <c r="L6" s="85">
        <v>7.1054273576010019E-15</v>
      </c>
      <c r="N6" s="100" t="s">
        <v>110</v>
      </c>
      <c r="O6" s="107">
        <f t="shared" ref="O6" si="1">IF(P6=0,0,Q6/P6)</f>
        <v>0</v>
      </c>
      <c r="P6" s="104">
        <v>20</v>
      </c>
      <c r="Q6" s="88">
        <v>0</v>
      </c>
    </row>
    <row r="7" spans="1:17">
      <c r="A7" s="47" t="s">
        <v>2</v>
      </c>
      <c r="B7" s="40">
        <v>6</v>
      </c>
      <c r="C7" s="33">
        <f t="shared" ref="C7:C12" si="2">IF(B$2=0,0,B7/B$2)</f>
        <v>0.25</v>
      </c>
      <c r="E7" s="55" t="s">
        <v>58</v>
      </c>
      <c r="F7" s="52" t="s">
        <v>21</v>
      </c>
      <c r="G7" s="40">
        <v>12</v>
      </c>
      <c r="H7" s="118">
        <f>IF(B$17=0,0,G7/B$17)</f>
        <v>0.29268292682926828</v>
      </c>
      <c r="I7" s="80">
        <v>7</v>
      </c>
      <c r="K7" s="32">
        <v>5</v>
      </c>
      <c r="L7" s="85">
        <v>-14.199999999999992</v>
      </c>
      <c r="N7" s="100" t="s">
        <v>111</v>
      </c>
      <c r="O7" s="107">
        <f t="shared" si="0"/>
        <v>0</v>
      </c>
      <c r="P7" s="104">
        <v>20</v>
      </c>
      <c r="Q7" s="88">
        <v>0</v>
      </c>
    </row>
    <row r="8" spans="1:17">
      <c r="A8" s="47" t="s">
        <v>3</v>
      </c>
      <c r="B8" s="40">
        <v>6</v>
      </c>
      <c r="C8" s="33">
        <f>IF(B$2=0,0,B8/B$2)</f>
        <v>0.25</v>
      </c>
      <c r="E8" s="55" t="s">
        <v>61</v>
      </c>
      <c r="F8" s="52" t="s">
        <v>24</v>
      </c>
      <c r="G8" s="40">
        <v>12</v>
      </c>
      <c r="H8" s="118">
        <f>IF(B$17=0,0,G8/B$17)</f>
        <v>0.29268292682926828</v>
      </c>
      <c r="I8" s="80">
        <v>5</v>
      </c>
      <c r="K8" s="32">
        <v>6</v>
      </c>
      <c r="L8" s="85">
        <v>-75.099999999999994</v>
      </c>
      <c r="N8" s="100" t="s">
        <v>112</v>
      </c>
      <c r="O8" s="107">
        <f t="shared" si="0"/>
        <v>0</v>
      </c>
      <c r="P8" s="104">
        <v>12</v>
      </c>
      <c r="Q8" s="88">
        <v>0</v>
      </c>
    </row>
    <row r="9" spans="1:17">
      <c r="A9" s="48" t="s">
        <v>4</v>
      </c>
      <c r="B9" s="41">
        <v>6</v>
      </c>
      <c r="C9" s="34">
        <f>IF(B$2=0,0,B9/B$2)</f>
        <v>0.25</v>
      </c>
      <c r="E9" s="55" t="s">
        <v>187</v>
      </c>
      <c r="F9" s="52" t="s">
        <v>19</v>
      </c>
      <c r="G9" s="40">
        <v>8</v>
      </c>
      <c r="H9" s="118">
        <f>IF(B$17=0,0,G9/B$17)</f>
        <v>0.1951219512195122</v>
      </c>
      <c r="I9" s="80">
        <v>6</v>
      </c>
      <c r="K9" s="32">
        <v>7</v>
      </c>
      <c r="L9" s="85">
        <v>-61.099999999999994</v>
      </c>
      <c r="N9" s="101" t="s">
        <v>162</v>
      </c>
      <c r="O9" s="108">
        <f t="shared" si="0"/>
        <v>0</v>
      </c>
      <c r="P9" s="105">
        <v>8</v>
      </c>
      <c r="Q9" s="89">
        <v>0</v>
      </c>
    </row>
    <row r="10" spans="1:17">
      <c r="A10" s="48" t="s">
        <v>156</v>
      </c>
      <c r="B10" s="41">
        <v>6</v>
      </c>
      <c r="C10" s="34">
        <f>IF(B$2=0,0,B10/B$2)</f>
        <v>0.25</v>
      </c>
      <c r="E10" s="55" t="s">
        <v>60</v>
      </c>
      <c r="F10" s="52" t="s">
        <v>23</v>
      </c>
      <c r="G10" s="40">
        <v>5</v>
      </c>
      <c r="H10" s="118">
        <f>IF(B$17=0,0,G10/B$17)</f>
        <v>0.12195121951219512</v>
      </c>
      <c r="I10" s="80">
        <v>5</v>
      </c>
      <c r="K10" s="32">
        <v>8</v>
      </c>
      <c r="L10" s="85">
        <v>7.1054273576010019E-15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12</v>
      </c>
      <c r="C11" s="34">
        <f>IF(B$2=0,0,B11/B$2)</f>
        <v>0.5</v>
      </c>
      <c r="E11" s="55" t="s">
        <v>59</v>
      </c>
      <c r="F11" s="52" t="s">
        <v>22</v>
      </c>
      <c r="G11" s="40">
        <v>2</v>
      </c>
      <c r="H11" s="118">
        <f>IF(B$17=0,0,G11/B$17)</f>
        <v>4.878048780487805E-2</v>
      </c>
      <c r="I11" s="80">
        <v>3</v>
      </c>
      <c r="K11" s="32">
        <v>9</v>
      </c>
      <c r="L11" s="85">
        <v>-52.099999999999994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3</v>
      </c>
      <c r="C12" s="36">
        <f t="shared" si="2"/>
        <v>0.125</v>
      </c>
      <c r="E12" s="55" t="s">
        <v>68</v>
      </c>
      <c r="F12" s="52" t="s">
        <v>31</v>
      </c>
      <c r="G12" s="40">
        <v>1</v>
      </c>
      <c r="H12" s="118">
        <f>IF(B$17=0,0,G12/B$17)</f>
        <v>2.4390243902439025E-2</v>
      </c>
      <c r="I12" s="80">
        <v>2</v>
      </c>
      <c r="K12" s="32">
        <v>10</v>
      </c>
      <c r="L12" s="85">
        <v>-38.499999999999993</v>
      </c>
      <c r="N12" s="99" t="s">
        <v>130</v>
      </c>
      <c r="O12" s="109">
        <f>IF(P12=0,0,Q12/P12)</f>
        <v>-12.9</v>
      </c>
      <c r="P12" s="103">
        <v>6</v>
      </c>
      <c r="Q12" s="91">
        <v>-77.400000000000006</v>
      </c>
    </row>
    <row r="13" spans="1:17">
      <c r="A13" s="50" t="s">
        <v>101</v>
      </c>
      <c r="B13" s="43">
        <v>50</v>
      </c>
      <c r="C13" s="38">
        <f>IF(B$3=0,0,B13/B$3)</f>
        <v>0.24509803921568626</v>
      </c>
      <c r="E13" s="55" t="s">
        <v>188</v>
      </c>
      <c r="F13" s="52" t="s">
        <v>191</v>
      </c>
      <c r="G13" s="40">
        <v>1</v>
      </c>
      <c r="H13" s="118">
        <f>IF(B$17=0,0,G13/B$17)</f>
        <v>2.4390243902439025E-2</v>
      </c>
      <c r="I13" s="80">
        <v>2</v>
      </c>
      <c r="K13" s="32">
        <v>11</v>
      </c>
      <c r="L13" s="85">
        <v>18.100000000000009</v>
      </c>
      <c r="N13" s="100" t="s">
        <v>131</v>
      </c>
      <c r="O13" s="110">
        <f>IF(P13=0,0,Q13/P13)</f>
        <v>-5.333333333333333</v>
      </c>
      <c r="P13" s="104">
        <v>6</v>
      </c>
      <c r="Q13" s="92">
        <v>-31.999999999999996</v>
      </c>
    </row>
    <row r="14" spans="1:17">
      <c r="A14" s="47" t="s">
        <v>98</v>
      </c>
      <c r="B14" s="40">
        <v>30</v>
      </c>
      <c r="C14" s="33">
        <f>IF(B$3=0,0,B14/B$3)</f>
        <v>0.14705882352941177</v>
      </c>
      <c r="E14" s="55" t="s">
        <v>70</v>
      </c>
      <c r="F14" s="52" t="s">
        <v>33</v>
      </c>
      <c r="G14" s="40">
        <v>1</v>
      </c>
      <c r="H14" s="118">
        <f>IF(B$17=0,0,G14/B$17)</f>
        <v>2.4390243902439025E-2</v>
      </c>
      <c r="I14" s="80">
        <v>2</v>
      </c>
      <c r="K14" s="32">
        <v>12</v>
      </c>
      <c r="L14" s="85">
        <v>7.1054273576010019E-15</v>
      </c>
      <c r="N14" s="100" t="s">
        <v>132</v>
      </c>
      <c r="O14" s="110">
        <f>IF(P14=0,0,Q14/P14)</f>
        <v>14.433333333333332</v>
      </c>
      <c r="P14" s="104">
        <v>6</v>
      </c>
      <c r="Q14" s="92">
        <v>86.6</v>
      </c>
    </row>
    <row r="15" spans="1:17">
      <c r="A15" s="46" t="s">
        <v>103</v>
      </c>
      <c r="B15" s="39">
        <f>B21</f>
        <v>27</v>
      </c>
      <c r="C15" s="31">
        <f>IF(B$13=0,0,B15/B$13)</f>
        <v>0.54</v>
      </c>
      <c r="E15" s="55" t="s">
        <v>72</v>
      </c>
      <c r="F15" s="52" t="s">
        <v>35</v>
      </c>
      <c r="G15" s="40">
        <v>1</v>
      </c>
      <c r="H15" s="118">
        <f>IF(B$17=0,0,G15/B$17)</f>
        <v>2.4390243902439025E-2</v>
      </c>
      <c r="I15" s="80">
        <v>2</v>
      </c>
      <c r="K15" s="32">
        <v>13</v>
      </c>
      <c r="L15" s="85">
        <v>62.500000000000007</v>
      </c>
      <c r="N15" s="101" t="s">
        <v>163</v>
      </c>
      <c r="O15" s="111">
        <f>IF(P15=0,0,Q15/P15)</f>
        <v>3.6333333333333329</v>
      </c>
      <c r="P15" s="105">
        <v>6</v>
      </c>
      <c r="Q15" s="93">
        <v>21.799999999999997</v>
      </c>
    </row>
    <row r="16" spans="1:17">
      <c r="A16" s="46" t="s">
        <v>104</v>
      </c>
      <c r="B16" s="39">
        <f>B22</f>
        <v>7</v>
      </c>
      <c r="C16" s="31">
        <f>IF(B$14=0,0,B16/B$14)</f>
        <v>0.23333333333333334</v>
      </c>
      <c r="E16" s="55" t="s">
        <v>75</v>
      </c>
      <c r="F16" s="52" t="s">
        <v>38</v>
      </c>
      <c r="G16" s="40">
        <v>1</v>
      </c>
      <c r="H16" s="118">
        <f>IF(B$17=0,0,G16/B$17)</f>
        <v>2.4390243902439025E-2</v>
      </c>
      <c r="I16" s="80">
        <v>2</v>
      </c>
      <c r="K16" s="32">
        <v>14</v>
      </c>
      <c r="L16" s="85">
        <v>77.300000000000011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41</v>
      </c>
      <c r="C17" s="31">
        <f>IF(B$3=0,0,B17/B$3)</f>
        <v>0.20098039215686275</v>
      </c>
      <c r="E17" s="55" t="s">
        <v>62</v>
      </c>
      <c r="F17" s="52" t="s">
        <v>25</v>
      </c>
      <c r="G17" s="40">
        <v>0</v>
      </c>
      <c r="H17" s="118">
        <f>IF(B$17=0,0,G17/B$17)</f>
        <v>0</v>
      </c>
      <c r="I17" s="80">
        <v>1</v>
      </c>
      <c r="K17" s="32">
        <v>15</v>
      </c>
      <c r="L17" s="85">
        <v>13.000000000000014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24</v>
      </c>
      <c r="C18" s="33">
        <f>IF(B$3=0,0,B18/B$3)</f>
        <v>0.11764705882352941</v>
      </c>
      <c r="E18" s="55" t="s">
        <v>63</v>
      </c>
      <c r="F18" s="52" t="s">
        <v>26</v>
      </c>
      <c r="G18" s="40">
        <v>0</v>
      </c>
      <c r="H18" s="118">
        <f>IF(B$17=0,0,G18/B$17)</f>
        <v>0</v>
      </c>
      <c r="I18" s="80">
        <v>1</v>
      </c>
      <c r="K18" s="32">
        <v>16</v>
      </c>
      <c r="L18" s="85">
        <v>1.4210854715202004E-14</v>
      </c>
      <c r="N18" s="99" t="s">
        <v>185</v>
      </c>
      <c r="O18" s="109">
        <f>IF(P18=0,0,Q18/P18)</f>
        <v>69.8</v>
      </c>
      <c r="P18" s="103">
        <v>3</v>
      </c>
      <c r="Q18" s="91">
        <v>209.39999999999998</v>
      </c>
    </row>
    <row r="19" spans="1:17">
      <c r="A19" s="47" t="s">
        <v>12</v>
      </c>
      <c r="B19" s="40">
        <v>17</v>
      </c>
      <c r="C19" s="33">
        <f>IF(B$17=0,0,B19/B$17)</f>
        <v>0.41463414634146339</v>
      </c>
      <c r="E19" s="55" t="s">
        <v>64</v>
      </c>
      <c r="F19" s="52" t="s">
        <v>27</v>
      </c>
      <c r="G19" s="40">
        <v>0</v>
      </c>
      <c r="H19" s="118">
        <f>IF(B$17=0,0,G19/B$17)</f>
        <v>0</v>
      </c>
      <c r="I19" s="80">
        <v>1</v>
      </c>
      <c r="K19" s="32">
        <v>17</v>
      </c>
      <c r="L19" s="85">
        <v>-32.899999999999984</v>
      </c>
      <c r="N19" s="100" t="s">
        <v>170</v>
      </c>
      <c r="O19" s="110">
        <f>IF(P19=0,0,Q19/P19)</f>
        <v>38.133333333333333</v>
      </c>
      <c r="P19" s="104">
        <v>6</v>
      </c>
      <c r="Q19" s="92">
        <v>228.8</v>
      </c>
    </row>
    <row r="20" spans="1:17">
      <c r="A20" s="47" t="s">
        <v>11</v>
      </c>
      <c r="B20" s="40">
        <v>24</v>
      </c>
      <c r="C20" s="33">
        <f>IF(B$17=0,0,B20/B$17)</f>
        <v>0.58536585365853655</v>
      </c>
      <c r="E20" s="55" t="s">
        <v>65</v>
      </c>
      <c r="F20" s="52" t="s">
        <v>28</v>
      </c>
      <c r="G20" s="40">
        <v>0</v>
      </c>
      <c r="H20" s="118">
        <f>IF(B$17=0,0,G20/B$17)</f>
        <v>0</v>
      </c>
      <c r="I20" s="80">
        <v>1</v>
      </c>
      <c r="K20" s="32">
        <v>18</v>
      </c>
      <c r="L20" s="85">
        <v>-91.499999999999986</v>
      </c>
      <c r="N20" s="100" t="s">
        <v>167</v>
      </c>
      <c r="O20" s="110">
        <f>IF(P20=0,0,Q20/P20)</f>
        <v>33.466666666666669</v>
      </c>
      <c r="P20" s="104">
        <v>3</v>
      </c>
      <c r="Q20" s="92">
        <v>100.4</v>
      </c>
    </row>
    <row r="21" spans="1:17">
      <c r="A21" s="47" t="s">
        <v>155</v>
      </c>
      <c r="B21" s="40">
        <v>27</v>
      </c>
      <c r="C21" s="33">
        <f>IF(B$17=0,0,B21/B$17)</f>
        <v>0.65853658536585369</v>
      </c>
      <c r="E21" s="55" t="s">
        <v>66</v>
      </c>
      <c r="F21" s="52" t="s">
        <v>29</v>
      </c>
      <c r="G21" s="40">
        <v>0</v>
      </c>
      <c r="H21" s="118">
        <f>IF(B$17=0,0,G21/B$17)</f>
        <v>0</v>
      </c>
      <c r="I21" s="80">
        <v>1</v>
      </c>
      <c r="K21" s="32">
        <v>19</v>
      </c>
      <c r="L21" s="85">
        <v>-3.6999999999999886</v>
      </c>
      <c r="N21" s="100" t="s">
        <v>168</v>
      </c>
      <c r="O21" s="110">
        <f>IF(P21=0,0,Q21/P21)</f>
        <v>23.644444444444446</v>
      </c>
      <c r="P21" s="104">
        <v>9</v>
      </c>
      <c r="Q21" s="92">
        <v>212.8</v>
      </c>
    </row>
    <row r="22" spans="1:17">
      <c r="A22" s="47" t="s">
        <v>153</v>
      </c>
      <c r="B22" s="40">
        <v>7</v>
      </c>
      <c r="C22" s="33">
        <f>IF(B$17=0,0,B22/B$17)</f>
        <v>0.17073170731707318</v>
      </c>
      <c r="E22" s="55" t="s">
        <v>67</v>
      </c>
      <c r="F22" s="52" t="s">
        <v>30</v>
      </c>
      <c r="G22" s="40">
        <v>0</v>
      </c>
      <c r="H22" s="118">
        <f>IF(B$17=0,0,G22/B$17)</f>
        <v>0</v>
      </c>
      <c r="I22" s="80">
        <v>1</v>
      </c>
      <c r="K22" s="32">
        <v>20</v>
      </c>
      <c r="L22" s="85">
        <v>1.1546319456101628E-14</v>
      </c>
      <c r="N22" s="100" t="s">
        <v>173</v>
      </c>
      <c r="O22" s="110">
        <f>IF(P22=0,0,Q22/P22)</f>
        <v>14.355555555555554</v>
      </c>
      <c r="P22" s="104">
        <v>9</v>
      </c>
      <c r="Q22" s="92">
        <v>129.19999999999999</v>
      </c>
    </row>
    <row r="23" spans="1:17">
      <c r="A23" s="47" t="s">
        <v>154</v>
      </c>
      <c r="B23" s="40">
        <v>7</v>
      </c>
      <c r="C23" s="33">
        <f>IF(B$17=0,0,B23/B$17)</f>
        <v>0.17073170731707318</v>
      </c>
      <c r="E23" s="55" t="s">
        <v>69</v>
      </c>
      <c r="F23" s="52" t="s">
        <v>32</v>
      </c>
      <c r="G23" s="40">
        <v>0</v>
      </c>
      <c r="H23" s="118">
        <f>IF(B$17=0,0,G23/B$17)</f>
        <v>0</v>
      </c>
      <c r="I23" s="80">
        <v>1</v>
      </c>
      <c r="K23" s="32">
        <v>21</v>
      </c>
      <c r="L23" s="85">
        <v>-52.599999999999987</v>
      </c>
      <c r="N23" s="100" t="s">
        <v>165</v>
      </c>
      <c r="O23" s="110">
        <f>IF(P23=0,0,Q23/P23)</f>
        <v>3.3333333333333335</v>
      </c>
      <c r="P23" s="104">
        <v>9</v>
      </c>
      <c r="Q23" s="92">
        <v>30</v>
      </c>
    </row>
    <row r="24" spans="1:17">
      <c r="A24" s="47" t="s">
        <v>5</v>
      </c>
      <c r="B24" s="44">
        <f>IF(B$17=0,0,C24/B$17)</f>
        <v>6763.4146341463411</v>
      </c>
      <c r="C24" s="35">
        <v>277300</v>
      </c>
      <c r="E24" s="55" t="s">
        <v>71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K24" s="32">
        <v>22</v>
      </c>
      <c r="L24" s="85">
        <v>-68.399999999999991</v>
      </c>
      <c r="N24" s="100" t="s">
        <v>180</v>
      </c>
      <c r="O24" s="110">
        <f>IF(P24=0,0,Q24/P24)</f>
        <v>1.3</v>
      </c>
      <c r="P24" s="104">
        <v>6</v>
      </c>
      <c r="Q24" s="92">
        <v>7.8000000000000007</v>
      </c>
    </row>
    <row r="25" spans="1:17">
      <c r="A25" s="48" t="s">
        <v>137</v>
      </c>
      <c r="B25" s="121">
        <f>IF($B$17-B$16=0,0,C25/($B$17-B$16))</f>
        <v>7579.411764705882</v>
      </c>
      <c r="C25" s="122">
        <v>257700</v>
      </c>
      <c r="E25" s="55" t="s">
        <v>73</v>
      </c>
      <c r="F25" s="52" t="s">
        <v>36</v>
      </c>
      <c r="G25" s="40">
        <v>0</v>
      </c>
      <c r="H25" s="118">
        <f>IF(B$17=0,0,G25/B$17)</f>
        <v>0</v>
      </c>
      <c r="I25" s="80">
        <v>1</v>
      </c>
      <c r="K25" s="32">
        <v>23</v>
      </c>
      <c r="L25" s="85">
        <v>-14.199999999999989</v>
      </c>
      <c r="N25" s="100" t="s">
        <v>182</v>
      </c>
      <c r="O25" s="110">
        <f>IF(P25=0,0,Q25/P25)</f>
        <v>-2.6</v>
      </c>
      <c r="P25" s="104">
        <v>6</v>
      </c>
      <c r="Q25" s="92">
        <v>-15.600000000000001</v>
      </c>
    </row>
    <row r="26" spans="1:17">
      <c r="A26" s="48" t="s">
        <v>138</v>
      </c>
      <c r="B26" s="121">
        <f>IF(B$16=0,0,C26/B$16)</f>
        <v>2800</v>
      </c>
      <c r="C26" s="122">
        <v>19600</v>
      </c>
      <c r="E26" s="55" t="s">
        <v>74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K26" s="32">
        <v>24</v>
      </c>
      <c r="L26" s="85">
        <v>-0.99999999999998934</v>
      </c>
      <c r="N26" s="100" t="s">
        <v>166</v>
      </c>
      <c r="O26" s="110">
        <f>IF(P26=0,0,Q26/P26)</f>
        <v>-17.399999999999999</v>
      </c>
      <c r="P26" s="104">
        <v>6</v>
      </c>
      <c r="Q26" s="92">
        <v>-104.39999999999999</v>
      </c>
    </row>
    <row r="27" spans="1:17">
      <c r="A27" s="48" t="s">
        <v>136</v>
      </c>
      <c r="B27" s="121">
        <f>IF(B$18=0,0,C27/B$18)</f>
        <v>-6758.333333333333</v>
      </c>
      <c r="C27" s="122">
        <v>-162200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1</v>
      </c>
      <c r="N27" s="100" t="s">
        <v>171</v>
      </c>
      <c r="O27" s="110">
        <f>IF(P27=0,0,Q27/P27)</f>
        <v>-18.666666666666664</v>
      </c>
      <c r="P27" s="104">
        <v>3</v>
      </c>
      <c r="Q27" s="92">
        <v>-55.999999999999993</v>
      </c>
    </row>
    <row r="28" spans="1:17">
      <c r="A28" s="47" t="s">
        <v>134</v>
      </c>
      <c r="B28" s="40">
        <v>3</v>
      </c>
      <c r="C28" s="120">
        <v>0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1</v>
      </c>
      <c r="N28" s="100" t="s">
        <v>172</v>
      </c>
      <c r="O28" s="110">
        <f>IF(P28=0,0,Q28/P28)</f>
        <v>-58.288888888888906</v>
      </c>
      <c r="P28" s="104">
        <v>9</v>
      </c>
      <c r="Q28" s="92">
        <v>-524.60000000000014</v>
      </c>
    </row>
    <row r="29" spans="1:17">
      <c r="A29" s="47" t="s">
        <v>135</v>
      </c>
      <c r="B29" s="40">
        <v>26</v>
      </c>
      <c r="C29" s="120">
        <v>10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1</v>
      </c>
      <c r="N29" s="100" t="s">
        <v>184</v>
      </c>
      <c r="O29" s="110">
        <f>IF(P29=0,0,Q29/P29)</f>
        <v>-72.600000000000009</v>
      </c>
      <c r="P29" s="104">
        <v>3</v>
      </c>
      <c r="Q29" s="92">
        <v>-217.8</v>
      </c>
    </row>
    <row r="30" spans="1:17">
      <c r="A30" s="76" t="s">
        <v>115</v>
      </c>
      <c r="B30" s="142">
        <v>5</v>
      </c>
      <c r="C30" s="143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44">
        <v>67800</v>
      </c>
      <c r="C31" s="145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7</v>
      </c>
      <c r="C35" s="126">
        <f t="shared" ref="C35:C47" si="3">IF(B$17=0,0,B35/B$17)</f>
        <v>0.17073170731707318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5</v>
      </c>
      <c r="C36" s="33">
        <f t="shared" si="3"/>
        <v>0.12195121951219512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9</v>
      </c>
      <c r="C37" s="33">
        <f t="shared" si="3"/>
        <v>0.21951219512195122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7</v>
      </c>
      <c r="C38" s="33">
        <f t="shared" si="3"/>
        <v>0.17073170731707318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4</v>
      </c>
      <c r="C39" s="33">
        <f t="shared" si="3"/>
        <v>9.7560975609756101E-2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8</v>
      </c>
      <c r="C40" s="33">
        <f t="shared" si="3"/>
        <v>0.1951219512195122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1</v>
      </c>
      <c r="C41" s="33">
        <f t="shared" si="3"/>
        <v>2.4390243902439025E-2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92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93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94</v>
      </c>
      <c r="F45" s="53" t="s">
        <v>194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9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A0B63F-468F-4E8D-BA65-778AADAFBB10}">
  <sheetPr codeName="Sheet5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6" t="s">
        <v>168</v>
      </c>
      <c r="C1" s="14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48">
        <v>3</v>
      </c>
      <c r="C2" s="149"/>
      <c r="E2" s="54" t="s">
        <v>55</v>
      </c>
      <c r="F2" s="51" t="s">
        <v>20</v>
      </c>
      <c r="G2" s="39">
        <v>3</v>
      </c>
      <c r="H2" s="117">
        <f>IF(B$17=0,0,G2/B$17)</f>
        <v>1</v>
      </c>
      <c r="I2" s="79">
        <v>2</v>
      </c>
      <c r="K2" s="30">
        <v>0</v>
      </c>
      <c r="L2" s="84">
        <v>0</v>
      </c>
      <c r="N2" s="99" t="s">
        <v>107</v>
      </c>
      <c r="O2" s="106">
        <f t="shared" ref="O2:O9" si="0">IF(P2=0,0,Q2/P2)</f>
        <v>0</v>
      </c>
      <c r="P2" s="103">
        <v>3</v>
      </c>
      <c r="Q2" s="87">
        <v>0</v>
      </c>
    </row>
    <row r="3" spans="1:17">
      <c r="A3" s="47" t="s">
        <v>8</v>
      </c>
      <c r="B3" s="150">
        <v>27</v>
      </c>
      <c r="C3" s="151"/>
      <c r="E3" s="55" t="s">
        <v>61</v>
      </c>
      <c r="F3" s="52" t="s">
        <v>24</v>
      </c>
      <c r="G3" s="40">
        <v>2</v>
      </c>
      <c r="H3" s="118">
        <f>IF(B$17=0,0,G3/B$17)</f>
        <v>0.66666666666666663</v>
      </c>
      <c r="I3" s="80">
        <v>2</v>
      </c>
      <c r="K3" s="32">
        <v>1</v>
      </c>
      <c r="L3" s="85">
        <v>11.9</v>
      </c>
      <c r="N3" s="100" t="s">
        <v>108</v>
      </c>
      <c r="O3" s="107">
        <f t="shared" si="0"/>
        <v>700</v>
      </c>
      <c r="P3" s="104">
        <v>3</v>
      </c>
      <c r="Q3" s="88">
        <v>2100</v>
      </c>
    </row>
    <row r="4" spans="1:17">
      <c r="A4" s="47" t="s">
        <v>6</v>
      </c>
      <c r="B4" s="152">
        <v>-53.2</v>
      </c>
      <c r="C4" s="153"/>
      <c r="E4" s="55" t="s">
        <v>186</v>
      </c>
      <c r="F4" s="52" t="s">
        <v>160</v>
      </c>
      <c r="G4" s="40">
        <v>1</v>
      </c>
      <c r="H4" s="118">
        <f>IF(B$17=0,0,G4/B$17)</f>
        <v>0.33333333333333331</v>
      </c>
      <c r="I4" s="80">
        <v>11</v>
      </c>
      <c r="K4" s="32">
        <v>2</v>
      </c>
      <c r="L4" s="85">
        <v>-40.200000000000003</v>
      </c>
      <c r="N4" s="100" t="s">
        <v>109</v>
      </c>
      <c r="O4" s="107">
        <f t="shared" si="0"/>
        <v>-1300</v>
      </c>
      <c r="P4" s="104">
        <v>3</v>
      </c>
      <c r="Q4" s="88">
        <v>-3900</v>
      </c>
    </row>
    <row r="5" spans="1:17">
      <c r="A5" s="47" t="s">
        <v>7</v>
      </c>
      <c r="B5" s="154">
        <f>IF(B$2=0,0,B$4/B$2)</f>
        <v>-17.733333333333334</v>
      </c>
      <c r="C5" s="155"/>
      <c r="E5" s="55" t="s">
        <v>56</v>
      </c>
      <c r="F5" s="52" t="s">
        <v>159</v>
      </c>
      <c r="G5" s="40">
        <v>1</v>
      </c>
      <c r="H5" s="118">
        <f>IF(B$17=0,0,G5/B$17)</f>
        <v>0.33333333333333331</v>
      </c>
      <c r="I5" s="80">
        <v>7</v>
      </c>
      <c r="K5" s="32">
        <v>3</v>
      </c>
      <c r="L5" s="85">
        <v>-53.2</v>
      </c>
      <c r="N5" s="100" t="s">
        <v>161</v>
      </c>
      <c r="O5" s="107">
        <f>IF(P5=0,0,Q5/P5)</f>
        <v>-800</v>
      </c>
      <c r="P5" s="104">
        <v>3</v>
      </c>
      <c r="Q5" s="88">
        <v>-2400</v>
      </c>
    </row>
    <row r="6" spans="1:17">
      <c r="A6" s="47" t="s">
        <v>1</v>
      </c>
      <c r="B6" s="156">
        <f>IF(B$2=0,0,(B$7*1+B$8*2+B$9*3+B$10*4)/B$2)</f>
        <v>3</v>
      </c>
      <c r="C6" s="157"/>
      <c r="E6" s="55" t="s">
        <v>58</v>
      </c>
      <c r="F6" s="52" t="s">
        <v>21</v>
      </c>
      <c r="G6" s="40">
        <v>1</v>
      </c>
      <c r="H6" s="118">
        <f>IF(B$17=0,0,G6/B$17)</f>
        <v>0.33333333333333331</v>
      </c>
      <c r="I6" s="80">
        <v>5</v>
      </c>
      <c r="N6" s="100" t="s">
        <v>110</v>
      </c>
      <c r="O6" s="107">
        <f t="shared" ref="O6" si="1">IF(P6=0,0,Q6/P6)</f>
        <v>1833.3333333333333</v>
      </c>
      <c r="P6" s="104">
        <v>3</v>
      </c>
      <c r="Q6" s="88">
        <v>5500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68</v>
      </c>
      <c r="F7" s="52" t="s">
        <v>31</v>
      </c>
      <c r="G7" s="40">
        <v>1</v>
      </c>
      <c r="H7" s="118">
        <f>IF(B$17=0,0,G7/B$17)</f>
        <v>0.33333333333333331</v>
      </c>
      <c r="I7" s="80">
        <v>1</v>
      </c>
      <c r="N7" s="100" t="s">
        <v>111</v>
      </c>
      <c r="O7" s="107">
        <f t="shared" si="0"/>
        <v>-1166.6666666666667</v>
      </c>
      <c r="P7" s="104">
        <v>3</v>
      </c>
      <c r="Q7" s="88">
        <v>-3500</v>
      </c>
    </row>
    <row r="8" spans="1:17">
      <c r="A8" s="47" t="s">
        <v>3</v>
      </c>
      <c r="B8" s="40">
        <v>1</v>
      </c>
      <c r="C8" s="33">
        <f>IF(B$2=0,0,B8/B$2)</f>
        <v>0.33333333333333331</v>
      </c>
      <c r="E8" s="55" t="s">
        <v>72</v>
      </c>
      <c r="F8" s="52" t="s">
        <v>35</v>
      </c>
      <c r="G8" s="40">
        <v>1</v>
      </c>
      <c r="H8" s="118">
        <f>IF(B$17=0,0,G8/B$17)</f>
        <v>0.33333333333333331</v>
      </c>
      <c r="I8" s="80">
        <v>1</v>
      </c>
      <c r="N8" s="100" t="s">
        <v>112</v>
      </c>
      <c r="O8" s="107">
        <f t="shared" si="0"/>
        <v>-2500</v>
      </c>
      <c r="P8" s="104">
        <v>2</v>
      </c>
      <c r="Q8" s="88">
        <v>-5000</v>
      </c>
    </row>
    <row r="9" spans="1:17">
      <c r="A9" s="48" t="s">
        <v>4</v>
      </c>
      <c r="B9" s="41">
        <v>1</v>
      </c>
      <c r="C9" s="34">
        <f>IF(B$2=0,0,B9/B$2)</f>
        <v>0.33333333333333331</v>
      </c>
      <c r="E9" s="55" t="s">
        <v>187</v>
      </c>
      <c r="F9" s="52" t="s">
        <v>19</v>
      </c>
      <c r="G9" s="40">
        <v>0</v>
      </c>
      <c r="H9" s="118">
        <f>IF(B$17=0,0,G9/B$17)</f>
        <v>0</v>
      </c>
      <c r="I9" s="80">
        <v>8</v>
      </c>
      <c r="N9" s="101" t="s">
        <v>162</v>
      </c>
      <c r="O9" s="108">
        <f t="shared" si="0"/>
        <v>-1000</v>
      </c>
      <c r="P9" s="105">
        <v>1</v>
      </c>
      <c r="Q9" s="89">
        <v>-1000</v>
      </c>
    </row>
    <row r="10" spans="1:17">
      <c r="A10" s="48" t="s">
        <v>156</v>
      </c>
      <c r="B10" s="41">
        <v>1</v>
      </c>
      <c r="C10" s="34">
        <f>IF(B$2=0,0,B10/B$2)</f>
        <v>0.33333333333333331</v>
      </c>
      <c r="E10" s="55" t="s">
        <v>57</v>
      </c>
      <c r="F10" s="52" t="s">
        <v>190</v>
      </c>
      <c r="G10" s="40">
        <v>0</v>
      </c>
      <c r="H10" s="118">
        <f>IF(B$17=0,0,G10/B$17)</f>
        <v>0</v>
      </c>
      <c r="I10" s="80">
        <v>9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1</v>
      </c>
      <c r="C11" s="34">
        <f>IF(B$2=0,0,B11/B$2)</f>
        <v>0.33333333333333331</v>
      </c>
      <c r="E11" s="55" t="s">
        <v>59</v>
      </c>
      <c r="F11" s="52" t="s">
        <v>22</v>
      </c>
      <c r="G11" s="40">
        <v>0</v>
      </c>
      <c r="H11" s="118">
        <f>IF(B$17=0,0,G11/B$17)</f>
        <v>0</v>
      </c>
      <c r="I11" s="80">
        <v>4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60</v>
      </c>
      <c r="F12" s="52" t="s">
        <v>23</v>
      </c>
      <c r="G12" s="40">
        <v>0</v>
      </c>
      <c r="H12" s="118">
        <f>IF(B$17=0,0,G12/B$17)</f>
        <v>0</v>
      </c>
      <c r="I12" s="80">
        <v>6</v>
      </c>
      <c r="N12" s="99" t="s">
        <v>130</v>
      </c>
      <c r="O12" s="109">
        <f>IF(P12=0,0,Q12/P12)</f>
        <v>-20.100000000000001</v>
      </c>
      <c r="P12" s="103">
        <v>2</v>
      </c>
      <c r="Q12" s="91">
        <v>-40.200000000000003</v>
      </c>
    </row>
    <row r="13" spans="1:17">
      <c r="A13" s="50" t="s">
        <v>101</v>
      </c>
      <c r="B13" s="43">
        <v>6</v>
      </c>
      <c r="C13" s="38">
        <f>IF(B$3=0,0,B13/B$3)</f>
        <v>0.22222222222222221</v>
      </c>
      <c r="E13" s="55" t="s">
        <v>62</v>
      </c>
      <c r="F13" s="52" t="s">
        <v>25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98</v>
      </c>
      <c r="B14" s="40">
        <v>3</v>
      </c>
      <c r="C14" s="33">
        <f>IF(B$3=0,0,B14/B$3)</f>
        <v>0.1111111111111111</v>
      </c>
      <c r="E14" s="55" t="s">
        <v>63</v>
      </c>
      <c r="F14" s="52" t="s">
        <v>26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103</v>
      </c>
      <c r="B15" s="39">
        <f>B21</f>
        <v>1</v>
      </c>
      <c r="C15" s="31">
        <f>IF(B$13=0,0,B15/B$13)</f>
        <v>0.16666666666666666</v>
      </c>
      <c r="E15" s="55" t="s">
        <v>64</v>
      </c>
      <c r="F15" s="52" t="s">
        <v>27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-13</v>
      </c>
      <c r="P15" s="105">
        <v>1</v>
      </c>
      <c r="Q15" s="93">
        <v>-13</v>
      </c>
    </row>
    <row r="16" spans="1:17">
      <c r="A16" s="46" t="s">
        <v>104</v>
      </c>
      <c r="B16" s="39">
        <f>B22</f>
        <v>1</v>
      </c>
      <c r="C16" s="31">
        <f>IF(B$14=0,0,B16/B$14)</f>
        <v>0.33333333333333331</v>
      </c>
      <c r="E16" s="55" t="s">
        <v>65</v>
      </c>
      <c r="F16" s="52" t="s">
        <v>28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3</v>
      </c>
      <c r="C17" s="31">
        <f>IF(B$3=0,0,B17/B$3)</f>
        <v>0.1111111111111111</v>
      </c>
      <c r="E17" s="55" t="s">
        <v>66</v>
      </c>
      <c r="F17" s="52" t="s">
        <v>29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2</v>
      </c>
      <c r="C18" s="33">
        <f>IF(B$3=0,0,B18/B$3)</f>
        <v>7.407407407407407E-2</v>
      </c>
      <c r="E18" s="55" t="s">
        <v>67</v>
      </c>
      <c r="F18" s="52" t="s">
        <v>30</v>
      </c>
      <c r="G18" s="40">
        <v>0</v>
      </c>
      <c r="H18" s="118">
        <f>IF(B$17=0,0,G18/B$17)</f>
        <v>0</v>
      </c>
      <c r="I18" s="80">
        <v>1</v>
      </c>
      <c r="N18" s="99" t="s">
        <v>166</v>
      </c>
      <c r="O18" s="109">
        <f>IF(P18=0,0,Q18/P18)</f>
        <v>73.600000000000009</v>
      </c>
      <c r="P18" s="103">
        <v>1</v>
      </c>
      <c r="Q18" s="91">
        <v>73.600000000000009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188</v>
      </c>
      <c r="F19" s="52" t="s">
        <v>191</v>
      </c>
      <c r="G19" s="40">
        <v>0</v>
      </c>
      <c r="H19" s="118">
        <f>IF(B$17=0,0,G19/B$17)</f>
        <v>0</v>
      </c>
      <c r="I19" s="80">
        <v>3</v>
      </c>
      <c r="N19" s="100" t="s">
        <v>167</v>
      </c>
      <c r="O19" s="110">
        <f>IF(P19=0,0,Q19/P19)</f>
        <v>37</v>
      </c>
      <c r="P19" s="104">
        <v>1</v>
      </c>
      <c r="Q19" s="92">
        <v>37</v>
      </c>
    </row>
    <row r="20" spans="1:17">
      <c r="A20" s="47" t="s">
        <v>11</v>
      </c>
      <c r="B20" s="40">
        <v>3</v>
      </c>
      <c r="C20" s="33">
        <f>IF(B$17=0,0,B20/B$17)</f>
        <v>1</v>
      </c>
      <c r="E20" s="55" t="s">
        <v>69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165</v>
      </c>
      <c r="O20" s="110">
        <f>IF(P20=0,0,Q20/P20)</f>
        <v>-15.233333333333334</v>
      </c>
      <c r="P20" s="104">
        <v>3</v>
      </c>
      <c r="Q20" s="92">
        <v>-45.7</v>
      </c>
    </row>
    <row r="21" spans="1:17">
      <c r="A21" s="47" t="s">
        <v>155</v>
      </c>
      <c r="B21" s="40">
        <v>1</v>
      </c>
      <c r="C21" s="33">
        <f>IF(B$17=0,0,B21/B$17)</f>
        <v>0.33333333333333331</v>
      </c>
      <c r="E21" s="55" t="s">
        <v>70</v>
      </c>
      <c r="F21" s="52" t="s">
        <v>33</v>
      </c>
      <c r="G21" s="40">
        <v>0</v>
      </c>
      <c r="H21" s="118">
        <f>IF(B$17=0,0,G21/B$17)</f>
        <v>0</v>
      </c>
      <c r="I21" s="80">
        <v>3</v>
      </c>
      <c r="N21" s="100" t="s">
        <v>173</v>
      </c>
      <c r="O21" s="110">
        <f>IF(P21=0,0,Q21/P21)</f>
        <v>-27.8</v>
      </c>
      <c r="P21" s="104">
        <v>1</v>
      </c>
      <c r="Q21" s="92">
        <v>-27.8</v>
      </c>
    </row>
    <row r="22" spans="1:17">
      <c r="A22" s="47" t="s">
        <v>153</v>
      </c>
      <c r="B22" s="40">
        <v>1</v>
      </c>
      <c r="C22" s="33">
        <f>IF(B$17=0,0,B22/B$17)</f>
        <v>0.33333333333333331</v>
      </c>
      <c r="E22" s="55" t="s">
        <v>71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180</v>
      </c>
      <c r="O22" s="110">
        <f>IF(P22=0,0,Q22/P22)</f>
        <v>-65.7</v>
      </c>
      <c r="P22" s="104">
        <v>1</v>
      </c>
      <c r="Q22" s="92">
        <v>-65.7</v>
      </c>
    </row>
    <row r="23" spans="1:17">
      <c r="A23" s="47" t="s">
        <v>154</v>
      </c>
      <c r="B23" s="40">
        <v>1</v>
      </c>
      <c r="C23" s="33">
        <f>IF(B$17=0,0,B23/B$17)</f>
        <v>0.33333333333333331</v>
      </c>
      <c r="E23" s="55" t="s">
        <v>73</v>
      </c>
      <c r="F23" s="52" t="s">
        <v>36</v>
      </c>
      <c r="G23" s="40">
        <v>0</v>
      </c>
      <c r="H23" s="118">
        <f>IF(B$17=0,0,G23/B$17)</f>
        <v>0</v>
      </c>
      <c r="I23" s="80">
        <v>1</v>
      </c>
      <c r="N23" s="100" t="s">
        <v>182</v>
      </c>
      <c r="O23" s="110">
        <f>IF(P23=0,0,Q23/P23)</f>
        <v>-75.5</v>
      </c>
      <c r="P23" s="104">
        <v>1</v>
      </c>
      <c r="Q23" s="92">
        <v>-75.5</v>
      </c>
    </row>
    <row r="24" spans="1:17">
      <c r="A24" s="47" t="s">
        <v>5</v>
      </c>
      <c r="B24" s="44">
        <f>IF(B$17=0,0,C24/B$17)</f>
        <v>7033.333333333333</v>
      </c>
      <c r="C24" s="35">
        <v>21100</v>
      </c>
      <c r="E24" s="55" t="s">
        <v>74</v>
      </c>
      <c r="F24" s="52" t="s">
        <v>37</v>
      </c>
      <c r="G24" s="40">
        <v>0</v>
      </c>
      <c r="H24" s="118">
        <f>IF(B$17=0,0,G24/B$17)</f>
        <v>0</v>
      </c>
      <c r="I24" s="80">
        <v>1</v>
      </c>
      <c r="N24" s="100" t="s">
        <v>172</v>
      </c>
      <c r="O24" s="110">
        <f>IF(P24=0,0,Q24/P24)</f>
        <v>-108.7</v>
      </c>
      <c r="P24" s="104">
        <v>1</v>
      </c>
      <c r="Q24" s="92">
        <v>-108.7</v>
      </c>
    </row>
    <row r="25" spans="1:17">
      <c r="A25" s="48" t="s">
        <v>137</v>
      </c>
      <c r="B25" s="121">
        <f>IF($B$17-B$16=0,0,C25/($B$17-B$16))</f>
        <v>4550</v>
      </c>
      <c r="C25" s="122">
        <v>9100</v>
      </c>
      <c r="E25" s="55" t="s">
        <v>75</v>
      </c>
      <c r="F25" s="52" t="s">
        <v>38</v>
      </c>
      <c r="G25" s="40">
        <v>0</v>
      </c>
      <c r="H25" s="118">
        <f>IF(B$17=0,0,G25/B$17)</f>
        <v>0</v>
      </c>
      <c r="I25" s="80">
        <v>3</v>
      </c>
    </row>
    <row r="26" spans="1:17">
      <c r="A26" s="48" t="s">
        <v>138</v>
      </c>
      <c r="B26" s="121">
        <f>IF(B$16=0,0,C26/B$16)</f>
        <v>12000</v>
      </c>
      <c r="C26" s="122">
        <v>12000</v>
      </c>
      <c r="E26" s="55" t="s">
        <v>76</v>
      </c>
      <c r="F26" s="52" t="s">
        <v>39</v>
      </c>
      <c r="G26" s="40">
        <v>0</v>
      </c>
      <c r="H26" s="118">
        <f>IF(B$17=0,0,G26/B$17)</f>
        <v>0</v>
      </c>
      <c r="I26" s="80">
        <v>1</v>
      </c>
    </row>
    <row r="27" spans="1:17">
      <c r="A27" s="48" t="s">
        <v>136</v>
      </c>
      <c r="B27" s="121">
        <f>IF(B$18=0,0,C27/B$18)</f>
        <v>-5300</v>
      </c>
      <c r="C27" s="122">
        <v>-10600</v>
      </c>
      <c r="E27" s="55" t="s">
        <v>77</v>
      </c>
      <c r="F27" s="52" t="s">
        <v>40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134</v>
      </c>
      <c r="B28" s="40">
        <v>1</v>
      </c>
      <c r="C28" s="120">
        <v>0</v>
      </c>
      <c r="E28" s="55" t="s">
        <v>78</v>
      </c>
      <c r="F28" s="52" t="s">
        <v>41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12</v>
      </c>
      <c r="C29" s="120">
        <v>5</v>
      </c>
      <c r="E29" s="55" t="s">
        <v>79</v>
      </c>
      <c r="F29" s="52" t="s">
        <v>42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115</v>
      </c>
      <c r="B30" s="142">
        <v>3</v>
      </c>
      <c r="C30" s="143"/>
      <c r="E30" s="55" t="s">
        <v>80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44">
        <v>31900</v>
      </c>
      <c r="C31" s="145"/>
      <c r="E31" s="55" t="s">
        <v>81</v>
      </c>
      <c r="F31" s="52" t="s">
        <v>44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82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83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84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0</v>
      </c>
      <c r="C35" s="126">
        <f t="shared" ref="C35:C47" si="3">IF(B$17=0,0,B35/B$17)</f>
        <v>0</v>
      </c>
      <c r="E35" s="55" t="s">
        <v>85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0</v>
      </c>
      <c r="C36" s="33">
        <f t="shared" si="3"/>
        <v>0</v>
      </c>
      <c r="E36" s="55" t="s">
        <v>86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2</v>
      </c>
      <c r="C37" s="33">
        <f t="shared" si="3"/>
        <v>0.66666666666666663</v>
      </c>
      <c r="E37" s="55" t="s">
        <v>87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0</v>
      </c>
      <c r="C38" s="33">
        <f t="shared" si="3"/>
        <v>0</v>
      </c>
      <c r="E38" s="55" t="s">
        <v>88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0</v>
      </c>
      <c r="C39" s="33">
        <f t="shared" si="3"/>
        <v>0</v>
      </c>
      <c r="E39" s="55" t="s">
        <v>89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1</v>
      </c>
      <c r="C40" s="33">
        <f t="shared" si="3"/>
        <v>0.33333333333333331</v>
      </c>
      <c r="E40" s="55" t="s">
        <v>90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91</v>
      </c>
      <c r="F41" s="52" t="s">
        <v>54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92</v>
      </c>
      <c r="F42" s="52" t="s">
        <v>192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93</v>
      </c>
      <c r="F43" s="52" t="s">
        <v>193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94</v>
      </c>
      <c r="F44" s="52" t="s">
        <v>194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189</v>
      </c>
      <c r="F45" s="53" t="s">
        <v>195</v>
      </c>
      <c r="G45" s="42">
        <v>0</v>
      </c>
      <c r="H45" s="119">
        <f>IF(B$17=0,0,G45/B$17)</f>
        <v>0</v>
      </c>
      <c r="I45" s="81">
        <v>10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5A919E-4A66-483F-BEB9-2CE2656BD2F3}">
  <sheetPr codeName="Sheet6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6" t="s">
        <v>165</v>
      </c>
      <c r="C1" s="14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48">
        <v>3</v>
      </c>
      <c r="C2" s="149"/>
      <c r="E2" s="54" t="s">
        <v>189</v>
      </c>
      <c r="F2" s="51" t="s">
        <v>195</v>
      </c>
      <c r="G2" s="39">
        <v>4</v>
      </c>
      <c r="H2" s="117">
        <f>IF(B$17=0,0,G2/B$17)</f>
        <v>1</v>
      </c>
      <c r="I2" s="79">
        <v>2</v>
      </c>
      <c r="K2" s="30">
        <v>0</v>
      </c>
      <c r="L2" s="84">
        <v>0</v>
      </c>
      <c r="N2" s="99" t="s">
        <v>107</v>
      </c>
      <c r="O2" s="106">
        <f t="shared" ref="O2:O9" si="0">IF(P2=0,0,Q2/P2)</f>
        <v>-2766.6666666666665</v>
      </c>
      <c r="P2" s="103">
        <v>3</v>
      </c>
      <c r="Q2" s="87">
        <v>-8300</v>
      </c>
    </row>
    <row r="3" spans="1:17">
      <c r="A3" s="47" t="s">
        <v>8</v>
      </c>
      <c r="B3" s="150">
        <v>27</v>
      </c>
      <c r="C3" s="151"/>
      <c r="E3" s="55" t="s">
        <v>56</v>
      </c>
      <c r="F3" s="52" t="s">
        <v>159</v>
      </c>
      <c r="G3" s="40">
        <v>3</v>
      </c>
      <c r="H3" s="118">
        <f>IF(B$17=0,0,G3/B$17)</f>
        <v>0.75</v>
      </c>
      <c r="I3" s="80">
        <v>4</v>
      </c>
      <c r="K3" s="32">
        <v>1</v>
      </c>
      <c r="L3" s="85">
        <v>74.900000000000006</v>
      </c>
      <c r="N3" s="100" t="s">
        <v>108</v>
      </c>
      <c r="O3" s="107">
        <f t="shared" si="0"/>
        <v>7933.333333333333</v>
      </c>
      <c r="P3" s="104">
        <v>3</v>
      </c>
      <c r="Q3" s="88">
        <v>23800</v>
      </c>
    </row>
    <row r="4" spans="1:17">
      <c r="A4" s="47" t="s">
        <v>6</v>
      </c>
      <c r="B4" s="152">
        <v>-7.4999999999999929</v>
      </c>
      <c r="C4" s="153"/>
      <c r="E4" s="55" t="s">
        <v>186</v>
      </c>
      <c r="F4" s="52" t="s">
        <v>160</v>
      </c>
      <c r="G4" s="40">
        <v>2</v>
      </c>
      <c r="H4" s="118">
        <f>IF(B$17=0,0,G4/B$17)</f>
        <v>0.5</v>
      </c>
      <c r="I4" s="80">
        <v>7</v>
      </c>
      <c r="K4" s="32">
        <v>2</v>
      </c>
      <c r="L4" s="85">
        <v>56.800000000000004</v>
      </c>
      <c r="N4" s="100" t="s">
        <v>109</v>
      </c>
      <c r="O4" s="107">
        <f t="shared" si="0"/>
        <v>-500</v>
      </c>
      <c r="P4" s="104">
        <v>3</v>
      </c>
      <c r="Q4" s="88">
        <v>-1500</v>
      </c>
    </row>
    <row r="5" spans="1:17">
      <c r="A5" s="47" t="s">
        <v>7</v>
      </c>
      <c r="B5" s="154">
        <f>IF(B$2=0,0,B$4/B$2)</f>
        <v>-2.4999999999999978</v>
      </c>
      <c r="C5" s="155"/>
      <c r="E5" s="55" t="s">
        <v>55</v>
      </c>
      <c r="F5" s="52" t="s">
        <v>20</v>
      </c>
      <c r="G5" s="40">
        <v>2</v>
      </c>
      <c r="H5" s="118">
        <f>IF(B$17=0,0,G5/B$17)</f>
        <v>0.5</v>
      </c>
      <c r="I5" s="80">
        <v>6</v>
      </c>
      <c r="K5" s="32">
        <v>3</v>
      </c>
      <c r="L5" s="85">
        <v>-7.4999999999999929</v>
      </c>
      <c r="N5" s="100" t="s">
        <v>161</v>
      </c>
      <c r="O5" s="107">
        <f>IF(P5=0,0,Q5/P5)</f>
        <v>-866.66666666666663</v>
      </c>
      <c r="P5" s="104">
        <v>3</v>
      </c>
      <c r="Q5" s="88">
        <v>-2600</v>
      </c>
    </row>
    <row r="6" spans="1:17">
      <c r="A6" s="47" t="s">
        <v>1</v>
      </c>
      <c r="B6" s="156">
        <f>IF(B$2=0,0,(B$7*1+B$8*2+B$9*3+B$10*4)/B$2)</f>
        <v>2.6666666666666665</v>
      </c>
      <c r="C6" s="157"/>
      <c r="E6" s="55" t="s">
        <v>58</v>
      </c>
      <c r="F6" s="52" t="s">
        <v>21</v>
      </c>
      <c r="G6" s="40">
        <v>2</v>
      </c>
      <c r="H6" s="118">
        <f>IF(B$17=0,0,G6/B$17)</f>
        <v>0.5</v>
      </c>
      <c r="I6" s="80">
        <v>1</v>
      </c>
      <c r="N6" s="100" t="s">
        <v>110</v>
      </c>
      <c r="O6" s="107">
        <f t="shared" ref="O6" si="1">IF(P6=0,0,Q6/P6)</f>
        <v>-2166.6666666666665</v>
      </c>
      <c r="P6" s="104">
        <v>3</v>
      </c>
      <c r="Q6" s="88">
        <v>-6500</v>
      </c>
    </row>
    <row r="7" spans="1:17">
      <c r="A7" s="47" t="s">
        <v>2</v>
      </c>
      <c r="B7" s="40">
        <v>1</v>
      </c>
      <c r="C7" s="33">
        <f t="shared" ref="C7:C12" si="2">IF(B$2=0,0,B7/B$2)</f>
        <v>0.33333333333333331</v>
      </c>
      <c r="E7" s="55" t="s">
        <v>57</v>
      </c>
      <c r="F7" s="52" t="s">
        <v>190</v>
      </c>
      <c r="G7" s="40">
        <v>1</v>
      </c>
      <c r="H7" s="118">
        <f>IF(B$17=0,0,G7/B$17)</f>
        <v>0.25</v>
      </c>
      <c r="I7" s="80">
        <v>7</v>
      </c>
      <c r="N7" s="100" t="s">
        <v>111</v>
      </c>
      <c r="O7" s="107">
        <f t="shared" si="0"/>
        <v>-1433.3333333333333</v>
      </c>
      <c r="P7" s="104">
        <v>3</v>
      </c>
      <c r="Q7" s="88">
        <v>-4300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59</v>
      </c>
      <c r="F8" s="52" t="s">
        <v>22</v>
      </c>
      <c r="G8" s="40">
        <v>1</v>
      </c>
      <c r="H8" s="118">
        <f>IF(B$17=0,0,G8/B$17)</f>
        <v>0.25</v>
      </c>
      <c r="I8" s="80">
        <v>1</v>
      </c>
      <c r="N8" s="100" t="s">
        <v>112</v>
      </c>
      <c r="O8" s="107">
        <f t="shared" si="0"/>
        <v>-4000</v>
      </c>
      <c r="P8" s="104">
        <v>2</v>
      </c>
      <c r="Q8" s="88">
        <v>-8000</v>
      </c>
    </row>
    <row r="9" spans="1:17">
      <c r="A9" s="48" t="s">
        <v>4</v>
      </c>
      <c r="B9" s="41">
        <v>1</v>
      </c>
      <c r="C9" s="34">
        <f>IF(B$2=0,0,B9/B$2)</f>
        <v>0.33333333333333331</v>
      </c>
      <c r="E9" s="55" t="s">
        <v>60</v>
      </c>
      <c r="F9" s="52" t="s">
        <v>23</v>
      </c>
      <c r="G9" s="40">
        <v>1</v>
      </c>
      <c r="H9" s="118">
        <f>IF(B$17=0,0,G9/B$17)</f>
        <v>0.25</v>
      </c>
      <c r="I9" s="80">
        <v>2</v>
      </c>
      <c r="N9" s="101" t="s">
        <v>162</v>
      </c>
      <c r="O9" s="108">
        <f t="shared" si="0"/>
        <v>4900</v>
      </c>
      <c r="P9" s="105">
        <v>1</v>
      </c>
      <c r="Q9" s="89">
        <v>4900</v>
      </c>
    </row>
    <row r="10" spans="1:17">
      <c r="A10" s="48" t="s">
        <v>156</v>
      </c>
      <c r="B10" s="41">
        <v>1</v>
      </c>
      <c r="C10" s="34">
        <f>IF(B$2=0,0,B10/B$2)</f>
        <v>0.33333333333333331</v>
      </c>
      <c r="E10" s="55" t="s">
        <v>61</v>
      </c>
      <c r="F10" s="52" t="s">
        <v>24</v>
      </c>
      <c r="G10" s="40">
        <v>1</v>
      </c>
      <c r="H10" s="118">
        <f>IF(B$17=0,0,G10/B$17)</f>
        <v>0.25</v>
      </c>
      <c r="I10" s="80">
        <v>6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1</v>
      </c>
      <c r="C11" s="34">
        <f>IF(B$2=0,0,B11/B$2)</f>
        <v>0.33333333333333331</v>
      </c>
      <c r="E11" s="55" t="s">
        <v>187</v>
      </c>
      <c r="F11" s="52" t="s">
        <v>19</v>
      </c>
      <c r="G11" s="40">
        <v>0</v>
      </c>
      <c r="H11" s="118">
        <f>IF(B$17=0,0,G11/B$17)</f>
        <v>0</v>
      </c>
      <c r="I11" s="80">
        <v>8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1</v>
      </c>
      <c r="C12" s="36">
        <f t="shared" si="2"/>
        <v>0.33333333333333331</v>
      </c>
      <c r="E12" s="55" t="s">
        <v>62</v>
      </c>
      <c r="F12" s="52" t="s">
        <v>25</v>
      </c>
      <c r="G12" s="40">
        <v>0</v>
      </c>
      <c r="H12" s="118">
        <f>IF(B$17=0,0,G12/B$17)</f>
        <v>0</v>
      </c>
      <c r="I12" s="80">
        <v>1</v>
      </c>
      <c r="N12" s="99" t="s">
        <v>130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101</v>
      </c>
      <c r="B13" s="43">
        <v>5</v>
      </c>
      <c r="C13" s="38">
        <f>IF(B$3=0,0,B13/B$3)</f>
        <v>0.18518518518518517</v>
      </c>
      <c r="E13" s="55" t="s">
        <v>63</v>
      </c>
      <c r="F13" s="52" t="s">
        <v>26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74.900000000000006</v>
      </c>
      <c r="P13" s="104">
        <v>1</v>
      </c>
      <c r="Q13" s="92">
        <v>74.900000000000006</v>
      </c>
    </row>
    <row r="14" spans="1:17">
      <c r="A14" s="47" t="s">
        <v>98</v>
      </c>
      <c r="B14" s="40">
        <v>3</v>
      </c>
      <c r="C14" s="33">
        <f>IF(B$3=0,0,B14/B$3)</f>
        <v>0.1111111111111111</v>
      </c>
      <c r="E14" s="55" t="s">
        <v>64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-64.3</v>
      </c>
      <c r="P14" s="104">
        <v>1</v>
      </c>
      <c r="Q14" s="92">
        <v>-64.3</v>
      </c>
    </row>
    <row r="15" spans="1:17">
      <c r="A15" s="46" t="s">
        <v>103</v>
      </c>
      <c r="B15" s="39">
        <f>B21</f>
        <v>2</v>
      </c>
      <c r="C15" s="31">
        <f>IF(B$13=0,0,B15/B$13)</f>
        <v>0.4</v>
      </c>
      <c r="E15" s="55" t="s">
        <v>65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-18.100000000000001</v>
      </c>
      <c r="P15" s="105">
        <v>1</v>
      </c>
      <c r="Q15" s="93">
        <v>-18.100000000000001</v>
      </c>
    </row>
    <row r="16" spans="1:17">
      <c r="A16" s="46" t="s">
        <v>104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</v>
      </c>
      <c r="C17" s="31">
        <f>IF(B$3=0,0,B17/B$3)</f>
        <v>0.14814814814814814</v>
      </c>
      <c r="E17" s="55" t="s">
        <v>67</v>
      </c>
      <c r="F17" s="52" t="s">
        <v>30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5</v>
      </c>
      <c r="C18" s="33">
        <f>IF(B$3=0,0,B18/B$3)</f>
        <v>0.18518518518518517</v>
      </c>
      <c r="E18" s="55" t="s">
        <v>68</v>
      </c>
      <c r="F18" s="52" t="s">
        <v>31</v>
      </c>
      <c r="G18" s="40">
        <v>0</v>
      </c>
      <c r="H18" s="118">
        <f>IF(B$17=0,0,G18/B$17)</f>
        <v>0</v>
      </c>
      <c r="I18" s="80">
        <v>3</v>
      </c>
      <c r="N18" s="99" t="s">
        <v>166</v>
      </c>
      <c r="O18" s="109">
        <f>IF(P18=0,0,Q18/P18)</f>
        <v>136.60000000000002</v>
      </c>
      <c r="P18" s="103">
        <v>1</v>
      </c>
      <c r="Q18" s="91">
        <v>136.60000000000002</v>
      </c>
    </row>
    <row r="19" spans="1:17">
      <c r="A19" s="47" t="s">
        <v>12</v>
      </c>
      <c r="B19" s="40">
        <v>1</v>
      </c>
      <c r="C19" s="33">
        <f>IF(B$17=0,0,B19/B$17)</f>
        <v>0.25</v>
      </c>
      <c r="E19" s="55" t="s">
        <v>188</v>
      </c>
      <c r="F19" s="52" t="s">
        <v>191</v>
      </c>
      <c r="G19" s="40">
        <v>0</v>
      </c>
      <c r="H19" s="118">
        <f>IF(B$17=0,0,G19/B$17)</f>
        <v>0</v>
      </c>
      <c r="I19" s="80">
        <v>3</v>
      </c>
      <c r="N19" s="100" t="s">
        <v>167</v>
      </c>
      <c r="O19" s="110">
        <f>IF(P19=0,0,Q19/P19)</f>
        <v>100</v>
      </c>
      <c r="P19" s="104">
        <v>1</v>
      </c>
      <c r="Q19" s="92">
        <v>100</v>
      </c>
    </row>
    <row r="20" spans="1:17">
      <c r="A20" s="47" t="s">
        <v>11</v>
      </c>
      <c r="B20" s="40">
        <v>3</v>
      </c>
      <c r="C20" s="33">
        <f>IF(B$17=0,0,B20/B$17)</f>
        <v>0.75</v>
      </c>
      <c r="E20" s="55" t="s">
        <v>69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168</v>
      </c>
      <c r="O20" s="110">
        <f>IF(P20=0,0,Q20/P20)</f>
        <v>15.233333333333334</v>
      </c>
      <c r="P20" s="104">
        <v>3</v>
      </c>
      <c r="Q20" s="92">
        <v>45.7</v>
      </c>
    </row>
    <row r="21" spans="1:17">
      <c r="A21" s="47" t="s">
        <v>155</v>
      </c>
      <c r="B21" s="40">
        <v>2</v>
      </c>
      <c r="C21" s="33">
        <f>IF(B$17=0,0,B21/B$17)</f>
        <v>0.5</v>
      </c>
      <c r="E21" s="55" t="s">
        <v>70</v>
      </c>
      <c r="F21" s="52" t="s">
        <v>33</v>
      </c>
      <c r="G21" s="40">
        <v>0</v>
      </c>
      <c r="H21" s="118">
        <f>IF(B$17=0,0,G21/B$17)</f>
        <v>0</v>
      </c>
      <c r="I21" s="80">
        <v>3</v>
      </c>
      <c r="N21" s="100" t="s">
        <v>180</v>
      </c>
      <c r="O21" s="110">
        <f>IF(P21=0,0,Q21/P21)</f>
        <v>-31.700000000000003</v>
      </c>
      <c r="P21" s="104">
        <v>1</v>
      </c>
      <c r="Q21" s="92">
        <v>-31.700000000000003</v>
      </c>
    </row>
    <row r="22" spans="1:17">
      <c r="A22" s="47" t="s">
        <v>153</v>
      </c>
      <c r="B22" s="40">
        <v>0</v>
      </c>
      <c r="C22" s="33">
        <f>IF(B$17=0,0,B22/B$17)</f>
        <v>0</v>
      </c>
      <c r="E22" s="55" t="s">
        <v>71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172</v>
      </c>
      <c r="O22" s="110">
        <f>IF(P22=0,0,Q22/P22)</f>
        <v>-74.7</v>
      </c>
      <c r="P22" s="104">
        <v>1</v>
      </c>
      <c r="Q22" s="92">
        <v>-74.7</v>
      </c>
    </row>
    <row r="23" spans="1:17">
      <c r="A23" s="47" t="s">
        <v>154</v>
      </c>
      <c r="B23" s="40">
        <v>2</v>
      </c>
      <c r="C23" s="33">
        <f>IF(B$17=0,0,B23/B$17)</f>
        <v>0.5</v>
      </c>
      <c r="E23" s="55" t="s">
        <v>72</v>
      </c>
      <c r="F23" s="52" t="s">
        <v>35</v>
      </c>
      <c r="G23" s="40">
        <v>0</v>
      </c>
      <c r="H23" s="118">
        <f>IF(B$17=0,0,G23/B$17)</f>
        <v>0</v>
      </c>
      <c r="I23" s="80">
        <v>3</v>
      </c>
      <c r="N23" s="100" t="s">
        <v>173</v>
      </c>
      <c r="O23" s="110">
        <f>IF(P23=0,0,Q23/P23)</f>
        <v>-79.099999999999994</v>
      </c>
      <c r="P23" s="104">
        <v>1</v>
      </c>
      <c r="Q23" s="92">
        <v>-79.099999999999994</v>
      </c>
    </row>
    <row r="24" spans="1:17">
      <c r="A24" s="47" t="s">
        <v>5</v>
      </c>
      <c r="B24" s="44">
        <f>IF(B$17=0,0,C24/B$17)</f>
        <v>9925</v>
      </c>
      <c r="C24" s="35">
        <v>39700</v>
      </c>
      <c r="E24" s="55" t="s">
        <v>73</v>
      </c>
      <c r="F24" s="52" t="s">
        <v>36</v>
      </c>
      <c r="G24" s="40">
        <v>0</v>
      </c>
      <c r="H24" s="118">
        <f>IF(B$17=0,0,G24/B$17)</f>
        <v>0</v>
      </c>
      <c r="I24" s="80">
        <v>1</v>
      </c>
      <c r="N24" s="100" t="s">
        <v>182</v>
      </c>
      <c r="O24" s="110">
        <f>IF(P24=0,0,Q24/P24)</f>
        <v>-126.8</v>
      </c>
      <c r="P24" s="104">
        <v>1</v>
      </c>
      <c r="Q24" s="92">
        <v>-126.8</v>
      </c>
    </row>
    <row r="25" spans="1:17">
      <c r="A25" s="48" t="s">
        <v>137</v>
      </c>
      <c r="B25" s="121">
        <f>IF($B$17-B$16=0,0,C25/($B$17-B$16))</f>
        <v>9925</v>
      </c>
      <c r="C25" s="122">
        <v>39700</v>
      </c>
      <c r="E25" s="55" t="s">
        <v>74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138</v>
      </c>
      <c r="B26" s="121">
        <f>IF(B$16=0,0,C26/B$16)</f>
        <v>0</v>
      </c>
      <c r="C26" s="122">
        <v>0</v>
      </c>
      <c r="E26" s="55" t="s">
        <v>75</v>
      </c>
      <c r="F26" s="52" t="s">
        <v>38</v>
      </c>
      <c r="G26" s="40">
        <v>0</v>
      </c>
      <c r="H26" s="118">
        <f>IF(B$17=0,0,G26/B$17)</f>
        <v>0</v>
      </c>
      <c r="I26" s="80">
        <v>3</v>
      </c>
    </row>
    <row r="27" spans="1:17">
      <c r="A27" s="48" t="s">
        <v>136</v>
      </c>
      <c r="B27" s="121">
        <f>IF(B$18=0,0,C27/B$18)</f>
        <v>-6840</v>
      </c>
      <c r="C27" s="122">
        <v>-34200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134</v>
      </c>
      <c r="B28" s="40">
        <v>1</v>
      </c>
      <c r="C28" s="120">
        <v>0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9</v>
      </c>
      <c r="C29" s="120">
        <v>2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115</v>
      </c>
      <c r="B30" s="142">
        <v>3</v>
      </c>
      <c r="C30" s="143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44">
        <v>54900</v>
      </c>
      <c r="C31" s="145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0</v>
      </c>
      <c r="C35" s="126">
        <f t="shared" ref="C35:C47" si="3">IF(B$17=0,0,B35/B$17)</f>
        <v>0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1</v>
      </c>
      <c r="C36" s="33">
        <f t="shared" si="3"/>
        <v>0.25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1</v>
      </c>
      <c r="C37" s="33">
        <f t="shared" si="3"/>
        <v>0.25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0</v>
      </c>
      <c r="C38" s="33">
        <f t="shared" si="3"/>
        <v>0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0</v>
      </c>
      <c r="C39" s="33">
        <f t="shared" si="3"/>
        <v>0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2</v>
      </c>
      <c r="C40" s="33">
        <f t="shared" si="3"/>
        <v>0.5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92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93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94</v>
      </c>
      <c r="F45" s="53" t="s">
        <v>194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8EFCC-2694-40F4-9088-FF2583743BBC}">
  <sheetPr codeName="Sheet7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6" t="s">
        <v>166</v>
      </c>
      <c r="C1" s="14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48">
        <v>2</v>
      </c>
      <c r="C2" s="149"/>
      <c r="E2" s="54" t="s">
        <v>186</v>
      </c>
      <c r="F2" s="51" t="s">
        <v>160</v>
      </c>
      <c r="G2" s="39">
        <v>6</v>
      </c>
      <c r="H2" s="117">
        <f>IF(B$17=0,0,G2/B$17)</f>
        <v>0.8571428571428571</v>
      </c>
      <c r="I2" s="79">
        <v>4</v>
      </c>
      <c r="K2" s="30">
        <v>0</v>
      </c>
      <c r="L2" s="84">
        <v>0</v>
      </c>
      <c r="N2" s="99" t="s">
        <v>107</v>
      </c>
      <c r="O2" s="106">
        <f t="shared" ref="O2:O9" si="0">IF(P2=0,0,Q2/P2)</f>
        <v>-3350</v>
      </c>
      <c r="P2" s="103">
        <v>2</v>
      </c>
      <c r="Q2" s="87">
        <v>-6700</v>
      </c>
    </row>
    <row r="3" spans="1:17">
      <c r="A3" s="47" t="s">
        <v>8</v>
      </c>
      <c r="B3" s="150">
        <v>20</v>
      </c>
      <c r="C3" s="151"/>
      <c r="E3" s="55" t="s">
        <v>55</v>
      </c>
      <c r="F3" s="52" t="s">
        <v>20</v>
      </c>
      <c r="G3" s="40">
        <v>6</v>
      </c>
      <c r="H3" s="118">
        <f>IF(B$17=0,0,G3/B$17)</f>
        <v>0.8571428571428571</v>
      </c>
      <c r="I3" s="80">
        <v>4</v>
      </c>
      <c r="K3" s="32">
        <v>1</v>
      </c>
      <c r="L3" s="85">
        <v>-61.7</v>
      </c>
      <c r="N3" s="100" t="s">
        <v>108</v>
      </c>
      <c r="O3" s="107">
        <f t="shared" si="0"/>
        <v>200</v>
      </c>
      <c r="P3" s="104">
        <v>2</v>
      </c>
      <c r="Q3" s="88">
        <v>400</v>
      </c>
    </row>
    <row r="4" spans="1:17">
      <c r="A4" s="47" t="s">
        <v>6</v>
      </c>
      <c r="B4" s="152">
        <v>26.099999999999994</v>
      </c>
      <c r="C4" s="153"/>
      <c r="E4" s="55" t="s">
        <v>57</v>
      </c>
      <c r="F4" s="52" t="s">
        <v>190</v>
      </c>
      <c r="G4" s="40">
        <v>4</v>
      </c>
      <c r="H4" s="118">
        <f>IF(B$17=0,0,G4/B$17)</f>
        <v>0.5714285714285714</v>
      </c>
      <c r="I4" s="80">
        <v>1</v>
      </c>
      <c r="K4" s="32">
        <v>2</v>
      </c>
      <c r="L4" s="85">
        <v>26.099999999999994</v>
      </c>
      <c r="N4" s="100" t="s">
        <v>109</v>
      </c>
      <c r="O4" s="107">
        <f t="shared" si="0"/>
        <v>750</v>
      </c>
      <c r="P4" s="104">
        <v>2</v>
      </c>
      <c r="Q4" s="88">
        <v>1500</v>
      </c>
    </row>
    <row r="5" spans="1:17">
      <c r="A5" s="47" t="s">
        <v>7</v>
      </c>
      <c r="B5" s="154">
        <f>IF(B$2=0,0,B$4/B$2)</f>
        <v>13.049999999999997</v>
      </c>
      <c r="C5" s="155"/>
      <c r="E5" s="55" t="s">
        <v>187</v>
      </c>
      <c r="F5" s="52" t="s">
        <v>19</v>
      </c>
      <c r="G5" s="40">
        <v>3</v>
      </c>
      <c r="H5" s="118">
        <f>IF(B$17=0,0,G5/B$17)</f>
        <v>0.42857142857142855</v>
      </c>
      <c r="I5" s="80">
        <v>4</v>
      </c>
      <c r="N5" s="100" t="s">
        <v>161</v>
      </c>
      <c r="O5" s="107">
        <f>IF(P5=0,0,Q5/P5)</f>
        <v>7150</v>
      </c>
      <c r="P5" s="104">
        <v>2</v>
      </c>
      <c r="Q5" s="88">
        <v>14300</v>
      </c>
    </row>
    <row r="6" spans="1:17">
      <c r="A6" s="47" t="s">
        <v>1</v>
      </c>
      <c r="B6" s="156">
        <f>IF(B$2=0,0,(B$7*1+B$8*2+B$9*3+B$10*4)/B$2)</f>
        <v>2.5</v>
      </c>
      <c r="C6" s="157"/>
      <c r="E6" s="55" t="s">
        <v>58</v>
      </c>
      <c r="F6" s="52" t="s">
        <v>21</v>
      </c>
      <c r="G6" s="40">
        <v>3</v>
      </c>
      <c r="H6" s="118">
        <f>IF(B$17=0,0,G6/B$17)</f>
        <v>0.42857142857142855</v>
      </c>
      <c r="I6" s="80">
        <v>4</v>
      </c>
      <c r="N6" s="100" t="s">
        <v>110</v>
      </c>
      <c r="O6" s="107">
        <f t="shared" ref="O6" si="1">IF(P6=0,0,Q6/P6)</f>
        <v>2700</v>
      </c>
      <c r="P6" s="104">
        <v>2</v>
      </c>
      <c r="Q6" s="88">
        <v>5400</v>
      </c>
    </row>
    <row r="7" spans="1:17">
      <c r="A7" s="47" t="s">
        <v>2</v>
      </c>
      <c r="B7" s="40">
        <v>1</v>
      </c>
      <c r="C7" s="33">
        <f t="shared" ref="C7:C12" si="2">IF(B$2=0,0,B7/B$2)</f>
        <v>0.5</v>
      </c>
      <c r="E7" s="55" t="s">
        <v>189</v>
      </c>
      <c r="F7" s="52" t="s">
        <v>195</v>
      </c>
      <c r="G7" s="40">
        <v>2</v>
      </c>
      <c r="H7" s="118">
        <f>IF(B$17=0,0,G7/B$17)</f>
        <v>0.2857142857142857</v>
      </c>
      <c r="I7" s="80">
        <v>7</v>
      </c>
      <c r="N7" s="100" t="s">
        <v>111</v>
      </c>
      <c r="O7" s="107">
        <f t="shared" si="0"/>
        <v>1850</v>
      </c>
      <c r="P7" s="104">
        <v>2</v>
      </c>
      <c r="Q7" s="88">
        <v>3700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59</v>
      </c>
      <c r="F8" s="52" t="s">
        <v>22</v>
      </c>
      <c r="G8" s="40">
        <v>1</v>
      </c>
      <c r="H8" s="118">
        <f>IF(B$17=0,0,G8/B$17)</f>
        <v>0.14285714285714285</v>
      </c>
      <c r="I8" s="80">
        <v>2</v>
      </c>
      <c r="N8" s="100" t="s">
        <v>112</v>
      </c>
      <c r="O8" s="107">
        <f t="shared" si="0"/>
        <v>-2000</v>
      </c>
      <c r="P8" s="104">
        <v>1</v>
      </c>
      <c r="Q8" s="88">
        <v>-2000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61</v>
      </c>
      <c r="F9" s="52" t="s">
        <v>24</v>
      </c>
      <c r="G9" s="40">
        <v>1</v>
      </c>
      <c r="H9" s="118">
        <f>IF(B$17=0,0,G9/B$17)</f>
        <v>0.14285714285714285</v>
      </c>
      <c r="I9" s="80">
        <v>9</v>
      </c>
      <c r="N9" s="101" t="s">
        <v>162</v>
      </c>
      <c r="O9" s="108">
        <f t="shared" si="0"/>
        <v>-500</v>
      </c>
      <c r="P9" s="105">
        <v>1</v>
      </c>
      <c r="Q9" s="89">
        <v>-500</v>
      </c>
    </row>
    <row r="10" spans="1:17">
      <c r="A10" s="48" t="s">
        <v>156</v>
      </c>
      <c r="B10" s="41">
        <v>1</v>
      </c>
      <c r="C10" s="34">
        <f>IF(B$2=0,0,B10/B$2)</f>
        <v>0.5</v>
      </c>
      <c r="E10" s="55" t="s">
        <v>56</v>
      </c>
      <c r="F10" s="52" t="s">
        <v>159</v>
      </c>
      <c r="G10" s="40">
        <v>0</v>
      </c>
      <c r="H10" s="118">
        <f>IF(B$17=0,0,G10/B$17)</f>
        <v>0</v>
      </c>
      <c r="I10" s="80">
        <v>10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1</v>
      </c>
      <c r="C11" s="34">
        <f>IF(B$2=0,0,B11/B$2)</f>
        <v>0.5</v>
      </c>
      <c r="E11" s="55" t="s">
        <v>60</v>
      </c>
      <c r="F11" s="52" t="s">
        <v>23</v>
      </c>
      <c r="G11" s="40">
        <v>0</v>
      </c>
      <c r="H11" s="118">
        <f>IF(B$17=0,0,G11/B$17)</f>
        <v>0</v>
      </c>
      <c r="I11" s="80">
        <v>6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1</v>
      </c>
      <c r="C12" s="36">
        <f t="shared" si="2"/>
        <v>0.5</v>
      </c>
      <c r="E12" s="55" t="s">
        <v>62</v>
      </c>
      <c r="F12" s="52" t="s">
        <v>25</v>
      </c>
      <c r="G12" s="40">
        <v>0</v>
      </c>
      <c r="H12" s="118">
        <f>IF(B$17=0,0,G12/B$17)</f>
        <v>0</v>
      </c>
      <c r="I12" s="80">
        <v>1</v>
      </c>
      <c r="N12" s="99" t="s">
        <v>130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101</v>
      </c>
      <c r="B13" s="43">
        <v>9</v>
      </c>
      <c r="C13" s="38">
        <f>IF(B$3=0,0,B13/B$3)</f>
        <v>0.45</v>
      </c>
      <c r="E13" s="55" t="s">
        <v>63</v>
      </c>
      <c r="F13" s="52" t="s">
        <v>26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98</v>
      </c>
      <c r="B14" s="40">
        <v>1</v>
      </c>
      <c r="C14" s="33">
        <f>IF(B$3=0,0,B14/B$3)</f>
        <v>0.05</v>
      </c>
      <c r="E14" s="55" t="s">
        <v>64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13.049999999999997</v>
      </c>
      <c r="P14" s="104">
        <v>2</v>
      </c>
      <c r="Q14" s="92">
        <v>26.099999999999994</v>
      </c>
    </row>
    <row r="15" spans="1:17">
      <c r="A15" s="46" t="s">
        <v>103</v>
      </c>
      <c r="B15" s="39">
        <f>B21</f>
        <v>7</v>
      </c>
      <c r="C15" s="31">
        <f>IF(B$13=0,0,B15/B$13)</f>
        <v>0.77777777777777779</v>
      </c>
      <c r="E15" s="55" t="s">
        <v>65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104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7</v>
      </c>
      <c r="C17" s="31">
        <f>IF(B$3=0,0,B17/B$3)</f>
        <v>0.35</v>
      </c>
      <c r="E17" s="55" t="s">
        <v>67</v>
      </c>
      <c r="F17" s="52" t="s">
        <v>30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3</v>
      </c>
      <c r="C18" s="33">
        <f>IF(B$3=0,0,B18/B$3)</f>
        <v>0.15</v>
      </c>
      <c r="E18" s="55" t="s">
        <v>68</v>
      </c>
      <c r="F18" s="52" t="s">
        <v>31</v>
      </c>
      <c r="G18" s="40">
        <v>0</v>
      </c>
      <c r="H18" s="118">
        <f>IF(B$17=0,0,G18/B$17)</f>
        <v>0</v>
      </c>
      <c r="I18" s="80">
        <v>3</v>
      </c>
      <c r="N18" s="99" t="s">
        <v>182</v>
      </c>
      <c r="O18" s="109">
        <f>IF(P18=0,0,Q18/P18)</f>
        <v>146.4</v>
      </c>
      <c r="P18" s="103">
        <v>1</v>
      </c>
      <c r="Q18" s="91">
        <v>146.4</v>
      </c>
    </row>
    <row r="19" spans="1:17">
      <c r="A19" s="47" t="s">
        <v>12</v>
      </c>
      <c r="B19" s="40">
        <v>5</v>
      </c>
      <c r="C19" s="33">
        <f>IF(B$17=0,0,B19/B$17)</f>
        <v>0.7142857142857143</v>
      </c>
      <c r="E19" s="55" t="s">
        <v>188</v>
      </c>
      <c r="F19" s="52" t="s">
        <v>191</v>
      </c>
      <c r="G19" s="40">
        <v>0</v>
      </c>
      <c r="H19" s="118">
        <f>IF(B$17=0,0,G19/B$17)</f>
        <v>0</v>
      </c>
      <c r="I19" s="80">
        <v>3</v>
      </c>
      <c r="N19" s="100" t="s">
        <v>173</v>
      </c>
      <c r="O19" s="110">
        <f>IF(P19=0,0,Q19/P19)</f>
        <v>120.69999999999999</v>
      </c>
      <c r="P19" s="104">
        <v>1</v>
      </c>
      <c r="Q19" s="92">
        <v>120.69999999999999</v>
      </c>
    </row>
    <row r="20" spans="1:17">
      <c r="A20" s="47" t="s">
        <v>11</v>
      </c>
      <c r="B20" s="40">
        <v>2</v>
      </c>
      <c r="C20" s="33">
        <f>IF(B$17=0,0,B20/B$17)</f>
        <v>0.2857142857142857</v>
      </c>
      <c r="E20" s="55" t="s">
        <v>69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170</v>
      </c>
      <c r="O20" s="110">
        <f>IF(P20=0,0,Q20/P20)</f>
        <v>84.1</v>
      </c>
      <c r="P20" s="104">
        <v>1</v>
      </c>
      <c r="Q20" s="92">
        <v>84.1</v>
      </c>
    </row>
    <row r="21" spans="1:17">
      <c r="A21" s="47" t="s">
        <v>155</v>
      </c>
      <c r="B21" s="40">
        <v>7</v>
      </c>
      <c r="C21" s="33">
        <f>IF(B$17=0,0,B21/B$17)</f>
        <v>1</v>
      </c>
      <c r="E21" s="55" t="s">
        <v>70</v>
      </c>
      <c r="F21" s="52" t="s">
        <v>33</v>
      </c>
      <c r="G21" s="40">
        <v>0</v>
      </c>
      <c r="H21" s="118">
        <f>IF(B$17=0,0,G21/B$17)</f>
        <v>0</v>
      </c>
      <c r="I21" s="80">
        <v>3</v>
      </c>
      <c r="N21" s="100" t="s">
        <v>167</v>
      </c>
      <c r="O21" s="110">
        <f>IF(P21=0,0,Q21/P21)</f>
        <v>-36.6</v>
      </c>
      <c r="P21" s="104">
        <v>1</v>
      </c>
      <c r="Q21" s="92">
        <v>-36.6</v>
      </c>
    </row>
    <row r="22" spans="1:17">
      <c r="A22" s="47" t="s">
        <v>153</v>
      </c>
      <c r="B22" s="40">
        <v>0</v>
      </c>
      <c r="C22" s="33">
        <f>IF(B$17=0,0,B22/B$17)</f>
        <v>0</v>
      </c>
      <c r="E22" s="55" t="s">
        <v>71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168</v>
      </c>
      <c r="O22" s="110">
        <f>IF(P22=0,0,Q22/P22)</f>
        <v>-73.600000000000009</v>
      </c>
      <c r="P22" s="104">
        <v>1</v>
      </c>
      <c r="Q22" s="92">
        <v>-73.600000000000009</v>
      </c>
    </row>
    <row r="23" spans="1:17">
      <c r="A23" s="47" t="s">
        <v>154</v>
      </c>
      <c r="B23" s="40">
        <v>0</v>
      </c>
      <c r="C23" s="33">
        <f>IF(B$17=0,0,B23/B$17)</f>
        <v>0</v>
      </c>
      <c r="E23" s="55" t="s">
        <v>72</v>
      </c>
      <c r="F23" s="52" t="s">
        <v>35</v>
      </c>
      <c r="G23" s="40">
        <v>0</v>
      </c>
      <c r="H23" s="118">
        <f>IF(B$17=0,0,G23/B$17)</f>
        <v>0</v>
      </c>
      <c r="I23" s="80">
        <v>3</v>
      </c>
      <c r="N23" s="100" t="s">
        <v>165</v>
      </c>
      <c r="O23" s="110">
        <f>IF(P23=0,0,Q23/P23)</f>
        <v>-136.60000000000002</v>
      </c>
      <c r="P23" s="104">
        <v>1</v>
      </c>
      <c r="Q23" s="92">
        <v>-136.60000000000002</v>
      </c>
    </row>
    <row r="24" spans="1:17">
      <c r="A24" s="47" t="s">
        <v>5</v>
      </c>
      <c r="B24" s="44">
        <f>IF(B$17=0,0,C24/B$17)</f>
        <v>6714.2857142857147</v>
      </c>
      <c r="C24" s="35">
        <v>47000</v>
      </c>
      <c r="E24" s="55" t="s">
        <v>73</v>
      </c>
      <c r="F24" s="52" t="s">
        <v>36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137</v>
      </c>
      <c r="B25" s="121">
        <f>IF($B$17-B$16=0,0,C25/($B$17-B$16))</f>
        <v>6714.2857142857147</v>
      </c>
      <c r="C25" s="122">
        <v>47000</v>
      </c>
      <c r="E25" s="55" t="s">
        <v>74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138</v>
      </c>
      <c r="B26" s="121">
        <f>IF(B$16=0,0,C26/B$16)</f>
        <v>0</v>
      </c>
      <c r="C26" s="122">
        <v>0</v>
      </c>
      <c r="E26" s="55" t="s">
        <v>75</v>
      </c>
      <c r="F26" s="52" t="s">
        <v>38</v>
      </c>
      <c r="G26" s="40">
        <v>0</v>
      </c>
      <c r="H26" s="118">
        <f>IF(B$17=0,0,G26/B$17)</f>
        <v>0</v>
      </c>
      <c r="I26" s="80">
        <v>3</v>
      </c>
    </row>
    <row r="27" spans="1:17">
      <c r="A27" s="48" t="s">
        <v>136</v>
      </c>
      <c r="B27" s="121">
        <f>IF(B$18=0,0,C27/B$18)</f>
        <v>-6800</v>
      </c>
      <c r="C27" s="122">
        <v>-20400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134</v>
      </c>
      <c r="B28" s="40">
        <v>3</v>
      </c>
      <c r="C28" s="120">
        <v>0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12</v>
      </c>
      <c r="C29" s="120">
        <v>12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115</v>
      </c>
      <c r="B30" s="142">
        <v>3</v>
      </c>
      <c r="C30" s="143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44">
        <v>67800</v>
      </c>
      <c r="C31" s="145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1</v>
      </c>
      <c r="C35" s="126">
        <f t="shared" ref="C35:C47" si="3">IF(B$17=0,0,B35/B$17)</f>
        <v>0.14285714285714285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0</v>
      </c>
      <c r="C36" s="33">
        <f t="shared" si="3"/>
        <v>0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2</v>
      </c>
      <c r="C37" s="33">
        <f t="shared" si="3"/>
        <v>0.2857142857142857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2</v>
      </c>
      <c r="C38" s="33">
        <f t="shared" si="3"/>
        <v>0.2857142857142857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1</v>
      </c>
      <c r="C39" s="33">
        <f t="shared" si="3"/>
        <v>0.14285714285714285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1</v>
      </c>
      <c r="C40" s="33">
        <f t="shared" si="3"/>
        <v>0.14285714285714285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92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93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94</v>
      </c>
      <c r="F45" s="53" t="s">
        <v>194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B6A19-4B86-4F35-B76D-19FD9C1EF936}">
  <sheetPr codeName="Sheet8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6" t="s">
        <v>167</v>
      </c>
      <c r="C1" s="14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48">
        <v>1</v>
      </c>
      <c r="C2" s="149"/>
      <c r="E2" s="54" t="s">
        <v>186</v>
      </c>
      <c r="F2" s="51" t="s">
        <v>160</v>
      </c>
      <c r="G2" s="39">
        <v>2</v>
      </c>
      <c r="H2" s="117">
        <f>IF(B$17=0,0,G2/B$17)</f>
        <v>1</v>
      </c>
      <c r="I2" s="79">
        <v>1</v>
      </c>
      <c r="K2" s="30">
        <v>0</v>
      </c>
      <c r="L2" s="84">
        <v>0</v>
      </c>
      <c r="N2" s="99" t="s">
        <v>107</v>
      </c>
      <c r="O2" s="106">
        <f t="shared" ref="O2:O9" si="0">IF(P2=0,0,Q2/P2)</f>
        <v>0</v>
      </c>
      <c r="P2" s="103">
        <v>1</v>
      </c>
      <c r="Q2" s="87">
        <v>0</v>
      </c>
    </row>
    <row r="3" spans="1:17">
      <c r="A3" s="47" t="s">
        <v>8</v>
      </c>
      <c r="B3" s="150">
        <v>10</v>
      </c>
      <c r="C3" s="151"/>
      <c r="E3" s="55" t="s">
        <v>55</v>
      </c>
      <c r="F3" s="52" t="s">
        <v>20</v>
      </c>
      <c r="G3" s="40">
        <v>2</v>
      </c>
      <c r="H3" s="118">
        <f>IF(B$17=0,0,G3/B$17)</f>
        <v>1</v>
      </c>
      <c r="I3" s="80">
        <v>2</v>
      </c>
      <c r="K3" s="32">
        <v>1</v>
      </c>
      <c r="L3" s="85">
        <v>-25.1</v>
      </c>
      <c r="N3" s="100" t="s">
        <v>108</v>
      </c>
      <c r="O3" s="107">
        <f t="shared" si="0"/>
        <v>-21200</v>
      </c>
      <c r="P3" s="104">
        <v>1</v>
      </c>
      <c r="Q3" s="88">
        <v>-21200</v>
      </c>
    </row>
    <row r="4" spans="1:17">
      <c r="A4" s="47" t="s">
        <v>6</v>
      </c>
      <c r="B4" s="152">
        <v>-25.1</v>
      </c>
      <c r="C4" s="153"/>
      <c r="E4" s="55" t="s">
        <v>187</v>
      </c>
      <c r="F4" s="52" t="s">
        <v>19</v>
      </c>
      <c r="G4" s="40">
        <v>1</v>
      </c>
      <c r="H4" s="118">
        <f>IF(B$17=0,0,G4/B$17)</f>
        <v>0.5</v>
      </c>
      <c r="I4" s="80">
        <v>1</v>
      </c>
      <c r="N4" s="100" t="s">
        <v>109</v>
      </c>
      <c r="O4" s="107">
        <f t="shared" si="0"/>
        <v>500</v>
      </c>
      <c r="P4" s="104">
        <v>1</v>
      </c>
      <c r="Q4" s="88">
        <v>500</v>
      </c>
    </row>
    <row r="5" spans="1:17">
      <c r="A5" s="47" t="s">
        <v>7</v>
      </c>
      <c r="B5" s="154">
        <f>IF(B$2=0,0,B$4/B$2)</f>
        <v>-25.1</v>
      </c>
      <c r="C5" s="155"/>
      <c r="E5" s="55" t="s">
        <v>75</v>
      </c>
      <c r="F5" s="52" t="s">
        <v>38</v>
      </c>
      <c r="G5" s="40">
        <v>1</v>
      </c>
      <c r="H5" s="118">
        <f>IF(B$17=0,0,G5/B$17)</f>
        <v>0.5</v>
      </c>
      <c r="I5" s="80">
        <v>1</v>
      </c>
      <c r="N5" s="100" t="s">
        <v>161</v>
      </c>
      <c r="O5" s="107">
        <f>IF(P5=0,0,Q5/P5)</f>
        <v>-2100</v>
      </c>
      <c r="P5" s="104">
        <v>1</v>
      </c>
      <c r="Q5" s="88">
        <v>-2100</v>
      </c>
    </row>
    <row r="6" spans="1:17">
      <c r="A6" s="47" t="s">
        <v>1</v>
      </c>
      <c r="B6" s="156">
        <f>IF(B$2=0,0,(B$7*1+B$8*2+B$9*3+B$10*4)/B$2)</f>
        <v>3</v>
      </c>
      <c r="C6" s="157"/>
      <c r="E6" s="55" t="s">
        <v>56</v>
      </c>
      <c r="F6" s="52" t="s">
        <v>159</v>
      </c>
      <c r="G6" s="40">
        <v>0</v>
      </c>
      <c r="H6" s="118">
        <f>IF(B$17=0,0,G6/B$17)</f>
        <v>0</v>
      </c>
      <c r="I6" s="80">
        <v>10</v>
      </c>
      <c r="N6" s="100" t="s">
        <v>110</v>
      </c>
      <c r="O6" s="107">
        <f t="shared" ref="O6" si="1">IF(P6=0,0,Q6/P6)</f>
        <v>2600</v>
      </c>
      <c r="P6" s="104">
        <v>1</v>
      </c>
      <c r="Q6" s="88">
        <v>2600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190</v>
      </c>
      <c r="G7" s="40">
        <v>0</v>
      </c>
      <c r="H7" s="118">
        <f>IF(B$17=0,0,G7/B$17)</f>
        <v>0</v>
      </c>
      <c r="I7" s="80">
        <v>9</v>
      </c>
      <c r="N7" s="100" t="s">
        <v>111</v>
      </c>
      <c r="O7" s="107">
        <f t="shared" si="0"/>
        <v>10100</v>
      </c>
      <c r="P7" s="104">
        <v>1</v>
      </c>
      <c r="Q7" s="88">
        <v>10100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21</v>
      </c>
      <c r="G8" s="40">
        <v>0</v>
      </c>
      <c r="H8" s="118">
        <f>IF(B$17=0,0,G8/B$17)</f>
        <v>0</v>
      </c>
      <c r="I8" s="80">
        <v>10</v>
      </c>
      <c r="N8" s="100" t="s">
        <v>112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1</v>
      </c>
      <c r="C9" s="34">
        <f>IF(B$2=0,0,B9/B$2)</f>
        <v>1</v>
      </c>
      <c r="E9" s="55" t="s">
        <v>59</v>
      </c>
      <c r="F9" s="52" t="s">
        <v>22</v>
      </c>
      <c r="G9" s="40">
        <v>0</v>
      </c>
      <c r="H9" s="118">
        <f>IF(B$17=0,0,G9/B$17)</f>
        <v>0</v>
      </c>
      <c r="I9" s="80">
        <v>4</v>
      </c>
      <c r="N9" s="101" t="s">
        <v>162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156</v>
      </c>
      <c r="B10" s="41">
        <v>0</v>
      </c>
      <c r="C10" s="34">
        <f>IF(B$2=0,0,B10/B$2)</f>
        <v>0</v>
      </c>
      <c r="E10" s="55" t="s">
        <v>60</v>
      </c>
      <c r="F10" s="52" t="s">
        <v>23</v>
      </c>
      <c r="G10" s="40">
        <v>0</v>
      </c>
      <c r="H10" s="118">
        <f>IF(B$17=0,0,G10/B$17)</f>
        <v>0</v>
      </c>
      <c r="I10" s="80">
        <v>6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24</v>
      </c>
      <c r="G11" s="40">
        <v>0</v>
      </c>
      <c r="H11" s="118">
        <f>IF(B$17=0,0,G11/B$17)</f>
        <v>0</v>
      </c>
      <c r="I11" s="80">
        <v>10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25</v>
      </c>
      <c r="G12" s="40">
        <v>0</v>
      </c>
      <c r="H12" s="118">
        <f>IF(B$17=0,0,G12/B$17)</f>
        <v>0</v>
      </c>
      <c r="I12" s="80">
        <v>1</v>
      </c>
      <c r="N12" s="99" t="s">
        <v>130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101</v>
      </c>
      <c r="B13" s="43">
        <v>4</v>
      </c>
      <c r="C13" s="38">
        <f>IF(B$3=0,0,B13/B$3)</f>
        <v>0.4</v>
      </c>
      <c r="E13" s="55" t="s">
        <v>63</v>
      </c>
      <c r="F13" s="52" t="s">
        <v>26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98</v>
      </c>
      <c r="B14" s="40">
        <v>3</v>
      </c>
      <c r="C14" s="33">
        <f>IF(B$3=0,0,B14/B$3)</f>
        <v>0.3</v>
      </c>
      <c r="E14" s="55" t="s">
        <v>64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103</v>
      </c>
      <c r="B15" s="39">
        <f>B21</f>
        <v>2</v>
      </c>
      <c r="C15" s="31">
        <f>IF(B$13=0,0,B15/B$13)</f>
        <v>0.5</v>
      </c>
      <c r="E15" s="55" t="s">
        <v>65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-25.1</v>
      </c>
      <c r="P15" s="105">
        <v>1</v>
      </c>
      <c r="Q15" s="93">
        <v>-25.1</v>
      </c>
    </row>
    <row r="16" spans="1:17">
      <c r="A16" s="46" t="s">
        <v>104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</v>
      </c>
      <c r="C17" s="31">
        <f>IF(B$3=0,0,B17/B$3)</f>
        <v>0.2</v>
      </c>
      <c r="E17" s="55" t="s">
        <v>67</v>
      </c>
      <c r="F17" s="52" t="s">
        <v>30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1</v>
      </c>
      <c r="C18" s="33">
        <f>IF(B$3=0,0,B18/B$3)</f>
        <v>0.1</v>
      </c>
      <c r="E18" s="55" t="s">
        <v>68</v>
      </c>
      <c r="F18" s="52" t="s">
        <v>31</v>
      </c>
      <c r="G18" s="40">
        <v>0</v>
      </c>
      <c r="H18" s="118">
        <f>IF(B$17=0,0,G18/B$17)</f>
        <v>0</v>
      </c>
      <c r="I18" s="80">
        <v>3</v>
      </c>
      <c r="N18" s="99" t="s">
        <v>166</v>
      </c>
      <c r="O18" s="109">
        <f>IF(P18=0,0,Q18/P18)</f>
        <v>36.6</v>
      </c>
      <c r="P18" s="103">
        <v>1</v>
      </c>
      <c r="Q18" s="91">
        <v>36.6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188</v>
      </c>
      <c r="F19" s="52" t="s">
        <v>191</v>
      </c>
      <c r="G19" s="40">
        <v>0</v>
      </c>
      <c r="H19" s="118">
        <f>IF(B$17=0,0,G19/B$17)</f>
        <v>0</v>
      </c>
      <c r="I19" s="80">
        <v>3</v>
      </c>
      <c r="N19" s="100" t="s">
        <v>168</v>
      </c>
      <c r="O19" s="110">
        <f>IF(P19=0,0,Q19/P19)</f>
        <v>-37</v>
      </c>
      <c r="P19" s="104">
        <v>1</v>
      </c>
      <c r="Q19" s="92">
        <v>-37</v>
      </c>
    </row>
    <row r="20" spans="1:17">
      <c r="A20" s="47" t="s">
        <v>11</v>
      </c>
      <c r="B20" s="40">
        <v>2</v>
      </c>
      <c r="C20" s="33">
        <f>IF(B$17=0,0,B20/B$17)</f>
        <v>1</v>
      </c>
      <c r="E20" s="55" t="s">
        <v>69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165</v>
      </c>
      <c r="O20" s="110">
        <f>IF(P20=0,0,Q20/P20)</f>
        <v>-100</v>
      </c>
      <c r="P20" s="104">
        <v>1</v>
      </c>
      <c r="Q20" s="92">
        <v>-100</v>
      </c>
    </row>
    <row r="21" spans="1:17">
      <c r="A21" s="47" t="s">
        <v>155</v>
      </c>
      <c r="B21" s="40">
        <v>2</v>
      </c>
      <c r="C21" s="33">
        <f>IF(B$17=0,0,B21/B$17)</f>
        <v>1</v>
      </c>
      <c r="E21" s="55" t="s">
        <v>70</v>
      </c>
      <c r="F21" s="52" t="s">
        <v>33</v>
      </c>
      <c r="G21" s="40">
        <v>0</v>
      </c>
      <c r="H21" s="118">
        <f>IF(B$17=0,0,G21/B$17)</f>
        <v>0</v>
      </c>
      <c r="I21" s="80">
        <v>3</v>
      </c>
    </row>
    <row r="22" spans="1:17">
      <c r="A22" s="47" t="s">
        <v>153</v>
      </c>
      <c r="B22" s="40">
        <v>0</v>
      </c>
      <c r="C22" s="33">
        <f>IF(B$17=0,0,B22/B$17)</f>
        <v>0</v>
      </c>
      <c r="E22" s="55" t="s">
        <v>71</v>
      </c>
      <c r="F22" s="52" t="s">
        <v>34</v>
      </c>
      <c r="G22" s="40">
        <v>0</v>
      </c>
      <c r="H22" s="118">
        <f>IF(B$17=0,0,G22/B$17)</f>
        <v>0</v>
      </c>
      <c r="I22" s="80">
        <v>1</v>
      </c>
    </row>
    <row r="23" spans="1:17">
      <c r="A23" s="47" t="s">
        <v>154</v>
      </c>
      <c r="B23" s="40">
        <v>0</v>
      </c>
      <c r="C23" s="33">
        <f>IF(B$17=0,0,B23/B$17)</f>
        <v>0</v>
      </c>
      <c r="E23" s="55" t="s">
        <v>72</v>
      </c>
      <c r="F23" s="52" t="s">
        <v>35</v>
      </c>
      <c r="G23" s="40">
        <v>0</v>
      </c>
      <c r="H23" s="118">
        <f>IF(B$17=0,0,G23/B$17)</f>
        <v>0</v>
      </c>
      <c r="I23" s="80">
        <v>3</v>
      </c>
    </row>
    <row r="24" spans="1:17">
      <c r="A24" s="47" t="s">
        <v>5</v>
      </c>
      <c r="B24" s="44">
        <f>IF(B$17=0,0,C24/B$17)</f>
        <v>5300</v>
      </c>
      <c r="C24" s="35">
        <v>10600</v>
      </c>
      <c r="E24" s="55" t="s">
        <v>73</v>
      </c>
      <c r="F24" s="52" t="s">
        <v>36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137</v>
      </c>
      <c r="B25" s="121">
        <f>IF($B$17-B$16=0,0,C25/($B$17-B$16))</f>
        <v>5300</v>
      </c>
      <c r="C25" s="122">
        <v>10600</v>
      </c>
      <c r="E25" s="55" t="s">
        <v>74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138</v>
      </c>
      <c r="B26" s="121">
        <f>IF(B$16=0,0,C26/B$16)</f>
        <v>0</v>
      </c>
      <c r="C26" s="122">
        <v>0</v>
      </c>
      <c r="E26" s="55" t="s">
        <v>76</v>
      </c>
      <c r="F26" s="52" t="s">
        <v>39</v>
      </c>
      <c r="G26" s="40">
        <v>0</v>
      </c>
      <c r="H26" s="118">
        <f>IF(B$17=0,0,G26/B$17)</f>
        <v>0</v>
      </c>
      <c r="I26" s="80">
        <v>1</v>
      </c>
    </row>
    <row r="27" spans="1:17">
      <c r="A27" s="48" t="s">
        <v>136</v>
      </c>
      <c r="B27" s="121">
        <f>IF(B$18=0,0,C27/B$18)</f>
        <v>-12000</v>
      </c>
      <c r="C27" s="122">
        <v>-12000</v>
      </c>
      <c r="E27" s="55" t="s">
        <v>77</v>
      </c>
      <c r="F27" s="52" t="s">
        <v>40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134</v>
      </c>
      <c r="B28" s="40">
        <v>1</v>
      </c>
      <c r="C28" s="120">
        <v>1</v>
      </c>
      <c r="E28" s="55" t="s">
        <v>78</v>
      </c>
      <c r="F28" s="52" t="s">
        <v>41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6</v>
      </c>
      <c r="C29" s="120">
        <v>6</v>
      </c>
      <c r="E29" s="55" t="s">
        <v>79</v>
      </c>
      <c r="F29" s="52" t="s">
        <v>42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115</v>
      </c>
      <c r="B30" s="142">
        <v>2</v>
      </c>
      <c r="C30" s="143"/>
      <c r="E30" s="55" t="s">
        <v>80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44">
        <v>14900</v>
      </c>
      <c r="C31" s="145"/>
      <c r="E31" s="55" t="s">
        <v>81</v>
      </c>
      <c r="F31" s="52" t="s">
        <v>44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82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83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84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0</v>
      </c>
      <c r="C35" s="126">
        <f t="shared" ref="C35:C47" si="3">IF(B$17=0,0,B35/B$17)</f>
        <v>0</v>
      </c>
      <c r="E35" s="55" t="s">
        <v>85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1</v>
      </c>
      <c r="C36" s="33">
        <f t="shared" si="3"/>
        <v>0.5</v>
      </c>
      <c r="E36" s="55" t="s">
        <v>86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0</v>
      </c>
      <c r="C37" s="33">
        <f t="shared" si="3"/>
        <v>0</v>
      </c>
      <c r="E37" s="55" t="s">
        <v>87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0</v>
      </c>
      <c r="C38" s="33">
        <f t="shared" si="3"/>
        <v>0</v>
      </c>
      <c r="E38" s="55" t="s">
        <v>88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1</v>
      </c>
      <c r="C39" s="33">
        <f t="shared" si="3"/>
        <v>0.5</v>
      </c>
      <c r="E39" s="55" t="s">
        <v>89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0</v>
      </c>
      <c r="C40" s="33">
        <f t="shared" si="3"/>
        <v>0</v>
      </c>
      <c r="E40" s="55" t="s">
        <v>90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91</v>
      </c>
      <c r="F41" s="52" t="s">
        <v>54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92</v>
      </c>
      <c r="F42" s="52" t="s">
        <v>192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93</v>
      </c>
      <c r="F43" s="52" t="s">
        <v>193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94</v>
      </c>
      <c r="F44" s="52" t="s">
        <v>194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189</v>
      </c>
      <c r="F45" s="53" t="s">
        <v>195</v>
      </c>
      <c r="G45" s="42">
        <v>0</v>
      </c>
      <c r="H45" s="119">
        <f>IF(B$17=0,0,G45/B$17)</f>
        <v>0</v>
      </c>
      <c r="I45" s="81">
        <v>10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799229-E8A1-4D99-9F4F-2BF8ACF9E72D}">
  <sheetPr codeName="Sheet9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6" t="s">
        <v>173</v>
      </c>
      <c r="C1" s="14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48">
        <v>3</v>
      </c>
      <c r="C2" s="149"/>
      <c r="E2" s="54" t="s">
        <v>186</v>
      </c>
      <c r="F2" s="51" t="s">
        <v>160</v>
      </c>
      <c r="G2" s="39">
        <v>2</v>
      </c>
      <c r="H2" s="117">
        <f>IF(B$17=0,0,G2/B$17)</f>
        <v>1</v>
      </c>
      <c r="I2" s="79">
        <v>1</v>
      </c>
      <c r="K2" s="30">
        <v>0</v>
      </c>
      <c r="L2" s="84">
        <v>0</v>
      </c>
      <c r="N2" s="99" t="s">
        <v>107</v>
      </c>
      <c r="O2" s="106">
        <f t="shared" ref="O2:O9" si="0">IF(P2=0,0,Q2/P2)</f>
        <v>8466.6666666666661</v>
      </c>
      <c r="P2" s="103">
        <v>3</v>
      </c>
      <c r="Q2" s="87">
        <v>25400</v>
      </c>
    </row>
    <row r="3" spans="1:17">
      <c r="A3" s="47" t="s">
        <v>8</v>
      </c>
      <c r="B3" s="150">
        <v>26</v>
      </c>
      <c r="C3" s="151"/>
      <c r="E3" s="55" t="s">
        <v>56</v>
      </c>
      <c r="F3" s="52" t="s">
        <v>159</v>
      </c>
      <c r="G3" s="40">
        <v>2</v>
      </c>
      <c r="H3" s="118">
        <f>IF(B$17=0,0,G3/B$17)</f>
        <v>1</v>
      </c>
      <c r="I3" s="80">
        <v>1</v>
      </c>
      <c r="K3" s="32">
        <v>1</v>
      </c>
      <c r="L3" s="85">
        <v>-14.2</v>
      </c>
      <c r="N3" s="100" t="s">
        <v>108</v>
      </c>
      <c r="O3" s="107">
        <f t="shared" si="0"/>
        <v>-500</v>
      </c>
      <c r="P3" s="104">
        <v>3</v>
      </c>
      <c r="Q3" s="88">
        <v>-1500</v>
      </c>
    </row>
    <row r="4" spans="1:17">
      <c r="A4" s="47" t="s">
        <v>6</v>
      </c>
      <c r="B4" s="152">
        <v>-32.299999999999997</v>
      </c>
      <c r="C4" s="153"/>
      <c r="E4" s="55" t="s">
        <v>189</v>
      </c>
      <c r="F4" s="52" t="s">
        <v>195</v>
      </c>
      <c r="G4" s="40">
        <v>2</v>
      </c>
      <c r="H4" s="118">
        <f>IF(B$17=0,0,G4/B$17)</f>
        <v>1</v>
      </c>
      <c r="I4" s="80">
        <v>2</v>
      </c>
      <c r="K4" s="32">
        <v>2</v>
      </c>
      <c r="L4" s="85">
        <v>0.60000000000000142</v>
      </c>
      <c r="N4" s="100" t="s">
        <v>109</v>
      </c>
      <c r="O4" s="107">
        <f t="shared" si="0"/>
        <v>-1766.6666666666667</v>
      </c>
      <c r="P4" s="104">
        <v>3</v>
      </c>
      <c r="Q4" s="88">
        <v>-5300</v>
      </c>
    </row>
    <row r="5" spans="1:17">
      <c r="A5" s="47" t="s">
        <v>7</v>
      </c>
      <c r="B5" s="154">
        <f>IF(B$2=0,0,B$4/B$2)</f>
        <v>-10.766666666666666</v>
      </c>
      <c r="C5" s="155"/>
      <c r="E5" s="55" t="s">
        <v>187</v>
      </c>
      <c r="F5" s="52" t="s">
        <v>19</v>
      </c>
      <c r="G5" s="40">
        <v>1</v>
      </c>
      <c r="H5" s="118">
        <f>IF(B$17=0,0,G5/B$17)</f>
        <v>0.5</v>
      </c>
      <c r="I5" s="80">
        <v>1</v>
      </c>
      <c r="K5" s="32">
        <v>3</v>
      </c>
      <c r="L5" s="85">
        <v>-32.299999999999997</v>
      </c>
      <c r="N5" s="100" t="s">
        <v>161</v>
      </c>
      <c r="O5" s="107">
        <f>IF(P5=0,0,Q5/P5)</f>
        <v>-3466.6666666666665</v>
      </c>
      <c r="P5" s="104">
        <v>3</v>
      </c>
      <c r="Q5" s="88">
        <v>-10400</v>
      </c>
    </row>
    <row r="6" spans="1:17">
      <c r="A6" s="47" t="s">
        <v>1</v>
      </c>
      <c r="B6" s="156">
        <f>IF(B$2=0,0,(B$7*1+B$8*2+B$9*3+B$10*4)/B$2)</f>
        <v>2.6666666666666665</v>
      </c>
      <c r="C6" s="157"/>
      <c r="E6" s="55" t="s">
        <v>55</v>
      </c>
      <c r="F6" s="52" t="s">
        <v>20</v>
      </c>
      <c r="G6" s="40">
        <v>1</v>
      </c>
      <c r="H6" s="118">
        <f>IF(B$17=0,0,G6/B$17)</f>
        <v>0.5</v>
      </c>
      <c r="I6" s="80">
        <v>6</v>
      </c>
      <c r="N6" s="100" t="s">
        <v>110</v>
      </c>
      <c r="O6" s="107">
        <f t="shared" ref="O6" si="1">IF(P6=0,0,Q6/P6)</f>
        <v>-4000</v>
      </c>
      <c r="P6" s="104">
        <v>2</v>
      </c>
      <c r="Q6" s="88">
        <v>-8000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58</v>
      </c>
      <c r="F7" s="52" t="s">
        <v>21</v>
      </c>
      <c r="G7" s="40">
        <v>1</v>
      </c>
      <c r="H7" s="118">
        <f>IF(B$17=0,0,G7/B$17)</f>
        <v>0.5</v>
      </c>
      <c r="I7" s="80">
        <v>1</v>
      </c>
      <c r="N7" s="100" t="s">
        <v>111</v>
      </c>
      <c r="O7" s="107">
        <f t="shared" si="0"/>
        <v>-2000</v>
      </c>
      <c r="P7" s="104">
        <v>2</v>
      </c>
      <c r="Q7" s="88">
        <v>-4000</v>
      </c>
    </row>
    <row r="8" spans="1:17">
      <c r="A8" s="47" t="s">
        <v>3</v>
      </c>
      <c r="B8" s="40">
        <v>1</v>
      </c>
      <c r="C8" s="33">
        <f>IF(B$2=0,0,B8/B$2)</f>
        <v>0.33333333333333331</v>
      </c>
      <c r="E8" s="55" t="s">
        <v>60</v>
      </c>
      <c r="F8" s="52" t="s">
        <v>23</v>
      </c>
      <c r="G8" s="40">
        <v>1</v>
      </c>
      <c r="H8" s="118">
        <f>IF(B$17=0,0,G8/B$17)</f>
        <v>0.5</v>
      </c>
      <c r="I8" s="80">
        <v>1</v>
      </c>
      <c r="N8" s="100" t="s">
        <v>112</v>
      </c>
      <c r="O8" s="107">
        <f t="shared" si="0"/>
        <v>-1500</v>
      </c>
      <c r="P8" s="104">
        <v>2</v>
      </c>
      <c r="Q8" s="88">
        <v>-3000</v>
      </c>
    </row>
    <row r="9" spans="1:17">
      <c r="A9" s="48" t="s">
        <v>4</v>
      </c>
      <c r="B9" s="41">
        <v>2</v>
      </c>
      <c r="C9" s="34">
        <f>IF(B$2=0,0,B9/B$2)</f>
        <v>0.66666666666666663</v>
      </c>
      <c r="E9" s="55" t="s">
        <v>57</v>
      </c>
      <c r="F9" s="52" t="s">
        <v>190</v>
      </c>
      <c r="G9" s="40">
        <v>0</v>
      </c>
      <c r="H9" s="118">
        <f>IF(B$17=0,0,G9/B$17)</f>
        <v>0</v>
      </c>
      <c r="I9" s="80">
        <v>9</v>
      </c>
      <c r="N9" s="101" t="s">
        <v>162</v>
      </c>
      <c r="O9" s="108">
        <f t="shared" si="0"/>
        <v>-500</v>
      </c>
      <c r="P9" s="105">
        <v>1</v>
      </c>
      <c r="Q9" s="89">
        <v>-500</v>
      </c>
    </row>
    <row r="10" spans="1:17">
      <c r="A10" s="48" t="s">
        <v>156</v>
      </c>
      <c r="B10" s="41">
        <v>0</v>
      </c>
      <c r="C10" s="34">
        <f>IF(B$2=0,0,B10/B$2)</f>
        <v>0</v>
      </c>
      <c r="E10" s="55" t="s">
        <v>59</v>
      </c>
      <c r="F10" s="52" t="s">
        <v>22</v>
      </c>
      <c r="G10" s="40">
        <v>0</v>
      </c>
      <c r="H10" s="118">
        <f>IF(B$17=0,0,G10/B$17)</f>
        <v>0</v>
      </c>
      <c r="I10" s="80">
        <v>4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1</v>
      </c>
      <c r="C11" s="34">
        <f>IF(B$2=0,0,B11/B$2)</f>
        <v>0.33333333333333331</v>
      </c>
      <c r="E11" s="55" t="s">
        <v>61</v>
      </c>
      <c r="F11" s="52" t="s">
        <v>24</v>
      </c>
      <c r="G11" s="40">
        <v>0</v>
      </c>
      <c r="H11" s="118">
        <f>IF(B$17=0,0,G11/B$17)</f>
        <v>0</v>
      </c>
      <c r="I11" s="80">
        <v>10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25</v>
      </c>
      <c r="G12" s="40">
        <v>0</v>
      </c>
      <c r="H12" s="118">
        <f>IF(B$17=0,0,G12/B$17)</f>
        <v>0</v>
      </c>
      <c r="I12" s="80">
        <v>1</v>
      </c>
      <c r="N12" s="99" t="s">
        <v>130</v>
      </c>
      <c r="O12" s="109">
        <f>IF(P12=0,0,Q12/P12)</f>
        <v>-23.549999999999997</v>
      </c>
      <c r="P12" s="103">
        <v>2</v>
      </c>
      <c r="Q12" s="91">
        <v>-47.099999999999994</v>
      </c>
    </row>
    <row r="13" spans="1:17">
      <c r="A13" s="50" t="s">
        <v>101</v>
      </c>
      <c r="B13" s="43">
        <v>5</v>
      </c>
      <c r="C13" s="38">
        <f>IF(B$3=0,0,B13/B$3)</f>
        <v>0.19230769230769232</v>
      </c>
      <c r="E13" s="55" t="s">
        <v>63</v>
      </c>
      <c r="F13" s="52" t="s">
        <v>26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14.8</v>
      </c>
      <c r="P13" s="104">
        <v>1</v>
      </c>
      <c r="Q13" s="92">
        <v>14.8</v>
      </c>
    </row>
    <row r="14" spans="1:17">
      <c r="A14" s="47" t="s">
        <v>98</v>
      </c>
      <c r="B14" s="40">
        <v>5</v>
      </c>
      <c r="C14" s="33">
        <f>IF(B$3=0,0,B14/B$3)</f>
        <v>0.19230769230769232</v>
      </c>
      <c r="E14" s="55" t="s">
        <v>64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103</v>
      </c>
      <c r="B15" s="39">
        <f>B21</f>
        <v>2</v>
      </c>
      <c r="C15" s="31">
        <f>IF(B$13=0,0,B15/B$13)</f>
        <v>0.4</v>
      </c>
      <c r="E15" s="55" t="s">
        <v>65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104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</v>
      </c>
      <c r="C17" s="31">
        <f>IF(B$3=0,0,B17/B$3)</f>
        <v>7.6923076923076927E-2</v>
      </c>
      <c r="E17" s="55" t="s">
        <v>67</v>
      </c>
      <c r="F17" s="52" t="s">
        <v>30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4</v>
      </c>
      <c r="C18" s="33">
        <f>IF(B$3=0,0,B18/B$3)</f>
        <v>0.15384615384615385</v>
      </c>
      <c r="E18" s="55" t="s">
        <v>68</v>
      </c>
      <c r="F18" s="52" t="s">
        <v>31</v>
      </c>
      <c r="G18" s="40">
        <v>0</v>
      </c>
      <c r="H18" s="118">
        <f>IF(B$17=0,0,G18/B$17)</f>
        <v>0</v>
      </c>
      <c r="I18" s="80">
        <v>3</v>
      </c>
      <c r="N18" s="99" t="s">
        <v>165</v>
      </c>
      <c r="O18" s="109">
        <f>IF(P18=0,0,Q18/P18)</f>
        <v>79.099999999999994</v>
      </c>
      <c r="P18" s="103">
        <v>1</v>
      </c>
      <c r="Q18" s="91">
        <v>79.099999999999994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188</v>
      </c>
      <c r="F19" s="52" t="s">
        <v>191</v>
      </c>
      <c r="G19" s="40">
        <v>0</v>
      </c>
      <c r="H19" s="118">
        <f>IF(B$17=0,0,G19/B$17)</f>
        <v>0</v>
      </c>
      <c r="I19" s="80">
        <v>3</v>
      </c>
      <c r="N19" s="100" t="s">
        <v>168</v>
      </c>
      <c r="O19" s="110">
        <f>IF(P19=0,0,Q19/P19)</f>
        <v>27.8</v>
      </c>
      <c r="P19" s="104">
        <v>1</v>
      </c>
      <c r="Q19" s="92">
        <v>27.8</v>
      </c>
    </row>
    <row r="20" spans="1:17">
      <c r="A20" s="47" t="s">
        <v>11</v>
      </c>
      <c r="B20" s="40">
        <v>2</v>
      </c>
      <c r="C20" s="33">
        <f>IF(B$17=0,0,B20/B$17)</f>
        <v>1</v>
      </c>
      <c r="E20" s="55" t="s">
        <v>69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170</v>
      </c>
      <c r="O20" s="110">
        <f>IF(P20=0,0,Q20/P20)</f>
        <v>5.0500000000000025</v>
      </c>
      <c r="P20" s="104">
        <v>2</v>
      </c>
      <c r="Q20" s="92">
        <v>10.100000000000005</v>
      </c>
    </row>
    <row r="21" spans="1:17">
      <c r="A21" s="47" t="s">
        <v>155</v>
      </c>
      <c r="B21" s="40">
        <v>2</v>
      </c>
      <c r="C21" s="33">
        <f>IF(B$17=0,0,B21/B$17)</f>
        <v>1</v>
      </c>
      <c r="E21" s="55" t="s">
        <v>70</v>
      </c>
      <c r="F21" s="52" t="s">
        <v>33</v>
      </c>
      <c r="G21" s="40">
        <v>0</v>
      </c>
      <c r="H21" s="118">
        <f>IF(B$17=0,0,G21/B$17)</f>
        <v>0</v>
      </c>
      <c r="I21" s="80">
        <v>3</v>
      </c>
      <c r="N21" s="100" t="s">
        <v>182</v>
      </c>
      <c r="O21" s="110">
        <f>IF(P21=0,0,Q21/P21)</f>
        <v>-10.999999999999996</v>
      </c>
      <c r="P21" s="104">
        <v>2</v>
      </c>
      <c r="Q21" s="92">
        <v>-21.999999999999993</v>
      </c>
    </row>
    <row r="22" spans="1:17">
      <c r="A22" s="47" t="s">
        <v>153</v>
      </c>
      <c r="B22" s="40">
        <v>0</v>
      </c>
      <c r="C22" s="33">
        <f>IF(B$17=0,0,B22/B$17)</f>
        <v>0</v>
      </c>
      <c r="E22" s="55" t="s">
        <v>71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171</v>
      </c>
      <c r="O22" s="110">
        <f>IF(P22=0,0,Q22/P22)</f>
        <v>-28.2</v>
      </c>
      <c r="P22" s="104">
        <v>1</v>
      </c>
      <c r="Q22" s="92">
        <v>-28.2</v>
      </c>
    </row>
    <row r="23" spans="1:17">
      <c r="A23" s="47" t="s">
        <v>154</v>
      </c>
      <c r="B23" s="40">
        <v>0</v>
      </c>
      <c r="C23" s="33">
        <f>IF(B$17=0,0,B23/B$17)</f>
        <v>0</v>
      </c>
      <c r="E23" s="55" t="s">
        <v>72</v>
      </c>
      <c r="F23" s="52" t="s">
        <v>35</v>
      </c>
      <c r="G23" s="40">
        <v>0</v>
      </c>
      <c r="H23" s="118">
        <f>IF(B$17=0,0,G23/B$17)</f>
        <v>0</v>
      </c>
      <c r="I23" s="80">
        <v>3</v>
      </c>
      <c r="N23" s="100" t="s">
        <v>172</v>
      </c>
      <c r="O23" s="110">
        <f>IF(P23=0,0,Q23/P23)</f>
        <v>-75.3</v>
      </c>
      <c r="P23" s="104">
        <v>1</v>
      </c>
      <c r="Q23" s="92">
        <v>-75.3</v>
      </c>
    </row>
    <row r="24" spans="1:17">
      <c r="A24" s="47" t="s">
        <v>5</v>
      </c>
      <c r="B24" s="44">
        <f>IF(B$17=0,0,C24/B$17)</f>
        <v>13000</v>
      </c>
      <c r="C24" s="35">
        <v>26000</v>
      </c>
      <c r="E24" s="55" t="s">
        <v>73</v>
      </c>
      <c r="F24" s="52" t="s">
        <v>36</v>
      </c>
      <c r="G24" s="40">
        <v>0</v>
      </c>
      <c r="H24" s="118">
        <f>IF(B$17=0,0,G24/B$17)</f>
        <v>0</v>
      </c>
      <c r="I24" s="80">
        <v>1</v>
      </c>
      <c r="N24" s="100" t="s">
        <v>166</v>
      </c>
      <c r="O24" s="110">
        <f>IF(P24=0,0,Q24/P24)</f>
        <v>-120.69999999999999</v>
      </c>
      <c r="P24" s="104">
        <v>1</v>
      </c>
      <c r="Q24" s="92">
        <v>-120.69999999999999</v>
      </c>
    </row>
    <row r="25" spans="1:17">
      <c r="A25" s="48" t="s">
        <v>137</v>
      </c>
      <c r="B25" s="121">
        <f>IF($B$17-B$16=0,0,C25/($B$17-B$16))</f>
        <v>13000</v>
      </c>
      <c r="C25" s="122">
        <v>26000</v>
      </c>
      <c r="E25" s="55" t="s">
        <v>74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138</v>
      </c>
      <c r="B26" s="121">
        <f>IF(B$16=0,0,C26/B$16)</f>
        <v>0</v>
      </c>
      <c r="C26" s="122">
        <v>0</v>
      </c>
      <c r="E26" s="55" t="s">
        <v>75</v>
      </c>
      <c r="F26" s="52" t="s">
        <v>38</v>
      </c>
      <c r="G26" s="40">
        <v>0</v>
      </c>
      <c r="H26" s="118">
        <f>IF(B$17=0,0,G26/B$17)</f>
        <v>0</v>
      </c>
      <c r="I26" s="80">
        <v>3</v>
      </c>
    </row>
    <row r="27" spans="1:17">
      <c r="A27" s="48" t="s">
        <v>136</v>
      </c>
      <c r="B27" s="121">
        <f>IF(B$18=0,0,C27/B$18)</f>
        <v>-5500</v>
      </c>
      <c r="C27" s="122">
        <v>-22000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134</v>
      </c>
      <c r="B28" s="40">
        <v>1</v>
      </c>
      <c r="C28" s="120">
        <v>0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8</v>
      </c>
      <c r="C29" s="120">
        <v>3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115</v>
      </c>
      <c r="B30" s="142">
        <v>3</v>
      </c>
      <c r="C30" s="143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44">
        <v>34800</v>
      </c>
      <c r="C31" s="145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0</v>
      </c>
      <c r="C35" s="126">
        <f t="shared" ref="C35:C47" si="3">IF(B$17=0,0,B35/B$17)</f>
        <v>0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0</v>
      </c>
      <c r="C36" s="33">
        <f t="shared" si="3"/>
        <v>0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0</v>
      </c>
      <c r="C37" s="33">
        <f t="shared" si="3"/>
        <v>0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1</v>
      </c>
      <c r="C38" s="33">
        <f t="shared" si="3"/>
        <v>0.5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0</v>
      </c>
      <c r="C39" s="33">
        <f t="shared" si="3"/>
        <v>0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1</v>
      </c>
      <c r="C40" s="33">
        <f t="shared" si="3"/>
        <v>0.5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92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93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94</v>
      </c>
      <c r="F45" s="53" t="s">
        <v>194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B1B748-13D9-4A03-8658-7AAEF6A68C00}">
  <sheetPr codeName="Sheet10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6" t="s">
        <v>170</v>
      </c>
      <c r="C1" s="14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48">
        <v>2</v>
      </c>
      <c r="C2" s="149"/>
      <c r="E2" s="54" t="s">
        <v>61</v>
      </c>
      <c r="F2" s="51" t="s">
        <v>24</v>
      </c>
      <c r="G2" s="39">
        <v>2</v>
      </c>
      <c r="H2" s="117">
        <f>IF(B$17=0,0,G2/B$17)</f>
        <v>0.66666666666666663</v>
      </c>
      <c r="I2" s="79">
        <v>2</v>
      </c>
      <c r="K2" s="30">
        <v>0</v>
      </c>
      <c r="L2" s="84">
        <v>0</v>
      </c>
      <c r="N2" s="99" t="s">
        <v>107</v>
      </c>
      <c r="O2" s="106">
        <f t="shared" ref="O2:O9" si="0">IF(P2=0,0,Q2/P2)</f>
        <v>-11300</v>
      </c>
      <c r="P2" s="103">
        <v>2</v>
      </c>
      <c r="Q2" s="87">
        <v>-22600</v>
      </c>
    </row>
    <row r="3" spans="1:17">
      <c r="A3" s="47" t="s">
        <v>8</v>
      </c>
      <c r="B3" s="150">
        <v>17</v>
      </c>
      <c r="C3" s="151"/>
      <c r="E3" s="55" t="s">
        <v>186</v>
      </c>
      <c r="F3" s="52" t="s">
        <v>160</v>
      </c>
      <c r="G3" s="40">
        <v>1</v>
      </c>
      <c r="H3" s="118">
        <f>IF(B$17=0,0,G3/B$17)</f>
        <v>0.33333333333333331</v>
      </c>
      <c r="I3" s="80">
        <v>11</v>
      </c>
      <c r="K3" s="32">
        <v>1</v>
      </c>
      <c r="L3" s="85">
        <v>-60.9</v>
      </c>
      <c r="N3" s="100" t="s">
        <v>108</v>
      </c>
      <c r="O3" s="107">
        <f t="shared" si="0"/>
        <v>-1000</v>
      </c>
      <c r="P3" s="104">
        <v>2</v>
      </c>
      <c r="Q3" s="88">
        <v>-2000</v>
      </c>
    </row>
    <row r="4" spans="1:17">
      <c r="A4" s="47" t="s">
        <v>6</v>
      </c>
      <c r="B4" s="152">
        <v>-57.199999999999996</v>
      </c>
      <c r="C4" s="153"/>
      <c r="E4" s="55" t="s">
        <v>55</v>
      </c>
      <c r="F4" s="52" t="s">
        <v>20</v>
      </c>
      <c r="G4" s="40">
        <v>1</v>
      </c>
      <c r="H4" s="118">
        <f>IF(B$17=0,0,G4/B$17)</f>
        <v>0.33333333333333331</v>
      </c>
      <c r="I4" s="80">
        <v>10</v>
      </c>
      <c r="K4" s="32">
        <v>2</v>
      </c>
      <c r="L4" s="85">
        <v>-57.199999999999996</v>
      </c>
      <c r="N4" s="100" t="s">
        <v>109</v>
      </c>
      <c r="O4" s="107">
        <f t="shared" si="0"/>
        <v>-1850</v>
      </c>
      <c r="P4" s="104">
        <v>2</v>
      </c>
      <c r="Q4" s="88">
        <v>-3700</v>
      </c>
    </row>
    <row r="5" spans="1:17">
      <c r="A5" s="47" t="s">
        <v>7</v>
      </c>
      <c r="B5" s="154">
        <f>IF(B$2=0,0,B$4/B$2)</f>
        <v>-28.599999999999998</v>
      </c>
      <c r="C5" s="155"/>
      <c r="E5" s="55" t="s">
        <v>57</v>
      </c>
      <c r="F5" s="52" t="s">
        <v>190</v>
      </c>
      <c r="G5" s="40">
        <v>1</v>
      </c>
      <c r="H5" s="118">
        <f>IF(B$17=0,0,G5/B$17)</f>
        <v>0.33333333333333331</v>
      </c>
      <c r="I5" s="80">
        <v>4</v>
      </c>
      <c r="N5" s="100" t="s">
        <v>161</v>
      </c>
      <c r="O5" s="107">
        <f>IF(P5=0,0,Q5/P5)</f>
        <v>-700</v>
      </c>
      <c r="P5" s="104">
        <v>2</v>
      </c>
      <c r="Q5" s="88">
        <v>-1400</v>
      </c>
    </row>
    <row r="6" spans="1:17">
      <c r="A6" s="47" t="s">
        <v>1</v>
      </c>
      <c r="B6" s="156">
        <f>IF(B$2=0,0,(B$7*1+B$8*2+B$9*3+B$10*4)/B$2)</f>
        <v>3</v>
      </c>
      <c r="C6" s="157"/>
      <c r="E6" s="55" t="s">
        <v>187</v>
      </c>
      <c r="F6" s="52" t="s">
        <v>19</v>
      </c>
      <c r="G6" s="40">
        <v>0</v>
      </c>
      <c r="H6" s="118">
        <f>IF(B$17=0,0,G6/B$17)</f>
        <v>0</v>
      </c>
      <c r="I6" s="80">
        <v>8</v>
      </c>
      <c r="N6" s="100" t="s">
        <v>110</v>
      </c>
      <c r="O6" s="107">
        <f t="shared" ref="O6" si="1">IF(P6=0,0,Q6/P6)</f>
        <v>0</v>
      </c>
      <c r="P6" s="104">
        <v>1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56</v>
      </c>
      <c r="F7" s="52" t="s">
        <v>159</v>
      </c>
      <c r="G7" s="40">
        <v>0</v>
      </c>
      <c r="H7" s="118">
        <f>IF(B$17=0,0,G7/B$17)</f>
        <v>0</v>
      </c>
      <c r="I7" s="80">
        <v>10</v>
      </c>
      <c r="N7" s="100" t="s">
        <v>111</v>
      </c>
      <c r="O7" s="107">
        <f t="shared" si="0"/>
        <v>-3000</v>
      </c>
      <c r="P7" s="104">
        <v>1</v>
      </c>
      <c r="Q7" s="88">
        <v>-3000</v>
      </c>
    </row>
    <row r="8" spans="1:17">
      <c r="A8" s="47" t="s">
        <v>3</v>
      </c>
      <c r="B8" s="40">
        <v>1</v>
      </c>
      <c r="C8" s="33">
        <f>IF(B$2=0,0,B8/B$2)</f>
        <v>0.5</v>
      </c>
      <c r="E8" s="55" t="s">
        <v>58</v>
      </c>
      <c r="F8" s="52" t="s">
        <v>21</v>
      </c>
      <c r="G8" s="40">
        <v>0</v>
      </c>
      <c r="H8" s="118">
        <f>IF(B$17=0,0,G8/B$17)</f>
        <v>0</v>
      </c>
      <c r="I8" s="80">
        <v>10</v>
      </c>
      <c r="N8" s="100" t="s">
        <v>112</v>
      </c>
      <c r="O8" s="107">
        <f t="shared" si="0"/>
        <v>4000</v>
      </c>
      <c r="P8" s="104">
        <v>1</v>
      </c>
      <c r="Q8" s="88">
        <v>4000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59</v>
      </c>
      <c r="F9" s="52" t="s">
        <v>22</v>
      </c>
      <c r="G9" s="40">
        <v>0</v>
      </c>
      <c r="H9" s="118">
        <f>IF(B$17=0,0,G9/B$17)</f>
        <v>0</v>
      </c>
      <c r="I9" s="80">
        <v>4</v>
      </c>
      <c r="N9" s="101" t="s">
        <v>162</v>
      </c>
      <c r="O9" s="108">
        <f t="shared" si="0"/>
        <v>1500</v>
      </c>
      <c r="P9" s="105">
        <v>1</v>
      </c>
      <c r="Q9" s="89">
        <v>1500</v>
      </c>
    </row>
    <row r="10" spans="1:17">
      <c r="A10" s="48" t="s">
        <v>156</v>
      </c>
      <c r="B10" s="41">
        <v>1</v>
      </c>
      <c r="C10" s="34">
        <f>IF(B$2=0,0,B10/B$2)</f>
        <v>0.5</v>
      </c>
      <c r="E10" s="55" t="s">
        <v>60</v>
      </c>
      <c r="F10" s="52" t="s">
        <v>23</v>
      </c>
      <c r="G10" s="40">
        <v>0</v>
      </c>
      <c r="H10" s="118">
        <f>IF(B$17=0,0,G10/B$17)</f>
        <v>0</v>
      </c>
      <c r="I10" s="80">
        <v>6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1</v>
      </c>
      <c r="C11" s="34">
        <f>IF(B$2=0,0,B11/B$2)</f>
        <v>0.5</v>
      </c>
      <c r="E11" s="55" t="s">
        <v>62</v>
      </c>
      <c r="F11" s="52" t="s">
        <v>25</v>
      </c>
      <c r="G11" s="40">
        <v>0</v>
      </c>
      <c r="H11" s="118">
        <f>IF(B$17=0,0,G11/B$17)</f>
        <v>0</v>
      </c>
      <c r="I11" s="80">
        <v>1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1</v>
      </c>
      <c r="C12" s="36">
        <f t="shared" si="2"/>
        <v>0.5</v>
      </c>
      <c r="E12" s="55" t="s">
        <v>63</v>
      </c>
      <c r="F12" s="52" t="s">
        <v>26</v>
      </c>
      <c r="G12" s="40">
        <v>0</v>
      </c>
      <c r="H12" s="118">
        <f>IF(B$17=0,0,G12/B$17)</f>
        <v>0</v>
      </c>
      <c r="I12" s="80">
        <v>1</v>
      </c>
      <c r="N12" s="99" t="s">
        <v>130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101</v>
      </c>
      <c r="B13" s="43">
        <v>2</v>
      </c>
      <c r="C13" s="38">
        <f>IF(B$3=0,0,B13/B$3)</f>
        <v>0.11764705882352941</v>
      </c>
      <c r="E13" s="55" t="s">
        <v>64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-60.9</v>
      </c>
      <c r="P13" s="104">
        <v>1</v>
      </c>
      <c r="Q13" s="92">
        <v>-60.9</v>
      </c>
    </row>
    <row r="14" spans="1:17">
      <c r="A14" s="47" t="s">
        <v>98</v>
      </c>
      <c r="B14" s="40">
        <v>3</v>
      </c>
      <c r="C14" s="33">
        <f>IF(B$3=0,0,B14/B$3)</f>
        <v>0.17647058823529413</v>
      </c>
      <c r="E14" s="55" t="s">
        <v>65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103</v>
      </c>
      <c r="B15" s="39">
        <f>B21</f>
        <v>1</v>
      </c>
      <c r="C15" s="31">
        <f>IF(B$13=0,0,B15/B$13)</f>
        <v>0.5</v>
      </c>
      <c r="E15" s="55" t="s">
        <v>66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3.7</v>
      </c>
      <c r="P15" s="105">
        <v>1</v>
      </c>
      <c r="Q15" s="93">
        <v>3.7</v>
      </c>
    </row>
    <row r="16" spans="1:17">
      <c r="A16" s="46" t="s">
        <v>104</v>
      </c>
      <c r="B16" s="39">
        <f>B22</f>
        <v>2</v>
      </c>
      <c r="C16" s="31">
        <f>IF(B$14=0,0,B16/B$14)</f>
        <v>0.66666666666666663</v>
      </c>
      <c r="E16" s="55" t="s">
        <v>67</v>
      </c>
      <c r="F16" s="52" t="s">
        <v>30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3</v>
      </c>
      <c r="C17" s="31">
        <f>IF(B$3=0,0,B17/B$3)</f>
        <v>0.17647058823529413</v>
      </c>
      <c r="E17" s="55" t="s">
        <v>68</v>
      </c>
      <c r="F17" s="52" t="s">
        <v>31</v>
      </c>
      <c r="G17" s="40">
        <v>0</v>
      </c>
      <c r="H17" s="118">
        <f>IF(B$17=0,0,G17/B$17)</f>
        <v>0</v>
      </c>
      <c r="I17" s="80">
        <v>3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1</v>
      </c>
      <c r="C18" s="33">
        <f>IF(B$3=0,0,B18/B$3)</f>
        <v>5.8823529411764705E-2</v>
      </c>
      <c r="E18" s="55" t="s">
        <v>188</v>
      </c>
      <c r="F18" s="52" t="s">
        <v>191</v>
      </c>
      <c r="G18" s="40">
        <v>0</v>
      </c>
      <c r="H18" s="118">
        <f>IF(B$17=0,0,G18/B$17)</f>
        <v>0</v>
      </c>
      <c r="I18" s="80">
        <v>3</v>
      </c>
      <c r="N18" s="99" t="s">
        <v>182</v>
      </c>
      <c r="O18" s="109">
        <f>IF(P18=0,0,Q18/P18)</f>
        <v>62.300000000000004</v>
      </c>
      <c r="P18" s="103">
        <v>1</v>
      </c>
      <c r="Q18" s="91">
        <v>62.300000000000004</v>
      </c>
    </row>
    <row r="19" spans="1:17">
      <c r="A19" s="47" t="s">
        <v>12</v>
      </c>
      <c r="B19" s="40">
        <v>2</v>
      </c>
      <c r="C19" s="33">
        <f>IF(B$17=0,0,B19/B$17)</f>
        <v>0.66666666666666663</v>
      </c>
      <c r="E19" s="55" t="s">
        <v>69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173</v>
      </c>
      <c r="O19" s="110">
        <f>IF(P19=0,0,Q19/P19)</f>
        <v>-5.0500000000000007</v>
      </c>
      <c r="P19" s="104">
        <v>2</v>
      </c>
      <c r="Q19" s="92">
        <v>-10.100000000000001</v>
      </c>
    </row>
    <row r="20" spans="1:17">
      <c r="A20" s="47" t="s">
        <v>11</v>
      </c>
      <c r="B20" s="40">
        <v>1</v>
      </c>
      <c r="C20" s="33">
        <f>IF(B$17=0,0,B20/B$17)</f>
        <v>0.33333333333333331</v>
      </c>
      <c r="E20" s="55" t="s">
        <v>70</v>
      </c>
      <c r="F20" s="52" t="s">
        <v>33</v>
      </c>
      <c r="G20" s="40">
        <v>0</v>
      </c>
      <c r="H20" s="118">
        <f>IF(B$17=0,0,G20/B$17)</f>
        <v>0</v>
      </c>
      <c r="I20" s="80">
        <v>3</v>
      </c>
      <c r="N20" s="100" t="s">
        <v>171</v>
      </c>
      <c r="O20" s="110">
        <f>IF(P20=0,0,Q20/P20)</f>
        <v>-74.900000000000006</v>
      </c>
      <c r="P20" s="104">
        <v>1</v>
      </c>
      <c r="Q20" s="92">
        <v>-74.900000000000006</v>
      </c>
    </row>
    <row r="21" spans="1:17">
      <c r="A21" s="47" t="s">
        <v>155</v>
      </c>
      <c r="B21" s="40">
        <v>1</v>
      </c>
      <c r="C21" s="33">
        <f>IF(B$17=0,0,B21/B$17)</f>
        <v>0.33333333333333331</v>
      </c>
      <c r="E21" s="55" t="s">
        <v>71</v>
      </c>
      <c r="F21" s="52" t="s">
        <v>34</v>
      </c>
      <c r="G21" s="40">
        <v>0</v>
      </c>
      <c r="H21" s="118">
        <f>IF(B$17=0,0,G21/B$17)</f>
        <v>0</v>
      </c>
      <c r="I21" s="80">
        <v>1</v>
      </c>
      <c r="N21" s="100" t="s">
        <v>166</v>
      </c>
      <c r="O21" s="110">
        <f>IF(P21=0,0,Q21/P21)</f>
        <v>-84.1</v>
      </c>
      <c r="P21" s="104">
        <v>1</v>
      </c>
      <c r="Q21" s="92">
        <v>-84.1</v>
      </c>
    </row>
    <row r="22" spans="1:17">
      <c r="A22" s="47" t="s">
        <v>153</v>
      </c>
      <c r="B22" s="40">
        <v>2</v>
      </c>
      <c r="C22" s="33">
        <f>IF(B$17=0,0,B22/B$17)</f>
        <v>0.66666666666666663</v>
      </c>
      <c r="E22" s="55" t="s">
        <v>72</v>
      </c>
      <c r="F22" s="52" t="s">
        <v>35</v>
      </c>
      <c r="G22" s="40">
        <v>0</v>
      </c>
      <c r="H22" s="118">
        <f>IF(B$17=0,0,G22/B$17)</f>
        <v>0</v>
      </c>
      <c r="I22" s="80">
        <v>3</v>
      </c>
      <c r="N22" s="100" t="s">
        <v>172</v>
      </c>
      <c r="O22" s="110">
        <f>IF(P22=0,0,Q22/P22)</f>
        <v>-122</v>
      </c>
      <c r="P22" s="104">
        <v>1</v>
      </c>
      <c r="Q22" s="92">
        <v>-122</v>
      </c>
    </row>
    <row r="23" spans="1:17">
      <c r="A23" s="47" t="s">
        <v>154</v>
      </c>
      <c r="B23" s="40">
        <v>0</v>
      </c>
      <c r="C23" s="33">
        <f>IF(B$17=0,0,B23/B$17)</f>
        <v>0</v>
      </c>
      <c r="E23" s="55" t="s">
        <v>73</v>
      </c>
      <c r="F23" s="52" t="s">
        <v>36</v>
      </c>
      <c r="G23" s="40">
        <v>0</v>
      </c>
      <c r="H23" s="118">
        <f>IF(B$17=0,0,G23/B$17)</f>
        <v>0</v>
      </c>
      <c r="I23" s="80">
        <v>1</v>
      </c>
    </row>
    <row r="24" spans="1:17">
      <c r="A24" s="47" t="s">
        <v>5</v>
      </c>
      <c r="B24" s="44">
        <f>IF(B$17=0,0,C24/B$17)</f>
        <v>2166.6666666666665</v>
      </c>
      <c r="C24" s="35">
        <v>6500</v>
      </c>
      <c r="E24" s="55" t="s">
        <v>74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137</v>
      </c>
      <c r="B25" s="121">
        <f>IF($B$17-B$16=0,0,C25/($B$17-B$16))</f>
        <v>4000</v>
      </c>
      <c r="C25" s="122">
        <v>4000</v>
      </c>
      <c r="E25" s="55" t="s">
        <v>75</v>
      </c>
      <c r="F25" s="52" t="s">
        <v>38</v>
      </c>
      <c r="G25" s="40">
        <v>0</v>
      </c>
      <c r="H25" s="118">
        <f>IF(B$17=0,0,G25/B$17)</f>
        <v>0</v>
      </c>
      <c r="I25" s="80">
        <v>3</v>
      </c>
    </row>
    <row r="26" spans="1:17">
      <c r="A26" s="48" t="s">
        <v>138</v>
      </c>
      <c r="B26" s="121">
        <f>IF(B$16=0,0,C26/B$16)</f>
        <v>1250</v>
      </c>
      <c r="C26" s="122">
        <v>2500</v>
      </c>
      <c r="E26" s="55" t="s">
        <v>76</v>
      </c>
      <c r="F26" s="52" t="s">
        <v>39</v>
      </c>
      <c r="G26" s="40">
        <v>0</v>
      </c>
      <c r="H26" s="118">
        <f>IF(B$17=0,0,G26/B$17)</f>
        <v>0</v>
      </c>
      <c r="I26" s="80">
        <v>1</v>
      </c>
    </row>
    <row r="27" spans="1:17">
      <c r="A27" s="48" t="s">
        <v>136</v>
      </c>
      <c r="B27" s="121">
        <f>IF(B$18=0,0,C27/B$18)</f>
        <v>-18000</v>
      </c>
      <c r="C27" s="122">
        <v>-18000</v>
      </c>
      <c r="E27" s="55" t="s">
        <v>77</v>
      </c>
      <c r="F27" s="52" t="s">
        <v>40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134</v>
      </c>
      <c r="B28" s="40">
        <v>2</v>
      </c>
      <c r="C28" s="120">
        <v>2</v>
      </c>
      <c r="E28" s="55" t="s">
        <v>78</v>
      </c>
      <c r="F28" s="52" t="s">
        <v>41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16</v>
      </c>
      <c r="C29" s="120">
        <v>16</v>
      </c>
      <c r="E29" s="55" t="s">
        <v>79</v>
      </c>
      <c r="F29" s="52" t="s">
        <v>42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115</v>
      </c>
      <c r="B30" s="142">
        <v>1</v>
      </c>
      <c r="C30" s="143"/>
      <c r="E30" s="55" t="s">
        <v>80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44">
        <v>23700</v>
      </c>
      <c r="C31" s="145"/>
      <c r="E31" s="55" t="s">
        <v>81</v>
      </c>
      <c r="F31" s="52" t="s">
        <v>44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82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83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84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2</v>
      </c>
      <c r="C35" s="126">
        <f t="shared" ref="C35:C47" si="3">IF(B$17=0,0,B35/B$17)</f>
        <v>0.66666666666666663</v>
      </c>
      <c r="E35" s="55" t="s">
        <v>85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0</v>
      </c>
      <c r="C36" s="33">
        <f t="shared" si="3"/>
        <v>0</v>
      </c>
      <c r="E36" s="55" t="s">
        <v>86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1</v>
      </c>
      <c r="C37" s="33">
        <f t="shared" si="3"/>
        <v>0.33333333333333331</v>
      </c>
      <c r="E37" s="55" t="s">
        <v>87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0</v>
      </c>
      <c r="C38" s="33">
        <f t="shared" si="3"/>
        <v>0</v>
      </c>
      <c r="E38" s="55" t="s">
        <v>88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0</v>
      </c>
      <c r="C39" s="33">
        <f t="shared" si="3"/>
        <v>0</v>
      </c>
      <c r="E39" s="55" t="s">
        <v>89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0</v>
      </c>
      <c r="C40" s="33">
        <f t="shared" si="3"/>
        <v>0</v>
      </c>
      <c r="E40" s="55" t="s">
        <v>90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91</v>
      </c>
      <c r="F41" s="52" t="s">
        <v>54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92</v>
      </c>
      <c r="F42" s="52" t="s">
        <v>192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93</v>
      </c>
      <c r="F43" s="52" t="s">
        <v>193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94</v>
      </c>
      <c r="F44" s="52" t="s">
        <v>194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189</v>
      </c>
      <c r="F45" s="53" t="s">
        <v>195</v>
      </c>
      <c r="G45" s="42">
        <v>0</v>
      </c>
      <c r="H45" s="119">
        <f>IF(B$17=0,0,G45/B$17)</f>
        <v>0</v>
      </c>
      <c r="I45" s="81">
        <v>10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4F3B22-6F59-4FE3-BCB4-0C5FFA551E32}">
  <sheetPr codeName="Sheet11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6" t="s">
        <v>171</v>
      </c>
      <c r="C1" s="14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48">
        <v>1</v>
      </c>
      <c r="C2" s="149"/>
      <c r="E2" s="54" t="s">
        <v>189</v>
      </c>
      <c r="F2" s="51" t="s">
        <v>195</v>
      </c>
      <c r="G2" s="39">
        <v>3</v>
      </c>
      <c r="H2" s="117">
        <f>IF(B$17=0,0,G2/B$17)</f>
        <v>1.5</v>
      </c>
      <c r="I2" s="79">
        <v>1</v>
      </c>
      <c r="K2" s="30">
        <v>0</v>
      </c>
      <c r="L2" s="84">
        <v>0</v>
      </c>
      <c r="N2" s="99" t="s">
        <v>107</v>
      </c>
      <c r="O2" s="106">
        <f t="shared" ref="O2:O9" si="0">IF(P2=0,0,Q2/P2)</f>
        <v>-2500</v>
      </c>
      <c r="P2" s="103">
        <v>1</v>
      </c>
      <c r="Q2" s="87">
        <v>-2500</v>
      </c>
    </row>
    <row r="3" spans="1:17">
      <c r="A3" s="47" t="s">
        <v>8</v>
      </c>
      <c r="B3" s="150">
        <v>7</v>
      </c>
      <c r="C3" s="151"/>
      <c r="E3" s="55" t="s">
        <v>56</v>
      </c>
      <c r="F3" s="52" t="s">
        <v>159</v>
      </c>
      <c r="G3" s="40">
        <v>2</v>
      </c>
      <c r="H3" s="118">
        <f>IF(B$17=0,0,G3/B$17)</f>
        <v>1</v>
      </c>
      <c r="I3" s="80">
        <v>1</v>
      </c>
      <c r="K3" s="32">
        <v>1</v>
      </c>
      <c r="L3" s="85">
        <v>14</v>
      </c>
      <c r="N3" s="100" t="s">
        <v>108</v>
      </c>
      <c r="O3" s="107">
        <f t="shared" si="0"/>
        <v>13000</v>
      </c>
      <c r="P3" s="104">
        <v>1</v>
      </c>
      <c r="Q3" s="88">
        <v>13000</v>
      </c>
    </row>
    <row r="4" spans="1:17">
      <c r="A4" s="47" t="s">
        <v>6</v>
      </c>
      <c r="B4" s="152">
        <v>14</v>
      </c>
      <c r="C4" s="153"/>
      <c r="E4" s="55" t="s">
        <v>186</v>
      </c>
      <c r="F4" s="52" t="s">
        <v>160</v>
      </c>
      <c r="G4" s="40">
        <v>1</v>
      </c>
      <c r="H4" s="118">
        <f>IF(B$17=0,0,G4/B$17)</f>
        <v>0.5</v>
      </c>
      <c r="I4" s="80">
        <v>7</v>
      </c>
      <c r="N4" s="100" t="s">
        <v>109</v>
      </c>
      <c r="O4" s="107">
        <f t="shared" si="0"/>
        <v>-6000</v>
      </c>
      <c r="P4" s="104">
        <v>1</v>
      </c>
      <c r="Q4" s="88">
        <v>-6000</v>
      </c>
    </row>
    <row r="5" spans="1:17">
      <c r="A5" s="47" t="s">
        <v>7</v>
      </c>
      <c r="B5" s="154">
        <f>IF(B$2=0,0,B$4/B$2)</f>
        <v>14</v>
      </c>
      <c r="C5" s="155"/>
      <c r="E5" s="55" t="s">
        <v>55</v>
      </c>
      <c r="F5" s="52" t="s">
        <v>20</v>
      </c>
      <c r="G5" s="40">
        <v>1</v>
      </c>
      <c r="H5" s="118">
        <f>IF(B$17=0,0,G5/B$17)</f>
        <v>0.5</v>
      </c>
      <c r="I5" s="80">
        <v>6</v>
      </c>
      <c r="N5" s="100" t="s">
        <v>161</v>
      </c>
      <c r="O5" s="107">
        <f>IF(P5=0,0,Q5/P5)</f>
        <v>4500</v>
      </c>
      <c r="P5" s="104">
        <v>1</v>
      </c>
      <c r="Q5" s="88">
        <v>4500</v>
      </c>
    </row>
    <row r="6" spans="1:17">
      <c r="A6" s="47" t="s">
        <v>1</v>
      </c>
      <c r="B6" s="156">
        <f>IF(B$2=0,0,(B$7*1+B$8*2+B$9*3+B$10*4)/B$2)</f>
        <v>2</v>
      </c>
      <c r="C6" s="157"/>
      <c r="E6" s="55" t="s">
        <v>57</v>
      </c>
      <c r="F6" s="52" t="s">
        <v>190</v>
      </c>
      <c r="G6" s="40">
        <v>1</v>
      </c>
      <c r="H6" s="118">
        <f>IF(B$17=0,0,G6/B$17)</f>
        <v>0.5</v>
      </c>
      <c r="I6" s="80">
        <v>2</v>
      </c>
      <c r="N6" s="100" t="s">
        <v>110</v>
      </c>
      <c r="O6" s="107">
        <f t="shared" ref="O6" si="1">IF(P6=0,0,Q6/P6)</f>
        <v>0</v>
      </c>
      <c r="P6" s="104">
        <v>0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58</v>
      </c>
      <c r="F7" s="52" t="s">
        <v>21</v>
      </c>
      <c r="G7" s="40">
        <v>1</v>
      </c>
      <c r="H7" s="118">
        <f>IF(B$17=0,0,G7/B$17)</f>
        <v>0.5</v>
      </c>
      <c r="I7" s="80">
        <v>1</v>
      </c>
      <c r="N7" s="100" t="s">
        <v>111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1</v>
      </c>
      <c r="C8" s="33">
        <f>IF(B$2=0,0,B8/B$2)</f>
        <v>1</v>
      </c>
      <c r="E8" s="55" t="s">
        <v>187</v>
      </c>
      <c r="F8" s="52" t="s">
        <v>19</v>
      </c>
      <c r="G8" s="40">
        <v>0</v>
      </c>
      <c r="H8" s="118">
        <f>IF(B$17=0,0,G8/B$17)</f>
        <v>0</v>
      </c>
      <c r="I8" s="80">
        <v>8</v>
      </c>
      <c r="N8" s="100" t="s">
        <v>112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59</v>
      </c>
      <c r="F9" s="52" t="s">
        <v>22</v>
      </c>
      <c r="G9" s="40">
        <v>0</v>
      </c>
      <c r="H9" s="118">
        <f>IF(B$17=0,0,G9/B$17)</f>
        <v>0</v>
      </c>
      <c r="I9" s="80">
        <v>4</v>
      </c>
      <c r="N9" s="101" t="s">
        <v>162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156</v>
      </c>
      <c r="B10" s="41">
        <v>0</v>
      </c>
      <c r="C10" s="34">
        <f>IF(B$2=0,0,B10/B$2)</f>
        <v>0</v>
      </c>
      <c r="E10" s="55" t="s">
        <v>60</v>
      </c>
      <c r="F10" s="52" t="s">
        <v>23</v>
      </c>
      <c r="G10" s="40">
        <v>0</v>
      </c>
      <c r="H10" s="118">
        <f>IF(B$17=0,0,G10/B$17)</f>
        <v>0</v>
      </c>
      <c r="I10" s="80">
        <v>6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1</v>
      </c>
      <c r="C11" s="34">
        <f>IF(B$2=0,0,B11/B$2)</f>
        <v>1</v>
      </c>
      <c r="E11" s="55" t="s">
        <v>61</v>
      </c>
      <c r="F11" s="52" t="s">
        <v>24</v>
      </c>
      <c r="G11" s="40">
        <v>0</v>
      </c>
      <c r="H11" s="118">
        <f>IF(B$17=0,0,G11/B$17)</f>
        <v>0</v>
      </c>
      <c r="I11" s="80">
        <v>10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25</v>
      </c>
      <c r="G12" s="40">
        <v>0</v>
      </c>
      <c r="H12" s="118">
        <f>IF(B$17=0,0,G12/B$17)</f>
        <v>0</v>
      </c>
      <c r="I12" s="80">
        <v>1</v>
      </c>
      <c r="N12" s="99" t="s">
        <v>130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101</v>
      </c>
      <c r="B13" s="43">
        <v>2</v>
      </c>
      <c r="C13" s="38">
        <f>IF(B$3=0,0,B13/B$3)</f>
        <v>0.2857142857142857</v>
      </c>
      <c r="E13" s="55" t="s">
        <v>63</v>
      </c>
      <c r="F13" s="52" t="s">
        <v>26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98</v>
      </c>
      <c r="B14" s="40">
        <v>1</v>
      </c>
      <c r="C14" s="33">
        <f>IF(B$3=0,0,B14/B$3)</f>
        <v>0.14285714285714285</v>
      </c>
      <c r="E14" s="55" t="s">
        <v>64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14</v>
      </c>
      <c r="P14" s="104">
        <v>1</v>
      </c>
      <c r="Q14" s="92">
        <v>14</v>
      </c>
    </row>
    <row r="15" spans="1:17">
      <c r="A15" s="46" t="s">
        <v>103</v>
      </c>
      <c r="B15" s="39">
        <f>B21</f>
        <v>1</v>
      </c>
      <c r="C15" s="31">
        <f>IF(B$13=0,0,B15/B$13)</f>
        <v>0.5</v>
      </c>
      <c r="E15" s="55" t="s">
        <v>65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104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</v>
      </c>
      <c r="C17" s="31">
        <f>IF(B$3=0,0,B17/B$3)</f>
        <v>0.2857142857142857</v>
      </c>
      <c r="E17" s="55" t="s">
        <v>67</v>
      </c>
      <c r="F17" s="52" t="s">
        <v>30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68</v>
      </c>
      <c r="F18" s="52" t="s">
        <v>31</v>
      </c>
      <c r="G18" s="40">
        <v>0</v>
      </c>
      <c r="H18" s="118">
        <f>IF(B$17=0,0,G18/B$17)</f>
        <v>0</v>
      </c>
      <c r="I18" s="80">
        <v>3</v>
      </c>
      <c r="N18" s="99" t="s">
        <v>170</v>
      </c>
      <c r="O18" s="109">
        <f>IF(P18=0,0,Q18/P18)</f>
        <v>74.900000000000006</v>
      </c>
      <c r="P18" s="103">
        <v>1</v>
      </c>
      <c r="Q18" s="91">
        <v>74.900000000000006</v>
      </c>
    </row>
    <row r="19" spans="1:17">
      <c r="A19" s="47" t="s">
        <v>12</v>
      </c>
      <c r="B19" s="40">
        <v>1</v>
      </c>
      <c r="C19" s="33">
        <f>IF(B$17=0,0,B19/B$17)</f>
        <v>0.5</v>
      </c>
      <c r="E19" s="55" t="s">
        <v>188</v>
      </c>
      <c r="F19" s="52" t="s">
        <v>191</v>
      </c>
      <c r="G19" s="40">
        <v>0</v>
      </c>
      <c r="H19" s="118">
        <f>IF(B$17=0,0,G19/B$17)</f>
        <v>0</v>
      </c>
      <c r="I19" s="80">
        <v>3</v>
      </c>
      <c r="N19" s="100" t="s">
        <v>173</v>
      </c>
      <c r="O19" s="110">
        <f>IF(P19=0,0,Q19/P19)</f>
        <v>28.2</v>
      </c>
      <c r="P19" s="104">
        <v>1</v>
      </c>
      <c r="Q19" s="92">
        <v>28.2</v>
      </c>
    </row>
    <row r="20" spans="1:17">
      <c r="A20" s="47" t="s">
        <v>11</v>
      </c>
      <c r="B20" s="40">
        <v>1</v>
      </c>
      <c r="C20" s="33">
        <f>IF(B$17=0,0,B20/B$17)</f>
        <v>0.5</v>
      </c>
      <c r="E20" s="55" t="s">
        <v>69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172</v>
      </c>
      <c r="O20" s="110">
        <f>IF(P20=0,0,Q20/P20)</f>
        <v>-47.1</v>
      </c>
      <c r="P20" s="104">
        <v>1</v>
      </c>
      <c r="Q20" s="92">
        <v>-47.1</v>
      </c>
    </row>
    <row r="21" spans="1:17">
      <c r="A21" s="47" t="s">
        <v>155</v>
      </c>
      <c r="B21" s="40">
        <v>1</v>
      </c>
      <c r="C21" s="33">
        <f>IF(B$17=0,0,B21/B$17)</f>
        <v>0.5</v>
      </c>
      <c r="E21" s="55" t="s">
        <v>70</v>
      </c>
      <c r="F21" s="52" t="s">
        <v>33</v>
      </c>
      <c r="G21" s="40">
        <v>0</v>
      </c>
      <c r="H21" s="118">
        <f>IF(B$17=0,0,G21/B$17)</f>
        <v>0</v>
      </c>
      <c r="I21" s="80">
        <v>3</v>
      </c>
    </row>
    <row r="22" spans="1:17">
      <c r="A22" s="47" t="s">
        <v>153</v>
      </c>
      <c r="B22" s="40">
        <v>0</v>
      </c>
      <c r="C22" s="33">
        <f>IF(B$17=0,0,B22/B$17)</f>
        <v>0</v>
      </c>
      <c r="E22" s="55" t="s">
        <v>71</v>
      </c>
      <c r="F22" s="52" t="s">
        <v>34</v>
      </c>
      <c r="G22" s="40">
        <v>0</v>
      </c>
      <c r="H22" s="118">
        <f>IF(B$17=0,0,G22/B$17)</f>
        <v>0</v>
      </c>
      <c r="I22" s="80">
        <v>1</v>
      </c>
    </row>
    <row r="23" spans="1:17">
      <c r="A23" s="47" t="s">
        <v>154</v>
      </c>
      <c r="B23" s="40">
        <v>1</v>
      </c>
      <c r="C23" s="33">
        <f>IF(B$17=0,0,B23/B$17)</f>
        <v>0.5</v>
      </c>
      <c r="E23" s="55" t="s">
        <v>72</v>
      </c>
      <c r="F23" s="52" t="s">
        <v>35</v>
      </c>
      <c r="G23" s="40">
        <v>0</v>
      </c>
      <c r="H23" s="118">
        <f>IF(B$17=0,0,G23/B$17)</f>
        <v>0</v>
      </c>
      <c r="I23" s="80">
        <v>3</v>
      </c>
    </row>
    <row r="24" spans="1:17">
      <c r="A24" s="47" t="s">
        <v>5</v>
      </c>
      <c r="B24" s="44">
        <f>IF(B$17=0,0,C24/B$17)</f>
        <v>8600</v>
      </c>
      <c r="C24" s="35">
        <v>17200</v>
      </c>
      <c r="E24" s="55" t="s">
        <v>73</v>
      </c>
      <c r="F24" s="52" t="s">
        <v>36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137</v>
      </c>
      <c r="B25" s="121">
        <f>IF($B$17-B$16=0,0,C25/($B$17-B$16))</f>
        <v>8600</v>
      </c>
      <c r="C25" s="122">
        <v>17200</v>
      </c>
      <c r="E25" s="55" t="s">
        <v>74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138</v>
      </c>
      <c r="B26" s="121">
        <f>IF(B$16=0,0,C26/B$16)</f>
        <v>0</v>
      </c>
      <c r="C26" s="122">
        <v>0</v>
      </c>
      <c r="E26" s="55" t="s">
        <v>75</v>
      </c>
      <c r="F26" s="52" t="s">
        <v>38</v>
      </c>
      <c r="G26" s="40">
        <v>0</v>
      </c>
      <c r="H26" s="118">
        <f>IF(B$17=0,0,G26/B$17)</f>
        <v>0</v>
      </c>
      <c r="I26" s="80">
        <v>3</v>
      </c>
    </row>
    <row r="27" spans="1:17">
      <c r="A27" s="48" t="s">
        <v>136</v>
      </c>
      <c r="B27" s="121">
        <f>IF(B$18=0,0,C27/B$18)</f>
        <v>0</v>
      </c>
      <c r="C27" s="122">
        <v>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134</v>
      </c>
      <c r="B28" s="40">
        <v>1</v>
      </c>
      <c r="C28" s="120">
        <v>1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7</v>
      </c>
      <c r="C29" s="120">
        <v>7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115</v>
      </c>
      <c r="B30" s="142">
        <v>4</v>
      </c>
      <c r="C30" s="143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44">
        <v>34000</v>
      </c>
      <c r="C31" s="145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0</v>
      </c>
      <c r="C35" s="126">
        <f t="shared" ref="C35:C47" si="3">IF(B$17=0,0,B35/B$17)</f>
        <v>0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0</v>
      </c>
      <c r="C36" s="33">
        <f t="shared" si="3"/>
        <v>0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1</v>
      </c>
      <c r="C37" s="33">
        <f t="shared" si="3"/>
        <v>0.5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0</v>
      </c>
      <c r="C38" s="33">
        <f t="shared" si="3"/>
        <v>0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0</v>
      </c>
      <c r="C39" s="33">
        <f t="shared" si="3"/>
        <v>0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1</v>
      </c>
      <c r="C40" s="33">
        <f t="shared" si="3"/>
        <v>0.5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92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93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94</v>
      </c>
      <c r="F45" s="53" t="s">
        <v>194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4D2C00-3F79-4BC1-99EC-812FDF193C59}">
  <sheetPr codeName="Sheet12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6" t="s">
        <v>172</v>
      </c>
      <c r="C1" s="14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48">
        <v>3</v>
      </c>
      <c r="C2" s="149"/>
      <c r="E2" s="54" t="s">
        <v>56</v>
      </c>
      <c r="F2" s="51" t="s">
        <v>159</v>
      </c>
      <c r="G2" s="39">
        <v>7</v>
      </c>
      <c r="H2" s="117">
        <f>IF(B$17=0,0,G2/B$17)</f>
        <v>0.77777777777777779</v>
      </c>
      <c r="I2" s="79">
        <v>3</v>
      </c>
      <c r="K2" s="30">
        <v>0</v>
      </c>
      <c r="L2" s="84">
        <v>0</v>
      </c>
      <c r="N2" s="99" t="s">
        <v>107</v>
      </c>
      <c r="O2" s="106">
        <f t="shared" ref="O2:O9" si="0">IF(P2=0,0,Q2/P2)</f>
        <v>3766.6666666666665</v>
      </c>
      <c r="P2" s="103">
        <v>3</v>
      </c>
      <c r="Q2" s="87">
        <v>11300</v>
      </c>
    </row>
    <row r="3" spans="1:17">
      <c r="A3" s="47" t="s">
        <v>8</v>
      </c>
      <c r="B3" s="150">
        <v>22</v>
      </c>
      <c r="C3" s="151"/>
      <c r="E3" s="55" t="s">
        <v>186</v>
      </c>
      <c r="F3" s="52" t="s">
        <v>160</v>
      </c>
      <c r="G3" s="40">
        <v>4</v>
      </c>
      <c r="H3" s="118">
        <f>IF(B$17=0,0,G3/B$17)</f>
        <v>0.44444444444444442</v>
      </c>
      <c r="I3" s="80">
        <v>10</v>
      </c>
      <c r="K3" s="32">
        <v>1</v>
      </c>
      <c r="L3" s="85">
        <v>61.1</v>
      </c>
      <c r="N3" s="100" t="s">
        <v>108</v>
      </c>
      <c r="O3" s="107">
        <f t="shared" si="0"/>
        <v>-3833.3333333333335</v>
      </c>
      <c r="P3" s="104">
        <v>3</v>
      </c>
      <c r="Q3" s="88">
        <v>-11500</v>
      </c>
    </row>
    <row r="4" spans="1:17">
      <c r="A4" s="47" t="s">
        <v>6</v>
      </c>
      <c r="B4" s="152">
        <v>130.9</v>
      </c>
      <c r="C4" s="153"/>
      <c r="E4" s="55" t="s">
        <v>55</v>
      </c>
      <c r="F4" s="52" t="s">
        <v>20</v>
      </c>
      <c r="G4" s="40">
        <v>4</v>
      </c>
      <c r="H4" s="118">
        <f>IF(B$17=0,0,G4/B$17)</f>
        <v>0.44444444444444442</v>
      </c>
      <c r="I4" s="80">
        <v>9</v>
      </c>
      <c r="K4" s="32">
        <v>2</v>
      </c>
      <c r="L4" s="85">
        <v>117.7</v>
      </c>
      <c r="N4" s="100" t="s">
        <v>109</v>
      </c>
      <c r="O4" s="107">
        <f t="shared" si="0"/>
        <v>4666.666666666667</v>
      </c>
      <c r="P4" s="104">
        <v>3</v>
      </c>
      <c r="Q4" s="88">
        <v>14000</v>
      </c>
    </row>
    <row r="5" spans="1:17">
      <c r="A5" s="47" t="s">
        <v>7</v>
      </c>
      <c r="B5" s="154">
        <f>IF(B$2=0,0,B$4/B$2)</f>
        <v>43.633333333333333</v>
      </c>
      <c r="C5" s="155"/>
      <c r="E5" s="55" t="s">
        <v>57</v>
      </c>
      <c r="F5" s="52" t="s">
        <v>190</v>
      </c>
      <c r="G5" s="40">
        <v>4</v>
      </c>
      <c r="H5" s="118">
        <f>IF(B$17=0,0,G5/B$17)</f>
        <v>0.44444444444444442</v>
      </c>
      <c r="I5" s="80">
        <v>3</v>
      </c>
      <c r="K5" s="32">
        <v>3</v>
      </c>
      <c r="L5" s="85">
        <v>130.9</v>
      </c>
      <c r="N5" s="100" t="s">
        <v>161</v>
      </c>
      <c r="O5" s="107">
        <f>IF(P5=0,0,Q5/P5)</f>
        <v>3800</v>
      </c>
      <c r="P5" s="104">
        <v>3</v>
      </c>
      <c r="Q5" s="88">
        <v>11400</v>
      </c>
    </row>
    <row r="6" spans="1:17">
      <c r="A6" s="47" t="s">
        <v>1</v>
      </c>
      <c r="B6" s="156">
        <f>IF(B$2=0,0,(B$7*1+B$8*2+B$9*3+B$10*4)/B$2)</f>
        <v>1.3333333333333333</v>
      </c>
      <c r="C6" s="157"/>
      <c r="E6" s="55" t="s">
        <v>58</v>
      </c>
      <c r="F6" s="52" t="s">
        <v>21</v>
      </c>
      <c r="G6" s="40">
        <v>2</v>
      </c>
      <c r="H6" s="118">
        <f>IF(B$17=0,0,G6/B$17)</f>
        <v>0.22222222222222221</v>
      </c>
      <c r="I6" s="80">
        <v>9</v>
      </c>
      <c r="N6" s="100" t="s">
        <v>110</v>
      </c>
      <c r="O6" s="107">
        <f t="shared" ref="O6" si="1">IF(P6=0,0,Q6/P6)</f>
        <v>2500</v>
      </c>
      <c r="P6" s="104">
        <v>2</v>
      </c>
      <c r="Q6" s="88">
        <v>5000</v>
      </c>
    </row>
    <row r="7" spans="1:17">
      <c r="A7" s="47" t="s">
        <v>2</v>
      </c>
      <c r="B7" s="40">
        <v>2</v>
      </c>
      <c r="C7" s="33">
        <f t="shared" ref="C7:C12" si="2">IF(B$2=0,0,B7/B$2)</f>
        <v>0.66666666666666663</v>
      </c>
      <c r="E7" s="55" t="s">
        <v>60</v>
      </c>
      <c r="F7" s="52" t="s">
        <v>23</v>
      </c>
      <c r="G7" s="40">
        <v>2</v>
      </c>
      <c r="H7" s="118">
        <f>IF(B$17=0,0,G7/B$17)</f>
        <v>0.22222222222222221</v>
      </c>
      <c r="I7" s="80">
        <v>4</v>
      </c>
      <c r="N7" s="100" t="s">
        <v>111</v>
      </c>
      <c r="O7" s="107">
        <f t="shared" si="0"/>
        <v>5850</v>
      </c>
      <c r="P7" s="104">
        <v>2</v>
      </c>
      <c r="Q7" s="88">
        <v>11700</v>
      </c>
    </row>
    <row r="8" spans="1:17">
      <c r="A8" s="47" t="s">
        <v>3</v>
      </c>
      <c r="B8" s="40">
        <v>1</v>
      </c>
      <c r="C8" s="33">
        <f>IF(B$2=0,0,B8/B$2)</f>
        <v>0.33333333333333331</v>
      </c>
      <c r="E8" s="55" t="s">
        <v>61</v>
      </c>
      <c r="F8" s="52" t="s">
        <v>24</v>
      </c>
      <c r="G8" s="40">
        <v>2</v>
      </c>
      <c r="H8" s="118">
        <f>IF(B$17=0,0,G8/B$17)</f>
        <v>0.22222222222222221</v>
      </c>
      <c r="I8" s="80">
        <v>8</v>
      </c>
      <c r="N8" s="100" t="s">
        <v>112</v>
      </c>
      <c r="O8" s="107">
        <f t="shared" si="0"/>
        <v>-6000</v>
      </c>
      <c r="P8" s="104">
        <v>1</v>
      </c>
      <c r="Q8" s="88">
        <v>-6000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189</v>
      </c>
      <c r="F9" s="52" t="s">
        <v>195</v>
      </c>
      <c r="G9" s="40">
        <v>2</v>
      </c>
      <c r="H9" s="118">
        <f>IF(B$17=0,0,G9/B$17)</f>
        <v>0.22222222222222221</v>
      </c>
      <c r="I9" s="80">
        <v>9</v>
      </c>
      <c r="N9" s="101" t="s">
        <v>162</v>
      </c>
      <c r="O9" s="108">
        <f t="shared" si="0"/>
        <v>0</v>
      </c>
      <c r="P9" s="105">
        <v>1</v>
      </c>
      <c r="Q9" s="89">
        <v>0</v>
      </c>
    </row>
    <row r="10" spans="1:17">
      <c r="A10" s="48" t="s">
        <v>156</v>
      </c>
      <c r="B10" s="41">
        <v>0</v>
      </c>
      <c r="C10" s="34">
        <f>IF(B$2=0,0,B10/B$2)</f>
        <v>0</v>
      </c>
      <c r="E10" s="55" t="s">
        <v>187</v>
      </c>
      <c r="F10" s="52" t="s">
        <v>19</v>
      </c>
      <c r="G10" s="40">
        <v>1</v>
      </c>
      <c r="H10" s="118">
        <f>IF(B$17=0,0,G10/B$17)</f>
        <v>0.1111111111111111</v>
      </c>
      <c r="I10" s="80">
        <v>7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3</v>
      </c>
      <c r="C11" s="34">
        <f>IF(B$2=0,0,B11/B$2)</f>
        <v>1</v>
      </c>
      <c r="E11" s="55" t="s">
        <v>188</v>
      </c>
      <c r="F11" s="52" t="s">
        <v>191</v>
      </c>
      <c r="G11" s="40">
        <v>1</v>
      </c>
      <c r="H11" s="118">
        <f>IF(B$17=0,0,G11/B$17)</f>
        <v>0.1111111111111111</v>
      </c>
      <c r="I11" s="80">
        <v>1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59</v>
      </c>
      <c r="F12" s="52" t="s">
        <v>22</v>
      </c>
      <c r="G12" s="40">
        <v>0</v>
      </c>
      <c r="H12" s="118">
        <f>IF(B$17=0,0,G12/B$17)</f>
        <v>0</v>
      </c>
      <c r="I12" s="80">
        <v>4</v>
      </c>
      <c r="N12" s="99" t="s">
        <v>130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101</v>
      </c>
      <c r="B13" s="43">
        <v>6</v>
      </c>
      <c r="C13" s="38">
        <f>IF(B$3=0,0,B13/B$3)</f>
        <v>0.27272727272727271</v>
      </c>
      <c r="E13" s="55" t="s">
        <v>62</v>
      </c>
      <c r="F13" s="52" t="s">
        <v>25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98</v>
      </c>
      <c r="B14" s="40">
        <v>6</v>
      </c>
      <c r="C14" s="33">
        <f>IF(B$3=0,0,B14/B$3)</f>
        <v>0.27272727272727271</v>
      </c>
      <c r="E14" s="55" t="s">
        <v>63</v>
      </c>
      <c r="F14" s="52" t="s">
        <v>26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56.6</v>
      </c>
      <c r="P14" s="104">
        <v>1</v>
      </c>
      <c r="Q14" s="92">
        <v>56.6</v>
      </c>
    </row>
    <row r="15" spans="1:17">
      <c r="A15" s="46" t="s">
        <v>103</v>
      </c>
      <c r="B15" s="39">
        <f>B21</f>
        <v>4</v>
      </c>
      <c r="C15" s="31">
        <f>IF(B$13=0,0,B15/B$13)</f>
        <v>0.66666666666666663</v>
      </c>
      <c r="E15" s="55" t="s">
        <v>64</v>
      </c>
      <c r="F15" s="52" t="s">
        <v>27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37.15</v>
      </c>
      <c r="P15" s="105">
        <v>2</v>
      </c>
      <c r="Q15" s="93">
        <v>74.3</v>
      </c>
    </row>
    <row r="16" spans="1:17">
      <c r="A16" s="46" t="s">
        <v>104</v>
      </c>
      <c r="B16" s="39">
        <f>B22</f>
        <v>3</v>
      </c>
      <c r="C16" s="31">
        <f>IF(B$14=0,0,B16/B$14)</f>
        <v>0.5</v>
      </c>
      <c r="E16" s="55" t="s">
        <v>65</v>
      </c>
      <c r="F16" s="52" t="s">
        <v>28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9</v>
      </c>
      <c r="C17" s="31">
        <f>IF(B$3=0,0,B17/B$3)</f>
        <v>0.40909090909090912</v>
      </c>
      <c r="E17" s="55" t="s">
        <v>66</v>
      </c>
      <c r="F17" s="52" t="s">
        <v>29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1</v>
      </c>
      <c r="C18" s="33">
        <f>IF(B$3=0,0,B18/B$3)</f>
        <v>4.5454545454545456E-2</v>
      </c>
      <c r="E18" s="55" t="s">
        <v>67</v>
      </c>
      <c r="F18" s="52" t="s">
        <v>30</v>
      </c>
      <c r="G18" s="40">
        <v>0</v>
      </c>
      <c r="H18" s="118">
        <f>IF(B$17=0,0,G18/B$17)</f>
        <v>0</v>
      </c>
      <c r="I18" s="80">
        <v>1</v>
      </c>
      <c r="N18" s="99" t="s">
        <v>170</v>
      </c>
      <c r="O18" s="109">
        <f>IF(P18=0,0,Q18/P18)</f>
        <v>122</v>
      </c>
      <c r="P18" s="103">
        <v>1</v>
      </c>
      <c r="Q18" s="91">
        <v>122</v>
      </c>
    </row>
    <row r="19" spans="1:17">
      <c r="A19" s="47" t="s">
        <v>12</v>
      </c>
      <c r="B19" s="40">
        <v>5</v>
      </c>
      <c r="C19" s="33">
        <f>IF(B$17=0,0,B19/B$17)</f>
        <v>0.55555555555555558</v>
      </c>
      <c r="E19" s="55" t="s">
        <v>68</v>
      </c>
      <c r="F19" s="52" t="s">
        <v>31</v>
      </c>
      <c r="G19" s="40">
        <v>0</v>
      </c>
      <c r="H19" s="118">
        <f>IF(B$17=0,0,G19/B$17)</f>
        <v>0</v>
      </c>
      <c r="I19" s="80">
        <v>3</v>
      </c>
      <c r="N19" s="100" t="s">
        <v>168</v>
      </c>
      <c r="O19" s="110">
        <f>IF(P19=0,0,Q19/P19)</f>
        <v>108.7</v>
      </c>
      <c r="P19" s="104">
        <v>1</v>
      </c>
      <c r="Q19" s="92">
        <v>108.7</v>
      </c>
    </row>
    <row r="20" spans="1:17">
      <c r="A20" s="47" t="s">
        <v>11</v>
      </c>
      <c r="B20" s="40">
        <v>4</v>
      </c>
      <c r="C20" s="33">
        <f>IF(B$17=0,0,B20/B$17)</f>
        <v>0.44444444444444442</v>
      </c>
      <c r="E20" s="55" t="s">
        <v>69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173</v>
      </c>
      <c r="O20" s="110">
        <f>IF(P20=0,0,Q20/P20)</f>
        <v>75.3</v>
      </c>
      <c r="P20" s="104">
        <v>1</v>
      </c>
      <c r="Q20" s="92">
        <v>75.3</v>
      </c>
    </row>
    <row r="21" spans="1:17">
      <c r="A21" s="47" t="s">
        <v>155</v>
      </c>
      <c r="B21" s="40">
        <v>4</v>
      </c>
      <c r="C21" s="33">
        <f>IF(B$17=0,0,B21/B$17)</f>
        <v>0.44444444444444442</v>
      </c>
      <c r="E21" s="55" t="s">
        <v>70</v>
      </c>
      <c r="F21" s="52" t="s">
        <v>33</v>
      </c>
      <c r="G21" s="40">
        <v>0</v>
      </c>
      <c r="H21" s="118">
        <f>IF(B$17=0,0,G21/B$17)</f>
        <v>0</v>
      </c>
      <c r="I21" s="80">
        <v>3</v>
      </c>
      <c r="N21" s="100" t="s">
        <v>165</v>
      </c>
      <c r="O21" s="110">
        <f>IF(P21=0,0,Q21/P21)</f>
        <v>74.7</v>
      </c>
      <c r="P21" s="104">
        <v>1</v>
      </c>
      <c r="Q21" s="92">
        <v>74.7</v>
      </c>
    </row>
    <row r="22" spans="1:17">
      <c r="A22" s="47" t="s">
        <v>153</v>
      </c>
      <c r="B22" s="40">
        <v>3</v>
      </c>
      <c r="C22" s="33">
        <f>IF(B$17=0,0,B22/B$17)</f>
        <v>0.33333333333333331</v>
      </c>
      <c r="E22" s="55" t="s">
        <v>71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185</v>
      </c>
      <c r="O22" s="110">
        <f>IF(P22=0,0,Q22/P22)</f>
        <v>65.8</v>
      </c>
      <c r="P22" s="104">
        <v>1</v>
      </c>
      <c r="Q22" s="92">
        <v>65.8</v>
      </c>
    </row>
    <row r="23" spans="1:17">
      <c r="A23" s="47" t="s">
        <v>154</v>
      </c>
      <c r="B23" s="40">
        <v>2</v>
      </c>
      <c r="C23" s="33">
        <f>IF(B$17=0,0,B23/B$17)</f>
        <v>0.22222222222222221</v>
      </c>
      <c r="E23" s="55" t="s">
        <v>72</v>
      </c>
      <c r="F23" s="52" t="s">
        <v>35</v>
      </c>
      <c r="G23" s="40">
        <v>0</v>
      </c>
      <c r="H23" s="118">
        <f>IF(B$17=0,0,G23/B$17)</f>
        <v>0</v>
      </c>
      <c r="I23" s="80">
        <v>3</v>
      </c>
      <c r="N23" s="100" t="s">
        <v>171</v>
      </c>
      <c r="O23" s="110">
        <f>IF(P23=0,0,Q23/P23)</f>
        <v>47.1</v>
      </c>
      <c r="P23" s="104">
        <v>1</v>
      </c>
      <c r="Q23" s="92">
        <v>47.1</v>
      </c>
    </row>
    <row r="24" spans="1:17">
      <c r="A24" s="47" t="s">
        <v>5</v>
      </c>
      <c r="B24" s="44">
        <f>IF(B$17=0,0,C24/B$17)</f>
        <v>5700</v>
      </c>
      <c r="C24" s="35">
        <v>51300</v>
      </c>
      <c r="E24" s="55" t="s">
        <v>73</v>
      </c>
      <c r="F24" s="52" t="s">
        <v>36</v>
      </c>
      <c r="G24" s="40">
        <v>0</v>
      </c>
      <c r="H24" s="118">
        <f>IF(B$17=0,0,G24/B$17)</f>
        <v>0</v>
      </c>
      <c r="I24" s="80">
        <v>1</v>
      </c>
      <c r="N24" s="100" t="s">
        <v>180</v>
      </c>
      <c r="O24" s="110">
        <f>IF(P24=0,0,Q24/P24)</f>
        <v>36</v>
      </c>
      <c r="P24" s="104">
        <v>2</v>
      </c>
      <c r="Q24" s="92">
        <v>72</v>
      </c>
    </row>
    <row r="25" spans="1:17">
      <c r="A25" s="48" t="s">
        <v>137</v>
      </c>
      <c r="B25" s="121">
        <f>IF($B$17-B$16=0,0,C25/($B$17-B$16))</f>
        <v>7866.666666666667</v>
      </c>
      <c r="C25" s="122">
        <v>47200</v>
      </c>
      <c r="E25" s="55" t="s">
        <v>74</v>
      </c>
      <c r="F25" s="52" t="s">
        <v>37</v>
      </c>
      <c r="G25" s="40">
        <v>0</v>
      </c>
      <c r="H25" s="118">
        <f>IF(B$17=0,0,G25/B$17)</f>
        <v>0</v>
      </c>
      <c r="I25" s="80">
        <v>1</v>
      </c>
      <c r="N25" s="100" t="s">
        <v>184</v>
      </c>
      <c r="O25" s="110">
        <f>IF(P25=0,0,Q25/P25)</f>
        <v>-41</v>
      </c>
      <c r="P25" s="104">
        <v>1</v>
      </c>
      <c r="Q25" s="92">
        <v>-41</v>
      </c>
    </row>
    <row r="26" spans="1:17">
      <c r="A26" s="48" t="s">
        <v>138</v>
      </c>
      <c r="B26" s="121">
        <f>IF(B$16=0,0,C26/B$16)</f>
        <v>1366.6666666666667</v>
      </c>
      <c r="C26" s="122">
        <v>4100</v>
      </c>
      <c r="E26" s="55" t="s">
        <v>75</v>
      </c>
      <c r="F26" s="52" t="s">
        <v>38</v>
      </c>
      <c r="G26" s="40">
        <v>0</v>
      </c>
      <c r="H26" s="118">
        <f>IF(B$17=0,0,G26/B$17)</f>
        <v>0</v>
      </c>
      <c r="I26" s="80">
        <v>3</v>
      </c>
    </row>
    <row r="27" spans="1:17">
      <c r="A27" s="48" t="s">
        <v>136</v>
      </c>
      <c r="B27" s="121">
        <f>IF(B$18=0,0,C27/B$18)</f>
        <v>-12000</v>
      </c>
      <c r="C27" s="122">
        <v>-12000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134</v>
      </c>
      <c r="B28" s="40">
        <v>3</v>
      </c>
      <c r="C28" s="120">
        <v>0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18</v>
      </c>
      <c r="C29" s="120">
        <v>18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115</v>
      </c>
      <c r="B30" s="142">
        <v>5</v>
      </c>
      <c r="C30" s="143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44">
        <v>41100</v>
      </c>
      <c r="C31" s="145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2</v>
      </c>
      <c r="C35" s="126">
        <f t="shared" ref="C35:C47" si="3">IF(B$17=0,0,B35/B$17)</f>
        <v>0.22222222222222221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2</v>
      </c>
      <c r="C36" s="33">
        <f t="shared" si="3"/>
        <v>0.22222222222222221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1</v>
      </c>
      <c r="C37" s="33">
        <f t="shared" si="3"/>
        <v>0.1111111111111111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2</v>
      </c>
      <c r="C38" s="33">
        <f t="shared" si="3"/>
        <v>0.22222222222222221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0</v>
      </c>
      <c r="C39" s="33">
        <f t="shared" si="3"/>
        <v>0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1</v>
      </c>
      <c r="C40" s="33">
        <f t="shared" si="3"/>
        <v>0.1111111111111111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1</v>
      </c>
      <c r="C41" s="33">
        <f t="shared" si="3"/>
        <v>0.1111111111111111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92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93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94</v>
      </c>
      <c r="F45" s="53" t="s">
        <v>194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29C45D-8F27-40A7-9740-855085110BD4}">
  <sheetPr codeName="Sheet13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6" t="s">
        <v>180</v>
      </c>
      <c r="C1" s="14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48">
        <v>2</v>
      </c>
      <c r="C2" s="149"/>
      <c r="E2" s="54" t="s">
        <v>55</v>
      </c>
      <c r="F2" s="51" t="s">
        <v>20</v>
      </c>
      <c r="G2" s="39">
        <v>4</v>
      </c>
      <c r="H2" s="117">
        <f>IF(B$17=0,0,G2/B$17)</f>
        <v>1.3333333333333333</v>
      </c>
      <c r="I2" s="79">
        <v>1</v>
      </c>
      <c r="K2" s="30">
        <v>0</v>
      </c>
      <c r="L2" s="84">
        <v>0</v>
      </c>
      <c r="N2" s="99" t="s">
        <v>107</v>
      </c>
      <c r="O2" s="106">
        <f t="shared" ref="O2:O9" si="0">IF(P2=0,0,Q2/P2)</f>
        <v>-3750</v>
      </c>
      <c r="P2" s="103">
        <v>2</v>
      </c>
      <c r="Q2" s="87">
        <v>-7500</v>
      </c>
    </row>
    <row r="3" spans="1:17">
      <c r="A3" s="47" t="s">
        <v>8</v>
      </c>
      <c r="B3" s="150">
        <v>15</v>
      </c>
      <c r="C3" s="151"/>
      <c r="E3" s="55" t="s">
        <v>186</v>
      </c>
      <c r="F3" s="52" t="s">
        <v>160</v>
      </c>
      <c r="G3" s="40">
        <v>3</v>
      </c>
      <c r="H3" s="118">
        <f>IF(B$17=0,0,G3/B$17)</f>
        <v>1</v>
      </c>
      <c r="I3" s="80">
        <v>1</v>
      </c>
      <c r="K3" s="32">
        <v>1</v>
      </c>
      <c r="L3" s="85">
        <v>13.6</v>
      </c>
      <c r="N3" s="100" t="s">
        <v>108</v>
      </c>
      <c r="O3" s="107">
        <f t="shared" si="0"/>
        <v>-750</v>
      </c>
      <c r="P3" s="104">
        <v>2</v>
      </c>
      <c r="Q3" s="88">
        <v>-1500</v>
      </c>
    </row>
    <row r="4" spans="1:17">
      <c r="A4" s="47" t="s">
        <v>6</v>
      </c>
      <c r="B4" s="152">
        <v>-2.2000000000000011</v>
      </c>
      <c r="C4" s="153"/>
      <c r="E4" s="55" t="s">
        <v>187</v>
      </c>
      <c r="F4" s="52" t="s">
        <v>19</v>
      </c>
      <c r="G4" s="40">
        <v>1</v>
      </c>
      <c r="H4" s="118">
        <f>IF(B$17=0,0,G4/B$17)</f>
        <v>0.33333333333333331</v>
      </c>
      <c r="I4" s="80">
        <v>5</v>
      </c>
      <c r="K4" s="32">
        <v>2</v>
      </c>
      <c r="L4" s="85">
        <v>-2.2000000000000011</v>
      </c>
      <c r="N4" s="100" t="s">
        <v>109</v>
      </c>
      <c r="O4" s="107">
        <f t="shared" si="0"/>
        <v>5150</v>
      </c>
      <c r="P4" s="104">
        <v>2</v>
      </c>
      <c r="Q4" s="88">
        <v>10300</v>
      </c>
    </row>
    <row r="5" spans="1:17">
      <c r="A5" s="47" t="s">
        <v>7</v>
      </c>
      <c r="B5" s="154">
        <f>IF(B$2=0,0,B$4/B$2)</f>
        <v>-1.1000000000000005</v>
      </c>
      <c r="C5" s="155"/>
      <c r="E5" s="55" t="s">
        <v>56</v>
      </c>
      <c r="F5" s="52" t="s">
        <v>159</v>
      </c>
      <c r="G5" s="40">
        <v>1</v>
      </c>
      <c r="H5" s="118">
        <f>IF(B$17=0,0,G5/B$17)</f>
        <v>0.33333333333333331</v>
      </c>
      <c r="I5" s="80">
        <v>7</v>
      </c>
      <c r="N5" s="100" t="s">
        <v>161</v>
      </c>
      <c r="O5" s="107">
        <f>IF(P5=0,0,Q5/P5)</f>
        <v>2450</v>
      </c>
      <c r="P5" s="104">
        <v>2</v>
      </c>
      <c r="Q5" s="88">
        <v>4900</v>
      </c>
    </row>
    <row r="6" spans="1:17">
      <c r="A6" s="47" t="s">
        <v>1</v>
      </c>
      <c r="B6" s="156">
        <f>IF(B$2=0,0,(B$7*1+B$8*2+B$9*3+B$10*4)/B$2)</f>
        <v>2.5</v>
      </c>
      <c r="C6" s="157"/>
      <c r="E6" s="55" t="s">
        <v>57</v>
      </c>
      <c r="F6" s="52" t="s">
        <v>190</v>
      </c>
      <c r="G6" s="40">
        <v>1</v>
      </c>
      <c r="H6" s="118">
        <f>IF(B$17=0,0,G6/B$17)</f>
        <v>0.33333333333333331</v>
      </c>
      <c r="I6" s="80">
        <v>4</v>
      </c>
      <c r="N6" s="100" t="s">
        <v>110</v>
      </c>
      <c r="O6" s="107">
        <f t="shared" ref="O6" si="1">IF(P6=0,0,Q6/P6)</f>
        <v>-500</v>
      </c>
      <c r="P6" s="104">
        <v>2</v>
      </c>
      <c r="Q6" s="88">
        <v>-1000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58</v>
      </c>
      <c r="F7" s="52" t="s">
        <v>21</v>
      </c>
      <c r="G7" s="40">
        <v>1</v>
      </c>
      <c r="H7" s="118">
        <f>IF(B$17=0,0,G7/B$17)</f>
        <v>0.33333333333333331</v>
      </c>
      <c r="I7" s="80">
        <v>5</v>
      </c>
      <c r="N7" s="100" t="s">
        <v>111</v>
      </c>
      <c r="O7" s="107">
        <f t="shared" si="0"/>
        <v>-3250</v>
      </c>
      <c r="P7" s="104">
        <v>2</v>
      </c>
      <c r="Q7" s="88">
        <v>-6500</v>
      </c>
    </row>
    <row r="8" spans="1:17">
      <c r="A8" s="47" t="s">
        <v>3</v>
      </c>
      <c r="B8" s="40">
        <v>1</v>
      </c>
      <c r="C8" s="33">
        <f>IF(B$2=0,0,B8/B$2)</f>
        <v>0.5</v>
      </c>
      <c r="E8" s="55" t="s">
        <v>61</v>
      </c>
      <c r="F8" s="52" t="s">
        <v>24</v>
      </c>
      <c r="G8" s="40">
        <v>1</v>
      </c>
      <c r="H8" s="118">
        <f>IF(B$17=0,0,G8/B$17)</f>
        <v>0.33333333333333331</v>
      </c>
      <c r="I8" s="80">
        <v>4</v>
      </c>
      <c r="N8" s="100" t="s">
        <v>112</v>
      </c>
      <c r="O8" s="107">
        <f t="shared" si="0"/>
        <v>13000</v>
      </c>
      <c r="P8" s="104">
        <v>1</v>
      </c>
      <c r="Q8" s="88">
        <v>13000</v>
      </c>
    </row>
    <row r="9" spans="1:17">
      <c r="A9" s="48" t="s">
        <v>4</v>
      </c>
      <c r="B9" s="41">
        <v>1</v>
      </c>
      <c r="C9" s="34">
        <f>IF(B$2=0,0,B9/B$2)</f>
        <v>0.5</v>
      </c>
      <c r="E9" s="55" t="s">
        <v>189</v>
      </c>
      <c r="F9" s="52" t="s">
        <v>195</v>
      </c>
      <c r="G9" s="40">
        <v>1</v>
      </c>
      <c r="H9" s="118">
        <f>IF(B$17=0,0,G9/B$17)</f>
        <v>0.33333333333333331</v>
      </c>
      <c r="I9" s="80">
        <v>6</v>
      </c>
      <c r="N9" s="101" t="s">
        <v>162</v>
      </c>
      <c r="O9" s="108">
        <f t="shared" si="0"/>
        <v>-3900</v>
      </c>
      <c r="P9" s="105">
        <v>1</v>
      </c>
      <c r="Q9" s="89">
        <v>-3900</v>
      </c>
    </row>
    <row r="10" spans="1:17">
      <c r="A10" s="48" t="s">
        <v>156</v>
      </c>
      <c r="B10" s="41">
        <v>0</v>
      </c>
      <c r="C10" s="34">
        <f>IF(B$2=0,0,B10/B$2)</f>
        <v>0</v>
      </c>
      <c r="E10" s="55" t="s">
        <v>59</v>
      </c>
      <c r="F10" s="52" t="s">
        <v>22</v>
      </c>
      <c r="G10" s="40">
        <v>0</v>
      </c>
      <c r="H10" s="118">
        <f>IF(B$17=0,0,G10/B$17)</f>
        <v>0</v>
      </c>
      <c r="I10" s="80">
        <v>4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1</v>
      </c>
      <c r="C11" s="34">
        <f>IF(B$2=0,0,B11/B$2)</f>
        <v>0.5</v>
      </c>
      <c r="E11" s="55" t="s">
        <v>60</v>
      </c>
      <c r="F11" s="52" t="s">
        <v>23</v>
      </c>
      <c r="G11" s="40">
        <v>0</v>
      </c>
      <c r="H11" s="118">
        <f>IF(B$17=0,0,G11/B$17)</f>
        <v>0</v>
      </c>
      <c r="I11" s="80">
        <v>6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25</v>
      </c>
      <c r="G12" s="40">
        <v>0</v>
      </c>
      <c r="H12" s="118">
        <f>IF(B$17=0,0,G12/B$17)</f>
        <v>0</v>
      </c>
      <c r="I12" s="80">
        <v>1</v>
      </c>
      <c r="N12" s="99" t="s">
        <v>130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101</v>
      </c>
      <c r="B13" s="43">
        <v>4</v>
      </c>
      <c r="C13" s="38">
        <f>IF(B$3=0,0,B13/B$3)</f>
        <v>0.26666666666666666</v>
      </c>
      <c r="E13" s="55" t="s">
        <v>63</v>
      </c>
      <c r="F13" s="52" t="s">
        <v>26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-1.1000000000000005</v>
      </c>
      <c r="P13" s="104">
        <v>2</v>
      </c>
      <c r="Q13" s="92">
        <v>-2.2000000000000011</v>
      </c>
    </row>
    <row r="14" spans="1:17">
      <c r="A14" s="47" t="s">
        <v>98</v>
      </c>
      <c r="B14" s="40">
        <v>0</v>
      </c>
      <c r="C14" s="33">
        <f>IF(B$3=0,0,B14/B$3)</f>
        <v>0</v>
      </c>
      <c r="E14" s="55" t="s">
        <v>64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103</v>
      </c>
      <c r="B15" s="39">
        <f>B21</f>
        <v>3</v>
      </c>
      <c r="C15" s="31">
        <f>IF(B$13=0,0,B15/B$13)</f>
        <v>0.75</v>
      </c>
      <c r="E15" s="55" t="s">
        <v>65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104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3</v>
      </c>
      <c r="C17" s="31">
        <f>IF(B$3=0,0,B17/B$3)</f>
        <v>0.2</v>
      </c>
      <c r="E17" s="55" t="s">
        <v>67</v>
      </c>
      <c r="F17" s="52" t="s">
        <v>30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2</v>
      </c>
      <c r="C18" s="33">
        <f>IF(B$3=0,0,B18/B$3)</f>
        <v>0.13333333333333333</v>
      </c>
      <c r="E18" s="55" t="s">
        <v>68</v>
      </c>
      <c r="F18" s="52" t="s">
        <v>31</v>
      </c>
      <c r="G18" s="40">
        <v>0</v>
      </c>
      <c r="H18" s="118">
        <f>IF(B$17=0,0,G18/B$17)</f>
        <v>0</v>
      </c>
      <c r="I18" s="80">
        <v>3</v>
      </c>
      <c r="N18" s="99" t="s">
        <v>168</v>
      </c>
      <c r="O18" s="109">
        <f>IF(P18=0,0,Q18/P18)</f>
        <v>65.7</v>
      </c>
      <c r="P18" s="103">
        <v>1</v>
      </c>
      <c r="Q18" s="91">
        <v>65.7</v>
      </c>
    </row>
    <row r="19" spans="1:17">
      <c r="A19" s="47" t="s">
        <v>12</v>
      </c>
      <c r="B19" s="40">
        <v>1</v>
      </c>
      <c r="C19" s="33">
        <f>IF(B$17=0,0,B19/B$17)</f>
        <v>0.33333333333333331</v>
      </c>
      <c r="E19" s="55" t="s">
        <v>188</v>
      </c>
      <c r="F19" s="52" t="s">
        <v>191</v>
      </c>
      <c r="G19" s="40">
        <v>0</v>
      </c>
      <c r="H19" s="118">
        <f>IF(B$17=0,0,G19/B$17)</f>
        <v>0</v>
      </c>
      <c r="I19" s="80">
        <v>3</v>
      </c>
      <c r="N19" s="100" t="s">
        <v>185</v>
      </c>
      <c r="O19" s="110">
        <f>IF(P19=0,0,Q19/P19)</f>
        <v>36.799999999999997</v>
      </c>
      <c r="P19" s="104">
        <v>1</v>
      </c>
      <c r="Q19" s="92">
        <v>36.799999999999997</v>
      </c>
    </row>
    <row r="20" spans="1:17">
      <c r="A20" s="47" t="s">
        <v>11</v>
      </c>
      <c r="B20" s="40">
        <v>2</v>
      </c>
      <c r="C20" s="33">
        <f>IF(B$17=0,0,B20/B$17)</f>
        <v>0.66666666666666663</v>
      </c>
      <c r="E20" s="55" t="s">
        <v>69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165</v>
      </c>
      <c r="O20" s="110">
        <f>IF(P20=0,0,Q20/P20)</f>
        <v>31.700000000000003</v>
      </c>
      <c r="P20" s="104">
        <v>1</v>
      </c>
      <c r="Q20" s="92">
        <v>31.700000000000003</v>
      </c>
    </row>
    <row r="21" spans="1:17">
      <c r="A21" s="47" t="s">
        <v>155</v>
      </c>
      <c r="B21" s="40">
        <v>3</v>
      </c>
      <c r="C21" s="33">
        <f>IF(B$17=0,0,B21/B$17)</f>
        <v>1</v>
      </c>
      <c r="E21" s="55" t="s">
        <v>70</v>
      </c>
      <c r="F21" s="52" t="s">
        <v>33</v>
      </c>
      <c r="G21" s="40">
        <v>0</v>
      </c>
      <c r="H21" s="118">
        <f>IF(B$17=0,0,G21/B$17)</f>
        <v>0</v>
      </c>
      <c r="I21" s="80">
        <v>3</v>
      </c>
      <c r="N21" s="100" t="s">
        <v>172</v>
      </c>
      <c r="O21" s="110">
        <f>IF(P21=0,0,Q21/P21)</f>
        <v>-36</v>
      </c>
      <c r="P21" s="104">
        <v>2</v>
      </c>
      <c r="Q21" s="92">
        <v>-72</v>
      </c>
    </row>
    <row r="22" spans="1:17">
      <c r="A22" s="47" t="s">
        <v>153</v>
      </c>
      <c r="B22" s="40">
        <v>0</v>
      </c>
      <c r="C22" s="33">
        <f>IF(B$17=0,0,B22/B$17)</f>
        <v>0</v>
      </c>
      <c r="E22" s="55" t="s">
        <v>71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184</v>
      </c>
      <c r="O22" s="110">
        <f>IF(P22=0,0,Q22/P22)</f>
        <v>-70</v>
      </c>
      <c r="P22" s="104">
        <v>1</v>
      </c>
      <c r="Q22" s="92">
        <v>-70</v>
      </c>
    </row>
    <row r="23" spans="1:17">
      <c r="A23" s="47" t="s">
        <v>154</v>
      </c>
      <c r="B23" s="40">
        <v>0</v>
      </c>
      <c r="C23" s="33">
        <f>IF(B$17=0,0,B23/B$17)</f>
        <v>0</v>
      </c>
      <c r="E23" s="55" t="s">
        <v>72</v>
      </c>
      <c r="F23" s="52" t="s">
        <v>35</v>
      </c>
      <c r="G23" s="40">
        <v>0</v>
      </c>
      <c r="H23" s="118">
        <f>IF(B$17=0,0,G23/B$17)</f>
        <v>0</v>
      </c>
      <c r="I23" s="80">
        <v>3</v>
      </c>
    </row>
    <row r="24" spans="1:17">
      <c r="A24" s="47" t="s">
        <v>5</v>
      </c>
      <c r="B24" s="44">
        <f>IF(B$17=0,0,C24/B$17)</f>
        <v>8400</v>
      </c>
      <c r="C24" s="35">
        <v>25200</v>
      </c>
      <c r="E24" s="55" t="s">
        <v>73</v>
      </c>
      <c r="F24" s="52" t="s">
        <v>36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137</v>
      </c>
      <c r="B25" s="121">
        <f>IF($B$17-B$16=0,0,C25/($B$17-B$16))</f>
        <v>8400</v>
      </c>
      <c r="C25" s="122">
        <v>25200</v>
      </c>
      <c r="E25" s="55" t="s">
        <v>74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138</v>
      </c>
      <c r="B26" s="121">
        <f>IF(B$16=0,0,C26/B$16)</f>
        <v>0</v>
      </c>
      <c r="C26" s="122">
        <v>0</v>
      </c>
      <c r="E26" s="55" t="s">
        <v>75</v>
      </c>
      <c r="F26" s="52" t="s">
        <v>38</v>
      </c>
      <c r="G26" s="40">
        <v>0</v>
      </c>
      <c r="H26" s="118">
        <f>IF(B$17=0,0,G26/B$17)</f>
        <v>0</v>
      </c>
      <c r="I26" s="80">
        <v>3</v>
      </c>
    </row>
    <row r="27" spans="1:17">
      <c r="A27" s="48" t="s">
        <v>136</v>
      </c>
      <c r="B27" s="121">
        <f>IF(B$18=0,0,C27/B$18)</f>
        <v>-2950</v>
      </c>
      <c r="C27" s="122">
        <v>-5900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134</v>
      </c>
      <c r="B28" s="40">
        <v>1</v>
      </c>
      <c r="C28" s="120">
        <v>0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7</v>
      </c>
      <c r="C29" s="120">
        <v>7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115</v>
      </c>
      <c r="B30" s="142">
        <v>3</v>
      </c>
      <c r="C30" s="143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44">
        <v>33600</v>
      </c>
      <c r="C31" s="145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0</v>
      </c>
      <c r="C35" s="126">
        <f t="shared" ref="C35:C47" si="3">IF(B$17=0,0,B35/B$17)</f>
        <v>0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0</v>
      </c>
      <c r="C36" s="33">
        <f t="shared" si="3"/>
        <v>0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1</v>
      </c>
      <c r="C37" s="33">
        <f t="shared" si="3"/>
        <v>0.33333333333333331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1</v>
      </c>
      <c r="C38" s="33">
        <f t="shared" si="3"/>
        <v>0.33333333333333331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0</v>
      </c>
      <c r="C39" s="33">
        <f t="shared" si="3"/>
        <v>0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1</v>
      </c>
      <c r="C40" s="33">
        <f t="shared" si="3"/>
        <v>0.33333333333333331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92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93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94</v>
      </c>
      <c r="F45" s="53" t="s">
        <v>194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27F19-7C42-4D3D-8F04-65C3D4E36558}">
  <sheetPr codeName="Sheet14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6" t="s">
        <v>182</v>
      </c>
      <c r="C1" s="14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48">
        <v>2</v>
      </c>
      <c r="C2" s="149"/>
      <c r="E2" s="54" t="s">
        <v>186</v>
      </c>
      <c r="F2" s="51" t="s">
        <v>160</v>
      </c>
      <c r="G2" s="39">
        <v>3</v>
      </c>
      <c r="H2" s="117">
        <f>IF(B$17=0,0,G2/B$17)</f>
        <v>0.75</v>
      </c>
      <c r="I2" s="79">
        <v>5</v>
      </c>
      <c r="K2" s="30">
        <v>0</v>
      </c>
      <c r="L2" s="84">
        <v>0</v>
      </c>
      <c r="N2" s="99" t="s">
        <v>107</v>
      </c>
      <c r="O2" s="106">
        <f t="shared" ref="O2:O9" si="0">IF(P2=0,0,Q2/P2)</f>
        <v>4450</v>
      </c>
      <c r="P2" s="103">
        <v>2</v>
      </c>
      <c r="Q2" s="87">
        <v>8900</v>
      </c>
    </row>
    <row r="3" spans="1:17">
      <c r="A3" s="47" t="s">
        <v>8</v>
      </c>
      <c r="B3" s="150">
        <v>19</v>
      </c>
      <c r="C3" s="151"/>
      <c r="E3" s="55" t="s">
        <v>55</v>
      </c>
      <c r="F3" s="52" t="s">
        <v>20</v>
      </c>
      <c r="G3" s="40">
        <v>1</v>
      </c>
      <c r="H3" s="118">
        <f>IF(B$17=0,0,G3/B$17)</f>
        <v>0.25</v>
      </c>
      <c r="I3" s="80">
        <v>11</v>
      </c>
      <c r="K3" s="32">
        <v>1</v>
      </c>
      <c r="L3" s="85">
        <v>62.5</v>
      </c>
      <c r="N3" s="100" t="s">
        <v>108</v>
      </c>
      <c r="O3" s="107">
        <f t="shared" si="0"/>
        <v>-1300</v>
      </c>
      <c r="P3" s="104">
        <v>2</v>
      </c>
      <c r="Q3" s="88">
        <v>-2600</v>
      </c>
    </row>
    <row r="4" spans="1:17">
      <c r="A4" s="47" t="s">
        <v>6</v>
      </c>
      <c r="B4" s="152">
        <v>3.8999999999999986</v>
      </c>
      <c r="C4" s="153"/>
      <c r="E4" s="55" t="s">
        <v>56</v>
      </c>
      <c r="F4" s="52" t="s">
        <v>159</v>
      </c>
      <c r="G4" s="40">
        <v>1</v>
      </c>
      <c r="H4" s="118">
        <f>IF(B$17=0,0,G4/B$17)</f>
        <v>0.25</v>
      </c>
      <c r="I4" s="80">
        <v>9</v>
      </c>
      <c r="K4" s="32">
        <v>2</v>
      </c>
      <c r="L4" s="85">
        <v>3.8999999999999986</v>
      </c>
      <c r="N4" s="100" t="s">
        <v>109</v>
      </c>
      <c r="O4" s="107">
        <f t="shared" si="0"/>
        <v>-2450</v>
      </c>
      <c r="P4" s="104">
        <v>2</v>
      </c>
      <c r="Q4" s="88">
        <v>-4900</v>
      </c>
    </row>
    <row r="5" spans="1:17">
      <c r="A5" s="47" t="s">
        <v>7</v>
      </c>
      <c r="B5" s="154">
        <f>IF(B$2=0,0,B$4/B$2)</f>
        <v>1.9499999999999993</v>
      </c>
      <c r="C5" s="155"/>
      <c r="E5" s="55" t="s">
        <v>57</v>
      </c>
      <c r="F5" s="52" t="s">
        <v>190</v>
      </c>
      <c r="G5" s="40">
        <v>1</v>
      </c>
      <c r="H5" s="118">
        <f>IF(B$17=0,0,G5/B$17)</f>
        <v>0.25</v>
      </c>
      <c r="I5" s="80">
        <v>7</v>
      </c>
      <c r="N5" s="100" t="s">
        <v>161</v>
      </c>
      <c r="O5" s="107">
        <f>IF(P5=0,0,Q5/P5)</f>
        <v>-4500</v>
      </c>
      <c r="P5" s="104">
        <v>2</v>
      </c>
      <c r="Q5" s="88">
        <v>-9000</v>
      </c>
    </row>
    <row r="6" spans="1:17">
      <c r="A6" s="47" t="s">
        <v>1</v>
      </c>
      <c r="B6" s="156">
        <f>IF(B$2=0,0,(B$7*1+B$8*2+B$9*3+B$10*4)/B$2)</f>
        <v>2.5</v>
      </c>
      <c r="C6" s="157"/>
      <c r="E6" s="55" t="s">
        <v>58</v>
      </c>
      <c r="F6" s="52" t="s">
        <v>21</v>
      </c>
      <c r="G6" s="40">
        <v>1</v>
      </c>
      <c r="H6" s="118">
        <f>IF(B$17=0,0,G6/B$17)</f>
        <v>0.25</v>
      </c>
      <c r="I6" s="80">
        <v>8</v>
      </c>
      <c r="N6" s="100" t="s">
        <v>110</v>
      </c>
      <c r="O6" s="107">
        <f t="shared" ref="O6" si="1">IF(P6=0,0,Q6/P6)</f>
        <v>0</v>
      </c>
      <c r="P6" s="104">
        <v>2</v>
      </c>
      <c r="Q6" s="88">
        <v>0</v>
      </c>
    </row>
    <row r="7" spans="1:17">
      <c r="A7" s="47" t="s">
        <v>2</v>
      </c>
      <c r="B7" s="40">
        <v>1</v>
      </c>
      <c r="C7" s="33">
        <f t="shared" ref="C7:C12" si="2">IF(B$2=0,0,B7/B$2)</f>
        <v>0.5</v>
      </c>
      <c r="E7" s="55" t="s">
        <v>60</v>
      </c>
      <c r="F7" s="52" t="s">
        <v>23</v>
      </c>
      <c r="G7" s="40">
        <v>1</v>
      </c>
      <c r="H7" s="118">
        <f>IF(B$17=0,0,G7/B$17)</f>
        <v>0.25</v>
      </c>
      <c r="I7" s="80">
        <v>2</v>
      </c>
      <c r="N7" s="100" t="s">
        <v>111</v>
      </c>
      <c r="O7" s="107">
        <f t="shared" si="0"/>
        <v>-2500</v>
      </c>
      <c r="P7" s="104">
        <v>2</v>
      </c>
      <c r="Q7" s="88">
        <v>-5000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61</v>
      </c>
      <c r="F8" s="52" t="s">
        <v>24</v>
      </c>
      <c r="G8" s="40">
        <v>1</v>
      </c>
      <c r="H8" s="118">
        <f>IF(B$17=0,0,G8/B$17)</f>
        <v>0.25</v>
      </c>
      <c r="I8" s="80">
        <v>6</v>
      </c>
      <c r="N8" s="100" t="s">
        <v>112</v>
      </c>
      <c r="O8" s="107">
        <f t="shared" si="0"/>
        <v>3500</v>
      </c>
      <c r="P8" s="104">
        <v>2</v>
      </c>
      <c r="Q8" s="88">
        <v>7000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70</v>
      </c>
      <c r="F9" s="52" t="s">
        <v>33</v>
      </c>
      <c r="G9" s="40">
        <v>1</v>
      </c>
      <c r="H9" s="118">
        <f>IF(B$17=0,0,G9/B$17)</f>
        <v>0.25</v>
      </c>
      <c r="I9" s="80">
        <v>1</v>
      </c>
      <c r="N9" s="101" t="s">
        <v>162</v>
      </c>
      <c r="O9" s="108">
        <f t="shared" si="0"/>
        <v>-500</v>
      </c>
      <c r="P9" s="105">
        <v>1</v>
      </c>
      <c r="Q9" s="89">
        <v>-500</v>
      </c>
    </row>
    <row r="10" spans="1:17">
      <c r="A10" s="48" t="s">
        <v>156</v>
      </c>
      <c r="B10" s="41">
        <v>1</v>
      </c>
      <c r="C10" s="34">
        <f>IF(B$2=0,0,B10/B$2)</f>
        <v>0.5</v>
      </c>
      <c r="E10" s="55" t="s">
        <v>189</v>
      </c>
      <c r="F10" s="52" t="s">
        <v>195</v>
      </c>
      <c r="G10" s="40">
        <v>1</v>
      </c>
      <c r="H10" s="118">
        <f>IF(B$17=0,0,G10/B$17)</f>
        <v>0.25</v>
      </c>
      <c r="I10" s="80">
        <v>8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1</v>
      </c>
      <c r="C11" s="34">
        <f>IF(B$2=0,0,B11/B$2)</f>
        <v>0.5</v>
      </c>
      <c r="E11" s="55" t="s">
        <v>187</v>
      </c>
      <c r="F11" s="52" t="s">
        <v>19</v>
      </c>
      <c r="G11" s="40">
        <v>0</v>
      </c>
      <c r="H11" s="118">
        <f>IF(B$17=0,0,G11/B$17)</f>
        <v>0</v>
      </c>
      <c r="I11" s="80">
        <v>8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59</v>
      </c>
      <c r="F12" s="52" t="s">
        <v>22</v>
      </c>
      <c r="G12" s="40">
        <v>0</v>
      </c>
      <c r="H12" s="118">
        <f>IF(B$17=0,0,G12/B$17)</f>
        <v>0</v>
      </c>
      <c r="I12" s="80">
        <v>4</v>
      </c>
      <c r="N12" s="99" t="s">
        <v>130</v>
      </c>
      <c r="O12" s="109">
        <f>IF(P12=0,0,Q12/P12)</f>
        <v>62.5</v>
      </c>
      <c r="P12" s="103">
        <v>1</v>
      </c>
      <c r="Q12" s="91">
        <v>62.5</v>
      </c>
    </row>
    <row r="13" spans="1:17">
      <c r="A13" s="50" t="s">
        <v>101</v>
      </c>
      <c r="B13" s="43">
        <v>4</v>
      </c>
      <c r="C13" s="38">
        <f>IF(B$3=0,0,B13/B$3)</f>
        <v>0.21052631578947367</v>
      </c>
      <c r="E13" s="55" t="s">
        <v>62</v>
      </c>
      <c r="F13" s="52" t="s">
        <v>25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-58.6</v>
      </c>
      <c r="P13" s="104">
        <v>1</v>
      </c>
      <c r="Q13" s="92">
        <v>-58.6</v>
      </c>
    </row>
    <row r="14" spans="1:17">
      <c r="A14" s="47" t="s">
        <v>98</v>
      </c>
      <c r="B14" s="40">
        <v>3</v>
      </c>
      <c r="C14" s="33">
        <f>IF(B$3=0,0,B14/B$3)</f>
        <v>0.15789473684210525</v>
      </c>
      <c r="E14" s="55" t="s">
        <v>63</v>
      </c>
      <c r="F14" s="52" t="s">
        <v>26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103</v>
      </c>
      <c r="B15" s="39">
        <f>B21</f>
        <v>3</v>
      </c>
      <c r="C15" s="31">
        <f>IF(B$13=0,0,B15/B$13)</f>
        <v>0.75</v>
      </c>
      <c r="E15" s="55" t="s">
        <v>64</v>
      </c>
      <c r="F15" s="52" t="s">
        <v>27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104</v>
      </c>
      <c r="B16" s="39">
        <f>B22</f>
        <v>1</v>
      </c>
      <c r="C16" s="31">
        <f>IF(B$14=0,0,B16/B$14)</f>
        <v>0.33333333333333331</v>
      </c>
      <c r="E16" s="55" t="s">
        <v>65</v>
      </c>
      <c r="F16" s="52" t="s">
        <v>28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</v>
      </c>
      <c r="C17" s="31">
        <f>IF(B$3=0,0,B17/B$3)</f>
        <v>0.21052631578947367</v>
      </c>
      <c r="E17" s="55" t="s">
        <v>66</v>
      </c>
      <c r="F17" s="52" t="s">
        <v>29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2</v>
      </c>
      <c r="C18" s="33">
        <f>IF(B$3=0,0,B18/B$3)</f>
        <v>0.10526315789473684</v>
      </c>
      <c r="E18" s="55" t="s">
        <v>67</v>
      </c>
      <c r="F18" s="52" t="s">
        <v>30</v>
      </c>
      <c r="G18" s="40">
        <v>0</v>
      </c>
      <c r="H18" s="118">
        <f>IF(B$17=0,0,G18/B$17)</f>
        <v>0</v>
      </c>
      <c r="I18" s="80">
        <v>1</v>
      </c>
      <c r="N18" s="99" t="s">
        <v>165</v>
      </c>
      <c r="O18" s="109">
        <f>IF(P18=0,0,Q18/P18)</f>
        <v>126.8</v>
      </c>
      <c r="P18" s="103">
        <v>1</v>
      </c>
      <c r="Q18" s="91">
        <v>126.8</v>
      </c>
    </row>
    <row r="19" spans="1:17">
      <c r="A19" s="47" t="s">
        <v>12</v>
      </c>
      <c r="B19" s="40">
        <v>1</v>
      </c>
      <c r="C19" s="33">
        <f>IF(B$17=0,0,B19/B$17)</f>
        <v>0.25</v>
      </c>
      <c r="E19" s="55" t="s">
        <v>68</v>
      </c>
      <c r="F19" s="52" t="s">
        <v>31</v>
      </c>
      <c r="G19" s="40">
        <v>0</v>
      </c>
      <c r="H19" s="118">
        <f>IF(B$17=0,0,G19/B$17)</f>
        <v>0</v>
      </c>
      <c r="I19" s="80">
        <v>3</v>
      </c>
      <c r="N19" s="100" t="s">
        <v>168</v>
      </c>
      <c r="O19" s="110">
        <f>IF(P19=0,0,Q19/P19)</f>
        <v>75.5</v>
      </c>
      <c r="P19" s="104">
        <v>1</v>
      </c>
      <c r="Q19" s="92">
        <v>75.5</v>
      </c>
    </row>
    <row r="20" spans="1:17">
      <c r="A20" s="47" t="s">
        <v>11</v>
      </c>
      <c r="B20" s="40">
        <v>3</v>
      </c>
      <c r="C20" s="33">
        <f>IF(B$17=0,0,B20/B$17)</f>
        <v>0.75</v>
      </c>
      <c r="E20" s="55" t="s">
        <v>188</v>
      </c>
      <c r="F20" s="52" t="s">
        <v>191</v>
      </c>
      <c r="G20" s="40">
        <v>0</v>
      </c>
      <c r="H20" s="118">
        <f>IF(B$17=0,0,G20/B$17)</f>
        <v>0</v>
      </c>
      <c r="I20" s="80">
        <v>3</v>
      </c>
      <c r="N20" s="100" t="s">
        <v>173</v>
      </c>
      <c r="O20" s="110">
        <f>IF(P20=0,0,Q20/P20)</f>
        <v>11</v>
      </c>
      <c r="P20" s="104">
        <v>2</v>
      </c>
      <c r="Q20" s="92">
        <v>22</v>
      </c>
    </row>
    <row r="21" spans="1:17">
      <c r="A21" s="47" t="s">
        <v>155</v>
      </c>
      <c r="B21" s="40">
        <v>3</v>
      </c>
      <c r="C21" s="33">
        <f>IF(B$17=0,0,B21/B$17)</f>
        <v>0.75</v>
      </c>
      <c r="E21" s="55" t="s">
        <v>69</v>
      </c>
      <c r="F21" s="52" t="s">
        <v>32</v>
      </c>
      <c r="G21" s="40">
        <v>0</v>
      </c>
      <c r="H21" s="118">
        <f>IF(B$17=0,0,G21/B$17)</f>
        <v>0</v>
      </c>
      <c r="I21" s="80">
        <v>1</v>
      </c>
      <c r="N21" s="100" t="s">
        <v>170</v>
      </c>
      <c r="O21" s="110">
        <f>IF(P21=0,0,Q21/P21)</f>
        <v>-62.300000000000004</v>
      </c>
      <c r="P21" s="104">
        <v>1</v>
      </c>
      <c r="Q21" s="92">
        <v>-62.300000000000004</v>
      </c>
    </row>
    <row r="22" spans="1:17">
      <c r="A22" s="47" t="s">
        <v>153</v>
      </c>
      <c r="B22" s="40">
        <v>1</v>
      </c>
      <c r="C22" s="33">
        <f>IF(B$17=0,0,B22/B$17)</f>
        <v>0.25</v>
      </c>
      <c r="E22" s="55" t="s">
        <v>71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166</v>
      </c>
      <c r="O22" s="110">
        <f>IF(P22=0,0,Q22/P22)</f>
        <v>-146.4</v>
      </c>
      <c r="P22" s="104">
        <v>1</v>
      </c>
      <c r="Q22" s="92">
        <v>-146.4</v>
      </c>
    </row>
    <row r="23" spans="1:17">
      <c r="A23" s="47" t="s">
        <v>154</v>
      </c>
      <c r="B23" s="40">
        <v>0</v>
      </c>
      <c r="C23" s="33">
        <f>IF(B$17=0,0,B23/B$17)</f>
        <v>0</v>
      </c>
      <c r="E23" s="55" t="s">
        <v>72</v>
      </c>
      <c r="F23" s="52" t="s">
        <v>35</v>
      </c>
      <c r="G23" s="40">
        <v>0</v>
      </c>
      <c r="H23" s="118">
        <f>IF(B$17=0,0,G23/B$17)</f>
        <v>0</v>
      </c>
      <c r="I23" s="80">
        <v>3</v>
      </c>
    </row>
    <row r="24" spans="1:17">
      <c r="A24" s="47" t="s">
        <v>5</v>
      </c>
      <c r="B24" s="44">
        <f>IF(B$17=0,0,C24/B$17)</f>
        <v>5900</v>
      </c>
      <c r="C24" s="35">
        <v>23600</v>
      </c>
      <c r="E24" s="55" t="s">
        <v>73</v>
      </c>
      <c r="F24" s="52" t="s">
        <v>36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137</v>
      </c>
      <c r="B25" s="121">
        <f>IF($B$17-B$16=0,0,C25/($B$17-B$16))</f>
        <v>7533.333333333333</v>
      </c>
      <c r="C25" s="122">
        <v>22600</v>
      </c>
      <c r="E25" s="55" t="s">
        <v>74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138</v>
      </c>
      <c r="B26" s="121">
        <f>IF(B$16=0,0,C26/B$16)</f>
        <v>1000</v>
      </c>
      <c r="C26" s="122">
        <v>1000</v>
      </c>
      <c r="E26" s="55" t="s">
        <v>75</v>
      </c>
      <c r="F26" s="52" t="s">
        <v>38</v>
      </c>
      <c r="G26" s="40">
        <v>0</v>
      </c>
      <c r="H26" s="118">
        <f>IF(B$17=0,0,G26/B$17)</f>
        <v>0</v>
      </c>
      <c r="I26" s="80">
        <v>3</v>
      </c>
    </row>
    <row r="27" spans="1:17">
      <c r="A27" s="48" t="s">
        <v>136</v>
      </c>
      <c r="B27" s="121">
        <f>IF(B$18=0,0,C27/B$18)</f>
        <v>-5950</v>
      </c>
      <c r="C27" s="122">
        <v>-11900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134</v>
      </c>
      <c r="B28" s="40">
        <v>2</v>
      </c>
      <c r="C28" s="120">
        <v>0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9</v>
      </c>
      <c r="C29" s="120">
        <v>4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115</v>
      </c>
      <c r="B30" s="142">
        <v>2</v>
      </c>
      <c r="C30" s="143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44">
        <v>42500</v>
      </c>
      <c r="C31" s="145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1</v>
      </c>
      <c r="C35" s="126">
        <f t="shared" ref="C35:C47" si="3">IF(B$17=0,0,B35/B$17)</f>
        <v>0.25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1</v>
      </c>
      <c r="C36" s="33">
        <f t="shared" si="3"/>
        <v>0.25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0</v>
      </c>
      <c r="C37" s="33">
        <f t="shared" si="3"/>
        <v>0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1</v>
      </c>
      <c r="C38" s="33">
        <f t="shared" si="3"/>
        <v>0.25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1</v>
      </c>
      <c r="C39" s="33">
        <f t="shared" si="3"/>
        <v>0.25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0</v>
      </c>
      <c r="C40" s="33">
        <f t="shared" si="3"/>
        <v>0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92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93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94</v>
      </c>
      <c r="F45" s="53" t="s">
        <v>194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386977-119A-40B1-B16E-8E1989932B33}">
  <sheetPr codeName="Sheet15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6" t="s">
        <v>185</v>
      </c>
      <c r="C1" s="14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48">
        <v>1</v>
      </c>
      <c r="C2" s="149"/>
      <c r="E2" s="54" t="s">
        <v>186</v>
      </c>
      <c r="F2" s="51" t="s">
        <v>160</v>
      </c>
      <c r="G2" s="39">
        <v>0</v>
      </c>
      <c r="H2" s="117">
        <f>IF(B$17=0,0,G2/B$17)</f>
        <v>0</v>
      </c>
      <c r="I2" s="79">
        <v>13</v>
      </c>
      <c r="K2" s="30">
        <v>0</v>
      </c>
      <c r="L2" s="84">
        <v>0</v>
      </c>
      <c r="N2" s="99" t="s">
        <v>107</v>
      </c>
      <c r="O2" s="106">
        <f t="shared" ref="O2:O9" si="0">IF(P2=0,0,Q2/P2)</f>
        <v>-1500</v>
      </c>
      <c r="P2" s="103">
        <v>1</v>
      </c>
      <c r="Q2" s="87">
        <v>-1500</v>
      </c>
    </row>
    <row r="3" spans="1:17">
      <c r="A3" s="47" t="s">
        <v>8</v>
      </c>
      <c r="B3" s="150">
        <v>7</v>
      </c>
      <c r="C3" s="151"/>
      <c r="E3" s="55" t="s">
        <v>187</v>
      </c>
      <c r="F3" s="52" t="s">
        <v>19</v>
      </c>
      <c r="G3" s="40">
        <v>0</v>
      </c>
      <c r="H3" s="118">
        <f>IF(B$17=0,0,G3/B$17)</f>
        <v>0</v>
      </c>
      <c r="I3" s="80">
        <v>8</v>
      </c>
      <c r="K3" s="32">
        <v>1</v>
      </c>
      <c r="L3" s="85">
        <v>-52.6</v>
      </c>
      <c r="N3" s="100" t="s">
        <v>108</v>
      </c>
      <c r="O3" s="107">
        <f t="shared" si="0"/>
        <v>-8600</v>
      </c>
      <c r="P3" s="104">
        <v>1</v>
      </c>
      <c r="Q3" s="88">
        <v>-8600</v>
      </c>
    </row>
    <row r="4" spans="1:17">
      <c r="A4" s="47" t="s">
        <v>6</v>
      </c>
      <c r="B4" s="152">
        <v>-52.6</v>
      </c>
      <c r="C4" s="153"/>
      <c r="E4" s="55" t="s">
        <v>55</v>
      </c>
      <c r="F4" s="52" t="s">
        <v>20</v>
      </c>
      <c r="G4" s="40">
        <v>0</v>
      </c>
      <c r="H4" s="118">
        <f>IF(B$17=0,0,G4/B$17)</f>
        <v>0</v>
      </c>
      <c r="I4" s="80">
        <v>12</v>
      </c>
      <c r="N4" s="100" t="s">
        <v>109</v>
      </c>
      <c r="O4" s="107">
        <f t="shared" si="0"/>
        <v>0</v>
      </c>
      <c r="P4" s="104">
        <v>1</v>
      </c>
      <c r="Q4" s="88">
        <v>0</v>
      </c>
    </row>
    <row r="5" spans="1:17">
      <c r="A5" s="47" t="s">
        <v>7</v>
      </c>
      <c r="B5" s="154">
        <f>IF(B$2=0,0,B$4/B$2)</f>
        <v>-52.6</v>
      </c>
      <c r="C5" s="155"/>
      <c r="E5" s="55" t="s">
        <v>56</v>
      </c>
      <c r="F5" s="52" t="s">
        <v>159</v>
      </c>
      <c r="G5" s="40">
        <v>0</v>
      </c>
      <c r="H5" s="118">
        <f>IF(B$17=0,0,G5/B$17)</f>
        <v>0</v>
      </c>
      <c r="I5" s="80">
        <v>10</v>
      </c>
      <c r="N5" s="100" t="s">
        <v>161</v>
      </c>
      <c r="O5" s="107">
        <f>IF(P5=0,0,Q5/P5)</f>
        <v>-5200</v>
      </c>
      <c r="P5" s="104">
        <v>1</v>
      </c>
      <c r="Q5" s="88">
        <v>-5200</v>
      </c>
    </row>
    <row r="6" spans="1:17">
      <c r="A6" s="47" t="s">
        <v>1</v>
      </c>
      <c r="B6" s="156">
        <f>IF(B$2=0,0,(B$7*1+B$8*2+B$9*3+B$10*4)/B$2)</f>
        <v>4</v>
      </c>
      <c r="C6" s="157"/>
      <c r="E6" s="55" t="s">
        <v>57</v>
      </c>
      <c r="F6" s="52" t="s">
        <v>190</v>
      </c>
      <c r="G6" s="40">
        <v>0</v>
      </c>
      <c r="H6" s="118">
        <f>IF(B$17=0,0,G6/B$17)</f>
        <v>0</v>
      </c>
      <c r="I6" s="80">
        <v>9</v>
      </c>
      <c r="N6" s="100" t="s">
        <v>110</v>
      </c>
      <c r="O6" s="107">
        <f t="shared" ref="O6" si="1">IF(P6=0,0,Q6/P6)</f>
        <v>-2000</v>
      </c>
      <c r="P6" s="104">
        <v>1</v>
      </c>
      <c r="Q6" s="88">
        <v>-2000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58</v>
      </c>
      <c r="F7" s="52" t="s">
        <v>21</v>
      </c>
      <c r="G7" s="40">
        <v>0</v>
      </c>
      <c r="H7" s="118">
        <f>IF(B$17=0,0,G7/B$17)</f>
        <v>0</v>
      </c>
      <c r="I7" s="80">
        <v>10</v>
      </c>
      <c r="N7" s="100" t="s">
        <v>111</v>
      </c>
      <c r="O7" s="107">
        <f t="shared" si="0"/>
        <v>-300</v>
      </c>
      <c r="P7" s="104">
        <v>1</v>
      </c>
      <c r="Q7" s="88">
        <v>-300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59</v>
      </c>
      <c r="F8" s="52" t="s">
        <v>22</v>
      </c>
      <c r="G8" s="40">
        <v>0</v>
      </c>
      <c r="H8" s="118">
        <f>IF(B$17=0,0,G8/B$17)</f>
        <v>0</v>
      </c>
      <c r="I8" s="80">
        <v>4</v>
      </c>
      <c r="N8" s="100" t="s">
        <v>112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60</v>
      </c>
      <c r="F9" s="52" t="s">
        <v>23</v>
      </c>
      <c r="G9" s="40">
        <v>0</v>
      </c>
      <c r="H9" s="118">
        <f>IF(B$17=0,0,G9/B$17)</f>
        <v>0</v>
      </c>
      <c r="I9" s="80">
        <v>6</v>
      </c>
      <c r="N9" s="101" t="s">
        <v>162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156</v>
      </c>
      <c r="B10" s="41">
        <v>1</v>
      </c>
      <c r="C10" s="34">
        <f>IF(B$2=0,0,B10/B$2)</f>
        <v>1</v>
      </c>
      <c r="E10" s="55" t="s">
        <v>61</v>
      </c>
      <c r="F10" s="52" t="s">
        <v>24</v>
      </c>
      <c r="G10" s="40">
        <v>0</v>
      </c>
      <c r="H10" s="118">
        <f>IF(B$17=0,0,G10/B$17)</f>
        <v>0</v>
      </c>
      <c r="I10" s="80">
        <v>10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0</v>
      </c>
      <c r="C11" s="34">
        <f>IF(B$2=0,0,B11/B$2)</f>
        <v>0</v>
      </c>
      <c r="E11" s="55" t="s">
        <v>62</v>
      </c>
      <c r="F11" s="52" t="s">
        <v>25</v>
      </c>
      <c r="G11" s="40">
        <v>0</v>
      </c>
      <c r="H11" s="118">
        <f>IF(B$17=0,0,G11/B$17)</f>
        <v>0</v>
      </c>
      <c r="I11" s="80">
        <v>1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63</v>
      </c>
      <c r="F12" s="52" t="s">
        <v>26</v>
      </c>
      <c r="G12" s="40">
        <v>0</v>
      </c>
      <c r="H12" s="118">
        <f>IF(B$17=0,0,G12/B$17)</f>
        <v>0</v>
      </c>
      <c r="I12" s="80">
        <v>1</v>
      </c>
      <c r="N12" s="99" t="s">
        <v>130</v>
      </c>
      <c r="O12" s="109">
        <f>IF(P12=0,0,Q12/P12)</f>
        <v>-52.6</v>
      </c>
      <c r="P12" s="103">
        <v>1</v>
      </c>
      <c r="Q12" s="91">
        <v>-52.6</v>
      </c>
    </row>
    <row r="13" spans="1:17">
      <c r="A13" s="50" t="s">
        <v>101</v>
      </c>
      <c r="B13" s="43">
        <v>1</v>
      </c>
      <c r="C13" s="38">
        <f>IF(B$3=0,0,B13/B$3)</f>
        <v>0.14285714285714285</v>
      </c>
      <c r="E13" s="55" t="s">
        <v>64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98</v>
      </c>
      <c r="B14" s="40">
        <v>2</v>
      </c>
      <c r="C14" s="33">
        <f>IF(B$3=0,0,B14/B$3)</f>
        <v>0.2857142857142857</v>
      </c>
      <c r="E14" s="55" t="s">
        <v>65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103</v>
      </c>
      <c r="B15" s="39">
        <f>B21</f>
        <v>0</v>
      </c>
      <c r="C15" s="31">
        <f>IF(B$13=0,0,B15/B$13)</f>
        <v>0</v>
      </c>
      <c r="E15" s="55" t="s">
        <v>66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104</v>
      </c>
      <c r="B16" s="39">
        <f>B22</f>
        <v>0</v>
      </c>
      <c r="C16" s="31">
        <f>IF(B$14=0,0,B16/B$14)</f>
        <v>0</v>
      </c>
      <c r="E16" s="55" t="s">
        <v>67</v>
      </c>
      <c r="F16" s="52" t="s">
        <v>30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68</v>
      </c>
      <c r="F17" s="52" t="s">
        <v>31</v>
      </c>
      <c r="G17" s="40">
        <v>0</v>
      </c>
      <c r="H17" s="118">
        <f>IF(B$17=0,0,G17/B$17)</f>
        <v>0</v>
      </c>
      <c r="I17" s="80">
        <v>3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2</v>
      </c>
      <c r="C18" s="33">
        <f>IF(B$3=0,0,B18/B$3)</f>
        <v>0.2857142857142857</v>
      </c>
      <c r="E18" s="55" t="s">
        <v>188</v>
      </c>
      <c r="F18" s="52" t="s">
        <v>191</v>
      </c>
      <c r="G18" s="40">
        <v>0</v>
      </c>
      <c r="H18" s="118">
        <f>IF(B$17=0,0,G18/B$17)</f>
        <v>0</v>
      </c>
      <c r="I18" s="80">
        <v>3</v>
      </c>
      <c r="N18" s="99" t="s">
        <v>180</v>
      </c>
      <c r="O18" s="109">
        <f>IF(P18=0,0,Q18/P18)</f>
        <v>-36.799999999999997</v>
      </c>
      <c r="P18" s="103">
        <v>1</v>
      </c>
      <c r="Q18" s="91">
        <v>-36.799999999999997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69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172</v>
      </c>
      <c r="O19" s="110">
        <f>IF(P19=0,0,Q19/P19)</f>
        <v>-65.8</v>
      </c>
      <c r="P19" s="104">
        <v>1</v>
      </c>
      <c r="Q19" s="92">
        <v>-65.8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70</v>
      </c>
      <c r="F20" s="52" t="s">
        <v>33</v>
      </c>
      <c r="G20" s="40">
        <v>0</v>
      </c>
      <c r="H20" s="118">
        <f>IF(B$17=0,0,G20/B$17)</f>
        <v>0</v>
      </c>
      <c r="I20" s="80">
        <v>3</v>
      </c>
      <c r="N20" s="100" t="s">
        <v>184</v>
      </c>
      <c r="O20" s="110">
        <f>IF(P20=0,0,Q20/P20)</f>
        <v>-106.80000000000001</v>
      </c>
      <c r="P20" s="104">
        <v>1</v>
      </c>
      <c r="Q20" s="92">
        <v>-106.80000000000001</v>
      </c>
    </row>
    <row r="21" spans="1:17">
      <c r="A21" s="47" t="s">
        <v>155</v>
      </c>
      <c r="B21" s="40">
        <v>0</v>
      </c>
      <c r="C21" s="33">
        <f>IF(B$17=0,0,B21/B$17)</f>
        <v>0</v>
      </c>
      <c r="E21" s="55" t="s">
        <v>71</v>
      </c>
      <c r="F21" s="52" t="s">
        <v>34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153</v>
      </c>
      <c r="B22" s="40">
        <v>0</v>
      </c>
      <c r="C22" s="33">
        <f>IF(B$17=0,0,B22/B$17)</f>
        <v>0</v>
      </c>
      <c r="E22" s="55" t="s">
        <v>72</v>
      </c>
      <c r="F22" s="52" t="s">
        <v>35</v>
      </c>
      <c r="G22" s="40">
        <v>0</v>
      </c>
      <c r="H22" s="118">
        <f>IF(B$17=0,0,G22/B$17)</f>
        <v>0</v>
      </c>
      <c r="I22" s="80">
        <v>3</v>
      </c>
    </row>
    <row r="23" spans="1:17">
      <c r="A23" s="47" t="s">
        <v>154</v>
      </c>
      <c r="B23" s="40">
        <v>0</v>
      </c>
      <c r="C23" s="33">
        <f>IF(B$17=0,0,B23/B$17)</f>
        <v>0</v>
      </c>
      <c r="E23" s="55" t="s">
        <v>73</v>
      </c>
      <c r="F23" s="52" t="s">
        <v>36</v>
      </c>
      <c r="G23" s="40">
        <v>0</v>
      </c>
      <c r="H23" s="118">
        <f>IF(B$17=0,0,G23/B$17)</f>
        <v>0</v>
      </c>
      <c r="I23" s="80">
        <v>1</v>
      </c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74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137</v>
      </c>
      <c r="B25" s="121">
        <f>IF($B$17-B$16=0,0,C25/($B$17-B$16))</f>
        <v>0</v>
      </c>
      <c r="C25" s="122">
        <v>0</v>
      </c>
      <c r="E25" s="55" t="s">
        <v>75</v>
      </c>
      <c r="F25" s="52" t="s">
        <v>38</v>
      </c>
      <c r="G25" s="40">
        <v>0</v>
      </c>
      <c r="H25" s="118">
        <f>IF(B$17=0,0,G25/B$17)</f>
        <v>0</v>
      </c>
      <c r="I25" s="80">
        <v>3</v>
      </c>
    </row>
    <row r="26" spans="1:17">
      <c r="A26" s="48" t="s">
        <v>138</v>
      </c>
      <c r="B26" s="121">
        <f>IF(B$16=0,0,C26/B$16)</f>
        <v>0</v>
      </c>
      <c r="C26" s="122">
        <v>0</v>
      </c>
      <c r="E26" s="55" t="s">
        <v>76</v>
      </c>
      <c r="F26" s="52" t="s">
        <v>39</v>
      </c>
      <c r="G26" s="40">
        <v>0</v>
      </c>
      <c r="H26" s="118">
        <f>IF(B$17=0,0,G26/B$17)</f>
        <v>0</v>
      </c>
      <c r="I26" s="80">
        <v>1</v>
      </c>
    </row>
    <row r="27" spans="1:17">
      <c r="A27" s="48" t="s">
        <v>136</v>
      </c>
      <c r="B27" s="121">
        <f>IF(B$18=0,0,C27/B$18)</f>
        <v>-6600</v>
      </c>
      <c r="C27" s="122">
        <v>-13200</v>
      </c>
      <c r="E27" s="55" t="s">
        <v>77</v>
      </c>
      <c r="F27" s="52" t="s">
        <v>40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134</v>
      </c>
      <c r="B28" s="40">
        <v>0</v>
      </c>
      <c r="C28" s="120">
        <v>0</v>
      </c>
      <c r="E28" s="55" t="s">
        <v>78</v>
      </c>
      <c r="F28" s="52" t="s">
        <v>41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2</v>
      </c>
      <c r="C29" s="120">
        <v>2</v>
      </c>
      <c r="E29" s="55" t="s">
        <v>79</v>
      </c>
      <c r="F29" s="52" t="s">
        <v>42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115</v>
      </c>
      <c r="B30" s="142">
        <v>0</v>
      </c>
      <c r="C30" s="143"/>
      <c r="E30" s="55" t="s">
        <v>80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44">
        <v>7400</v>
      </c>
      <c r="C31" s="145"/>
      <c r="E31" s="55" t="s">
        <v>81</v>
      </c>
      <c r="F31" s="52" t="s">
        <v>44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82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83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84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0</v>
      </c>
      <c r="C35" s="126">
        <f t="shared" ref="C35:C47" si="3">IF(B$17=0,0,B35/B$17)</f>
        <v>0</v>
      </c>
      <c r="E35" s="55" t="s">
        <v>85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0</v>
      </c>
      <c r="C36" s="33">
        <f t="shared" si="3"/>
        <v>0</v>
      </c>
      <c r="E36" s="55" t="s">
        <v>86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0</v>
      </c>
      <c r="C37" s="33">
        <f t="shared" si="3"/>
        <v>0</v>
      </c>
      <c r="E37" s="55" t="s">
        <v>87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0</v>
      </c>
      <c r="C38" s="33">
        <f t="shared" si="3"/>
        <v>0</v>
      </c>
      <c r="E38" s="55" t="s">
        <v>88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0</v>
      </c>
      <c r="C39" s="33">
        <f t="shared" si="3"/>
        <v>0</v>
      </c>
      <c r="E39" s="55" t="s">
        <v>89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0</v>
      </c>
      <c r="C40" s="33">
        <f t="shared" si="3"/>
        <v>0</v>
      </c>
      <c r="E40" s="55" t="s">
        <v>90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91</v>
      </c>
      <c r="F41" s="52" t="s">
        <v>54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92</v>
      </c>
      <c r="F42" s="52" t="s">
        <v>192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93</v>
      </c>
      <c r="F43" s="52" t="s">
        <v>193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94</v>
      </c>
      <c r="F44" s="52" t="s">
        <v>194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189</v>
      </c>
      <c r="F45" s="53" t="s">
        <v>195</v>
      </c>
      <c r="G45" s="42">
        <v>0</v>
      </c>
      <c r="H45" s="119">
        <f>IF(B$17=0,0,G45/B$17)</f>
        <v>0</v>
      </c>
      <c r="I45" s="81">
        <v>10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408532-39A3-4F0E-8878-51ABEC8C26D9}">
  <sheetPr codeName="Sheet16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6" t="s">
        <v>184</v>
      </c>
      <c r="C1" s="14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48">
        <v>1</v>
      </c>
      <c r="C2" s="149"/>
      <c r="E2" s="54" t="s">
        <v>61</v>
      </c>
      <c r="F2" s="51" t="s">
        <v>24</v>
      </c>
      <c r="G2" s="39">
        <v>2</v>
      </c>
      <c r="H2" s="117">
        <f>IF(B$17=0,0,G2/B$17)</f>
        <v>1</v>
      </c>
      <c r="I2" s="79">
        <v>1</v>
      </c>
      <c r="K2" s="30">
        <v>0</v>
      </c>
      <c r="L2" s="84">
        <v>0</v>
      </c>
      <c r="N2" s="99" t="s">
        <v>107</v>
      </c>
      <c r="O2" s="106">
        <f t="shared" ref="O2:O9" si="0">IF(P2=0,0,Q2/P2)</f>
        <v>1500</v>
      </c>
      <c r="P2" s="103">
        <v>1</v>
      </c>
      <c r="Q2" s="87">
        <v>1500</v>
      </c>
    </row>
    <row r="3" spans="1:17">
      <c r="A3" s="47" t="s">
        <v>8</v>
      </c>
      <c r="B3" s="150">
        <v>7</v>
      </c>
      <c r="C3" s="151"/>
      <c r="E3" s="55" t="s">
        <v>186</v>
      </c>
      <c r="F3" s="52" t="s">
        <v>160</v>
      </c>
      <c r="G3" s="40">
        <v>1</v>
      </c>
      <c r="H3" s="118">
        <f>IF(B$17=0,0,G3/B$17)</f>
        <v>0.5</v>
      </c>
      <c r="I3" s="80">
        <v>7</v>
      </c>
      <c r="K3" s="32">
        <v>1</v>
      </c>
      <c r="L3" s="85">
        <v>54.2</v>
      </c>
      <c r="N3" s="100" t="s">
        <v>108</v>
      </c>
      <c r="O3" s="107">
        <f t="shared" si="0"/>
        <v>10600</v>
      </c>
      <c r="P3" s="104">
        <v>1</v>
      </c>
      <c r="Q3" s="88">
        <v>10600</v>
      </c>
    </row>
    <row r="4" spans="1:17">
      <c r="A4" s="47" t="s">
        <v>6</v>
      </c>
      <c r="B4" s="152">
        <v>54.2</v>
      </c>
      <c r="C4" s="153"/>
      <c r="E4" s="55" t="s">
        <v>187</v>
      </c>
      <c r="F4" s="52" t="s">
        <v>19</v>
      </c>
      <c r="G4" s="40">
        <v>1</v>
      </c>
      <c r="H4" s="118">
        <f>IF(B$17=0,0,G4/B$17)</f>
        <v>0.5</v>
      </c>
      <c r="I4" s="80">
        <v>1</v>
      </c>
      <c r="N4" s="100" t="s">
        <v>109</v>
      </c>
      <c r="O4" s="107">
        <f t="shared" si="0"/>
        <v>-2000</v>
      </c>
      <c r="P4" s="104">
        <v>1</v>
      </c>
      <c r="Q4" s="88">
        <v>-2000</v>
      </c>
    </row>
    <row r="5" spans="1:17">
      <c r="A5" s="47" t="s">
        <v>7</v>
      </c>
      <c r="B5" s="154">
        <f>IF(B$2=0,0,B$4/B$2)</f>
        <v>54.2</v>
      </c>
      <c r="C5" s="155"/>
      <c r="E5" s="55" t="s">
        <v>56</v>
      </c>
      <c r="F5" s="52" t="s">
        <v>159</v>
      </c>
      <c r="G5" s="40">
        <v>1</v>
      </c>
      <c r="H5" s="118">
        <f>IF(B$17=0,0,G5/B$17)</f>
        <v>0.5</v>
      </c>
      <c r="I5" s="80">
        <v>5</v>
      </c>
      <c r="N5" s="100" t="s">
        <v>161</v>
      </c>
      <c r="O5" s="107">
        <f>IF(P5=0,0,Q5/P5)</f>
        <v>-1000</v>
      </c>
      <c r="P5" s="104">
        <v>1</v>
      </c>
      <c r="Q5" s="88">
        <v>-1000</v>
      </c>
    </row>
    <row r="6" spans="1:17">
      <c r="A6" s="47" t="s">
        <v>1</v>
      </c>
      <c r="B6" s="156">
        <f>IF(B$2=0,0,(B$7*1+B$8*2+B$9*3+B$10*4)/B$2)</f>
        <v>1</v>
      </c>
      <c r="C6" s="157"/>
      <c r="E6" s="55" t="s">
        <v>189</v>
      </c>
      <c r="F6" s="52" t="s">
        <v>195</v>
      </c>
      <c r="G6" s="40">
        <v>1</v>
      </c>
      <c r="H6" s="118">
        <f>IF(B$17=0,0,G6/B$17)</f>
        <v>0.5</v>
      </c>
      <c r="I6" s="80">
        <v>4</v>
      </c>
      <c r="N6" s="100" t="s">
        <v>110</v>
      </c>
      <c r="O6" s="107">
        <f t="shared" ref="O6" si="1">IF(P6=0,0,Q6/P6)</f>
        <v>-1000</v>
      </c>
      <c r="P6" s="104">
        <v>1</v>
      </c>
      <c r="Q6" s="88">
        <v>-1000</v>
      </c>
    </row>
    <row r="7" spans="1:17">
      <c r="A7" s="47" t="s">
        <v>2</v>
      </c>
      <c r="B7" s="40">
        <v>1</v>
      </c>
      <c r="C7" s="33">
        <f t="shared" ref="C7:C12" si="2">IF(B$2=0,0,B7/B$2)</f>
        <v>1</v>
      </c>
      <c r="E7" s="55" t="s">
        <v>55</v>
      </c>
      <c r="F7" s="52" t="s">
        <v>20</v>
      </c>
      <c r="G7" s="40">
        <v>0</v>
      </c>
      <c r="H7" s="118">
        <f>IF(B$17=0,0,G7/B$17)</f>
        <v>0</v>
      </c>
      <c r="I7" s="80">
        <v>12</v>
      </c>
      <c r="N7" s="100" t="s">
        <v>111</v>
      </c>
      <c r="O7" s="107">
        <f t="shared" si="0"/>
        <v>1100</v>
      </c>
      <c r="P7" s="104">
        <v>1</v>
      </c>
      <c r="Q7" s="88">
        <v>1100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57</v>
      </c>
      <c r="F8" s="52" t="s">
        <v>190</v>
      </c>
      <c r="G8" s="40">
        <v>0</v>
      </c>
      <c r="H8" s="118">
        <f>IF(B$17=0,0,G8/B$17)</f>
        <v>0</v>
      </c>
      <c r="I8" s="80">
        <v>9</v>
      </c>
      <c r="N8" s="100" t="s">
        <v>112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58</v>
      </c>
      <c r="F9" s="52" t="s">
        <v>21</v>
      </c>
      <c r="G9" s="40">
        <v>0</v>
      </c>
      <c r="H9" s="118">
        <f>IF(B$17=0,0,G9/B$17)</f>
        <v>0</v>
      </c>
      <c r="I9" s="80">
        <v>10</v>
      </c>
      <c r="N9" s="101" t="s">
        <v>162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156</v>
      </c>
      <c r="B10" s="41">
        <v>0</v>
      </c>
      <c r="C10" s="34">
        <f>IF(B$2=0,0,B10/B$2)</f>
        <v>0</v>
      </c>
      <c r="E10" s="55" t="s">
        <v>59</v>
      </c>
      <c r="F10" s="52" t="s">
        <v>22</v>
      </c>
      <c r="G10" s="40">
        <v>0</v>
      </c>
      <c r="H10" s="118">
        <f>IF(B$17=0,0,G10/B$17)</f>
        <v>0</v>
      </c>
      <c r="I10" s="80">
        <v>4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1</v>
      </c>
      <c r="C11" s="34">
        <f>IF(B$2=0,0,B11/B$2)</f>
        <v>1</v>
      </c>
      <c r="E11" s="55" t="s">
        <v>60</v>
      </c>
      <c r="F11" s="52" t="s">
        <v>23</v>
      </c>
      <c r="G11" s="40">
        <v>0</v>
      </c>
      <c r="H11" s="118">
        <f>IF(B$17=0,0,G11/B$17)</f>
        <v>0</v>
      </c>
      <c r="I11" s="80">
        <v>6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25</v>
      </c>
      <c r="G12" s="40">
        <v>0</v>
      </c>
      <c r="H12" s="118">
        <f>IF(B$17=0,0,G12/B$17)</f>
        <v>0</v>
      </c>
      <c r="I12" s="80">
        <v>1</v>
      </c>
      <c r="N12" s="99" t="s">
        <v>130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101</v>
      </c>
      <c r="B13" s="43">
        <v>2</v>
      </c>
      <c r="C13" s="38">
        <f>IF(B$3=0,0,B13/B$3)</f>
        <v>0.2857142857142857</v>
      </c>
      <c r="E13" s="55" t="s">
        <v>63</v>
      </c>
      <c r="F13" s="52" t="s">
        <v>26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98</v>
      </c>
      <c r="B14" s="40">
        <v>0</v>
      </c>
      <c r="C14" s="33">
        <f>IF(B$3=0,0,B14/B$3)</f>
        <v>0</v>
      </c>
      <c r="E14" s="55" t="s">
        <v>64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54.2</v>
      </c>
      <c r="P14" s="104">
        <v>1</v>
      </c>
      <c r="Q14" s="92">
        <v>54.2</v>
      </c>
    </row>
    <row r="15" spans="1:17">
      <c r="A15" s="46" t="s">
        <v>103</v>
      </c>
      <c r="B15" s="39">
        <f>B21</f>
        <v>1</v>
      </c>
      <c r="C15" s="31">
        <f>IF(B$13=0,0,B15/B$13)</f>
        <v>0.5</v>
      </c>
      <c r="E15" s="55" t="s">
        <v>65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104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</v>
      </c>
      <c r="C17" s="31">
        <f>IF(B$3=0,0,B17/B$3)</f>
        <v>0.2857142857142857</v>
      </c>
      <c r="E17" s="55" t="s">
        <v>67</v>
      </c>
      <c r="F17" s="52" t="s">
        <v>30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1</v>
      </c>
      <c r="C18" s="33">
        <f>IF(B$3=0,0,B18/B$3)</f>
        <v>0.14285714285714285</v>
      </c>
      <c r="E18" s="55" t="s">
        <v>68</v>
      </c>
      <c r="F18" s="52" t="s">
        <v>31</v>
      </c>
      <c r="G18" s="40">
        <v>0</v>
      </c>
      <c r="H18" s="118">
        <f>IF(B$17=0,0,G18/B$17)</f>
        <v>0</v>
      </c>
      <c r="I18" s="80">
        <v>3</v>
      </c>
      <c r="N18" s="99" t="s">
        <v>185</v>
      </c>
      <c r="O18" s="109">
        <f>IF(P18=0,0,Q18/P18)</f>
        <v>106.80000000000001</v>
      </c>
      <c r="P18" s="103">
        <v>1</v>
      </c>
      <c r="Q18" s="91">
        <v>106.80000000000001</v>
      </c>
    </row>
    <row r="19" spans="1:17">
      <c r="A19" s="47" t="s">
        <v>12</v>
      </c>
      <c r="B19" s="40">
        <v>1</v>
      </c>
      <c r="C19" s="33">
        <f>IF(B$17=0,0,B19/B$17)</f>
        <v>0.5</v>
      </c>
      <c r="E19" s="55" t="s">
        <v>188</v>
      </c>
      <c r="F19" s="52" t="s">
        <v>191</v>
      </c>
      <c r="G19" s="40">
        <v>0</v>
      </c>
      <c r="H19" s="118">
        <f>IF(B$17=0,0,G19/B$17)</f>
        <v>0</v>
      </c>
      <c r="I19" s="80">
        <v>3</v>
      </c>
      <c r="N19" s="100" t="s">
        <v>180</v>
      </c>
      <c r="O19" s="110">
        <f>IF(P19=0,0,Q19/P19)</f>
        <v>70</v>
      </c>
      <c r="P19" s="104">
        <v>1</v>
      </c>
      <c r="Q19" s="92">
        <v>70</v>
      </c>
    </row>
    <row r="20" spans="1:17">
      <c r="A20" s="47" t="s">
        <v>11</v>
      </c>
      <c r="B20" s="40">
        <v>1</v>
      </c>
      <c r="C20" s="33">
        <f>IF(B$17=0,0,B20/B$17)</f>
        <v>0.5</v>
      </c>
      <c r="E20" s="55" t="s">
        <v>69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172</v>
      </c>
      <c r="O20" s="110">
        <f>IF(P20=0,0,Q20/P20)</f>
        <v>41</v>
      </c>
      <c r="P20" s="104">
        <v>1</v>
      </c>
      <c r="Q20" s="92">
        <v>41</v>
      </c>
    </row>
    <row r="21" spans="1:17">
      <c r="A21" s="47" t="s">
        <v>155</v>
      </c>
      <c r="B21" s="40">
        <v>1</v>
      </c>
      <c r="C21" s="33">
        <f>IF(B$17=0,0,B21/B$17)</f>
        <v>0.5</v>
      </c>
      <c r="E21" s="55" t="s">
        <v>70</v>
      </c>
      <c r="F21" s="52" t="s">
        <v>33</v>
      </c>
      <c r="G21" s="40">
        <v>0</v>
      </c>
      <c r="H21" s="118">
        <f>IF(B$17=0,0,G21/B$17)</f>
        <v>0</v>
      </c>
      <c r="I21" s="80">
        <v>3</v>
      </c>
    </row>
    <row r="22" spans="1:17">
      <c r="A22" s="47" t="s">
        <v>153</v>
      </c>
      <c r="B22" s="40">
        <v>0</v>
      </c>
      <c r="C22" s="33">
        <f>IF(B$17=0,0,B22/B$17)</f>
        <v>0</v>
      </c>
      <c r="E22" s="55" t="s">
        <v>71</v>
      </c>
      <c r="F22" s="52" t="s">
        <v>34</v>
      </c>
      <c r="G22" s="40">
        <v>0</v>
      </c>
      <c r="H22" s="118">
        <f>IF(B$17=0,0,G22/B$17)</f>
        <v>0</v>
      </c>
      <c r="I22" s="80">
        <v>1</v>
      </c>
    </row>
    <row r="23" spans="1:17">
      <c r="A23" s="47" t="s">
        <v>154</v>
      </c>
      <c r="B23" s="40">
        <v>1</v>
      </c>
      <c r="C23" s="33">
        <f>IF(B$17=0,0,B23/B$17)</f>
        <v>0.5</v>
      </c>
      <c r="E23" s="55" t="s">
        <v>72</v>
      </c>
      <c r="F23" s="52" t="s">
        <v>35</v>
      </c>
      <c r="G23" s="40">
        <v>0</v>
      </c>
      <c r="H23" s="118">
        <f>IF(B$17=0,0,G23/B$17)</f>
        <v>0</v>
      </c>
      <c r="I23" s="80">
        <v>3</v>
      </c>
    </row>
    <row r="24" spans="1:17">
      <c r="A24" s="47" t="s">
        <v>5</v>
      </c>
      <c r="B24" s="44">
        <f>IF(B$17=0,0,C24/B$17)</f>
        <v>4550</v>
      </c>
      <c r="C24" s="35">
        <v>9100</v>
      </c>
      <c r="E24" s="55" t="s">
        <v>73</v>
      </c>
      <c r="F24" s="52" t="s">
        <v>36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137</v>
      </c>
      <c r="B25" s="121">
        <f>IF($B$17-B$16=0,0,C25/($B$17-B$16))</f>
        <v>4550</v>
      </c>
      <c r="C25" s="122">
        <v>9100</v>
      </c>
      <c r="E25" s="55" t="s">
        <v>74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138</v>
      </c>
      <c r="B26" s="121">
        <f>IF(B$16=0,0,C26/B$16)</f>
        <v>0</v>
      </c>
      <c r="C26" s="122">
        <v>0</v>
      </c>
      <c r="E26" s="55" t="s">
        <v>75</v>
      </c>
      <c r="F26" s="52" t="s">
        <v>38</v>
      </c>
      <c r="G26" s="40">
        <v>0</v>
      </c>
      <c r="H26" s="118">
        <f>IF(B$17=0,0,G26/B$17)</f>
        <v>0</v>
      </c>
      <c r="I26" s="80">
        <v>3</v>
      </c>
    </row>
    <row r="27" spans="1:17">
      <c r="A27" s="48" t="s">
        <v>136</v>
      </c>
      <c r="B27" s="121">
        <f>IF(B$18=0,0,C27/B$18)</f>
        <v>-2000</v>
      </c>
      <c r="C27" s="122">
        <v>-2000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134</v>
      </c>
      <c r="B28" s="40">
        <v>1</v>
      </c>
      <c r="C28" s="120">
        <v>1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3</v>
      </c>
      <c r="C29" s="120">
        <v>3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115</v>
      </c>
      <c r="B30" s="142">
        <v>2</v>
      </c>
      <c r="C30" s="143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44">
        <v>34200</v>
      </c>
      <c r="C31" s="145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1</v>
      </c>
      <c r="C35" s="126">
        <f t="shared" ref="C35:C47" si="3">IF(B$17=0,0,B35/B$17)</f>
        <v>0.5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0</v>
      </c>
      <c r="C36" s="33">
        <f t="shared" si="3"/>
        <v>0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0</v>
      </c>
      <c r="C37" s="33">
        <f t="shared" si="3"/>
        <v>0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0</v>
      </c>
      <c r="C38" s="33">
        <f t="shared" si="3"/>
        <v>0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1</v>
      </c>
      <c r="C39" s="33">
        <f t="shared" si="3"/>
        <v>0.5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0</v>
      </c>
      <c r="C40" s="33">
        <f t="shared" si="3"/>
        <v>0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92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93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94</v>
      </c>
      <c r="F45" s="53" t="s">
        <v>194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113" bestFit="1" customWidth="1"/>
    <col min="6" max="6" width="11" style="10" bestFit="1" customWidth="1"/>
    <col min="7" max="8" width="9" style="1" customWidth="1"/>
    <col min="9" max="9" width="9" style="27" customWidth="1"/>
    <col min="10" max="10" width="3.625" style="1" customWidth="1"/>
    <col min="11" max="11" width="3.5" style="5" customWidth="1"/>
    <col min="12" max="12" width="9" style="85" customWidth="1"/>
    <col min="13" max="13" width="3.625" style="1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1"/>
  </cols>
  <sheetData>
    <row r="1" spans="1:17">
      <c r="A1" s="17" t="s">
        <v>0</v>
      </c>
      <c r="B1" s="146"/>
      <c r="C1" s="147"/>
      <c r="E1" s="114" t="s">
        <v>133</v>
      </c>
      <c r="F1" s="128" t="s">
        <v>95</v>
      </c>
      <c r="G1" s="127" t="s">
        <v>96</v>
      </c>
      <c r="H1" s="115" t="s">
        <v>97</v>
      </c>
      <c r="I1" s="128" t="s">
        <v>122</v>
      </c>
      <c r="K1" s="2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127</v>
      </c>
    </row>
    <row r="2" spans="1:17">
      <c r="A2" s="18" t="s">
        <v>9</v>
      </c>
      <c r="B2" s="148">
        <v>0</v>
      </c>
      <c r="C2" s="149"/>
      <c r="E2" s="54" t="s">
        <v>186</v>
      </c>
      <c r="F2" s="51" t="s">
        <v>160</v>
      </c>
      <c r="G2" s="39">
        <v>0</v>
      </c>
      <c r="H2" s="117">
        <f t="shared" ref="H2:H45" si="0">IF(B$17=0,0,G2/B$17)</f>
        <v>0</v>
      </c>
      <c r="I2" s="79"/>
      <c r="K2" s="3">
        <v>0</v>
      </c>
      <c r="L2" s="84">
        <v>0</v>
      </c>
      <c r="N2" s="99" t="s">
        <v>107</v>
      </c>
      <c r="O2" s="106">
        <f t="shared" ref="O2:O9" si="1">IF(P2=0,0,Q2/P2)</f>
        <v>0</v>
      </c>
      <c r="P2" s="103">
        <v>0</v>
      </c>
      <c r="Q2" s="87">
        <v>0</v>
      </c>
    </row>
    <row r="3" spans="1:17">
      <c r="A3" s="19" t="s">
        <v>8</v>
      </c>
      <c r="B3" s="150">
        <v>0</v>
      </c>
      <c r="C3" s="151"/>
      <c r="E3" s="55" t="s">
        <v>187</v>
      </c>
      <c r="F3" s="52" t="s">
        <v>19</v>
      </c>
      <c r="G3" s="40">
        <v>0</v>
      </c>
      <c r="H3" s="118">
        <f t="shared" si="0"/>
        <v>0</v>
      </c>
      <c r="I3" s="80"/>
      <c r="N3" s="100" t="s">
        <v>108</v>
      </c>
      <c r="O3" s="107">
        <f t="shared" si="1"/>
        <v>0</v>
      </c>
      <c r="P3" s="104">
        <v>0</v>
      </c>
      <c r="Q3" s="88">
        <v>0</v>
      </c>
    </row>
    <row r="4" spans="1:17">
      <c r="A4" s="19" t="s">
        <v>6</v>
      </c>
      <c r="B4" s="152">
        <v>0</v>
      </c>
      <c r="C4" s="153"/>
      <c r="E4" s="55" t="s">
        <v>55</v>
      </c>
      <c r="F4" s="52" t="s">
        <v>20</v>
      </c>
      <c r="G4" s="40">
        <v>0</v>
      </c>
      <c r="H4" s="118">
        <f t="shared" si="0"/>
        <v>0</v>
      </c>
      <c r="I4" s="80"/>
      <c r="N4" s="100" t="s">
        <v>109</v>
      </c>
      <c r="O4" s="107">
        <f t="shared" si="1"/>
        <v>0</v>
      </c>
      <c r="P4" s="104">
        <v>0</v>
      </c>
      <c r="Q4" s="88">
        <v>0</v>
      </c>
    </row>
    <row r="5" spans="1:17">
      <c r="A5" s="19" t="s">
        <v>7</v>
      </c>
      <c r="B5" s="154">
        <f>IF(B$2=0,0,B$4/B$2)</f>
        <v>0</v>
      </c>
      <c r="C5" s="155"/>
      <c r="E5" s="55" t="s">
        <v>56</v>
      </c>
      <c r="F5" s="52" t="s">
        <v>159</v>
      </c>
      <c r="G5" s="40">
        <v>0</v>
      </c>
      <c r="H5" s="118">
        <f t="shared" si="0"/>
        <v>0</v>
      </c>
      <c r="I5" s="80"/>
      <c r="N5" s="100" t="s">
        <v>161</v>
      </c>
      <c r="O5" s="107">
        <f>IF(P5=0,0,Q5/P5)</f>
        <v>0</v>
      </c>
      <c r="P5" s="104">
        <v>0</v>
      </c>
      <c r="Q5" s="88">
        <v>0</v>
      </c>
    </row>
    <row r="6" spans="1:17">
      <c r="A6" s="19" t="s">
        <v>1</v>
      </c>
      <c r="B6" s="156">
        <f>IF(B$2=0,0,(B$7*1+B$8*2+B$9*3+B$10*4)/B$2)</f>
        <v>0</v>
      </c>
      <c r="C6" s="157"/>
      <c r="E6" s="55" t="s">
        <v>57</v>
      </c>
      <c r="F6" s="52" t="s">
        <v>190</v>
      </c>
      <c r="G6" s="40">
        <v>0</v>
      </c>
      <c r="H6" s="118">
        <f t="shared" si="0"/>
        <v>0</v>
      </c>
      <c r="I6" s="80"/>
      <c r="N6" s="100" t="s">
        <v>110</v>
      </c>
      <c r="O6" s="107">
        <f t="shared" ref="O6" si="2">IF(P6=0,0,Q6/P6)</f>
        <v>0</v>
      </c>
      <c r="P6" s="104">
        <v>0</v>
      </c>
      <c r="Q6" s="88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55" t="s">
        <v>58</v>
      </c>
      <c r="F7" s="52" t="s">
        <v>21</v>
      </c>
      <c r="G7" s="40">
        <v>0</v>
      </c>
      <c r="H7" s="118">
        <f t="shared" si="0"/>
        <v>0</v>
      </c>
      <c r="I7" s="80"/>
      <c r="N7" s="100" t="s">
        <v>111</v>
      </c>
      <c r="O7" s="107">
        <f t="shared" si="1"/>
        <v>0</v>
      </c>
      <c r="P7" s="104">
        <v>0</v>
      </c>
      <c r="Q7" s="88">
        <v>0</v>
      </c>
    </row>
    <row r="8" spans="1:17">
      <c r="A8" s="19" t="s">
        <v>3</v>
      </c>
      <c r="B8" s="13">
        <v>0</v>
      </c>
      <c r="C8" s="33">
        <f>IF(B$2=0,0,B8/B$2)</f>
        <v>0</v>
      </c>
      <c r="E8" s="55" t="s">
        <v>59</v>
      </c>
      <c r="F8" s="52" t="s">
        <v>22</v>
      </c>
      <c r="G8" s="40">
        <v>0</v>
      </c>
      <c r="H8" s="118">
        <f t="shared" si="0"/>
        <v>0</v>
      </c>
      <c r="I8" s="80"/>
      <c r="N8" s="100" t="s">
        <v>112</v>
      </c>
      <c r="O8" s="107">
        <f t="shared" si="1"/>
        <v>0</v>
      </c>
      <c r="P8" s="104">
        <v>0</v>
      </c>
      <c r="Q8" s="88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55" t="s">
        <v>60</v>
      </c>
      <c r="F9" s="52" t="s">
        <v>23</v>
      </c>
      <c r="G9" s="40">
        <v>0</v>
      </c>
      <c r="H9" s="118">
        <f t="shared" si="0"/>
        <v>0</v>
      </c>
      <c r="I9" s="80"/>
      <c r="N9" s="101" t="s">
        <v>162</v>
      </c>
      <c r="O9" s="108">
        <f t="shared" si="1"/>
        <v>0</v>
      </c>
      <c r="P9" s="105">
        <v>0</v>
      </c>
      <c r="Q9" s="89">
        <v>0</v>
      </c>
    </row>
    <row r="10" spans="1:17">
      <c r="A10" s="48" t="s">
        <v>156</v>
      </c>
      <c r="B10" s="41">
        <v>0</v>
      </c>
      <c r="C10" s="34">
        <f>IF(B$2=0,0,B10/B$2)</f>
        <v>0</v>
      </c>
      <c r="E10" s="55" t="s">
        <v>61</v>
      </c>
      <c r="F10" s="52" t="s">
        <v>24</v>
      </c>
      <c r="G10" s="40">
        <v>0</v>
      </c>
      <c r="H10" s="118">
        <f t="shared" si="0"/>
        <v>0</v>
      </c>
      <c r="I10" s="80"/>
      <c r="N10" s="37"/>
      <c r="O10" s="112"/>
      <c r="P10" s="96"/>
      <c r="Q10" s="94"/>
    </row>
    <row r="11" spans="1:17">
      <c r="A11" s="48" t="s">
        <v>157</v>
      </c>
      <c r="B11" s="41">
        <f>B7+B8</f>
        <v>0</v>
      </c>
      <c r="C11" s="34">
        <f>IF(B$2=0,0,B11/B$2)</f>
        <v>0</v>
      </c>
      <c r="E11" s="55" t="s">
        <v>62</v>
      </c>
      <c r="F11" s="52" t="s">
        <v>25</v>
      </c>
      <c r="G11" s="40">
        <v>0</v>
      </c>
      <c r="H11" s="118">
        <f t="shared" si="0"/>
        <v>0</v>
      </c>
      <c r="I11" s="80"/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3"/>
        <v>0</v>
      </c>
      <c r="E12" s="55" t="s">
        <v>63</v>
      </c>
      <c r="F12" s="52" t="s">
        <v>26</v>
      </c>
      <c r="G12" s="40">
        <v>0</v>
      </c>
      <c r="H12" s="118">
        <f t="shared" si="0"/>
        <v>0</v>
      </c>
      <c r="I12" s="80"/>
      <c r="N12" s="99" t="s">
        <v>130</v>
      </c>
      <c r="O12" s="109">
        <f>IF(P12=0,0,Q12/P12)</f>
        <v>0</v>
      </c>
      <c r="P12" s="103">
        <v>0</v>
      </c>
      <c r="Q12" s="91">
        <v>0</v>
      </c>
    </row>
    <row r="13" spans="1:17">
      <c r="A13" s="22" t="s">
        <v>101</v>
      </c>
      <c r="B13" s="15">
        <v>0</v>
      </c>
      <c r="C13" s="11">
        <f>IF(B$3=0,0,B13/B$3)</f>
        <v>0</v>
      </c>
      <c r="E13" s="55" t="s">
        <v>64</v>
      </c>
      <c r="F13" s="52" t="s">
        <v>27</v>
      </c>
      <c r="G13" s="40">
        <v>0</v>
      </c>
      <c r="H13" s="118">
        <f t="shared" si="0"/>
        <v>0</v>
      </c>
      <c r="I13" s="80"/>
      <c r="N13" s="100" t="s">
        <v>131</v>
      </c>
      <c r="O13" s="110">
        <f>IF(P13=0,0,Q13/P13)</f>
        <v>0</v>
      </c>
      <c r="P13" s="104">
        <v>0</v>
      </c>
      <c r="Q13" s="92">
        <v>0</v>
      </c>
    </row>
    <row r="14" spans="1:17">
      <c r="A14" s="19" t="s">
        <v>98</v>
      </c>
      <c r="B14" s="13">
        <v>0</v>
      </c>
      <c r="C14" s="6">
        <f>IF(B$3=0,0,B14/B$3)</f>
        <v>0</v>
      </c>
      <c r="E14" s="55" t="s">
        <v>65</v>
      </c>
      <c r="F14" s="52" t="s">
        <v>28</v>
      </c>
      <c r="G14" s="40">
        <v>0</v>
      </c>
      <c r="H14" s="118">
        <f t="shared" si="0"/>
        <v>0</v>
      </c>
      <c r="I14" s="80"/>
      <c r="N14" s="100" t="s">
        <v>132</v>
      </c>
      <c r="O14" s="110">
        <f>IF(P14=0,0,Q14/P14)</f>
        <v>0</v>
      </c>
      <c r="P14" s="104">
        <v>0</v>
      </c>
      <c r="Q14" s="92">
        <v>0</v>
      </c>
    </row>
    <row r="15" spans="1:17">
      <c r="A15" s="18" t="s">
        <v>103</v>
      </c>
      <c r="B15" s="12">
        <f>B21</f>
        <v>0</v>
      </c>
      <c r="C15" s="4">
        <f>IF(B$13=0,0,B15/B$13)</f>
        <v>0</v>
      </c>
      <c r="E15" s="55" t="s">
        <v>66</v>
      </c>
      <c r="F15" s="52" t="s">
        <v>29</v>
      </c>
      <c r="G15" s="40">
        <v>0</v>
      </c>
      <c r="H15" s="118">
        <f t="shared" si="0"/>
        <v>0</v>
      </c>
      <c r="I15" s="80"/>
      <c r="N15" s="101" t="s">
        <v>163</v>
      </c>
      <c r="O15" s="111">
        <f>IF(P15=0,0,Q15/P15)</f>
        <v>0</v>
      </c>
      <c r="P15" s="105">
        <v>0</v>
      </c>
      <c r="Q15" s="93">
        <v>0</v>
      </c>
    </row>
    <row r="16" spans="1:17">
      <c r="A16" s="18" t="s">
        <v>104</v>
      </c>
      <c r="B16" s="12">
        <f>B22</f>
        <v>0</v>
      </c>
      <c r="C16" s="4">
        <f>IF(B$14=0,0,B16/B$14)</f>
        <v>0</v>
      </c>
      <c r="E16" s="55" t="s">
        <v>67</v>
      </c>
      <c r="F16" s="52" t="s">
        <v>30</v>
      </c>
      <c r="G16" s="40">
        <v>0</v>
      </c>
      <c r="H16" s="118">
        <f t="shared" si="0"/>
        <v>0</v>
      </c>
      <c r="I16" s="80"/>
      <c r="N16" s="27"/>
      <c r="O16" s="95"/>
      <c r="P16" s="97"/>
      <c r="Q16" s="95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55" t="s">
        <v>68</v>
      </c>
      <c r="F17" s="52" t="s">
        <v>31</v>
      </c>
      <c r="G17" s="40">
        <v>0</v>
      </c>
      <c r="H17" s="118">
        <f t="shared" si="0"/>
        <v>0</v>
      </c>
      <c r="I17" s="80"/>
      <c r="N17" s="98" t="s">
        <v>123</v>
      </c>
      <c r="O17" s="28" t="s">
        <v>124</v>
      </c>
      <c r="P17" s="102" t="s">
        <v>125</v>
      </c>
      <c r="Q17" s="90" t="s">
        <v>126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188</v>
      </c>
      <c r="F18" s="52" t="s">
        <v>191</v>
      </c>
      <c r="G18" s="40">
        <v>0</v>
      </c>
      <c r="H18" s="118">
        <f t="shared" si="0"/>
        <v>0</v>
      </c>
      <c r="I18" s="80"/>
      <c r="N18" s="99"/>
      <c r="O18" s="109"/>
      <c r="P18" s="103"/>
      <c r="Q18" s="91"/>
    </row>
    <row r="19" spans="1:17">
      <c r="A19" s="19" t="s">
        <v>12</v>
      </c>
      <c r="B19" s="13">
        <v>0</v>
      </c>
      <c r="C19" s="6">
        <f>IF(B$17=0,0,B19/B$17)</f>
        <v>0</v>
      </c>
      <c r="E19" s="55" t="s">
        <v>69</v>
      </c>
      <c r="F19" s="52" t="s">
        <v>32</v>
      </c>
      <c r="G19" s="40">
        <v>0</v>
      </c>
      <c r="H19" s="118">
        <f t="shared" si="0"/>
        <v>0</v>
      </c>
      <c r="I19" s="80"/>
    </row>
    <row r="20" spans="1:17">
      <c r="A20" s="19" t="s">
        <v>11</v>
      </c>
      <c r="B20" s="13">
        <v>0</v>
      </c>
      <c r="C20" s="6">
        <f>IF(B$17=0,0,B20/B$17)</f>
        <v>0</v>
      </c>
      <c r="E20" s="55" t="s">
        <v>70</v>
      </c>
      <c r="F20" s="52" t="s">
        <v>33</v>
      </c>
      <c r="G20" s="40">
        <v>0</v>
      </c>
      <c r="H20" s="118">
        <f t="shared" si="0"/>
        <v>0</v>
      </c>
      <c r="I20" s="80"/>
    </row>
    <row r="21" spans="1:17">
      <c r="A21" s="47" t="s">
        <v>155</v>
      </c>
      <c r="B21" s="40">
        <v>0</v>
      </c>
      <c r="C21" s="33">
        <f>IF(B$17=0,0,B21/B$17)</f>
        <v>0</v>
      </c>
      <c r="E21" s="55" t="s">
        <v>71</v>
      </c>
      <c r="F21" s="52" t="s">
        <v>34</v>
      </c>
      <c r="G21" s="40">
        <v>0</v>
      </c>
      <c r="H21" s="118">
        <f t="shared" si="0"/>
        <v>0</v>
      </c>
      <c r="I21" s="80"/>
    </row>
    <row r="22" spans="1:17">
      <c r="A22" s="47" t="s">
        <v>153</v>
      </c>
      <c r="B22" s="40">
        <v>0</v>
      </c>
      <c r="C22" s="33">
        <f>IF(B$17=0,0,B22/B$17)</f>
        <v>0</v>
      </c>
      <c r="E22" s="55" t="s">
        <v>72</v>
      </c>
      <c r="F22" s="52" t="s">
        <v>35</v>
      </c>
      <c r="G22" s="40">
        <v>0</v>
      </c>
      <c r="H22" s="118">
        <f t="shared" si="0"/>
        <v>0</v>
      </c>
      <c r="I22" s="80"/>
    </row>
    <row r="23" spans="1:17">
      <c r="A23" s="19" t="s">
        <v>154</v>
      </c>
      <c r="B23" s="40">
        <v>0</v>
      </c>
      <c r="C23" s="33">
        <f>IF(B$17=0,0,B23/B$17)</f>
        <v>0</v>
      </c>
      <c r="E23" s="55" t="s">
        <v>73</v>
      </c>
      <c r="F23" s="52" t="s">
        <v>36</v>
      </c>
      <c r="G23" s="40">
        <v>0</v>
      </c>
      <c r="H23" s="118">
        <f t="shared" si="0"/>
        <v>0</v>
      </c>
      <c r="I23" s="80"/>
    </row>
    <row r="24" spans="1:17">
      <c r="A24" s="19" t="s">
        <v>5</v>
      </c>
      <c r="B24" s="16">
        <f>IF(B$17=0,0,C24/B$17)</f>
        <v>0</v>
      </c>
      <c r="C24" s="8">
        <v>0</v>
      </c>
      <c r="E24" s="55" t="s">
        <v>74</v>
      </c>
      <c r="F24" s="52" t="s">
        <v>37</v>
      </c>
      <c r="G24" s="40">
        <v>0</v>
      </c>
      <c r="H24" s="118">
        <f t="shared" si="0"/>
        <v>0</v>
      </c>
      <c r="I24" s="80"/>
    </row>
    <row r="25" spans="1:17">
      <c r="A25" s="48" t="s">
        <v>137</v>
      </c>
      <c r="B25" s="121">
        <f>IF($B$17-B$16=0,0,C25/($B$17-B$16))</f>
        <v>0</v>
      </c>
      <c r="C25" s="122">
        <v>0</v>
      </c>
      <c r="E25" s="55" t="s">
        <v>75</v>
      </c>
      <c r="F25" s="52" t="s">
        <v>38</v>
      </c>
      <c r="G25" s="40">
        <v>0</v>
      </c>
      <c r="H25" s="118">
        <f t="shared" si="0"/>
        <v>0</v>
      </c>
      <c r="I25" s="80"/>
    </row>
    <row r="26" spans="1:17">
      <c r="A26" s="48" t="s">
        <v>138</v>
      </c>
      <c r="B26" s="121">
        <f>IF(B$16=0,0,C26/B$16)</f>
        <v>0</v>
      </c>
      <c r="C26" s="122">
        <v>0</v>
      </c>
      <c r="E26" s="55" t="s">
        <v>76</v>
      </c>
      <c r="F26" s="52" t="s">
        <v>39</v>
      </c>
      <c r="G26" s="40">
        <v>0</v>
      </c>
      <c r="H26" s="118">
        <f t="shared" si="0"/>
        <v>0</v>
      </c>
      <c r="I26" s="80"/>
    </row>
    <row r="27" spans="1:17">
      <c r="A27" s="48" t="s">
        <v>136</v>
      </c>
      <c r="B27" s="121">
        <f>IF(B$18=0,0,C27/B$18)</f>
        <v>0</v>
      </c>
      <c r="C27" s="122">
        <v>0</v>
      </c>
      <c r="E27" s="55" t="s">
        <v>77</v>
      </c>
      <c r="F27" s="52" t="s">
        <v>40</v>
      </c>
      <c r="G27" s="40">
        <v>0</v>
      </c>
      <c r="H27" s="118">
        <f t="shared" si="0"/>
        <v>0</v>
      </c>
      <c r="I27" s="80"/>
    </row>
    <row r="28" spans="1:17">
      <c r="A28" s="47" t="s">
        <v>134</v>
      </c>
      <c r="B28" s="40">
        <v>0</v>
      </c>
      <c r="C28" s="120">
        <v>0</v>
      </c>
      <c r="E28" s="55" t="s">
        <v>78</v>
      </c>
      <c r="F28" s="52" t="s">
        <v>41</v>
      </c>
      <c r="G28" s="40">
        <v>0</v>
      </c>
      <c r="H28" s="118">
        <f t="shared" si="0"/>
        <v>0</v>
      </c>
      <c r="I28" s="80"/>
    </row>
    <row r="29" spans="1:17">
      <c r="A29" s="47" t="s">
        <v>135</v>
      </c>
      <c r="B29" s="40">
        <v>0</v>
      </c>
      <c r="C29" s="120">
        <v>0</v>
      </c>
      <c r="E29" s="55" t="s">
        <v>79</v>
      </c>
      <c r="F29" s="52" t="s">
        <v>42</v>
      </c>
      <c r="G29" s="40">
        <v>0</v>
      </c>
      <c r="H29" s="118">
        <f t="shared" si="0"/>
        <v>0</v>
      </c>
      <c r="I29" s="80"/>
    </row>
    <row r="30" spans="1:17">
      <c r="A30" s="76" t="s">
        <v>115</v>
      </c>
      <c r="B30" s="142">
        <v>0</v>
      </c>
      <c r="C30" s="143"/>
      <c r="E30" s="55" t="s">
        <v>80</v>
      </c>
      <c r="F30" s="52" t="s">
        <v>43</v>
      </c>
      <c r="G30" s="40">
        <v>0</v>
      </c>
      <c r="H30" s="118">
        <f t="shared" si="0"/>
        <v>0</v>
      </c>
      <c r="I30" s="80"/>
    </row>
    <row r="31" spans="1:17">
      <c r="A31" s="50" t="s">
        <v>152</v>
      </c>
      <c r="B31" s="144">
        <v>-1000000</v>
      </c>
      <c r="C31" s="145"/>
      <c r="E31" s="55" t="s">
        <v>81</v>
      </c>
      <c r="F31" s="52" t="s">
        <v>44</v>
      </c>
      <c r="G31" s="40">
        <v>0</v>
      </c>
      <c r="H31" s="118">
        <f t="shared" si="0"/>
        <v>0</v>
      </c>
      <c r="I31" s="80"/>
    </row>
    <row r="32" spans="1:17">
      <c r="A32" s="21" t="s">
        <v>116</v>
      </c>
      <c r="B32" s="26">
        <v>0</v>
      </c>
      <c r="C32" s="9">
        <f>IF(B$3=0,0,B32/B$3)</f>
        <v>0</v>
      </c>
      <c r="E32" s="55" t="s">
        <v>82</v>
      </c>
      <c r="F32" s="52" t="s">
        <v>45</v>
      </c>
      <c r="G32" s="40">
        <v>0</v>
      </c>
      <c r="H32" s="118">
        <f t="shared" si="0"/>
        <v>0</v>
      </c>
      <c r="I32" s="80"/>
    </row>
    <row r="33" spans="1:9">
      <c r="E33" s="55" t="s">
        <v>83</v>
      </c>
      <c r="F33" s="52" t="s">
        <v>46</v>
      </c>
      <c r="G33" s="40">
        <v>0</v>
      </c>
      <c r="H33" s="118">
        <f t="shared" si="0"/>
        <v>0</v>
      </c>
      <c r="I33" s="80"/>
    </row>
    <row r="34" spans="1:9">
      <c r="A34" s="129" t="s">
        <v>176</v>
      </c>
      <c r="B34" s="130" t="s">
        <v>177</v>
      </c>
      <c r="C34" s="131" t="s">
        <v>178</v>
      </c>
      <c r="E34" s="55" t="s">
        <v>84</v>
      </c>
      <c r="F34" s="52" t="s">
        <v>47</v>
      </c>
      <c r="G34" s="40">
        <v>0</v>
      </c>
      <c r="H34" s="118">
        <f t="shared" si="0"/>
        <v>0</v>
      </c>
      <c r="I34" s="80"/>
    </row>
    <row r="35" spans="1:9">
      <c r="A35" s="76" t="s">
        <v>143</v>
      </c>
      <c r="B35" s="123">
        <v>0</v>
      </c>
      <c r="C35" s="126">
        <f t="shared" ref="C35:C47" si="4">IF(B$17=0,0,B35/B$17)</f>
        <v>0</v>
      </c>
      <c r="E35" s="55" t="s">
        <v>85</v>
      </c>
      <c r="F35" s="52" t="s">
        <v>48</v>
      </c>
      <c r="G35" s="40">
        <v>0</v>
      </c>
      <c r="H35" s="118">
        <f t="shared" si="0"/>
        <v>0</v>
      </c>
      <c r="I35" s="80"/>
    </row>
    <row r="36" spans="1:9">
      <c r="A36" s="47" t="s">
        <v>139</v>
      </c>
      <c r="B36" s="40">
        <v>0</v>
      </c>
      <c r="C36" s="33">
        <f t="shared" si="4"/>
        <v>0</v>
      </c>
      <c r="E36" s="55" t="s">
        <v>86</v>
      </c>
      <c r="F36" s="52" t="s">
        <v>49</v>
      </c>
      <c r="G36" s="40">
        <v>0</v>
      </c>
      <c r="H36" s="118">
        <f t="shared" si="0"/>
        <v>0</v>
      </c>
      <c r="I36" s="80"/>
    </row>
    <row r="37" spans="1:9">
      <c r="A37" s="47" t="s">
        <v>140</v>
      </c>
      <c r="B37" s="124">
        <v>0</v>
      </c>
      <c r="C37" s="33">
        <f t="shared" si="4"/>
        <v>0</v>
      </c>
      <c r="E37" s="55" t="s">
        <v>87</v>
      </c>
      <c r="F37" s="52" t="s">
        <v>50</v>
      </c>
      <c r="G37" s="40">
        <v>0</v>
      </c>
      <c r="H37" s="118">
        <f t="shared" si="0"/>
        <v>0</v>
      </c>
      <c r="I37" s="80"/>
    </row>
    <row r="38" spans="1:9">
      <c r="A38" s="47" t="s">
        <v>141</v>
      </c>
      <c r="B38" s="124">
        <v>0</v>
      </c>
      <c r="C38" s="33">
        <f t="shared" si="4"/>
        <v>0</v>
      </c>
      <c r="E38" s="55" t="s">
        <v>88</v>
      </c>
      <c r="F38" s="52" t="s">
        <v>51</v>
      </c>
      <c r="G38" s="40">
        <v>0</v>
      </c>
      <c r="H38" s="118">
        <f t="shared" si="0"/>
        <v>0</v>
      </c>
      <c r="I38" s="80"/>
    </row>
    <row r="39" spans="1:9">
      <c r="A39" s="47" t="s">
        <v>142</v>
      </c>
      <c r="B39" s="124">
        <v>0</v>
      </c>
      <c r="C39" s="33">
        <f t="shared" si="4"/>
        <v>0</v>
      </c>
      <c r="E39" s="55" t="s">
        <v>89</v>
      </c>
      <c r="F39" s="52" t="s">
        <v>52</v>
      </c>
      <c r="G39" s="40">
        <v>0</v>
      </c>
      <c r="H39" s="118">
        <f t="shared" si="0"/>
        <v>0</v>
      </c>
      <c r="I39" s="80"/>
    </row>
    <row r="40" spans="1:9">
      <c r="A40" s="47" t="s">
        <v>144</v>
      </c>
      <c r="B40" s="124">
        <v>0</v>
      </c>
      <c r="C40" s="33">
        <f t="shared" si="4"/>
        <v>0</v>
      </c>
      <c r="E40" s="55" t="s">
        <v>90</v>
      </c>
      <c r="F40" s="52" t="s">
        <v>53</v>
      </c>
      <c r="G40" s="40">
        <v>0</v>
      </c>
      <c r="H40" s="118">
        <f t="shared" si="0"/>
        <v>0</v>
      </c>
      <c r="I40" s="80"/>
    </row>
    <row r="41" spans="1:9">
      <c r="A41" s="47" t="s">
        <v>145</v>
      </c>
      <c r="B41" s="124">
        <v>0</v>
      </c>
      <c r="C41" s="33">
        <f t="shared" si="4"/>
        <v>0</v>
      </c>
      <c r="E41" s="55" t="s">
        <v>91</v>
      </c>
      <c r="F41" s="52" t="s">
        <v>54</v>
      </c>
      <c r="G41" s="40">
        <v>0</v>
      </c>
      <c r="H41" s="118">
        <f t="shared" si="0"/>
        <v>0</v>
      </c>
      <c r="I41" s="80"/>
    </row>
    <row r="42" spans="1:9">
      <c r="A42" s="47" t="s">
        <v>146</v>
      </c>
      <c r="B42" s="124">
        <v>0</v>
      </c>
      <c r="C42" s="33">
        <f t="shared" si="4"/>
        <v>0</v>
      </c>
      <c r="E42" s="55" t="s">
        <v>92</v>
      </c>
      <c r="F42" s="52" t="s">
        <v>192</v>
      </c>
      <c r="G42" s="40">
        <v>0</v>
      </c>
      <c r="H42" s="118">
        <f t="shared" si="0"/>
        <v>0</v>
      </c>
      <c r="I42" s="80"/>
    </row>
    <row r="43" spans="1:9">
      <c r="A43" s="47" t="s">
        <v>147</v>
      </c>
      <c r="B43" s="124">
        <v>0</v>
      </c>
      <c r="C43" s="33">
        <f t="shared" si="4"/>
        <v>0</v>
      </c>
      <c r="E43" s="55" t="s">
        <v>93</v>
      </c>
      <c r="F43" s="52" t="s">
        <v>193</v>
      </c>
      <c r="G43" s="40">
        <v>0</v>
      </c>
      <c r="H43" s="118">
        <f t="shared" si="0"/>
        <v>0</v>
      </c>
      <c r="I43" s="80"/>
    </row>
    <row r="44" spans="1:9">
      <c r="A44" s="47" t="s">
        <v>148</v>
      </c>
      <c r="B44" s="124">
        <v>0</v>
      </c>
      <c r="C44" s="33">
        <f t="shared" si="4"/>
        <v>0</v>
      </c>
      <c r="E44" s="55" t="s">
        <v>94</v>
      </c>
      <c r="F44" s="52" t="s">
        <v>194</v>
      </c>
      <c r="G44" s="40">
        <v>0</v>
      </c>
      <c r="H44" s="118">
        <f t="shared" si="0"/>
        <v>0</v>
      </c>
      <c r="I44" s="80"/>
    </row>
    <row r="45" spans="1:9">
      <c r="A45" s="47" t="s">
        <v>149</v>
      </c>
      <c r="B45" s="124">
        <v>0</v>
      </c>
      <c r="C45" s="33">
        <f t="shared" si="4"/>
        <v>0</v>
      </c>
      <c r="E45" s="56" t="s">
        <v>189</v>
      </c>
      <c r="F45" s="53" t="s">
        <v>195</v>
      </c>
      <c r="G45" s="42">
        <v>0</v>
      </c>
      <c r="H45" s="119">
        <f t="shared" si="0"/>
        <v>0</v>
      </c>
      <c r="I45" s="81"/>
    </row>
    <row r="46" spans="1:9">
      <c r="A46" s="47" t="s">
        <v>150</v>
      </c>
      <c r="B46" s="124">
        <v>0</v>
      </c>
      <c r="C46" s="33">
        <f t="shared" si="4"/>
        <v>0</v>
      </c>
    </row>
    <row r="47" spans="1:9">
      <c r="A47" s="49" t="s">
        <v>151</v>
      </c>
      <c r="B47" s="125">
        <v>0</v>
      </c>
      <c r="C47" s="36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798</vt:i4>
      </vt:variant>
    </vt:vector>
  </HeadingPairs>
  <TitlesOfParts>
    <vt:vector size="815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Template</vt:lpstr>
      <vt:lpstr>依田幸憲!アガリ数</vt:lpstr>
      <vt:lpstr>高野源太!アガリ数</vt:lpstr>
      <vt:lpstr>佐藤成浩!アガリ数</vt:lpstr>
      <vt:lpstr>小林郁斗!アガリ数</vt:lpstr>
      <vt:lpstr>松澤亮太!アガリ数</vt:lpstr>
      <vt:lpstr>全体!アガリ数</vt:lpstr>
      <vt:lpstr>大池陸斗!アガリ数</vt:lpstr>
      <vt:lpstr>滝沢悠人!アガリ数</vt:lpstr>
      <vt:lpstr>百瀬成空!アガリ数</vt:lpstr>
      <vt:lpstr>福澤大地!アガリ数</vt:lpstr>
      <vt:lpstr>保谷一貴!アガリ数</vt:lpstr>
      <vt:lpstr>木角有希!アガリ数</vt:lpstr>
      <vt:lpstr>矢ヶ崎健!アガリ数</vt:lpstr>
      <vt:lpstr>アガリ数</vt:lpstr>
      <vt:lpstr>依田幸憲!アガリ率</vt:lpstr>
      <vt:lpstr>高野源太!アガリ率</vt:lpstr>
      <vt:lpstr>佐藤成浩!アガリ率</vt:lpstr>
      <vt:lpstr>小林郁斗!アガリ率</vt:lpstr>
      <vt:lpstr>松澤亮太!アガリ率</vt:lpstr>
      <vt:lpstr>全体!アガリ率</vt:lpstr>
      <vt:lpstr>大池陸斗!アガリ率</vt:lpstr>
      <vt:lpstr>滝沢悠人!アガリ率</vt:lpstr>
      <vt:lpstr>百瀬成空!アガリ率</vt:lpstr>
      <vt:lpstr>福澤大地!アガリ率</vt:lpstr>
      <vt:lpstr>保谷一貴!アガリ率</vt:lpstr>
      <vt:lpstr>木角有希!アガリ率</vt:lpstr>
      <vt:lpstr>矢ヶ崎健!アガリ率</vt:lpstr>
      <vt:lpstr>アガリ率</vt:lpstr>
      <vt:lpstr>依田幸憲!ダマアガリ数</vt:lpstr>
      <vt:lpstr>高野源太!ダマアガリ数</vt:lpstr>
      <vt:lpstr>佐藤成浩!ダマアガリ数</vt:lpstr>
      <vt:lpstr>小林郁斗!ダマアガリ数</vt:lpstr>
      <vt:lpstr>松澤亮太!ダマアガリ数</vt:lpstr>
      <vt:lpstr>全体!ダマアガリ数</vt:lpstr>
      <vt:lpstr>大池陸斗!ダマアガリ数</vt:lpstr>
      <vt:lpstr>滝沢悠人!ダマアガリ数</vt:lpstr>
      <vt:lpstr>百瀬成空!ダマアガリ数</vt:lpstr>
      <vt:lpstr>福澤大地!ダマアガリ数</vt:lpstr>
      <vt:lpstr>保谷一貴!ダマアガリ数</vt:lpstr>
      <vt:lpstr>木角有希!ダマアガリ数</vt:lpstr>
      <vt:lpstr>矢ヶ崎健!ダマアガリ数</vt:lpstr>
      <vt:lpstr>ダマアガリ数</vt:lpstr>
      <vt:lpstr>依田幸憲!ダマアガリ率</vt:lpstr>
      <vt:lpstr>高野源太!ダマアガリ率</vt:lpstr>
      <vt:lpstr>佐藤成浩!ダマアガリ率</vt:lpstr>
      <vt:lpstr>小林郁斗!ダマアガリ率</vt:lpstr>
      <vt:lpstr>松澤亮太!ダマアガリ率</vt:lpstr>
      <vt:lpstr>全体!ダマアガリ率</vt:lpstr>
      <vt:lpstr>大池陸斗!ダマアガリ率</vt:lpstr>
      <vt:lpstr>滝沢悠人!ダマアガリ率</vt:lpstr>
      <vt:lpstr>百瀬成空!ダマアガリ率</vt:lpstr>
      <vt:lpstr>福澤大地!ダマアガリ率</vt:lpstr>
      <vt:lpstr>保谷一貴!ダマアガリ率</vt:lpstr>
      <vt:lpstr>木角有希!ダマアガリ率</vt:lpstr>
      <vt:lpstr>矢ヶ崎健!ダマアガリ率</vt:lpstr>
      <vt:lpstr>ダマアガリ率</vt:lpstr>
      <vt:lpstr>依田幸憲!チョンボ数</vt:lpstr>
      <vt:lpstr>高野源太!チョンボ数</vt:lpstr>
      <vt:lpstr>佐藤成浩!チョンボ数</vt:lpstr>
      <vt:lpstr>小林郁斗!チョンボ数</vt:lpstr>
      <vt:lpstr>松澤亮太!チョンボ数</vt:lpstr>
      <vt:lpstr>全体!チョンボ数</vt:lpstr>
      <vt:lpstr>大池陸斗!チョンボ数</vt:lpstr>
      <vt:lpstr>滝沢悠人!チョンボ数</vt:lpstr>
      <vt:lpstr>百瀬成空!チョンボ数</vt:lpstr>
      <vt:lpstr>福澤大地!チョンボ数</vt:lpstr>
      <vt:lpstr>保谷一貴!チョンボ数</vt:lpstr>
      <vt:lpstr>木角有希!チョンボ数</vt:lpstr>
      <vt:lpstr>矢ヶ崎健!チョンボ数</vt:lpstr>
      <vt:lpstr>チョンボ数</vt:lpstr>
      <vt:lpstr>依田幸憲!チョンボ率</vt:lpstr>
      <vt:lpstr>高野源太!チョンボ率</vt:lpstr>
      <vt:lpstr>佐藤成浩!チョンボ率</vt:lpstr>
      <vt:lpstr>小林郁斗!チョンボ率</vt:lpstr>
      <vt:lpstr>松澤亮太!チョンボ率</vt:lpstr>
      <vt:lpstr>全体!チョンボ率</vt:lpstr>
      <vt:lpstr>大池陸斗!チョンボ率</vt:lpstr>
      <vt:lpstr>滝沢悠人!チョンボ率</vt:lpstr>
      <vt:lpstr>百瀬成空!チョンボ率</vt:lpstr>
      <vt:lpstr>福澤大地!チョンボ率</vt:lpstr>
      <vt:lpstr>保谷一貴!チョンボ率</vt:lpstr>
      <vt:lpstr>木角有希!チョンボ率</vt:lpstr>
      <vt:lpstr>矢ヶ崎健!チョンボ率</vt:lpstr>
      <vt:lpstr>チョンボ率</vt:lpstr>
      <vt:lpstr>依田幸憲!ツモ数</vt:lpstr>
      <vt:lpstr>高野源太!ツモ数</vt:lpstr>
      <vt:lpstr>佐藤成浩!ツモ数</vt:lpstr>
      <vt:lpstr>小林郁斗!ツモ数</vt:lpstr>
      <vt:lpstr>松澤亮太!ツモ数</vt:lpstr>
      <vt:lpstr>全体!ツモ数</vt:lpstr>
      <vt:lpstr>大池陸斗!ツモ数</vt:lpstr>
      <vt:lpstr>滝沢悠人!ツモ数</vt:lpstr>
      <vt:lpstr>百瀬成空!ツモ数</vt:lpstr>
      <vt:lpstr>福澤大地!ツモ数</vt:lpstr>
      <vt:lpstr>保谷一貴!ツモ数</vt:lpstr>
      <vt:lpstr>木角有希!ツモ数</vt:lpstr>
      <vt:lpstr>矢ヶ崎健!ツモ数</vt:lpstr>
      <vt:lpstr>ツモ数</vt:lpstr>
      <vt:lpstr>依田幸憲!ツモ率</vt:lpstr>
      <vt:lpstr>高野源太!ツモ率</vt:lpstr>
      <vt:lpstr>佐藤成浩!ツモ率</vt:lpstr>
      <vt:lpstr>小林郁斗!ツモ率</vt:lpstr>
      <vt:lpstr>松澤亮太!ツモ率</vt:lpstr>
      <vt:lpstr>全体!ツモ率</vt:lpstr>
      <vt:lpstr>大池陸斗!ツモ率</vt:lpstr>
      <vt:lpstr>滝沢悠人!ツモ率</vt:lpstr>
      <vt:lpstr>百瀬成空!ツモ率</vt:lpstr>
      <vt:lpstr>福澤大地!ツモ率</vt:lpstr>
      <vt:lpstr>保谷一貴!ツモ率</vt:lpstr>
      <vt:lpstr>木角有希!ツモ率</vt:lpstr>
      <vt:lpstr>矢ヶ崎健!ツモ率</vt:lpstr>
      <vt:lpstr>ツモ率</vt:lpstr>
      <vt:lpstr>依田幸憲!トップ数</vt:lpstr>
      <vt:lpstr>高野源太!トップ数</vt:lpstr>
      <vt:lpstr>佐藤成浩!トップ数</vt:lpstr>
      <vt:lpstr>小林郁斗!トップ数</vt:lpstr>
      <vt:lpstr>松澤亮太!トップ数</vt:lpstr>
      <vt:lpstr>全体!トップ数</vt:lpstr>
      <vt:lpstr>大池陸斗!トップ数</vt:lpstr>
      <vt:lpstr>滝沢悠人!トップ数</vt:lpstr>
      <vt:lpstr>百瀬成空!トップ数</vt:lpstr>
      <vt:lpstr>福澤大地!トップ数</vt:lpstr>
      <vt:lpstr>保谷一貴!トップ数</vt:lpstr>
      <vt:lpstr>木角有希!トップ数</vt:lpstr>
      <vt:lpstr>矢ヶ崎健!トップ数</vt:lpstr>
      <vt:lpstr>トップ数</vt:lpstr>
      <vt:lpstr>依田幸憲!トップ率</vt:lpstr>
      <vt:lpstr>高野源太!トップ率</vt:lpstr>
      <vt:lpstr>佐藤成浩!トップ率</vt:lpstr>
      <vt:lpstr>小林郁斗!トップ率</vt:lpstr>
      <vt:lpstr>松澤亮太!トップ率</vt:lpstr>
      <vt:lpstr>全体!トップ率</vt:lpstr>
      <vt:lpstr>大池陸斗!トップ率</vt:lpstr>
      <vt:lpstr>滝沢悠人!トップ率</vt:lpstr>
      <vt:lpstr>百瀬成空!トップ率</vt:lpstr>
      <vt:lpstr>福澤大地!トップ率</vt:lpstr>
      <vt:lpstr>保谷一貴!トップ率</vt:lpstr>
      <vt:lpstr>木角有希!トップ率</vt:lpstr>
      <vt:lpstr>矢ヶ崎健!トップ率</vt:lpstr>
      <vt:lpstr>トップ率</vt:lpstr>
      <vt:lpstr>依田幸憲!ふっとび数</vt:lpstr>
      <vt:lpstr>高野源太!ふっとび数</vt:lpstr>
      <vt:lpstr>佐藤成浩!ふっとび数</vt:lpstr>
      <vt:lpstr>小林郁斗!ふっとび数</vt:lpstr>
      <vt:lpstr>松澤亮太!ふっとび数</vt:lpstr>
      <vt:lpstr>全体!ふっとび数</vt:lpstr>
      <vt:lpstr>大池陸斗!ふっとび数</vt:lpstr>
      <vt:lpstr>滝沢悠人!ふっとび数</vt:lpstr>
      <vt:lpstr>百瀬成空!ふっとび数</vt:lpstr>
      <vt:lpstr>福澤大地!ふっとび数</vt:lpstr>
      <vt:lpstr>保谷一貴!ふっとび数</vt:lpstr>
      <vt:lpstr>木角有希!ふっとび数</vt:lpstr>
      <vt:lpstr>矢ヶ崎健!ふっとび数</vt:lpstr>
      <vt:lpstr>ふっとび数</vt:lpstr>
      <vt:lpstr>依田幸憲!ふっとび率</vt:lpstr>
      <vt:lpstr>高野源太!ふっとび率</vt:lpstr>
      <vt:lpstr>佐藤成浩!ふっとび率</vt:lpstr>
      <vt:lpstr>小林郁斗!ふっとび率</vt:lpstr>
      <vt:lpstr>松澤亮太!ふっとび率</vt:lpstr>
      <vt:lpstr>全体!ふっとび率</vt:lpstr>
      <vt:lpstr>大池陸斗!ふっとび率</vt:lpstr>
      <vt:lpstr>滝沢悠人!ふっとび率</vt:lpstr>
      <vt:lpstr>百瀬成空!ふっとび率</vt:lpstr>
      <vt:lpstr>福澤大地!ふっとび率</vt:lpstr>
      <vt:lpstr>保谷一貴!ふっとび率</vt:lpstr>
      <vt:lpstr>木角有希!ふっとび率</vt:lpstr>
      <vt:lpstr>矢ヶ崎健!ふっとび率</vt:lpstr>
      <vt:lpstr>ふっとび率</vt:lpstr>
      <vt:lpstr>依田幸憲!ラス数</vt:lpstr>
      <vt:lpstr>高野源太!ラス数</vt:lpstr>
      <vt:lpstr>佐藤成浩!ラス数</vt:lpstr>
      <vt:lpstr>小林郁斗!ラス数</vt:lpstr>
      <vt:lpstr>松澤亮太!ラス数</vt:lpstr>
      <vt:lpstr>全体!ラス数</vt:lpstr>
      <vt:lpstr>大池陸斗!ラス数</vt:lpstr>
      <vt:lpstr>滝沢悠人!ラス数</vt:lpstr>
      <vt:lpstr>百瀬成空!ラス数</vt:lpstr>
      <vt:lpstr>福澤大地!ラス数</vt:lpstr>
      <vt:lpstr>保谷一貴!ラス数</vt:lpstr>
      <vt:lpstr>木角有希!ラス数</vt:lpstr>
      <vt:lpstr>矢ヶ崎健!ラス数</vt:lpstr>
      <vt:lpstr>ラス数</vt:lpstr>
      <vt:lpstr>依田幸憲!ラス率</vt:lpstr>
      <vt:lpstr>高野源太!ラス率</vt:lpstr>
      <vt:lpstr>佐藤成浩!ラス率</vt:lpstr>
      <vt:lpstr>小林郁斗!ラス率</vt:lpstr>
      <vt:lpstr>松澤亮太!ラス率</vt:lpstr>
      <vt:lpstr>全体!ラス率</vt:lpstr>
      <vt:lpstr>大池陸斗!ラス率</vt:lpstr>
      <vt:lpstr>滝沢悠人!ラス率</vt:lpstr>
      <vt:lpstr>百瀬成空!ラス率</vt:lpstr>
      <vt:lpstr>福澤大地!ラス率</vt:lpstr>
      <vt:lpstr>保谷一貴!ラス率</vt:lpstr>
      <vt:lpstr>木角有希!ラス率</vt:lpstr>
      <vt:lpstr>矢ヶ崎健!ラス率</vt:lpstr>
      <vt:lpstr>ラス率</vt:lpstr>
      <vt:lpstr>依田幸憲!リーチアガリ数</vt:lpstr>
      <vt:lpstr>高野源太!リーチアガリ数</vt:lpstr>
      <vt:lpstr>佐藤成浩!リーチアガリ数</vt:lpstr>
      <vt:lpstr>小林郁斗!リーチアガリ数</vt:lpstr>
      <vt:lpstr>松澤亮太!リーチアガリ数</vt:lpstr>
      <vt:lpstr>全体!リーチアガリ数</vt:lpstr>
      <vt:lpstr>大池陸斗!リーチアガリ数</vt:lpstr>
      <vt:lpstr>滝沢悠人!リーチアガリ数</vt:lpstr>
      <vt:lpstr>百瀬成空!リーチアガリ数</vt:lpstr>
      <vt:lpstr>福澤大地!リーチアガリ数</vt:lpstr>
      <vt:lpstr>保谷一貴!リーチアガリ数</vt:lpstr>
      <vt:lpstr>木角有希!リーチアガリ数</vt:lpstr>
      <vt:lpstr>矢ヶ崎健!リーチアガリ数</vt:lpstr>
      <vt:lpstr>リーチアガリ数</vt:lpstr>
      <vt:lpstr>依田幸憲!リーチアガリ率</vt:lpstr>
      <vt:lpstr>高野源太!リーチアガリ率</vt:lpstr>
      <vt:lpstr>佐藤成浩!リーチアガリ率</vt:lpstr>
      <vt:lpstr>小林郁斗!リーチアガリ率</vt:lpstr>
      <vt:lpstr>松澤亮太!リーチアガリ率</vt:lpstr>
      <vt:lpstr>全体!リーチアガリ率</vt:lpstr>
      <vt:lpstr>大池陸斗!リーチアガリ率</vt:lpstr>
      <vt:lpstr>滝沢悠人!リーチアガリ率</vt:lpstr>
      <vt:lpstr>百瀬成空!リーチアガリ率</vt:lpstr>
      <vt:lpstr>福澤大地!リーチアガリ率</vt:lpstr>
      <vt:lpstr>保谷一貴!リーチアガリ率</vt:lpstr>
      <vt:lpstr>木角有希!リーチアガリ率</vt:lpstr>
      <vt:lpstr>矢ヶ崎健!リーチアガリ率</vt:lpstr>
      <vt:lpstr>リーチアガリ率</vt:lpstr>
      <vt:lpstr>依田幸憲!リーチ数</vt:lpstr>
      <vt:lpstr>高野源太!リーチ数</vt:lpstr>
      <vt:lpstr>佐藤成浩!リーチ数</vt:lpstr>
      <vt:lpstr>小林郁斗!リーチ数</vt:lpstr>
      <vt:lpstr>松澤亮太!リーチ数</vt:lpstr>
      <vt:lpstr>全体!リーチ数</vt:lpstr>
      <vt:lpstr>大池陸斗!リーチ数</vt:lpstr>
      <vt:lpstr>滝沢悠人!リーチ数</vt:lpstr>
      <vt:lpstr>百瀬成空!リーチ数</vt:lpstr>
      <vt:lpstr>福澤大地!リーチ数</vt:lpstr>
      <vt:lpstr>保谷一貴!リーチ数</vt:lpstr>
      <vt:lpstr>木角有希!リーチ数</vt:lpstr>
      <vt:lpstr>矢ヶ崎健!リーチ数</vt:lpstr>
      <vt:lpstr>リーチ数</vt:lpstr>
      <vt:lpstr>依田幸憲!リーチ成功数</vt:lpstr>
      <vt:lpstr>高野源太!リーチ成功数</vt:lpstr>
      <vt:lpstr>佐藤成浩!リーチ成功数</vt:lpstr>
      <vt:lpstr>小林郁斗!リーチ成功数</vt:lpstr>
      <vt:lpstr>松澤亮太!リーチ成功数</vt:lpstr>
      <vt:lpstr>全体!リーチ成功数</vt:lpstr>
      <vt:lpstr>大池陸斗!リーチ成功数</vt:lpstr>
      <vt:lpstr>滝沢悠人!リーチ成功数</vt:lpstr>
      <vt:lpstr>百瀬成空!リーチ成功数</vt:lpstr>
      <vt:lpstr>福澤大地!リーチ成功数</vt:lpstr>
      <vt:lpstr>保谷一貴!リーチ成功数</vt:lpstr>
      <vt:lpstr>木角有希!リーチ成功数</vt:lpstr>
      <vt:lpstr>矢ヶ崎健!リーチ成功数</vt:lpstr>
      <vt:lpstr>リーチ成功数</vt:lpstr>
      <vt:lpstr>依田幸憲!リーチ成功率</vt:lpstr>
      <vt:lpstr>高野源太!リーチ成功率</vt:lpstr>
      <vt:lpstr>佐藤成浩!リーチ成功率</vt:lpstr>
      <vt:lpstr>小林郁斗!リーチ成功率</vt:lpstr>
      <vt:lpstr>松澤亮太!リーチ成功率</vt:lpstr>
      <vt:lpstr>全体!リーチ成功率</vt:lpstr>
      <vt:lpstr>大池陸斗!リーチ成功率</vt:lpstr>
      <vt:lpstr>滝沢悠人!リーチ成功率</vt:lpstr>
      <vt:lpstr>百瀬成空!リーチ成功率</vt:lpstr>
      <vt:lpstr>福澤大地!リーチ成功率</vt:lpstr>
      <vt:lpstr>保谷一貴!リーチ成功率</vt:lpstr>
      <vt:lpstr>木角有希!リーチ成功率</vt:lpstr>
      <vt:lpstr>矢ヶ崎健!リーチ成功率</vt:lpstr>
      <vt:lpstr>リーチ成功率</vt:lpstr>
      <vt:lpstr>依田幸憲!リーチ率</vt:lpstr>
      <vt:lpstr>高野源太!リーチ率</vt:lpstr>
      <vt:lpstr>佐藤成浩!リーチ率</vt:lpstr>
      <vt:lpstr>小林郁斗!リーチ率</vt:lpstr>
      <vt:lpstr>松澤亮太!リーチ率</vt:lpstr>
      <vt:lpstr>全体!リーチ率</vt:lpstr>
      <vt:lpstr>大池陸斗!リーチ率</vt:lpstr>
      <vt:lpstr>滝沢悠人!リーチ率</vt:lpstr>
      <vt:lpstr>百瀬成空!リーチ率</vt:lpstr>
      <vt:lpstr>福澤大地!リーチ率</vt:lpstr>
      <vt:lpstr>保谷一貴!リーチ率</vt:lpstr>
      <vt:lpstr>木角有希!リーチ率</vt:lpstr>
      <vt:lpstr>矢ヶ崎健!リーチ率</vt:lpstr>
      <vt:lpstr>リーチ率</vt:lpstr>
      <vt:lpstr>依田幸憲!ロン数</vt:lpstr>
      <vt:lpstr>高野源太!ロン数</vt:lpstr>
      <vt:lpstr>佐藤成浩!ロン数</vt:lpstr>
      <vt:lpstr>小林郁斗!ロン数</vt:lpstr>
      <vt:lpstr>松澤亮太!ロン数</vt:lpstr>
      <vt:lpstr>全体!ロン数</vt:lpstr>
      <vt:lpstr>大池陸斗!ロン数</vt:lpstr>
      <vt:lpstr>滝沢悠人!ロン数</vt:lpstr>
      <vt:lpstr>百瀬成空!ロン数</vt:lpstr>
      <vt:lpstr>福澤大地!ロン数</vt:lpstr>
      <vt:lpstr>保谷一貴!ロン数</vt:lpstr>
      <vt:lpstr>木角有希!ロン数</vt:lpstr>
      <vt:lpstr>矢ヶ崎健!ロン数</vt:lpstr>
      <vt:lpstr>ロン数</vt:lpstr>
      <vt:lpstr>依田幸憲!ロン率</vt:lpstr>
      <vt:lpstr>高野源太!ロン率</vt:lpstr>
      <vt:lpstr>佐藤成浩!ロン率</vt:lpstr>
      <vt:lpstr>小林郁斗!ロン率</vt:lpstr>
      <vt:lpstr>松澤亮太!ロン率</vt:lpstr>
      <vt:lpstr>全体!ロン率</vt:lpstr>
      <vt:lpstr>大池陸斗!ロン率</vt:lpstr>
      <vt:lpstr>滝沢悠人!ロン率</vt:lpstr>
      <vt:lpstr>百瀬成空!ロン率</vt:lpstr>
      <vt:lpstr>福澤大地!ロン率</vt:lpstr>
      <vt:lpstr>保谷一貴!ロン率</vt:lpstr>
      <vt:lpstr>木角有希!ロン率</vt:lpstr>
      <vt:lpstr>矢ヶ崎健!ロン率</vt:lpstr>
      <vt:lpstr>ロン率</vt:lpstr>
      <vt:lpstr>依田幸憲!現行連続アガリ</vt:lpstr>
      <vt:lpstr>高野源太!現行連続アガリ</vt:lpstr>
      <vt:lpstr>佐藤成浩!現行連続アガリ</vt:lpstr>
      <vt:lpstr>小林郁斗!現行連続アガリ</vt:lpstr>
      <vt:lpstr>松澤亮太!現行連続アガリ</vt:lpstr>
      <vt:lpstr>全体!現行連続アガリ</vt:lpstr>
      <vt:lpstr>大池陸斗!現行連続アガリ</vt:lpstr>
      <vt:lpstr>滝沢悠人!現行連続アガリ</vt:lpstr>
      <vt:lpstr>百瀬成空!現行連続アガリ</vt:lpstr>
      <vt:lpstr>福澤大地!現行連続アガリ</vt:lpstr>
      <vt:lpstr>保谷一貴!現行連続アガリ</vt:lpstr>
      <vt:lpstr>木角有希!現行連続アガリ</vt:lpstr>
      <vt:lpstr>矢ヶ崎健!現行連続アガリ</vt:lpstr>
      <vt:lpstr>現行連続アガリ</vt:lpstr>
      <vt:lpstr>依田幸憲!現行連続無放銃</vt:lpstr>
      <vt:lpstr>高野源太!現行連続無放銃</vt:lpstr>
      <vt:lpstr>佐藤成浩!現行連続無放銃</vt:lpstr>
      <vt:lpstr>小林郁斗!現行連続無放銃</vt:lpstr>
      <vt:lpstr>松澤亮太!現行連続無放銃</vt:lpstr>
      <vt:lpstr>全体!現行連続無放銃</vt:lpstr>
      <vt:lpstr>大池陸斗!現行連続無放銃</vt:lpstr>
      <vt:lpstr>滝沢悠人!現行連続無放銃</vt:lpstr>
      <vt:lpstr>百瀬成空!現行連続無放銃</vt:lpstr>
      <vt:lpstr>福澤大地!現行連続無放銃</vt:lpstr>
      <vt:lpstr>保谷一貴!現行連続無放銃</vt:lpstr>
      <vt:lpstr>木角有希!現行連続無放銃</vt:lpstr>
      <vt:lpstr>矢ヶ崎健!現行連続無放銃</vt:lpstr>
      <vt:lpstr>現行連続無放銃</vt:lpstr>
      <vt:lpstr>依田幸憲!最高点</vt:lpstr>
      <vt:lpstr>高野源太!最高点</vt:lpstr>
      <vt:lpstr>佐藤成浩!最高点</vt:lpstr>
      <vt:lpstr>小林郁斗!最高点</vt:lpstr>
      <vt:lpstr>松澤亮太!最高点</vt:lpstr>
      <vt:lpstr>全体!最高点</vt:lpstr>
      <vt:lpstr>大池陸斗!最高点</vt:lpstr>
      <vt:lpstr>滝沢悠人!最高点</vt:lpstr>
      <vt:lpstr>百瀬成空!最高点</vt:lpstr>
      <vt:lpstr>福澤大地!最高点</vt:lpstr>
      <vt:lpstr>保谷一貴!最高点</vt:lpstr>
      <vt:lpstr>木角有希!最高点</vt:lpstr>
      <vt:lpstr>矢ヶ崎健!最高点</vt:lpstr>
      <vt:lpstr>最高点</vt:lpstr>
      <vt:lpstr>依田幸憲!最大ドラ数</vt:lpstr>
      <vt:lpstr>高野源太!最大ドラ数</vt:lpstr>
      <vt:lpstr>佐藤成浩!最大ドラ数</vt:lpstr>
      <vt:lpstr>小林郁斗!最大ドラ数</vt:lpstr>
      <vt:lpstr>松澤亮太!最大ドラ数</vt:lpstr>
      <vt:lpstr>全体!最大ドラ数</vt:lpstr>
      <vt:lpstr>大池陸斗!最大ドラ数</vt:lpstr>
      <vt:lpstr>滝沢悠人!最大ドラ数</vt:lpstr>
      <vt:lpstr>百瀬成空!最大ドラ数</vt:lpstr>
      <vt:lpstr>福澤大地!最大ドラ数</vt:lpstr>
      <vt:lpstr>保谷一貴!最大ドラ数</vt:lpstr>
      <vt:lpstr>木角有希!最大ドラ数</vt:lpstr>
      <vt:lpstr>矢ヶ崎健!最大ドラ数</vt:lpstr>
      <vt:lpstr>最大ドラ数</vt:lpstr>
      <vt:lpstr>依田幸憲!最大点数</vt:lpstr>
      <vt:lpstr>高野源太!最大点数</vt:lpstr>
      <vt:lpstr>佐藤成浩!最大点数</vt:lpstr>
      <vt:lpstr>小林郁斗!最大点数</vt:lpstr>
      <vt:lpstr>松澤亮太!最大点数</vt:lpstr>
      <vt:lpstr>全体!最大点数</vt:lpstr>
      <vt:lpstr>大池陸斗!最大点数</vt:lpstr>
      <vt:lpstr>滝沢悠人!最大点数</vt:lpstr>
      <vt:lpstr>百瀬成空!最大点数</vt:lpstr>
      <vt:lpstr>福澤大地!最大点数</vt:lpstr>
      <vt:lpstr>保谷一貴!最大点数</vt:lpstr>
      <vt:lpstr>木角有希!最大点数</vt:lpstr>
      <vt:lpstr>矢ヶ崎健!最大点数</vt:lpstr>
      <vt:lpstr>最大点数</vt:lpstr>
      <vt:lpstr>依田幸憲!三位数</vt:lpstr>
      <vt:lpstr>高野源太!三位数</vt:lpstr>
      <vt:lpstr>佐藤成浩!三位数</vt:lpstr>
      <vt:lpstr>小林郁斗!三位数</vt:lpstr>
      <vt:lpstr>松澤亮太!三位数</vt:lpstr>
      <vt:lpstr>全体!三位数</vt:lpstr>
      <vt:lpstr>大池陸斗!三位数</vt:lpstr>
      <vt:lpstr>滝沢悠人!三位数</vt:lpstr>
      <vt:lpstr>百瀬成空!三位数</vt:lpstr>
      <vt:lpstr>福澤大地!三位数</vt:lpstr>
      <vt:lpstr>保谷一貴!三位数</vt:lpstr>
      <vt:lpstr>木角有希!三位数</vt:lpstr>
      <vt:lpstr>矢ヶ崎健!三位数</vt:lpstr>
      <vt:lpstr>三位数</vt:lpstr>
      <vt:lpstr>依田幸憲!三位率</vt:lpstr>
      <vt:lpstr>高野源太!三位率</vt:lpstr>
      <vt:lpstr>佐藤成浩!三位率</vt:lpstr>
      <vt:lpstr>小林郁斗!三位率</vt:lpstr>
      <vt:lpstr>松澤亮太!三位率</vt:lpstr>
      <vt:lpstr>全体!三位率</vt:lpstr>
      <vt:lpstr>大池陸斗!三位率</vt:lpstr>
      <vt:lpstr>滝沢悠人!三位率</vt:lpstr>
      <vt:lpstr>百瀬成空!三位率</vt:lpstr>
      <vt:lpstr>福澤大地!三位率</vt:lpstr>
      <vt:lpstr>保谷一貴!三位率</vt:lpstr>
      <vt:lpstr>木角有希!三位率</vt:lpstr>
      <vt:lpstr>矢ヶ崎健!三位率</vt:lpstr>
      <vt:lpstr>三位率</vt:lpstr>
      <vt:lpstr>依田幸憲!総局数</vt:lpstr>
      <vt:lpstr>高野源太!総局数</vt:lpstr>
      <vt:lpstr>佐藤成浩!総局数</vt:lpstr>
      <vt:lpstr>小林郁斗!総局数</vt:lpstr>
      <vt:lpstr>松澤亮太!総局数</vt:lpstr>
      <vt:lpstr>全体!総局数</vt:lpstr>
      <vt:lpstr>大池陸斗!総局数</vt:lpstr>
      <vt:lpstr>滝沢悠人!総局数</vt:lpstr>
      <vt:lpstr>百瀬成空!総局数</vt:lpstr>
      <vt:lpstr>福澤大地!総局数</vt:lpstr>
      <vt:lpstr>保谷一貴!総局数</vt:lpstr>
      <vt:lpstr>木角有希!総局数</vt:lpstr>
      <vt:lpstr>矢ヶ崎健!総局数</vt:lpstr>
      <vt:lpstr>総局数</vt:lpstr>
      <vt:lpstr>依田幸憲!対戦数</vt:lpstr>
      <vt:lpstr>高野源太!対戦数</vt:lpstr>
      <vt:lpstr>佐藤成浩!対戦数</vt:lpstr>
      <vt:lpstr>小林郁斗!対戦数</vt:lpstr>
      <vt:lpstr>松澤亮太!対戦数</vt:lpstr>
      <vt:lpstr>全体!対戦数</vt:lpstr>
      <vt:lpstr>大池陸斗!対戦数</vt:lpstr>
      <vt:lpstr>滝沢悠人!対戦数</vt:lpstr>
      <vt:lpstr>百瀬成空!対戦数</vt:lpstr>
      <vt:lpstr>福澤大地!対戦数</vt:lpstr>
      <vt:lpstr>保谷一貴!対戦数</vt:lpstr>
      <vt:lpstr>木角有希!対戦数</vt:lpstr>
      <vt:lpstr>矢ヶ崎健!対戦数</vt:lpstr>
      <vt:lpstr>対戦数</vt:lpstr>
      <vt:lpstr>依田幸憲!通算アガリ点</vt:lpstr>
      <vt:lpstr>高野源太!通算アガリ点</vt:lpstr>
      <vt:lpstr>佐藤成浩!通算アガリ点</vt:lpstr>
      <vt:lpstr>小林郁斗!通算アガリ点</vt:lpstr>
      <vt:lpstr>松澤亮太!通算アガリ点</vt:lpstr>
      <vt:lpstr>全体!通算アガリ点</vt:lpstr>
      <vt:lpstr>大池陸斗!通算アガリ点</vt:lpstr>
      <vt:lpstr>滝沢悠人!通算アガリ点</vt:lpstr>
      <vt:lpstr>百瀬成空!通算アガリ点</vt:lpstr>
      <vt:lpstr>福澤大地!通算アガリ点</vt:lpstr>
      <vt:lpstr>保谷一貴!通算アガリ点</vt:lpstr>
      <vt:lpstr>木角有希!通算アガリ点</vt:lpstr>
      <vt:lpstr>矢ヶ崎健!通算アガリ点</vt:lpstr>
      <vt:lpstr>通算アガリ点</vt:lpstr>
      <vt:lpstr>依田幸憲!通算スコア</vt:lpstr>
      <vt:lpstr>高野源太!通算スコア</vt:lpstr>
      <vt:lpstr>佐藤成浩!通算スコア</vt:lpstr>
      <vt:lpstr>小林郁斗!通算スコア</vt:lpstr>
      <vt:lpstr>松澤亮太!通算スコア</vt:lpstr>
      <vt:lpstr>全体!通算スコア</vt:lpstr>
      <vt:lpstr>大池陸斗!通算スコア</vt:lpstr>
      <vt:lpstr>滝沢悠人!通算スコア</vt:lpstr>
      <vt:lpstr>百瀬成空!通算スコア</vt:lpstr>
      <vt:lpstr>福澤大地!通算スコア</vt:lpstr>
      <vt:lpstr>保谷一貴!通算スコア</vt:lpstr>
      <vt:lpstr>木角有希!通算スコア</vt:lpstr>
      <vt:lpstr>矢ヶ崎健!通算スコア</vt:lpstr>
      <vt:lpstr>通算スコア</vt:lpstr>
      <vt:lpstr>依田幸憲!通算副露アガリ点</vt:lpstr>
      <vt:lpstr>高野源太!通算副露アガリ点</vt:lpstr>
      <vt:lpstr>佐藤成浩!通算副露アガリ点</vt:lpstr>
      <vt:lpstr>小林郁斗!通算副露アガリ点</vt:lpstr>
      <vt:lpstr>松澤亮太!通算副露アガリ点</vt:lpstr>
      <vt:lpstr>全体!通算副露アガリ点</vt:lpstr>
      <vt:lpstr>大池陸斗!通算副露アガリ点</vt:lpstr>
      <vt:lpstr>滝沢悠人!通算副露アガリ点</vt:lpstr>
      <vt:lpstr>百瀬成空!通算副露アガリ点</vt:lpstr>
      <vt:lpstr>福澤大地!通算副露アガリ点</vt:lpstr>
      <vt:lpstr>保谷一貴!通算副露アガリ点</vt:lpstr>
      <vt:lpstr>木角有希!通算副露アガリ点</vt:lpstr>
      <vt:lpstr>矢ヶ崎健!通算副露アガリ点</vt:lpstr>
      <vt:lpstr>通算副露アガリ点</vt:lpstr>
      <vt:lpstr>依田幸憲!通算放銃点</vt:lpstr>
      <vt:lpstr>高野源太!通算放銃点</vt:lpstr>
      <vt:lpstr>佐藤成浩!通算放銃点</vt:lpstr>
      <vt:lpstr>小林郁斗!通算放銃点</vt:lpstr>
      <vt:lpstr>松澤亮太!通算放銃点</vt:lpstr>
      <vt:lpstr>全体!通算放銃点</vt:lpstr>
      <vt:lpstr>大池陸斗!通算放銃点</vt:lpstr>
      <vt:lpstr>滝沢悠人!通算放銃点</vt:lpstr>
      <vt:lpstr>百瀬成空!通算放銃点</vt:lpstr>
      <vt:lpstr>福澤大地!通算放銃点</vt:lpstr>
      <vt:lpstr>保谷一貴!通算放銃点</vt:lpstr>
      <vt:lpstr>木角有希!通算放銃点</vt:lpstr>
      <vt:lpstr>矢ヶ崎健!通算放銃点</vt:lpstr>
      <vt:lpstr>通算放銃点</vt:lpstr>
      <vt:lpstr>依田幸憲!通算門前アガリ点</vt:lpstr>
      <vt:lpstr>高野源太!通算門前アガリ点</vt:lpstr>
      <vt:lpstr>佐藤成浩!通算門前アガリ点</vt:lpstr>
      <vt:lpstr>小林郁斗!通算門前アガリ点</vt:lpstr>
      <vt:lpstr>松澤亮太!通算門前アガリ点</vt:lpstr>
      <vt:lpstr>全体!通算門前アガリ点</vt:lpstr>
      <vt:lpstr>大池陸斗!通算門前アガリ点</vt:lpstr>
      <vt:lpstr>滝沢悠人!通算門前アガリ点</vt:lpstr>
      <vt:lpstr>百瀬成空!通算門前アガリ点</vt:lpstr>
      <vt:lpstr>福澤大地!通算門前アガリ点</vt:lpstr>
      <vt:lpstr>保谷一貴!通算門前アガリ点</vt:lpstr>
      <vt:lpstr>木角有希!通算門前アガリ点</vt:lpstr>
      <vt:lpstr>矢ヶ崎健!通算門前アガリ点</vt:lpstr>
      <vt:lpstr>通算門前アガリ点</vt:lpstr>
      <vt:lpstr>依田幸憲!二位数</vt:lpstr>
      <vt:lpstr>高野源太!二位数</vt:lpstr>
      <vt:lpstr>佐藤成浩!二位数</vt:lpstr>
      <vt:lpstr>小林郁斗!二位数</vt:lpstr>
      <vt:lpstr>松澤亮太!二位数</vt:lpstr>
      <vt:lpstr>全体!二位数</vt:lpstr>
      <vt:lpstr>大池陸斗!二位数</vt:lpstr>
      <vt:lpstr>滝沢悠人!二位数</vt:lpstr>
      <vt:lpstr>百瀬成空!二位数</vt:lpstr>
      <vt:lpstr>福澤大地!二位数</vt:lpstr>
      <vt:lpstr>保谷一貴!二位数</vt:lpstr>
      <vt:lpstr>木角有希!二位数</vt:lpstr>
      <vt:lpstr>矢ヶ崎健!二位数</vt:lpstr>
      <vt:lpstr>二位数</vt:lpstr>
      <vt:lpstr>依田幸憲!二位率</vt:lpstr>
      <vt:lpstr>高野源太!二位率</vt:lpstr>
      <vt:lpstr>佐藤成浩!二位率</vt:lpstr>
      <vt:lpstr>小林郁斗!二位率</vt:lpstr>
      <vt:lpstr>松澤亮太!二位率</vt:lpstr>
      <vt:lpstr>全体!二位率</vt:lpstr>
      <vt:lpstr>大池陸斗!二位率</vt:lpstr>
      <vt:lpstr>滝沢悠人!二位率</vt:lpstr>
      <vt:lpstr>百瀬成空!二位率</vt:lpstr>
      <vt:lpstr>福澤大地!二位率</vt:lpstr>
      <vt:lpstr>保谷一貴!二位率</vt:lpstr>
      <vt:lpstr>木角有希!二位率</vt:lpstr>
      <vt:lpstr>矢ヶ崎健!二位率</vt:lpstr>
      <vt:lpstr>二位率</vt:lpstr>
      <vt:lpstr>依田幸憲!副露アガリ数</vt:lpstr>
      <vt:lpstr>高野源太!副露アガリ数</vt:lpstr>
      <vt:lpstr>佐藤成浩!副露アガリ数</vt:lpstr>
      <vt:lpstr>小林郁斗!副露アガリ数</vt:lpstr>
      <vt:lpstr>松澤亮太!副露アガリ数</vt:lpstr>
      <vt:lpstr>全体!副露アガリ数</vt:lpstr>
      <vt:lpstr>大池陸斗!副露アガリ数</vt:lpstr>
      <vt:lpstr>滝沢悠人!副露アガリ数</vt:lpstr>
      <vt:lpstr>百瀬成空!副露アガリ数</vt:lpstr>
      <vt:lpstr>福澤大地!副露アガリ数</vt:lpstr>
      <vt:lpstr>保谷一貴!副露アガリ数</vt:lpstr>
      <vt:lpstr>木角有希!副露アガリ数</vt:lpstr>
      <vt:lpstr>矢ヶ崎健!副露アガリ数</vt:lpstr>
      <vt:lpstr>副露アガリ数</vt:lpstr>
      <vt:lpstr>依田幸憲!副露アガリ点</vt:lpstr>
      <vt:lpstr>高野源太!副露アガリ点</vt:lpstr>
      <vt:lpstr>佐藤成浩!副露アガリ点</vt:lpstr>
      <vt:lpstr>小林郁斗!副露アガリ点</vt:lpstr>
      <vt:lpstr>松澤亮太!副露アガリ点</vt:lpstr>
      <vt:lpstr>全体!副露アガリ点</vt:lpstr>
      <vt:lpstr>大池陸斗!副露アガリ点</vt:lpstr>
      <vt:lpstr>滝沢悠人!副露アガリ点</vt:lpstr>
      <vt:lpstr>百瀬成空!副露アガリ点</vt:lpstr>
      <vt:lpstr>福澤大地!副露アガリ点</vt:lpstr>
      <vt:lpstr>保谷一貴!副露アガリ点</vt:lpstr>
      <vt:lpstr>木角有希!副露アガリ点</vt:lpstr>
      <vt:lpstr>矢ヶ崎健!副露アガリ点</vt:lpstr>
      <vt:lpstr>副露アガリ点</vt:lpstr>
      <vt:lpstr>依田幸憲!副露アガリ率</vt:lpstr>
      <vt:lpstr>高野源太!副露アガリ率</vt:lpstr>
      <vt:lpstr>佐藤成浩!副露アガリ率</vt:lpstr>
      <vt:lpstr>小林郁斗!副露アガリ率</vt:lpstr>
      <vt:lpstr>松澤亮太!副露アガリ率</vt:lpstr>
      <vt:lpstr>全体!副露アガリ率</vt:lpstr>
      <vt:lpstr>大池陸斗!副露アガリ率</vt:lpstr>
      <vt:lpstr>滝沢悠人!副露アガリ率</vt:lpstr>
      <vt:lpstr>百瀬成空!副露アガリ率</vt:lpstr>
      <vt:lpstr>福澤大地!副露アガリ率</vt:lpstr>
      <vt:lpstr>保谷一貴!副露アガリ率</vt:lpstr>
      <vt:lpstr>木角有希!副露アガリ率</vt:lpstr>
      <vt:lpstr>矢ヶ崎健!副露アガリ率</vt:lpstr>
      <vt:lpstr>副露アガリ率</vt:lpstr>
      <vt:lpstr>依田幸憲!副露数</vt:lpstr>
      <vt:lpstr>高野源太!副露数</vt:lpstr>
      <vt:lpstr>佐藤成浩!副露数</vt:lpstr>
      <vt:lpstr>小林郁斗!副露数</vt:lpstr>
      <vt:lpstr>松澤亮太!副露数</vt:lpstr>
      <vt:lpstr>全体!副露数</vt:lpstr>
      <vt:lpstr>大池陸斗!副露数</vt:lpstr>
      <vt:lpstr>滝沢悠人!副露数</vt:lpstr>
      <vt:lpstr>百瀬成空!副露数</vt:lpstr>
      <vt:lpstr>福澤大地!副露数</vt:lpstr>
      <vt:lpstr>保谷一貴!副露数</vt:lpstr>
      <vt:lpstr>木角有希!副露数</vt:lpstr>
      <vt:lpstr>矢ヶ崎健!副露数</vt:lpstr>
      <vt:lpstr>副露数</vt:lpstr>
      <vt:lpstr>依田幸憲!副露成功数</vt:lpstr>
      <vt:lpstr>高野源太!副露成功数</vt:lpstr>
      <vt:lpstr>佐藤成浩!副露成功数</vt:lpstr>
      <vt:lpstr>小林郁斗!副露成功数</vt:lpstr>
      <vt:lpstr>松澤亮太!副露成功数</vt:lpstr>
      <vt:lpstr>全体!副露成功数</vt:lpstr>
      <vt:lpstr>大池陸斗!副露成功数</vt:lpstr>
      <vt:lpstr>滝沢悠人!副露成功数</vt:lpstr>
      <vt:lpstr>百瀬成空!副露成功数</vt:lpstr>
      <vt:lpstr>福澤大地!副露成功数</vt:lpstr>
      <vt:lpstr>保谷一貴!副露成功数</vt:lpstr>
      <vt:lpstr>木角有希!副露成功数</vt:lpstr>
      <vt:lpstr>矢ヶ崎健!副露成功数</vt:lpstr>
      <vt:lpstr>副露成功数</vt:lpstr>
      <vt:lpstr>依田幸憲!副露成功率</vt:lpstr>
      <vt:lpstr>高野源太!副露成功率</vt:lpstr>
      <vt:lpstr>佐藤成浩!副露成功率</vt:lpstr>
      <vt:lpstr>小林郁斗!副露成功率</vt:lpstr>
      <vt:lpstr>松澤亮太!副露成功率</vt:lpstr>
      <vt:lpstr>全体!副露成功率</vt:lpstr>
      <vt:lpstr>大池陸斗!副露成功率</vt:lpstr>
      <vt:lpstr>滝沢悠人!副露成功率</vt:lpstr>
      <vt:lpstr>百瀬成空!副露成功率</vt:lpstr>
      <vt:lpstr>福澤大地!副露成功率</vt:lpstr>
      <vt:lpstr>保谷一貴!副露成功率</vt:lpstr>
      <vt:lpstr>木角有希!副露成功率</vt:lpstr>
      <vt:lpstr>矢ヶ崎健!副露成功率</vt:lpstr>
      <vt:lpstr>副露成功率</vt:lpstr>
      <vt:lpstr>依田幸憲!副露率</vt:lpstr>
      <vt:lpstr>高野源太!副露率</vt:lpstr>
      <vt:lpstr>佐藤成浩!副露率</vt:lpstr>
      <vt:lpstr>小林郁斗!副露率</vt:lpstr>
      <vt:lpstr>松澤亮太!副露率</vt:lpstr>
      <vt:lpstr>全体!副露率</vt:lpstr>
      <vt:lpstr>大池陸斗!副露率</vt:lpstr>
      <vt:lpstr>滝沢悠人!副露率</vt:lpstr>
      <vt:lpstr>百瀬成空!副露率</vt:lpstr>
      <vt:lpstr>福澤大地!副露率</vt:lpstr>
      <vt:lpstr>保谷一貴!副露率</vt:lpstr>
      <vt:lpstr>木角有希!副露率</vt:lpstr>
      <vt:lpstr>矢ヶ崎健!副露率</vt:lpstr>
      <vt:lpstr>副露率</vt:lpstr>
      <vt:lpstr>依田幸憲!平均アガリ点</vt:lpstr>
      <vt:lpstr>高野源太!平均アガリ点</vt:lpstr>
      <vt:lpstr>佐藤成浩!平均アガリ点</vt:lpstr>
      <vt:lpstr>小林郁斗!平均アガリ点</vt:lpstr>
      <vt:lpstr>松澤亮太!平均アガリ点</vt:lpstr>
      <vt:lpstr>全体!平均アガリ点</vt:lpstr>
      <vt:lpstr>大池陸斗!平均アガリ点</vt:lpstr>
      <vt:lpstr>滝沢悠人!平均アガリ点</vt:lpstr>
      <vt:lpstr>百瀬成空!平均アガリ点</vt:lpstr>
      <vt:lpstr>福澤大地!平均アガリ点</vt:lpstr>
      <vt:lpstr>保谷一貴!平均アガリ点</vt:lpstr>
      <vt:lpstr>木角有希!平均アガリ点</vt:lpstr>
      <vt:lpstr>矢ヶ崎健!平均アガリ点</vt:lpstr>
      <vt:lpstr>平均アガリ点</vt:lpstr>
      <vt:lpstr>依田幸憲!平均スコア</vt:lpstr>
      <vt:lpstr>高野源太!平均スコア</vt:lpstr>
      <vt:lpstr>佐藤成浩!平均スコア</vt:lpstr>
      <vt:lpstr>小林郁斗!平均スコア</vt:lpstr>
      <vt:lpstr>松澤亮太!平均スコア</vt:lpstr>
      <vt:lpstr>全体!平均スコア</vt:lpstr>
      <vt:lpstr>大池陸斗!平均スコア</vt:lpstr>
      <vt:lpstr>滝沢悠人!平均スコア</vt:lpstr>
      <vt:lpstr>百瀬成空!平均スコア</vt:lpstr>
      <vt:lpstr>福澤大地!平均スコア</vt:lpstr>
      <vt:lpstr>保谷一貴!平均スコア</vt:lpstr>
      <vt:lpstr>木角有希!平均スコア</vt:lpstr>
      <vt:lpstr>矢ヶ崎健!平均スコア</vt:lpstr>
      <vt:lpstr>平均スコア</vt:lpstr>
      <vt:lpstr>依田幸憲!平均順位</vt:lpstr>
      <vt:lpstr>高野源太!平均順位</vt:lpstr>
      <vt:lpstr>佐藤成浩!平均順位</vt:lpstr>
      <vt:lpstr>小林郁斗!平均順位</vt:lpstr>
      <vt:lpstr>松澤亮太!平均順位</vt:lpstr>
      <vt:lpstr>全体!平均順位</vt:lpstr>
      <vt:lpstr>大池陸斗!平均順位</vt:lpstr>
      <vt:lpstr>滝沢悠人!平均順位</vt:lpstr>
      <vt:lpstr>百瀬成空!平均順位</vt:lpstr>
      <vt:lpstr>福澤大地!平均順位</vt:lpstr>
      <vt:lpstr>保谷一貴!平均順位</vt:lpstr>
      <vt:lpstr>木角有希!平均順位</vt:lpstr>
      <vt:lpstr>矢ヶ崎健!平均順位</vt:lpstr>
      <vt:lpstr>平均順位</vt:lpstr>
      <vt:lpstr>依田幸憲!平均放銃点</vt:lpstr>
      <vt:lpstr>高野源太!平均放銃点</vt:lpstr>
      <vt:lpstr>佐藤成浩!平均放銃点</vt:lpstr>
      <vt:lpstr>小林郁斗!平均放銃点</vt:lpstr>
      <vt:lpstr>松澤亮太!平均放銃点</vt:lpstr>
      <vt:lpstr>全体!平均放銃点</vt:lpstr>
      <vt:lpstr>大池陸斗!平均放銃点</vt:lpstr>
      <vt:lpstr>滝沢悠人!平均放銃点</vt:lpstr>
      <vt:lpstr>百瀬成空!平均放銃点</vt:lpstr>
      <vt:lpstr>福澤大地!平均放銃点</vt:lpstr>
      <vt:lpstr>保谷一貴!平均放銃点</vt:lpstr>
      <vt:lpstr>木角有希!平均放銃点</vt:lpstr>
      <vt:lpstr>矢ヶ崎健!平均放銃点</vt:lpstr>
      <vt:lpstr>平均放銃点</vt:lpstr>
      <vt:lpstr>依田幸憲!放銃数</vt:lpstr>
      <vt:lpstr>高野源太!放銃数</vt:lpstr>
      <vt:lpstr>佐藤成浩!放銃数</vt:lpstr>
      <vt:lpstr>小林郁斗!放銃数</vt:lpstr>
      <vt:lpstr>松澤亮太!放銃数</vt:lpstr>
      <vt:lpstr>全体!放銃数</vt:lpstr>
      <vt:lpstr>大池陸斗!放銃数</vt:lpstr>
      <vt:lpstr>滝沢悠人!放銃数</vt:lpstr>
      <vt:lpstr>百瀬成空!放銃数</vt:lpstr>
      <vt:lpstr>福澤大地!放銃数</vt:lpstr>
      <vt:lpstr>保谷一貴!放銃数</vt:lpstr>
      <vt:lpstr>木角有希!放銃数</vt:lpstr>
      <vt:lpstr>矢ヶ崎健!放銃数</vt:lpstr>
      <vt:lpstr>放銃数</vt:lpstr>
      <vt:lpstr>依田幸憲!放銃率</vt:lpstr>
      <vt:lpstr>高野源太!放銃率</vt:lpstr>
      <vt:lpstr>佐藤成浩!放銃率</vt:lpstr>
      <vt:lpstr>小林郁斗!放銃率</vt:lpstr>
      <vt:lpstr>松澤亮太!放銃率</vt:lpstr>
      <vt:lpstr>全体!放銃率</vt:lpstr>
      <vt:lpstr>大池陸斗!放銃率</vt:lpstr>
      <vt:lpstr>滝沢悠人!放銃率</vt:lpstr>
      <vt:lpstr>百瀬成空!放銃率</vt:lpstr>
      <vt:lpstr>福澤大地!放銃率</vt:lpstr>
      <vt:lpstr>保谷一貴!放銃率</vt:lpstr>
      <vt:lpstr>木角有希!放銃率</vt:lpstr>
      <vt:lpstr>矢ヶ崎健!放銃率</vt:lpstr>
      <vt:lpstr>放銃率</vt:lpstr>
      <vt:lpstr>依田幸憲!名前</vt:lpstr>
      <vt:lpstr>高野源太!名前</vt:lpstr>
      <vt:lpstr>佐藤成浩!名前</vt:lpstr>
      <vt:lpstr>小林郁斗!名前</vt:lpstr>
      <vt:lpstr>松澤亮太!名前</vt:lpstr>
      <vt:lpstr>全体!名前</vt:lpstr>
      <vt:lpstr>大池陸斗!名前</vt:lpstr>
      <vt:lpstr>滝沢悠人!名前</vt:lpstr>
      <vt:lpstr>百瀬成空!名前</vt:lpstr>
      <vt:lpstr>福澤大地!名前</vt:lpstr>
      <vt:lpstr>保谷一貴!名前</vt:lpstr>
      <vt:lpstr>木角有希!名前</vt:lpstr>
      <vt:lpstr>矢ヶ崎健!名前</vt:lpstr>
      <vt:lpstr>名前</vt:lpstr>
      <vt:lpstr>依田幸憲!門前アガリ点</vt:lpstr>
      <vt:lpstr>高野源太!門前アガリ点</vt:lpstr>
      <vt:lpstr>佐藤成浩!門前アガリ点</vt:lpstr>
      <vt:lpstr>小林郁斗!門前アガリ点</vt:lpstr>
      <vt:lpstr>松澤亮太!門前アガリ点</vt:lpstr>
      <vt:lpstr>全体!門前アガリ点</vt:lpstr>
      <vt:lpstr>大池陸斗!門前アガリ点</vt:lpstr>
      <vt:lpstr>滝沢悠人!門前アガリ点</vt:lpstr>
      <vt:lpstr>百瀬成空!門前アガリ点</vt:lpstr>
      <vt:lpstr>福澤大地!門前アガリ点</vt:lpstr>
      <vt:lpstr>保谷一貴!門前アガリ点</vt:lpstr>
      <vt:lpstr>木角有希!門前アガリ点</vt:lpstr>
      <vt:lpstr>矢ヶ崎健!門前アガリ点</vt:lpstr>
      <vt:lpstr>門前アガリ点</vt:lpstr>
      <vt:lpstr>依田幸憲!連続アガリ</vt:lpstr>
      <vt:lpstr>高野源太!連続アガリ</vt:lpstr>
      <vt:lpstr>佐藤成浩!連続アガリ</vt:lpstr>
      <vt:lpstr>小林郁斗!連続アガリ</vt:lpstr>
      <vt:lpstr>松澤亮太!連続アガリ</vt:lpstr>
      <vt:lpstr>全体!連続アガリ</vt:lpstr>
      <vt:lpstr>大池陸斗!連続アガリ</vt:lpstr>
      <vt:lpstr>滝沢悠人!連続アガリ</vt:lpstr>
      <vt:lpstr>百瀬成空!連続アガリ</vt:lpstr>
      <vt:lpstr>福澤大地!連続アガリ</vt:lpstr>
      <vt:lpstr>保谷一貴!連続アガリ</vt:lpstr>
      <vt:lpstr>木角有希!連続アガリ</vt:lpstr>
      <vt:lpstr>矢ヶ崎健!連続アガリ</vt:lpstr>
      <vt:lpstr>連続アガリ</vt:lpstr>
      <vt:lpstr>依田幸憲!連続無放銃</vt:lpstr>
      <vt:lpstr>高野源太!連続無放銃</vt:lpstr>
      <vt:lpstr>佐藤成浩!連続無放銃</vt:lpstr>
      <vt:lpstr>小林郁斗!連続無放銃</vt:lpstr>
      <vt:lpstr>松澤亮太!連続無放銃</vt:lpstr>
      <vt:lpstr>全体!連続無放銃</vt:lpstr>
      <vt:lpstr>大池陸斗!連続無放銃</vt:lpstr>
      <vt:lpstr>滝沢悠人!連続無放銃</vt:lpstr>
      <vt:lpstr>百瀬成空!連続無放銃</vt:lpstr>
      <vt:lpstr>福澤大地!連続無放銃</vt:lpstr>
      <vt:lpstr>保谷一貴!連続無放銃</vt:lpstr>
      <vt:lpstr>木角有希!連続無放銃</vt:lpstr>
      <vt:lpstr>矢ヶ崎健!連続無放銃</vt:lpstr>
      <vt:lpstr>連続無放銃</vt:lpstr>
      <vt:lpstr>依田幸憲!連対数</vt:lpstr>
      <vt:lpstr>高野源太!連対数</vt:lpstr>
      <vt:lpstr>佐藤成浩!連対数</vt:lpstr>
      <vt:lpstr>小林郁斗!連対数</vt:lpstr>
      <vt:lpstr>松澤亮太!連対数</vt:lpstr>
      <vt:lpstr>全体!連対数</vt:lpstr>
      <vt:lpstr>大池陸斗!連対数</vt:lpstr>
      <vt:lpstr>滝沢悠人!連対数</vt:lpstr>
      <vt:lpstr>百瀬成空!連対数</vt:lpstr>
      <vt:lpstr>福澤大地!連対数</vt:lpstr>
      <vt:lpstr>保谷一貴!連対数</vt:lpstr>
      <vt:lpstr>木角有希!連対数</vt:lpstr>
      <vt:lpstr>矢ヶ崎健!連対数</vt:lpstr>
      <vt:lpstr>連対数</vt:lpstr>
      <vt:lpstr>依田幸憲!連対率</vt:lpstr>
      <vt:lpstr>高野源太!連対率</vt:lpstr>
      <vt:lpstr>佐藤成浩!連対率</vt:lpstr>
      <vt:lpstr>小林郁斗!連対率</vt:lpstr>
      <vt:lpstr>松澤亮太!連対率</vt:lpstr>
      <vt:lpstr>全体!連対率</vt:lpstr>
      <vt:lpstr>大池陸斗!連対率</vt:lpstr>
      <vt:lpstr>滝沢悠人!連対率</vt:lpstr>
      <vt:lpstr>百瀬成空!連対率</vt:lpstr>
      <vt:lpstr>福澤大地!連対率</vt:lpstr>
      <vt:lpstr>保谷一貴!連対率</vt:lpstr>
      <vt:lpstr>木角有希!連対率</vt:lpstr>
      <vt:lpstr>矢ヶ崎健!連対率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2019-12-06T13:18:30Z</dcterms:modified>
</cp:coreProperties>
</file>