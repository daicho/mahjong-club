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5F8C9F01-4E87-45F8-B62E-4B4D82FEE008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9" i="6277" l="1"/>
  <c r="O21" i="6317"/>
  <c r="O18" i="6311" l="1"/>
  <c r="O19" i="6309"/>
  <c r="O18" i="6316"/>
  <c r="O25" i="6317"/>
  <c r="O23" i="6317"/>
  <c r="O22" i="6317"/>
  <c r="O30" i="6298" l="1"/>
  <c r="O18" i="6315"/>
  <c r="O23" i="6315"/>
  <c r="O24" i="6317"/>
  <c r="O19" i="6317" l="1"/>
  <c r="O18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43" i="6287"/>
  <c r="O19" i="6301"/>
  <c r="O30" i="6272"/>
  <c r="C17" i="6317" l="1"/>
  <c r="H13" i="6317"/>
  <c r="H7" i="6317"/>
  <c r="H10" i="6317"/>
  <c r="H5" i="6317"/>
  <c r="C22" i="6317"/>
  <c r="H12" i="6317"/>
  <c r="H6" i="6317"/>
  <c r="H14" i="6317"/>
  <c r="H17" i="6317"/>
  <c r="C23" i="6317"/>
  <c r="H3" i="6317"/>
  <c r="H29" i="6317"/>
  <c r="H39" i="6317"/>
  <c r="H8" i="6317"/>
  <c r="H15" i="6317"/>
  <c r="H19" i="6317"/>
  <c r="H24" i="6317"/>
  <c r="H32" i="6317"/>
  <c r="C39" i="6317"/>
  <c r="C19" i="6317"/>
  <c r="B24" i="6317"/>
  <c r="H41" i="6317"/>
  <c r="H11" i="6317"/>
  <c r="H20" i="6317"/>
  <c r="H26" i="6317"/>
  <c r="H33" i="6317"/>
  <c r="C41" i="6317"/>
  <c r="H16" i="6317"/>
  <c r="H9" i="6317"/>
  <c r="C20" i="6317"/>
  <c r="H35" i="6317"/>
  <c r="H2" i="6317"/>
  <c r="H22" i="6317"/>
  <c r="H27" i="6317"/>
  <c r="C35" i="6317"/>
  <c r="C43" i="6317"/>
  <c r="H37" i="6317"/>
  <c r="C46" i="6317"/>
  <c r="H4" i="6317"/>
  <c r="H18" i="6317"/>
  <c r="H23" i="6317"/>
  <c r="H28" i="6317"/>
  <c r="C37" i="6317"/>
  <c r="C47" i="6317"/>
  <c r="H38" i="6317"/>
  <c r="H42" i="6317"/>
  <c r="H34" i="6317"/>
  <c r="C38" i="6317"/>
  <c r="C42" i="6317"/>
  <c r="H21" i="6317"/>
  <c r="H25" i="6317"/>
  <c r="H30" i="6317"/>
  <c r="H36" i="6317"/>
  <c r="H40" i="6317"/>
  <c r="C44" i="6317"/>
  <c r="C21" i="6317"/>
  <c r="B25" i="6317"/>
  <c r="H31" i="6317"/>
  <c r="C36" i="6317"/>
  <c r="C40" i="6317"/>
  <c r="O29" i="6309" l="1"/>
  <c r="O19" i="6316"/>
  <c r="O22" i="6313" l="1"/>
  <c r="O29" i="6304"/>
  <c r="O23" i="6316" l="1"/>
  <c r="O21" i="6315"/>
  <c r="O38" i="6277"/>
  <c r="O24" i="6305"/>
  <c r="O21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2" i="6311"/>
  <c r="O37" i="6272"/>
  <c r="C16" i="6316" l="1"/>
  <c r="H21" i="6316"/>
  <c r="H33" i="6316"/>
  <c r="H11" i="6316"/>
  <c r="H8" i="6316"/>
  <c r="H24" i="6316"/>
  <c r="H34" i="6316"/>
  <c r="H3" i="6316"/>
  <c r="H15" i="6316"/>
  <c r="C23" i="6316"/>
  <c r="H35" i="6316"/>
  <c r="H25" i="6316"/>
  <c r="H38" i="6316"/>
  <c r="C38" i="6316"/>
  <c r="H12" i="6316"/>
  <c r="H28" i="6316"/>
  <c r="H39" i="6316"/>
  <c r="C17" i="6316"/>
  <c r="H6" i="6316"/>
  <c r="H7" i="6316"/>
  <c r="H20" i="6316"/>
  <c r="H29" i="6316"/>
  <c r="H42" i="6316"/>
  <c r="H9" i="6316"/>
  <c r="H2" i="6316"/>
  <c r="C19" i="6316"/>
  <c r="C42" i="6316"/>
  <c r="H4" i="6316"/>
  <c r="H13" i="6316"/>
  <c r="H16" i="6316"/>
  <c r="H18" i="6316"/>
  <c r="C20" i="6316"/>
  <c r="B24" i="6316"/>
  <c r="H10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5" i="6316"/>
  <c r="H17" i="6316"/>
  <c r="C22" i="6316"/>
  <c r="C37" i="6316"/>
  <c r="C41" i="6316"/>
  <c r="O45" i="6277" l="1"/>
  <c r="O26" i="6307"/>
  <c r="O20" i="6277" l="1"/>
  <c r="O28" i="6314"/>
  <c r="O27" i="6313" l="1"/>
  <c r="O32" i="6287"/>
  <c r="O31" i="6311" l="1"/>
  <c r="O33" i="6307"/>
  <c r="O18" i="6304"/>
  <c r="O19" i="6304"/>
  <c r="O23" i="6309"/>
  <c r="O33" i="6304"/>
  <c r="O24" i="6302"/>
  <c r="O18" i="6301"/>
  <c r="O20" i="6311" l="1"/>
  <c r="O26" i="6313"/>
  <c r="O27" i="6305"/>
  <c r="O23" i="6305"/>
  <c r="O21" i="6311" l="1"/>
  <c r="O23" i="6311"/>
  <c r="O43" i="6277"/>
  <c r="O32" i="6309"/>
  <c r="O24" i="6287"/>
  <c r="O27" i="6311"/>
  <c r="O25" i="6307" l="1"/>
  <c r="O30" i="6307"/>
  <c r="O46" i="6287"/>
  <c r="O34" i="6287"/>
  <c r="O36" i="6287"/>
  <c r="O25" i="6315"/>
  <c r="O22" i="6315"/>
  <c r="O21" i="6314"/>
  <c r="O48" i="6277"/>
  <c r="O36" i="6277"/>
  <c r="O41" i="6277"/>
  <c r="O28" i="6315"/>
  <c r="O32" i="6313"/>
  <c r="O30" i="6309"/>
  <c r="O27" i="6315" l="1"/>
  <c r="O19" i="6315"/>
  <c r="O30" i="6305"/>
  <c r="O27" i="6306"/>
  <c r="O19" i="6302" l="1"/>
  <c r="O32" i="6315"/>
  <c r="O24" i="6314" l="1"/>
  <c r="O24" i="6309"/>
  <c r="O20" i="6307"/>
  <c r="O18" i="6305"/>
  <c r="O28" i="6305"/>
  <c r="O31" i="6305"/>
  <c r="O32" i="6307" l="1"/>
  <c r="O21" i="6307"/>
  <c r="O20" i="6302"/>
  <c r="O30" i="6302"/>
  <c r="O18" i="6302"/>
  <c r="O22" i="6314"/>
  <c r="O23" i="6314"/>
  <c r="O20" i="6313"/>
  <c r="O30" i="6315" l="1"/>
  <c r="O29" i="6315"/>
  <c r="O32" i="6304"/>
  <c r="O26" i="6304"/>
  <c r="O23" i="6304"/>
  <c r="O25" i="6314"/>
  <c r="O18" i="6314"/>
  <c r="O33" i="6309"/>
  <c r="O27" i="6309"/>
  <c r="O18" i="6309"/>
  <c r="O19" i="6311" l="1"/>
  <c r="O24" i="6315"/>
  <c r="O20" i="6314"/>
  <c r="O29" i="6301"/>
  <c r="O31" i="6301"/>
  <c r="O21" i="6301"/>
  <c r="O31" i="6315" l="1"/>
  <c r="O26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5" i="6313"/>
  <c r="O26" i="6311"/>
  <c r="O24" i="6311"/>
  <c r="O29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1" i="6315"/>
  <c r="H9" i="6315"/>
  <c r="H37" i="6315"/>
  <c r="H15" i="6315"/>
  <c r="C37" i="6315"/>
  <c r="H18" i="6315"/>
  <c r="H11" i="6315"/>
  <c r="C19" i="6315"/>
  <c r="H20" i="6315"/>
  <c r="C39" i="6315"/>
  <c r="H10" i="6315"/>
  <c r="H3" i="6315"/>
  <c r="H22" i="6315"/>
  <c r="H8" i="6315"/>
  <c r="C20" i="6315"/>
  <c r="H7" i="6315"/>
  <c r="H4" i="6315"/>
  <c r="H25" i="6315"/>
  <c r="H29" i="6315"/>
  <c r="H41" i="6315"/>
  <c r="C41" i="6315"/>
  <c r="H42" i="6315"/>
  <c r="H26" i="6315"/>
  <c r="H19" i="6315"/>
  <c r="H34" i="6315"/>
  <c r="C42" i="6315"/>
  <c r="H6" i="6315"/>
  <c r="H33" i="6315"/>
  <c r="H12" i="6315"/>
  <c r="C17" i="6315"/>
  <c r="C23" i="6315"/>
  <c r="H5" i="6315"/>
  <c r="H14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2" i="6315"/>
  <c r="H24" i="6315"/>
  <c r="H28" i="6315"/>
  <c r="H16" i="6315"/>
  <c r="H36" i="6315"/>
  <c r="H40" i="6315"/>
  <c r="C44" i="6315"/>
  <c r="C21" i="6315"/>
  <c r="B25" i="6315"/>
  <c r="H17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1" i="6313" l="1"/>
  <c r="O23" i="6313"/>
  <c r="O28" i="6313"/>
  <c r="O19" i="6310"/>
  <c r="O22" i="6310"/>
  <c r="O27" i="6303"/>
  <c r="O24" i="6303"/>
  <c r="O26" i="6303"/>
  <c r="O24" i="6307"/>
  <c r="O18" i="6307"/>
  <c r="O27" i="6301" l="1"/>
  <c r="O24" i="6313"/>
  <c r="O21" i="6313" l="1"/>
  <c r="O30" i="6313"/>
  <c r="O29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3" i="6298"/>
  <c r="O21" i="6298"/>
  <c r="O25" i="6309"/>
  <c r="O31" i="6309"/>
  <c r="O51" i="6272"/>
  <c r="H2" i="6313" l="1"/>
  <c r="H18" i="6313"/>
  <c r="C35" i="6313"/>
  <c r="C20" i="6313"/>
  <c r="H10" i="6313"/>
  <c r="H41" i="6313"/>
  <c r="H20" i="6313"/>
  <c r="H15" i="6313"/>
  <c r="C21" i="6313"/>
  <c r="H17" i="6313"/>
  <c r="C36" i="6313"/>
  <c r="C41" i="6313"/>
  <c r="H24" i="6313"/>
  <c r="H29" i="6313"/>
  <c r="H37" i="6313"/>
  <c r="C42" i="6313"/>
  <c r="H31" i="6313"/>
  <c r="H5" i="6313"/>
  <c r="H19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1" i="6313"/>
  <c r="H26" i="6313"/>
  <c r="H39" i="6313"/>
  <c r="H14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6" i="6313"/>
  <c r="H27" i="6313"/>
  <c r="H30" i="6313"/>
  <c r="H36" i="6313"/>
  <c r="H40" i="6313"/>
  <c r="O19" i="6287" l="1"/>
  <c r="O18" i="6287"/>
  <c r="O42" i="6287"/>
  <c r="O19" i="6306"/>
  <c r="O24" i="6306"/>
  <c r="O28" i="6306"/>
  <c r="O23" i="6308"/>
  <c r="O21" i="6308"/>
  <c r="O20" i="6309"/>
  <c r="O21" i="6309"/>
  <c r="O23" i="6293" l="1"/>
  <c r="O27" i="6293"/>
  <c r="O18" i="6293"/>
  <c r="O31" i="6307"/>
  <c r="O19" i="6307"/>
  <c r="O22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1" i="6272"/>
  <c r="O25" i="6311"/>
  <c r="O28" i="6311"/>
  <c r="O30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2" i="6311"/>
  <c r="B11" i="6311"/>
  <c r="C11" i="6311" s="1"/>
  <c r="H11" i="6311"/>
  <c r="C10" i="6311"/>
  <c r="O9" i="6311"/>
  <c r="H9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4" i="6311"/>
  <c r="O3" i="6311"/>
  <c r="H10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3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3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0" i="6301"/>
  <c r="O22" i="6301"/>
  <c r="O34" i="6301"/>
  <c r="O28" i="6309"/>
  <c r="O27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26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8" i="6272"/>
  <c r="O29" i="6307"/>
  <c r="O28" i="6307"/>
  <c r="O23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2" i="6272"/>
  <c r="O26" i="6272"/>
  <c r="H8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6" i="6309"/>
  <c r="H31" i="6308"/>
  <c r="H8" i="6308"/>
  <c r="H3" i="6308"/>
  <c r="H20" i="6308"/>
  <c r="C38" i="6308"/>
  <c r="H19" i="6307"/>
  <c r="H15" i="6307"/>
  <c r="H3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4" i="6309"/>
  <c r="H15" i="6309"/>
  <c r="H30" i="6309"/>
  <c r="C37" i="6309"/>
  <c r="C43" i="6309"/>
  <c r="H19" i="6309"/>
  <c r="C22" i="6309"/>
  <c r="H10" i="6309"/>
  <c r="H22" i="6309"/>
  <c r="C23" i="6309"/>
  <c r="H17" i="6309"/>
  <c r="H38" i="6309"/>
  <c r="C46" i="6309"/>
  <c r="H7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1" i="6307"/>
  <c r="C42" i="6307"/>
  <c r="H6" i="6307"/>
  <c r="H23" i="6307"/>
  <c r="C22" i="6307"/>
  <c r="H31" i="6307"/>
  <c r="C37" i="6307"/>
  <c r="H5" i="6307"/>
  <c r="C43" i="6307"/>
  <c r="H37" i="6307"/>
  <c r="H17" i="6307"/>
  <c r="H2" i="6307"/>
  <c r="H32" i="6307"/>
  <c r="H8" i="6307"/>
  <c r="H20" i="6307"/>
  <c r="H25" i="6307"/>
  <c r="H39" i="6307"/>
  <c r="C45" i="6307"/>
  <c r="H29" i="6307"/>
  <c r="H10" i="6307"/>
  <c r="C23" i="6307"/>
  <c r="H4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3" i="6307"/>
  <c r="H35" i="6307"/>
  <c r="C40" i="6307"/>
  <c r="C47" i="6307"/>
  <c r="B25" i="6307"/>
  <c r="H12" i="6307"/>
  <c r="H24" i="6307"/>
  <c r="H27" i="6307"/>
  <c r="H33" i="6307"/>
  <c r="H38" i="6307"/>
  <c r="H42" i="6307"/>
  <c r="H16" i="6307"/>
  <c r="H26" i="6307"/>
  <c r="H30" i="6307"/>
  <c r="H36" i="6307"/>
  <c r="H40" i="6307"/>
  <c r="O22" i="6305" l="1"/>
  <c r="O24" i="6298"/>
  <c r="O33" i="6305" l="1"/>
  <c r="O32" i="6305"/>
  <c r="O18" i="6295"/>
  <c r="O25" i="6287"/>
  <c r="O25" i="6305"/>
  <c r="O26" i="6305"/>
  <c r="O20" i="6306"/>
  <c r="O25" i="6306"/>
  <c r="O22" i="6306"/>
  <c r="O31" i="6304"/>
  <c r="O24" i="6304"/>
  <c r="O28" i="6304"/>
  <c r="O32" i="6277"/>
  <c r="O24" i="6277"/>
  <c r="O32" i="6301" l="1"/>
  <c r="O28" i="6301"/>
  <c r="O28" i="6303"/>
  <c r="O25" i="6303"/>
  <c r="O22" i="6298"/>
  <c r="O20" i="6298"/>
  <c r="O18" i="6298"/>
  <c r="O35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0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29" i="6302"/>
  <c r="O25" i="6301"/>
  <c r="O24" i="6301"/>
  <c r="O20" i="6305"/>
  <c r="O19" i="6305"/>
  <c r="O21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0" i="6277"/>
  <c r="O42" i="6272"/>
  <c r="H19" i="6305" l="1"/>
  <c r="H3" i="6305"/>
  <c r="H16" i="6305"/>
  <c r="H12" i="6305"/>
  <c r="H2" i="6305"/>
  <c r="H6" i="6305"/>
  <c r="H8" i="6305"/>
  <c r="H10" i="6305"/>
  <c r="H13" i="6305"/>
  <c r="H5" i="6305"/>
  <c r="H17" i="6305"/>
  <c r="H9" i="6305"/>
  <c r="H7" i="6305"/>
  <c r="H15" i="6305"/>
  <c r="H18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4" i="6305"/>
  <c r="H20" i="6305"/>
  <c r="O26" i="6302" l="1"/>
  <c r="O22" i="6304"/>
  <c r="O31" i="6298" l="1"/>
  <c r="O45" i="6287"/>
  <c r="O20" i="6304"/>
  <c r="O21" i="6304"/>
  <c r="O22" i="6277" l="1"/>
  <c r="O35" i="6277"/>
  <c r="O26" i="6299"/>
  <c r="O27" i="6302"/>
  <c r="O25" i="6295" l="1"/>
  <c r="O21" i="6299"/>
  <c r="O20" i="6299"/>
  <c r="O18" i="6303"/>
  <c r="O21" i="6303"/>
  <c r="O49" i="6272"/>
  <c r="O25" i="6304"/>
  <c r="O27" i="6304"/>
  <c r="O30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7" i="6304"/>
  <c r="H6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4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0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5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28" i="6272"/>
  <c r="H11" i="6302" l="1"/>
  <c r="H7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1" i="6287" l="1"/>
  <c r="O23" i="6295"/>
  <c r="O26" i="6301"/>
  <c r="O33" i="6301"/>
  <c r="O23" i="6301"/>
  <c r="C32" i="6301"/>
  <c r="B27" i="6301"/>
  <c r="C18" i="6301"/>
  <c r="B17" i="6301"/>
  <c r="C17" i="6301" s="1"/>
  <c r="B16" i="6301"/>
  <c r="O15" i="6301"/>
  <c r="H19" i="6301"/>
  <c r="B15" i="6301"/>
  <c r="C15" i="6301" s="1"/>
  <c r="O14" i="6301"/>
  <c r="H18" i="6301"/>
  <c r="C14" i="6301"/>
  <c r="O13" i="6301"/>
  <c r="C13" i="6301"/>
  <c r="O12" i="6301"/>
  <c r="H16" i="6301"/>
  <c r="C12" i="6301"/>
  <c r="H11" i="6301"/>
  <c r="B11" i="6301"/>
  <c r="C11" i="6301" s="1"/>
  <c r="H7" i="6301"/>
  <c r="C10" i="6301"/>
  <c r="O9" i="6301"/>
  <c r="H10" i="6301"/>
  <c r="C9" i="6301"/>
  <c r="O8" i="6301"/>
  <c r="H15" i="6301"/>
  <c r="C8" i="6301"/>
  <c r="O7" i="6301"/>
  <c r="H8" i="6301"/>
  <c r="C7" i="6301"/>
  <c r="O6" i="6301"/>
  <c r="H5" i="6301"/>
  <c r="B6" i="6301"/>
  <c r="O5" i="6301"/>
  <c r="H6" i="6301"/>
  <c r="B5" i="6301"/>
  <c r="O4" i="6301"/>
  <c r="O3" i="6301"/>
  <c r="H9" i="6301"/>
  <c r="O2" i="6301"/>
  <c r="H3" i="6301"/>
  <c r="O40" i="6277"/>
  <c r="O29" i="6272"/>
  <c r="H2" i="6301" l="1"/>
  <c r="H17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14" i="6301"/>
  <c r="H28" i="6301"/>
  <c r="H27" i="6301"/>
  <c r="B25" i="6301"/>
  <c r="H26" i="6301"/>
  <c r="B24" i="6301"/>
  <c r="H25" i="6301"/>
  <c r="C23" i="6301"/>
  <c r="H13" i="6301"/>
  <c r="C22" i="6301"/>
  <c r="H24" i="6301"/>
  <c r="C21" i="6301"/>
  <c r="H23" i="6301"/>
  <c r="C20" i="6301"/>
  <c r="H22" i="6301"/>
  <c r="C19" i="6301"/>
  <c r="H21" i="6301"/>
  <c r="H20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9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2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3" i="6277"/>
  <c r="O23" i="6277"/>
  <c r="O38" i="6272"/>
  <c r="O32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3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8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7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7" i="6287"/>
  <c r="O33" i="6287"/>
  <c r="O21" i="6273"/>
  <c r="O40" i="6287"/>
  <c r="O39" i="6287"/>
  <c r="O44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4" i="6287"/>
  <c r="H24" i="6287"/>
  <c r="H8" i="6287"/>
  <c r="C20" i="6287"/>
  <c r="H11" i="6287"/>
  <c r="H3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0" i="6272"/>
  <c r="O23" i="6278"/>
  <c r="O18" i="6278"/>
  <c r="O18" i="6275"/>
  <c r="O26" i="6275"/>
  <c r="O22" i="6275"/>
  <c r="O21" i="6282"/>
  <c r="O22" i="6282"/>
  <c r="O51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4" i="6277"/>
  <c r="O29" i="6277"/>
  <c r="O4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7" i="6277"/>
  <c r="O49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3" i="6272"/>
  <c r="O54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6" i="6272"/>
  <c r="O57" i="6272"/>
  <c r="O4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19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3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5" i="6272"/>
  <c r="B24" i="6272"/>
  <c r="H8" i="6272"/>
  <c r="H26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<sst xmlns="http://schemas.openxmlformats.org/spreadsheetml/2006/main" count="9177" uniqueCount="308">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</sst>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全体!$K$2:$K$519</c:f>
              <c:numCache>
                <c:formatCode>General</c:formatCode>
                <c:ptCount val="5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</c:numCache>
            </c:numRef>
          </c:xVal>
          <c:yVal>
            <c:numRef>
              <c:f>全体!$L$2:$L$519</c:f>
              <c:numCache>
                <c:formatCode>\+0.0;\-0.0;\±0</c:formatCode>
                <c:ptCount val="51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-54.158607350096709</c:v>
                </c:pt>
                <c:pt idx="1">
                  <c:v>-18.181818181818183</c:v>
                </c:pt>
                <c:pt idx="2">
                  <c:v>-27.326732673267326</c:v>
                </c:pt>
                <c:pt idx="3">
                  <c:v>-47.311827956989248</c:v>
                </c:pt>
                <c:pt idx="4">
                  <c:v>-8.8235294117647065</c:v>
                </c:pt>
                <c:pt idx="5">
                  <c:v>-35.714285714285715</c:v>
                </c:pt>
                <c:pt idx="6">
                  <c:v>0</c:v>
                </c:pt>
                <c:pt idx="7">
                  <c:v>20.833333333333332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87</c:v>
                </c:pt>
                <c:pt idx="1">
                  <c:v>167</c:v>
                </c:pt>
                <c:pt idx="2">
                  <c:v>181</c:v>
                </c:pt>
                <c:pt idx="3">
                  <c:v>167</c:v>
                </c:pt>
                <c:pt idx="4">
                  <c:v>96</c:v>
                </c:pt>
                <c:pt idx="5">
                  <c:v>72</c:v>
                </c:pt>
                <c:pt idx="6">
                  <c:v>23</c:v>
                </c:pt>
                <c:pt idx="7">
                  <c:v>6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佐藤成浩!$L$2:$L$52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1060</c:v>
                </c:pt>
                <c:pt idx="1">
                  <c:v>1426</c:v>
                </c:pt>
                <c:pt idx="2">
                  <c:v>1351.0204081632653</c:v>
                </c:pt>
                <c:pt idx="3">
                  <c:v>390.69767441860466</c:v>
                </c:pt>
                <c:pt idx="4">
                  <c:v>1220</c:v>
                </c:pt>
                <c:pt idx="5">
                  <c:v>1330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4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柳澤颯吾!$L$2:$L$48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1163.0434782608695</c:v>
                </c:pt>
                <c:pt idx="1">
                  <c:v>504.3478260869565</c:v>
                </c:pt>
                <c:pt idx="2">
                  <c:v>1420</c:v>
                </c:pt>
                <c:pt idx="3">
                  <c:v>-19.512195121951219</c:v>
                </c:pt>
                <c:pt idx="4">
                  <c:v>-703.7037037037037</c:v>
                </c:pt>
                <c:pt idx="5">
                  <c:v>-1375</c:v>
                </c:pt>
                <c:pt idx="6">
                  <c:v>-388.88888888888891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25</c:v>
                </c:pt>
                <c:pt idx="3">
                  <c:v>7</c:v>
                </c:pt>
                <c:pt idx="4">
                  <c:v>13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中村花菜!$L$2:$L$24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-2681.818181818182</c:v>
                </c:pt>
                <c:pt idx="1">
                  <c:v>-2159.090909090909</c:v>
                </c:pt>
                <c:pt idx="2">
                  <c:v>-2004.5454545454545</c:v>
                </c:pt>
                <c:pt idx="3">
                  <c:v>-461.90476190476193</c:v>
                </c:pt>
                <c:pt idx="4">
                  <c:v>-416.66666666666669</c:v>
                </c:pt>
                <c:pt idx="5">
                  <c:v>850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中村季暉!$L$2:$L$22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-400</c:v>
                </c:pt>
                <c:pt idx="1">
                  <c:v>805</c:v>
                </c:pt>
                <c:pt idx="2">
                  <c:v>-1084.2105263157894</c:v>
                </c:pt>
                <c:pt idx="3">
                  <c:v>-538.88888888888891</c:v>
                </c:pt>
                <c:pt idx="4">
                  <c:v>-3118.181818181818</c:v>
                </c:pt>
                <c:pt idx="5">
                  <c:v>-4250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塩入悠!$L$2:$L$15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-3092.3076923076924</c:v>
                </c:pt>
                <c:pt idx="1">
                  <c:v>-146.15384615384616</c:v>
                </c:pt>
                <c:pt idx="2">
                  <c:v>608.33333333333337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宮澤七星!$L$2:$L$24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-1177.2727272727273</c:v>
                </c:pt>
                <c:pt idx="1">
                  <c:v>1390.909090909091</c:v>
                </c:pt>
                <c:pt idx="2">
                  <c:v>-280</c:v>
                </c:pt>
                <c:pt idx="3">
                  <c:v>-584.21052631578948</c:v>
                </c:pt>
                <c:pt idx="4">
                  <c:v>337.5</c:v>
                </c:pt>
                <c:pt idx="5">
                  <c:v>-260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湯本咲蔵!$L$2:$L$26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-258.33333333333331</c:v>
                </c:pt>
                <c:pt idx="1">
                  <c:v>-1183.3333333333333</c:v>
                </c:pt>
                <c:pt idx="2">
                  <c:v>187.5</c:v>
                </c:pt>
                <c:pt idx="3">
                  <c:v>150</c:v>
                </c:pt>
                <c:pt idx="4">
                  <c:v>878.9473684210526</c:v>
                </c:pt>
                <c:pt idx="5">
                  <c:v>2255.5555555555557</c:v>
                </c:pt>
                <c:pt idx="6">
                  <c:v>2425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10</c:v>
                </c:pt>
                <c:pt idx="2">
                  <c:v>7</c:v>
                </c:pt>
                <c:pt idx="3">
                  <c:v>10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山本悠介!$L$2:$L$28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1384.6153846153845</c:v>
                </c:pt>
                <c:pt idx="1">
                  <c:v>296.15384615384613</c:v>
                </c:pt>
                <c:pt idx="2">
                  <c:v>-153.84615384615384</c:v>
                </c:pt>
                <c:pt idx="3">
                  <c:v>730.43478260869563</c:v>
                </c:pt>
                <c:pt idx="4">
                  <c:v>950</c:v>
                </c:pt>
                <c:pt idx="5">
                  <c:v>1100</c:v>
                </c:pt>
                <c:pt idx="6">
                  <c:v>-2481.818181818182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16</c:v>
                </c:pt>
                <c:pt idx="3">
                  <c:v>5</c:v>
                </c:pt>
                <c:pt idx="4">
                  <c:v>9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渡部陵瑛!$L$2:$L$18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100</c:v>
                </c:pt>
                <c:pt idx="1">
                  <c:v>-1056.25</c:v>
                </c:pt>
                <c:pt idx="2">
                  <c:v>-2206.6666666666665</c:v>
                </c:pt>
                <c:pt idx="3">
                  <c:v>-1021.4285714285714</c:v>
                </c:pt>
                <c:pt idx="4">
                  <c:v>866.66666666666663</c:v>
                </c:pt>
                <c:pt idx="5">
                  <c:v>-285.71428571428572</c:v>
                </c:pt>
                <c:pt idx="6">
                  <c:v>-1000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清水常緑!$L$2:$L$25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1617.391304347826</c:v>
                </c:pt>
                <c:pt idx="2">
                  <c:v>804.3478260869565</c:v>
                </c:pt>
                <c:pt idx="3">
                  <c:v>282.60869565217394</c:v>
                </c:pt>
                <c:pt idx="4">
                  <c:v>-1127.7777777777778</c:v>
                </c:pt>
                <c:pt idx="5">
                  <c:v>392.30769230769232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8</c:v>
                </c:pt>
                <c:pt idx="3">
                  <c:v>6</c:v>
                </c:pt>
                <c:pt idx="4">
                  <c:v>7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長野柊馬!$L$2:$L$20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2155.5555555555557</c:v>
                </c:pt>
                <c:pt idx="1">
                  <c:v>-105.55555555555556</c:v>
                </c:pt>
                <c:pt idx="2">
                  <c:v>2405.8823529411766</c:v>
                </c:pt>
                <c:pt idx="3">
                  <c:v>614.28571428571433</c:v>
                </c:pt>
                <c:pt idx="4">
                  <c:v>2090</c:v>
                </c:pt>
                <c:pt idx="5">
                  <c:v>962.5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井澤軌人!$L$2:$L$7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-2260</c:v>
                </c:pt>
                <c:pt idx="1">
                  <c:v>-620</c:v>
                </c:pt>
                <c:pt idx="2">
                  <c:v>-1675</c:v>
                </c:pt>
                <c:pt idx="3">
                  <c:v>3633.3333333333335</c:v>
                </c:pt>
                <c:pt idx="4">
                  <c:v>0</c:v>
                </c:pt>
                <c:pt idx="5">
                  <c:v>-650</c:v>
                </c:pt>
                <c:pt idx="6">
                  <c:v>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小林圭太!$L$2:$L$6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-2450</c:v>
                </c:pt>
                <c:pt idx="1">
                  <c:v>-100</c:v>
                </c:pt>
                <c:pt idx="2">
                  <c:v>-4550</c:v>
                </c:pt>
                <c:pt idx="3">
                  <c:v>3133.3333333333335</c:v>
                </c:pt>
                <c:pt idx="4">
                  <c:v>-100</c:v>
                </c:pt>
                <c:pt idx="5">
                  <c:v>2600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9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517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22</v>
      </c>
    </row>
    <row r="30" spans="1:2">
      <c r="A30" t="s">
        <v>238</v>
      </c>
      <c r="B30">
        <v>20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13</v>
      </c>
    </row>
    <row r="33" spans="1:2">
      <c r="A33" t="s">
        <v>255</v>
      </c>
      <c r="B33">
        <v>22</v>
      </c>
    </row>
    <row r="34" spans="1:2">
      <c r="A34" t="s">
        <v>258</v>
      </c>
      <c r="B34">
        <v>7</v>
      </c>
    </row>
    <row r="35" spans="1:2">
      <c r="A35" t="s">
        <v>265</v>
      </c>
      <c r="B35">
        <v>24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16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23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18</v>
      </c>
    </row>
    <row r="44" spans="1:2">
      <c r="A44" t="s">
        <v>297</v>
      </c>
      <c r="B44">
        <v>5</v>
      </c>
    </row>
    <row r="45" spans="1:2">
      <c r="A45" t="s">
        <v>304</v>
      </c>
      <c r="B45">
        <v>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0.56858990890426508</v>
      </c>
      <c r="C2" s="111"/>
      <c r="D2" s="112"/>
      <c r="E2" s="113"/>
      <c r="F2" s="112"/>
      <c r="G2" s="113"/>
      <c r="H2" s="110">
        <v>0.87508389069391068</v>
      </c>
      <c r="I2" s="111"/>
      <c r="J2" s="110">
        <v>0.68974432574398992</v>
      </c>
      <c r="K2" s="111"/>
      <c r="L2" s="110">
        <v>0.66696451718869587</v>
      </c>
      <c r="M2" s="111"/>
      <c r="N2" s="110">
        <v>0.80667579911660459</v>
      </c>
      <c r="O2" s="111"/>
      <c r="P2" s="110">
        <v>0.64935339251472279</v>
      </c>
      <c r="Q2" s="111"/>
      <c r="R2" s="110">
        <v>0.47103226177866397</v>
      </c>
      <c r="S2" s="111"/>
      <c r="T2" s="110">
        <v>0.25126583748264597</v>
      </c>
      <c r="U2" s="111"/>
      <c r="V2" s="110">
        <v>0.26416371622145934</v>
      </c>
      <c r="W2" s="111"/>
      <c r="X2" s="110">
        <v>4.9463497196290084E-2</v>
      </c>
      <c r="Y2" s="111"/>
      <c r="Z2" s="110">
        <v>0.40660657818336049</v>
      </c>
      <c r="AA2" s="111"/>
      <c r="AB2" s="110">
        <v>0.27638730586944976</v>
      </c>
      <c r="AC2" s="111"/>
      <c r="AD2" s="110">
        <v>0.47827097184801592</v>
      </c>
      <c r="AE2" s="111"/>
      <c r="AF2" s="110">
        <v>-0.33833329345648938</v>
      </c>
      <c r="AG2" s="111"/>
      <c r="AH2" s="110">
        <v>0.64989703677885347</v>
      </c>
      <c r="AI2" s="111"/>
    </row>
    <row r="3" spans="1:35">
      <c r="A3" s="36">
        <v>1</v>
      </c>
      <c r="B3" s="37" t="s">
        <v>114</v>
      </c>
      <c r="C3" s="106">
        <v>129.25</v>
      </c>
      <c r="D3" s="37" t="s">
        <v>169</v>
      </c>
      <c r="E3" s="38">
        <v>737.5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276</v>
      </c>
      <c r="AI3" s="53">
        <v>74800</v>
      </c>
    </row>
    <row r="4" spans="1:35">
      <c r="A4" s="44">
        <v>2</v>
      </c>
      <c r="B4" s="45" t="s">
        <v>169</v>
      </c>
      <c r="C4" s="107">
        <v>50</v>
      </c>
      <c r="D4" s="45" t="s">
        <v>276</v>
      </c>
      <c r="E4" s="46">
        <v>363.40000000000009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74800</v>
      </c>
    </row>
    <row r="5" spans="1:35">
      <c r="A5" s="44">
        <v>3</v>
      </c>
      <c r="B5" s="45" t="s">
        <v>195</v>
      </c>
      <c r="C5" s="107">
        <v>46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276</v>
      </c>
      <c r="S5" s="50">
        <v>6.9230769230769235E-2</v>
      </c>
      <c r="T5" s="47" t="s">
        <v>244</v>
      </c>
      <c r="U5" s="51">
        <v>8547.6190476190477</v>
      </c>
      <c r="V5" s="47" t="s">
        <v>264</v>
      </c>
      <c r="W5" s="51">
        <v>-1950</v>
      </c>
      <c r="X5" s="47" t="s">
        <v>258</v>
      </c>
      <c r="Y5" s="50">
        <v>0.32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297</v>
      </c>
      <c r="AG5" s="50">
        <v>0.6</v>
      </c>
      <c r="AH5" s="47" t="s">
        <v>169</v>
      </c>
      <c r="AI5" s="54">
        <v>72200</v>
      </c>
    </row>
    <row r="6" spans="1:35">
      <c r="A6" s="44">
        <v>4</v>
      </c>
      <c r="B6" s="45" t="s">
        <v>216</v>
      </c>
      <c r="C6" s="107">
        <v>27</v>
      </c>
      <c r="D6" s="45" t="s">
        <v>263</v>
      </c>
      <c r="E6" s="46">
        <v>217.6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216</v>
      </c>
      <c r="U6" s="51">
        <v>8496.2962962962956</v>
      </c>
      <c r="V6" s="47" t="s">
        <v>175</v>
      </c>
      <c r="W6" s="51">
        <v>-2950</v>
      </c>
      <c r="X6" s="47" t="s">
        <v>167</v>
      </c>
      <c r="Y6" s="50">
        <v>0.2857142857142857</v>
      </c>
      <c r="Z6" s="47" t="s">
        <v>276</v>
      </c>
      <c r="AA6" s="50">
        <v>0.33076923076923076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244</v>
      </c>
      <c r="AI6" s="54">
        <v>71800</v>
      </c>
    </row>
    <row r="7" spans="1:35">
      <c r="A7" s="44">
        <v>5</v>
      </c>
      <c r="B7" s="45" t="s">
        <v>263</v>
      </c>
      <c r="C7" s="107">
        <v>26</v>
      </c>
      <c r="D7" s="45" t="s">
        <v>272</v>
      </c>
      <c r="E7" s="46">
        <v>185.20000000000002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175</v>
      </c>
      <c r="U7" s="51">
        <v>8400</v>
      </c>
      <c r="V7" s="47" t="s">
        <v>191</v>
      </c>
      <c r="W7" s="51">
        <v>-3740</v>
      </c>
      <c r="X7" s="47" t="s">
        <v>223</v>
      </c>
      <c r="Y7" s="50">
        <v>0.2857142857142857</v>
      </c>
      <c r="Z7" s="47" t="s">
        <v>297</v>
      </c>
      <c r="AA7" s="50">
        <v>0.3235294117647059</v>
      </c>
      <c r="AB7" s="47" t="s">
        <v>166</v>
      </c>
      <c r="AC7" s="50">
        <v>0.75</v>
      </c>
      <c r="AD7" s="47" t="s">
        <v>241</v>
      </c>
      <c r="AE7" s="50">
        <v>0.53846153846153844</v>
      </c>
      <c r="AF7" s="47" t="s">
        <v>167</v>
      </c>
      <c r="AG7" s="50">
        <v>0.5</v>
      </c>
      <c r="AH7" s="47" t="s">
        <v>162</v>
      </c>
      <c r="AI7" s="54">
        <v>67800</v>
      </c>
    </row>
    <row r="8" spans="1:35">
      <c r="A8" s="44">
        <v>6</v>
      </c>
      <c r="B8" s="45" t="s">
        <v>265</v>
      </c>
      <c r="C8" s="107">
        <v>24</v>
      </c>
      <c r="D8" s="45" t="s">
        <v>195</v>
      </c>
      <c r="E8" s="46">
        <v>160.79999999999995</v>
      </c>
      <c r="F8" s="47" t="s">
        <v>276</v>
      </c>
      <c r="G8" s="59">
        <v>20.188888888888894</v>
      </c>
      <c r="H8" s="47" t="s">
        <v>276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0.72222222222222221</v>
      </c>
      <c r="P8" s="47" t="s">
        <v>162</v>
      </c>
      <c r="Q8" s="50">
        <v>0.26923076923076922</v>
      </c>
      <c r="R8" s="47" t="s">
        <v>169</v>
      </c>
      <c r="S8" s="50">
        <v>9.1152815013404831E-2</v>
      </c>
      <c r="T8" s="47" t="s">
        <v>205</v>
      </c>
      <c r="U8" s="51">
        <v>8333.3333333333339</v>
      </c>
      <c r="V8" s="47" t="s">
        <v>258</v>
      </c>
      <c r="W8" s="51">
        <v>-3880</v>
      </c>
      <c r="X8" s="47" t="s">
        <v>272</v>
      </c>
      <c r="Y8" s="50">
        <v>0.27586206896551724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203</v>
      </c>
      <c r="AG8" s="50">
        <v>0.5</v>
      </c>
      <c r="AH8" s="47" t="s">
        <v>228</v>
      </c>
      <c r="AI8" s="54">
        <v>67500</v>
      </c>
    </row>
    <row r="9" spans="1:35">
      <c r="A9" s="44">
        <v>7</v>
      </c>
      <c r="B9" s="45" t="s">
        <v>272</v>
      </c>
      <c r="C9" s="107">
        <v>23</v>
      </c>
      <c r="D9" s="45" t="s">
        <v>168</v>
      </c>
      <c r="E9" s="46">
        <v>154.39999999999998</v>
      </c>
      <c r="F9" s="47" t="s">
        <v>169</v>
      </c>
      <c r="G9" s="59">
        <v>14.75</v>
      </c>
      <c r="H9" s="47" t="s">
        <v>167</v>
      </c>
      <c r="I9" s="48">
        <v>2</v>
      </c>
      <c r="J9" s="47" t="s">
        <v>276</v>
      </c>
      <c r="K9" s="49">
        <v>0.44444444444444442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195</v>
      </c>
      <c r="Q9" s="50">
        <v>0.26380368098159507</v>
      </c>
      <c r="R9" s="47" t="s">
        <v>263</v>
      </c>
      <c r="S9" s="50">
        <v>0.10294117647058823</v>
      </c>
      <c r="T9" s="47" t="s">
        <v>228</v>
      </c>
      <c r="U9" s="51">
        <v>8024</v>
      </c>
      <c r="V9" s="47" t="s">
        <v>215</v>
      </c>
      <c r="W9" s="51">
        <v>-3900</v>
      </c>
      <c r="X9" s="47" t="s">
        <v>265</v>
      </c>
      <c r="Y9" s="50">
        <v>0.27011494252873564</v>
      </c>
      <c r="Z9" s="47" t="s">
        <v>195</v>
      </c>
      <c r="AA9" s="50">
        <v>0.30368098159509205</v>
      </c>
      <c r="AB9" s="47" t="s">
        <v>177</v>
      </c>
      <c r="AC9" s="50">
        <v>0.75</v>
      </c>
      <c r="AD9" s="47" t="s">
        <v>265</v>
      </c>
      <c r="AE9" s="50">
        <v>0.48148148148148145</v>
      </c>
      <c r="AF9" s="47" t="s">
        <v>223</v>
      </c>
      <c r="AG9" s="50">
        <v>0.5</v>
      </c>
      <c r="AH9" s="47" t="s">
        <v>168</v>
      </c>
      <c r="AI9" s="54">
        <v>65600</v>
      </c>
    </row>
    <row r="10" spans="1:35">
      <c r="A10" s="44">
        <v>8</v>
      </c>
      <c r="B10" s="45" t="s">
        <v>235</v>
      </c>
      <c r="C10" s="107">
        <v>22</v>
      </c>
      <c r="D10" s="45" t="s">
        <v>205</v>
      </c>
      <c r="E10" s="46">
        <v>141.1</v>
      </c>
      <c r="F10" s="47" t="s">
        <v>167</v>
      </c>
      <c r="G10" s="59">
        <v>14</v>
      </c>
      <c r="H10" s="47" t="s">
        <v>169</v>
      </c>
      <c r="I10" s="48">
        <v>2.1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0.68</v>
      </c>
      <c r="P10" s="47" t="s">
        <v>263</v>
      </c>
      <c r="Q10" s="50">
        <v>0.25980392156862747</v>
      </c>
      <c r="R10" s="47" t="s">
        <v>177</v>
      </c>
      <c r="S10" s="50">
        <v>0.10526315789473684</v>
      </c>
      <c r="T10" s="47" t="s">
        <v>231</v>
      </c>
      <c r="U10" s="51">
        <v>7975</v>
      </c>
      <c r="V10" s="47" t="s">
        <v>231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268</v>
      </c>
      <c r="AG10" s="50">
        <v>0.5</v>
      </c>
      <c r="AH10" s="47" t="s">
        <v>195</v>
      </c>
      <c r="AI10" s="54">
        <v>65500</v>
      </c>
    </row>
    <row r="11" spans="1:35">
      <c r="A11" s="44">
        <v>9</v>
      </c>
      <c r="B11" s="45" t="s">
        <v>255</v>
      </c>
      <c r="C11" s="107">
        <v>22</v>
      </c>
      <c r="D11" s="45" t="s">
        <v>265</v>
      </c>
      <c r="E11" s="46">
        <v>122.10000000000005</v>
      </c>
      <c r="F11" s="47" t="s">
        <v>168</v>
      </c>
      <c r="G11" s="59">
        <v>8.5777777777777757</v>
      </c>
      <c r="H11" s="47" t="s">
        <v>191</v>
      </c>
      <c r="I11" s="48">
        <v>2.1428571428571428</v>
      </c>
      <c r="J11" s="47" t="s">
        <v>244</v>
      </c>
      <c r="K11" s="49">
        <v>0.38461538461538464</v>
      </c>
      <c r="L11" s="47" t="s">
        <v>191</v>
      </c>
      <c r="M11" s="49">
        <v>7.1428571428571425E-2</v>
      </c>
      <c r="N11" s="47" t="s">
        <v>162</v>
      </c>
      <c r="O11" s="49">
        <v>0.66666666666666663</v>
      </c>
      <c r="P11" s="47" t="s">
        <v>276</v>
      </c>
      <c r="Q11" s="50">
        <v>0.25384615384615383</v>
      </c>
      <c r="R11" s="47" t="s">
        <v>179</v>
      </c>
      <c r="S11" s="50">
        <v>0.10687022900763359</v>
      </c>
      <c r="T11" s="47" t="s">
        <v>264</v>
      </c>
      <c r="U11" s="51">
        <v>7966.666666666667</v>
      </c>
      <c r="V11" s="47" t="s">
        <v>297</v>
      </c>
      <c r="W11" s="51">
        <v>-3940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263</v>
      </c>
      <c r="AC11" s="50">
        <v>0.7</v>
      </c>
      <c r="AD11" s="47" t="s">
        <v>263</v>
      </c>
      <c r="AE11" s="50">
        <v>0.44186046511627908</v>
      </c>
      <c r="AF11" s="47" t="s">
        <v>255</v>
      </c>
      <c r="AG11" s="50">
        <v>0.46875</v>
      </c>
      <c r="AH11" s="47" t="s">
        <v>227</v>
      </c>
      <c r="AI11" s="54">
        <v>64500</v>
      </c>
    </row>
    <row r="12" spans="1:35">
      <c r="A12" s="44">
        <v>10</v>
      </c>
      <c r="B12" s="45" t="s">
        <v>238</v>
      </c>
      <c r="C12" s="107">
        <v>20</v>
      </c>
      <c r="D12" s="45" t="s">
        <v>231</v>
      </c>
      <c r="E12" s="46">
        <v>112.5</v>
      </c>
      <c r="F12" s="47" t="s">
        <v>263</v>
      </c>
      <c r="G12" s="59">
        <v>8.3692307692307697</v>
      </c>
      <c r="H12" s="47" t="s">
        <v>263</v>
      </c>
      <c r="I12" s="48">
        <v>2.2307692307692308</v>
      </c>
      <c r="J12" s="47" t="s">
        <v>163</v>
      </c>
      <c r="K12" s="49">
        <v>0.375</v>
      </c>
      <c r="L12" s="47" t="s">
        <v>263</v>
      </c>
      <c r="M12" s="49">
        <v>0.11538461538461539</v>
      </c>
      <c r="N12" s="47" t="s">
        <v>263</v>
      </c>
      <c r="O12" s="49">
        <v>0.61538461538461542</v>
      </c>
      <c r="P12" s="47" t="s">
        <v>272</v>
      </c>
      <c r="Q12" s="50">
        <v>0.2471264367816092</v>
      </c>
      <c r="R12" s="47" t="s">
        <v>205</v>
      </c>
      <c r="S12" s="50">
        <v>0.10714285714285714</v>
      </c>
      <c r="T12" s="47" t="s">
        <v>162</v>
      </c>
      <c r="U12" s="51">
        <v>7942.8571428571431</v>
      </c>
      <c r="V12" s="47" t="s">
        <v>277</v>
      </c>
      <c r="W12" s="51">
        <v>-4235.2941176470586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238</v>
      </c>
      <c r="AC12" s="50">
        <v>0.68181818181818177</v>
      </c>
      <c r="AD12" s="47" t="s">
        <v>161</v>
      </c>
      <c r="AE12" s="50">
        <v>0.3888888888888889</v>
      </c>
      <c r="AF12" s="47" t="s">
        <v>216</v>
      </c>
      <c r="AG12" s="50">
        <v>0.44444444444444442</v>
      </c>
      <c r="AH12" s="47" t="s">
        <v>216</v>
      </c>
      <c r="AI12" s="54">
        <v>62700</v>
      </c>
    </row>
    <row r="13" spans="1:35">
      <c r="A13" s="44">
        <v>11</v>
      </c>
      <c r="B13" s="45" t="s">
        <v>228</v>
      </c>
      <c r="C13" s="107">
        <v>19</v>
      </c>
      <c r="D13" s="45" t="s">
        <v>191</v>
      </c>
      <c r="E13" s="46">
        <v>79.299999999999983</v>
      </c>
      <c r="F13" s="47" t="s">
        <v>272</v>
      </c>
      <c r="G13" s="59">
        <v>8.0521739130434788</v>
      </c>
      <c r="H13" s="47" t="s">
        <v>272</v>
      </c>
      <c r="I13" s="48">
        <v>2.2608695652173911</v>
      </c>
      <c r="J13" s="47" t="s">
        <v>169</v>
      </c>
      <c r="K13" s="49">
        <v>0.36</v>
      </c>
      <c r="L13" s="47" t="s">
        <v>169</v>
      </c>
      <c r="M13" s="49">
        <v>0.14000000000000001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7615.6626506024095</v>
      </c>
      <c r="V13" s="47" t="s">
        <v>304</v>
      </c>
      <c r="W13" s="51">
        <v>-4325</v>
      </c>
      <c r="X13" s="47" t="s">
        <v>195</v>
      </c>
      <c r="Y13" s="50">
        <v>0.25153374233128833</v>
      </c>
      <c r="Z13" s="47" t="s">
        <v>179</v>
      </c>
      <c r="AA13" s="50">
        <v>0.25190839694656486</v>
      </c>
      <c r="AB13" s="47" t="s">
        <v>297</v>
      </c>
      <c r="AC13" s="50">
        <v>0.66666666666666663</v>
      </c>
      <c r="AD13" s="47" t="s">
        <v>168</v>
      </c>
      <c r="AE13" s="50">
        <v>0.38297872340425532</v>
      </c>
      <c r="AF13" s="47" t="s">
        <v>269</v>
      </c>
      <c r="AG13" s="50">
        <v>0.44444444444444442</v>
      </c>
      <c r="AH13" s="47" t="s">
        <v>265</v>
      </c>
      <c r="AI13" s="54">
        <v>61200</v>
      </c>
    </row>
    <row r="14" spans="1:35">
      <c r="A14" s="44">
        <v>12</v>
      </c>
      <c r="B14" s="45" t="s">
        <v>168</v>
      </c>
      <c r="C14" s="107">
        <v>18</v>
      </c>
      <c r="D14" s="45" t="s">
        <v>244</v>
      </c>
      <c r="E14" s="46">
        <v>68.499999999999986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272</v>
      </c>
      <c r="K14" s="49">
        <v>0.34782608695652173</v>
      </c>
      <c r="L14" s="47" t="s">
        <v>195</v>
      </c>
      <c r="M14" s="49">
        <v>0.15217391304347827</v>
      </c>
      <c r="N14" s="47" t="s">
        <v>227</v>
      </c>
      <c r="O14" s="49">
        <v>0.5714285714285714</v>
      </c>
      <c r="P14" s="47" t="s">
        <v>265</v>
      </c>
      <c r="Q14" s="50">
        <v>0.2413793103448276</v>
      </c>
      <c r="R14" s="47" t="s">
        <v>166</v>
      </c>
      <c r="S14" s="50">
        <v>0.11428571428571428</v>
      </c>
      <c r="T14" s="47" t="s">
        <v>276</v>
      </c>
      <c r="U14" s="51">
        <v>7521.212121212121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276</v>
      </c>
      <c r="AC14" s="50">
        <v>0.65517241379310343</v>
      </c>
      <c r="AD14" s="47" t="s">
        <v>169</v>
      </c>
      <c r="AE14" s="50">
        <v>0.37179487179487181</v>
      </c>
      <c r="AF14" s="47" t="s">
        <v>161</v>
      </c>
      <c r="AG14" s="50">
        <v>0.4375</v>
      </c>
      <c r="AH14" s="47" t="s">
        <v>255</v>
      </c>
      <c r="AI14" s="54">
        <v>60000</v>
      </c>
    </row>
    <row r="15" spans="1:35">
      <c r="A15" s="44">
        <v>13</v>
      </c>
      <c r="B15" s="45" t="s">
        <v>276</v>
      </c>
      <c r="C15" s="107">
        <v>18</v>
      </c>
      <c r="D15" s="45" t="s">
        <v>264</v>
      </c>
      <c r="E15" s="46">
        <v>63.300000000000004</v>
      </c>
      <c r="F15" s="47" t="s">
        <v>244</v>
      </c>
      <c r="G15" s="59">
        <v>5.2692307692307683</v>
      </c>
      <c r="H15" s="47" t="s">
        <v>265</v>
      </c>
      <c r="I15" s="48">
        <v>2.375</v>
      </c>
      <c r="J15" s="47" t="s">
        <v>265</v>
      </c>
      <c r="K15" s="49">
        <v>0.33333333333333331</v>
      </c>
      <c r="L15" s="47" t="s">
        <v>276</v>
      </c>
      <c r="M15" s="49">
        <v>0.16666666666666666</v>
      </c>
      <c r="N15" s="47" t="s">
        <v>241</v>
      </c>
      <c r="O15" s="49">
        <v>0.5714285714285714</v>
      </c>
      <c r="P15" s="47" t="s">
        <v>264</v>
      </c>
      <c r="Q15" s="50">
        <v>0.23076923076923078</v>
      </c>
      <c r="R15" s="47" t="s">
        <v>163</v>
      </c>
      <c r="S15" s="50">
        <v>0.11594202898550725</v>
      </c>
      <c r="T15" s="47" t="s">
        <v>164</v>
      </c>
      <c r="U15" s="51">
        <v>7355</v>
      </c>
      <c r="V15" s="47" t="s">
        <v>263</v>
      </c>
      <c r="W15" s="51">
        <v>-4823.8095238095239</v>
      </c>
      <c r="X15" s="47" t="s">
        <v>205</v>
      </c>
      <c r="Y15" s="50">
        <v>0.25</v>
      </c>
      <c r="Z15" s="47" t="s">
        <v>191</v>
      </c>
      <c r="AA15" s="50">
        <v>0.24347826086956523</v>
      </c>
      <c r="AB15" s="47" t="s">
        <v>244</v>
      </c>
      <c r="AC15" s="50">
        <v>0.61904761904761907</v>
      </c>
      <c r="AD15" s="47" t="s">
        <v>191</v>
      </c>
      <c r="AE15" s="50">
        <v>0.35714285714285715</v>
      </c>
      <c r="AF15" s="47" t="s">
        <v>162</v>
      </c>
      <c r="AG15" s="50">
        <v>0.42857142857142855</v>
      </c>
      <c r="AH15" s="47" t="s">
        <v>205</v>
      </c>
      <c r="AI15" s="54">
        <v>57200</v>
      </c>
    </row>
    <row r="16" spans="1:35">
      <c r="A16" s="44">
        <v>14</v>
      </c>
      <c r="B16" s="45" t="s">
        <v>179</v>
      </c>
      <c r="C16" s="107">
        <v>16</v>
      </c>
      <c r="D16" s="45" t="s">
        <v>268</v>
      </c>
      <c r="E16" s="46">
        <v>52.1</v>
      </c>
      <c r="F16" s="47" t="s">
        <v>265</v>
      </c>
      <c r="G16" s="59">
        <v>5.0875000000000021</v>
      </c>
      <c r="H16" s="47" t="s">
        <v>244</v>
      </c>
      <c r="I16" s="48">
        <v>2.3846153846153846</v>
      </c>
      <c r="J16" s="47" t="s">
        <v>161</v>
      </c>
      <c r="K16" s="49">
        <v>0.3</v>
      </c>
      <c r="L16" s="47" t="s">
        <v>272</v>
      </c>
      <c r="M16" s="49">
        <v>0.17391304347826086</v>
      </c>
      <c r="N16" s="47" t="s">
        <v>272</v>
      </c>
      <c r="O16" s="49">
        <v>0.56521739130434778</v>
      </c>
      <c r="P16" s="47" t="s">
        <v>241</v>
      </c>
      <c r="Q16" s="50">
        <v>0.22916666666666666</v>
      </c>
      <c r="R16" s="47" t="s">
        <v>255</v>
      </c>
      <c r="S16" s="50">
        <v>0.12025316455696203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255</v>
      </c>
      <c r="Y16" s="50">
        <v>0.24050632911392406</v>
      </c>
      <c r="Z16" s="47" t="s">
        <v>161</v>
      </c>
      <c r="AA16" s="50">
        <v>0.23376623376623376</v>
      </c>
      <c r="AB16" s="47" t="s">
        <v>169</v>
      </c>
      <c r="AC16" s="50">
        <v>0.6166666666666667</v>
      </c>
      <c r="AD16" s="47" t="s">
        <v>216</v>
      </c>
      <c r="AE16" s="50">
        <v>0.34615384615384615</v>
      </c>
      <c r="AF16" s="47" t="s">
        <v>205</v>
      </c>
      <c r="AG16" s="50">
        <v>0.41666666666666669</v>
      </c>
      <c r="AH16" s="47" t="s">
        <v>161</v>
      </c>
      <c r="AI16" s="54">
        <v>54900</v>
      </c>
    </row>
    <row r="17" spans="1:35">
      <c r="A17" s="44">
        <v>15</v>
      </c>
      <c r="B17" s="45" t="s">
        <v>269</v>
      </c>
      <c r="C17" s="107">
        <v>16</v>
      </c>
      <c r="D17" s="45" t="s">
        <v>164</v>
      </c>
      <c r="E17" s="46">
        <v>22.499999999999993</v>
      </c>
      <c r="F17" s="47" t="s">
        <v>195</v>
      </c>
      <c r="G17" s="59">
        <v>3.4956521739130424</v>
      </c>
      <c r="H17" s="47" t="s">
        <v>195</v>
      </c>
      <c r="I17" s="48">
        <v>2.4347826086956523</v>
      </c>
      <c r="J17" s="47" t="s">
        <v>255</v>
      </c>
      <c r="K17" s="49">
        <v>0.27272727272727271</v>
      </c>
      <c r="L17" s="47" t="s">
        <v>179</v>
      </c>
      <c r="M17" s="49">
        <v>0.1875</v>
      </c>
      <c r="N17" s="47" t="s">
        <v>168</v>
      </c>
      <c r="O17" s="49">
        <v>0.55555555555555558</v>
      </c>
      <c r="P17" s="47" t="s">
        <v>227</v>
      </c>
      <c r="Q17" s="50">
        <v>0.22580645161290322</v>
      </c>
      <c r="R17" s="47" t="s">
        <v>265</v>
      </c>
      <c r="S17" s="50">
        <v>0.1206896551724138</v>
      </c>
      <c r="T17" s="47" t="s">
        <v>227</v>
      </c>
      <c r="U17" s="51">
        <v>7161.9047619047615</v>
      </c>
      <c r="V17" s="47" t="s">
        <v>169</v>
      </c>
      <c r="W17" s="51">
        <v>-5002.9411764705883</v>
      </c>
      <c r="X17" s="47" t="s">
        <v>244</v>
      </c>
      <c r="Y17" s="50">
        <v>0.22580645161290322</v>
      </c>
      <c r="Z17" s="47" t="s">
        <v>304</v>
      </c>
      <c r="AA17" s="50">
        <v>0.23333333333333334</v>
      </c>
      <c r="AB17" s="47" t="s">
        <v>272</v>
      </c>
      <c r="AC17" s="50">
        <v>0.60416666666666663</v>
      </c>
      <c r="AD17" s="47" t="s">
        <v>255</v>
      </c>
      <c r="AE17" s="50">
        <v>0.34482758620689657</v>
      </c>
      <c r="AF17" s="47" t="s">
        <v>235</v>
      </c>
      <c r="AG17" s="50">
        <v>0.40740740740740738</v>
      </c>
      <c r="AH17" s="47" t="s">
        <v>179</v>
      </c>
      <c r="AI17" s="54">
        <v>53200</v>
      </c>
    </row>
    <row r="18" spans="1:35">
      <c r="A18" s="44">
        <v>16</v>
      </c>
      <c r="B18" s="45" t="s">
        <v>164</v>
      </c>
      <c r="C18" s="107">
        <v>15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263</v>
      </c>
      <c r="K18" s="49">
        <v>0.26923076923076922</v>
      </c>
      <c r="L18" s="47" t="s">
        <v>213</v>
      </c>
      <c r="M18" s="49">
        <v>0.2</v>
      </c>
      <c r="N18" s="47" t="s">
        <v>265</v>
      </c>
      <c r="O18" s="49">
        <v>0.54166666666666663</v>
      </c>
      <c r="P18" s="47" t="s">
        <v>244</v>
      </c>
      <c r="Q18" s="50">
        <v>0.22580645161290322</v>
      </c>
      <c r="R18" s="47" t="s">
        <v>162</v>
      </c>
      <c r="S18" s="50">
        <v>0.12820512820512819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269</v>
      </c>
      <c r="Y18" s="50">
        <v>0.22429906542056074</v>
      </c>
      <c r="Z18" s="47" t="s">
        <v>264</v>
      </c>
      <c r="AA18" s="50">
        <v>0.23076923076923078</v>
      </c>
      <c r="AB18" s="47" t="s">
        <v>235</v>
      </c>
      <c r="AC18" s="50">
        <v>0.59259259259259256</v>
      </c>
      <c r="AD18" s="47" t="s">
        <v>195</v>
      </c>
      <c r="AE18" s="50">
        <v>0.34343434343434343</v>
      </c>
      <c r="AF18" s="47" t="s">
        <v>277</v>
      </c>
      <c r="AG18" s="50">
        <v>0.4</v>
      </c>
      <c r="AH18" s="47" t="s">
        <v>191</v>
      </c>
      <c r="AI18" s="54">
        <v>52500</v>
      </c>
    </row>
    <row r="19" spans="1:35">
      <c r="A19" s="44">
        <v>17</v>
      </c>
      <c r="B19" s="45" t="s">
        <v>191</v>
      </c>
      <c r="C19" s="107">
        <v>14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195</v>
      </c>
      <c r="K19" s="49">
        <v>0.2608695652173913</v>
      </c>
      <c r="L19" s="47" t="s">
        <v>238</v>
      </c>
      <c r="M19" s="49">
        <v>0.2</v>
      </c>
      <c r="N19" s="47" t="s">
        <v>114</v>
      </c>
      <c r="O19" s="49">
        <v>0.50096711798839455</v>
      </c>
      <c r="P19" s="47" t="s">
        <v>169</v>
      </c>
      <c r="Q19" s="50">
        <v>0.22252010723860591</v>
      </c>
      <c r="R19" s="47" t="s">
        <v>195</v>
      </c>
      <c r="S19" s="50">
        <v>0.12883435582822086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277</v>
      </c>
      <c r="Y19" s="50">
        <v>0.22340425531914893</v>
      </c>
      <c r="Z19" s="47" t="s">
        <v>272</v>
      </c>
      <c r="AA19" s="50">
        <v>0.22988505747126436</v>
      </c>
      <c r="AB19" s="47" t="s">
        <v>269</v>
      </c>
      <c r="AC19" s="50">
        <v>0.58333333333333337</v>
      </c>
      <c r="AD19" s="47" t="s">
        <v>177</v>
      </c>
      <c r="AE19" s="50">
        <v>0.33333333333333331</v>
      </c>
      <c r="AF19" s="47" t="s">
        <v>168</v>
      </c>
      <c r="AG19" s="50">
        <v>0.39534883720930231</v>
      </c>
      <c r="AH19" s="47" t="s">
        <v>164</v>
      </c>
      <c r="AI19" s="54">
        <v>52000</v>
      </c>
    </row>
    <row r="20" spans="1:35">
      <c r="A20" s="44">
        <v>18</v>
      </c>
      <c r="B20" s="45" t="s">
        <v>227</v>
      </c>
      <c r="C20" s="107">
        <v>14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2.4893617021276597</v>
      </c>
      <c r="J20" s="47" t="s">
        <v>216</v>
      </c>
      <c r="K20" s="49">
        <v>0.25925925925925924</v>
      </c>
      <c r="L20" s="47" t="s">
        <v>297</v>
      </c>
      <c r="M20" s="49">
        <v>0.2</v>
      </c>
      <c r="N20" s="47" t="s">
        <v>161</v>
      </c>
      <c r="O20" s="49">
        <v>0.5</v>
      </c>
      <c r="P20" s="47" t="s">
        <v>163</v>
      </c>
      <c r="Q20" s="50">
        <v>0.21739130434782608</v>
      </c>
      <c r="R20" s="47" t="s">
        <v>191</v>
      </c>
      <c r="S20" s="50">
        <v>0.13043478260869565</v>
      </c>
      <c r="T20" s="47" t="s">
        <v>195</v>
      </c>
      <c r="U20" s="51">
        <v>6746.5116279069771</v>
      </c>
      <c r="V20" s="47" t="s">
        <v>272</v>
      </c>
      <c r="W20" s="51">
        <v>-5413.7931034482763</v>
      </c>
      <c r="X20" s="47" t="s">
        <v>276</v>
      </c>
      <c r="Y20" s="50">
        <v>0.22307692307692309</v>
      </c>
      <c r="Z20" s="47" t="s">
        <v>205</v>
      </c>
      <c r="AA20" s="50">
        <v>0.21428571428571427</v>
      </c>
      <c r="AB20" s="47" t="s">
        <v>228</v>
      </c>
      <c r="AC20" s="50">
        <v>0.56000000000000005</v>
      </c>
      <c r="AD20" s="47" t="s">
        <v>205</v>
      </c>
      <c r="AE20" s="50">
        <v>0.33333333333333331</v>
      </c>
      <c r="AF20" s="47" t="s">
        <v>195</v>
      </c>
      <c r="AG20" s="50">
        <v>0.38372093023255816</v>
      </c>
      <c r="AH20" s="47" t="s">
        <v>272</v>
      </c>
      <c r="AI20" s="54">
        <v>50500</v>
      </c>
    </row>
    <row r="21" spans="1:35">
      <c r="A21" s="44">
        <v>19</v>
      </c>
      <c r="B21" s="45" t="s">
        <v>244</v>
      </c>
      <c r="C21" s="107">
        <v>13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0.2572533849129594</v>
      </c>
      <c r="L21" s="47" t="s">
        <v>162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0.21138211382113822</v>
      </c>
      <c r="R21" s="47" t="s">
        <v>269</v>
      </c>
      <c r="S21" s="50">
        <v>0.13084112149532709</v>
      </c>
      <c r="T21" s="47" t="s">
        <v>191</v>
      </c>
      <c r="U21" s="51">
        <v>6733.333333333333</v>
      </c>
      <c r="V21" s="47" t="s">
        <v>269</v>
      </c>
      <c r="W21" s="51">
        <v>-5435.7142857142853</v>
      </c>
      <c r="X21" s="47" t="s">
        <v>213</v>
      </c>
      <c r="Y21" s="50">
        <v>0.22222222222222221</v>
      </c>
      <c r="Z21" s="47" t="s">
        <v>114</v>
      </c>
      <c r="AA21" s="50">
        <v>0.21400472069236823</v>
      </c>
      <c r="AB21" s="47" t="s">
        <v>265</v>
      </c>
      <c r="AC21" s="50">
        <v>0.55319148936170215</v>
      </c>
      <c r="AD21" s="47" t="s">
        <v>114</v>
      </c>
      <c r="AE21" s="50">
        <v>0.33088235294117646</v>
      </c>
      <c r="AF21" s="47" t="s">
        <v>244</v>
      </c>
      <c r="AG21" s="50">
        <v>0.38095238095238093</v>
      </c>
      <c r="AH21" s="47" t="s">
        <v>263</v>
      </c>
      <c r="AI21" s="54">
        <v>48300</v>
      </c>
    </row>
    <row r="22" spans="1:35">
      <c r="A22" s="44">
        <v>20</v>
      </c>
      <c r="B22" s="45" t="s">
        <v>277</v>
      </c>
      <c r="C22" s="107">
        <v>13</v>
      </c>
      <c r="D22" s="45" t="s">
        <v>175</v>
      </c>
      <c r="E22" s="46">
        <v>-2.2000000000000011</v>
      </c>
      <c r="F22" s="47" t="s">
        <v>114</v>
      </c>
      <c r="G22" s="59">
        <v>-0.20773694390715683</v>
      </c>
      <c r="H22" s="47" t="s">
        <v>255</v>
      </c>
      <c r="I22" s="48">
        <v>2.5</v>
      </c>
      <c r="J22" s="47" t="s">
        <v>179</v>
      </c>
      <c r="K22" s="49">
        <v>0.25</v>
      </c>
      <c r="L22" s="47" t="s">
        <v>255</v>
      </c>
      <c r="M22" s="49">
        <v>0.22727272727272727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114</v>
      </c>
      <c r="U22" s="51">
        <v>6649.8759305210915</v>
      </c>
      <c r="V22" s="47" t="s">
        <v>223</v>
      </c>
      <c r="W22" s="51">
        <v>-5450</v>
      </c>
      <c r="X22" s="47" t="s">
        <v>177</v>
      </c>
      <c r="Y22" s="50">
        <v>0.21052631578947367</v>
      </c>
      <c r="Z22" s="47" t="s">
        <v>238</v>
      </c>
      <c r="AA22" s="50">
        <v>0.21088435374149661</v>
      </c>
      <c r="AB22" s="47" t="s">
        <v>114</v>
      </c>
      <c r="AC22" s="50">
        <v>0.54968553459119496</v>
      </c>
      <c r="AD22" s="47" t="s">
        <v>272</v>
      </c>
      <c r="AE22" s="50">
        <v>0.32500000000000001</v>
      </c>
      <c r="AF22" s="47" t="s">
        <v>179</v>
      </c>
      <c r="AG22" s="50">
        <v>0.375</v>
      </c>
      <c r="AH22" s="47" t="s">
        <v>269</v>
      </c>
      <c r="AI22" s="54">
        <v>42800</v>
      </c>
    </row>
    <row r="23" spans="1:35">
      <c r="A23" s="44">
        <v>21</v>
      </c>
      <c r="B23" s="45" t="s">
        <v>161</v>
      </c>
      <c r="C23" s="107">
        <v>10</v>
      </c>
      <c r="D23" s="45" t="s">
        <v>255</v>
      </c>
      <c r="E23" s="46">
        <v>-5.1999999999999993</v>
      </c>
      <c r="F23" s="47" t="s">
        <v>255</v>
      </c>
      <c r="G23" s="59">
        <v>-0.23636363636363633</v>
      </c>
      <c r="H23" s="47" t="s">
        <v>163</v>
      </c>
      <c r="I23" s="48">
        <v>2.5</v>
      </c>
      <c r="J23" s="47" t="s">
        <v>235</v>
      </c>
      <c r="K23" s="49">
        <v>0.22727272727272727</v>
      </c>
      <c r="L23" s="47" t="s">
        <v>244</v>
      </c>
      <c r="M23" s="49">
        <v>0.23076923076923078</v>
      </c>
      <c r="N23" s="47" t="s">
        <v>163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272</v>
      </c>
      <c r="U23" s="51">
        <v>6369.7674418604647</v>
      </c>
      <c r="V23" s="47" t="s">
        <v>164</v>
      </c>
      <c r="W23" s="51">
        <v>-5500</v>
      </c>
      <c r="X23" s="47" t="s">
        <v>203</v>
      </c>
      <c r="Y23" s="50">
        <v>0.20930232558139536</v>
      </c>
      <c r="Z23" s="47" t="s">
        <v>263</v>
      </c>
      <c r="AA23" s="50">
        <v>0.2107843137254902</v>
      </c>
      <c r="AB23" s="47" t="s">
        <v>161</v>
      </c>
      <c r="AC23" s="50">
        <v>0.53846153846153844</v>
      </c>
      <c r="AD23" s="47" t="s">
        <v>163</v>
      </c>
      <c r="AE23" s="50">
        <v>0.31818181818181818</v>
      </c>
      <c r="AF23" s="47" t="s">
        <v>213</v>
      </c>
      <c r="AG23" s="50">
        <v>0.375</v>
      </c>
      <c r="AH23" s="47" t="s">
        <v>235</v>
      </c>
      <c r="AI23" s="54">
        <v>42700</v>
      </c>
    </row>
    <row r="24" spans="1:35">
      <c r="A24" s="44">
        <v>22</v>
      </c>
      <c r="B24" s="45" t="s">
        <v>213</v>
      </c>
      <c r="C24" s="107">
        <v>10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191</v>
      </c>
      <c r="K24" s="49">
        <v>0.21428571428571427</v>
      </c>
      <c r="L24" s="47" t="s">
        <v>114</v>
      </c>
      <c r="M24" s="49">
        <v>0.24758220502901354</v>
      </c>
      <c r="N24" s="47" t="s">
        <v>175</v>
      </c>
      <c r="O24" s="49">
        <v>0.5</v>
      </c>
      <c r="P24" s="47" t="s">
        <v>255</v>
      </c>
      <c r="Q24" s="50">
        <v>0.20253164556962025</v>
      </c>
      <c r="R24" s="47" t="s">
        <v>304</v>
      </c>
      <c r="S24" s="50">
        <v>0.13333333333333333</v>
      </c>
      <c r="T24" s="47" t="s">
        <v>255</v>
      </c>
      <c r="U24" s="51">
        <v>6306.25</v>
      </c>
      <c r="V24" s="47" t="s">
        <v>265</v>
      </c>
      <c r="W24" s="51">
        <v>-5500</v>
      </c>
      <c r="X24" s="47" t="s">
        <v>114</v>
      </c>
      <c r="Y24" s="50">
        <v>0.20849724626278521</v>
      </c>
      <c r="Z24" s="47" t="s">
        <v>169</v>
      </c>
      <c r="AA24" s="50">
        <v>0.20911528150134048</v>
      </c>
      <c r="AB24" s="47" t="s">
        <v>195</v>
      </c>
      <c r="AC24" s="50">
        <v>0.53658536585365857</v>
      </c>
      <c r="AD24" s="47" t="s">
        <v>228</v>
      </c>
      <c r="AE24" s="50">
        <v>0.30769230769230771</v>
      </c>
      <c r="AF24" s="47" t="s">
        <v>238</v>
      </c>
      <c r="AG24" s="50">
        <v>0.37037037037037035</v>
      </c>
      <c r="AH24" s="47" t="s">
        <v>177</v>
      </c>
      <c r="AI24" s="54">
        <v>42500</v>
      </c>
    </row>
    <row r="25" spans="1:35">
      <c r="A25" s="44">
        <v>23</v>
      </c>
      <c r="B25" s="45" t="s">
        <v>162</v>
      </c>
      <c r="C25" s="107">
        <v>9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228</v>
      </c>
      <c r="K25" s="49">
        <v>0.21052631578947367</v>
      </c>
      <c r="L25" s="47" t="s">
        <v>265</v>
      </c>
      <c r="M25" s="49">
        <v>0.25</v>
      </c>
      <c r="N25" s="47" t="s">
        <v>177</v>
      </c>
      <c r="O25" s="49">
        <v>0.5</v>
      </c>
      <c r="P25" s="47" t="s">
        <v>166</v>
      </c>
      <c r="Q25" s="50">
        <v>0.2</v>
      </c>
      <c r="R25" s="47" t="s">
        <v>216</v>
      </c>
      <c r="S25" s="50">
        <v>0.13407821229050279</v>
      </c>
      <c r="T25" s="47" t="s">
        <v>203</v>
      </c>
      <c r="U25" s="51">
        <v>6275</v>
      </c>
      <c r="V25" s="47" t="s">
        <v>168</v>
      </c>
      <c r="W25" s="51">
        <v>-5835.7142857142853</v>
      </c>
      <c r="X25" s="47" t="s">
        <v>163</v>
      </c>
      <c r="Y25" s="50">
        <v>0.20289855072463769</v>
      </c>
      <c r="Z25" s="47" t="s">
        <v>277</v>
      </c>
      <c r="AA25" s="50">
        <v>0.20212765957446807</v>
      </c>
      <c r="AB25" s="47" t="s">
        <v>227</v>
      </c>
      <c r="AC25" s="50">
        <v>0.53125</v>
      </c>
      <c r="AD25" s="47" t="s">
        <v>238</v>
      </c>
      <c r="AE25" s="50">
        <v>0.29032258064516131</v>
      </c>
      <c r="AF25" s="47" t="s">
        <v>241</v>
      </c>
      <c r="AG25" s="50">
        <v>0.36363636363636365</v>
      </c>
      <c r="AH25" s="47" t="s">
        <v>163</v>
      </c>
      <c r="AI25" s="54">
        <v>41700</v>
      </c>
    </row>
    <row r="26" spans="1:35">
      <c r="A26" s="44">
        <v>24</v>
      </c>
      <c r="B26" s="45" t="s">
        <v>163</v>
      </c>
      <c r="C26" s="107">
        <v>8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223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0.13532651455546812</v>
      </c>
      <c r="T26" s="47" t="s">
        <v>297</v>
      </c>
      <c r="U26" s="51">
        <v>6240</v>
      </c>
      <c r="V26" s="47" t="s">
        <v>177</v>
      </c>
      <c r="W26" s="51">
        <v>-5950</v>
      </c>
      <c r="X26" s="47" t="s">
        <v>268</v>
      </c>
      <c r="Y26" s="50">
        <v>0.2</v>
      </c>
      <c r="Z26" s="47" t="s">
        <v>244</v>
      </c>
      <c r="AA26" s="50">
        <v>0.19354838709677419</v>
      </c>
      <c r="AB26" s="47" t="s">
        <v>216</v>
      </c>
      <c r="AC26" s="50">
        <v>0.51515151515151514</v>
      </c>
      <c r="AD26" s="47" t="s">
        <v>304</v>
      </c>
      <c r="AE26" s="50">
        <v>0.2857142857142857</v>
      </c>
      <c r="AF26" s="47" t="s">
        <v>114</v>
      </c>
      <c r="AG26" s="50">
        <v>0.35856079404466501</v>
      </c>
      <c r="AH26" s="47" t="s">
        <v>231</v>
      </c>
      <c r="AI26" s="54">
        <v>41300</v>
      </c>
    </row>
    <row r="27" spans="1:35">
      <c r="A27" s="44">
        <v>25</v>
      </c>
      <c r="B27" s="45" t="s">
        <v>241</v>
      </c>
      <c r="C27" s="107">
        <v>7</v>
      </c>
      <c r="D27" s="45" t="s">
        <v>297</v>
      </c>
      <c r="E27" s="46">
        <v>-39.5</v>
      </c>
      <c r="F27" s="47" t="s">
        <v>216</v>
      </c>
      <c r="G27" s="59">
        <v>-4.9481481481481469</v>
      </c>
      <c r="H27" s="47" t="s">
        <v>297</v>
      </c>
      <c r="I27" s="48">
        <v>2.6</v>
      </c>
      <c r="J27" s="47" t="s">
        <v>297</v>
      </c>
      <c r="K27" s="49">
        <v>0.2</v>
      </c>
      <c r="L27" s="47" t="s">
        <v>304</v>
      </c>
      <c r="M27" s="49">
        <v>0.25</v>
      </c>
      <c r="N27" s="47" t="s">
        <v>304</v>
      </c>
      <c r="O27" s="49">
        <v>0.5</v>
      </c>
      <c r="P27" s="47" t="s">
        <v>228</v>
      </c>
      <c r="Q27" s="50">
        <v>0.18382352941176472</v>
      </c>
      <c r="R27" s="47" t="s">
        <v>238</v>
      </c>
      <c r="S27" s="50">
        <v>0.1360544217687075</v>
      </c>
      <c r="T27" s="47" t="s">
        <v>265</v>
      </c>
      <c r="U27" s="51">
        <v>6066.666666666667</v>
      </c>
      <c r="V27" s="47" t="s">
        <v>213</v>
      </c>
      <c r="W27" s="51">
        <v>-5966.666666666667</v>
      </c>
      <c r="X27" s="47" t="s">
        <v>304</v>
      </c>
      <c r="Y27" s="50">
        <v>0.2</v>
      </c>
      <c r="Z27" s="47" t="s">
        <v>228</v>
      </c>
      <c r="AA27" s="50">
        <v>0.19117647058823528</v>
      </c>
      <c r="AB27" s="47" t="s">
        <v>213</v>
      </c>
      <c r="AC27" s="50">
        <v>0.5</v>
      </c>
      <c r="AD27" s="47" t="s">
        <v>276</v>
      </c>
      <c r="AE27" s="50">
        <v>0.27906976744186046</v>
      </c>
      <c r="AF27" s="47" t="s">
        <v>263</v>
      </c>
      <c r="AG27" s="50">
        <v>0.35849056603773582</v>
      </c>
      <c r="AH27" s="47" t="s">
        <v>258</v>
      </c>
      <c r="AI27" s="54">
        <v>37500</v>
      </c>
    </row>
    <row r="28" spans="1:35">
      <c r="A28" s="44">
        <v>26</v>
      </c>
      <c r="B28" s="45" t="s">
        <v>258</v>
      </c>
      <c r="C28" s="107">
        <v>7</v>
      </c>
      <c r="D28" s="45" t="s">
        <v>227</v>
      </c>
      <c r="E28" s="46">
        <v>-51.900000000000013</v>
      </c>
      <c r="F28" s="47" t="s">
        <v>297</v>
      </c>
      <c r="G28" s="59">
        <v>-7.9</v>
      </c>
      <c r="H28" s="47" t="s">
        <v>216</v>
      </c>
      <c r="I28" s="48">
        <v>2.6296296296296298</v>
      </c>
      <c r="J28" s="47" t="s">
        <v>269</v>
      </c>
      <c r="K28" s="49">
        <v>0.1875</v>
      </c>
      <c r="L28" s="47" t="s">
        <v>164</v>
      </c>
      <c r="M28" s="49">
        <v>0.26666666666666666</v>
      </c>
      <c r="N28" s="47" t="s">
        <v>244</v>
      </c>
      <c r="O28" s="49">
        <v>0.46153846153846156</v>
      </c>
      <c r="P28" s="47" t="s">
        <v>238</v>
      </c>
      <c r="Q28" s="50">
        <v>0.18367346938775511</v>
      </c>
      <c r="R28" s="47" t="s">
        <v>297</v>
      </c>
      <c r="S28" s="50">
        <v>0.14705882352941177</v>
      </c>
      <c r="T28" s="47" t="s">
        <v>238</v>
      </c>
      <c r="U28" s="51">
        <v>6014.8148148148148</v>
      </c>
      <c r="V28" s="47" t="s">
        <v>227</v>
      </c>
      <c r="W28" s="51">
        <v>-5992.8571428571431</v>
      </c>
      <c r="X28" s="47" t="s">
        <v>168</v>
      </c>
      <c r="Y28" s="50">
        <v>0.19718309859154928</v>
      </c>
      <c r="Z28" s="47" t="s">
        <v>255</v>
      </c>
      <c r="AA28" s="50">
        <v>0.18354430379746836</v>
      </c>
      <c r="AB28" s="47" t="s">
        <v>163</v>
      </c>
      <c r="AC28" s="50">
        <v>0.5</v>
      </c>
      <c r="AD28" s="47" t="s">
        <v>244</v>
      </c>
      <c r="AE28" s="50">
        <v>0.27777777777777779</v>
      </c>
      <c r="AF28" s="47" t="s">
        <v>265</v>
      </c>
      <c r="AG28" s="50">
        <v>0.35714285714285715</v>
      </c>
      <c r="AH28" s="47" t="s">
        <v>238</v>
      </c>
      <c r="AI28" s="54">
        <v>35800</v>
      </c>
    </row>
    <row r="29" spans="1:35">
      <c r="A29" s="44">
        <v>27</v>
      </c>
      <c r="B29" s="45" t="s">
        <v>203</v>
      </c>
      <c r="C29" s="107">
        <v>5</v>
      </c>
      <c r="D29" s="45" t="s">
        <v>180</v>
      </c>
      <c r="E29" s="46">
        <v>-52.6</v>
      </c>
      <c r="F29" s="47" t="s">
        <v>228</v>
      </c>
      <c r="G29" s="59">
        <v>-9.689473684210526</v>
      </c>
      <c r="H29" s="47" t="s">
        <v>213</v>
      </c>
      <c r="I29" s="48">
        <v>2.7</v>
      </c>
      <c r="J29" s="47" t="s">
        <v>227</v>
      </c>
      <c r="K29" s="49">
        <v>0.14285714285714285</v>
      </c>
      <c r="L29" s="47" t="s">
        <v>168</v>
      </c>
      <c r="M29" s="49">
        <v>0.27777777777777779</v>
      </c>
      <c r="N29" s="47" t="s">
        <v>195</v>
      </c>
      <c r="O29" s="49">
        <v>0.45652173913043476</v>
      </c>
      <c r="P29" s="47" t="s">
        <v>191</v>
      </c>
      <c r="Q29" s="50">
        <v>0.18260869565217391</v>
      </c>
      <c r="R29" s="47" t="s">
        <v>227</v>
      </c>
      <c r="S29" s="50">
        <v>0.15053763440860216</v>
      </c>
      <c r="T29" s="47" t="s">
        <v>163</v>
      </c>
      <c r="U29" s="51">
        <v>5993.333333333333</v>
      </c>
      <c r="V29" s="47" t="s">
        <v>114</v>
      </c>
      <c r="W29" s="51">
        <v>-6024.8062015503874</v>
      </c>
      <c r="X29" s="47" t="s">
        <v>263</v>
      </c>
      <c r="Y29" s="50">
        <v>0.19607843137254902</v>
      </c>
      <c r="Z29" s="47" t="s">
        <v>235</v>
      </c>
      <c r="AA29" s="50">
        <v>0.1791907514450867</v>
      </c>
      <c r="AB29" s="47" t="s">
        <v>167</v>
      </c>
      <c r="AC29" s="50">
        <v>0.5</v>
      </c>
      <c r="AD29" s="47" t="s">
        <v>262</v>
      </c>
      <c r="AE29" s="50">
        <v>0.25</v>
      </c>
      <c r="AF29" s="47" t="s">
        <v>272</v>
      </c>
      <c r="AG29" s="50">
        <v>0.34883720930232559</v>
      </c>
      <c r="AH29" s="47" t="s">
        <v>264</v>
      </c>
      <c r="AI29" s="54">
        <v>35600</v>
      </c>
    </row>
    <row r="30" spans="1:35">
      <c r="A30" s="44">
        <v>28</v>
      </c>
      <c r="B30" s="45" t="s">
        <v>297</v>
      </c>
      <c r="C30" s="107">
        <v>5</v>
      </c>
      <c r="D30" s="45" t="s">
        <v>304</v>
      </c>
      <c r="E30" s="46">
        <v>-58.7</v>
      </c>
      <c r="F30" s="47" t="s">
        <v>258</v>
      </c>
      <c r="G30" s="59">
        <v>-10.6</v>
      </c>
      <c r="H30" s="47" t="s">
        <v>241</v>
      </c>
      <c r="I30" s="48">
        <v>2.7142857142857144</v>
      </c>
      <c r="J30" s="47" t="s">
        <v>258</v>
      </c>
      <c r="K30" s="49">
        <v>0.14285714285714285</v>
      </c>
      <c r="L30" s="47" t="s">
        <v>227</v>
      </c>
      <c r="M30" s="49">
        <v>0.2857142857142857</v>
      </c>
      <c r="N30" s="47" t="s">
        <v>255</v>
      </c>
      <c r="O30" s="49">
        <v>0.45454545454545453</v>
      </c>
      <c r="P30" s="47" t="s">
        <v>258</v>
      </c>
      <c r="Q30" s="50">
        <v>0.18</v>
      </c>
      <c r="R30" s="47" t="s">
        <v>244</v>
      </c>
      <c r="S30" s="50">
        <v>0.15053763440860216</v>
      </c>
      <c r="T30" s="47" t="s">
        <v>168</v>
      </c>
      <c r="U30" s="51">
        <v>5988.3720930232557</v>
      </c>
      <c r="V30" s="47" t="s">
        <v>276</v>
      </c>
      <c r="W30" s="51">
        <v>-6133.333333333333</v>
      </c>
      <c r="X30" s="47" t="s">
        <v>179</v>
      </c>
      <c r="Y30" s="50">
        <v>0.19083969465648856</v>
      </c>
      <c r="Z30" s="47" t="s">
        <v>202</v>
      </c>
      <c r="AA30" s="50">
        <v>0.17647058823529413</v>
      </c>
      <c r="AB30" s="47" t="s">
        <v>258</v>
      </c>
      <c r="AC30" s="50">
        <v>0.5</v>
      </c>
      <c r="AD30" s="47" t="s">
        <v>227</v>
      </c>
      <c r="AE30" s="50">
        <v>0.23076923076923078</v>
      </c>
      <c r="AF30" s="47" t="s">
        <v>276</v>
      </c>
      <c r="AG30" s="50">
        <v>0.33333333333333331</v>
      </c>
      <c r="AH30" s="47" t="s">
        <v>297</v>
      </c>
      <c r="AI30" s="54">
        <v>35600</v>
      </c>
    </row>
    <row r="31" spans="1:35">
      <c r="A31" s="44">
        <v>29</v>
      </c>
      <c r="B31" s="45" t="s">
        <v>166</v>
      </c>
      <c r="C31" s="107">
        <v>4</v>
      </c>
      <c r="D31" s="45" t="s">
        <v>262</v>
      </c>
      <c r="E31" s="46">
        <v>-59.2</v>
      </c>
      <c r="F31" s="47" t="s">
        <v>241</v>
      </c>
      <c r="G31" s="59">
        <v>-11.285714285714286</v>
      </c>
      <c r="H31" s="47" t="s">
        <v>258</v>
      </c>
      <c r="I31" s="48">
        <v>2.7142857142857144</v>
      </c>
      <c r="J31" s="47" t="s">
        <v>277</v>
      </c>
      <c r="K31" s="49">
        <v>7.6923076923076927E-2</v>
      </c>
      <c r="L31" s="47" t="s">
        <v>241</v>
      </c>
      <c r="M31" s="49">
        <v>0.2857142857142857</v>
      </c>
      <c r="N31" s="47" t="s">
        <v>258</v>
      </c>
      <c r="O31" s="49">
        <v>0.42857142857142855</v>
      </c>
      <c r="P31" s="47" t="s">
        <v>262</v>
      </c>
      <c r="Q31" s="50">
        <v>0.17391304347826086</v>
      </c>
      <c r="R31" s="47" t="s">
        <v>264</v>
      </c>
      <c r="S31" s="50">
        <v>0.15384615384615385</v>
      </c>
      <c r="T31" s="47" t="s">
        <v>277</v>
      </c>
      <c r="U31" s="51">
        <v>5960</v>
      </c>
      <c r="V31" s="47" t="s">
        <v>208</v>
      </c>
      <c r="W31" s="51">
        <v>-6340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262</v>
      </c>
      <c r="AC31" s="50">
        <v>0.5</v>
      </c>
      <c r="AD31" s="47" t="s">
        <v>164</v>
      </c>
      <c r="AE31" s="50">
        <v>0.22580645161290322</v>
      </c>
      <c r="AF31" s="47" t="s">
        <v>175</v>
      </c>
      <c r="AG31" s="50">
        <v>0.33333333333333331</v>
      </c>
      <c r="AH31" s="47" t="s">
        <v>213</v>
      </c>
      <c r="AI31" s="54">
        <v>34800</v>
      </c>
    </row>
    <row r="32" spans="1:35">
      <c r="A32" s="44">
        <v>30</v>
      </c>
      <c r="B32" s="45" t="s">
        <v>205</v>
      </c>
      <c r="C32" s="107">
        <v>4</v>
      </c>
      <c r="D32" s="45" t="s">
        <v>223</v>
      </c>
      <c r="E32" s="46">
        <v>-72.5</v>
      </c>
      <c r="F32" s="47" t="s">
        <v>213</v>
      </c>
      <c r="G32" s="59">
        <v>-11.670000000000002</v>
      </c>
      <c r="H32" s="47" t="s">
        <v>228</v>
      </c>
      <c r="I32" s="48">
        <v>2.736842105263158</v>
      </c>
      <c r="J32" s="47" t="s">
        <v>213</v>
      </c>
      <c r="K32" s="49">
        <v>0</v>
      </c>
      <c r="L32" s="47" t="s">
        <v>258</v>
      </c>
      <c r="M32" s="49">
        <v>0.2857142857142857</v>
      </c>
      <c r="N32" s="47" t="s">
        <v>216</v>
      </c>
      <c r="O32" s="49">
        <v>0.40740740740740738</v>
      </c>
      <c r="P32" s="47" t="s">
        <v>269</v>
      </c>
      <c r="Q32" s="50">
        <v>0.16822429906542055</v>
      </c>
      <c r="R32" s="47" t="s">
        <v>272</v>
      </c>
      <c r="S32" s="50">
        <v>0.16666666666666666</v>
      </c>
      <c r="T32" s="47" t="s">
        <v>269</v>
      </c>
      <c r="U32" s="51">
        <v>5955.5555555555557</v>
      </c>
      <c r="V32" s="47" t="s">
        <v>161</v>
      </c>
      <c r="W32" s="51">
        <v>-6514.2857142857147</v>
      </c>
      <c r="X32" s="47" t="s">
        <v>228</v>
      </c>
      <c r="Y32" s="50">
        <v>0.18382352941176472</v>
      </c>
      <c r="Z32" s="47" t="s">
        <v>166</v>
      </c>
      <c r="AA32" s="50">
        <v>0.17142857142857143</v>
      </c>
      <c r="AB32" s="47" t="s">
        <v>304</v>
      </c>
      <c r="AC32" s="50">
        <v>0.5</v>
      </c>
      <c r="AD32" s="47" t="s">
        <v>231</v>
      </c>
      <c r="AE32" s="50">
        <v>0.2</v>
      </c>
      <c r="AF32" s="47" t="s">
        <v>228</v>
      </c>
      <c r="AG32" s="50">
        <v>0.32</v>
      </c>
      <c r="AH32" s="47" t="s">
        <v>277</v>
      </c>
      <c r="AI32" s="54">
        <v>34100</v>
      </c>
    </row>
    <row r="33" spans="1:35">
      <c r="A33" s="44">
        <v>31</v>
      </c>
      <c r="B33" s="45" t="s">
        <v>223</v>
      </c>
      <c r="C33" s="107">
        <v>4</v>
      </c>
      <c r="D33" s="45" t="s">
        <v>258</v>
      </c>
      <c r="E33" s="46">
        <v>-74.2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238</v>
      </c>
      <c r="K33" s="49">
        <v>0</v>
      </c>
      <c r="L33" s="47" t="s">
        <v>216</v>
      </c>
      <c r="M33" s="49">
        <v>0.29629629629629628</v>
      </c>
      <c r="N33" s="47" t="s">
        <v>238</v>
      </c>
      <c r="O33" s="49">
        <v>0.4</v>
      </c>
      <c r="P33" s="47" t="s">
        <v>215</v>
      </c>
      <c r="Q33" s="50">
        <v>0.16666666666666666</v>
      </c>
      <c r="R33" s="47" t="s">
        <v>215</v>
      </c>
      <c r="S33" s="50">
        <v>0.16666666666666666</v>
      </c>
      <c r="T33" s="47" t="s">
        <v>177</v>
      </c>
      <c r="U33" s="51">
        <v>5900</v>
      </c>
      <c r="V33" s="47" t="s">
        <v>255</v>
      </c>
      <c r="W33" s="51">
        <v>-6521.0526315789475</v>
      </c>
      <c r="X33" s="47" t="s">
        <v>297</v>
      </c>
      <c r="Y33" s="50">
        <v>0.17647058823529413</v>
      </c>
      <c r="Z33" s="47" t="s">
        <v>215</v>
      </c>
      <c r="AA33" s="50">
        <v>0.16666666666666666</v>
      </c>
      <c r="AB33" s="47" t="s">
        <v>255</v>
      </c>
      <c r="AC33" s="50">
        <v>0.47368421052631576</v>
      </c>
      <c r="AD33" s="47" t="s">
        <v>235</v>
      </c>
      <c r="AE33" s="50">
        <v>0.19354838709677419</v>
      </c>
      <c r="AF33" s="47" t="s">
        <v>169</v>
      </c>
      <c r="AG33" s="50">
        <v>0.25301204819277107</v>
      </c>
      <c r="AH33" s="47" t="s">
        <v>167</v>
      </c>
      <c r="AI33" s="54">
        <v>34000</v>
      </c>
    </row>
    <row r="34" spans="1:35">
      <c r="A34" s="44">
        <v>32</v>
      </c>
      <c r="B34" s="45" t="s">
        <v>304</v>
      </c>
      <c r="C34" s="107">
        <v>4</v>
      </c>
      <c r="D34" s="45" t="s">
        <v>241</v>
      </c>
      <c r="E34" s="46">
        <v>-79</v>
      </c>
      <c r="F34" s="47" t="s">
        <v>304</v>
      </c>
      <c r="G34" s="59">
        <v>-14.675000000000001</v>
      </c>
      <c r="H34" s="47" t="s">
        <v>304</v>
      </c>
      <c r="I34" s="48">
        <v>2.75</v>
      </c>
      <c r="J34" s="47" t="s">
        <v>166</v>
      </c>
      <c r="K34" s="49">
        <v>0</v>
      </c>
      <c r="L34" s="47" t="s">
        <v>161</v>
      </c>
      <c r="M34" s="49">
        <v>0.3</v>
      </c>
      <c r="N34" s="47" t="s">
        <v>297</v>
      </c>
      <c r="O34" s="49">
        <v>0.4</v>
      </c>
      <c r="P34" s="47" t="s">
        <v>304</v>
      </c>
      <c r="Q34" s="50">
        <v>0.16666666666666666</v>
      </c>
      <c r="R34" s="47" t="s">
        <v>241</v>
      </c>
      <c r="S34" s="50">
        <v>0.16666666666666666</v>
      </c>
      <c r="T34" s="47" t="s">
        <v>304</v>
      </c>
      <c r="U34" s="51">
        <v>5820</v>
      </c>
      <c r="V34" s="47" t="s">
        <v>180</v>
      </c>
      <c r="W34" s="51">
        <v>-6600</v>
      </c>
      <c r="X34" s="47" t="s">
        <v>262</v>
      </c>
      <c r="Y34" s="50">
        <v>0.17391304347826086</v>
      </c>
      <c r="Z34" s="47" t="s">
        <v>258</v>
      </c>
      <c r="AA34" s="50">
        <v>0.16</v>
      </c>
      <c r="AB34" s="47" t="s">
        <v>179</v>
      </c>
      <c r="AC34" s="50">
        <v>0.4</v>
      </c>
      <c r="AD34" s="47" t="s">
        <v>203</v>
      </c>
      <c r="AE34" s="50">
        <v>0.16666666666666666</v>
      </c>
      <c r="AF34" s="47" t="s">
        <v>177</v>
      </c>
      <c r="AG34" s="50">
        <v>0.25</v>
      </c>
      <c r="AH34" s="47" t="s">
        <v>241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199</v>
      </c>
      <c r="E35" s="46">
        <v>-97.4</v>
      </c>
      <c r="F35" s="47" t="s">
        <v>269</v>
      </c>
      <c r="G35" s="59">
        <v>-14.931250000000004</v>
      </c>
      <c r="H35" s="47" t="s">
        <v>238</v>
      </c>
      <c r="I35" s="48">
        <v>2.8</v>
      </c>
      <c r="J35" s="47" t="s">
        <v>167</v>
      </c>
      <c r="K35" s="49">
        <v>0</v>
      </c>
      <c r="L35" s="47" t="s">
        <v>228</v>
      </c>
      <c r="M35" s="49">
        <v>0.31578947368421051</v>
      </c>
      <c r="N35" s="47" t="s">
        <v>228</v>
      </c>
      <c r="O35" s="49">
        <v>0.36842105263157893</v>
      </c>
      <c r="P35" s="47" t="s">
        <v>164</v>
      </c>
      <c r="Q35" s="50">
        <v>0.16528925619834711</v>
      </c>
      <c r="R35" s="47" t="s">
        <v>235</v>
      </c>
      <c r="S35" s="50">
        <v>0.16763005780346821</v>
      </c>
      <c r="T35" s="47" t="s">
        <v>258</v>
      </c>
      <c r="U35" s="51">
        <v>5766.666666666667</v>
      </c>
      <c r="V35" s="47" t="s">
        <v>228</v>
      </c>
      <c r="W35" s="51">
        <v>-6644.8275862068967</v>
      </c>
      <c r="X35" s="47" t="s">
        <v>161</v>
      </c>
      <c r="Y35" s="50">
        <v>0.16883116883116883</v>
      </c>
      <c r="Z35" s="47" t="s">
        <v>177</v>
      </c>
      <c r="AA35" s="50">
        <v>0.15789473684210525</v>
      </c>
      <c r="AB35" s="47" t="s">
        <v>241</v>
      </c>
      <c r="AC35" s="50">
        <v>0.375</v>
      </c>
      <c r="AD35" s="47" t="s">
        <v>277</v>
      </c>
      <c r="AE35" s="50">
        <v>0.15789473684210525</v>
      </c>
      <c r="AF35" s="47" t="s">
        <v>231</v>
      </c>
      <c r="AG35" s="50">
        <v>0.25</v>
      </c>
      <c r="AH35" s="47" t="s">
        <v>175</v>
      </c>
      <c r="AI35" s="54">
        <v>33600</v>
      </c>
    </row>
    <row r="36" spans="1:35">
      <c r="A36" s="44">
        <v>34</v>
      </c>
      <c r="B36" s="45" t="s">
        <v>262</v>
      </c>
      <c r="C36" s="107">
        <v>3</v>
      </c>
      <c r="D36" s="45" t="s">
        <v>202</v>
      </c>
      <c r="E36" s="46">
        <v>-105.9</v>
      </c>
      <c r="F36" s="47" t="s">
        <v>235</v>
      </c>
      <c r="G36" s="59">
        <v>-15.945454545454545</v>
      </c>
      <c r="H36" s="47" t="s">
        <v>235</v>
      </c>
      <c r="I36" s="48">
        <v>2.9090909090909092</v>
      </c>
      <c r="J36" s="47" t="s">
        <v>175</v>
      </c>
      <c r="K36" s="49">
        <v>0</v>
      </c>
      <c r="L36" s="47" t="s">
        <v>262</v>
      </c>
      <c r="M36" s="49">
        <v>0.33333333333333331</v>
      </c>
      <c r="N36" s="47" t="s">
        <v>262</v>
      </c>
      <c r="O36" s="49">
        <v>0.33333333333333331</v>
      </c>
      <c r="P36" s="47" t="s">
        <v>235</v>
      </c>
      <c r="Q36" s="50">
        <v>0.15606936416184972</v>
      </c>
      <c r="R36" s="47" t="s">
        <v>202</v>
      </c>
      <c r="S36" s="50">
        <v>0.17647058823529413</v>
      </c>
      <c r="T36" s="47" t="s">
        <v>263</v>
      </c>
      <c r="U36" s="51">
        <v>5701.8867924528304</v>
      </c>
      <c r="V36" s="47" t="s">
        <v>235</v>
      </c>
      <c r="W36" s="51">
        <v>-6772.4137931034484</v>
      </c>
      <c r="X36" s="47" t="s">
        <v>241</v>
      </c>
      <c r="Y36" s="50">
        <v>0.16666666666666666</v>
      </c>
      <c r="Z36" s="47" t="s">
        <v>265</v>
      </c>
      <c r="AA36" s="50">
        <v>0.15517241379310345</v>
      </c>
      <c r="AB36" s="47" t="s">
        <v>191</v>
      </c>
      <c r="AC36" s="50">
        <v>0.33333333333333331</v>
      </c>
      <c r="AD36" s="47" t="s">
        <v>258</v>
      </c>
      <c r="AE36" s="50">
        <v>0.125</v>
      </c>
      <c r="AF36" s="47" t="s">
        <v>262</v>
      </c>
      <c r="AG36" s="50">
        <v>0.25</v>
      </c>
      <c r="AH36" s="47" t="s">
        <v>268</v>
      </c>
      <c r="AI36" s="54">
        <v>32100</v>
      </c>
    </row>
    <row r="37" spans="1:35">
      <c r="A37" s="44">
        <v>35</v>
      </c>
      <c r="B37" s="45" t="s">
        <v>175</v>
      </c>
      <c r="C37" s="107">
        <v>2</v>
      </c>
      <c r="D37" s="45" t="s">
        <v>114</v>
      </c>
      <c r="E37" s="46">
        <v>-107.40000000000008</v>
      </c>
      <c r="F37" s="47" t="s">
        <v>238</v>
      </c>
      <c r="G37" s="59">
        <v>-16.004999999999999</v>
      </c>
      <c r="H37" s="47" t="s">
        <v>269</v>
      </c>
      <c r="I37" s="48">
        <v>3</v>
      </c>
      <c r="J37" s="47" t="s">
        <v>180</v>
      </c>
      <c r="K37" s="49">
        <v>0</v>
      </c>
      <c r="L37" s="47" t="s">
        <v>163</v>
      </c>
      <c r="M37" s="49">
        <v>0.375</v>
      </c>
      <c r="N37" s="47" t="s">
        <v>235</v>
      </c>
      <c r="O37" s="49">
        <v>0.31818181818181818</v>
      </c>
      <c r="P37" s="47" t="s">
        <v>216</v>
      </c>
      <c r="Q37" s="50">
        <v>0.15083798882681565</v>
      </c>
      <c r="R37" s="47" t="s">
        <v>277</v>
      </c>
      <c r="S37" s="50">
        <v>0.18085106382978725</v>
      </c>
      <c r="T37" s="47" t="s">
        <v>235</v>
      </c>
      <c r="U37" s="51">
        <v>5518.5185185185182</v>
      </c>
      <c r="V37" s="47" t="s">
        <v>244</v>
      </c>
      <c r="W37" s="51">
        <v>-6785.7142857142853</v>
      </c>
      <c r="X37" s="47" t="s">
        <v>169</v>
      </c>
      <c r="Y37" s="50">
        <v>0.16085790884718498</v>
      </c>
      <c r="Z37" s="47" t="s">
        <v>216</v>
      </c>
      <c r="AA37" s="50">
        <v>0.14525139664804471</v>
      </c>
      <c r="AB37" s="47" t="s">
        <v>277</v>
      </c>
      <c r="AC37" s="50">
        <v>0.33333333333333331</v>
      </c>
      <c r="AD37" s="47" t="s">
        <v>297</v>
      </c>
      <c r="AE37" s="50">
        <v>9.0909090909090912E-2</v>
      </c>
      <c r="AF37" s="47" t="s">
        <v>164</v>
      </c>
      <c r="AG37" s="50">
        <v>0.2</v>
      </c>
      <c r="AH37" s="47" t="s">
        <v>304</v>
      </c>
      <c r="AI37" s="54">
        <v>29200</v>
      </c>
    </row>
    <row r="38" spans="1:35">
      <c r="A38" s="44">
        <v>36</v>
      </c>
      <c r="B38" s="45" t="s">
        <v>177</v>
      </c>
      <c r="C38" s="107">
        <v>2</v>
      </c>
      <c r="D38" s="45" t="s">
        <v>213</v>
      </c>
      <c r="E38" s="46">
        <v>-116.70000000000002</v>
      </c>
      <c r="F38" s="47" t="s">
        <v>223</v>
      </c>
      <c r="G38" s="59">
        <v>-18.125</v>
      </c>
      <c r="H38" s="47" t="s">
        <v>196</v>
      </c>
      <c r="I38" s="48">
        <v>3</v>
      </c>
      <c r="J38" s="47" t="s">
        <v>199</v>
      </c>
      <c r="K38" s="49">
        <v>0</v>
      </c>
      <c r="L38" s="47" t="s">
        <v>203</v>
      </c>
      <c r="M38" s="49">
        <v>0.4</v>
      </c>
      <c r="N38" s="47" t="s">
        <v>269</v>
      </c>
      <c r="O38" s="49">
        <v>0.3125</v>
      </c>
      <c r="P38" s="47" t="s">
        <v>213</v>
      </c>
      <c r="Q38" s="50">
        <v>0.14814814814814814</v>
      </c>
      <c r="R38" s="47" t="s">
        <v>161</v>
      </c>
      <c r="S38" s="50">
        <v>0.18181818181818182</v>
      </c>
      <c r="T38" s="47" t="s">
        <v>241</v>
      </c>
      <c r="U38" s="51">
        <v>5090.909090909091</v>
      </c>
      <c r="V38" s="47" t="s">
        <v>195</v>
      </c>
      <c r="W38" s="51">
        <v>-6942.8571428571431</v>
      </c>
      <c r="X38" s="47" t="s">
        <v>235</v>
      </c>
      <c r="Y38" s="50">
        <v>0.15606936416184972</v>
      </c>
      <c r="Z38" s="47" t="s">
        <v>167</v>
      </c>
      <c r="AA38" s="50">
        <v>0.14285714285714285</v>
      </c>
      <c r="AB38" s="47" t="s">
        <v>203</v>
      </c>
      <c r="AC38" s="50">
        <v>0.33333333333333331</v>
      </c>
      <c r="AD38" s="47" t="s">
        <v>269</v>
      </c>
      <c r="AE38" s="50">
        <v>6.6666666666666666E-2</v>
      </c>
      <c r="AF38" s="47" t="s">
        <v>304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166</v>
      </c>
      <c r="E39" s="46">
        <v>-127.99999999999999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196</v>
      </c>
      <c r="K39" s="49">
        <v>0</v>
      </c>
      <c r="L39" s="47" t="s">
        <v>235</v>
      </c>
      <c r="M39" s="49">
        <v>0.45454545454545453</v>
      </c>
      <c r="N39" s="47" t="s">
        <v>166</v>
      </c>
      <c r="O39" s="49">
        <v>0.25</v>
      </c>
      <c r="P39" s="47" t="s">
        <v>297</v>
      </c>
      <c r="Q39" s="50">
        <v>0.14705882352941177</v>
      </c>
      <c r="R39" s="47" t="s">
        <v>223</v>
      </c>
      <c r="S39" s="50">
        <v>0.19047619047619047</v>
      </c>
      <c r="T39" s="47" t="s">
        <v>179</v>
      </c>
      <c r="U39" s="51">
        <v>4909.375</v>
      </c>
      <c r="V39" s="47" t="s">
        <v>163</v>
      </c>
      <c r="W39" s="51">
        <v>-7212.5</v>
      </c>
      <c r="X39" s="47" t="s">
        <v>231</v>
      </c>
      <c r="Y39" s="50">
        <v>0.15384615384615385</v>
      </c>
      <c r="Z39" s="47" t="s">
        <v>269</v>
      </c>
      <c r="AA39" s="50">
        <v>0.14018691588785046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208</v>
      </c>
      <c r="E40" s="46">
        <v>-132.69999999999999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203</v>
      </c>
      <c r="K40" s="49">
        <v>0</v>
      </c>
      <c r="L40" s="47" t="s">
        <v>269</v>
      </c>
      <c r="M40" s="49">
        <v>0.5</v>
      </c>
      <c r="N40" s="47" t="s">
        <v>277</v>
      </c>
      <c r="O40" s="49">
        <v>0.23076923076923078</v>
      </c>
      <c r="P40" s="47" t="s">
        <v>196</v>
      </c>
      <c r="Q40" s="50">
        <v>0.125</v>
      </c>
      <c r="R40" s="47" t="s">
        <v>168</v>
      </c>
      <c r="S40" s="50">
        <v>0.19718309859154928</v>
      </c>
      <c r="T40" s="47" t="s">
        <v>262</v>
      </c>
      <c r="U40" s="51">
        <v>4525</v>
      </c>
      <c r="V40" s="47" t="s">
        <v>216</v>
      </c>
      <c r="W40" s="51">
        <v>-7266.666666666667</v>
      </c>
      <c r="X40" s="47" t="s">
        <v>238</v>
      </c>
      <c r="Y40" s="50">
        <v>0.14965986394557823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216</v>
      </c>
      <c r="E41" s="46">
        <v>-133.59999999999997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202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277</v>
      </c>
      <c r="Q41" s="50">
        <v>0.10638297872340426</v>
      </c>
      <c r="R41" s="47" t="s">
        <v>258</v>
      </c>
      <c r="S41" s="50">
        <v>0.2</v>
      </c>
      <c r="T41" s="47" t="s">
        <v>215</v>
      </c>
      <c r="U41" s="51">
        <v>3900</v>
      </c>
      <c r="V41" s="47" t="s">
        <v>238</v>
      </c>
      <c r="W41" s="51">
        <v>-7375</v>
      </c>
      <c r="X41" s="47" t="s">
        <v>180</v>
      </c>
      <c r="Y41" s="50">
        <v>0.14285714285714285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180</v>
      </c>
      <c r="AG41" s="50">
        <v>0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203</v>
      </c>
      <c r="E42" s="46">
        <v>-161.39999999999998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208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241</v>
      </c>
      <c r="W42" s="51">
        <v>-7687.5</v>
      </c>
      <c r="X42" s="47" t="s">
        <v>202</v>
      </c>
      <c r="Y42" s="50">
        <v>0.11764705882352941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199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215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166</v>
      </c>
      <c r="Y43" s="50">
        <v>0.11428571428571428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196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-238.90000000000006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223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191</v>
      </c>
      <c r="Y44" s="50">
        <v>0.10434782608695652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202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-320.09999999999997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241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208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235</v>
      </c>
      <c r="E46" s="46">
        <v>-350.8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262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215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277</v>
      </c>
      <c r="E47" s="46">
        <v>-352.49999999999994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304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258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9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1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517</v>
      </c>
      <c r="C2" s="121"/>
      <c r="E2" s="32" t="s">
        <v>54</v>
      </c>
      <c r="F2" s="29" t="s">
        <v>20</v>
      </c>
      <c r="G2" s="12">
        <v>467</v>
      </c>
      <c r="H2" s="93">
        <f>IF(B$17=0,0,G2/B$17)</f>
        <v>0.57940446650124067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-54.158607350096709</v>
      </c>
      <c r="P2" s="79">
        <v>517</v>
      </c>
      <c r="Q2" s="63">
        <v>-28000</v>
      </c>
    </row>
    <row r="3" spans="1:17">
      <c r="A3" s="19" t="s">
        <v>8</v>
      </c>
      <c r="B3" s="122">
        <v>3813</v>
      </c>
      <c r="C3" s="123"/>
      <c r="E3" s="33" t="s">
        <v>181</v>
      </c>
      <c r="F3" s="30" t="s">
        <v>156</v>
      </c>
      <c r="G3" s="13">
        <v>433</v>
      </c>
      <c r="H3" s="94">
        <f>IF(B$17=0,0,G3/B$17)</f>
        <v>0.53722084367245659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-18.181818181818183</v>
      </c>
      <c r="P3" s="80">
        <v>517</v>
      </c>
      <c r="Q3" s="64">
        <v>-9400</v>
      </c>
    </row>
    <row r="4" spans="1:17">
      <c r="A4" s="19" t="s">
        <v>6</v>
      </c>
      <c r="B4" s="124">
        <v>-107.40000000000008</v>
      </c>
      <c r="C4" s="125"/>
      <c r="E4" s="33" t="s">
        <v>184</v>
      </c>
      <c r="F4" s="30" t="s">
        <v>187</v>
      </c>
      <c r="G4" s="13">
        <v>396</v>
      </c>
      <c r="H4" s="94">
        <f>IF(B$17=0,0,G4/B$17)</f>
        <v>0.49131513647642677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-27.326732673267326</v>
      </c>
      <c r="P4" s="80">
        <v>505</v>
      </c>
      <c r="Q4" s="64">
        <v>-13800</v>
      </c>
    </row>
    <row r="5" spans="1:17">
      <c r="A5" s="19" t="s">
        <v>7</v>
      </c>
      <c r="B5" s="126">
        <f>IF(B$2=0,0,B$4/B$2)</f>
        <v>-0.20773694390715683</v>
      </c>
      <c r="C5" s="127"/>
      <c r="E5" s="33" t="s">
        <v>60</v>
      </c>
      <c r="F5" s="30" t="s">
        <v>24</v>
      </c>
      <c r="G5" s="13">
        <v>310</v>
      </c>
      <c r="H5" s="94">
        <f>IF(B$17=0,0,G5/B$17)</f>
        <v>0.38461538461538464</v>
      </c>
      <c r="I5" s="56">
        <v>21</v>
      </c>
      <c r="K5" s="5">
        <v>3</v>
      </c>
      <c r="L5" s="61">
        <v>25.100000000000009</v>
      </c>
      <c r="N5" s="76" t="s">
        <v>157</v>
      </c>
      <c r="O5" s="83">
        <f>IF(P5=0,0,Q5/P5)</f>
        <v>-47.311827956989248</v>
      </c>
      <c r="P5" s="80">
        <v>465</v>
      </c>
      <c r="Q5" s="64">
        <v>-22000</v>
      </c>
    </row>
    <row r="6" spans="1:17">
      <c r="A6" s="19" t="s">
        <v>1</v>
      </c>
      <c r="B6" s="128">
        <f>IF(B$2=0,0,(B$7*1+B$8*2+B$9*3+B$10*4)/B$2)</f>
        <v>2.4893617021276597</v>
      </c>
      <c r="C6" s="129"/>
      <c r="E6" s="33" t="s">
        <v>56</v>
      </c>
      <c r="F6" s="30" t="s">
        <v>185</v>
      </c>
      <c r="G6" s="13">
        <v>212</v>
      </c>
      <c r="H6" s="94">
        <f>IF(B$17=0,0,G6/B$17)</f>
        <v>0.26302729528535979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-8.8235294117647065</v>
      </c>
      <c r="P6" s="80">
        <v>340</v>
      </c>
      <c r="Q6" s="64">
        <v>-3000</v>
      </c>
    </row>
    <row r="7" spans="1:17">
      <c r="A7" s="19" t="s">
        <v>2</v>
      </c>
      <c r="B7" s="13">
        <v>133</v>
      </c>
      <c r="C7" s="6">
        <f t="shared" ref="C7:C12" si="2">IF(B$2=0,0,B7/B$2)</f>
        <v>0.2572533849129594</v>
      </c>
      <c r="E7" s="33" t="s">
        <v>57</v>
      </c>
      <c r="F7" s="30" t="s">
        <v>21</v>
      </c>
      <c r="G7" s="13">
        <v>186</v>
      </c>
      <c r="H7" s="94">
        <f>IF(B$17=0,0,G7/B$17)</f>
        <v>0.23076923076923078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-35.714285714285715</v>
      </c>
      <c r="P7" s="80">
        <v>224</v>
      </c>
      <c r="Q7" s="64">
        <v>-8000</v>
      </c>
    </row>
    <row r="8" spans="1:17">
      <c r="A8" s="19" t="s">
        <v>3</v>
      </c>
      <c r="B8" s="13">
        <v>126</v>
      </c>
      <c r="C8" s="6">
        <f>IF(B$2=0,0,B8/B$2)</f>
        <v>0.2437137330754352</v>
      </c>
      <c r="E8" s="33" t="s">
        <v>55</v>
      </c>
      <c r="F8" s="30" t="s">
        <v>155</v>
      </c>
      <c r="G8" s="13">
        <v>182</v>
      </c>
      <c r="H8" s="94">
        <f>IF(B$17=0,0,G8/B$17)</f>
        <v>0.22580645161290322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124</v>
      </c>
      <c r="Q8" s="64">
        <v>0</v>
      </c>
    </row>
    <row r="9" spans="1:17">
      <c r="A9" s="20" t="s">
        <v>4</v>
      </c>
      <c r="B9" s="14">
        <v>130</v>
      </c>
      <c r="C9" s="7">
        <f>IF(B$2=0,0,B9/B$2)</f>
        <v>0.25145067698259188</v>
      </c>
      <c r="E9" s="33" t="s">
        <v>59</v>
      </c>
      <c r="F9" s="30" t="s">
        <v>23</v>
      </c>
      <c r="G9" s="13">
        <v>125</v>
      </c>
      <c r="H9" s="94">
        <f>IF(B$17=0,0,G9/B$17)</f>
        <v>0.15508684863523572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20.833333333333332</v>
      </c>
      <c r="P9" s="81">
        <v>48</v>
      </c>
      <c r="Q9" s="65">
        <v>1000</v>
      </c>
    </row>
    <row r="10" spans="1:17">
      <c r="A10" s="20" t="s">
        <v>152</v>
      </c>
      <c r="B10" s="14">
        <v>128</v>
      </c>
      <c r="C10" s="7">
        <f>IF(B$2=0,0,B10/B$2)</f>
        <v>0.24758220502901354</v>
      </c>
      <c r="E10" s="33" t="s">
        <v>182</v>
      </c>
      <c r="F10" s="30" t="s">
        <v>19</v>
      </c>
      <c r="G10" s="13">
        <v>86</v>
      </c>
      <c r="H10" s="94">
        <f>IF(B$17=0,0,G10/B$17)</f>
        <v>0.10669975186104218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259</v>
      </c>
      <c r="C11" s="7">
        <f>IF(B$2=0,0,B11/B$2)</f>
        <v>0.50096711798839455</v>
      </c>
      <c r="E11" s="33" t="s">
        <v>58</v>
      </c>
      <c r="F11" s="30" t="s">
        <v>22</v>
      </c>
      <c r="G11" s="13">
        <v>59</v>
      </c>
      <c r="H11" s="94">
        <f>IF(B$17=0,0,G11/B$17)</f>
        <v>7.3200992555831262E-2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4.2553191489361701E-2</v>
      </c>
      <c r="E12" s="33" t="s">
        <v>77</v>
      </c>
      <c r="F12" s="30" t="s">
        <v>41</v>
      </c>
      <c r="G12" s="13">
        <v>35</v>
      </c>
      <c r="H12" s="94">
        <f>IF(B$17=0,0,G12/B$17)</f>
        <v>4.3424317617866005E-2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-2.2330769230769221</v>
      </c>
      <c r="P12" s="79">
        <v>130</v>
      </c>
      <c r="Q12" s="67">
        <v>-290.2999999999999</v>
      </c>
    </row>
    <row r="13" spans="1:17">
      <c r="A13" s="22" t="s">
        <v>97</v>
      </c>
      <c r="B13" s="15">
        <v>795</v>
      </c>
      <c r="C13" s="11">
        <f>IF(B$3=0,0,B13/B$3)</f>
        <v>0.20849724626278521</v>
      </c>
      <c r="E13" s="33" t="s">
        <v>183</v>
      </c>
      <c r="F13" s="30" t="s">
        <v>186</v>
      </c>
      <c r="G13" s="13">
        <v>27</v>
      </c>
      <c r="H13" s="94">
        <f>IF(B$17=0,0,G13/B$17)</f>
        <v>3.3498759305210915E-2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3.2530769230769208</v>
      </c>
      <c r="P13" s="80">
        <v>130</v>
      </c>
      <c r="Q13" s="68">
        <v>422.89999999999969</v>
      </c>
    </row>
    <row r="14" spans="1:17">
      <c r="A14" s="19" t="s">
        <v>94</v>
      </c>
      <c r="B14" s="13">
        <v>816</v>
      </c>
      <c r="C14" s="6">
        <f>IF(B$3=0,0,B14/B$3)</f>
        <v>0.21400472069236823</v>
      </c>
      <c r="E14" s="33" t="s">
        <v>71</v>
      </c>
      <c r="F14" s="30" t="s">
        <v>35</v>
      </c>
      <c r="G14" s="13">
        <v>23</v>
      </c>
      <c r="H14" s="94">
        <f>IF(B$17=0,0,G14/B$17)</f>
        <v>2.8535980148883373E-2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-2.6976923076923067</v>
      </c>
      <c r="P14" s="80">
        <v>130</v>
      </c>
      <c r="Q14" s="68">
        <v>-350.69999999999987</v>
      </c>
    </row>
    <row r="15" spans="1:17">
      <c r="A15" s="18" t="s">
        <v>99</v>
      </c>
      <c r="B15" s="12">
        <f>B21</f>
        <v>437</v>
      </c>
      <c r="C15" s="4">
        <f>IF(B$13=0,0,B15/B$13)</f>
        <v>0.54968553459119496</v>
      </c>
      <c r="E15" s="33" t="s">
        <v>74</v>
      </c>
      <c r="F15" s="30" t="s">
        <v>38</v>
      </c>
      <c r="G15" s="13">
        <v>21</v>
      </c>
      <c r="H15" s="94">
        <f>IF(B$17=0,0,G15/B$17)</f>
        <v>2.6054590570719603E-2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0.85153846153846169</v>
      </c>
      <c r="P15" s="81">
        <v>130</v>
      </c>
      <c r="Q15" s="69">
        <v>110.70000000000002</v>
      </c>
    </row>
    <row r="16" spans="1:17">
      <c r="A16" s="18" t="s">
        <v>100</v>
      </c>
      <c r="B16" s="12">
        <f>B22</f>
        <v>270</v>
      </c>
      <c r="C16" s="4">
        <f>IF(B$14=0,0,B16/B$14)</f>
        <v>0.33088235294117646</v>
      </c>
      <c r="E16" s="33" t="s">
        <v>66</v>
      </c>
      <c r="F16" s="30" t="s">
        <v>30</v>
      </c>
      <c r="G16" s="13">
        <v>12</v>
      </c>
      <c r="H16" s="94">
        <f>IF(B$17=0,0,G16/B$17)</f>
        <v>1.488833746898263E-2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806</v>
      </c>
      <c r="C17" s="4">
        <f>IF(B$3=0,0,B17/B$3)</f>
        <v>0.21138211382113822</v>
      </c>
      <c r="E17" s="33" t="s">
        <v>67</v>
      </c>
      <c r="F17" s="30" t="s">
        <v>31</v>
      </c>
      <c r="G17" s="13">
        <v>9</v>
      </c>
      <c r="H17" s="94">
        <f>IF(B$17=0,0,G17/B$17)</f>
        <v>1.1166253101736972E-2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516</v>
      </c>
      <c r="C18" s="6">
        <f>IF(B$3=0,0,B18/B$3)</f>
        <v>0.13532651455546812</v>
      </c>
      <c r="E18" s="33" t="s">
        <v>69</v>
      </c>
      <c r="F18" s="30" t="s">
        <v>33</v>
      </c>
      <c r="G18" s="13">
        <v>8</v>
      </c>
      <c r="H18" s="94">
        <f>IF(B$17=0,0,G18/B$17)</f>
        <v>9.9255583126550868E-3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289</v>
      </c>
      <c r="C19" s="6">
        <f>IF(B$17=0,0,B19/B$17)</f>
        <v>0.35856079404466501</v>
      </c>
      <c r="E19" s="33" t="s">
        <v>61</v>
      </c>
      <c r="F19" s="30" t="s">
        <v>25</v>
      </c>
      <c r="G19" s="13">
        <v>7</v>
      </c>
      <c r="H19" s="94">
        <f>IF(B$17=0,0,G19/B$17)</f>
        <v>8.6848635235732014E-3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517</v>
      </c>
      <c r="C20" s="6">
        <f>IF(B$17=0,0,B20/B$17)</f>
        <v>0.64143920595533499</v>
      </c>
      <c r="E20" s="33" t="s">
        <v>78</v>
      </c>
      <c r="F20" s="30" t="s">
        <v>42</v>
      </c>
      <c r="G20" s="13">
        <v>7</v>
      </c>
      <c r="H20" s="94">
        <f>IF(B$17=0,0,G20/B$17)</f>
        <v>8.6848635235732014E-3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437</v>
      </c>
      <c r="C21" s="6">
        <f>IF(B$17=0,0,B21/B$17)</f>
        <v>0.54218362282878407</v>
      </c>
      <c r="E21" s="33" t="s">
        <v>62</v>
      </c>
      <c r="F21" s="30" t="s">
        <v>26</v>
      </c>
      <c r="G21" s="13">
        <v>4</v>
      </c>
      <c r="H21" s="94">
        <f>IF(B$17=0,0,G21/B$17)</f>
        <v>4.9627791563275434E-3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270</v>
      </c>
      <c r="C22" s="6">
        <f>IF(B$17=0,0,B22/B$17)</f>
        <v>0.33498759305210918</v>
      </c>
      <c r="E22" s="33" t="s">
        <v>76</v>
      </c>
      <c r="F22" s="30" t="s">
        <v>40</v>
      </c>
      <c r="G22" s="13">
        <v>4</v>
      </c>
      <c r="H22" s="94">
        <f>IF(B$17=0,0,G22/B$17)</f>
        <v>4.9627791563275434E-3</v>
      </c>
      <c r="I22" s="56">
        <v>5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99</v>
      </c>
      <c r="C23" s="6">
        <f>IF(B$17=0,0,B23/B$17)</f>
        <v>0.12282878411910669</v>
      </c>
      <c r="E23" s="33" t="s">
        <v>72</v>
      </c>
      <c r="F23" s="30" t="s">
        <v>36</v>
      </c>
      <c r="G23" s="13">
        <v>2</v>
      </c>
      <c r="H23" s="94">
        <f>IF(B$17=0,0,G23/B$17)</f>
        <v>2.4813895781637717E-3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6649.8759305210915</v>
      </c>
      <c r="C24" s="8">
        <v>5359800</v>
      </c>
      <c r="E24" s="33" t="s">
        <v>75</v>
      </c>
      <c r="F24" s="30" t="s">
        <v>39</v>
      </c>
      <c r="G24" s="13">
        <v>2</v>
      </c>
      <c r="H24" s="94">
        <f>IF(B$17=0,0,G24/B$17)</f>
        <v>2.4813895781637717E-3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7605.0373134328356</v>
      </c>
      <c r="C25" s="98">
        <v>4076300</v>
      </c>
      <c r="E25" s="33" t="s">
        <v>63</v>
      </c>
      <c r="F25" s="30" t="s">
        <v>27</v>
      </c>
      <c r="G25" s="13">
        <v>1</v>
      </c>
      <c r="H25" s="94">
        <f>IF(B$17=0,0,G25/B$17)</f>
        <v>1.2406947890818859E-3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4753.7037037037035</v>
      </c>
      <c r="C26" s="98">
        <v>1283500</v>
      </c>
      <c r="E26" s="33" t="s">
        <v>68</v>
      </c>
      <c r="F26" s="30" t="s">
        <v>32</v>
      </c>
      <c r="G26" s="13">
        <v>1</v>
      </c>
      <c r="H26" s="94">
        <f>IF(B$17=0,0,G26/B$17)</f>
        <v>1.2406947890818859E-3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-6024.8062015503874</v>
      </c>
      <c r="C27" s="98">
        <v>-3108800</v>
      </c>
      <c r="E27" s="33" t="s">
        <v>79</v>
      </c>
      <c r="F27" s="30" t="s">
        <v>43</v>
      </c>
      <c r="G27" s="13">
        <v>1</v>
      </c>
      <c r="H27" s="94">
        <f>IF(B$17=0,0,G27/B$17)</f>
        <v>1.2406947890818859E-3</v>
      </c>
      <c r="I27" s="56">
        <v>2</v>
      </c>
      <c r="K27" s="5">
        <v>25</v>
      </c>
      <c r="L27" s="61">
        <v>-45.899999999999991</v>
      </c>
      <c r="N27" s="76" t="s">
        <v>223</v>
      </c>
      <c r="O27" s="86">
        <f>IF(P27=0,0,Q27/P27)</f>
        <v>24.166666666666671</v>
      </c>
      <c r="P27" s="80">
        <v>12</v>
      </c>
      <c r="Q27" s="68">
        <v>290.00000000000006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1.2406947890818859E-3</v>
      </c>
      <c r="I28" s="56">
        <v>2</v>
      </c>
      <c r="K28" s="5">
        <v>26</v>
      </c>
      <c r="L28" s="61">
        <v>-33.899999999999991</v>
      </c>
      <c r="N28" s="76" t="s">
        <v>238</v>
      </c>
      <c r="O28" s="86">
        <f>IF(P28=0,0,Q28/P28)</f>
        <v>21.173333333333328</v>
      </c>
      <c r="P28" s="80">
        <v>60</v>
      </c>
      <c r="Q28" s="68">
        <v>1270.3999999999996</v>
      </c>
    </row>
    <row r="29" spans="1:17">
      <c r="A29" s="19" t="s">
        <v>131</v>
      </c>
      <c r="B29" s="13">
        <v>37</v>
      </c>
      <c r="C29" s="96">
        <v>9</v>
      </c>
      <c r="E29" s="33" t="s">
        <v>82</v>
      </c>
      <c r="F29" s="30" t="s">
        <v>46</v>
      </c>
      <c r="G29" s="13">
        <v>1</v>
      </c>
      <c r="H29" s="94">
        <f>IF(B$17=0,0,G29/B$17)</f>
        <v>1.2406947890818859E-3</v>
      </c>
      <c r="I29" s="56">
        <v>2</v>
      </c>
      <c r="K29" s="5">
        <v>27</v>
      </c>
      <c r="L29" s="61">
        <v>21.500000000000007</v>
      </c>
      <c r="N29" s="76" t="s">
        <v>235</v>
      </c>
      <c r="O29" s="86">
        <f>IF(P29=0,0,Q29/P29)</f>
        <v>20.845454545454551</v>
      </c>
      <c r="P29" s="80">
        <v>66</v>
      </c>
      <c r="Q29" s="68">
        <v>1375.8000000000004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304</v>
      </c>
      <c r="O30" s="86">
        <f>IF(P30=0,0,Q30/P30)</f>
        <v>19.566666666666666</v>
      </c>
      <c r="P30" s="80">
        <v>12</v>
      </c>
      <c r="Q30" s="68">
        <v>234.8</v>
      </c>
    </row>
    <row r="31" spans="1:17">
      <c r="A31" s="22" t="s">
        <v>148</v>
      </c>
      <c r="B31" s="116">
        <v>74800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269</v>
      </c>
      <c r="O31" s="86">
        <f>IF(P31=0,0,Q31/P31)</f>
        <v>19.545833333333324</v>
      </c>
      <c r="P31" s="80">
        <v>48</v>
      </c>
      <c r="Q31" s="68">
        <v>938.19999999999948</v>
      </c>
    </row>
    <row r="32" spans="1:17">
      <c r="A32" s="21" t="s">
        <v>112</v>
      </c>
      <c r="B32" s="26">
        <v>11</v>
      </c>
      <c r="C32" s="9">
        <f>IF(B$3=0,0,B32/B$3)</f>
        <v>2.8848675583530029E-3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215</v>
      </c>
      <c r="O32" s="86">
        <f>IF(P32=0,0,Q32/P32)</f>
        <v>19.200000000000003</v>
      </c>
      <c r="P32" s="80">
        <v>3</v>
      </c>
      <c r="Q32" s="68">
        <v>57.600000000000009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213</v>
      </c>
      <c r="O33" s="86">
        <f>IF(P33=0,0,Q33/P33)</f>
        <v>15.226666666666665</v>
      </c>
      <c r="P33" s="80">
        <v>30</v>
      </c>
      <c r="Q33" s="68">
        <v>456.79999999999995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15.047619047619047</v>
      </c>
      <c r="P34" s="80">
        <v>21</v>
      </c>
      <c r="Q34" s="68">
        <v>316</v>
      </c>
    </row>
    <row r="35" spans="1:17">
      <c r="A35" s="52" t="s">
        <v>139</v>
      </c>
      <c r="B35" s="99">
        <v>87</v>
      </c>
      <c r="C35" s="102">
        <f t="shared" ref="C35:C47" si="3">IF(B$17=0,0,B35/B$17)</f>
        <v>0.10794044665012408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>IF(P35=0,0,Q35/P35)</f>
        <v>12.704761904761906</v>
      </c>
      <c r="P35" s="80">
        <v>21</v>
      </c>
      <c r="Q35" s="68">
        <v>266.8</v>
      </c>
    </row>
    <row r="36" spans="1:17">
      <c r="A36" s="19" t="s">
        <v>135</v>
      </c>
      <c r="B36" s="13">
        <v>167</v>
      </c>
      <c r="C36" s="6">
        <f t="shared" si="3"/>
        <v>0.20719602977667495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12.217543859649121</v>
      </c>
      <c r="P36" s="80">
        <v>57</v>
      </c>
      <c r="Q36" s="68">
        <v>696.39999999999986</v>
      </c>
    </row>
    <row r="37" spans="1:17">
      <c r="A37" s="19" t="s">
        <v>136</v>
      </c>
      <c r="B37" s="100">
        <v>181</v>
      </c>
      <c r="C37" s="6">
        <f t="shared" si="3"/>
        <v>0.22456575682382135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297</v>
      </c>
      <c r="O37" s="86">
        <f>IF(P37=0,0,Q37/P37)</f>
        <v>10.533333333333333</v>
      </c>
      <c r="P37" s="80">
        <v>15</v>
      </c>
      <c r="Q37" s="68">
        <v>158</v>
      </c>
    </row>
    <row r="38" spans="1:17">
      <c r="A38" s="19" t="s">
        <v>137</v>
      </c>
      <c r="B38" s="100">
        <v>167</v>
      </c>
      <c r="C38" s="6">
        <f t="shared" si="3"/>
        <v>0.20719602977667495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96</v>
      </c>
      <c r="C39" s="6">
        <f t="shared" si="3"/>
        <v>0.11910669975186104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>IF(P39=0,0,Q39/P39)</f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72</v>
      </c>
      <c r="C40" s="6">
        <f t="shared" si="3"/>
        <v>8.9330024813895778E-2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179</v>
      </c>
      <c r="O40" s="86">
        <f>IF(P40=0,0,Q40/P40)</f>
        <v>2.4666666666666663</v>
      </c>
      <c r="P40" s="80">
        <v>48</v>
      </c>
      <c r="Q40" s="68">
        <v>118.39999999999998</v>
      </c>
    </row>
    <row r="41" spans="1:17">
      <c r="A41" s="19" t="s">
        <v>141</v>
      </c>
      <c r="B41" s="100">
        <v>23</v>
      </c>
      <c r="C41" s="6">
        <f t="shared" si="3"/>
        <v>2.8535980148883373E-2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175</v>
      </c>
      <c r="O41" s="86">
        <f>IF(P41=0,0,Q41/P41)</f>
        <v>1.4666666666666668</v>
      </c>
      <c r="P41" s="80">
        <v>6</v>
      </c>
      <c r="Q41" s="68">
        <v>8.8000000000000007</v>
      </c>
    </row>
    <row r="42" spans="1:17">
      <c r="A42" s="19" t="s">
        <v>142</v>
      </c>
      <c r="B42" s="100">
        <v>6</v>
      </c>
      <c r="C42" s="6">
        <f t="shared" si="3"/>
        <v>7.4441687344913151E-3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255</v>
      </c>
      <c r="O42" s="86">
        <f>IF(P42=0,0,Q42/P42)</f>
        <v>-0.1393939393939311</v>
      </c>
      <c r="P42" s="80">
        <v>66</v>
      </c>
      <c r="Q42" s="68">
        <v>-9.1999999999994522</v>
      </c>
    </row>
    <row r="43" spans="1:17">
      <c r="A43" s="19" t="s">
        <v>143</v>
      </c>
      <c r="B43" s="100">
        <v>3</v>
      </c>
      <c r="C43" s="6">
        <f t="shared" si="3"/>
        <v>3.7220843672456576E-3</v>
      </c>
      <c r="K43" s="5">
        <v>41</v>
      </c>
      <c r="L43" s="61">
        <v>-66.399999999999991</v>
      </c>
      <c r="N43" s="76" t="s">
        <v>161</v>
      </c>
      <c r="O43" s="86">
        <f>IF(P43=0,0,Q43/P43)</f>
        <v>-0.57333333333333036</v>
      </c>
      <c r="P43" s="80">
        <v>30</v>
      </c>
      <c r="Q43" s="68">
        <v>-17.19999999999991</v>
      </c>
    </row>
    <row r="44" spans="1:17">
      <c r="A44" s="19" t="s">
        <v>144</v>
      </c>
      <c r="B44" s="100">
        <v>1</v>
      </c>
      <c r="C44" s="6">
        <f t="shared" si="3"/>
        <v>1.2406947890818859E-3</v>
      </c>
      <c r="K44" s="5">
        <v>42</v>
      </c>
      <c r="L44" s="61">
        <v>-59.29999999999999</v>
      </c>
      <c r="N44" s="76" t="s">
        <v>164</v>
      </c>
      <c r="O44" s="86">
        <f>IF(P44=0,0,Q44/P44)</f>
        <v>-2.2222222222222197</v>
      </c>
      <c r="P44" s="80">
        <v>45</v>
      </c>
      <c r="Q44" s="68">
        <v>-99.999999999999886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177</v>
      </c>
      <c r="O45" s="86">
        <f>IF(P45=0,0,Q45/P45)</f>
        <v>-2.6</v>
      </c>
      <c r="P45" s="80">
        <v>6</v>
      </c>
      <c r="Q45" s="68">
        <v>-15.600000000000001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163</v>
      </c>
      <c r="O46" s="86">
        <f>IF(P46=0,0,Q46/P46)</f>
        <v>-3.7999999999999949</v>
      </c>
      <c r="P46" s="80">
        <v>24</v>
      </c>
      <c r="Q46" s="68">
        <v>-91.199999999999875</v>
      </c>
    </row>
    <row r="47" spans="1:17">
      <c r="A47" s="21" t="s">
        <v>147</v>
      </c>
      <c r="B47" s="101">
        <v>3</v>
      </c>
      <c r="C47" s="9">
        <f t="shared" si="3"/>
        <v>3.7220843672456576E-3</v>
      </c>
      <c r="K47" s="5">
        <v>45</v>
      </c>
      <c r="L47" s="61">
        <v>-52.099999999999987</v>
      </c>
      <c r="N47" s="76" t="s">
        <v>195</v>
      </c>
      <c r="O47" s="86">
        <f>IF(P47=0,0,Q47/P47)</f>
        <v>-4.8057971014492802</v>
      </c>
      <c r="P47" s="80">
        <v>138</v>
      </c>
      <c r="Q47" s="68">
        <v>-663.20000000000061</v>
      </c>
    </row>
    <row r="48" spans="1:17">
      <c r="K48" s="5">
        <v>46</v>
      </c>
      <c r="L48" s="61">
        <v>-44.199999999999989</v>
      </c>
      <c r="N48" s="76" t="s">
        <v>265</v>
      </c>
      <c r="O48" s="86">
        <f>IF(P48=0,0,Q48/P48)</f>
        <v>-7.1638888888888896</v>
      </c>
      <c r="P48" s="80">
        <v>72</v>
      </c>
      <c r="Q48" s="68">
        <v>-515.80000000000007</v>
      </c>
    </row>
    <row r="49" spans="11:17">
      <c r="K49" s="5">
        <v>47</v>
      </c>
      <c r="L49" s="61">
        <v>-76.299999999999983</v>
      </c>
      <c r="N49" s="76" t="s">
        <v>244</v>
      </c>
      <c r="O49" s="86">
        <f>IF(P49=0,0,Q49/P49)</f>
        <v>-7.5384615384615428</v>
      </c>
      <c r="P49" s="80">
        <v>39</v>
      </c>
      <c r="Q49" s="68">
        <v>-294.00000000000017</v>
      </c>
    </row>
    <row r="50" spans="11:17">
      <c r="K50" s="5">
        <v>48</v>
      </c>
      <c r="L50" s="61">
        <v>-19.999999999999986</v>
      </c>
      <c r="N50" s="76" t="s">
        <v>191</v>
      </c>
      <c r="O50" s="86">
        <f>IF(P50=0,0,Q50/P50)</f>
        <v>-7.5523809523809531</v>
      </c>
      <c r="P50" s="80">
        <v>42</v>
      </c>
      <c r="Q50" s="68">
        <v>-317.20000000000005</v>
      </c>
    </row>
    <row r="51" spans="11:17">
      <c r="K51" s="5">
        <v>49</v>
      </c>
      <c r="L51" s="61">
        <v>-73.599999999999994</v>
      </c>
      <c r="N51" s="76" t="s">
        <v>272</v>
      </c>
      <c r="O51" s="86">
        <f>IF(P51=0,0,Q51/P51)</f>
        <v>-11.026086956521738</v>
      </c>
      <c r="P51" s="80">
        <v>69</v>
      </c>
      <c r="Q51" s="68">
        <v>-760.8</v>
      </c>
    </row>
    <row r="52" spans="11:17">
      <c r="K52" s="5">
        <v>50</v>
      </c>
      <c r="L52" s="61">
        <v>-72.8</v>
      </c>
      <c r="N52" s="76" t="s">
        <v>263</v>
      </c>
      <c r="O52" s="86">
        <f>IF(P52=0,0,Q52/P52)</f>
        <v>-11.287179487179483</v>
      </c>
      <c r="P52" s="80">
        <v>78</v>
      </c>
      <c r="Q52" s="68">
        <v>-880.39999999999964</v>
      </c>
    </row>
    <row r="53" spans="11:17">
      <c r="K53" s="5">
        <v>51</v>
      </c>
      <c r="L53" s="61">
        <v>10</v>
      </c>
      <c r="N53" s="76" t="s">
        <v>168</v>
      </c>
      <c r="O53" s="86">
        <f>IF(P53=0,0,Q53/P53)</f>
        <v>-11.807407407407409</v>
      </c>
      <c r="P53" s="80">
        <v>54</v>
      </c>
      <c r="Q53" s="68">
        <v>-637.6</v>
      </c>
    </row>
    <row r="54" spans="11:17">
      <c r="K54" s="5">
        <v>52</v>
      </c>
      <c r="L54" s="61">
        <v>-20</v>
      </c>
      <c r="N54" s="76" t="s">
        <v>167</v>
      </c>
      <c r="O54" s="86">
        <f>IF(P54=0,0,Q54/P54)</f>
        <v>-18.666666666666664</v>
      </c>
      <c r="P54" s="80">
        <v>3</v>
      </c>
      <c r="Q54" s="68">
        <v>-55.999999999999993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-19.800000000000015</v>
      </c>
      <c r="P55" s="80">
        <v>150</v>
      </c>
      <c r="Q55" s="68">
        <v>-2970.0000000000023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-27.240740740740737</v>
      </c>
      <c r="P56" s="80">
        <v>54</v>
      </c>
      <c r="Q56" s="68">
        <v>-1470.9999999999998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24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22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26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8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5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0.86746987951807231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1060</v>
      </c>
      <c r="P2" s="79">
        <v>50</v>
      </c>
      <c r="Q2" s="63">
        <v>53000</v>
      </c>
    </row>
    <row r="3" spans="1:17">
      <c r="A3" s="19" t="s">
        <v>8</v>
      </c>
      <c r="B3" s="122">
        <v>373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0.6987951807228916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1426</v>
      </c>
      <c r="P3" s="80">
        <v>50</v>
      </c>
      <c r="Q3" s="64">
        <v>71300</v>
      </c>
    </row>
    <row r="4" spans="1:17">
      <c r="A4" s="19" t="s">
        <v>6</v>
      </c>
      <c r="B4" s="124">
        <v>737.5</v>
      </c>
      <c r="C4" s="125"/>
      <c r="E4" s="33" t="s">
        <v>181</v>
      </c>
      <c r="F4" s="30" t="s">
        <v>156</v>
      </c>
      <c r="G4" s="13">
        <v>37</v>
      </c>
      <c r="H4" s="94">
        <f>IF(B$17=0,0,G4/B$17)</f>
        <v>0.44578313253012047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1351.0204081632653</v>
      </c>
      <c r="P4" s="80">
        <v>49</v>
      </c>
      <c r="Q4" s="64">
        <v>66200</v>
      </c>
    </row>
    <row r="5" spans="1:17">
      <c r="A5" s="19" t="s">
        <v>7</v>
      </c>
      <c r="B5" s="126">
        <f>IF(B$2=0,0,B$4/B$2)</f>
        <v>14.75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0.33734939759036142</v>
      </c>
      <c r="I5" s="56">
        <v>24</v>
      </c>
      <c r="K5" s="5">
        <v>3</v>
      </c>
      <c r="L5" s="61">
        <v>-32.299999999999997</v>
      </c>
      <c r="N5" s="76" t="s">
        <v>157</v>
      </c>
      <c r="O5" s="83">
        <f>IF(P5=0,0,Q5/P5)</f>
        <v>390.69767441860466</v>
      </c>
      <c r="P5" s="80">
        <v>43</v>
      </c>
      <c r="Q5" s="64">
        <v>16800</v>
      </c>
    </row>
    <row r="6" spans="1:17">
      <c r="A6" s="19" t="s">
        <v>1</v>
      </c>
      <c r="B6" s="128">
        <f>IF(B$2=0,0,(B$7*1+B$8*2+B$9*3+B$10*4)/B$2)</f>
        <v>2.1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0.28915662650602408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1220</v>
      </c>
      <c r="P6" s="80">
        <v>30</v>
      </c>
      <c r="Q6" s="64">
        <v>36600</v>
      </c>
    </row>
    <row r="7" spans="1:17">
      <c r="A7" s="19" t="s">
        <v>2</v>
      </c>
      <c r="B7" s="13">
        <v>18</v>
      </c>
      <c r="C7" s="6">
        <f t="shared" ref="C7:C12" si="2">IF(B$2=0,0,B7/B$2)</f>
        <v>0.36</v>
      </c>
      <c r="E7" s="33" t="s">
        <v>59</v>
      </c>
      <c r="F7" s="30" t="s">
        <v>23</v>
      </c>
      <c r="G7" s="13">
        <v>21</v>
      </c>
      <c r="H7" s="94">
        <f>IF(B$17=0,0,G7/B$17)</f>
        <v>0.25301204819277107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1330</v>
      </c>
      <c r="P7" s="80">
        <v>20</v>
      </c>
      <c r="Q7" s="64">
        <v>26600</v>
      </c>
    </row>
    <row r="8" spans="1:17">
      <c r="A8" s="19" t="s">
        <v>3</v>
      </c>
      <c r="B8" s="13">
        <v>16</v>
      </c>
      <c r="C8" s="6">
        <f>IF(B$2=0,0,B8/B$2)</f>
        <v>0.32</v>
      </c>
      <c r="E8" s="33" t="s">
        <v>55</v>
      </c>
      <c r="F8" s="30" t="s">
        <v>155</v>
      </c>
      <c r="G8" s="13">
        <v>20</v>
      </c>
      <c r="H8" s="94">
        <f>IF(B$17=0,0,G8/B$17)</f>
        <v>0.24096385542168675</v>
      </c>
      <c r="I8" s="56">
        <v>17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0.18</v>
      </c>
      <c r="E9" s="33" t="s">
        <v>56</v>
      </c>
      <c r="F9" s="30" t="s">
        <v>185</v>
      </c>
      <c r="G9" s="13">
        <v>14</v>
      </c>
      <c r="H9" s="94">
        <f>IF(B$17=0,0,G9/B$17)</f>
        <v>0.16867469879518071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7</v>
      </c>
      <c r="C10" s="7">
        <f>IF(B$2=0,0,B10/B$2)</f>
        <v>0.14000000000000001</v>
      </c>
      <c r="E10" s="33" t="s">
        <v>58</v>
      </c>
      <c r="F10" s="30" t="s">
        <v>22</v>
      </c>
      <c r="G10" s="13">
        <v>8</v>
      </c>
      <c r="H10" s="94">
        <f>IF(B$17=0,0,G10/B$17)</f>
        <v>9.6385542168674704E-2</v>
      </c>
      <c r="I10" s="56">
        <v>10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0.68</v>
      </c>
      <c r="E11" s="33" t="s">
        <v>182</v>
      </c>
      <c r="F11" s="30" t="s">
        <v>19</v>
      </c>
      <c r="G11" s="13">
        <v>7</v>
      </c>
      <c r="H11" s="94">
        <f>IF(B$17=0,0,G11/B$17)</f>
        <v>8.4337349397590355E-2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0.02</v>
      </c>
      <c r="E12" s="33" t="s">
        <v>77</v>
      </c>
      <c r="F12" s="30" t="s">
        <v>41</v>
      </c>
      <c r="G12" s="13">
        <v>7</v>
      </c>
      <c r="H12" s="94">
        <f>IF(B$17=0,0,G12/B$17)</f>
        <v>8.4337349397590355E-2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60</v>
      </c>
      <c r="C13" s="11">
        <f>IF(B$3=0,0,B13/B$3)</f>
        <v>0.16085790884718498</v>
      </c>
      <c r="E13" s="33" t="s">
        <v>62</v>
      </c>
      <c r="F13" s="30" t="s">
        <v>26</v>
      </c>
      <c r="G13" s="13">
        <v>1</v>
      </c>
      <c r="H13" s="94">
        <f>IF(B$17=0,0,G13/B$17)</f>
        <v>1.2048192771084338E-2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78</v>
      </c>
      <c r="C14" s="6">
        <f>IF(B$3=0,0,B14/B$3)</f>
        <v>0.20911528150134048</v>
      </c>
      <c r="E14" s="33" t="s">
        <v>66</v>
      </c>
      <c r="F14" s="30" t="s">
        <v>30</v>
      </c>
      <c r="G14" s="13">
        <v>1</v>
      </c>
      <c r="H14" s="94">
        <f>IF(B$17=0,0,G14/B$17)</f>
        <v>1.2048192771084338E-2</v>
      </c>
      <c r="I14" s="56">
        <v>12</v>
      </c>
      <c r="K14" s="5">
        <v>12</v>
      </c>
      <c r="L14" s="61">
        <v>97.9</v>
      </c>
      <c r="N14" s="76" t="s">
        <v>128</v>
      </c>
      <c r="O14" s="86">
        <f>IF(P14=0,0,Q14/P14)</f>
        <v>9.4444444444444429</v>
      </c>
      <c r="P14" s="80">
        <v>9</v>
      </c>
      <c r="Q14" s="68">
        <v>84.999999999999986</v>
      </c>
    </row>
    <row r="15" spans="1:17">
      <c r="A15" s="18" t="s">
        <v>99</v>
      </c>
      <c r="B15" s="12">
        <f>B21</f>
        <v>37</v>
      </c>
      <c r="C15" s="4">
        <f>IF(B$13=0,0,B15/B$13)</f>
        <v>0.6166666666666667</v>
      </c>
      <c r="E15" s="33" t="s">
        <v>183</v>
      </c>
      <c r="F15" s="30" t="s">
        <v>186</v>
      </c>
      <c r="G15" s="13">
        <v>1</v>
      </c>
      <c r="H15" s="94">
        <f>IF(B$17=0,0,G15/B$17)</f>
        <v>1.2048192771084338E-2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16.05</v>
      </c>
      <c r="P15" s="81">
        <v>20</v>
      </c>
      <c r="Q15" s="69">
        <v>321</v>
      </c>
    </row>
    <row r="16" spans="1:17">
      <c r="A16" s="18" t="s">
        <v>100</v>
      </c>
      <c r="B16" s="12">
        <f>B22</f>
        <v>29</v>
      </c>
      <c r="C16" s="4">
        <f>IF(B$14=0,0,B16/B$14)</f>
        <v>0.37179487179487181</v>
      </c>
      <c r="E16" s="33" t="s">
        <v>68</v>
      </c>
      <c r="F16" s="30" t="s">
        <v>32</v>
      </c>
      <c r="G16" s="13">
        <v>1</v>
      </c>
      <c r="H16" s="94">
        <f>IF(B$17=0,0,G16/B$17)</f>
        <v>1.2048192771084338E-2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83</v>
      </c>
      <c r="C17" s="4">
        <f>IF(B$3=0,0,B17/B$3)</f>
        <v>0.22252010723860591</v>
      </c>
      <c r="E17" s="33" t="s">
        <v>69</v>
      </c>
      <c r="F17" s="30" t="s">
        <v>33</v>
      </c>
      <c r="G17" s="13">
        <v>1</v>
      </c>
      <c r="H17" s="94">
        <f>IF(B$17=0,0,G17/B$17)</f>
        <v>1.2048192771084338E-2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9.1152815013404831E-2</v>
      </c>
      <c r="E18" s="33" t="s">
        <v>71</v>
      </c>
      <c r="F18" s="30" t="s">
        <v>35</v>
      </c>
      <c r="G18" s="13">
        <v>1</v>
      </c>
      <c r="H18" s="94">
        <f>IF(B$17=0,0,G18/B$17)</f>
        <v>1.2048192771084338E-2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0.25301204819277107</v>
      </c>
      <c r="E19" s="33" t="s">
        <v>74</v>
      </c>
      <c r="F19" s="30" t="s">
        <v>38</v>
      </c>
      <c r="G19" s="13">
        <v>1</v>
      </c>
      <c r="H19" s="94">
        <f>IF(B$17=0,0,G19/B$17)</f>
        <v>1.2048192771084338E-2</v>
      </c>
      <c r="I19" s="56">
        <v>16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62</v>
      </c>
      <c r="C20" s="6">
        <f>IF(B$17=0,0,B20/B$17)</f>
        <v>0.74698795180722888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>IF(P20=0,0,Q20/P20)</f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37</v>
      </c>
      <c r="C21" s="6">
        <f>IF(B$17=0,0,B21/B$17)</f>
        <v>0.44578313253012047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0.3493975903614458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0.20481927710843373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7615.6626506024095</v>
      </c>
      <c r="C24" s="8">
        <v>632100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8470.3703703703704</v>
      </c>
      <c r="C25" s="98">
        <v>457400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-5002.9411764705883</v>
      </c>
      <c r="C27" s="98">
        <v>-170100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>IF(P30=0,0,Q30/P30)</f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>IF(P31=0,0,Q31/P31)</f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>IF(P32=0,0,Q32/P32)</f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>IF(P33=0,0,Q33/P33)</f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>IF(P34=0,0,Q34/P34)</f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4</v>
      </c>
      <c r="C35" s="102">
        <f t="shared" ref="C35:C47" si="3">IF(B$17=0,0,B35/B$17)</f>
        <v>4.8192771084337352E-2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238</v>
      </c>
      <c r="O35" s="86">
        <f>IF(P35=0,0,Q35/P35)</f>
        <v>27.939999999999998</v>
      </c>
      <c r="P35" s="80">
        <v>5</v>
      </c>
      <c r="Q35" s="68">
        <v>139.69999999999999</v>
      </c>
    </row>
    <row r="36" spans="1:17">
      <c r="A36" s="19" t="s">
        <v>135</v>
      </c>
      <c r="B36" s="13">
        <v>15</v>
      </c>
      <c r="C36" s="6">
        <f t="shared" si="3"/>
        <v>0.18072289156626506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272</v>
      </c>
      <c r="O36" s="86">
        <f>IF(P36=0,0,Q36/P36)</f>
        <v>25.928571428571427</v>
      </c>
      <c r="P36" s="80">
        <v>7</v>
      </c>
      <c r="Q36" s="68">
        <v>181.5</v>
      </c>
    </row>
    <row r="37" spans="1:17">
      <c r="A37" s="19" t="s">
        <v>136</v>
      </c>
      <c r="B37" s="100">
        <v>16</v>
      </c>
      <c r="C37" s="6">
        <f t="shared" si="3"/>
        <v>0.19277108433734941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25</v>
      </c>
      <c r="C38" s="6">
        <f t="shared" si="3"/>
        <v>0.30120481927710846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3"/>
        <v>8.4337349397590355E-2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0.12048192771084337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235</v>
      </c>
      <c r="O40" s="86">
        <f>IF(P40=0,0,Q40/P40)</f>
        <v>16.225000000000001</v>
      </c>
      <c r="P40" s="80">
        <v>4</v>
      </c>
      <c r="Q40" s="68">
        <v>64.900000000000006</v>
      </c>
    </row>
    <row r="41" spans="1:17">
      <c r="A41" s="19" t="s">
        <v>141</v>
      </c>
      <c r="B41" s="100">
        <v>5</v>
      </c>
      <c r="C41" s="6">
        <f t="shared" si="3"/>
        <v>6.0240963855421686E-2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>IF(P41=0,0,Q41/P41)</f>
        <v>2.083333333333337</v>
      </c>
      <c r="P41" s="80">
        <v>6</v>
      </c>
      <c r="Q41" s="68">
        <v>12.500000000000021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>IF(P42=0,0,Q42/P42)</f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3"/>
        <v>1.2048192771084338E-2</v>
      </c>
      <c r="K43" s="5">
        <v>41</v>
      </c>
      <c r="L43" s="61">
        <v>584.79999999999995</v>
      </c>
      <c r="N43" s="76" t="s">
        <v>269</v>
      </c>
      <c r="O43" s="86">
        <f>IF(P43=0,0,Q43/P43)</f>
        <v>-6.8999999999999995</v>
      </c>
      <c r="P43" s="80">
        <v>3</v>
      </c>
      <c r="Q43" s="68">
        <v>-20.7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164</v>
      </c>
      <c r="O44" s="86">
        <f>IF(P44=0,0,Q44/P44)</f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265</v>
      </c>
      <c r="O45" s="86">
        <f>IF(P45=0,0,Q45/P45)</f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177</v>
      </c>
      <c r="O46" s="86">
        <f>IF(P46=0,0,Q46/P46)</f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168</v>
      </c>
      <c r="O47" s="86">
        <f>IF(P47=0,0,Q47/P47)</f>
        <v>-14.5625</v>
      </c>
      <c r="P47" s="80">
        <v>8</v>
      </c>
      <c r="Q47" s="68">
        <v>-116.5</v>
      </c>
    </row>
    <row r="48" spans="1:17">
      <c r="K48" s="5">
        <v>46</v>
      </c>
      <c r="L48" s="61">
        <v>682.4</v>
      </c>
      <c r="N48" s="76" t="s">
        <v>276</v>
      </c>
      <c r="O48" s="86">
        <f>IF(P48=0,0,Q48/P48)</f>
        <v>-19.966666666666669</v>
      </c>
      <c r="P48" s="80">
        <v>3</v>
      </c>
      <c r="Q48" s="68">
        <v>-59.900000000000006</v>
      </c>
    </row>
    <row r="49" spans="11:17">
      <c r="K49" s="5">
        <v>47</v>
      </c>
      <c r="L49" s="61">
        <v>692.6</v>
      </c>
      <c r="N49" s="76" t="s">
        <v>167</v>
      </c>
      <c r="O49" s="86">
        <f>IF(P49=0,0,Q49/P49)</f>
        <v>-28.2</v>
      </c>
      <c r="P49" s="80">
        <v>1</v>
      </c>
      <c r="Q49" s="68">
        <v>-28.2</v>
      </c>
    </row>
    <row r="50" spans="11:17">
      <c r="K50" s="5">
        <v>48</v>
      </c>
      <c r="L50" s="61">
        <v>721.1</v>
      </c>
      <c r="N50" s="76" t="s">
        <v>255</v>
      </c>
      <c r="O50" s="86">
        <f>IF(P50=0,0,Q50/P50)</f>
        <v>-29.012499999999992</v>
      </c>
      <c r="P50" s="80">
        <v>8</v>
      </c>
      <c r="Q50" s="68">
        <v>-232.09999999999994</v>
      </c>
    </row>
    <row r="51" spans="11:17">
      <c r="K51" s="5">
        <v>49</v>
      </c>
      <c r="L51" s="61">
        <v>732</v>
      </c>
      <c r="N51" s="76" t="s">
        <v>162</v>
      </c>
      <c r="O51" s="86">
        <f>IF(P51=0,0,Q51/P51)</f>
        <v>-38.020000000000003</v>
      </c>
      <c r="P51" s="80">
        <v>5</v>
      </c>
      <c r="Q51" s="68">
        <v>-190.10000000000002</v>
      </c>
    </row>
    <row r="52" spans="11:17">
      <c r="K52" s="5">
        <v>50</v>
      </c>
      <c r="L52" s="61">
        <v>737.5</v>
      </c>
    </row>
  </sheetData>
  <sortState xmlns:xlrd2="http://schemas.microsoft.com/office/spreadsheetml/2017/richdata2" ref="N18:Q5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29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16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16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11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25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30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31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27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36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22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35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52</v>
      </c>
      <c r="H2" s="93">
        <f>IF(B$17=0,0,G2/B$17)</f>
        <v>0.60465116279069764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1163.0434782608695</v>
      </c>
      <c r="P2" s="79">
        <v>46</v>
      </c>
      <c r="Q2" s="63">
        <v>53500</v>
      </c>
    </row>
    <row r="3" spans="1:17">
      <c r="A3" s="19" t="s">
        <v>8</v>
      </c>
      <c r="B3" s="122">
        <v>326</v>
      </c>
      <c r="C3" s="123"/>
      <c r="E3" s="33" t="s">
        <v>181</v>
      </c>
      <c r="F3" s="30" t="s">
        <v>156</v>
      </c>
      <c r="G3" s="13">
        <v>44</v>
      </c>
      <c r="H3" s="94">
        <f>IF(B$17=0,0,G3/B$17)</f>
        <v>0.51162790697674421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504.3478260869565</v>
      </c>
      <c r="P3" s="80">
        <v>46</v>
      </c>
      <c r="Q3" s="64">
        <v>23200</v>
      </c>
    </row>
    <row r="4" spans="1:17">
      <c r="A4" s="19" t="s">
        <v>6</v>
      </c>
      <c r="B4" s="124">
        <v>160.79999999999995</v>
      </c>
      <c r="C4" s="125"/>
      <c r="E4" s="33" t="s">
        <v>184</v>
      </c>
      <c r="F4" s="30" t="s">
        <v>187</v>
      </c>
      <c r="G4" s="13">
        <v>43</v>
      </c>
      <c r="H4" s="94">
        <f>IF(B$17=0,0,G4/B$17)</f>
        <v>0.5</v>
      </c>
      <c r="I4" s="56">
        <v>16</v>
      </c>
      <c r="K4" s="5">
        <v>2</v>
      </c>
      <c r="L4" s="61">
        <v>-12.200000000000001</v>
      </c>
      <c r="N4" s="76" t="s">
        <v>105</v>
      </c>
      <c r="O4" s="83">
        <f t="shared" si="0"/>
        <v>1420</v>
      </c>
      <c r="P4" s="80">
        <v>45</v>
      </c>
      <c r="Q4" s="64">
        <v>63900</v>
      </c>
    </row>
    <row r="5" spans="1:17">
      <c r="A5" s="19" t="s">
        <v>7</v>
      </c>
      <c r="B5" s="126">
        <f>IF(B$2=0,0,B$4/B$2)</f>
        <v>3.4956521739130424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0.38372093023255816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-19.512195121951219</v>
      </c>
      <c r="P5" s="80">
        <v>41</v>
      </c>
      <c r="Q5" s="64">
        <v>-800</v>
      </c>
    </row>
    <row r="6" spans="1:17">
      <c r="A6" s="19" t="s">
        <v>1</v>
      </c>
      <c r="B6" s="128">
        <f>IF(B$2=0,0,(B$7*1+B$8*2+B$9*3+B$10*4)/B$2)</f>
        <v>2.4347826086956523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0.2558139534883721</v>
      </c>
      <c r="I6" s="56">
        <v>25</v>
      </c>
      <c r="K6" s="5">
        <v>4</v>
      </c>
      <c r="L6" s="61">
        <v>-96.4</v>
      </c>
      <c r="N6" s="76" t="s">
        <v>106</v>
      </c>
      <c r="O6" s="83">
        <f t="shared" ref="O6" si="1">IF(P6=0,0,Q6/P6)</f>
        <v>-703.7037037037037</v>
      </c>
      <c r="P6" s="80">
        <v>27</v>
      </c>
      <c r="Q6" s="64">
        <v>-19000</v>
      </c>
    </row>
    <row r="7" spans="1:17">
      <c r="A7" s="19" t="s">
        <v>2</v>
      </c>
      <c r="B7" s="13">
        <v>12</v>
      </c>
      <c r="C7" s="6">
        <f t="shared" ref="C7:C12" si="2">IF(B$2=0,0,B7/B$2)</f>
        <v>0.2608695652173913</v>
      </c>
      <c r="E7" s="33" t="s">
        <v>55</v>
      </c>
      <c r="F7" s="30" t="s">
        <v>155</v>
      </c>
      <c r="G7" s="13">
        <v>20</v>
      </c>
      <c r="H7" s="94">
        <f>IF(B$17=0,0,G7/B$17)</f>
        <v>0.23255813953488372</v>
      </c>
      <c r="I7" s="56">
        <v>19</v>
      </c>
      <c r="K7" s="5">
        <v>5</v>
      </c>
      <c r="L7" s="61">
        <v>-160.60000000000002</v>
      </c>
      <c r="N7" s="76" t="s">
        <v>107</v>
      </c>
      <c r="O7" s="83">
        <f t="shared" si="0"/>
        <v>-1375</v>
      </c>
      <c r="P7" s="80">
        <v>16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0.19565217391304349</v>
      </c>
      <c r="E8" s="33" t="s">
        <v>57</v>
      </c>
      <c r="F8" s="30" t="s">
        <v>21</v>
      </c>
      <c r="G8" s="13">
        <v>16</v>
      </c>
      <c r="H8" s="94">
        <f>IF(B$17=0,0,G8/B$17)</f>
        <v>0.18604651162790697</v>
      </c>
      <c r="I8" s="56">
        <v>23</v>
      </c>
      <c r="K8" s="5">
        <v>6</v>
      </c>
      <c r="L8" s="61">
        <v>-199.10000000000002</v>
      </c>
      <c r="N8" s="76" t="s">
        <v>108</v>
      </c>
      <c r="O8" s="83">
        <f t="shared" si="0"/>
        <v>-388.88888888888891</v>
      </c>
      <c r="P8" s="80">
        <v>9</v>
      </c>
      <c r="Q8" s="64">
        <v>-3500</v>
      </c>
    </row>
    <row r="9" spans="1:17">
      <c r="A9" s="20" t="s">
        <v>4</v>
      </c>
      <c r="B9" s="14">
        <v>18</v>
      </c>
      <c r="C9" s="7">
        <f>IF(B$2=0,0,B9/B$2)</f>
        <v>0.39130434782608697</v>
      </c>
      <c r="E9" s="33" t="s">
        <v>59</v>
      </c>
      <c r="F9" s="30" t="s">
        <v>23</v>
      </c>
      <c r="G9" s="13">
        <v>16</v>
      </c>
      <c r="H9" s="94">
        <f>IF(B$17=0,0,G9/B$17)</f>
        <v>0.18604651162790697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0.15217391304347827</v>
      </c>
      <c r="E10" s="33" t="s">
        <v>182</v>
      </c>
      <c r="F10" s="30" t="s">
        <v>19</v>
      </c>
      <c r="G10" s="13">
        <v>9</v>
      </c>
      <c r="H10" s="94">
        <f>IF(B$17=0,0,G10/B$17)</f>
        <v>0.10465116279069768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0.45652173913043476</v>
      </c>
      <c r="E11" s="33" t="s">
        <v>58</v>
      </c>
      <c r="F11" s="30" t="s">
        <v>22</v>
      </c>
      <c r="G11" s="13">
        <v>8</v>
      </c>
      <c r="H11" s="94">
        <f>IF(B$17=0,0,G11/B$17)</f>
        <v>9.3023255813953487E-2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6.5217391304347824E-2</v>
      </c>
      <c r="E12" s="33" t="s">
        <v>77</v>
      </c>
      <c r="F12" s="30" t="s">
        <v>41</v>
      </c>
      <c r="G12" s="13">
        <v>7</v>
      </c>
      <c r="H12" s="94">
        <f>IF(B$17=0,0,G12/B$17)</f>
        <v>8.1395348837209308E-2</v>
      </c>
      <c r="I12" s="56">
        <v>11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82</v>
      </c>
      <c r="C13" s="11">
        <f>IF(B$3=0,0,B13/B$3)</f>
        <v>0.25153374233128833</v>
      </c>
      <c r="E13" s="33" t="s">
        <v>71</v>
      </c>
      <c r="F13" s="30" t="s">
        <v>35</v>
      </c>
      <c r="G13" s="13">
        <v>5</v>
      </c>
      <c r="H13" s="94">
        <f>IF(B$17=0,0,G13/B$17)</f>
        <v>5.8139534883720929E-2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0.41818181818181893</v>
      </c>
      <c r="P13" s="80">
        <v>11</v>
      </c>
      <c r="Q13" s="68">
        <v>4.6000000000000085</v>
      </c>
    </row>
    <row r="14" spans="1:17">
      <c r="A14" s="19" t="s">
        <v>94</v>
      </c>
      <c r="B14" s="13">
        <v>99</v>
      </c>
      <c r="C14" s="6">
        <f>IF(B$3=0,0,B14/B$3)</f>
        <v>0.30368098159509205</v>
      </c>
      <c r="E14" s="33" t="s">
        <v>74</v>
      </c>
      <c r="F14" s="30" t="s">
        <v>38</v>
      </c>
      <c r="G14" s="13">
        <v>3</v>
      </c>
      <c r="H14" s="94">
        <f>IF(B$17=0,0,G14/B$17)</f>
        <v>3.4883720930232558E-2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44</v>
      </c>
      <c r="C15" s="4">
        <f>IF(B$13=0,0,B15/B$13)</f>
        <v>0.53658536585365857</v>
      </c>
      <c r="E15" s="33" t="s">
        <v>183</v>
      </c>
      <c r="F15" s="30" t="s">
        <v>186</v>
      </c>
      <c r="G15" s="13">
        <v>2</v>
      </c>
      <c r="H15" s="94">
        <f>IF(B$17=0,0,G15/B$17)</f>
        <v>2.3255813953488372E-2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34</v>
      </c>
      <c r="C16" s="4">
        <f>IF(B$14=0,0,B16/B$14)</f>
        <v>0.34343434343434343</v>
      </c>
      <c r="E16" s="33" t="s">
        <v>78</v>
      </c>
      <c r="F16" s="30" t="s">
        <v>42</v>
      </c>
      <c r="G16" s="13">
        <v>2</v>
      </c>
      <c r="H16" s="94">
        <f>IF(B$17=0,0,G16/B$17)</f>
        <v>2.3255813953488372E-2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86</v>
      </c>
      <c r="C17" s="4">
        <f>IF(B$3=0,0,B17/B$3)</f>
        <v>0.26380368098159507</v>
      </c>
      <c r="E17" s="33" t="s">
        <v>62</v>
      </c>
      <c r="F17" s="30" t="s">
        <v>26</v>
      </c>
      <c r="G17" s="13">
        <v>1</v>
      </c>
      <c r="H17" s="94">
        <f>IF(B$17=0,0,G17/B$17)</f>
        <v>1.1627906976744186E-2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0.12883435582822086</v>
      </c>
      <c r="E18" s="33" t="s">
        <v>66</v>
      </c>
      <c r="F18" s="30" t="s">
        <v>30</v>
      </c>
      <c r="G18" s="13">
        <v>1</v>
      </c>
      <c r="H18" s="94">
        <f>IF(B$17=0,0,G18/B$17)</f>
        <v>1.1627906976744186E-2</v>
      </c>
      <c r="I18" s="56">
        <v>13</v>
      </c>
      <c r="K18" s="5">
        <v>16</v>
      </c>
      <c r="L18" s="61">
        <v>-275</v>
      </c>
      <c r="N18" s="75" t="s">
        <v>262</v>
      </c>
      <c r="O18" s="85">
        <f t="shared" ref="O18:O48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33</v>
      </c>
      <c r="C19" s="6">
        <f>IF(B$17=0,0,B19/B$17)</f>
        <v>0.38372093023255816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53</v>
      </c>
      <c r="C20" s="6">
        <f>IF(B$17=0,0,B20/B$17)</f>
        <v>0.61627906976744184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238</v>
      </c>
      <c r="O20" s="86">
        <f t="shared" si="3"/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44</v>
      </c>
      <c r="C21" s="6">
        <f>IF(B$17=0,0,B21/B$17)</f>
        <v>0.51162790697674421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235</v>
      </c>
      <c r="O21" s="86">
        <f t="shared" si="3"/>
        <v>60.083333333333321</v>
      </c>
      <c r="P21" s="80">
        <v>6</v>
      </c>
      <c r="Q21" s="68">
        <v>360.49999999999994</v>
      </c>
    </row>
    <row r="22" spans="1:17">
      <c r="A22" s="19" t="s">
        <v>149</v>
      </c>
      <c r="B22" s="13">
        <v>34</v>
      </c>
      <c r="C22" s="6">
        <f>IF(B$17=0,0,B22/B$17)</f>
        <v>0.39534883720930231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223</v>
      </c>
      <c r="O22" s="86">
        <f t="shared" si="3"/>
        <v>47.5</v>
      </c>
      <c r="P22" s="80">
        <v>2</v>
      </c>
      <c r="Q22" s="68">
        <v>95</v>
      </c>
    </row>
    <row r="23" spans="1:17">
      <c r="A23" s="19" t="s">
        <v>150</v>
      </c>
      <c r="B23" s="13">
        <v>8</v>
      </c>
      <c r="C23" s="6">
        <f>IF(B$17=0,0,B23/B$17)</f>
        <v>9.3023255813953487E-2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6746.5116279069771</v>
      </c>
      <c r="C24" s="8">
        <v>580200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8013.4615384615381</v>
      </c>
      <c r="C25" s="98">
        <v>416700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255</v>
      </c>
      <c r="O25" s="86">
        <f t="shared" si="3"/>
        <v>38.56666666666667</v>
      </c>
      <c r="P25" s="80">
        <v>3</v>
      </c>
      <c r="Q25" s="68">
        <v>115.70000000000002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-6942.8571428571431</v>
      </c>
      <c r="C27" s="98">
        <v>-291600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2</v>
      </c>
      <c r="C32" s="9">
        <f>IF(B$3=0,0,B32/B$3)</f>
        <v>6.1349693251533744E-3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 t="shared" si="3"/>
        <v>6.8999999999999995</v>
      </c>
      <c r="P32" s="80">
        <v>3</v>
      </c>
      <c r="Q32" s="68">
        <v>20.7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6.9767441860465115E-2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3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20</v>
      </c>
      <c r="C36" s="6">
        <f t="shared" si="4"/>
        <v>0.23255813953488372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-12.028571428571427</v>
      </c>
      <c r="P36" s="80">
        <v>7</v>
      </c>
      <c r="Q36" s="68">
        <v>-84.199999999999989</v>
      </c>
    </row>
    <row r="37" spans="1:17">
      <c r="A37" s="19" t="s">
        <v>136</v>
      </c>
      <c r="B37" s="100">
        <v>25</v>
      </c>
      <c r="C37" s="6">
        <f t="shared" si="4"/>
        <v>0.29069767441860467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 t="shared" si="3"/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7</v>
      </c>
      <c r="C38" s="6">
        <f t="shared" si="4"/>
        <v>8.1395348837209308E-2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 t="shared" si="3"/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13</v>
      </c>
      <c r="C39" s="6">
        <f t="shared" si="4"/>
        <v>0.15116279069767441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 t="shared" si="3"/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10</v>
      </c>
      <c r="C40" s="6">
        <f t="shared" si="4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 t="shared" si="3"/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4"/>
        <v>4.6511627906976744E-2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 t="shared" si="3"/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1</v>
      </c>
      <c r="C42" s="6">
        <f t="shared" si="4"/>
        <v>1.1627906976744186E-2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-41.375</v>
      </c>
      <c r="P42" s="80">
        <v>4</v>
      </c>
      <c r="Q42" s="68">
        <v>-165.5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304</v>
      </c>
      <c r="O43" s="86">
        <f t="shared" si="3"/>
        <v>-43.25</v>
      </c>
      <c r="P43" s="80">
        <v>2</v>
      </c>
      <c r="Q43" s="68">
        <v>-86.5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162</v>
      </c>
      <c r="O44" s="86">
        <f t="shared" si="3"/>
        <v>-43.699999999999996</v>
      </c>
      <c r="P44" s="80">
        <v>4</v>
      </c>
      <c r="Q44" s="68">
        <v>-174.79999999999998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244</v>
      </c>
      <c r="O45" s="86">
        <f t="shared" si="3"/>
        <v>-48.366666666666667</v>
      </c>
      <c r="P45" s="80">
        <v>3</v>
      </c>
      <c r="Q45" s="68">
        <v>-145.1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276</v>
      </c>
      <c r="O46" s="86">
        <f t="shared" si="3"/>
        <v>-57.65</v>
      </c>
      <c r="P46" s="80">
        <v>2</v>
      </c>
      <c r="Q46" s="68">
        <v>-115.3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191</v>
      </c>
      <c r="O47" s="86">
        <f t="shared" si="3"/>
        <v>-65.966666666666669</v>
      </c>
      <c r="P47" s="80">
        <v>3</v>
      </c>
      <c r="Q47" s="68">
        <v>-197.9</v>
      </c>
    </row>
    <row r="48" spans="1:17">
      <c r="K48" s="5">
        <v>46</v>
      </c>
      <c r="L48" s="61">
        <v>160.79999999999995</v>
      </c>
      <c r="N48" s="76" t="s">
        <v>205</v>
      </c>
      <c r="O48" s="86">
        <f t="shared" si="3"/>
        <v>-66.05</v>
      </c>
      <c r="P48" s="80">
        <v>4</v>
      </c>
      <c r="Q48" s="68">
        <v>-264.2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16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11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23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19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14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23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29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18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17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8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16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0.70370370370370372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-2681.818181818182</v>
      </c>
      <c r="P2" s="79">
        <v>22</v>
      </c>
      <c r="Q2" s="63">
        <v>-59000</v>
      </c>
    </row>
    <row r="3" spans="1:17">
      <c r="A3" s="19" t="s">
        <v>8</v>
      </c>
      <c r="B3" s="122">
        <v>173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0.59259259259259256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-2159.090909090909</v>
      </c>
      <c r="P3" s="80">
        <v>22</v>
      </c>
      <c r="Q3" s="64">
        <v>-47500</v>
      </c>
    </row>
    <row r="4" spans="1:17">
      <c r="A4" s="19" t="s">
        <v>6</v>
      </c>
      <c r="B4" s="124">
        <v>-350.8</v>
      </c>
      <c r="C4" s="125"/>
      <c r="E4" s="33" t="s">
        <v>184</v>
      </c>
      <c r="F4" s="30" t="s">
        <v>187</v>
      </c>
      <c r="G4" s="13">
        <v>10</v>
      </c>
      <c r="H4" s="94">
        <f>IF(B$17=0,0,G4/B$17)</f>
        <v>0.37037037037037035</v>
      </c>
      <c r="I4" s="56">
        <v>28</v>
      </c>
      <c r="K4" s="5">
        <v>2</v>
      </c>
      <c r="L4" s="61">
        <v>-70.800000000000011</v>
      </c>
      <c r="N4" s="76" t="s">
        <v>105</v>
      </c>
      <c r="O4" s="83">
        <f t="shared" si="0"/>
        <v>-2004.5454545454545</v>
      </c>
      <c r="P4" s="80">
        <v>22</v>
      </c>
      <c r="Q4" s="64">
        <v>-44100</v>
      </c>
    </row>
    <row r="5" spans="1:17">
      <c r="A5" s="19" t="s">
        <v>7</v>
      </c>
      <c r="B5" s="126">
        <f>IF(B$2=0,0,B$4/B$2)</f>
        <v>-15.945454545454545</v>
      </c>
      <c r="C5" s="127"/>
      <c r="E5" s="33" t="s">
        <v>56</v>
      </c>
      <c r="F5" s="30" t="s">
        <v>185</v>
      </c>
      <c r="G5" s="13">
        <v>9</v>
      </c>
      <c r="H5" s="94">
        <f>IF(B$17=0,0,G5/B$17)</f>
        <v>0.33333333333333331</v>
      </c>
      <c r="I5" s="56">
        <v>11</v>
      </c>
      <c r="K5" s="5">
        <v>3</v>
      </c>
      <c r="L5" s="61">
        <v>-67.200000000000017</v>
      </c>
      <c r="N5" s="76" t="s">
        <v>157</v>
      </c>
      <c r="O5" s="83">
        <f>IF(P5=0,0,Q5/P5)</f>
        <v>-461.90476190476193</v>
      </c>
      <c r="P5" s="80">
        <v>21</v>
      </c>
      <c r="Q5" s="64">
        <v>-9700</v>
      </c>
    </row>
    <row r="6" spans="1:17">
      <c r="A6" s="19" t="s">
        <v>1</v>
      </c>
      <c r="B6" s="128">
        <f>IF(B$2=0,0,(B$7*1+B$8*2+B$9*3+B$10*4)/B$2)</f>
        <v>2.9090909090909092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0.25925925925925924</v>
      </c>
      <c r="I6" s="56">
        <v>13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-416.66666666666669</v>
      </c>
      <c r="P6" s="80">
        <v>18</v>
      </c>
      <c r="Q6" s="64">
        <v>-7500</v>
      </c>
    </row>
    <row r="7" spans="1:17">
      <c r="A7" s="19" t="s">
        <v>2</v>
      </c>
      <c r="B7" s="13">
        <v>5</v>
      </c>
      <c r="C7" s="6">
        <f t="shared" ref="C7:C12" si="2">IF(B$2=0,0,B7/B$2)</f>
        <v>0.22727272727272727</v>
      </c>
      <c r="E7" s="33" t="s">
        <v>60</v>
      </c>
      <c r="F7" s="30" t="s">
        <v>24</v>
      </c>
      <c r="G7" s="13">
        <v>7</v>
      </c>
      <c r="H7" s="94">
        <f>IF(B$17=0,0,G7/B$17)</f>
        <v>0.25925925925925924</v>
      </c>
      <c r="I7" s="56">
        <v>30</v>
      </c>
      <c r="K7" s="5">
        <v>5</v>
      </c>
      <c r="L7" s="61">
        <v>-168.90000000000003</v>
      </c>
      <c r="N7" s="76" t="s">
        <v>107</v>
      </c>
      <c r="O7" s="83">
        <f t="shared" si="0"/>
        <v>850</v>
      </c>
      <c r="P7" s="80">
        <v>10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9.0909090909090912E-2</v>
      </c>
      <c r="E8" s="33" t="s">
        <v>57</v>
      </c>
      <c r="F8" s="30" t="s">
        <v>21</v>
      </c>
      <c r="G8" s="13">
        <v>4</v>
      </c>
      <c r="H8" s="94">
        <f>IF(B$17=0,0,G8/B$17)</f>
        <v>0.14814814814814814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5</v>
      </c>
      <c r="C9" s="7">
        <f>IF(B$2=0,0,B9/B$2)</f>
        <v>0.22727272727272727</v>
      </c>
      <c r="E9" s="33" t="s">
        <v>182</v>
      </c>
      <c r="F9" s="30" t="s">
        <v>19</v>
      </c>
      <c r="G9" s="13">
        <v>2</v>
      </c>
      <c r="H9" s="94">
        <f>IF(B$17=0,0,G9/B$17)</f>
        <v>7.407407407407407E-2</v>
      </c>
      <c r="I9" s="56">
        <v>19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10</v>
      </c>
      <c r="C10" s="7">
        <f>IF(B$2=0,0,B10/B$2)</f>
        <v>0.45454545454545453</v>
      </c>
      <c r="E10" s="33" t="s">
        <v>59</v>
      </c>
      <c r="F10" s="30" t="s">
        <v>23</v>
      </c>
      <c r="G10" s="13">
        <v>2</v>
      </c>
      <c r="H10" s="94">
        <f>IF(B$17=0,0,G10/B$17)</f>
        <v>7.407407407407407E-2</v>
      </c>
      <c r="I10" s="56">
        <v>23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0.31818181818181818</v>
      </c>
      <c r="E11" s="33" t="s">
        <v>61</v>
      </c>
      <c r="F11" s="30" t="s">
        <v>25</v>
      </c>
      <c r="G11" s="13">
        <v>1</v>
      </c>
      <c r="H11" s="94">
        <f>IF(B$17=0,0,G11/B$17)</f>
        <v>3.7037037037037035E-2</v>
      </c>
      <c r="I11" s="56">
        <v>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9.0909090909090912E-2</v>
      </c>
      <c r="E12" s="33" t="s">
        <v>66</v>
      </c>
      <c r="F12" s="30" t="s">
        <v>30</v>
      </c>
      <c r="G12" s="13">
        <v>1</v>
      </c>
      <c r="H12" s="94">
        <f>IF(B$17=0,0,G12/B$17)</f>
        <v>3.7037037037037035E-2</v>
      </c>
      <c r="I12" s="56">
        <v>6</v>
      </c>
      <c r="K12" s="5">
        <v>10</v>
      </c>
      <c r="L12" s="61">
        <v>-333.20000000000005</v>
      </c>
      <c r="N12" s="75" t="s">
        <v>126</v>
      </c>
      <c r="O12" s="85">
        <f>IF(P12=0,0,Q12/P12)</f>
        <v>6.6857142857142833</v>
      </c>
      <c r="P12" s="79">
        <v>7</v>
      </c>
      <c r="Q12" s="67">
        <v>46.799999999999983</v>
      </c>
    </row>
    <row r="13" spans="1:17">
      <c r="A13" s="22" t="s">
        <v>97</v>
      </c>
      <c r="B13" s="15">
        <v>27</v>
      </c>
      <c r="C13" s="11">
        <f>IF(B$3=0,0,B13/B$3)</f>
        <v>0.15606936416184972</v>
      </c>
      <c r="E13" s="33" t="s">
        <v>71</v>
      </c>
      <c r="F13" s="30" t="s">
        <v>35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31</v>
      </c>
      <c r="C14" s="6">
        <f>IF(B$3=0,0,B14/B$3)</f>
        <v>0.1791907514450867</v>
      </c>
      <c r="E14" s="33" t="s">
        <v>76</v>
      </c>
      <c r="F14" s="30" t="s">
        <v>40</v>
      </c>
      <c r="G14" s="13">
        <v>1</v>
      </c>
      <c r="H14" s="94">
        <f>IF(B$17=0,0,G14/B$17)</f>
        <v>3.7037037037037035E-2</v>
      </c>
      <c r="I14" s="56">
        <v>2</v>
      </c>
      <c r="K14" s="5">
        <v>12</v>
      </c>
      <c r="L14" s="61">
        <v>-403.8</v>
      </c>
      <c r="N14" s="76" t="s">
        <v>128</v>
      </c>
      <c r="O14" s="86">
        <f>IF(P14=0,0,Q14/P14)</f>
        <v>-34.628571428571426</v>
      </c>
      <c r="P14" s="80">
        <v>7</v>
      </c>
      <c r="Q14" s="68">
        <v>-242.39999999999998</v>
      </c>
    </row>
    <row r="15" spans="1:17">
      <c r="A15" s="18" t="s">
        <v>99</v>
      </c>
      <c r="B15" s="12">
        <f>B21</f>
        <v>16</v>
      </c>
      <c r="C15" s="4">
        <f>IF(B$13=0,0,B15/B$13)</f>
        <v>0.59259259259259256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6</v>
      </c>
      <c r="C16" s="4">
        <f>IF(B$14=0,0,B16/B$14)</f>
        <v>0.19354838709677419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0.15606936416184972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0.16763005780346821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11</v>
      </c>
      <c r="C19" s="6">
        <f>IF(B$17=0,0,B19/B$17)</f>
        <v>0.40740740740740738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304</v>
      </c>
      <c r="O19" s="86">
        <f>IF(P19=0,0,Q19/P19)</f>
        <v>0.70000000000000107</v>
      </c>
      <c r="P19" s="80">
        <v>2</v>
      </c>
      <c r="Q19" s="68">
        <v>1.4000000000000021</v>
      </c>
    </row>
    <row r="20" spans="1:17">
      <c r="A20" s="19" t="s">
        <v>11</v>
      </c>
      <c r="B20" s="13">
        <v>16</v>
      </c>
      <c r="C20" s="6">
        <f>IF(B$17=0,0,B20/B$17)</f>
        <v>0.59259259259259256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-401.40000000000003</v>
      </c>
      <c r="N20" s="76" t="s">
        <v>263</v>
      </c>
      <c r="O20" s="86">
        <f>IF(P20=0,0,Q20/P20)</f>
        <v>0.29999999999999954</v>
      </c>
      <c r="P20" s="80">
        <v>6</v>
      </c>
      <c r="Q20" s="68">
        <v>1.7999999999999972</v>
      </c>
    </row>
    <row r="21" spans="1:17">
      <c r="A21" s="19" t="s">
        <v>151</v>
      </c>
      <c r="B21" s="13">
        <v>16</v>
      </c>
      <c r="C21" s="6">
        <f>IF(B$17=0,0,B21/B$17)</f>
        <v>0.59259259259259256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-431.1</v>
      </c>
      <c r="N21" s="76" t="s">
        <v>277</v>
      </c>
      <c r="O21" s="86">
        <f>IF(P21=0,0,Q21/P21)</f>
        <v>-0.46666666666666384</v>
      </c>
      <c r="P21" s="80">
        <v>3</v>
      </c>
      <c r="Q21" s="68">
        <v>-1.3999999999999915</v>
      </c>
    </row>
    <row r="22" spans="1:17">
      <c r="A22" s="19" t="s">
        <v>149</v>
      </c>
      <c r="B22" s="13">
        <v>6</v>
      </c>
      <c r="C22" s="6">
        <f>IF(B$17=0,0,B22/B$17)</f>
        <v>0.22222222222222221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-368.5</v>
      </c>
      <c r="N22" s="76" t="s">
        <v>265</v>
      </c>
      <c r="O22" s="86">
        <f>IF(P22=0,0,Q22/P22)</f>
        <v>-3.8142857142857158</v>
      </c>
      <c r="P22" s="80">
        <v>7</v>
      </c>
      <c r="Q22" s="68">
        <v>-26.70000000000001</v>
      </c>
    </row>
    <row r="23" spans="1:17">
      <c r="A23" s="19" t="s">
        <v>150</v>
      </c>
      <c r="B23" s="13">
        <v>5</v>
      </c>
      <c r="C23" s="6">
        <f>IF(B$17=0,0,B23/B$17)</f>
        <v>0.18518518518518517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-413.5</v>
      </c>
      <c r="N23" s="76" t="s">
        <v>216</v>
      </c>
      <c r="O23" s="86">
        <f>IF(P23=0,0,Q23/P23)</f>
        <v>-4.3000000000000016</v>
      </c>
      <c r="P23" s="80">
        <v>3</v>
      </c>
      <c r="Q23" s="68">
        <v>-12.900000000000006</v>
      </c>
    </row>
    <row r="24" spans="1:17">
      <c r="A24" s="19" t="s">
        <v>5</v>
      </c>
      <c r="B24" s="16">
        <f>IF(B$17=0,0,C24/B$17)</f>
        <v>5518.5185185185182</v>
      </c>
      <c r="C24" s="8">
        <v>149000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-350.8</v>
      </c>
      <c r="N24" s="76" t="s">
        <v>238</v>
      </c>
      <c r="O24" s="86">
        <f>IF(P24=0,0,Q24/P24)</f>
        <v>-4.5999999999999996</v>
      </c>
      <c r="P24" s="80">
        <v>4</v>
      </c>
      <c r="Q24" s="68">
        <v>-18.399999999999999</v>
      </c>
    </row>
    <row r="25" spans="1:17">
      <c r="A25" s="20" t="s">
        <v>133</v>
      </c>
      <c r="B25" s="97">
        <f>IF($B$17-B$16=0,0,C25/($B$17-B$16))</f>
        <v>6423.8095238095239</v>
      </c>
      <c r="C25" s="98">
        <v>134900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>IF(P25=0,0,Q25/P25)</f>
        <v>-12.271428571428581</v>
      </c>
      <c r="P25" s="80">
        <v>7</v>
      </c>
      <c r="Q25" s="68">
        <v>-85.900000000000063</v>
      </c>
    </row>
    <row r="26" spans="1:17">
      <c r="A26" s="20" t="s">
        <v>134</v>
      </c>
      <c r="B26" s="97">
        <f>IF(B$16=0,0,C26/B$16)</f>
        <v>2350</v>
      </c>
      <c r="C26" s="98">
        <v>14100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>IF(P26=0,0,Q26/P26)</f>
        <v>-16.224999999999998</v>
      </c>
      <c r="P26" s="80">
        <v>4</v>
      </c>
      <c r="Q26" s="68">
        <v>-64.899999999999991</v>
      </c>
    </row>
    <row r="27" spans="1:17">
      <c r="A27" s="20" t="s">
        <v>132</v>
      </c>
      <c r="B27" s="97">
        <f>IF(B$18=0,0,C27/B$18)</f>
        <v>-6772.4137931034484</v>
      </c>
      <c r="C27" s="98">
        <v>-196400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272</v>
      </c>
      <c r="O27" s="86">
        <f>IF(P27=0,0,Q27/P27)</f>
        <v>-21.880000000000003</v>
      </c>
      <c r="P27" s="80">
        <v>5</v>
      </c>
      <c r="Q27" s="68">
        <v>-109.4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>IF(P28=0,0,Q28/P28)</f>
        <v>-23.5</v>
      </c>
      <c r="P28" s="80">
        <v>3</v>
      </c>
      <c r="Q28" s="68">
        <v>-70.5</v>
      </c>
    </row>
    <row r="29" spans="1:17">
      <c r="A29" s="19" t="s">
        <v>131</v>
      </c>
      <c r="B29" s="13">
        <v>30</v>
      </c>
      <c r="C29" s="96">
        <v>26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269</v>
      </c>
      <c r="O29" s="86">
        <f>IF(P29=0,0,Q29/P29)</f>
        <v>-31.900000000000006</v>
      </c>
      <c r="P29" s="80">
        <v>2</v>
      </c>
      <c r="Q29" s="68">
        <v>-63.800000000000011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241</v>
      </c>
      <c r="O30" s="86">
        <f>IF(P30=0,0,Q30/P30)</f>
        <v>-35.400000000000006</v>
      </c>
      <c r="P30" s="80">
        <v>2</v>
      </c>
      <c r="Q30" s="68">
        <v>-70.800000000000011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>IF(P31=0,0,Q31/P31)</f>
        <v>-45.916666666666679</v>
      </c>
      <c r="P31" s="80">
        <v>6</v>
      </c>
      <c r="Q31" s="68">
        <v>-275.50000000000006</v>
      </c>
    </row>
    <row r="32" spans="1:17">
      <c r="A32" s="21" t="s">
        <v>112</v>
      </c>
      <c r="B32" s="26">
        <v>1</v>
      </c>
      <c r="C32" s="9">
        <f>IF(B$3=0,0,B32/B$3)</f>
        <v>5.7803468208092483E-3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228</v>
      </c>
      <c r="O32" s="86">
        <f>IF(P32=0,0,Q32/P32)</f>
        <v>-59.824999999999996</v>
      </c>
      <c r="P32" s="80">
        <v>4</v>
      </c>
      <c r="Q32" s="68">
        <v>-239.29999999999998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>IF(P33=0,0,Q33/P33)</f>
        <v>-60.083333333333321</v>
      </c>
      <c r="P33" s="80">
        <v>6</v>
      </c>
      <c r="Q33" s="68">
        <v>-360.49999999999994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262</v>
      </c>
      <c r="O34" s="86">
        <f>IF(P34=0,0,Q34/P34)</f>
        <v>-64.5</v>
      </c>
      <c r="P34" s="80">
        <v>1</v>
      </c>
      <c r="Q34" s="68">
        <v>-64.5</v>
      </c>
    </row>
    <row r="35" spans="1:17">
      <c r="A35" s="52" t="s">
        <v>139</v>
      </c>
      <c r="B35" s="99">
        <v>5</v>
      </c>
      <c r="C35" s="102">
        <f t="shared" ref="C35:C47" si="3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3"/>
        <v>0.25925925925925924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3"/>
        <v>7.407407407407407E-2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3"/>
        <v>0.29629629629629628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0.14814814814814814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0.59259259259259256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-400</v>
      </c>
      <c r="P2" s="79">
        <v>20</v>
      </c>
      <c r="Q2" s="63">
        <v>-8000</v>
      </c>
    </row>
    <row r="3" spans="1:17">
      <c r="A3" s="19" t="s">
        <v>8</v>
      </c>
      <c r="B3" s="122">
        <v>147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0.55555555555555558</v>
      </c>
      <c r="I3" s="56">
        <v>20</v>
      </c>
      <c r="K3" s="5">
        <v>1</v>
      </c>
      <c r="L3" s="61">
        <v>-31</v>
      </c>
      <c r="N3" s="76" t="s">
        <v>104</v>
      </c>
      <c r="O3" s="83">
        <f t="shared" si="0"/>
        <v>805</v>
      </c>
      <c r="P3" s="80">
        <v>20</v>
      </c>
      <c r="Q3" s="64">
        <v>16100</v>
      </c>
    </row>
    <row r="4" spans="1:17">
      <c r="A4" s="19" t="s">
        <v>6</v>
      </c>
      <c r="B4" s="124">
        <v>-320.09999999999997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-52.3</v>
      </c>
      <c r="N4" s="76" t="s">
        <v>105</v>
      </c>
      <c r="O4" s="83">
        <f t="shared" si="0"/>
        <v>-1084.2105263157894</v>
      </c>
      <c r="P4" s="80">
        <v>19</v>
      </c>
      <c r="Q4" s="64">
        <v>-20600</v>
      </c>
    </row>
    <row r="5" spans="1:17">
      <c r="A5" s="19" t="s">
        <v>7</v>
      </c>
      <c r="B5" s="126">
        <f>IF(B$2=0,0,B$4/B$2)</f>
        <v>-16.004999999999999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0.29629629629629628</v>
      </c>
      <c r="I5" s="56">
        <v>12</v>
      </c>
      <c r="K5" s="5">
        <v>3</v>
      </c>
      <c r="L5" s="61">
        <v>-44.9</v>
      </c>
      <c r="N5" s="76" t="s">
        <v>157</v>
      </c>
      <c r="O5" s="83">
        <f>IF(P5=0,0,Q5/P5)</f>
        <v>-538.88888888888891</v>
      </c>
      <c r="P5" s="80">
        <v>18</v>
      </c>
      <c r="Q5" s="64">
        <v>-9700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184</v>
      </c>
      <c r="F6" s="30" t="s">
        <v>187</v>
      </c>
      <c r="G6" s="13">
        <v>8</v>
      </c>
      <c r="H6" s="94">
        <f>IF(B$17=0,0,G6/B$17)</f>
        <v>0.29629629629629628</v>
      </c>
      <c r="I6" s="56">
        <v>34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-3118.181818181818</v>
      </c>
      <c r="P6" s="80">
        <v>11</v>
      </c>
      <c r="Q6" s="64">
        <v>-34300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-4250</v>
      </c>
      <c r="P7" s="80">
        <v>8</v>
      </c>
      <c r="Q7" s="64">
        <v>-34000</v>
      </c>
    </row>
    <row r="8" spans="1:17">
      <c r="A8" s="19" t="s">
        <v>3</v>
      </c>
      <c r="B8" s="13">
        <v>8</v>
      </c>
      <c r="C8" s="6">
        <f>IF(B$2=0,0,B8/B$2)</f>
        <v>0.4</v>
      </c>
      <c r="E8" s="33" t="s">
        <v>59</v>
      </c>
      <c r="F8" s="30" t="s">
        <v>23</v>
      </c>
      <c r="G8" s="13">
        <v>6</v>
      </c>
      <c r="H8" s="94">
        <f>IF(B$17=0,0,G8/B$17)</f>
        <v>0.22222222222222221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8</v>
      </c>
      <c r="C9" s="7">
        <f>IF(B$2=0,0,B9/B$2)</f>
        <v>0.4</v>
      </c>
      <c r="E9" s="33" t="s">
        <v>182</v>
      </c>
      <c r="F9" s="30" t="s">
        <v>19</v>
      </c>
      <c r="G9" s="13">
        <v>5</v>
      </c>
      <c r="H9" s="94">
        <f>IF(B$17=0,0,G9/B$17)</f>
        <v>0.18518518518518517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55</v>
      </c>
      <c r="F10" s="30" t="s">
        <v>155</v>
      </c>
      <c r="G10" s="13">
        <v>5</v>
      </c>
      <c r="H10" s="94">
        <f>IF(B$17=0,0,G10/B$17)</f>
        <v>0.18518518518518517</v>
      </c>
      <c r="I10" s="56">
        <v>28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7.407407407407407E-2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0.05</v>
      </c>
      <c r="E12" s="33" t="s">
        <v>69</v>
      </c>
      <c r="F12" s="30" t="s">
        <v>33</v>
      </c>
      <c r="G12" s="13">
        <v>1</v>
      </c>
      <c r="H12" s="94">
        <f>IF(B$17=0,0,G12/B$17)</f>
        <v>3.7037037037037035E-2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22</v>
      </c>
      <c r="C13" s="11">
        <f>IF(B$3=0,0,B13/B$3)</f>
        <v>0.14965986394557823</v>
      </c>
      <c r="E13" s="33" t="s">
        <v>74</v>
      </c>
      <c r="F13" s="30" t="s">
        <v>38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31</v>
      </c>
      <c r="C14" s="6">
        <f>IF(B$3=0,0,B14/B$3)</f>
        <v>0.21088435374149661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14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15</v>
      </c>
      <c r="C15" s="4">
        <f>IF(B$13=0,0,B15/B$13)</f>
        <v>0.68181818181818177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-6.5999999999999988</v>
      </c>
      <c r="P15" s="81">
        <v>6</v>
      </c>
      <c r="Q15" s="69">
        <v>-39.599999999999994</v>
      </c>
    </row>
    <row r="16" spans="1:17">
      <c r="A16" s="18" t="s">
        <v>100</v>
      </c>
      <c r="B16" s="12">
        <f>B22</f>
        <v>9</v>
      </c>
      <c r="C16" s="4">
        <f>IF(B$14=0,0,B16/B$14)</f>
        <v>0.29032258064516131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0.18367346938775511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0.37037037037037035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 t="shared" si="3"/>
        <v>46.550000000000004</v>
      </c>
      <c r="P19" s="80">
        <v>2</v>
      </c>
      <c r="Q19" s="68">
        <v>93.100000000000009</v>
      </c>
    </row>
    <row r="20" spans="1:17">
      <c r="A20" s="19" t="s">
        <v>11</v>
      </c>
      <c r="B20" s="13">
        <v>17</v>
      </c>
      <c r="C20" s="6">
        <f>IF(B$17=0,0,B20/B$17)</f>
        <v>0.62962962962962965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277</v>
      </c>
      <c r="O20" s="86">
        <f t="shared" si="3"/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15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-305.79999999999995</v>
      </c>
      <c r="N21" s="76" t="s">
        <v>228</v>
      </c>
      <c r="O21" s="86">
        <f t="shared" si="3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235</v>
      </c>
      <c r="O22" s="86">
        <f t="shared" si="3"/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241</v>
      </c>
      <c r="O23" s="86">
        <f t="shared" si="3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6014.8148148148148</v>
      </c>
      <c r="C24" s="8">
        <v>162400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7788.8888888888887</v>
      </c>
      <c r="C25" s="98">
        <v>140200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 t="shared" si="3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244</v>
      </c>
      <c r="O26" s="86">
        <f t="shared" si="3"/>
        <v>-27.76</v>
      </c>
      <c r="P26" s="80">
        <v>5</v>
      </c>
      <c r="Q26" s="68">
        <v>-138.80000000000001</v>
      </c>
    </row>
    <row r="27" spans="1:17">
      <c r="A27" s="20" t="s">
        <v>132</v>
      </c>
      <c r="B27" s="97">
        <f>IF(B$18=0,0,C27/B$18)</f>
        <v>-7375</v>
      </c>
      <c r="C27" s="98">
        <v>-147500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-27.939999999999998</v>
      </c>
      <c r="P27" s="80">
        <v>5</v>
      </c>
      <c r="Q27" s="68">
        <v>-139.69999999999999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255</v>
      </c>
      <c r="O29" s="86">
        <f t="shared" si="3"/>
        <v>-53.32500000000001</v>
      </c>
      <c r="P29" s="80">
        <v>4</v>
      </c>
      <c r="Q29" s="68">
        <v>-213.30000000000004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-54.116666666666674</v>
      </c>
      <c r="P30" s="80">
        <v>6</v>
      </c>
      <c r="Q30" s="68">
        <v>-324.70000000000005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6.8027210884353739E-3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7.407407407407407E-2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3.7037037037037035E-2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18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22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37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36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-3092.3076923076924</v>
      </c>
      <c r="P2" s="79">
        <v>13</v>
      </c>
      <c r="Q2" s="63">
        <v>-40200</v>
      </c>
    </row>
    <row r="3" spans="1:17">
      <c r="A3" s="19" t="s">
        <v>8</v>
      </c>
      <c r="B3" s="122">
        <v>93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0.61904761904761907</v>
      </c>
      <c r="I3" s="56">
        <v>14</v>
      </c>
      <c r="K3" s="5">
        <v>1</v>
      </c>
      <c r="L3" s="61">
        <v>-72.8</v>
      </c>
      <c r="N3" s="76" t="s">
        <v>104</v>
      </c>
      <c r="O3" s="83">
        <f t="shared" si="0"/>
        <v>-146.15384615384616</v>
      </c>
      <c r="P3" s="80">
        <v>13</v>
      </c>
      <c r="Q3" s="64">
        <v>-1900</v>
      </c>
    </row>
    <row r="4" spans="1:17">
      <c r="A4" s="19" t="s">
        <v>6</v>
      </c>
      <c r="B4" s="124">
        <v>68.499999999999986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0.42857142857142855</v>
      </c>
      <c r="I4" s="56">
        <v>25</v>
      </c>
      <c r="K4" s="5">
        <v>2</v>
      </c>
      <c r="L4" s="61">
        <v>-92.5</v>
      </c>
      <c r="N4" s="76" t="s">
        <v>105</v>
      </c>
      <c r="O4" s="83">
        <f t="shared" si="0"/>
        <v>608.33333333333337</v>
      </c>
      <c r="P4" s="80">
        <v>12</v>
      </c>
      <c r="Q4" s="64">
        <v>7300</v>
      </c>
    </row>
    <row r="5" spans="1:17">
      <c r="A5" s="19" t="s">
        <v>7</v>
      </c>
      <c r="B5" s="126">
        <f>IF(B$2=0,0,B$4/B$2)</f>
        <v>5.2692307692307683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0.33333333333333331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2.3846153846153846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0.2857142857142857</v>
      </c>
      <c r="I6" s="56">
        <v>11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0.38461538461538464</v>
      </c>
      <c r="E7" s="33" t="s">
        <v>60</v>
      </c>
      <c r="F7" s="30" t="s">
        <v>24</v>
      </c>
      <c r="G7" s="13">
        <v>6</v>
      </c>
      <c r="H7" s="94">
        <f>IF(B$17=0,0,G7/B$17)</f>
        <v>0.2857142857142857</v>
      </c>
      <c r="I7" s="56">
        <v>28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57</v>
      </c>
      <c r="F8" s="30" t="s">
        <v>21</v>
      </c>
      <c r="G8" s="13">
        <v>4</v>
      </c>
      <c r="H8" s="94">
        <f>IF(B$17=0,0,G8/B$17)</f>
        <v>0.19047619047619047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59</v>
      </c>
      <c r="F9" s="30" t="s">
        <v>23</v>
      </c>
      <c r="G9" s="13">
        <v>4</v>
      </c>
      <c r="H9" s="94">
        <f>IF(B$17=0,0,G9/B$17)</f>
        <v>0.19047619047619047</v>
      </c>
      <c r="I9" s="56">
        <v>14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183</v>
      </c>
      <c r="F10" s="30" t="s">
        <v>186</v>
      </c>
      <c r="G10" s="13">
        <v>3</v>
      </c>
      <c r="H10" s="94">
        <f>IF(B$17=0,0,G10/B$17)</f>
        <v>0.14285714285714285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182</v>
      </c>
      <c r="F11" s="30" t="s">
        <v>19</v>
      </c>
      <c r="G11" s="13">
        <v>2</v>
      </c>
      <c r="H11" s="94">
        <f>IF(B$17=0,0,G11/B$17)</f>
        <v>9.5238095238095233E-2</v>
      </c>
      <c r="I11" s="56">
        <v>16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0.15384615384615385</v>
      </c>
      <c r="E12" s="33" t="s">
        <v>58</v>
      </c>
      <c r="F12" s="30" t="s">
        <v>22</v>
      </c>
      <c r="G12" s="13">
        <v>2</v>
      </c>
      <c r="H12" s="94">
        <f>IF(B$17=0,0,G12/B$17)</f>
        <v>9.5238095238095233E-2</v>
      </c>
      <c r="I12" s="56">
        <v>11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21</v>
      </c>
      <c r="C13" s="11">
        <f>IF(B$3=0,0,B13/B$3)</f>
        <v>0.22580645161290322</v>
      </c>
      <c r="E13" s="33" t="s">
        <v>71</v>
      </c>
      <c r="F13" s="30" t="s">
        <v>35</v>
      </c>
      <c r="G13" s="13">
        <v>2</v>
      </c>
      <c r="H13" s="94">
        <f>IF(B$17=0,0,G13/B$17)</f>
        <v>9.5238095238095233E-2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18</v>
      </c>
      <c r="C14" s="6">
        <f>IF(B$3=0,0,B14/B$3)</f>
        <v>0.19354838709677419</v>
      </c>
      <c r="E14" s="33" t="s">
        <v>66</v>
      </c>
      <c r="F14" s="30" t="s">
        <v>30</v>
      </c>
      <c r="G14" s="13">
        <v>1</v>
      </c>
      <c r="H14" s="94">
        <f>IF(B$17=0,0,G14/B$17)</f>
        <v>4.7619047619047616E-2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67</v>
      </c>
      <c r="F15" s="30" t="s">
        <v>31</v>
      </c>
      <c r="G15" s="13">
        <v>1</v>
      </c>
      <c r="H15" s="94">
        <f>IF(B$17=0,0,G15/B$17)</f>
        <v>4.7619047619047616E-2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69</v>
      </c>
      <c r="F16" s="30" t="s">
        <v>33</v>
      </c>
      <c r="G16" s="13">
        <v>1</v>
      </c>
      <c r="H16" s="94">
        <f>IF(B$17=0,0,G16/B$17)</f>
        <v>4.7619047619047616E-2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78</v>
      </c>
      <c r="F17" s="30" t="s">
        <v>42</v>
      </c>
      <c r="G17" s="13">
        <v>1</v>
      </c>
      <c r="H17" s="94">
        <f>IF(B$17=0,0,G17/B$17)</f>
        <v>4.7619047619047616E-2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3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13</v>
      </c>
      <c r="C21" s="6">
        <f>IF(B$17=0,0,B21/B$17)</f>
        <v>0.61904761904761907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27.76</v>
      </c>
      <c r="P22" s="80">
        <v>5</v>
      </c>
      <c r="Q22" s="68">
        <v>138.80000000000001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5.2999999999999963</v>
      </c>
      <c r="P23" s="80">
        <v>3</v>
      </c>
      <c r="Q23" s="68">
        <v>15.899999999999988</v>
      </c>
    </row>
    <row r="24" spans="1:17">
      <c r="A24" s="19" t="s">
        <v>5</v>
      </c>
      <c r="B24" s="16">
        <f>IF(B$17=0,0,C24/B$17)</f>
        <v>8547.6190476190477</v>
      </c>
      <c r="C24" s="8">
        <v>179500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4.4333333333333398</v>
      </c>
      <c r="P24" s="80">
        <v>3</v>
      </c>
      <c r="Q24" s="68">
        <v>13.300000000000018</v>
      </c>
    </row>
    <row r="25" spans="1:17">
      <c r="A25" s="20" t="s">
        <v>133</v>
      </c>
      <c r="B25" s="97">
        <f>IF($B$17-B$16=0,0,C25/($B$17-B$16))</f>
        <v>8887.5</v>
      </c>
      <c r="C25" s="98">
        <v>142200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-0.59999999999999942</v>
      </c>
      <c r="P25" s="80">
        <v>7</v>
      </c>
      <c r="Q25" s="68">
        <v>-4.1999999999999957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-5.3333333333333321</v>
      </c>
      <c r="P26" s="80">
        <v>3</v>
      </c>
      <c r="Q26" s="68">
        <v>-15.999999999999996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227</v>
      </c>
      <c r="O27" s="86">
        <f t="shared" si="3"/>
        <v>-13.475</v>
      </c>
      <c r="P27" s="80">
        <v>4</v>
      </c>
      <c r="Q27" s="68">
        <v>-53.9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272</v>
      </c>
      <c r="O29" s="86">
        <f t="shared" si="3"/>
        <v>-43.7</v>
      </c>
      <c r="P29" s="80">
        <v>1</v>
      </c>
      <c r="Q29" s="68">
        <v>-43.7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  <c r="N30" s="76" t="s">
        <v>241</v>
      </c>
      <c r="O30" s="86">
        <f t="shared" si="3"/>
        <v>-57.95</v>
      </c>
      <c r="P30" s="80">
        <v>2</v>
      </c>
      <c r="Q30" s="68">
        <v>-115.9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-60.3</v>
      </c>
      <c r="P31" s="80">
        <v>1</v>
      </c>
      <c r="Q31" s="68">
        <v>-60.3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 t="shared" si="3"/>
        <v>-61.6</v>
      </c>
      <c r="P32" s="80">
        <v>1</v>
      </c>
      <c r="Q32" s="68">
        <v>-61.6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-85.5</v>
      </c>
      <c r="P33" s="80">
        <v>1</v>
      </c>
      <c r="Q33" s="68">
        <v>-85.5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18</v>
      </c>
      <c r="H2" s="93">
        <f>IF(B$17=0,0,G2/B$17)</f>
        <v>0.5625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-1177.2727272727273</v>
      </c>
      <c r="P2" s="79">
        <v>22</v>
      </c>
      <c r="Q2" s="63">
        <v>-25900</v>
      </c>
    </row>
    <row r="3" spans="1:17">
      <c r="A3" s="19" t="s">
        <v>8</v>
      </c>
      <c r="B3" s="122">
        <v>158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1390.909090909091</v>
      </c>
      <c r="P3" s="80">
        <v>22</v>
      </c>
      <c r="Q3" s="64">
        <v>30600</v>
      </c>
    </row>
    <row r="4" spans="1:17">
      <c r="A4" s="19" t="s">
        <v>6</v>
      </c>
      <c r="B4" s="124">
        <v>-5.1999999999999993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16</v>
      </c>
      <c r="K4" s="5">
        <v>2</v>
      </c>
      <c r="L4" s="61">
        <v>145.19999999999999</v>
      </c>
      <c r="N4" s="76" t="s">
        <v>105</v>
      </c>
      <c r="O4" s="83">
        <f t="shared" si="0"/>
        <v>-280</v>
      </c>
      <c r="P4" s="80">
        <v>20</v>
      </c>
      <c r="Q4" s="64">
        <v>-5600</v>
      </c>
    </row>
    <row r="5" spans="1:17">
      <c r="A5" s="19" t="s">
        <v>7</v>
      </c>
      <c r="B5" s="126">
        <f>IF(B$2=0,0,B$4/B$2)</f>
        <v>-0.23636363636363633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0.46875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-584.21052631578948</v>
      </c>
      <c r="P5" s="80">
        <v>19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0.40625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337.5</v>
      </c>
      <c r="P6" s="80">
        <v>16</v>
      </c>
      <c r="Q6" s="64">
        <v>5400</v>
      </c>
    </row>
    <row r="7" spans="1:17">
      <c r="A7" s="19" t="s">
        <v>2</v>
      </c>
      <c r="B7" s="13">
        <v>6</v>
      </c>
      <c r="C7" s="6">
        <f t="shared" ref="C7:C12" si="2">IF(B$2=0,0,B7/B$2)</f>
        <v>0.27272727272727271</v>
      </c>
      <c r="E7" s="33" t="s">
        <v>55</v>
      </c>
      <c r="F7" s="30" t="s">
        <v>155</v>
      </c>
      <c r="G7" s="13">
        <v>6</v>
      </c>
      <c r="H7" s="94">
        <f>IF(B$17=0,0,G7/B$17)</f>
        <v>0.1875</v>
      </c>
      <c r="I7" s="56">
        <v>25</v>
      </c>
      <c r="K7" s="5">
        <v>5</v>
      </c>
      <c r="L7" s="61">
        <v>154.19999999999999</v>
      </c>
      <c r="N7" s="76" t="s">
        <v>107</v>
      </c>
      <c r="O7" s="83">
        <f t="shared" si="0"/>
        <v>-260</v>
      </c>
      <c r="P7" s="80">
        <v>10</v>
      </c>
      <c r="Q7" s="64">
        <v>-2600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59</v>
      </c>
      <c r="F8" s="30" t="s">
        <v>23</v>
      </c>
      <c r="G8" s="13">
        <v>6</v>
      </c>
      <c r="H8" s="94">
        <f>IF(B$17=0,0,G8/B$17)</f>
        <v>0.1875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0.31818181818181818</v>
      </c>
      <c r="E9" s="33" t="s">
        <v>57</v>
      </c>
      <c r="F9" s="30" t="s">
        <v>21</v>
      </c>
      <c r="G9" s="13">
        <v>5</v>
      </c>
      <c r="H9" s="94">
        <f>IF(B$17=0,0,G9/B$17)</f>
        <v>0.15625</v>
      </c>
      <c r="I9" s="56">
        <v>30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5</v>
      </c>
      <c r="C10" s="7">
        <f>IF(B$2=0,0,B10/B$2)</f>
        <v>0.22727272727272727</v>
      </c>
      <c r="E10" s="33" t="s">
        <v>182</v>
      </c>
      <c r="F10" s="30" t="s">
        <v>19</v>
      </c>
      <c r="G10" s="13">
        <v>3</v>
      </c>
      <c r="H10" s="94">
        <f>IF(B$17=0,0,G10/B$17)</f>
        <v>9.375E-2</v>
      </c>
      <c r="I10" s="56">
        <v>17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74</v>
      </c>
      <c r="F11" s="30" t="s">
        <v>38</v>
      </c>
      <c r="G11" s="13">
        <v>2</v>
      </c>
      <c r="H11" s="94">
        <f>IF(B$17=0,0,G11/B$17)</f>
        <v>6.25E-2</v>
      </c>
      <c r="I11" s="56">
        <v>6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23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38</v>
      </c>
      <c r="C13" s="11">
        <f>IF(B$3=0,0,B13/B$3)</f>
        <v>0.24050632911392406</v>
      </c>
      <c r="E13" s="33" t="s">
        <v>66</v>
      </c>
      <c r="F13" s="30" t="s">
        <v>30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82.5</v>
      </c>
      <c r="N13" s="76" t="s">
        <v>127</v>
      </c>
      <c r="O13" s="86">
        <f>IF(P13=0,0,Q13/P13)</f>
        <v>16.657142857142855</v>
      </c>
      <c r="P13" s="80">
        <v>7</v>
      </c>
      <c r="Q13" s="68">
        <v>116.59999999999998</v>
      </c>
    </row>
    <row r="14" spans="1:17">
      <c r="A14" s="19" t="s">
        <v>94</v>
      </c>
      <c r="B14" s="13">
        <v>29</v>
      </c>
      <c r="C14" s="6">
        <f>IF(B$3=0,0,B14/B$3)</f>
        <v>0.18354430379746836</v>
      </c>
      <c r="E14" s="33" t="s">
        <v>183</v>
      </c>
      <c r="F14" s="30" t="s">
        <v>186</v>
      </c>
      <c r="G14" s="13">
        <v>1</v>
      </c>
      <c r="H14" s="94">
        <f>IF(B$17=0,0,G14/B$17)</f>
        <v>3.125E-2</v>
      </c>
      <c r="I14" s="56">
        <v>13</v>
      </c>
      <c r="K14" s="5">
        <v>12</v>
      </c>
      <c r="L14" s="61">
        <v>134.4</v>
      </c>
      <c r="N14" s="76" t="s">
        <v>128</v>
      </c>
      <c r="O14" s="86">
        <f>IF(P14=0,0,Q14/P14)</f>
        <v>-19.787500000000001</v>
      </c>
      <c r="P14" s="80">
        <v>8</v>
      </c>
      <c r="Q14" s="68">
        <v>-158.30000000000001</v>
      </c>
    </row>
    <row r="15" spans="1:17">
      <c r="A15" s="18" t="s">
        <v>99</v>
      </c>
      <c r="B15" s="12">
        <f>B21</f>
        <v>18</v>
      </c>
      <c r="C15" s="4">
        <f>IF(B$13=0,0,B15/B$13)</f>
        <v>0.47368421052631576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10</v>
      </c>
      <c r="C16" s="4">
        <f>IF(B$14=0,0,B16/B$14)</f>
        <v>0.34482758620689657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0.20253164556962025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0.12025316455696203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160.9</v>
      </c>
      <c r="N18" s="75" t="s">
        <v>277</v>
      </c>
      <c r="O18" s="85">
        <f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15</v>
      </c>
      <c r="C19" s="6">
        <f>IF(B$17=0,0,B19/B$17)</f>
        <v>0.46875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>IF(P19=0,0,Q19/P19)</f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17</v>
      </c>
      <c r="C20" s="6">
        <f>IF(B$17=0,0,B20/B$17)</f>
        <v>0.53125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46.6</v>
      </c>
      <c r="N20" s="76" t="s">
        <v>169</v>
      </c>
      <c r="O20" s="86">
        <f>IF(P20=0,0,Q20/P20)</f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18</v>
      </c>
      <c r="C21" s="6">
        <f>IF(B$17=0,0,B21/B$17)</f>
        <v>0.5625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75.099999999999994</v>
      </c>
      <c r="N21" s="76" t="s">
        <v>235</v>
      </c>
      <c r="O21" s="86">
        <f>IF(P21=0,0,Q21/P21)</f>
        <v>12.271428571428578</v>
      </c>
      <c r="P21" s="80">
        <v>7</v>
      </c>
      <c r="Q21" s="68">
        <v>85.900000000000048</v>
      </c>
    </row>
    <row r="22" spans="1:17">
      <c r="A22" s="19" t="s">
        <v>149</v>
      </c>
      <c r="B22" s="13">
        <v>10</v>
      </c>
      <c r="C22" s="6">
        <f>IF(B$17=0,0,B22/B$17)</f>
        <v>0.3125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60.3</v>
      </c>
      <c r="N22" s="76" t="s">
        <v>228</v>
      </c>
      <c r="O22" s="86">
        <f>IF(P22=0,0,Q22/P22)</f>
        <v>9.9</v>
      </c>
      <c r="P22" s="80">
        <v>3</v>
      </c>
      <c r="Q22" s="68">
        <v>29.700000000000003</v>
      </c>
    </row>
    <row r="23" spans="1:17">
      <c r="A23" s="19" t="s">
        <v>150</v>
      </c>
      <c r="B23" s="13">
        <v>4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10.5</v>
      </c>
      <c r="N23" s="76" t="s">
        <v>272</v>
      </c>
      <c r="O23" s="86">
        <f>IF(P23=0,0,Q23/P23)</f>
        <v>4.7000000000000028</v>
      </c>
      <c r="P23" s="80">
        <v>4</v>
      </c>
      <c r="Q23" s="68">
        <v>18.800000000000011</v>
      </c>
    </row>
    <row r="24" spans="1:17">
      <c r="A24" s="19" t="s">
        <v>5</v>
      </c>
      <c r="B24" s="16">
        <f>IF(B$17=0,0,C24/B$17)</f>
        <v>6306.25</v>
      </c>
      <c r="C24" s="8">
        <v>201800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-5.1999999999999993</v>
      </c>
      <c r="N24" s="76" t="s">
        <v>297</v>
      </c>
      <c r="O24" s="86">
        <f>IF(P24=0,0,Q24/P24)</f>
        <v>4.6666666666666679</v>
      </c>
      <c r="P24" s="80">
        <v>3</v>
      </c>
      <c r="Q24" s="68">
        <v>14.000000000000004</v>
      </c>
    </row>
    <row r="25" spans="1:17">
      <c r="A25" s="20" t="s">
        <v>133</v>
      </c>
      <c r="B25" s="97">
        <f>IF($B$17-B$16=0,0,C25/($B$17-B$16))</f>
        <v>7500</v>
      </c>
      <c r="C25" s="98">
        <v>165000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>IF(P25=0,0,Q25/P25)</f>
        <v>3.1250000000000022</v>
      </c>
      <c r="P25" s="80">
        <v>4</v>
      </c>
      <c r="Q25" s="68">
        <v>12.500000000000009</v>
      </c>
    </row>
    <row r="26" spans="1:17">
      <c r="A26" s="20" t="s">
        <v>134</v>
      </c>
      <c r="B26" s="97">
        <f>IF(B$16=0,0,C26/B$16)</f>
        <v>3680</v>
      </c>
      <c r="C26" s="98">
        <v>36800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244</v>
      </c>
      <c r="O26" s="86">
        <f>IF(P26=0,0,Q26/P26)</f>
        <v>-4.4333333333333345</v>
      </c>
      <c r="P26" s="80">
        <v>3</v>
      </c>
      <c r="Q26" s="68">
        <v>-13.300000000000004</v>
      </c>
    </row>
    <row r="27" spans="1:17">
      <c r="A27" s="20" t="s">
        <v>132</v>
      </c>
      <c r="B27" s="97">
        <f>IF(B$18=0,0,C27/B$18)</f>
        <v>-6521.0526315789475</v>
      </c>
      <c r="C27" s="98">
        <v>-123900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269</v>
      </c>
      <c r="O27" s="86">
        <f>IF(P27=0,0,Q27/P27)</f>
        <v>-9.18333333333333</v>
      </c>
      <c r="P27" s="80">
        <v>6</v>
      </c>
      <c r="Q27" s="68">
        <v>-55.09999999999998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263</v>
      </c>
      <c r="O28" s="86">
        <f>IF(P28=0,0,Q28/P28)</f>
        <v>-15.328571428571427</v>
      </c>
      <c r="P28" s="80">
        <v>7</v>
      </c>
      <c r="Q28" s="68">
        <v>-107.3</v>
      </c>
    </row>
    <row r="29" spans="1:17">
      <c r="A29" s="19" t="s">
        <v>131</v>
      </c>
      <c r="B29" s="13">
        <v>24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304</v>
      </c>
      <c r="O29" s="86">
        <f>IF(P29=0,0,Q29/P29)</f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>IF(P30=0,0,Q30/P30)</f>
        <v>-22.033333333333335</v>
      </c>
      <c r="P30" s="80">
        <v>3</v>
      </c>
      <c r="Q30" s="68">
        <v>-66.100000000000009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>IF(P31=0,0,Q31/P31)</f>
        <v>-30.500000000000004</v>
      </c>
      <c r="P31" s="80">
        <v>7</v>
      </c>
      <c r="Q31" s="68">
        <v>-213.50000000000003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>IF(P32=0,0,Q32/P32)</f>
        <v>-38.56666666666667</v>
      </c>
      <c r="P32" s="80">
        <v>3</v>
      </c>
      <c r="Q32" s="68">
        <v>-115.7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>IF(P33=0,0,Q33/P33)</f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3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9</v>
      </c>
      <c r="C37" s="6">
        <f t="shared" si="3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3.125E-2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30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1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32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38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7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28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-258.33333333333331</v>
      </c>
      <c r="P2" s="79">
        <v>24</v>
      </c>
      <c r="Q2" s="63">
        <v>-6200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0.61904761904761907</v>
      </c>
      <c r="I3" s="56">
        <v>14</v>
      </c>
      <c r="K3" s="5">
        <v>1</v>
      </c>
      <c r="L3" s="61">
        <v>-45.8</v>
      </c>
      <c r="N3" s="76" t="s">
        <v>104</v>
      </c>
      <c r="O3" s="83">
        <f t="shared" si="0"/>
        <v>-1183.3333333333333</v>
      </c>
      <c r="P3" s="80">
        <v>24</v>
      </c>
      <c r="Q3" s="64">
        <v>-28400</v>
      </c>
    </row>
    <row r="4" spans="1:17">
      <c r="A4" s="19" t="s">
        <v>6</v>
      </c>
      <c r="B4" s="124">
        <v>122.10000000000005</v>
      </c>
      <c r="C4" s="125"/>
      <c r="E4" s="33" t="s">
        <v>60</v>
      </c>
      <c r="F4" s="30" t="s">
        <v>24</v>
      </c>
      <c r="G4" s="13">
        <v>18</v>
      </c>
      <c r="H4" s="94">
        <f>IF(B$17=0,0,G4/B$17)</f>
        <v>0.42857142857142855</v>
      </c>
      <c r="I4" s="56">
        <v>16</v>
      </c>
      <c r="K4" s="5">
        <v>2</v>
      </c>
      <c r="L4" s="61">
        <v>24.700000000000003</v>
      </c>
      <c r="N4" s="76" t="s">
        <v>105</v>
      </c>
      <c r="O4" s="83">
        <f t="shared" si="0"/>
        <v>187.5</v>
      </c>
      <c r="P4" s="80">
        <v>24</v>
      </c>
      <c r="Q4" s="64">
        <v>4500</v>
      </c>
    </row>
    <row r="5" spans="1:17">
      <c r="A5" s="19" t="s">
        <v>7</v>
      </c>
      <c r="B5" s="126">
        <f>IF(B$2=0,0,B$4/B$2)</f>
        <v>5.0875000000000021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0.33333333333333331</v>
      </c>
      <c r="I5" s="56">
        <v>30</v>
      </c>
      <c r="K5" s="5">
        <v>3</v>
      </c>
      <c r="L5" s="61">
        <v>27.400000000000002</v>
      </c>
      <c r="N5" s="76" t="s">
        <v>157</v>
      </c>
      <c r="O5" s="83">
        <f>IF(P5=0,0,Q5/P5)</f>
        <v>150</v>
      </c>
      <c r="P5" s="80">
        <v>24</v>
      </c>
      <c r="Q5" s="64">
        <v>3600</v>
      </c>
    </row>
    <row r="6" spans="1:17">
      <c r="A6" s="19" t="s">
        <v>1</v>
      </c>
      <c r="B6" s="128">
        <f>IF(B$2=0,0,(B$7*1+B$8*2+B$9*3+B$10*4)/B$2)</f>
        <v>2.375</v>
      </c>
      <c r="C6" s="129"/>
      <c r="E6" s="33" t="s">
        <v>56</v>
      </c>
      <c r="F6" s="30" t="s">
        <v>185</v>
      </c>
      <c r="G6" s="13">
        <v>12</v>
      </c>
      <c r="H6" s="94">
        <f>IF(B$17=0,0,G6/B$17)</f>
        <v>0.2857142857142857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878.9473684210526</v>
      </c>
      <c r="P6" s="80">
        <v>19</v>
      </c>
      <c r="Q6" s="64">
        <v>16700</v>
      </c>
    </row>
    <row r="7" spans="1:17">
      <c r="A7" s="19" t="s">
        <v>2</v>
      </c>
      <c r="B7" s="13">
        <v>8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10</v>
      </c>
      <c r="H7" s="94">
        <f>IF(B$17=0,0,G7/B$17)</f>
        <v>0.23809523809523808</v>
      </c>
      <c r="I7" s="56">
        <v>18</v>
      </c>
      <c r="K7" s="5">
        <v>5</v>
      </c>
      <c r="L7" s="61">
        <v>20.200000000000003</v>
      </c>
      <c r="N7" s="76" t="s">
        <v>107</v>
      </c>
      <c r="O7" s="83">
        <f t="shared" si="0"/>
        <v>2255.5555555555557</v>
      </c>
      <c r="P7" s="80">
        <v>9</v>
      </c>
      <c r="Q7" s="64">
        <v>20300</v>
      </c>
    </row>
    <row r="8" spans="1:17">
      <c r="A8" s="19" t="s">
        <v>3</v>
      </c>
      <c r="B8" s="13">
        <v>5</v>
      </c>
      <c r="C8" s="6">
        <f>IF(B$2=0,0,B8/B$2)</f>
        <v>0.20833333333333334</v>
      </c>
      <c r="E8" s="33" t="s">
        <v>57</v>
      </c>
      <c r="F8" s="30" t="s">
        <v>21</v>
      </c>
      <c r="G8" s="13">
        <v>7</v>
      </c>
      <c r="H8" s="94">
        <f>IF(B$17=0,0,G8/B$17)</f>
        <v>0.16666666666666666</v>
      </c>
      <c r="I8" s="56">
        <v>27</v>
      </c>
      <c r="K8" s="5">
        <v>6</v>
      </c>
      <c r="L8" s="61">
        <v>94.100000000000009</v>
      </c>
      <c r="N8" s="76" t="s">
        <v>108</v>
      </c>
      <c r="O8" s="83">
        <f t="shared" si="0"/>
        <v>2425</v>
      </c>
      <c r="P8" s="80">
        <v>4</v>
      </c>
      <c r="Q8" s="64">
        <v>9700</v>
      </c>
    </row>
    <row r="9" spans="1:17">
      <c r="A9" s="20" t="s">
        <v>4</v>
      </c>
      <c r="B9" s="14">
        <v>5</v>
      </c>
      <c r="C9" s="7">
        <f>IF(B$2=0,0,B9/B$2)</f>
        <v>0.20833333333333334</v>
      </c>
      <c r="E9" s="33" t="s">
        <v>58</v>
      </c>
      <c r="F9" s="30" t="s">
        <v>22</v>
      </c>
      <c r="G9" s="13">
        <v>5</v>
      </c>
      <c r="H9" s="94">
        <f>IF(B$17=0,0,G9/B$17)</f>
        <v>0.11904761904761904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6</v>
      </c>
      <c r="C10" s="7">
        <f>IF(B$2=0,0,B10/B$2)</f>
        <v>0.25</v>
      </c>
      <c r="E10" s="33" t="s">
        <v>59</v>
      </c>
      <c r="F10" s="30" t="s">
        <v>23</v>
      </c>
      <c r="G10" s="13">
        <v>3</v>
      </c>
      <c r="H10" s="94">
        <f>IF(B$17=0,0,G10/B$17)</f>
        <v>7.1428571428571425E-2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0.54166666666666663</v>
      </c>
      <c r="E11" s="33" t="s">
        <v>182</v>
      </c>
      <c r="F11" s="30" t="s">
        <v>19</v>
      </c>
      <c r="G11" s="13">
        <v>2</v>
      </c>
      <c r="H11" s="94">
        <f>IF(B$17=0,0,G11/B$17)</f>
        <v>4.7619047619047616E-2</v>
      </c>
      <c r="I11" s="56">
        <v>26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183</v>
      </c>
      <c r="F12" s="30" t="s">
        <v>186</v>
      </c>
      <c r="G12" s="13">
        <v>2</v>
      </c>
      <c r="H12" s="94">
        <f>IF(B$17=0,0,G12/B$17)</f>
        <v>4.7619047619047616E-2</v>
      </c>
      <c r="I12" s="56">
        <v>6</v>
      </c>
      <c r="K12" s="5">
        <v>10</v>
      </c>
      <c r="L12" s="61">
        <v>179.8</v>
      </c>
      <c r="N12" s="75" t="s">
        <v>126</v>
      </c>
      <c r="O12" s="85">
        <f>IF(P12=0,0,Q12/P12)</f>
        <v>17.839999999999996</v>
      </c>
      <c r="P12" s="79">
        <v>5</v>
      </c>
      <c r="Q12" s="67">
        <v>89.199999999999989</v>
      </c>
    </row>
    <row r="13" spans="1:17">
      <c r="A13" s="22" t="s">
        <v>97</v>
      </c>
      <c r="B13" s="15">
        <v>47</v>
      </c>
      <c r="C13" s="11">
        <f>IF(B$3=0,0,B13/B$3)</f>
        <v>0.27011494252873564</v>
      </c>
      <c r="E13" s="33" t="s">
        <v>74</v>
      </c>
      <c r="F13" s="30" t="s">
        <v>38</v>
      </c>
      <c r="G13" s="13">
        <v>2</v>
      </c>
      <c r="H13" s="94">
        <f>IF(B$17=0,0,G13/B$17)</f>
        <v>4.7619047619047616E-2</v>
      </c>
      <c r="I13" s="56">
        <v>8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27</v>
      </c>
      <c r="C14" s="6">
        <f>IF(B$3=0,0,B14/B$3)</f>
        <v>0.15517241379310345</v>
      </c>
      <c r="E14" s="33" t="s">
        <v>61</v>
      </c>
      <c r="F14" s="30" t="s">
        <v>25</v>
      </c>
      <c r="G14" s="13">
        <v>1</v>
      </c>
      <c r="H14" s="94">
        <f>IF(B$17=0,0,G14/B$17)</f>
        <v>2.3809523809523808E-2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66</v>
      </c>
      <c r="F15" s="30" t="s">
        <v>30</v>
      </c>
      <c r="G15" s="13">
        <v>1</v>
      </c>
      <c r="H15" s="94">
        <f>IF(B$17=0,0,G15/B$17)</f>
        <v>2.3809523809523808E-2</v>
      </c>
      <c r="I15" s="56">
        <v>9</v>
      </c>
      <c r="K15" s="5">
        <v>13</v>
      </c>
      <c r="L15" s="61">
        <v>113.9</v>
      </c>
      <c r="N15" s="77" t="s">
        <v>159</v>
      </c>
      <c r="O15" s="87">
        <f>IF(P15=0,0,Q15/P15)</f>
        <v>-0.76249999999999973</v>
      </c>
      <c r="P15" s="81">
        <v>8</v>
      </c>
      <c r="Q15" s="69">
        <v>-6.0999999999999979</v>
      </c>
    </row>
    <row r="16" spans="1:17">
      <c r="A16" s="18" t="s">
        <v>100</v>
      </c>
      <c r="B16" s="12">
        <f>B22</f>
        <v>13</v>
      </c>
      <c r="C16" s="4">
        <f>IF(B$14=0,0,B16/B$14)</f>
        <v>0.48148148148148145</v>
      </c>
      <c r="E16" s="33" t="s">
        <v>69</v>
      </c>
      <c r="F16" s="30" t="s">
        <v>33</v>
      </c>
      <c r="G16" s="13">
        <v>1</v>
      </c>
      <c r="H16" s="94">
        <f>IF(B$17=0,0,G16/B$17)</f>
        <v>2.3809523809523808E-2</v>
      </c>
      <c r="I16" s="56">
        <v>5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0.2413793103448276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0.1206896551724138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241</v>
      </c>
      <c r="O18" s="85">
        <f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15</v>
      </c>
      <c r="C19" s="6">
        <f>IF(B$17=0,0,B19/B$17)</f>
        <v>0.35714285714285715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269</v>
      </c>
      <c r="O19" s="86">
        <f>IF(P19=0,0,Q19/P19)</f>
        <v>45.099999999999994</v>
      </c>
      <c r="P19" s="80">
        <v>8</v>
      </c>
      <c r="Q19" s="68">
        <v>360.79999999999995</v>
      </c>
    </row>
    <row r="20" spans="1:17">
      <c r="A20" s="19" t="s">
        <v>11</v>
      </c>
      <c r="B20" s="13">
        <v>27</v>
      </c>
      <c r="C20" s="6">
        <f>IF(B$17=0,0,B20/B$17)</f>
        <v>0.6428571428571429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255</v>
      </c>
      <c r="O20" s="86">
        <f>IF(P20=0,0,Q20/P20)</f>
        <v>30.500000000000004</v>
      </c>
      <c r="P20" s="80">
        <v>7</v>
      </c>
      <c r="Q20" s="68">
        <v>213.50000000000003</v>
      </c>
    </row>
    <row r="21" spans="1:17">
      <c r="A21" s="19" t="s">
        <v>151</v>
      </c>
      <c r="B21" s="13">
        <v>26</v>
      </c>
      <c r="C21" s="6">
        <f>IF(B$17=0,0,B21/B$17)</f>
        <v>0.61904761904761907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166.70000000000002</v>
      </c>
      <c r="N21" s="76" t="s">
        <v>277</v>
      </c>
      <c r="O21" s="86">
        <f>IF(P21=0,0,Q21/P21)</f>
        <v>22.78</v>
      </c>
      <c r="P21" s="80">
        <v>5</v>
      </c>
      <c r="Q21" s="68">
        <v>113.9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213</v>
      </c>
      <c r="O22" s="86">
        <f>IF(P22=0,0,Q22/P22)</f>
        <v>20.099999999999998</v>
      </c>
      <c r="P22" s="80">
        <v>1</v>
      </c>
      <c r="Q22" s="68">
        <v>20.099999999999998</v>
      </c>
    </row>
    <row r="23" spans="1:17">
      <c r="A23" s="19" t="s">
        <v>150</v>
      </c>
      <c r="B23" s="13">
        <v>3</v>
      </c>
      <c r="C23" s="6">
        <f>IF(B$17=0,0,B23/B$17)</f>
        <v>7.1428571428571425E-2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262</v>
      </c>
      <c r="O23" s="86">
        <f>IF(P23=0,0,Q23/P23)</f>
        <v>18.400000000000002</v>
      </c>
      <c r="P23" s="80">
        <v>2</v>
      </c>
      <c r="Q23" s="68">
        <v>36.800000000000004</v>
      </c>
    </row>
    <row r="24" spans="1:17">
      <c r="A24" s="19" t="s">
        <v>5</v>
      </c>
      <c r="B24" s="16">
        <f>IF(B$17=0,0,C24/B$17)</f>
        <v>6066.666666666667</v>
      </c>
      <c r="C24" s="8">
        <v>254800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272</v>
      </c>
      <c r="O24" s="86">
        <f>IF(P24=0,0,Q24/P24)</f>
        <v>13.5</v>
      </c>
      <c r="P24" s="80">
        <v>10</v>
      </c>
      <c r="Q24" s="68">
        <v>135</v>
      </c>
    </row>
    <row r="25" spans="1:17">
      <c r="A25" s="20" t="s">
        <v>133</v>
      </c>
      <c r="B25" s="97">
        <f>IF($B$17-B$16=0,0,C25/($B$17-B$16))</f>
        <v>7493.1034482758623</v>
      </c>
      <c r="C25" s="98">
        <v>217300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195</v>
      </c>
      <c r="O25" s="86">
        <f>IF(P25=0,0,Q25/P25)</f>
        <v>12.028571428571427</v>
      </c>
      <c r="P25" s="80">
        <v>7</v>
      </c>
      <c r="Q25" s="68">
        <v>84.199999999999989</v>
      </c>
    </row>
    <row r="26" spans="1:17">
      <c r="A26" s="20" t="s">
        <v>134</v>
      </c>
      <c r="B26" s="97">
        <f>IF(B$16=0,0,C26/B$16)</f>
        <v>2884.6153846153848</v>
      </c>
      <c r="C26" s="98">
        <v>37500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169</v>
      </c>
      <c r="O26" s="86">
        <f>IF(P26=0,0,Q26/P26)</f>
        <v>8.1000000000000032</v>
      </c>
      <c r="P26" s="80">
        <v>2</v>
      </c>
      <c r="Q26" s="68">
        <v>16.200000000000006</v>
      </c>
    </row>
    <row r="27" spans="1:17">
      <c r="A27" s="20" t="s">
        <v>132</v>
      </c>
      <c r="B27" s="97">
        <f>IF(B$18=0,0,C27/B$18)</f>
        <v>-5500</v>
      </c>
      <c r="C27" s="98">
        <v>-115500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235</v>
      </c>
      <c r="O27" s="86">
        <f>IF(P27=0,0,Q27/P27)</f>
        <v>3.8142857142857105</v>
      </c>
      <c r="P27" s="80">
        <v>7</v>
      </c>
      <c r="Q27" s="68">
        <v>26.699999999999974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263</v>
      </c>
      <c r="O28" s="86">
        <f>IF(P28=0,0,Q28/P28)</f>
        <v>-10.127272727272722</v>
      </c>
      <c r="P28" s="80">
        <v>11</v>
      </c>
      <c r="Q28" s="68">
        <v>-111.39999999999993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264</v>
      </c>
      <c r="O29" s="86">
        <f>IF(P29=0,0,Q29/P29)</f>
        <v>-29.150000000000006</v>
      </c>
      <c r="P29" s="80">
        <v>2</v>
      </c>
      <c r="Q29" s="68">
        <v>-58.300000000000011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>IF(P30=0,0,Q30/P30)</f>
        <v>-32.966666666666669</v>
      </c>
      <c r="P30" s="80">
        <v>6</v>
      </c>
      <c r="Q30" s="68">
        <v>-197.8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268</v>
      </c>
      <c r="O31" s="86">
        <f>IF(P31=0,0,Q31/P31)</f>
        <v>-49.4</v>
      </c>
      <c r="P31" s="80">
        <v>1</v>
      </c>
      <c r="Q31" s="68">
        <v>-49.4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-68.8</v>
      </c>
      <c r="P32" s="80">
        <v>1</v>
      </c>
      <c r="Q32" s="68">
        <v>-68.8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244</v>
      </c>
      <c r="O33" s="86">
        <f>IF(P33=0,0,Q33/P33)</f>
        <v>-99.8</v>
      </c>
      <c r="P33" s="80">
        <v>1</v>
      </c>
      <c r="Q33" s="68">
        <v>-99.8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3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3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0.11904761904761904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2.3809523809523808E-2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31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181</v>
      </c>
      <c r="F2" s="29" t="s">
        <v>156</v>
      </c>
      <c r="G2" s="12">
        <v>28</v>
      </c>
      <c r="H2" s="93">
        <f>IF(B$17=0,0,G2/B$17)</f>
        <v>0.52830188679245282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1384.6153846153845</v>
      </c>
      <c r="P2" s="79">
        <v>26</v>
      </c>
      <c r="Q2" s="63">
        <v>36000</v>
      </c>
    </row>
    <row r="3" spans="1:17">
      <c r="A3" s="19" t="s">
        <v>8</v>
      </c>
      <c r="B3" s="122">
        <v>204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0.45283018867924529</v>
      </c>
      <c r="I3" s="56">
        <v>23</v>
      </c>
      <c r="K3" s="5">
        <v>1</v>
      </c>
      <c r="L3" s="61">
        <v>10.3</v>
      </c>
      <c r="N3" s="76" t="s">
        <v>104</v>
      </c>
      <c r="O3" s="83">
        <f t="shared" si="0"/>
        <v>296.15384615384613</v>
      </c>
      <c r="P3" s="80">
        <v>26</v>
      </c>
      <c r="Q3" s="64">
        <v>7700</v>
      </c>
    </row>
    <row r="4" spans="1:17">
      <c r="A4" s="19" t="s">
        <v>6</v>
      </c>
      <c r="B4" s="124">
        <v>217.6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0.37735849056603776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-153.84615384615384</v>
      </c>
      <c r="P4" s="80">
        <v>26</v>
      </c>
      <c r="Q4" s="64">
        <v>-4000</v>
      </c>
    </row>
    <row r="5" spans="1:17">
      <c r="A5" s="19" t="s">
        <v>7</v>
      </c>
      <c r="B5" s="126">
        <f>IF(B$2=0,0,B$4/B$2)</f>
        <v>8.3692307692307697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0.32075471698113206</v>
      </c>
      <c r="I5" s="56">
        <v>26</v>
      </c>
      <c r="K5" s="5">
        <v>3</v>
      </c>
      <c r="L5" s="61">
        <v>-4.8999999999999995</v>
      </c>
      <c r="N5" s="76" t="s">
        <v>157</v>
      </c>
      <c r="O5" s="83">
        <f>IF(P5=0,0,Q5/P5)</f>
        <v>730.43478260869563</v>
      </c>
      <c r="P5" s="80">
        <v>23</v>
      </c>
      <c r="Q5" s="64">
        <v>16800</v>
      </c>
    </row>
    <row r="6" spans="1:17">
      <c r="A6" s="19" t="s">
        <v>1</v>
      </c>
      <c r="B6" s="128">
        <f>IF(B$2=0,0,(B$7*1+B$8*2+B$9*3+B$10*4)/B$2)</f>
        <v>2.2307692307692308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0.30188679245283018</v>
      </c>
      <c r="I6" s="56">
        <v>18</v>
      </c>
      <c r="K6" s="5">
        <v>4</v>
      </c>
      <c r="L6" s="61">
        <v>43.2</v>
      </c>
      <c r="N6" s="76" t="s">
        <v>106</v>
      </c>
      <c r="O6" s="83">
        <f t="shared" ref="O6" si="1">IF(P6=0,0,Q6/P6)</f>
        <v>950</v>
      </c>
      <c r="P6" s="80">
        <v>22</v>
      </c>
      <c r="Q6" s="64">
        <v>20900</v>
      </c>
    </row>
    <row r="7" spans="1:17">
      <c r="A7" s="19" t="s">
        <v>2</v>
      </c>
      <c r="B7" s="13">
        <v>7</v>
      </c>
      <c r="C7" s="6">
        <f t="shared" ref="C7:C12" si="2">IF(B$2=0,0,B7/B$2)</f>
        <v>0.26923076923076922</v>
      </c>
      <c r="E7" s="33" t="s">
        <v>59</v>
      </c>
      <c r="F7" s="30" t="s">
        <v>23</v>
      </c>
      <c r="G7" s="13">
        <v>11</v>
      </c>
      <c r="H7" s="94">
        <f>IF(B$17=0,0,G7/B$17)</f>
        <v>0.20754716981132076</v>
      </c>
      <c r="I7" s="56">
        <v>11</v>
      </c>
      <c r="K7" s="5">
        <v>5</v>
      </c>
      <c r="L7" s="61">
        <v>26.900000000000002</v>
      </c>
      <c r="N7" s="76" t="s">
        <v>107</v>
      </c>
      <c r="O7" s="83">
        <f t="shared" si="0"/>
        <v>1100</v>
      </c>
      <c r="P7" s="80">
        <v>16</v>
      </c>
      <c r="Q7" s="64">
        <v>17600</v>
      </c>
    </row>
    <row r="8" spans="1:17">
      <c r="A8" s="19" t="s">
        <v>3</v>
      </c>
      <c r="B8" s="13">
        <v>9</v>
      </c>
      <c r="C8" s="6">
        <f>IF(B$2=0,0,B8/B$2)</f>
        <v>0.34615384615384615</v>
      </c>
      <c r="E8" s="33" t="s">
        <v>182</v>
      </c>
      <c r="F8" s="30" t="s">
        <v>19</v>
      </c>
      <c r="G8" s="13">
        <v>10</v>
      </c>
      <c r="H8" s="94">
        <f>IF(B$17=0,0,G8/B$17)</f>
        <v>0.18867924528301888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-2481.818181818182</v>
      </c>
      <c r="P8" s="80">
        <v>11</v>
      </c>
      <c r="Q8" s="64">
        <v>-27300</v>
      </c>
    </row>
    <row r="9" spans="1:17">
      <c r="A9" s="20" t="s">
        <v>4</v>
      </c>
      <c r="B9" s="14">
        <v>7</v>
      </c>
      <c r="C9" s="7">
        <f>IF(B$2=0,0,B9/B$2)</f>
        <v>0.26923076923076922</v>
      </c>
      <c r="E9" s="33" t="s">
        <v>55</v>
      </c>
      <c r="F9" s="30" t="s">
        <v>155</v>
      </c>
      <c r="G9" s="13">
        <v>9</v>
      </c>
      <c r="H9" s="94">
        <f>IF(B$17=0,0,G9/B$17)</f>
        <v>0.16981132075471697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3</v>
      </c>
      <c r="C10" s="7">
        <f>IF(B$2=0,0,B10/B$2)</f>
        <v>0.11538461538461539</v>
      </c>
      <c r="E10" s="33" t="s">
        <v>57</v>
      </c>
      <c r="F10" s="30" t="s">
        <v>21</v>
      </c>
      <c r="G10" s="13">
        <v>9</v>
      </c>
      <c r="H10" s="94">
        <f>IF(B$17=0,0,G10/B$17)</f>
        <v>0.16981132075471697</v>
      </c>
      <c r="I10" s="56">
        <v>26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0.61538461538461542</v>
      </c>
      <c r="E11" s="33" t="s">
        <v>183</v>
      </c>
      <c r="F11" s="30" t="s">
        <v>186</v>
      </c>
      <c r="G11" s="13">
        <v>2</v>
      </c>
      <c r="H11" s="94">
        <f>IF(B$17=0,0,G11/B$17)</f>
        <v>3.7735849056603772E-2</v>
      </c>
      <c r="I11" s="56">
        <v>10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1.8867924528301886E-2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40</v>
      </c>
      <c r="C13" s="11">
        <f>IF(B$3=0,0,B13/B$3)</f>
        <v>0.19607843137254902</v>
      </c>
      <c r="E13" s="33" t="s">
        <v>61</v>
      </c>
      <c r="F13" s="30" t="s">
        <v>25</v>
      </c>
      <c r="G13" s="13">
        <v>1</v>
      </c>
      <c r="H13" s="94">
        <f>IF(B$17=0,0,G13/B$17)</f>
        <v>1.8867924528301886E-2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43</v>
      </c>
      <c r="C14" s="6">
        <f>IF(B$3=0,0,B14/B$3)</f>
        <v>0.2107843137254902</v>
      </c>
      <c r="E14" s="33" t="s">
        <v>67</v>
      </c>
      <c r="F14" s="30" t="s">
        <v>31</v>
      </c>
      <c r="G14" s="13">
        <v>1</v>
      </c>
      <c r="H14" s="94">
        <f>IF(B$17=0,0,G14/B$17)</f>
        <v>1.8867924528301886E-2</v>
      </c>
      <c r="I14" s="56">
        <v>8</v>
      </c>
      <c r="K14" s="5">
        <v>12</v>
      </c>
      <c r="L14" s="61">
        <v>-33.300000000000011</v>
      </c>
      <c r="N14" s="76" t="s">
        <v>128</v>
      </c>
      <c r="O14" s="86">
        <f>IF(P14=0,0,Q14/P14)</f>
        <v>6.0000000000000018</v>
      </c>
      <c r="P14" s="80">
        <v>4</v>
      </c>
      <c r="Q14" s="68">
        <v>24.000000000000007</v>
      </c>
    </row>
    <row r="15" spans="1:17">
      <c r="A15" s="18" t="s">
        <v>99</v>
      </c>
      <c r="B15" s="12">
        <f>B21</f>
        <v>28</v>
      </c>
      <c r="C15" s="4">
        <f>IF(B$13=0,0,B15/B$13)</f>
        <v>0.7</v>
      </c>
      <c r="E15" s="33" t="s">
        <v>71</v>
      </c>
      <c r="F15" s="30" t="s">
        <v>35</v>
      </c>
      <c r="G15" s="13">
        <v>1</v>
      </c>
      <c r="H15" s="94">
        <f>IF(B$17=0,0,G15/B$17)</f>
        <v>1.8867924528301886E-2</v>
      </c>
      <c r="I15" s="56">
        <v>13</v>
      </c>
      <c r="K15" s="5">
        <v>13</v>
      </c>
      <c r="L15" s="61">
        <v>27.699999999999989</v>
      </c>
      <c r="N15" s="77" t="s">
        <v>159</v>
      </c>
      <c r="O15" s="87">
        <f>IF(P15=0,0,Q15/P15)</f>
        <v>7.2666666666666666</v>
      </c>
      <c r="P15" s="81">
        <v>3</v>
      </c>
      <c r="Q15" s="69">
        <v>21.8</v>
      </c>
    </row>
    <row r="16" spans="1:17">
      <c r="A16" s="18" t="s">
        <v>100</v>
      </c>
      <c r="B16" s="12">
        <f>B22</f>
        <v>19</v>
      </c>
      <c r="C16" s="4">
        <f>IF(B$14=0,0,B16/B$14)</f>
        <v>0.44186046511627908</v>
      </c>
      <c r="E16" s="33" t="s">
        <v>74</v>
      </c>
      <c r="F16" s="30" t="s">
        <v>38</v>
      </c>
      <c r="G16" s="13">
        <v>1</v>
      </c>
      <c r="H16" s="94">
        <f>IF(B$17=0,0,G16/B$17)</f>
        <v>1.8867924528301886E-2</v>
      </c>
      <c r="I16" s="56">
        <v>15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53</v>
      </c>
      <c r="C17" s="4">
        <f>IF(B$3=0,0,B17/B$3)</f>
        <v>0.25980392156862747</v>
      </c>
      <c r="E17" s="33" t="s">
        <v>77</v>
      </c>
      <c r="F17" s="30" t="s">
        <v>41</v>
      </c>
      <c r="G17" s="13">
        <v>1</v>
      </c>
      <c r="H17" s="94">
        <f>IF(B$17=0,0,G17/B$17)</f>
        <v>1.8867924528301886E-2</v>
      </c>
      <c r="I17" s="56">
        <v>17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0.10294117647058823</v>
      </c>
      <c r="E18" s="33" t="s">
        <v>78</v>
      </c>
      <c r="F18" s="30" t="s">
        <v>42</v>
      </c>
      <c r="G18" s="13">
        <v>1</v>
      </c>
      <c r="H18" s="94">
        <f>IF(B$17=0,0,G18/B$17)</f>
        <v>1.8867924528301886E-2</v>
      </c>
      <c r="I18" s="56">
        <v>6</v>
      </c>
      <c r="K18" s="5">
        <v>16</v>
      </c>
      <c r="L18" s="61">
        <v>159.69999999999999</v>
      </c>
      <c r="N18" s="75" t="s">
        <v>277</v>
      </c>
      <c r="O18" s="85">
        <f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19</v>
      </c>
      <c r="C19" s="6">
        <f>IF(B$17=0,0,B19/B$17)</f>
        <v>0.35849056603773582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164.89999999999998</v>
      </c>
      <c r="N19" s="76" t="s">
        <v>304</v>
      </c>
      <c r="O19" s="86">
        <f>IF(P19=0,0,Q19/P19)</f>
        <v>45.3</v>
      </c>
      <c r="P19" s="80">
        <v>1</v>
      </c>
      <c r="Q19" s="68">
        <v>45.3</v>
      </c>
    </row>
    <row r="20" spans="1:17">
      <c r="A20" s="19" t="s">
        <v>11</v>
      </c>
      <c r="B20" s="13">
        <v>34</v>
      </c>
      <c r="C20" s="6">
        <f>IF(B$17=0,0,B20/B$17)</f>
        <v>0.64150943396226412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145.99999999999997</v>
      </c>
      <c r="N20" s="76" t="s">
        <v>195</v>
      </c>
      <c r="O20" s="86">
        <f>IF(P20=0,0,Q20/P20)</f>
        <v>41.375</v>
      </c>
      <c r="P20" s="80">
        <v>4</v>
      </c>
      <c r="Q20" s="68">
        <v>165.5</v>
      </c>
    </row>
    <row r="21" spans="1:17">
      <c r="A21" s="19" t="s">
        <v>151</v>
      </c>
      <c r="B21" s="13">
        <v>28</v>
      </c>
      <c r="C21" s="6">
        <f>IF(B$17=0,0,B21/B$17)</f>
        <v>0.52830188679245282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19</v>
      </c>
      <c r="C22" s="6">
        <f>IF(B$17=0,0,B22/B$17)</f>
        <v>0.35849056603773582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262</v>
      </c>
      <c r="O22" s="86">
        <f>IF(P22=0,0,Q22/P22)</f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6</v>
      </c>
      <c r="C23" s="6">
        <f>IF(B$17=0,0,B23/B$17)</f>
        <v>0.11320754716981132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238</v>
      </c>
      <c r="O23" s="86">
        <f>IF(P23=0,0,Q23/P23)</f>
        <v>16.433333333333334</v>
      </c>
      <c r="P23" s="80">
        <v>3</v>
      </c>
      <c r="Q23" s="68">
        <v>49.300000000000004</v>
      </c>
    </row>
    <row r="24" spans="1:17">
      <c r="A24" s="19" t="s">
        <v>5</v>
      </c>
      <c r="B24" s="16">
        <f>IF(B$17=0,0,C24/B$17)</f>
        <v>5701.8867924528304</v>
      </c>
      <c r="C24" s="8">
        <v>302200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255</v>
      </c>
      <c r="O24" s="86">
        <f>IF(P24=0,0,Q24/P24)</f>
        <v>15.328571428571426</v>
      </c>
      <c r="P24" s="80">
        <v>7</v>
      </c>
      <c r="Q24" s="68">
        <v>107.29999999999998</v>
      </c>
    </row>
    <row r="25" spans="1:17">
      <c r="A25" s="20" t="s">
        <v>133</v>
      </c>
      <c r="B25" s="97">
        <f>IF($B$17-B$16=0,0,C25/($B$17-B$16))</f>
        <v>7011.7647058823532</v>
      </c>
      <c r="C25" s="98">
        <v>238400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272</v>
      </c>
      <c r="O25" s="86">
        <f>IF(P25=0,0,Q25/P25)</f>
        <v>15.3</v>
      </c>
      <c r="P25" s="80">
        <v>11</v>
      </c>
      <c r="Q25" s="68">
        <v>168.3</v>
      </c>
    </row>
    <row r="26" spans="1:17">
      <c r="A26" s="20" t="s">
        <v>134</v>
      </c>
      <c r="B26" s="97">
        <f>IF(B$16=0,0,C26/B$16)</f>
        <v>3357.8947368421054</v>
      </c>
      <c r="C26" s="98">
        <v>63800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265</v>
      </c>
      <c r="O26" s="86">
        <f>IF(P26=0,0,Q26/P26)</f>
        <v>10.127272727272725</v>
      </c>
      <c r="P26" s="80">
        <v>11</v>
      </c>
      <c r="Q26" s="68">
        <v>111.39999999999998</v>
      </c>
    </row>
    <row r="27" spans="1:17">
      <c r="A27" s="20" t="s">
        <v>132</v>
      </c>
      <c r="B27" s="97">
        <f>IF(B$18=0,0,C27/B$18)</f>
        <v>-4823.8095238095239</v>
      </c>
      <c r="C27" s="98">
        <v>-101300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244</v>
      </c>
      <c r="O27" s="86">
        <f>IF(P27=0,0,Q27/P27)</f>
        <v>5.333333333333333</v>
      </c>
      <c r="P27" s="80">
        <v>3</v>
      </c>
      <c r="Q27" s="68">
        <v>16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235</v>
      </c>
      <c r="O28" s="86">
        <f>IF(P28=0,0,Q28/P28)</f>
        <v>-0.29999999999999954</v>
      </c>
      <c r="P28" s="80">
        <v>6</v>
      </c>
      <c r="Q28" s="68">
        <v>-1.7999999999999972</v>
      </c>
    </row>
    <row r="29" spans="1:17">
      <c r="A29" s="19" t="s">
        <v>131</v>
      </c>
      <c r="B29" s="13">
        <v>30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297</v>
      </c>
      <c r="O29" s="86">
        <f>IF(P29=0,0,Q29/P29)</f>
        <v>-0.59999999999999964</v>
      </c>
      <c r="P29" s="80">
        <v>2</v>
      </c>
      <c r="Q29" s="68">
        <v>-1.1999999999999993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169</v>
      </c>
      <c r="O30" s="86">
        <f>IF(P30=0,0,Q30/P30)</f>
        <v>-2.0833333333333335</v>
      </c>
      <c r="P30" s="80">
        <v>6</v>
      </c>
      <c r="Q30" s="68">
        <v>-12.5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>IF(P31=0,0,Q31/P31)</f>
        <v>-2.7499999999999964</v>
      </c>
      <c r="P31" s="80">
        <v>2</v>
      </c>
      <c r="Q31" s="68">
        <v>-5.4999999999999929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269</v>
      </c>
      <c r="O32" s="86">
        <f>IF(P32=0,0,Q32/P32)</f>
        <v>-4.4833333333333316</v>
      </c>
      <c r="P32" s="80">
        <v>6</v>
      </c>
      <c r="Q32" s="68">
        <v>-26.899999999999991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>IF(P33=0,0,Q33/P33)</f>
        <v>-15.140000000000004</v>
      </c>
      <c r="P33" s="80">
        <v>5</v>
      </c>
      <c r="Q33" s="68">
        <v>-75.700000000000017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0.16981132075471697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3"/>
        <v>0.20754716981132076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16</v>
      </c>
      <c r="C37" s="6">
        <f t="shared" si="3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9.4339622641509441E-2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9</v>
      </c>
      <c r="C39" s="6">
        <f t="shared" si="3"/>
        <v>0.16981132075471697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3.7735849056603772E-2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1.8867924528301886E-2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11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0.77777777777777779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100</v>
      </c>
      <c r="P2" s="79">
        <v>16</v>
      </c>
      <c r="Q2" s="63">
        <v>1600</v>
      </c>
    </row>
    <row r="3" spans="1:17">
      <c r="A3" s="19" t="s">
        <v>8</v>
      </c>
      <c r="B3" s="122">
        <v>107</v>
      </c>
      <c r="C3" s="123"/>
      <c r="E3" s="33" t="s">
        <v>184</v>
      </c>
      <c r="F3" s="30" t="s">
        <v>187</v>
      </c>
      <c r="G3" s="13">
        <v>10</v>
      </c>
      <c r="H3" s="94">
        <f>IF(B$17=0,0,G3/B$17)</f>
        <v>0.55555555555555558</v>
      </c>
      <c r="I3" s="56">
        <v>13</v>
      </c>
      <c r="K3" s="5">
        <v>1</v>
      </c>
      <c r="L3" s="61">
        <v>-47.4</v>
      </c>
      <c r="N3" s="76" t="s">
        <v>104</v>
      </c>
      <c r="O3" s="83">
        <f t="shared" si="0"/>
        <v>-1056.25</v>
      </c>
      <c r="P3" s="80">
        <v>16</v>
      </c>
      <c r="Q3" s="64">
        <v>-16900</v>
      </c>
    </row>
    <row r="4" spans="1:17">
      <c r="A4" s="19" t="s">
        <v>6</v>
      </c>
      <c r="B4" s="124">
        <v>-238.90000000000006</v>
      </c>
      <c r="C4" s="125"/>
      <c r="E4" s="33" t="s">
        <v>54</v>
      </c>
      <c r="F4" s="30" t="s">
        <v>20</v>
      </c>
      <c r="G4" s="13">
        <v>8</v>
      </c>
      <c r="H4" s="94">
        <f>IF(B$17=0,0,G4/B$17)</f>
        <v>0.44444444444444442</v>
      </c>
      <c r="I4" s="56">
        <v>23</v>
      </c>
      <c r="K4" s="5">
        <v>2</v>
      </c>
      <c r="L4" s="61">
        <v>-73.2</v>
      </c>
      <c r="N4" s="76" t="s">
        <v>105</v>
      </c>
      <c r="O4" s="83">
        <f t="shared" si="0"/>
        <v>-2206.6666666666665</v>
      </c>
      <c r="P4" s="80">
        <v>15</v>
      </c>
      <c r="Q4" s="64">
        <v>-33100</v>
      </c>
    </row>
    <row r="5" spans="1:17">
      <c r="A5" s="19" t="s">
        <v>7</v>
      </c>
      <c r="B5" s="126">
        <f>IF(B$2=0,0,B$4/B$2)</f>
        <v>-14.931250000000004</v>
      </c>
      <c r="C5" s="127"/>
      <c r="E5" s="33" t="s">
        <v>56</v>
      </c>
      <c r="F5" s="30" t="s">
        <v>185</v>
      </c>
      <c r="G5" s="13">
        <v>8</v>
      </c>
      <c r="H5" s="94">
        <f>IF(B$17=0,0,G5/B$17)</f>
        <v>0.44444444444444442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-1021.4285714285714</v>
      </c>
      <c r="P5" s="80">
        <v>14</v>
      </c>
      <c r="Q5" s="64">
        <v>-14300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0.44444444444444442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866.66666666666663</v>
      </c>
      <c r="P6" s="80">
        <v>9</v>
      </c>
      <c r="Q6" s="64">
        <v>7800</v>
      </c>
    </row>
    <row r="7" spans="1:17">
      <c r="A7" s="19" t="s">
        <v>2</v>
      </c>
      <c r="B7" s="13">
        <v>3</v>
      </c>
      <c r="C7" s="6">
        <f t="shared" ref="C7:C12" si="2">IF(B$2=0,0,B7/B$2)</f>
        <v>0.1875</v>
      </c>
      <c r="E7" s="33" t="s">
        <v>55</v>
      </c>
      <c r="F7" s="30" t="s">
        <v>155</v>
      </c>
      <c r="G7" s="13">
        <v>4</v>
      </c>
      <c r="H7" s="94">
        <f>IF(B$17=0,0,G7/B$17)</f>
        <v>0.22222222222222221</v>
      </c>
      <c r="I7" s="56">
        <v>21</v>
      </c>
      <c r="K7" s="5">
        <v>5</v>
      </c>
      <c r="L7" s="61">
        <v>-164.8</v>
      </c>
      <c r="N7" s="76" t="s">
        <v>107</v>
      </c>
      <c r="O7" s="83">
        <f t="shared" si="0"/>
        <v>-285.71428571428572</v>
      </c>
      <c r="P7" s="80">
        <v>7</v>
      </c>
      <c r="Q7" s="64">
        <v>-2000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58</v>
      </c>
      <c r="F8" s="30" t="s">
        <v>22</v>
      </c>
      <c r="G8" s="13">
        <v>4</v>
      </c>
      <c r="H8" s="94">
        <f>IF(B$17=0,0,G8/B$17)</f>
        <v>0.22222222222222221</v>
      </c>
      <c r="I8" s="56">
        <v>1</v>
      </c>
      <c r="K8" s="5">
        <v>6</v>
      </c>
      <c r="L8" s="61">
        <v>-206.20000000000002</v>
      </c>
      <c r="N8" s="76" t="s">
        <v>108</v>
      </c>
      <c r="O8" s="83">
        <f t="shared" si="0"/>
        <v>-1000</v>
      </c>
      <c r="P8" s="80">
        <v>2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0.1875</v>
      </c>
      <c r="E9" s="33" t="s">
        <v>59</v>
      </c>
      <c r="F9" s="30" t="s">
        <v>23</v>
      </c>
      <c r="G9" s="13">
        <v>4</v>
      </c>
      <c r="H9" s="94">
        <f>IF(B$17=0,0,G9/B$17)</f>
        <v>0.22222222222222221</v>
      </c>
      <c r="I9" s="56">
        <v>9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0.5</v>
      </c>
      <c r="E10" s="33" t="s">
        <v>182</v>
      </c>
      <c r="F10" s="30" t="s">
        <v>19</v>
      </c>
      <c r="G10" s="13">
        <v>1</v>
      </c>
      <c r="H10" s="94">
        <f>IF(B$17=0,0,G10/B$17)</f>
        <v>5.5555555555555552E-2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0.3125</v>
      </c>
      <c r="E11" s="33" t="s">
        <v>60</v>
      </c>
      <c r="F11" s="30" t="s">
        <v>24</v>
      </c>
      <c r="G11" s="13">
        <v>1</v>
      </c>
      <c r="H11" s="94">
        <f>IF(B$17=0,0,G11/B$17)</f>
        <v>5.5555555555555552E-2</v>
      </c>
      <c r="I11" s="56">
        <v>39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5.5555555555555552E-2</v>
      </c>
      <c r="I12" s="56">
        <v>3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24</v>
      </c>
      <c r="C13" s="11">
        <f>IF(B$3=0,0,B13/B$3)</f>
        <v>0.22429906542056074</v>
      </c>
      <c r="E13" s="33" t="s">
        <v>74</v>
      </c>
      <c r="F13" s="30" t="s">
        <v>38</v>
      </c>
      <c r="G13" s="13">
        <v>1</v>
      </c>
      <c r="H13" s="94">
        <f>IF(B$17=0,0,G13/B$17)</f>
        <v>5.5555555555555552E-2</v>
      </c>
      <c r="I13" s="56">
        <v>7</v>
      </c>
      <c r="K13" s="5">
        <v>11</v>
      </c>
      <c r="L13" s="61">
        <v>-383.70000000000005</v>
      </c>
      <c r="N13" s="76" t="s">
        <v>127</v>
      </c>
      <c r="O13" s="86">
        <f>IF(P13=0,0,Q13/P13)</f>
        <v>-13.650000000000002</v>
      </c>
      <c r="P13" s="80">
        <v>4</v>
      </c>
      <c r="Q13" s="68">
        <v>-54.600000000000009</v>
      </c>
    </row>
    <row r="14" spans="1:17">
      <c r="A14" s="19" t="s">
        <v>94</v>
      </c>
      <c r="B14" s="13">
        <v>15</v>
      </c>
      <c r="C14" s="6">
        <f>IF(B$3=0,0,B14/B$3)</f>
        <v>0.14018691588785046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28.2</v>
      </c>
      <c r="P14" s="80">
        <v>3</v>
      </c>
      <c r="Q14" s="68">
        <v>84.6</v>
      </c>
    </row>
    <row r="15" spans="1:17">
      <c r="A15" s="18" t="s">
        <v>99</v>
      </c>
      <c r="B15" s="12">
        <f>B21</f>
        <v>14</v>
      </c>
      <c r="C15" s="4">
        <f>IF(B$13=0,0,B15/B$13)</f>
        <v>0.58333333333333337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1</v>
      </c>
      <c r="C16" s="4">
        <f>IF(B$14=0,0,B16/B$14)</f>
        <v>6.6666666666666666E-2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0.16822429906542055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0.13084112149532709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304</v>
      </c>
      <c r="O18" s="85">
        <f>IF(P18=0,0,Q18/P18)</f>
        <v>114.3</v>
      </c>
      <c r="P18" s="79">
        <v>1</v>
      </c>
      <c r="Q18" s="67">
        <v>114.3</v>
      </c>
    </row>
    <row r="19" spans="1:17">
      <c r="A19" s="19" t="s">
        <v>12</v>
      </c>
      <c r="B19" s="13">
        <v>8</v>
      </c>
      <c r="C19" s="6">
        <f>IF(B$17=0,0,B19/B$17)</f>
        <v>0.44444444444444442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235</v>
      </c>
      <c r="O19" s="86">
        <f>IF(P19=0,0,Q19/P19)</f>
        <v>31.9</v>
      </c>
      <c r="P19" s="80">
        <v>2</v>
      </c>
      <c r="Q19" s="68">
        <v>63.8</v>
      </c>
    </row>
    <row r="20" spans="1:17">
      <c r="A20" s="19" t="s">
        <v>11</v>
      </c>
      <c r="B20" s="13">
        <v>10</v>
      </c>
      <c r="C20" s="6">
        <f>IF(B$17=0,0,B20/B$17)</f>
        <v>0.55555555555555558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>IF(P20=0,0,Q20/P20)</f>
        <v>9.1833333333333282</v>
      </c>
      <c r="P20" s="80">
        <v>6</v>
      </c>
      <c r="Q20" s="68">
        <v>55.099999999999973</v>
      </c>
    </row>
    <row r="21" spans="1:17">
      <c r="A21" s="19" t="s">
        <v>151</v>
      </c>
      <c r="B21" s="13">
        <v>14</v>
      </c>
      <c r="C21" s="6">
        <f>IF(B$17=0,0,B21/B$17)</f>
        <v>0.77777777777777779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>IF(P21=0,0,Q21/P21)</f>
        <v>6.9000000000000012</v>
      </c>
      <c r="P21" s="80">
        <v>3</v>
      </c>
      <c r="Q21" s="68">
        <v>20.700000000000003</v>
      </c>
    </row>
    <row r="22" spans="1:17">
      <c r="A22" s="19" t="s">
        <v>149</v>
      </c>
      <c r="B22" s="13">
        <v>1</v>
      </c>
      <c r="C22" s="6">
        <f>IF(B$17=0,0,B22/B$17)</f>
        <v>5.5555555555555552E-2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297</v>
      </c>
      <c r="O22" s="86">
        <f>IF(P22=0,0,Q22/P22)</f>
        <v>5.4499999999999975</v>
      </c>
      <c r="P22" s="80">
        <v>4</v>
      </c>
      <c r="Q22" s="68">
        <v>21.79999999999999</v>
      </c>
    </row>
    <row r="23" spans="1:17">
      <c r="A23" s="19" t="s">
        <v>150</v>
      </c>
      <c r="B23" s="13">
        <v>3</v>
      </c>
      <c r="C23" s="6">
        <f>IF(B$17=0,0,B23/B$17)</f>
        <v>0.16666666666666666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4.4833333333333298</v>
      </c>
      <c r="P23" s="80">
        <v>6</v>
      </c>
      <c r="Q23" s="68">
        <v>26.899999999999977</v>
      </c>
    </row>
    <row r="24" spans="1:17">
      <c r="A24" s="19" t="s">
        <v>5</v>
      </c>
      <c r="B24" s="16">
        <f>IF(B$17=0,0,C24/B$17)</f>
        <v>5955.5555555555557</v>
      </c>
      <c r="C24" s="8">
        <v>107200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276</v>
      </c>
      <c r="O24" s="86">
        <f>IF(P24=0,0,Q24/P24)</f>
        <v>-26.783333333333342</v>
      </c>
      <c r="P24" s="80">
        <v>6</v>
      </c>
      <c r="Q24" s="68">
        <v>-160.70000000000005</v>
      </c>
    </row>
    <row r="25" spans="1:17">
      <c r="A25" s="20" t="s">
        <v>133</v>
      </c>
      <c r="B25" s="97">
        <f>IF($B$17-B$16=0,0,C25/($B$17-B$16))</f>
        <v>6188.2352941176468</v>
      </c>
      <c r="C25" s="98">
        <v>105200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213</v>
      </c>
      <c r="O25" s="86">
        <f>IF(P25=0,0,Q25/P25)</f>
        <v>-30</v>
      </c>
      <c r="P25" s="80">
        <v>1</v>
      </c>
      <c r="Q25" s="68">
        <v>-30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277</v>
      </c>
      <c r="O26" s="86">
        <f>IF(P26=0,0,Q26/P26)</f>
        <v>-37.800000000000004</v>
      </c>
      <c r="P26" s="80">
        <v>4</v>
      </c>
      <c r="Q26" s="68">
        <v>-151.20000000000002</v>
      </c>
    </row>
    <row r="27" spans="1:17">
      <c r="A27" s="20" t="s">
        <v>132</v>
      </c>
      <c r="B27" s="97">
        <f>IF(B$18=0,0,C27/B$18)</f>
        <v>-5435.7142857142853</v>
      </c>
      <c r="C27" s="98">
        <v>-76100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195</v>
      </c>
      <c r="O27" s="86">
        <f>IF(P27=0,0,Q27/P27)</f>
        <v>-40.650000000000006</v>
      </c>
      <c r="P27" s="80">
        <v>2</v>
      </c>
      <c r="Q27" s="68">
        <v>-81.300000000000011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265</v>
      </c>
      <c r="O28" s="86">
        <f>IF(P28=0,0,Q28/P28)</f>
        <v>-45.1</v>
      </c>
      <c r="P28" s="80">
        <v>8</v>
      </c>
      <c r="Q28" s="68">
        <v>-360.8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272</v>
      </c>
      <c r="O29" s="86">
        <f>IF(P29=0,0,Q29/P29)</f>
        <v>-69.433333333333337</v>
      </c>
      <c r="P29" s="80">
        <v>3</v>
      </c>
      <c r="Q29" s="68">
        <v>-208.3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268</v>
      </c>
      <c r="O30" s="86">
        <f>IF(P30=0,0,Q30/P30)</f>
        <v>-99.5</v>
      </c>
      <c r="P30" s="80">
        <v>1</v>
      </c>
      <c r="Q30" s="68">
        <v>-99.5</v>
      </c>
    </row>
    <row r="31" spans="1:17">
      <c r="A31" s="22" t="s">
        <v>148</v>
      </c>
      <c r="B31" s="116">
        <v>42800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244</v>
      </c>
      <c r="O31" s="86">
        <f>IF(P31=0,0,Q31/P31)</f>
        <v>-149</v>
      </c>
      <c r="P31" s="80">
        <v>1</v>
      </c>
      <c r="Q31" s="68">
        <v>-149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0.3888888888888889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3"/>
        <v>0.1111111111111111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181</v>
      </c>
      <c r="F2" s="29" t="s">
        <v>156</v>
      </c>
      <c r="G2" s="12">
        <v>29</v>
      </c>
      <c r="H2" s="93">
        <f>IF(B$17=0,0,G2/B$17)</f>
        <v>0.67441860465116277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-300</v>
      </c>
      <c r="P2" s="79">
        <v>23</v>
      </c>
      <c r="Q2" s="63">
        <v>-6900</v>
      </c>
    </row>
    <row r="3" spans="1:17">
      <c r="A3" s="19" t="s">
        <v>8</v>
      </c>
      <c r="B3" s="122">
        <v>174</v>
      </c>
      <c r="C3" s="123"/>
      <c r="E3" s="33" t="s">
        <v>54</v>
      </c>
      <c r="F3" s="30" t="s">
        <v>20</v>
      </c>
      <c r="G3" s="13">
        <v>29</v>
      </c>
      <c r="H3" s="94">
        <f>IF(B$17=0,0,G3/B$17)</f>
        <v>0.67441860465116277</v>
      </c>
      <c r="I3" s="56">
        <v>7</v>
      </c>
      <c r="K3" s="5">
        <v>1</v>
      </c>
      <c r="L3" s="61">
        <v>6.3</v>
      </c>
      <c r="N3" s="76" t="s">
        <v>104</v>
      </c>
      <c r="O3" s="83">
        <f t="shared" si="0"/>
        <v>1617.391304347826</v>
      </c>
      <c r="P3" s="80">
        <v>23</v>
      </c>
      <c r="Q3" s="64">
        <v>37200</v>
      </c>
    </row>
    <row r="4" spans="1:17">
      <c r="A4" s="19" t="s">
        <v>6</v>
      </c>
      <c r="B4" s="124">
        <v>185.20000000000002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0.55813953488372092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804.3478260869565</v>
      </c>
      <c r="P4" s="80">
        <v>23</v>
      </c>
      <c r="Q4" s="64">
        <v>18500</v>
      </c>
    </row>
    <row r="5" spans="1:17">
      <c r="A5" s="19" t="s">
        <v>7</v>
      </c>
      <c r="B5" s="126">
        <f>IF(B$2=0,0,B$4/B$2)</f>
        <v>8.0521739130434788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0.30232558139534882</v>
      </c>
      <c r="I5" s="56">
        <v>17</v>
      </c>
      <c r="K5" s="5">
        <v>3</v>
      </c>
      <c r="L5" s="61">
        <v>0.60000000000000142</v>
      </c>
      <c r="N5" s="76" t="s">
        <v>157</v>
      </c>
      <c r="O5" s="83">
        <f>IF(P5=0,0,Q5/P5)</f>
        <v>282.60869565217394</v>
      </c>
      <c r="P5" s="80">
        <v>23</v>
      </c>
      <c r="Q5" s="64">
        <v>6500</v>
      </c>
    </row>
    <row r="6" spans="1:17">
      <c r="A6" s="19" t="s">
        <v>1</v>
      </c>
      <c r="B6" s="128">
        <f>IF(B$2=0,0,(B$7*1+B$8*2+B$9*3+B$10*4)/B$2)</f>
        <v>2.2608695652173911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0.27906976744186046</v>
      </c>
      <c r="I6" s="56">
        <v>29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-1127.7777777777778</v>
      </c>
      <c r="P6" s="80">
        <v>18</v>
      </c>
      <c r="Q6" s="64">
        <v>-20300</v>
      </c>
    </row>
    <row r="7" spans="1:17">
      <c r="A7" s="19" t="s">
        <v>2</v>
      </c>
      <c r="B7" s="13">
        <v>8</v>
      </c>
      <c r="C7" s="6">
        <f t="shared" ref="C7:C12" si="2">IF(B$2=0,0,B7/B$2)</f>
        <v>0.34782608695652173</v>
      </c>
      <c r="E7" s="33" t="s">
        <v>55</v>
      </c>
      <c r="F7" s="30" t="s">
        <v>155</v>
      </c>
      <c r="G7" s="13">
        <v>8</v>
      </c>
      <c r="H7" s="94">
        <f>IF(B$17=0,0,G7/B$17)</f>
        <v>0.18604651162790697</v>
      </c>
      <c r="I7" s="56">
        <v>27</v>
      </c>
      <c r="K7" s="5">
        <v>5</v>
      </c>
      <c r="L7" s="61">
        <v>129</v>
      </c>
      <c r="N7" s="76" t="s">
        <v>107</v>
      </c>
      <c r="O7" s="83">
        <f t="shared" si="0"/>
        <v>392.30769230769232</v>
      </c>
      <c r="P7" s="80">
        <v>13</v>
      </c>
      <c r="Q7" s="64">
        <v>5100</v>
      </c>
    </row>
    <row r="8" spans="1:17">
      <c r="A8" s="19" t="s">
        <v>3</v>
      </c>
      <c r="B8" s="13">
        <v>5</v>
      </c>
      <c r="C8" s="6">
        <f>IF(B$2=0,0,B8/B$2)</f>
        <v>0.21739130434782608</v>
      </c>
      <c r="E8" s="33" t="s">
        <v>57</v>
      </c>
      <c r="F8" s="30" t="s">
        <v>21</v>
      </c>
      <c r="G8" s="13">
        <v>8</v>
      </c>
      <c r="H8" s="94">
        <f>IF(B$17=0,0,G8/B$17)</f>
        <v>0.18604651162790697</v>
      </c>
      <c r="I8" s="56">
        <v>23</v>
      </c>
      <c r="K8" s="5">
        <v>6</v>
      </c>
      <c r="L8" s="61">
        <v>189.9</v>
      </c>
      <c r="N8" s="76" t="s">
        <v>108</v>
      </c>
      <c r="O8" s="83">
        <f t="shared" si="0"/>
        <v>-1380</v>
      </c>
      <c r="P8" s="80">
        <v>5</v>
      </c>
      <c r="Q8" s="64">
        <v>-6900</v>
      </c>
    </row>
    <row r="9" spans="1:17">
      <c r="A9" s="20" t="s">
        <v>4</v>
      </c>
      <c r="B9" s="14">
        <v>6</v>
      </c>
      <c r="C9" s="7">
        <f>IF(B$2=0,0,B9/B$2)</f>
        <v>0.2608695652173913</v>
      </c>
      <c r="E9" s="33" t="s">
        <v>182</v>
      </c>
      <c r="F9" s="30" t="s">
        <v>19</v>
      </c>
      <c r="G9" s="13">
        <v>5</v>
      </c>
      <c r="H9" s="94">
        <f>IF(B$17=0,0,G9/B$17)</f>
        <v>0.11627906976744186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0.17391304347826086</v>
      </c>
      <c r="E10" s="33" t="s">
        <v>58</v>
      </c>
      <c r="F10" s="30" t="s">
        <v>22</v>
      </c>
      <c r="G10" s="13">
        <v>4</v>
      </c>
      <c r="H10" s="94">
        <f>IF(B$17=0,0,G10/B$17)</f>
        <v>9.3023255813953487E-2</v>
      </c>
      <c r="I10" s="56">
        <v>13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0.56521739130434778</v>
      </c>
      <c r="E11" s="33" t="s">
        <v>59</v>
      </c>
      <c r="F11" s="30" t="s">
        <v>23</v>
      </c>
      <c r="G11" s="13">
        <v>4</v>
      </c>
      <c r="H11" s="94">
        <f>IF(B$17=0,0,G11/B$17)</f>
        <v>9.3023255813953487E-2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4.6511627906976744E-2</v>
      </c>
      <c r="I12" s="56">
        <v>9</v>
      </c>
      <c r="K12" s="5">
        <v>10</v>
      </c>
      <c r="L12" s="61">
        <v>364</v>
      </c>
      <c r="N12" s="75" t="s">
        <v>126</v>
      </c>
      <c r="O12" s="85">
        <f>IF(P12=0,0,Q12/P12)</f>
        <v>23.3</v>
      </c>
      <c r="P12" s="79">
        <v>5</v>
      </c>
      <c r="Q12" s="67">
        <v>116.5</v>
      </c>
    </row>
    <row r="13" spans="1:17">
      <c r="A13" s="22" t="s">
        <v>97</v>
      </c>
      <c r="B13" s="15">
        <v>48</v>
      </c>
      <c r="C13" s="11">
        <f>IF(B$3=0,0,B13/B$3)</f>
        <v>0.27586206896551724</v>
      </c>
      <c r="E13" s="33" t="s">
        <v>74</v>
      </c>
      <c r="F13" s="30" t="s">
        <v>38</v>
      </c>
      <c r="G13" s="13">
        <v>2</v>
      </c>
      <c r="H13" s="94">
        <f>IF(B$17=0,0,G13/B$17)</f>
        <v>4.6511627906976744E-2</v>
      </c>
      <c r="I13" s="56">
        <v>10</v>
      </c>
      <c r="K13" s="5">
        <v>11</v>
      </c>
      <c r="L13" s="61">
        <v>416.8</v>
      </c>
      <c r="N13" s="76" t="s">
        <v>127</v>
      </c>
      <c r="O13" s="86">
        <f>IF(P13=0,0,Q13/P13)</f>
        <v>15.837500000000006</v>
      </c>
      <c r="P13" s="80">
        <v>8</v>
      </c>
      <c r="Q13" s="68">
        <v>126.70000000000005</v>
      </c>
    </row>
    <row r="14" spans="1:17">
      <c r="A14" s="19" t="s">
        <v>94</v>
      </c>
      <c r="B14" s="13">
        <v>40</v>
      </c>
      <c r="C14" s="6">
        <f>IF(B$3=0,0,B14/B$3)</f>
        <v>0.22988505747126436</v>
      </c>
      <c r="E14" s="33" t="s">
        <v>63</v>
      </c>
      <c r="F14" s="30" t="s">
        <v>27</v>
      </c>
      <c r="G14" s="13">
        <v>1</v>
      </c>
      <c r="H14" s="94">
        <f>IF(B$17=0,0,G14/B$17)</f>
        <v>2.3255813953488372E-2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4.4333333333333336</v>
      </c>
      <c r="P14" s="80">
        <v>6</v>
      </c>
      <c r="Q14" s="68">
        <v>26.6</v>
      </c>
    </row>
    <row r="15" spans="1:17">
      <c r="A15" s="18" t="s">
        <v>99</v>
      </c>
      <c r="B15" s="12">
        <f>B21</f>
        <v>29</v>
      </c>
      <c r="C15" s="4">
        <f>IF(B$13=0,0,B15/B$13)</f>
        <v>0.60416666666666663</v>
      </c>
      <c r="E15" s="33" t="s">
        <v>66</v>
      </c>
      <c r="F15" s="30" t="s">
        <v>30</v>
      </c>
      <c r="G15" s="13">
        <v>1</v>
      </c>
      <c r="H15" s="94">
        <f>IF(B$17=0,0,G15/B$17)</f>
        <v>2.3255813953488372E-2</v>
      </c>
      <c r="I15" s="56">
        <v>10</v>
      </c>
      <c r="K15" s="5">
        <v>13</v>
      </c>
      <c r="L15" s="61">
        <v>353.5</v>
      </c>
      <c r="N15" s="77" t="s">
        <v>159</v>
      </c>
      <c r="O15" s="87">
        <f>IF(P15=0,0,Q15/P15)</f>
        <v>-21.15</v>
      </c>
      <c r="P15" s="81">
        <v>4</v>
      </c>
      <c r="Q15" s="69">
        <v>-84.6</v>
      </c>
    </row>
    <row r="16" spans="1:17">
      <c r="A16" s="18" t="s">
        <v>100</v>
      </c>
      <c r="B16" s="12">
        <f>B22</f>
        <v>13</v>
      </c>
      <c r="C16" s="4">
        <f>IF(B$14=0,0,B16/B$14)</f>
        <v>0.32500000000000001</v>
      </c>
      <c r="E16" s="33" t="s">
        <v>69</v>
      </c>
      <c r="F16" s="30" t="s">
        <v>33</v>
      </c>
      <c r="G16" s="13">
        <v>1</v>
      </c>
      <c r="H16" s="94">
        <f>IF(B$17=0,0,G16/B$17)</f>
        <v>2.3255813953488372E-2</v>
      </c>
      <c r="I16" s="56">
        <v>6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0.2471264367816092</v>
      </c>
      <c r="E17" s="33" t="s">
        <v>76</v>
      </c>
      <c r="F17" s="30" t="s">
        <v>40</v>
      </c>
      <c r="G17" s="13">
        <v>1</v>
      </c>
      <c r="H17" s="94">
        <f>IF(B$17=0,0,G17/B$17)</f>
        <v>2.3255813953488372E-2</v>
      </c>
      <c r="I17" s="56">
        <v>4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0.16666666666666666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253.7</v>
      </c>
      <c r="N18" s="75" t="s">
        <v>277</v>
      </c>
      <c r="O18" s="85">
        <f t="shared" ref="O18:O32" si="3"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15</v>
      </c>
      <c r="C19" s="6">
        <f>IF(B$17=0,0,B19/B$17)</f>
        <v>0.34883720930232559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255.5</v>
      </c>
      <c r="N19" s="76" t="s">
        <v>269</v>
      </c>
      <c r="O19" s="86">
        <f t="shared" si="3"/>
        <v>69.433333333333337</v>
      </c>
      <c r="P19" s="80">
        <v>3</v>
      </c>
      <c r="Q19" s="68">
        <v>208.3</v>
      </c>
    </row>
    <row r="20" spans="1:17">
      <c r="A20" s="19" t="s">
        <v>11</v>
      </c>
      <c r="B20" s="13">
        <v>28</v>
      </c>
      <c r="C20" s="6">
        <f>IF(B$17=0,0,B20/B$17)</f>
        <v>0.65116279069767447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29</v>
      </c>
      <c r="C21" s="6">
        <f>IF(B$17=0,0,B21/B$17)</f>
        <v>0.67441860465116277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276.5</v>
      </c>
      <c r="N21" s="76" t="s">
        <v>258</v>
      </c>
      <c r="O21" s="86">
        <f t="shared" si="3"/>
        <v>43.9</v>
      </c>
      <c r="P21" s="80">
        <v>1</v>
      </c>
      <c r="Q21" s="68">
        <v>43.9</v>
      </c>
    </row>
    <row r="22" spans="1:17">
      <c r="A22" s="19" t="s">
        <v>149</v>
      </c>
      <c r="B22" s="13">
        <v>13</v>
      </c>
      <c r="C22" s="6">
        <f>IF(B$17=0,0,B22/B$17)</f>
        <v>0.30232558139534882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244</v>
      </c>
      <c r="O22" s="86">
        <f t="shared" si="3"/>
        <v>43.7</v>
      </c>
      <c r="P22" s="80">
        <v>1</v>
      </c>
      <c r="Q22" s="68">
        <v>43.7</v>
      </c>
    </row>
    <row r="23" spans="1:17">
      <c r="A23" s="19" t="s">
        <v>150</v>
      </c>
      <c r="B23" s="13">
        <v>1</v>
      </c>
      <c r="C23" s="6">
        <f>IF(B$17=0,0,B23/B$17)</f>
        <v>2.3255813953488372E-2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286.8</v>
      </c>
      <c r="N23" s="76" t="s">
        <v>241</v>
      </c>
      <c r="O23" s="86">
        <f t="shared" si="3"/>
        <v>28.099999999999998</v>
      </c>
      <c r="P23" s="80">
        <v>1</v>
      </c>
      <c r="Q23" s="68">
        <v>28.099999999999998</v>
      </c>
    </row>
    <row r="24" spans="1:17">
      <c r="A24" s="19" t="s">
        <v>5</v>
      </c>
      <c r="B24" s="16">
        <f>IF(B$17=0,0,C24/B$17)</f>
        <v>6369.7674418604647</v>
      </c>
      <c r="C24" s="8">
        <v>273900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235</v>
      </c>
      <c r="O24" s="86">
        <f t="shared" si="3"/>
        <v>21.879999999999995</v>
      </c>
      <c r="P24" s="80">
        <v>5</v>
      </c>
      <c r="Q24" s="68">
        <v>109.39999999999998</v>
      </c>
    </row>
    <row r="25" spans="1:17">
      <c r="A25" s="20" t="s">
        <v>133</v>
      </c>
      <c r="B25" s="97">
        <f>IF($B$17-B$16=0,0,C25/($B$17-B$16))</f>
        <v>7676.666666666667</v>
      </c>
      <c r="C25" s="98">
        <v>230300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185.20000000000002</v>
      </c>
      <c r="N25" s="76" t="s">
        <v>276</v>
      </c>
      <c r="O25" s="86">
        <f t="shared" si="3"/>
        <v>19.816666666666663</v>
      </c>
      <c r="P25" s="80">
        <v>6</v>
      </c>
      <c r="Q25" s="68">
        <v>118.89999999999998</v>
      </c>
    </row>
    <row r="26" spans="1:17">
      <c r="A26" s="20" t="s">
        <v>134</v>
      </c>
      <c r="B26" s="97">
        <f>IF(B$16=0,0,C26/B$16)</f>
        <v>3353.8461538461538</v>
      </c>
      <c r="C26" s="98">
        <v>43600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255</v>
      </c>
      <c r="O26" s="86">
        <f t="shared" si="3"/>
        <v>-4.7000000000000011</v>
      </c>
      <c r="P26" s="80">
        <v>4</v>
      </c>
      <c r="Q26" s="68">
        <v>-18.800000000000004</v>
      </c>
    </row>
    <row r="27" spans="1:17">
      <c r="A27" s="20" t="s">
        <v>132</v>
      </c>
      <c r="B27" s="97">
        <f>IF(B$18=0,0,C27/B$18)</f>
        <v>-5413.7931034482763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-6.9000000000000012</v>
      </c>
      <c r="P27" s="80">
        <v>3</v>
      </c>
      <c r="Q27" s="68">
        <v>-20.700000000000003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 t="shared" si="3"/>
        <v>-13.5</v>
      </c>
      <c r="P28" s="80">
        <v>10</v>
      </c>
      <c r="Q28" s="68">
        <v>-135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263</v>
      </c>
      <c r="O29" s="86">
        <f t="shared" si="3"/>
        <v>-15.299999999999995</v>
      </c>
      <c r="P29" s="80">
        <v>11</v>
      </c>
      <c r="Q29" s="68">
        <v>-168.29999999999995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264</v>
      </c>
      <c r="O31" s="86">
        <f t="shared" si="3"/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-25.928571428571427</v>
      </c>
      <c r="P32" s="80">
        <v>7</v>
      </c>
      <c r="Q32" s="68">
        <v>-181.5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0.18604651162790697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0.13953488372093023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7</v>
      </c>
      <c r="C39" s="6">
        <f t="shared" si="4"/>
        <v>0.16279069767441862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4.6511627906976744E-2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33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184</v>
      </c>
      <c r="F2" s="29" t="s">
        <v>187</v>
      </c>
      <c r="G2" s="12">
        <v>18</v>
      </c>
      <c r="H2" s="93">
        <f>IF(B$17=0,0,G2/B$17)</f>
        <v>0.54545454545454541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2155.5555555555557</v>
      </c>
      <c r="P2" s="79">
        <v>18</v>
      </c>
      <c r="Q2" s="63">
        <v>38800</v>
      </c>
    </row>
    <row r="3" spans="1:17">
      <c r="A3" s="19" t="s">
        <v>8</v>
      </c>
      <c r="B3" s="122">
        <v>130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0.51515151515151514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-105.55555555555556</v>
      </c>
      <c r="P3" s="80">
        <v>18</v>
      </c>
      <c r="Q3" s="64">
        <v>-1900</v>
      </c>
    </row>
    <row r="4" spans="1:17">
      <c r="A4" s="19" t="s">
        <v>6</v>
      </c>
      <c r="B4" s="124">
        <v>363.40000000000009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0.39393939393939392</v>
      </c>
      <c r="I4" s="56">
        <v>20</v>
      </c>
      <c r="K4" s="5">
        <v>2</v>
      </c>
      <c r="L4" s="61">
        <v>63.7</v>
      </c>
      <c r="N4" s="76" t="s">
        <v>105</v>
      </c>
      <c r="O4" s="83">
        <f t="shared" si="0"/>
        <v>2405.8823529411766</v>
      </c>
      <c r="P4" s="80">
        <v>17</v>
      </c>
      <c r="Q4" s="64">
        <v>40900</v>
      </c>
    </row>
    <row r="5" spans="1:17">
      <c r="A5" s="19" t="s">
        <v>7</v>
      </c>
      <c r="B5" s="126">
        <f>IF(B$2=0,0,B$4/B$2)</f>
        <v>20.188888888888894</v>
      </c>
      <c r="C5" s="127"/>
      <c r="E5" s="33" t="s">
        <v>54</v>
      </c>
      <c r="F5" s="30" t="s">
        <v>20</v>
      </c>
      <c r="G5" s="13">
        <v>11</v>
      </c>
      <c r="H5" s="94">
        <f>IF(B$17=0,0,G5/B$17)</f>
        <v>0.33333333333333331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614.28571428571433</v>
      </c>
      <c r="P5" s="80">
        <v>14</v>
      </c>
      <c r="Q5" s="64">
        <v>8600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16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2090</v>
      </c>
      <c r="P6" s="80">
        <v>10</v>
      </c>
      <c r="Q6" s="64">
        <v>20900</v>
      </c>
    </row>
    <row r="7" spans="1:17">
      <c r="A7" s="19" t="s">
        <v>2</v>
      </c>
      <c r="B7" s="13">
        <v>8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7</v>
      </c>
      <c r="H7" s="94">
        <f>IF(B$17=0,0,G7/B$17)</f>
        <v>0.21212121212121213</v>
      </c>
      <c r="I7" s="56">
        <v>20</v>
      </c>
      <c r="K7" s="5">
        <v>5</v>
      </c>
      <c r="L7" s="61">
        <v>106.70000000000002</v>
      </c>
      <c r="N7" s="76" t="s">
        <v>107</v>
      </c>
      <c r="O7" s="83">
        <f t="shared" si="0"/>
        <v>962.5</v>
      </c>
      <c r="P7" s="80">
        <v>8</v>
      </c>
      <c r="Q7" s="64">
        <v>7700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182</v>
      </c>
      <c r="F8" s="30" t="s">
        <v>19</v>
      </c>
      <c r="G8" s="13">
        <v>5</v>
      </c>
      <c r="H8" s="94">
        <f>IF(B$17=0,0,G8/B$17)</f>
        <v>0.15151515151515152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0.1111111111111111</v>
      </c>
      <c r="E9" s="33" t="s">
        <v>55</v>
      </c>
      <c r="F9" s="30" t="s">
        <v>155</v>
      </c>
      <c r="G9" s="13">
        <v>4</v>
      </c>
      <c r="H9" s="94">
        <f>IF(B$17=0,0,G9/B$17)</f>
        <v>0.12121212121212122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0.16666666666666666</v>
      </c>
      <c r="E10" s="33" t="s">
        <v>58</v>
      </c>
      <c r="F10" s="30" t="s">
        <v>22</v>
      </c>
      <c r="G10" s="13">
        <v>4</v>
      </c>
      <c r="H10" s="94">
        <f>IF(B$17=0,0,G10/B$17)</f>
        <v>0.12121212121212122</v>
      </c>
      <c r="I10" s="56">
        <v>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0.72222222222222221</v>
      </c>
      <c r="E11" s="33" t="s">
        <v>77</v>
      </c>
      <c r="F11" s="30" t="s">
        <v>41</v>
      </c>
      <c r="G11" s="13">
        <v>3</v>
      </c>
      <c r="H11" s="94">
        <f>IF(B$17=0,0,G11/B$17)</f>
        <v>9.0909090909090912E-2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2</v>
      </c>
      <c r="H12" s="94">
        <f>IF(B$17=0,0,G12/B$17)</f>
        <v>6.0606060606060608E-2</v>
      </c>
      <c r="I12" s="56">
        <v>27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29</v>
      </c>
      <c r="C13" s="11">
        <f>IF(B$3=0,0,B13/B$3)</f>
        <v>0.22307692307692309</v>
      </c>
      <c r="E13" s="33" t="s">
        <v>66</v>
      </c>
      <c r="F13" s="30" t="s">
        <v>30</v>
      </c>
      <c r="G13" s="13">
        <v>1</v>
      </c>
      <c r="H13" s="94">
        <f>IF(B$17=0,0,G13/B$17)</f>
        <v>3.0303030303030304E-2</v>
      </c>
      <c r="I13" s="56">
        <v>8</v>
      </c>
      <c r="K13" s="5">
        <v>11</v>
      </c>
      <c r="L13" s="61">
        <v>137.50000000000006</v>
      </c>
      <c r="N13" s="76" t="s">
        <v>127</v>
      </c>
      <c r="O13" s="86">
        <f>IF(P13=0,0,Q13/P13)</f>
        <v>42.300000000000004</v>
      </c>
      <c r="P13" s="80">
        <v>3</v>
      </c>
      <c r="Q13" s="68">
        <v>126.9</v>
      </c>
    </row>
    <row r="14" spans="1:17">
      <c r="A14" s="19" t="s">
        <v>94</v>
      </c>
      <c r="B14" s="13">
        <v>43</v>
      </c>
      <c r="C14" s="6">
        <f>IF(B$3=0,0,B14/B$3)</f>
        <v>0.33076923076923076</v>
      </c>
      <c r="E14" s="33" t="s">
        <v>67</v>
      </c>
      <c r="F14" s="30" t="s">
        <v>31</v>
      </c>
      <c r="G14" s="13">
        <v>1</v>
      </c>
      <c r="H14" s="94">
        <f>IF(B$17=0,0,G14/B$17)</f>
        <v>3.0303030303030304E-2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28.8</v>
      </c>
      <c r="P14" s="80">
        <v>5</v>
      </c>
      <c r="Q14" s="68">
        <v>144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183</v>
      </c>
      <c r="F15" s="30" t="s">
        <v>186</v>
      </c>
      <c r="G15" s="13">
        <v>1</v>
      </c>
      <c r="H15" s="94">
        <f>IF(B$17=0,0,G15/B$17)</f>
        <v>3.0303030303030304E-2</v>
      </c>
      <c r="I15" s="56">
        <v>14</v>
      </c>
      <c r="K15" s="5">
        <v>13</v>
      </c>
      <c r="L15" s="61">
        <v>95.200000000000045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12</v>
      </c>
      <c r="C16" s="4">
        <f>IF(B$14=0,0,B16/B$14)</f>
        <v>0.27906976744186046</v>
      </c>
      <c r="E16" s="33" t="s">
        <v>78</v>
      </c>
      <c r="F16" s="30" t="s">
        <v>42</v>
      </c>
      <c r="G16" s="13">
        <v>1</v>
      </c>
      <c r="H16" s="94">
        <f>IF(B$17=0,0,G16/B$17)</f>
        <v>3.0303030303030304E-2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0.25384615384615383</v>
      </c>
      <c r="E17" s="33" t="s">
        <v>79</v>
      </c>
      <c r="F17" s="30" t="s">
        <v>43</v>
      </c>
      <c r="G17" s="13">
        <v>1</v>
      </c>
      <c r="H17" s="94">
        <f>IF(B$17=0,0,G17/B$17)</f>
        <v>3.0303030303030304E-2</v>
      </c>
      <c r="I17" s="56">
        <v>1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6.9230769230769235E-2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11</v>
      </c>
      <c r="C19" s="6">
        <f>IF(B$17=0,0,B19/B$17)</f>
        <v>0.33333333333333331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22</v>
      </c>
      <c r="C20" s="6">
        <f>IF(B$17=0,0,B20/B$17)</f>
        <v>0.66666666666666663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363.40000000000009</v>
      </c>
      <c r="N20" s="76" t="s">
        <v>277</v>
      </c>
      <c r="O20" s="86">
        <f>IF(P20=0,0,Q20/P20)</f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19</v>
      </c>
      <c r="C21" s="6">
        <f>IF(B$17=0,0,B21/B$17)</f>
        <v>0.5757575757575758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297</v>
      </c>
      <c r="O21" s="86">
        <f>IF(P21=0,0,Q21/P21)</f>
        <v>60.099999999999994</v>
      </c>
      <c r="P21" s="80">
        <v>2</v>
      </c>
      <c r="Q21" s="68">
        <v>120.19999999999999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>IF(P22=0,0,Q22/P22)</f>
        <v>57.65</v>
      </c>
      <c r="P22" s="80">
        <v>2</v>
      </c>
      <c r="Q22" s="68">
        <v>115.3</v>
      </c>
    </row>
    <row r="23" spans="1:17">
      <c r="A23" s="19" t="s">
        <v>150</v>
      </c>
      <c r="B23" s="13">
        <v>2</v>
      </c>
      <c r="C23" s="6">
        <f>IF(B$17=0,0,B23/B$17)</f>
        <v>6.0606060606060608E-2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304</v>
      </c>
      <c r="O23" s="86">
        <f>IF(P23=0,0,Q23/P23)</f>
        <v>56.849999999999994</v>
      </c>
      <c r="P23" s="80">
        <v>2</v>
      </c>
      <c r="Q23" s="68">
        <v>113.69999999999999</v>
      </c>
    </row>
    <row r="24" spans="1:17">
      <c r="A24" s="19" t="s">
        <v>5</v>
      </c>
      <c r="B24" s="16">
        <f>IF(B$17=0,0,C24/B$17)</f>
        <v>7521.212121212121</v>
      </c>
      <c r="C24" s="8">
        <v>248200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235</v>
      </c>
      <c r="O24" s="86">
        <f>IF(P24=0,0,Q24/P24)</f>
        <v>45.916666666666664</v>
      </c>
      <c r="P24" s="80">
        <v>6</v>
      </c>
      <c r="Q24" s="68">
        <v>275.5</v>
      </c>
    </row>
    <row r="25" spans="1:17">
      <c r="A25" s="20" t="s">
        <v>133</v>
      </c>
      <c r="B25" s="97">
        <f>IF($B$17-B$16=0,0,C25/($B$17-B$16))</f>
        <v>8757.1428571428569</v>
      </c>
      <c r="C25" s="98">
        <v>183900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265</v>
      </c>
      <c r="O25" s="86">
        <f>IF(P25=0,0,Q25/P25)</f>
        <v>32.966666666666669</v>
      </c>
      <c r="P25" s="80">
        <v>6</v>
      </c>
      <c r="Q25" s="68">
        <v>197.8</v>
      </c>
    </row>
    <row r="26" spans="1:17">
      <c r="A26" s="20" t="s">
        <v>134</v>
      </c>
      <c r="B26" s="97">
        <f>IF(B$16=0,0,C26/B$16)</f>
        <v>5358.333333333333</v>
      </c>
      <c r="C26" s="98">
        <v>64300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269</v>
      </c>
      <c r="O26" s="86">
        <f>IF(P26=0,0,Q26/P26)</f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-6133.333333333333</v>
      </c>
      <c r="C27" s="98">
        <v>-55200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255</v>
      </c>
      <c r="O27" s="86">
        <f>IF(P27=0,0,Q27/P27)</f>
        <v>22.033333333333331</v>
      </c>
      <c r="P27" s="80">
        <v>3</v>
      </c>
      <c r="Q27" s="68">
        <v>66.099999999999994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>IF(P28=0,0,Q28/P28)</f>
        <v>19.966666666666669</v>
      </c>
      <c r="P28" s="80">
        <v>3</v>
      </c>
      <c r="Q28" s="68">
        <v>59.900000000000006</v>
      </c>
    </row>
    <row r="29" spans="1:17">
      <c r="A29" s="19" t="s">
        <v>131</v>
      </c>
      <c r="B29" s="13">
        <v>46</v>
      </c>
      <c r="C29" s="96">
        <v>3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17</v>
      </c>
      <c r="N29" s="76" t="s">
        <v>263</v>
      </c>
      <c r="O29" s="86">
        <f>IF(P29=0,0,Q29/P29)</f>
        <v>15.14</v>
      </c>
      <c r="P29" s="80">
        <v>5</v>
      </c>
      <c r="Q29" s="68">
        <v>75.7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>IF(P30=0,0,Q30/P30)</f>
        <v>-5.2999999999999936</v>
      </c>
      <c r="P30" s="80">
        <v>3</v>
      </c>
      <c r="Q30" s="68">
        <v>-15.899999999999981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6</v>
      </c>
      <c r="N31" s="76" t="s">
        <v>272</v>
      </c>
      <c r="O31" s="86">
        <f>IF(P31=0,0,Q31/P31)</f>
        <v>-19.816666666666663</v>
      </c>
      <c r="P31" s="80">
        <v>6</v>
      </c>
      <c r="Q31" s="68">
        <v>-118.89999999999998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-46.550000000000004</v>
      </c>
      <c r="P32" s="80">
        <v>2</v>
      </c>
      <c r="Q32" s="68">
        <v>-93.100000000000009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0.21212121212121213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3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9</v>
      </c>
      <c r="C38" s="6">
        <f t="shared" si="3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6.0606060606060608E-2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6.0606060606060608E-2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3.0303030303030304E-2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3.0303030303030304E-2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-2260</v>
      </c>
      <c r="P2" s="79">
        <v>5</v>
      </c>
      <c r="Q2" s="63">
        <v>-11300</v>
      </c>
    </row>
    <row r="3" spans="1:17">
      <c r="A3" s="19" t="s">
        <v>8</v>
      </c>
      <c r="B3" s="122">
        <v>34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0.6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-620</v>
      </c>
      <c r="P3" s="80">
        <v>5</v>
      </c>
      <c r="Q3" s="64">
        <v>-3100</v>
      </c>
    </row>
    <row r="4" spans="1:17">
      <c r="A4" s="19" t="s">
        <v>6</v>
      </c>
      <c r="B4" s="124">
        <v>-39.5</v>
      </c>
      <c r="C4" s="125"/>
      <c r="E4" s="33" t="s">
        <v>184</v>
      </c>
      <c r="F4" s="30" t="s">
        <v>187</v>
      </c>
      <c r="G4" s="13">
        <v>3</v>
      </c>
      <c r="H4" s="94">
        <f>IF(B$17=0,0,G4/B$17)</f>
        <v>0.6</v>
      </c>
      <c r="I4" s="56">
        <v>7</v>
      </c>
      <c r="K4" s="5">
        <v>2</v>
      </c>
      <c r="L4" s="61">
        <v>8.1999999999999993</v>
      </c>
      <c r="N4" s="76" t="s">
        <v>105</v>
      </c>
      <c r="O4" s="83">
        <f t="shared" si="0"/>
        <v>-1675</v>
      </c>
      <c r="P4" s="80">
        <v>4</v>
      </c>
      <c r="Q4" s="64">
        <v>-6700</v>
      </c>
    </row>
    <row r="5" spans="1:17">
      <c r="A5" s="19" t="s">
        <v>7</v>
      </c>
      <c r="B5" s="126">
        <f>IF(B$2=0,0,B$4/B$2)</f>
        <v>-7.9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0.4</v>
      </c>
      <c r="I5" s="56">
        <v>6</v>
      </c>
      <c r="K5" s="5">
        <v>3</v>
      </c>
      <c r="L5" s="61">
        <v>-11</v>
      </c>
      <c r="N5" s="76" t="s">
        <v>157</v>
      </c>
      <c r="O5" s="83">
        <f>IF(P5=0,0,Q5/P5)</f>
        <v>3633.3333333333335</v>
      </c>
      <c r="P5" s="80">
        <v>3</v>
      </c>
      <c r="Q5" s="64">
        <v>10900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</v>
      </c>
      <c r="I6" s="56">
        <v>23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58</v>
      </c>
      <c r="F7" s="30" t="s">
        <v>22</v>
      </c>
      <c r="G7" s="13">
        <v>1</v>
      </c>
      <c r="H7" s="94">
        <f>IF(B$17=0,0,G7/B$17)</f>
        <v>0.2</v>
      </c>
      <c r="I7" s="56">
        <v>3</v>
      </c>
      <c r="K7" s="5">
        <v>5</v>
      </c>
      <c r="L7" s="61">
        <v>-39.5</v>
      </c>
      <c r="N7" s="76" t="s">
        <v>107</v>
      </c>
      <c r="O7" s="83">
        <f t="shared" si="0"/>
        <v>-650</v>
      </c>
      <c r="P7" s="80">
        <v>2</v>
      </c>
      <c r="Q7" s="64">
        <v>-1300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59</v>
      </c>
      <c r="F8" s="30" t="s">
        <v>23</v>
      </c>
      <c r="G8" s="13">
        <v>1</v>
      </c>
      <c r="H8" s="94">
        <f>IF(B$17=0,0,G8/B$17)</f>
        <v>0.2</v>
      </c>
      <c r="I8" s="56">
        <v>12</v>
      </c>
      <c r="N8" s="76" t="s">
        <v>108</v>
      </c>
      <c r="O8" s="83">
        <f t="shared" si="0"/>
        <v>8000</v>
      </c>
      <c r="P8" s="80">
        <v>1</v>
      </c>
      <c r="Q8" s="64">
        <v>8000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60</v>
      </c>
      <c r="F9" s="30" t="s">
        <v>24</v>
      </c>
      <c r="G9" s="13">
        <v>1</v>
      </c>
      <c r="H9" s="94">
        <f>IF(B$17=0,0,G9/B$17)</f>
        <v>0.2</v>
      </c>
      <c r="I9" s="56">
        <v>34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77</v>
      </c>
      <c r="F10" s="30" t="s">
        <v>41</v>
      </c>
      <c r="G10" s="13">
        <v>1</v>
      </c>
      <c r="H10" s="94">
        <f>IF(B$17=0,0,G10/B$17)</f>
        <v>0.2</v>
      </c>
      <c r="I10" s="56">
        <v>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54</v>
      </c>
      <c r="F12" s="30" t="s">
        <v>20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-19.2</v>
      </c>
      <c r="P12" s="79">
        <v>1</v>
      </c>
      <c r="Q12" s="67">
        <v>-19.2</v>
      </c>
    </row>
    <row r="13" spans="1:17">
      <c r="A13" s="22" t="s">
        <v>97</v>
      </c>
      <c r="B13" s="15">
        <v>6</v>
      </c>
      <c r="C13" s="11">
        <f>IF(B$3=0,0,B13/B$3)</f>
        <v>0.17647058823529413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11</v>
      </c>
      <c r="C14" s="6">
        <f>IF(B$3=0,0,B14/B$3)</f>
        <v>0.3235294117647059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1</v>
      </c>
      <c r="C16" s="4">
        <f>IF(B$14=0,0,B16/B$14)</f>
        <v>9.0909090909090912E-2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0.14705882352941177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>IF(P18=0,0,Q18/P18)</f>
        <v>23.2</v>
      </c>
      <c r="P18" s="79">
        <v>2</v>
      </c>
      <c r="Q18" s="67">
        <v>46.4</v>
      </c>
    </row>
    <row r="19" spans="1:17">
      <c r="A19" s="19" t="s">
        <v>12</v>
      </c>
      <c r="B19" s="13">
        <v>3</v>
      </c>
      <c r="C19" s="6">
        <f>IF(B$17=0,0,B19/B$17)</f>
        <v>0.6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263</v>
      </c>
      <c r="O19" s="86">
        <f>IF(P19=0,0,Q19/P19)</f>
        <v>0.59999999999999964</v>
      </c>
      <c r="P19" s="80">
        <v>2</v>
      </c>
      <c r="Q19" s="68">
        <v>1.1999999999999993</v>
      </c>
    </row>
    <row r="20" spans="1:17">
      <c r="A20" s="19" t="s">
        <v>11</v>
      </c>
      <c r="B20" s="13">
        <v>2</v>
      </c>
      <c r="C20" s="6">
        <f>IF(B$17=0,0,B20/B$17)</f>
        <v>0.4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>IF(P20=0,0,Q20/P20)</f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269</v>
      </c>
      <c r="O21" s="86">
        <f>IF(P21=0,0,Q21/P21)</f>
        <v>-5.4499999999999993</v>
      </c>
      <c r="P21" s="80">
        <v>4</v>
      </c>
      <c r="Q21" s="68">
        <v>-21.799999999999997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>IF(P22=0,0,Q22/P22)</f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276</v>
      </c>
      <c r="O23" s="86">
        <f>IF(P23=0,0,Q23/P23)</f>
        <v>-60.099999999999994</v>
      </c>
      <c r="P23" s="80">
        <v>2</v>
      </c>
      <c r="Q23" s="68">
        <v>-120.19999999999999</v>
      </c>
    </row>
    <row r="24" spans="1:17">
      <c r="A24" s="19" t="s">
        <v>5</v>
      </c>
      <c r="B24" s="16">
        <f>IF(B$17=0,0,C24/B$17)</f>
        <v>6240</v>
      </c>
      <c r="C24" s="8">
        <v>31200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5800</v>
      </c>
      <c r="C25" s="98">
        <v>23200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4</v>
      </c>
      <c r="H2" s="93">
        <f>IF(B$17=0,0,G2/B$17)</f>
        <v>0.8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-2450</v>
      </c>
      <c r="P2" s="79">
        <v>4</v>
      </c>
      <c r="Q2" s="63">
        <v>-9800</v>
      </c>
    </row>
    <row r="3" spans="1:17">
      <c r="A3" s="19" t="s">
        <v>8</v>
      </c>
      <c r="B3" s="122">
        <v>30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0.6</v>
      </c>
      <c r="I3" s="56">
        <v>16</v>
      </c>
      <c r="K3" s="5">
        <v>1</v>
      </c>
      <c r="L3" s="61">
        <v>7</v>
      </c>
      <c r="N3" s="76" t="s">
        <v>104</v>
      </c>
      <c r="O3" s="83">
        <f t="shared" si="0"/>
        <v>-100</v>
      </c>
      <c r="P3" s="80">
        <v>4</v>
      </c>
      <c r="Q3" s="64">
        <v>-400</v>
      </c>
    </row>
    <row r="4" spans="1:17">
      <c r="A4" s="19" t="s">
        <v>6</v>
      </c>
      <c r="B4" s="124">
        <v>-58.7</v>
      </c>
      <c r="C4" s="125"/>
      <c r="E4" s="33" t="s">
        <v>54</v>
      </c>
      <c r="F4" s="30" t="s">
        <v>20</v>
      </c>
      <c r="G4" s="13">
        <v>2</v>
      </c>
      <c r="H4" s="94">
        <f>IF(B$17=0,0,G4/B$17)</f>
        <v>0.4</v>
      </c>
      <c r="I4" s="56">
        <v>25</v>
      </c>
      <c r="K4" s="5">
        <v>2</v>
      </c>
      <c r="L4" s="61">
        <v>16.2</v>
      </c>
      <c r="N4" s="76" t="s">
        <v>105</v>
      </c>
      <c r="O4" s="83">
        <f t="shared" si="0"/>
        <v>-4550</v>
      </c>
      <c r="P4" s="80">
        <v>4</v>
      </c>
      <c r="Q4" s="64">
        <v>-18200</v>
      </c>
    </row>
    <row r="5" spans="1:17">
      <c r="A5" s="19" t="s">
        <v>7</v>
      </c>
      <c r="B5" s="126">
        <f>IF(B$2=0,0,B$4/B$2)</f>
        <v>-14.675000000000001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0.4</v>
      </c>
      <c r="I5" s="56">
        <v>6</v>
      </c>
      <c r="K5" s="5">
        <v>3</v>
      </c>
      <c r="L5" s="61">
        <v>-42.2</v>
      </c>
      <c r="N5" s="76" t="s">
        <v>157</v>
      </c>
      <c r="O5" s="83">
        <f>IF(P5=0,0,Q5/P5)</f>
        <v>3133.3333333333335</v>
      </c>
      <c r="P5" s="80">
        <v>3</v>
      </c>
      <c r="Q5" s="64">
        <v>9400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0.4</v>
      </c>
      <c r="I6" s="56">
        <v>6</v>
      </c>
      <c r="K6" s="5">
        <v>4</v>
      </c>
      <c r="L6" s="61">
        <v>-58.7</v>
      </c>
      <c r="N6" s="76" t="s">
        <v>106</v>
      </c>
      <c r="O6" s="83">
        <f t="shared" ref="O6" si="1">IF(P6=0,0,Q6/P6)</f>
        <v>-100</v>
      </c>
      <c r="P6" s="80">
        <v>3</v>
      </c>
      <c r="Q6" s="64">
        <v>-300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0.2</v>
      </c>
      <c r="I7" s="56">
        <v>31</v>
      </c>
      <c r="N7" s="76" t="s">
        <v>107</v>
      </c>
      <c r="O7" s="83">
        <f t="shared" si="0"/>
        <v>2600</v>
      </c>
      <c r="P7" s="80">
        <v>1</v>
      </c>
      <c r="Q7" s="64">
        <v>2600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0.2</v>
      </c>
      <c r="I8" s="56">
        <v>34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66</v>
      </c>
      <c r="F9" s="30" t="s">
        <v>30</v>
      </c>
      <c r="G9" s="13">
        <v>1</v>
      </c>
      <c r="H9" s="94">
        <f>IF(B$17=0,0,G9/B$17)</f>
        <v>0.2</v>
      </c>
      <c r="I9" s="56">
        <v>2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-21.900000000000002</v>
      </c>
      <c r="P12" s="79">
        <v>3</v>
      </c>
      <c r="Q12" s="67">
        <v>-65.7</v>
      </c>
    </row>
    <row r="13" spans="1:17">
      <c r="A13" s="22" t="s">
        <v>97</v>
      </c>
      <c r="B13" s="15">
        <v>6</v>
      </c>
      <c r="C13" s="11">
        <f>IF(B$3=0,0,B13/B$3)</f>
        <v>0.2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7</v>
      </c>
      <c r="C14" s="6">
        <f>IF(B$3=0,0,B14/B$3)</f>
        <v>0.23333333333333334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2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0.16666666666666666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195</v>
      </c>
      <c r="O18" s="85">
        <f>IF(P18=0,0,Q18/P18)</f>
        <v>43.25</v>
      </c>
      <c r="P18" s="79">
        <v>2</v>
      </c>
      <c r="Q18" s="67">
        <v>86.5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255</v>
      </c>
      <c r="O19" s="86">
        <f>IF(P19=0,0,Q19/P19)</f>
        <v>21.8</v>
      </c>
      <c r="P19" s="80">
        <v>1</v>
      </c>
      <c r="Q19" s="68">
        <v>21.8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>IF(P20=0,0,Q20/P20)</f>
        <v>-0.70000000000000284</v>
      </c>
      <c r="P20" s="80">
        <v>2</v>
      </c>
      <c r="Q20" s="68">
        <v>-1.4000000000000057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>IF(P21=0,0,Q21/P21)</f>
        <v>-22</v>
      </c>
      <c r="P21" s="80">
        <v>1</v>
      </c>
      <c r="Q21" s="68">
        <v>-22</v>
      </c>
    </row>
    <row r="22" spans="1:17">
      <c r="A22" s="19" t="s">
        <v>149</v>
      </c>
      <c r="B22" s="13">
        <v>2</v>
      </c>
      <c r="C22" s="6">
        <f>IF(B$17=0,0,B22/B$17)</f>
        <v>0.4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297</v>
      </c>
      <c r="O22" s="86">
        <f>IF(P22=0,0,Q22/P22)</f>
        <v>-23.2</v>
      </c>
      <c r="P22" s="80">
        <v>2</v>
      </c>
      <c r="Q22" s="68">
        <v>-46.4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263</v>
      </c>
      <c r="O23" s="86">
        <f>IF(P23=0,0,Q23/P23)</f>
        <v>-45.3</v>
      </c>
      <c r="P23" s="80">
        <v>1</v>
      </c>
      <c r="Q23" s="68">
        <v>-45.3</v>
      </c>
    </row>
    <row r="24" spans="1:17">
      <c r="A24" s="19" t="s">
        <v>5</v>
      </c>
      <c r="B24" s="16">
        <f>IF(B$17=0,0,C24/B$17)</f>
        <v>5820</v>
      </c>
      <c r="C24" s="8">
        <v>29100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>IF(P24=0,0,Q24/P24)</f>
        <v>-56.849999999999994</v>
      </c>
      <c r="P24" s="80">
        <v>2</v>
      </c>
      <c r="Q24" s="68">
        <v>-113.69999999999999</v>
      </c>
    </row>
    <row r="25" spans="1:17">
      <c r="A25" s="20" t="s">
        <v>133</v>
      </c>
      <c r="B25" s="97">
        <f>IF($B$17-B$16=0,0,C25/($B$17-B$16))</f>
        <v>4833.333333333333</v>
      </c>
      <c r="C25" s="98">
        <v>14500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>IF(P25=0,0,Q25/P25)</f>
        <v>-114.3</v>
      </c>
      <c r="P25" s="80">
        <v>1</v>
      </c>
      <c r="Q25" s="68">
        <v>-114.3</v>
      </c>
    </row>
    <row r="26" spans="1:17">
      <c r="A26" s="20" t="s">
        <v>134</v>
      </c>
      <c r="B26" s="97">
        <f>IF(B$16=0,0,C26/B$16)</f>
        <v>7300</v>
      </c>
      <c r="C26" s="98">
        <v>14600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-4325</v>
      </c>
      <c r="C27" s="98">
        <v>-17300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2023-11-02T09:35:18Z</dcterms:modified>
</cp:coreProperties>
</file>