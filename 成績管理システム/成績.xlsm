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11524FC3-31B8-4C20-AB58-258D261B044E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070" r:id="rId4"/>
    <sheet name="松澤亮太" sheetId="6071" r:id="rId5"/>
    <sheet name="滝沢悠人" sheetId="6072" r:id="rId6"/>
    <sheet name="大池陸斗" sheetId="6073" r:id="rId7"/>
    <sheet name="百瀬成空" sheetId="6074" r:id="rId8"/>
    <sheet name="佐藤成浩" sheetId="6075" r:id="rId9"/>
    <sheet name="依田幸憲" sheetId="6076" r:id="rId10"/>
    <sheet name="保谷一貴" sheetId="6077" r:id="rId11"/>
    <sheet name="高野源太" sheetId="6078" r:id="rId12"/>
    <sheet name="矢ヶ崎健" sheetId="6079" r:id="rId13"/>
    <sheet name="小林郁斗" sheetId="6080" r:id="rId14"/>
    <sheet name="木角有希" sheetId="6081" r:id="rId15"/>
    <sheet name="福澤大地" sheetId="6082" r:id="rId16"/>
    <sheet name="Template" sheetId="2228" state="hidden" r:id="rId17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078" l="1"/>
  <c r="O22" i="6078"/>
  <c r="O19" i="6082"/>
  <c r="O18" i="6082"/>
  <c r="O20" i="6082"/>
  <c r="C47" i="6082"/>
  <c r="C32" i="6082"/>
  <c r="B27" i="6082"/>
  <c r="C18" i="6082"/>
  <c r="B17" i="6082"/>
  <c r="H45" i="6082" s="1"/>
  <c r="C16" i="6082"/>
  <c r="B16" i="6082"/>
  <c r="B26" i="6082" s="1"/>
  <c r="O15" i="6082"/>
  <c r="B15" i="6082"/>
  <c r="C15" i="6082" s="1"/>
  <c r="O14" i="6082"/>
  <c r="C14" i="6082"/>
  <c r="O13" i="6082"/>
  <c r="C13" i="6082"/>
  <c r="O12" i="6082"/>
  <c r="C12" i="6082"/>
  <c r="B11" i="6082"/>
  <c r="C11" i="6082" s="1"/>
  <c r="C10" i="6082"/>
  <c r="O9" i="6082"/>
  <c r="C9" i="6082"/>
  <c r="O8" i="6082"/>
  <c r="C8" i="6082"/>
  <c r="O7" i="6082"/>
  <c r="C7" i="6082"/>
  <c r="O6" i="6082"/>
  <c r="B6" i="6082"/>
  <c r="O5" i="6082"/>
  <c r="B5" i="6082"/>
  <c r="O4" i="6082"/>
  <c r="H6" i="6082"/>
  <c r="O3" i="6082"/>
  <c r="O2" i="6082"/>
  <c r="O19" i="6079"/>
  <c r="O22" i="6079"/>
  <c r="O18" i="6070"/>
  <c r="O19" i="6081"/>
  <c r="O20" i="6081"/>
  <c r="O18" i="6081"/>
  <c r="H37" i="6081"/>
  <c r="C32" i="6081"/>
  <c r="B27" i="6081"/>
  <c r="H26" i="6081"/>
  <c r="H22" i="6081"/>
  <c r="H18" i="6081"/>
  <c r="C18" i="6081"/>
  <c r="C17" i="6081"/>
  <c r="B17" i="6081"/>
  <c r="C47" i="6081" s="1"/>
  <c r="C16" i="6081"/>
  <c r="B16" i="6081"/>
  <c r="B26" i="6081" s="1"/>
  <c r="O15" i="6081"/>
  <c r="C15" i="6081"/>
  <c r="B15" i="6081"/>
  <c r="O14" i="6081"/>
  <c r="C14" i="6081"/>
  <c r="O13" i="6081"/>
  <c r="H13" i="6081"/>
  <c r="C13" i="6081"/>
  <c r="O12" i="6081"/>
  <c r="C12" i="6081"/>
  <c r="C11" i="6081"/>
  <c r="B11" i="6081"/>
  <c r="H10" i="6081"/>
  <c r="C10" i="6081"/>
  <c r="O9" i="6081"/>
  <c r="C9" i="6081"/>
  <c r="O8" i="6081"/>
  <c r="C8" i="6081"/>
  <c r="O7" i="6081"/>
  <c r="C7" i="6081"/>
  <c r="O6" i="6081"/>
  <c r="H6" i="6081"/>
  <c r="B6" i="6081"/>
  <c r="O5" i="6081"/>
  <c r="B5" i="6081"/>
  <c r="O4" i="6081"/>
  <c r="O3" i="6081"/>
  <c r="H3" i="6081"/>
  <c r="O2" i="6081"/>
  <c r="O29" i="6070"/>
  <c r="O21" i="6076"/>
  <c r="O18" i="6076"/>
  <c r="O18" i="6073"/>
  <c r="O19" i="6073"/>
  <c r="O20" i="6073"/>
  <c r="O21" i="6080"/>
  <c r="O22" i="6080"/>
  <c r="O24" i="6075"/>
  <c r="H30" i="6082" l="1"/>
  <c r="H21" i="6082"/>
  <c r="H38" i="6082"/>
  <c r="H8" i="6082"/>
  <c r="C40" i="6082"/>
  <c r="C17" i="6082"/>
  <c r="H5" i="6082"/>
  <c r="H23" i="6082"/>
  <c r="H33" i="6082"/>
  <c r="C42" i="6082"/>
  <c r="H31" i="6082"/>
  <c r="H17" i="6082"/>
  <c r="C36" i="6082"/>
  <c r="H3" i="6082"/>
  <c r="H9" i="6082"/>
  <c r="B25" i="6082"/>
  <c r="H42" i="6082"/>
  <c r="H12" i="6082"/>
  <c r="H15" i="6082"/>
  <c r="C19" i="6082"/>
  <c r="H25" i="6082"/>
  <c r="C44" i="6082"/>
  <c r="H7" i="6082"/>
  <c r="H19" i="6082"/>
  <c r="H36" i="6082"/>
  <c r="H44" i="6082"/>
  <c r="C22" i="6082"/>
  <c r="C23" i="6082"/>
  <c r="H40" i="6082"/>
  <c r="H34" i="6082"/>
  <c r="H4" i="6082"/>
  <c r="H10" i="6082"/>
  <c r="C21" i="6082"/>
  <c r="H27" i="6082"/>
  <c r="C38" i="6082"/>
  <c r="C46" i="6082"/>
  <c r="H11" i="6082"/>
  <c r="H14" i="6082"/>
  <c r="H16" i="6082"/>
  <c r="C20" i="6082"/>
  <c r="B24" i="6082"/>
  <c r="H28" i="6082"/>
  <c r="C35" i="6082"/>
  <c r="C39" i="6082"/>
  <c r="C43" i="6082"/>
  <c r="H20" i="6082"/>
  <c r="H24" i="6082"/>
  <c r="H29" i="6082"/>
  <c r="H35" i="6082"/>
  <c r="H39" i="6082"/>
  <c r="H43" i="6082"/>
  <c r="C37" i="6082"/>
  <c r="C41" i="6082"/>
  <c r="C45" i="6082"/>
  <c r="H2" i="6082"/>
  <c r="H13" i="6082"/>
  <c r="H18" i="6082"/>
  <c r="H22" i="6082"/>
  <c r="H26" i="6082"/>
  <c r="H32" i="6082"/>
  <c r="H37" i="6082"/>
  <c r="H41" i="6082"/>
  <c r="H32" i="6081"/>
  <c r="H41" i="6081"/>
  <c r="H11" i="6081"/>
  <c r="H14" i="6081"/>
  <c r="H16" i="6081"/>
  <c r="C20" i="6081"/>
  <c r="B24" i="6081"/>
  <c r="H28" i="6081"/>
  <c r="C35" i="6081"/>
  <c r="C39" i="6081"/>
  <c r="C43" i="6081"/>
  <c r="H20" i="6081"/>
  <c r="H29" i="6081"/>
  <c r="H39" i="6081"/>
  <c r="H9" i="6081"/>
  <c r="B25" i="6081"/>
  <c r="C36" i="6081"/>
  <c r="C44" i="6081"/>
  <c r="H4" i="6081"/>
  <c r="H17" i="6081"/>
  <c r="H21" i="6081"/>
  <c r="H25" i="6081"/>
  <c r="H31" i="6081"/>
  <c r="H36" i="6081"/>
  <c r="H40" i="6081"/>
  <c r="H44" i="6081"/>
  <c r="H24" i="6081"/>
  <c r="H35" i="6081"/>
  <c r="H43" i="6081"/>
  <c r="H12" i="6081"/>
  <c r="C21" i="6081"/>
  <c r="H30" i="6081"/>
  <c r="C40" i="6081"/>
  <c r="H7" i="6081"/>
  <c r="H15" i="6081"/>
  <c r="C22" i="6081"/>
  <c r="C37" i="6081"/>
  <c r="C41" i="6081"/>
  <c r="C45" i="6081"/>
  <c r="H45" i="6081"/>
  <c r="H5" i="6081"/>
  <c r="C19" i="6081"/>
  <c r="C23" i="6081"/>
  <c r="H33" i="6081"/>
  <c r="C38" i="6081"/>
  <c r="C42" i="6081"/>
  <c r="C46" i="6081"/>
  <c r="H2" i="6081"/>
  <c r="H8" i="6081"/>
  <c r="H19" i="6081"/>
  <c r="H23" i="6081"/>
  <c r="H27" i="6081"/>
  <c r="H34" i="6081"/>
  <c r="H38" i="6081"/>
  <c r="H42" i="6081"/>
  <c r="O21" i="6071" l="1"/>
  <c r="O23" i="6071"/>
  <c r="O23" i="6072"/>
  <c r="O24" i="6072"/>
  <c r="O21" i="6075"/>
  <c r="O19" i="6075"/>
  <c r="O18" i="6075"/>
  <c r="O25" i="6070"/>
  <c r="O19" i="6080"/>
  <c r="O18" i="6080"/>
  <c r="O20" i="6080"/>
  <c r="C32" i="6080"/>
  <c r="B27" i="6080"/>
  <c r="C18" i="6080"/>
  <c r="B17" i="6080"/>
  <c r="H45" i="6080" s="1"/>
  <c r="B16" i="6080"/>
  <c r="B26" i="6080" s="1"/>
  <c r="O15" i="6080"/>
  <c r="B15" i="6080"/>
  <c r="C15" i="6080" s="1"/>
  <c r="O14" i="6080"/>
  <c r="C14" i="6080"/>
  <c r="O13" i="6080"/>
  <c r="C13" i="6080"/>
  <c r="O12" i="6080"/>
  <c r="C12" i="6080"/>
  <c r="B11" i="6080"/>
  <c r="C11" i="6080" s="1"/>
  <c r="C10" i="6080"/>
  <c r="O9" i="6080"/>
  <c r="C9" i="6080"/>
  <c r="O8" i="6080"/>
  <c r="C8" i="6080"/>
  <c r="O7" i="6080"/>
  <c r="C7" i="6080"/>
  <c r="O6" i="6080"/>
  <c r="B6" i="6080"/>
  <c r="O5" i="6080"/>
  <c r="B5" i="6080"/>
  <c r="O4" i="6080"/>
  <c r="O3" i="6080"/>
  <c r="O2" i="6080"/>
  <c r="O22" i="6072"/>
  <c r="O21" i="6072"/>
  <c r="O24" i="6078"/>
  <c r="O19" i="6078"/>
  <c r="O21" i="6078"/>
  <c r="O18" i="6079"/>
  <c r="O20" i="6079"/>
  <c r="O21" i="6079"/>
  <c r="C32" i="6079"/>
  <c r="B27" i="6079"/>
  <c r="C18" i="6079"/>
  <c r="B17" i="6079"/>
  <c r="H45" i="6079" s="1"/>
  <c r="C16" i="6079"/>
  <c r="B16" i="6079"/>
  <c r="B26" i="6079" s="1"/>
  <c r="O15" i="6079"/>
  <c r="B15" i="6079"/>
  <c r="C15" i="6079" s="1"/>
  <c r="O14" i="6079"/>
  <c r="C14" i="6079"/>
  <c r="O13" i="6079"/>
  <c r="C13" i="6079"/>
  <c r="O12" i="6079"/>
  <c r="C12" i="6079"/>
  <c r="C11" i="6079"/>
  <c r="B11" i="6079"/>
  <c r="C10" i="6079"/>
  <c r="O9" i="6079"/>
  <c r="C9" i="6079"/>
  <c r="O8" i="6079"/>
  <c r="C8" i="6079"/>
  <c r="O7" i="6079"/>
  <c r="C7" i="6079"/>
  <c r="O6" i="6079"/>
  <c r="B6" i="6079"/>
  <c r="O5" i="6079"/>
  <c r="B5" i="6079"/>
  <c r="O4" i="6079"/>
  <c r="O3" i="6079"/>
  <c r="H4" i="6079"/>
  <c r="O2" i="6079"/>
  <c r="O24" i="6071"/>
  <c r="O22" i="6071"/>
  <c r="O24" i="6070"/>
  <c r="C16" i="6080" l="1"/>
  <c r="H15" i="6080"/>
  <c r="C47" i="6080"/>
  <c r="H12" i="6080"/>
  <c r="C21" i="6080"/>
  <c r="H27" i="6080"/>
  <c r="C36" i="6080"/>
  <c r="H17" i="6080"/>
  <c r="C41" i="6080"/>
  <c r="H21" i="6080"/>
  <c r="H36" i="6080"/>
  <c r="C42" i="6080"/>
  <c r="H7" i="6080"/>
  <c r="H13" i="6080"/>
  <c r="C22" i="6080"/>
  <c r="H42" i="6080"/>
  <c r="H18" i="6080"/>
  <c r="C23" i="6080"/>
  <c r="H31" i="6080"/>
  <c r="C38" i="6080"/>
  <c r="C43" i="6080"/>
  <c r="H5" i="6080"/>
  <c r="H30" i="6080"/>
  <c r="H44" i="6080"/>
  <c r="H28" i="6080"/>
  <c r="H16" i="6080"/>
  <c r="H23" i="6080"/>
  <c r="H38" i="6080"/>
  <c r="H8" i="6080"/>
  <c r="H14" i="6080"/>
  <c r="C19" i="6080"/>
  <c r="B24" i="6080"/>
  <c r="H33" i="6080"/>
  <c r="C39" i="6080"/>
  <c r="H4" i="6080"/>
  <c r="H9" i="6080"/>
  <c r="H25" i="6080"/>
  <c r="H34" i="6080"/>
  <c r="C40" i="6080"/>
  <c r="C45" i="6080"/>
  <c r="H10" i="6080"/>
  <c r="C17" i="6080"/>
  <c r="C37" i="6080"/>
  <c r="H3" i="6080"/>
  <c r="H6" i="6080"/>
  <c r="C44" i="6080"/>
  <c r="H2" i="6080"/>
  <c r="H11" i="6080"/>
  <c r="C20" i="6080"/>
  <c r="C35" i="6080"/>
  <c r="H40" i="6080"/>
  <c r="C46" i="6080"/>
  <c r="H20" i="6080"/>
  <c r="H24" i="6080"/>
  <c r="H29" i="6080"/>
  <c r="H35" i="6080"/>
  <c r="H39" i="6080"/>
  <c r="H43" i="6080"/>
  <c r="B25" i="6080"/>
  <c r="H19" i="6080"/>
  <c r="H22" i="6080"/>
  <c r="H26" i="6080"/>
  <c r="H32" i="6080"/>
  <c r="H37" i="6080"/>
  <c r="H41" i="6080"/>
  <c r="H6" i="6079"/>
  <c r="C42" i="6079"/>
  <c r="H17" i="6079"/>
  <c r="H36" i="6079"/>
  <c r="H10" i="6079"/>
  <c r="H30" i="6079"/>
  <c r="C38" i="6079"/>
  <c r="C44" i="6079"/>
  <c r="H42" i="6079"/>
  <c r="C19" i="6079"/>
  <c r="C22" i="6079"/>
  <c r="H31" i="6079"/>
  <c r="H7" i="6079"/>
  <c r="H38" i="6079"/>
  <c r="H13" i="6079"/>
  <c r="B24" i="6079"/>
  <c r="H33" i="6079"/>
  <c r="H44" i="6079"/>
  <c r="H19" i="6079"/>
  <c r="H34" i="6079"/>
  <c r="C40" i="6079"/>
  <c r="C45" i="6079"/>
  <c r="H21" i="6079"/>
  <c r="C17" i="6079"/>
  <c r="H2" i="6079"/>
  <c r="C39" i="6079"/>
  <c r="H5" i="6079"/>
  <c r="H25" i="6079"/>
  <c r="H3" i="6079"/>
  <c r="C20" i="6079"/>
  <c r="C35" i="6079"/>
  <c r="H40" i="6079"/>
  <c r="C46" i="6079"/>
  <c r="H28" i="6079"/>
  <c r="H12" i="6079"/>
  <c r="C37" i="6079"/>
  <c r="C23" i="6079"/>
  <c r="C43" i="6079"/>
  <c r="H15" i="6079"/>
  <c r="H23" i="6079"/>
  <c r="H8" i="6079"/>
  <c r="H9" i="6079"/>
  <c r="H11" i="6079"/>
  <c r="H14" i="6079"/>
  <c r="H16" i="6079"/>
  <c r="C21" i="6079"/>
  <c r="H27" i="6079"/>
  <c r="C36" i="6079"/>
  <c r="C41" i="6079"/>
  <c r="C47" i="6079"/>
  <c r="H20" i="6079"/>
  <c r="H24" i="6079"/>
  <c r="H29" i="6079"/>
  <c r="H35" i="6079"/>
  <c r="H39" i="6079"/>
  <c r="H43" i="6079"/>
  <c r="B25" i="6079"/>
  <c r="H18" i="6079"/>
  <c r="H22" i="6079"/>
  <c r="H26" i="6079"/>
  <c r="H32" i="6079"/>
  <c r="H37" i="6079"/>
  <c r="H41" i="6079"/>
  <c r="O23" i="6078" l="1"/>
  <c r="O18" i="6078"/>
  <c r="O20" i="6078"/>
  <c r="C32" i="6078"/>
  <c r="B27" i="6078"/>
  <c r="C18" i="6078"/>
  <c r="B17" i="6078"/>
  <c r="H45" i="6078" s="1"/>
  <c r="B16" i="6078"/>
  <c r="B26" i="6078" s="1"/>
  <c r="O15" i="6078"/>
  <c r="B15" i="6078"/>
  <c r="C15" i="6078" s="1"/>
  <c r="O14" i="6078"/>
  <c r="C14" i="6078"/>
  <c r="O13" i="6078"/>
  <c r="C13" i="6078"/>
  <c r="O12" i="6078"/>
  <c r="C12" i="6078"/>
  <c r="B11" i="6078"/>
  <c r="C11" i="6078" s="1"/>
  <c r="C10" i="6078"/>
  <c r="O9" i="6078"/>
  <c r="C9" i="6078"/>
  <c r="O8" i="6078"/>
  <c r="C8" i="6078"/>
  <c r="O7" i="6078"/>
  <c r="C7" i="6078"/>
  <c r="O6" i="6078"/>
  <c r="B6" i="6078"/>
  <c r="O5" i="6078"/>
  <c r="B5" i="6078"/>
  <c r="O4" i="6078"/>
  <c r="O3" i="6078"/>
  <c r="O2" i="6078"/>
  <c r="O18" i="6077"/>
  <c r="O19" i="6077"/>
  <c r="O20" i="6077"/>
  <c r="C37" i="6077"/>
  <c r="H36" i="6077"/>
  <c r="C32" i="6077"/>
  <c r="B27" i="6077"/>
  <c r="H25" i="6077"/>
  <c r="B24" i="6077"/>
  <c r="C18" i="6077"/>
  <c r="B17" i="6077"/>
  <c r="H45" i="6077" s="1"/>
  <c r="H16" i="6077"/>
  <c r="C16" i="6077"/>
  <c r="B16" i="6077"/>
  <c r="B26" i="6077" s="1"/>
  <c r="O15" i="6077"/>
  <c r="C15" i="6077"/>
  <c r="B15" i="6077"/>
  <c r="O14" i="6077"/>
  <c r="H14" i="6077"/>
  <c r="C14" i="6077"/>
  <c r="O13" i="6077"/>
  <c r="C13" i="6077"/>
  <c r="O12" i="6077"/>
  <c r="C12" i="6077"/>
  <c r="B11" i="6077"/>
  <c r="C11" i="6077" s="1"/>
  <c r="C10" i="6077"/>
  <c r="O9" i="6077"/>
  <c r="C9" i="6077"/>
  <c r="O8" i="6077"/>
  <c r="C8" i="6077"/>
  <c r="O7" i="6077"/>
  <c r="H6" i="6077"/>
  <c r="C7" i="6077"/>
  <c r="O6" i="6077"/>
  <c r="B6" i="6077"/>
  <c r="O5" i="6077"/>
  <c r="B5" i="6077"/>
  <c r="O4" i="6077"/>
  <c r="H4" i="6077"/>
  <c r="O3" i="6077"/>
  <c r="O2" i="6077"/>
  <c r="O19" i="6076"/>
  <c r="O22" i="6076"/>
  <c r="O20" i="6076"/>
  <c r="H44" i="6076"/>
  <c r="C43" i="6076"/>
  <c r="H38" i="6076"/>
  <c r="C38" i="6076"/>
  <c r="H32" i="6076"/>
  <c r="C32" i="6076"/>
  <c r="B27" i="6076"/>
  <c r="H26" i="6076"/>
  <c r="H25" i="6076"/>
  <c r="B24" i="6076"/>
  <c r="C20" i="6076"/>
  <c r="H19" i="6076"/>
  <c r="C18" i="6076"/>
  <c r="B17" i="6076"/>
  <c r="C45" i="6076" s="1"/>
  <c r="H16" i="6076"/>
  <c r="B16" i="6076"/>
  <c r="B26" i="6076" s="1"/>
  <c r="O15" i="6076"/>
  <c r="B15" i="6076"/>
  <c r="C15" i="6076" s="1"/>
  <c r="O14" i="6076"/>
  <c r="H14" i="6076"/>
  <c r="C14" i="6076"/>
  <c r="O13" i="6076"/>
  <c r="C13" i="6076"/>
  <c r="O12" i="6076"/>
  <c r="C12" i="6076"/>
  <c r="H11" i="6076"/>
  <c r="B11" i="6076"/>
  <c r="C11" i="6076" s="1"/>
  <c r="C10" i="6076"/>
  <c r="O9" i="6076"/>
  <c r="C9" i="6076"/>
  <c r="O8" i="6076"/>
  <c r="H9" i="6076"/>
  <c r="C8" i="6076"/>
  <c r="O7" i="6076"/>
  <c r="C7" i="6076"/>
  <c r="O6" i="6076"/>
  <c r="B6" i="6076"/>
  <c r="O5" i="6076"/>
  <c r="B5" i="6076"/>
  <c r="O4" i="6076"/>
  <c r="O3" i="6076"/>
  <c r="H6" i="6076"/>
  <c r="O2" i="6076"/>
  <c r="H3" i="6076"/>
  <c r="O22" i="6070"/>
  <c r="O23" i="6075"/>
  <c r="O22" i="6075"/>
  <c r="O20" i="6075"/>
  <c r="C42" i="6075"/>
  <c r="H40" i="6075"/>
  <c r="C40" i="6075"/>
  <c r="C39" i="6075"/>
  <c r="H36" i="6075"/>
  <c r="H34" i="6075"/>
  <c r="H33" i="6075"/>
  <c r="C32" i="6075"/>
  <c r="H28" i="6075"/>
  <c r="H27" i="6075"/>
  <c r="B27" i="6075"/>
  <c r="H23" i="6075"/>
  <c r="C21" i="6075"/>
  <c r="C20" i="6075"/>
  <c r="H19" i="6075"/>
  <c r="C19" i="6075"/>
  <c r="C18" i="6075"/>
  <c r="B17" i="6075"/>
  <c r="H45" i="6075" s="1"/>
  <c r="H16" i="6075"/>
  <c r="C16" i="6075"/>
  <c r="B16" i="6075"/>
  <c r="B26" i="6075" s="1"/>
  <c r="O15" i="6075"/>
  <c r="B15" i="6075"/>
  <c r="C15" i="6075" s="1"/>
  <c r="O14" i="6075"/>
  <c r="H14" i="6075"/>
  <c r="C14" i="6075"/>
  <c r="O13" i="6075"/>
  <c r="C13" i="6075"/>
  <c r="O12" i="6075"/>
  <c r="H12" i="6075"/>
  <c r="C12" i="6075"/>
  <c r="C11" i="6075"/>
  <c r="B11" i="6075"/>
  <c r="C10" i="6075"/>
  <c r="O9" i="6075"/>
  <c r="H7" i="6075"/>
  <c r="C9" i="6075"/>
  <c r="O8" i="6075"/>
  <c r="C8" i="6075"/>
  <c r="O7" i="6075"/>
  <c r="H6" i="6075"/>
  <c r="C7" i="6075"/>
  <c r="O6" i="6075"/>
  <c r="H8" i="6075"/>
  <c r="B6" i="6075"/>
  <c r="O5" i="6075"/>
  <c r="H3" i="6075"/>
  <c r="B5" i="6075"/>
  <c r="O4" i="6075"/>
  <c r="H5" i="6075"/>
  <c r="O3" i="6075"/>
  <c r="H4" i="6075"/>
  <c r="O2" i="6075"/>
  <c r="O28" i="6070"/>
  <c r="O27" i="6070"/>
  <c r="O19" i="6070"/>
  <c r="C16" i="6076" l="1"/>
  <c r="H5" i="6076"/>
  <c r="C39" i="6076"/>
  <c r="H12" i="6076"/>
  <c r="H21" i="6076"/>
  <c r="H34" i="6076"/>
  <c r="C40" i="6076"/>
  <c r="C46" i="6076"/>
  <c r="H33" i="6076"/>
  <c r="H17" i="6076"/>
  <c r="C47" i="6076"/>
  <c r="H10" i="6076"/>
  <c r="H4" i="6076"/>
  <c r="H27" i="6076"/>
  <c r="H15" i="6076"/>
  <c r="H22" i="6076"/>
  <c r="H28" i="6076"/>
  <c r="C36" i="6076"/>
  <c r="H41" i="6076"/>
  <c r="C21" i="6076"/>
  <c r="C22" i="6076"/>
  <c r="C35" i="6076"/>
  <c r="H8" i="6076"/>
  <c r="H2" i="6076"/>
  <c r="H13" i="6076"/>
  <c r="H18" i="6076"/>
  <c r="C23" i="6076"/>
  <c r="H30" i="6076"/>
  <c r="H36" i="6076"/>
  <c r="C42" i="6076"/>
  <c r="H45" i="6076"/>
  <c r="C17" i="6076"/>
  <c r="H40" i="6076"/>
  <c r="H7" i="6076"/>
  <c r="C19" i="6076"/>
  <c r="H23" i="6076"/>
  <c r="H31" i="6076"/>
  <c r="H37" i="6076"/>
  <c r="H42" i="6076"/>
  <c r="H42" i="6075"/>
  <c r="B24" i="6075"/>
  <c r="C35" i="6075"/>
  <c r="C43" i="6075"/>
  <c r="H17" i="6075"/>
  <c r="H25" i="6075"/>
  <c r="C36" i="6075"/>
  <c r="C47" i="6075"/>
  <c r="H13" i="6078"/>
  <c r="C16" i="6078"/>
  <c r="H8" i="6078"/>
  <c r="H3" i="6078"/>
  <c r="H34" i="6078"/>
  <c r="C19" i="6078"/>
  <c r="C35" i="6078"/>
  <c r="C36" i="6078"/>
  <c r="H10" i="6078"/>
  <c r="C20" i="6078"/>
  <c r="C41" i="6078"/>
  <c r="H2" i="6078"/>
  <c r="B24" i="6078"/>
  <c r="C42" i="6078"/>
  <c r="H19" i="6078"/>
  <c r="H25" i="6078"/>
  <c r="H42" i="6078"/>
  <c r="H11" i="6078"/>
  <c r="H14" i="6078"/>
  <c r="H16" i="6078"/>
  <c r="C21" i="6078"/>
  <c r="H27" i="6078"/>
  <c r="C37" i="6078"/>
  <c r="C43" i="6078"/>
  <c r="H28" i="6078"/>
  <c r="C44" i="6078"/>
  <c r="H9" i="6078"/>
  <c r="H5" i="6078"/>
  <c r="H21" i="6078"/>
  <c r="H12" i="6078"/>
  <c r="C17" i="6078"/>
  <c r="C22" i="6078"/>
  <c r="H30" i="6078"/>
  <c r="H38" i="6078"/>
  <c r="C45" i="6078"/>
  <c r="H7" i="6078"/>
  <c r="H4" i="6078"/>
  <c r="H17" i="6078"/>
  <c r="C23" i="6078"/>
  <c r="C39" i="6078"/>
  <c r="C46" i="6078"/>
  <c r="C38" i="6078"/>
  <c r="H6" i="6078"/>
  <c r="H15" i="6078"/>
  <c r="H23" i="6078"/>
  <c r="H33" i="6078"/>
  <c r="C40" i="6078"/>
  <c r="C47" i="6078"/>
  <c r="H20" i="6078"/>
  <c r="H24" i="6078"/>
  <c r="H29" i="6078"/>
  <c r="H35" i="6078"/>
  <c r="H39" i="6078"/>
  <c r="H43" i="6078"/>
  <c r="B25" i="6078"/>
  <c r="H31" i="6078"/>
  <c r="H36" i="6078"/>
  <c r="H40" i="6078"/>
  <c r="H44" i="6078"/>
  <c r="H18" i="6078"/>
  <c r="H22" i="6078"/>
  <c r="H26" i="6078"/>
  <c r="H32" i="6078"/>
  <c r="H37" i="6078"/>
  <c r="H41" i="6078"/>
  <c r="C38" i="6077"/>
  <c r="H8" i="6077"/>
  <c r="H27" i="6077"/>
  <c r="C41" i="6077"/>
  <c r="H28" i="6077"/>
  <c r="H2" i="6077"/>
  <c r="C19" i="6077"/>
  <c r="C42" i="6077"/>
  <c r="H3" i="6077"/>
  <c r="H15" i="6077"/>
  <c r="H19" i="6077"/>
  <c r="H42" i="6077"/>
  <c r="C20" i="6077"/>
  <c r="H34" i="6077"/>
  <c r="C43" i="6077"/>
  <c r="H11" i="6077"/>
  <c r="H9" i="6077"/>
  <c r="H21" i="6077"/>
  <c r="C35" i="6077"/>
  <c r="H44" i="6077"/>
  <c r="C22" i="6077"/>
  <c r="H31" i="6077"/>
  <c r="H38" i="6077"/>
  <c r="C45" i="6077"/>
  <c r="C17" i="6077"/>
  <c r="C23" i="6077"/>
  <c r="C39" i="6077"/>
  <c r="C46" i="6077"/>
  <c r="H7" i="6077"/>
  <c r="H5" i="6077"/>
  <c r="H12" i="6077"/>
  <c r="H17" i="6077"/>
  <c r="H23" i="6077"/>
  <c r="H33" i="6077"/>
  <c r="H40" i="6077"/>
  <c r="C47" i="6077"/>
  <c r="H20" i="6077"/>
  <c r="H24" i="6077"/>
  <c r="H29" i="6077"/>
  <c r="H35" i="6077"/>
  <c r="H39" i="6077"/>
  <c r="H43" i="6077"/>
  <c r="C21" i="6077"/>
  <c r="B25" i="6077"/>
  <c r="H30" i="6077"/>
  <c r="C36" i="6077"/>
  <c r="C40" i="6077"/>
  <c r="C44" i="6077"/>
  <c r="H10" i="6077"/>
  <c r="H13" i="6077"/>
  <c r="H18" i="6077"/>
  <c r="H22" i="6077"/>
  <c r="H26" i="6077"/>
  <c r="H32" i="6077"/>
  <c r="H37" i="6077"/>
  <c r="H41" i="6077"/>
  <c r="H20" i="6076"/>
  <c r="H24" i="6076"/>
  <c r="H29" i="6076"/>
  <c r="H35" i="6076"/>
  <c r="H39" i="6076"/>
  <c r="H43" i="6076"/>
  <c r="B25" i="6076"/>
  <c r="C44" i="6076"/>
  <c r="C37" i="6076"/>
  <c r="C41" i="6076"/>
  <c r="C44" i="6075"/>
  <c r="H21" i="6075"/>
  <c r="H30" i="6075"/>
  <c r="C38" i="6075"/>
  <c r="H2" i="6075"/>
  <c r="H9" i="6075"/>
  <c r="H11" i="6075"/>
  <c r="C17" i="6075"/>
  <c r="C23" i="6075"/>
  <c r="H31" i="6075"/>
  <c r="H38" i="6075"/>
  <c r="H44" i="6075"/>
  <c r="C46" i="6075"/>
  <c r="H20" i="6075"/>
  <c r="H24" i="6075"/>
  <c r="H29" i="6075"/>
  <c r="H35" i="6075"/>
  <c r="H39" i="6075"/>
  <c r="H43" i="6075"/>
  <c r="B25" i="6075"/>
  <c r="H15" i="6075"/>
  <c r="C22" i="6075"/>
  <c r="C37" i="6075"/>
  <c r="C41" i="6075"/>
  <c r="C45" i="6075"/>
  <c r="H10" i="6075"/>
  <c r="H13" i="6075"/>
  <c r="H18" i="6075"/>
  <c r="H22" i="6075"/>
  <c r="H26" i="6075"/>
  <c r="H32" i="6075"/>
  <c r="H37" i="6075"/>
  <c r="H41" i="6075"/>
  <c r="O18" i="6074" l="1"/>
  <c r="O20" i="6074"/>
  <c r="O19" i="6074"/>
  <c r="H37" i="6074"/>
  <c r="H34" i="6074"/>
  <c r="H32" i="6074"/>
  <c r="C32" i="6074"/>
  <c r="B27" i="6074"/>
  <c r="H24" i="6074"/>
  <c r="H23" i="6074"/>
  <c r="C20" i="6074"/>
  <c r="C18" i="6074"/>
  <c r="B17" i="6074"/>
  <c r="C46" i="6074" s="1"/>
  <c r="H17" i="6074"/>
  <c r="C16" i="6074"/>
  <c r="B16" i="6074"/>
  <c r="B26" i="6074" s="1"/>
  <c r="O15" i="6074"/>
  <c r="B15" i="6074"/>
  <c r="C15" i="6074" s="1"/>
  <c r="O14" i="6074"/>
  <c r="C14" i="6074"/>
  <c r="O13" i="6074"/>
  <c r="H14" i="6074"/>
  <c r="C13" i="6074"/>
  <c r="O12" i="6074"/>
  <c r="C12" i="6074"/>
  <c r="C11" i="6074"/>
  <c r="B11" i="6074"/>
  <c r="H11" i="6074"/>
  <c r="C10" i="6074"/>
  <c r="O9" i="6074"/>
  <c r="C9" i="6074"/>
  <c r="O8" i="6074"/>
  <c r="C8" i="6074"/>
  <c r="O7" i="6074"/>
  <c r="C7" i="6074"/>
  <c r="O6" i="6074"/>
  <c r="H7" i="6074"/>
  <c r="B6" i="6074"/>
  <c r="O5" i="6074"/>
  <c r="B5" i="6074"/>
  <c r="O4" i="6074"/>
  <c r="H3" i="6074"/>
  <c r="O3" i="6074"/>
  <c r="H4" i="6074"/>
  <c r="O2" i="6074"/>
  <c r="O23" i="6073"/>
  <c r="O22" i="6073"/>
  <c r="O21" i="6073"/>
  <c r="C32" i="6073"/>
  <c r="B27" i="6073"/>
  <c r="C18" i="6073"/>
  <c r="B17" i="6073"/>
  <c r="H45" i="6073" s="1"/>
  <c r="C16" i="6073"/>
  <c r="B16" i="6073"/>
  <c r="B26" i="6073" s="1"/>
  <c r="O15" i="6073"/>
  <c r="B15" i="6073"/>
  <c r="C15" i="6073" s="1"/>
  <c r="O14" i="6073"/>
  <c r="C14" i="6073"/>
  <c r="O13" i="6073"/>
  <c r="C13" i="6073"/>
  <c r="O12" i="6073"/>
  <c r="C12" i="6073"/>
  <c r="B11" i="6073"/>
  <c r="C11" i="6073" s="1"/>
  <c r="C10" i="6073"/>
  <c r="O9" i="6073"/>
  <c r="C9" i="6073"/>
  <c r="O8" i="6073"/>
  <c r="C8" i="6073"/>
  <c r="O7" i="6073"/>
  <c r="C7" i="6073"/>
  <c r="O6" i="6073"/>
  <c r="B6" i="6073"/>
  <c r="O5" i="6073"/>
  <c r="B5" i="6073"/>
  <c r="O4" i="6073"/>
  <c r="O3" i="6073"/>
  <c r="O2" i="6073"/>
  <c r="O20" i="6072"/>
  <c r="O19" i="6072"/>
  <c r="O18" i="6072"/>
  <c r="C32" i="6072"/>
  <c r="B27" i="6072"/>
  <c r="C18" i="6072"/>
  <c r="B17" i="6072"/>
  <c r="H45" i="6072" s="1"/>
  <c r="C16" i="6072"/>
  <c r="B16" i="6072"/>
  <c r="B26" i="6072" s="1"/>
  <c r="O15" i="6072"/>
  <c r="B15" i="6072"/>
  <c r="C15" i="6072" s="1"/>
  <c r="O14" i="6072"/>
  <c r="C14" i="6072"/>
  <c r="O13" i="6072"/>
  <c r="C13" i="6072"/>
  <c r="O12" i="6072"/>
  <c r="C12" i="6072"/>
  <c r="B11" i="6072"/>
  <c r="C11" i="6072" s="1"/>
  <c r="C10" i="6072"/>
  <c r="O9" i="6072"/>
  <c r="C9" i="6072"/>
  <c r="O8" i="6072"/>
  <c r="C8" i="6072"/>
  <c r="O7" i="6072"/>
  <c r="C7" i="6072"/>
  <c r="O6" i="6072"/>
  <c r="B6" i="6072"/>
  <c r="O5" i="6072"/>
  <c r="B5" i="6072"/>
  <c r="O4" i="6072"/>
  <c r="O3" i="6072"/>
  <c r="O2" i="6072"/>
  <c r="O21" i="6070"/>
  <c r="O19" i="6071"/>
  <c r="O18" i="6071"/>
  <c r="O20" i="6071"/>
  <c r="H38" i="6071"/>
  <c r="C38" i="6071"/>
  <c r="H34" i="6071"/>
  <c r="H33" i="6071"/>
  <c r="C32" i="6071"/>
  <c r="B27" i="6071"/>
  <c r="H20" i="6071"/>
  <c r="C19" i="6071"/>
  <c r="C18" i="6071"/>
  <c r="C17" i="6071"/>
  <c r="B17" i="6071"/>
  <c r="H45" i="6071" s="1"/>
  <c r="C16" i="6071"/>
  <c r="B16" i="6071"/>
  <c r="B26" i="6071" s="1"/>
  <c r="O15" i="6071"/>
  <c r="B15" i="6071"/>
  <c r="C15" i="6071" s="1"/>
  <c r="O14" i="6071"/>
  <c r="C14" i="6071"/>
  <c r="O13" i="6071"/>
  <c r="C13" i="6071"/>
  <c r="O12" i="6071"/>
  <c r="C12" i="6071"/>
  <c r="B11" i="6071"/>
  <c r="C11" i="6071" s="1"/>
  <c r="C10" i="6071"/>
  <c r="O9" i="6071"/>
  <c r="C9" i="6071"/>
  <c r="O8" i="6071"/>
  <c r="C8" i="6071"/>
  <c r="O7" i="6071"/>
  <c r="H6" i="6071"/>
  <c r="C7" i="6071"/>
  <c r="O6" i="6071"/>
  <c r="B6" i="6071"/>
  <c r="O5" i="6071"/>
  <c r="B5" i="6071"/>
  <c r="O4" i="6071"/>
  <c r="H2" i="6071"/>
  <c r="O3" i="6071"/>
  <c r="H9" i="6071"/>
  <c r="O2" i="6071"/>
  <c r="H4" i="6071"/>
  <c r="O20" i="6070"/>
  <c r="O26" i="6070"/>
  <c r="O23" i="6070"/>
  <c r="C32" i="6070"/>
  <c r="B27" i="6070"/>
  <c r="C18" i="6070"/>
  <c r="B17" i="6070"/>
  <c r="H45" i="6070" s="1"/>
  <c r="B16" i="6070"/>
  <c r="B26" i="6070" s="1"/>
  <c r="O15" i="6070"/>
  <c r="B15" i="6070"/>
  <c r="C15" i="6070" s="1"/>
  <c r="O14" i="6070"/>
  <c r="C14" i="6070"/>
  <c r="O13" i="6070"/>
  <c r="C13" i="6070"/>
  <c r="O12" i="6070"/>
  <c r="C12" i="6070"/>
  <c r="B11" i="6070"/>
  <c r="C11" i="6070" s="1"/>
  <c r="C10" i="6070"/>
  <c r="O9" i="6070"/>
  <c r="C9" i="6070"/>
  <c r="O8" i="6070"/>
  <c r="C8" i="6070"/>
  <c r="O7" i="6070"/>
  <c r="C7" i="6070"/>
  <c r="O6" i="6070"/>
  <c r="B6" i="6070"/>
  <c r="O5" i="6070"/>
  <c r="B5" i="6070"/>
  <c r="O4" i="6070"/>
  <c r="O3" i="6070"/>
  <c r="O2" i="6070"/>
  <c r="C42" i="6071" l="1"/>
  <c r="H13" i="6071"/>
  <c r="C23" i="6071"/>
  <c r="H23" i="6071"/>
  <c r="C47" i="6071"/>
  <c r="H5" i="6071"/>
  <c r="H11" i="6071"/>
  <c r="C16" i="6070"/>
  <c r="H26" i="6074"/>
  <c r="H38" i="6074"/>
  <c r="C39" i="6074"/>
  <c r="C17" i="6074"/>
  <c r="H9" i="6074"/>
  <c r="H12" i="6074"/>
  <c r="H27" i="6074"/>
  <c r="H41" i="6074"/>
  <c r="H19" i="6074"/>
  <c r="H28" i="6074"/>
  <c r="H42" i="6074"/>
  <c r="H15" i="6074"/>
  <c r="H2" i="6074"/>
  <c r="H20" i="6074"/>
  <c r="C43" i="6074"/>
  <c r="H45" i="6074"/>
  <c r="B24" i="6074"/>
  <c r="C35" i="6074"/>
  <c r="C47" i="6074"/>
  <c r="H21" i="6074"/>
  <c r="H5" i="6074"/>
  <c r="H29" i="6074"/>
  <c r="H35" i="6074"/>
  <c r="H39" i="6074"/>
  <c r="H43" i="6074"/>
  <c r="H10" i="6074"/>
  <c r="H13" i="6074"/>
  <c r="C21" i="6074"/>
  <c r="B25" i="6074"/>
  <c r="H30" i="6074"/>
  <c r="C36" i="6074"/>
  <c r="C40" i="6074"/>
  <c r="C44" i="6074"/>
  <c r="H18" i="6074"/>
  <c r="H22" i="6074"/>
  <c r="H25" i="6074"/>
  <c r="H31" i="6074"/>
  <c r="H36" i="6074"/>
  <c r="H40" i="6074"/>
  <c r="H44" i="6074"/>
  <c r="H8" i="6074"/>
  <c r="H16" i="6074"/>
  <c r="C22" i="6074"/>
  <c r="C37" i="6074"/>
  <c r="C41" i="6074"/>
  <c r="C45" i="6074"/>
  <c r="H6" i="6074"/>
  <c r="C19" i="6074"/>
  <c r="C23" i="6074"/>
  <c r="H33" i="6074"/>
  <c r="C38" i="6074"/>
  <c r="C42" i="6074"/>
  <c r="H7" i="6073"/>
  <c r="H2" i="6073"/>
  <c r="C17" i="6073"/>
  <c r="H23" i="6073"/>
  <c r="H34" i="6073"/>
  <c r="C41" i="6073"/>
  <c r="C47" i="6073"/>
  <c r="C35" i="6073"/>
  <c r="C23" i="6073"/>
  <c r="H4" i="6073"/>
  <c r="H12" i="6073"/>
  <c r="C42" i="6073"/>
  <c r="H5" i="6073"/>
  <c r="H10" i="6073"/>
  <c r="H15" i="6073"/>
  <c r="C19" i="6073"/>
  <c r="C36" i="6073"/>
  <c r="H42" i="6073"/>
  <c r="H33" i="6073"/>
  <c r="H6" i="6073"/>
  <c r="C44" i="6073"/>
  <c r="H11" i="6073"/>
  <c r="C40" i="6073"/>
  <c r="B24" i="6073"/>
  <c r="C20" i="6073"/>
  <c r="H28" i="6073"/>
  <c r="C38" i="6073"/>
  <c r="C21" i="6073"/>
  <c r="H30" i="6073"/>
  <c r="H38" i="6073"/>
  <c r="C45" i="6073"/>
  <c r="H19" i="6073"/>
  <c r="H27" i="6073"/>
  <c r="C37" i="6073"/>
  <c r="C43" i="6073"/>
  <c r="H9" i="6073"/>
  <c r="H14" i="6073"/>
  <c r="H16" i="6073"/>
  <c r="C22" i="6073"/>
  <c r="C39" i="6073"/>
  <c r="C46" i="6073"/>
  <c r="H20" i="6073"/>
  <c r="H24" i="6073"/>
  <c r="H29" i="6073"/>
  <c r="H35" i="6073"/>
  <c r="H39" i="6073"/>
  <c r="H43" i="6073"/>
  <c r="B25" i="6073"/>
  <c r="H3" i="6073"/>
  <c r="H17" i="6073"/>
  <c r="H21" i="6073"/>
  <c r="H25" i="6073"/>
  <c r="H31" i="6073"/>
  <c r="H36" i="6073"/>
  <c r="H40" i="6073"/>
  <c r="H44" i="6073"/>
  <c r="H8" i="6073"/>
  <c r="H13" i="6073"/>
  <c r="H18" i="6073"/>
  <c r="H22" i="6073"/>
  <c r="H26" i="6073"/>
  <c r="H32" i="6073"/>
  <c r="H37" i="6073"/>
  <c r="H41" i="6073"/>
  <c r="C21" i="6072"/>
  <c r="H27" i="6072"/>
  <c r="H8" i="6072"/>
  <c r="H6" i="6072"/>
  <c r="C36" i="6072"/>
  <c r="H10" i="6072"/>
  <c r="H14" i="6072"/>
  <c r="C47" i="6072"/>
  <c r="H11" i="6072"/>
  <c r="H16" i="6072"/>
  <c r="C41" i="6072"/>
  <c r="H21" i="6072"/>
  <c r="H28" i="6072"/>
  <c r="H36" i="6072"/>
  <c r="C42" i="6072"/>
  <c r="H30" i="6072"/>
  <c r="H42" i="6072"/>
  <c r="H4" i="6072"/>
  <c r="H17" i="6072"/>
  <c r="C23" i="6072"/>
  <c r="H31" i="6072"/>
  <c r="C38" i="6072"/>
  <c r="C43" i="6072"/>
  <c r="C17" i="6072"/>
  <c r="H5" i="6072"/>
  <c r="H44" i="6072"/>
  <c r="C37" i="6072"/>
  <c r="H9" i="6072"/>
  <c r="H13" i="6072"/>
  <c r="C19" i="6072"/>
  <c r="B24" i="6072"/>
  <c r="H33" i="6072"/>
  <c r="C39" i="6072"/>
  <c r="H2" i="6072"/>
  <c r="H19" i="6072"/>
  <c r="H25" i="6072"/>
  <c r="H34" i="6072"/>
  <c r="C40" i="6072"/>
  <c r="C45" i="6072"/>
  <c r="H12" i="6072"/>
  <c r="C22" i="6072"/>
  <c r="H15" i="6072"/>
  <c r="H23" i="6072"/>
  <c r="H38" i="6072"/>
  <c r="C44" i="6072"/>
  <c r="H3" i="6072"/>
  <c r="H7" i="6072"/>
  <c r="C20" i="6072"/>
  <c r="C35" i="6072"/>
  <c r="H40" i="6072"/>
  <c r="C46" i="6072"/>
  <c r="H20" i="6072"/>
  <c r="H24" i="6072"/>
  <c r="H29" i="6072"/>
  <c r="H35" i="6072"/>
  <c r="H39" i="6072"/>
  <c r="H43" i="6072"/>
  <c r="B25" i="6072"/>
  <c r="H18" i="6072"/>
  <c r="H22" i="6072"/>
  <c r="H26" i="6072"/>
  <c r="H32" i="6072"/>
  <c r="H37" i="6072"/>
  <c r="H41" i="6072"/>
  <c r="H17" i="6070"/>
  <c r="H10" i="6071"/>
  <c r="H42" i="6071"/>
  <c r="H27" i="6071"/>
  <c r="C46" i="6071"/>
  <c r="H16" i="6071"/>
  <c r="H18" i="6071"/>
  <c r="C20" i="6071"/>
  <c r="B24" i="6071"/>
  <c r="H28" i="6071"/>
  <c r="C35" i="6071"/>
  <c r="C39" i="6071"/>
  <c r="C43" i="6071"/>
  <c r="H21" i="6071"/>
  <c r="H24" i="6071"/>
  <c r="H29" i="6071"/>
  <c r="H35" i="6071"/>
  <c r="H39" i="6071"/>
  <c r="H43" i="6071"/>
  <c r="H12" i="6071"/>
  <c r="H14" i="6071"/>
  <c r="C21" i="6071"/>
  <c r="B25" i="6071"/>
  <c r="H30" i="6071"/>
  <c r="C36" i="6071"/>
  <c r="C40" i="6071"/>
  <c r="C44" i="6071"/>
  <c r="H7" i="6071"/>
  <c r="H8" i="6071"/>
  <c r="H25" i="6071"/>
  <c r="H31" i="6071"/>
  <c r="H36" i="6071"/>
  <c r="H40" i="6071"/>
  <c r="H44" i="6071"/>
  <c r="H17" i="6071"/>
  <c r="C22" i="6071"/>
  <c r="C37" i="6071"/>
  <c r="C41" i="6071"/>
  <c r="C45" i="6071"/>
  <c r="H3" i="6071"/>
  <c r="H15" i="6071"/>
  <c r="H19" i="6071"/>
  <c r="H22" i="6071"/>
  <c r="H26" i="6071"/>
  <c r="H32" i="6071"/>
  <c r="H37" i="6071"/>
  <c r="H41" i="6071"/>
  <c r="H5" i="6070"/>
  <c r="C17" i="6070"/>
  <c r="H7" i="6070"/>
  <c r="H8" i="6070"/>
  <c r="H21" i="6070"/>
  <c r="H26" i="6070"/>
  <c r="H32" i="6070"/>
  <c r="H37" i="6070"/>
  <c r="H41" i="6070"/>
  <c r="H4" i="6070"/>
  <c r="C19" i="6070"/>
  <c r="C23" i="6070"/>
  <c r="H33" i="6070"/>
  <c r="C38" i="6070"/>
  <c r="C42" i="6070"/>
  <c r="C46" i="6070"/>
  <c r="H2" i="6070"/>
  <c r="H10" i="6070"/>
  <c r="H12" i="6070"/>
  <c r="H24" i="6070"/>
  <c r="H27" i="6070"/>
  <c r="H34" i="6070"/>
  <c r="H38" i="6070"/>
  <c r="H42" i="6070"/>
  <c r="C47" i="6070"/>
  <c r="H15" i="6070"/>
  <c r="H18" i="6070"/>
  <c r="H20" i="6070"/>
  <c r="C20" i="6070"/>
  <c r="B24" i="6070"/>
  <c r="H28" i="6070"/>
  <c r="C35" i="6070"/>
  <c r="C39" i="6070"/>
  <c r="C43" i="6070"/>
  <c r="H14" i="6070"/>
  <c r="H43" i="6070"/>
  <c r="H39" i="6070"/>
  <c r="H22" i="6070"/>
  <c r="H29" i="6070"/>
  <c r="H35" i="6070"/>
  <c r="H9" i="6070"/>
  <c r="H16" i="6070"/>
  <c r="C21" i="6070"/>
  <c r="B25" i="6070"/>
  <c r="H30" i="6070"/>
  <c r="C36" i="6070"/>
  <c r="C40" i="6070"/>
  <c r="C44" i="6070"/>
  <c r="H3" i="6070"/>
  <c r="H11" i="6070"/>
  <c r="H13" i="6070"/>
  <c r="H25" i="6070"/>
  <c r="H31" i="6070"/>
  <c r="H36" i="6070"/>
  <c r="H40" i="6070"/>
  <c r="H44" i="6070"/>
  <c r="H6" i="6070"/>
  <c r="H19" i="6070"/>
  <c r="C22" i="6070"/>
  <c r="C37" i="6070"/>
  <c r="C41" i="6070"/>
  <c r="C45" i="6070"/>
  <c r="H23" i="6070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<sst xmlns="http://schemas.openxmlformats.org/spreadsheetml/2006/main" count="2687" uniqueCount="196">
  <si>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</si>
  <si>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</si>
  <si>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</si>
  <si>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</si>
  <si>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</si>
  <si>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</si>
  <si>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</si>
  <si>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</si>
  <si>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</si>
  <si>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</si>
  <si>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</si>
  <si>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</si>
  <si>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</si>
  <si>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</si>
  <si>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</si>
  <si>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</si>
  <si>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</si>
  <si>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</si>
  <si>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</si>
  <si>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</si>
  <si>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</si>
  <si>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</si>
  <si>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</si>
  <si>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</si>
  <si>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</si>
  <si>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</si>
  <si>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</si>
  <si>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</si>
  <si>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</si>
  <si>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</si>
  <si>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</si>
  <si>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</si>
  <si>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</si>
  <si>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</si>
  <si>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</si>
  <si>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</si>
  <si>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</si>
  <si>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</si>
  <si>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</si>
  <si>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</si>
  <si>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</si>
  <si>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</si>
  <si>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</si>
  <si>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</si>
  <si>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</si>
  <si>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</si>
  <si>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</si>
  <si>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</si>
  <si>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</si>
  <si>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</si>
  <si>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</si>
  <si>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</si>
  <si>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</si>
  <si>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</si>
  <si>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</si>
  <si>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2"/>
  </si>
  <si>
    <t>02</t>
    <phoneticPr fontId="2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</si>
  <si>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</si>
  <si>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</si>
  <si>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</si>
  <si>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</si>
  <si>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</si>
  <si>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</si>
  <si>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</si>
  <si>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</si>
  <si>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</si>
  <si>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</si>
  <si>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</si>
  <si>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</si>
  <si>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</si>
  <si>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</si>
  <si>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</si>
  <si>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</si>
  <si>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</si>
  <si>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</si>
  <si>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</si>
  <si>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</si>
  <si>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</si>
  <si>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</si>
  <si>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</si>
  <si>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</si>
  <si>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</si>
  <si>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</si>
  <si>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</si>
  <si>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</si>
  <si>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</si>
  <si>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</si>
  <si>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</si>
  <si>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</si>
  <si>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</si>
  <si>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</si>
  <si>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</si>
  <si>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</si>
  <si>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</si>
  <si>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</si>
  <si>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</si>
  <si>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</si>
  <si>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</si>
  <si>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</si>
  <si>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</si>
  <si>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</si>
  <si>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</si>
  <si>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</si>
  <si>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</si>
  <si>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</si>
  <si>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</si>
  <si>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</si>
  <si>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</si>
  <si>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</si>
  <si>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</si>
  <si>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</si>
  <si>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</si>
  <si>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</si>
  <si>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</si>
  <si>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</si>
  <si>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</si>
  <si>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</si>
  <si>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</si>
  <si>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</si>
  <si>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</si>
  <si>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</si>
  <si>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</si>
  <si>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</si>
  <si>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</si>
  <si>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</si>
  <si>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</si>
  <si>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</si>
  <si>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</si>
  <si>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</si>
  <si>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</si>
  <si>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</si>
  <si>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</si>
  <si>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</si>
  <si>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</si>
  <si>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</si>
  <si>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</si>
  <si>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</si>
  <si>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</si>
  <si>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</si>
  <si>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</si>
  <si>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赤ドラ</t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</si>
  <si>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</si>
  <si>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</si>
  <si>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</si>
  <si>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</si>
  <si>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</si>
  <si>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</si>
  <si>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</si>
  <si>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</si>
  <si>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</si>
  <si>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</si>
  <si>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</si>
  <si>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</si>
  <si>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</si>
  <si>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</si>
  <si>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</si>
  <si>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</si>
  <si>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</si>
  <si>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</si>
  <si>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</si>
  <si>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</si>
  <si>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</si>
  <si>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</si>
  <si>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</si>
  <si>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</si>
  <si>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</si>
  <si>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ツモ</t>
  </si>
  <si>
    <t>三色同順</t>
    <rPh sb="2" eb="4">
      <t>ドウジュン</t>
    </rPh>
    <phoneticPr fontId="1"/>
  </si>
  <si>
    <t>国士13面</t>
  </si>
  <si>
    <t>四暗刻単騎</t>
  </si>
  <si>
    <t>純正九蓮</t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</si>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</sst>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-14.199999999999989</c:v>
                </c:pt>
                <c:pt idx="24">
                  <c:v>-0.99999999999998934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66-4134-81A5-3B0596A5B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-83.333333333333329</c:v>
                </c:pt>
                <c:pt idx="1">
                  <c:v>41.666666666666664</c:v>
                </c:pt>
                <c:pt idx="2">
                  <c:v>-41.666666666666664</c:v>
                </c:pt>
                <c:pt idx="3">
                  <c:v>41.666666666666664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A-45BA-846B-D9518CE00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C-4893-BCF2-AFCA3F63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松澤亮太!$L$2:$L$5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7-4C2A-8CB4-139079D45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700</c:v>
                </c:pt>
                <c:pt idx="2">
                  <c:v>-1300</c:v>
                </c:pt>
                <c:pt idx="3">
                  <c:v>-800</c:v>
                </c:pt>
                <c:pt idx="4">
                  <c:v>1833.3333333333333</c:v>
                </c:pt>
                <c:pt idx="5">
                  <c:v>-1166.6666666666667</c:v>
                </c:pt>
                <c:pt idx="6">
                  <c:v>-2500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9-491D-9ED6-C8B826126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6-4784-8A54-1F0816CE1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滝沢悠人!$L$2:$L$5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2-419D-A201-8F219B2EB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7933.333333333333</c:v>
                </c:pt>
                <c:pt idx="2">
                  <c:v>-500</c:v>
                </c:pt>
                <c:pt idx="3">
                  <c:v>-866.66666666666663</c:v>
                </c:pt>
                <c:pt idx="4">
                  <c:v>-2166.6666666666665</c:v>
                </c:pt>
                <c:pt idx="5">
                  <c:v>-1433.3333333333333</c:v>
                </c:pt>
                <c:pt idx="6">
                  <c:v>-4000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5-4FD5-8B48-A0559D88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4A-460F-A342-143A8F022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大池陸斗!$L$2:$L$4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E-4ED2-87D7-CC58DA21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-3350</c:v>
                </c:pt>
                <c:pt idx="1">
                  <c:v>200</c:v>
                </c:pt>
                <c:pt idx="2">
                  <c:v>750</c:v>
                </c:pt>
                <c:pt idx="3">
                  <c:v>7150</c:v>
                </c:pt>
                <c:pt idx="4">
                  <c:v>2700</c:v>
                </c:pt>
                <c:pt idx="5">
                  <c:v>1850</c:v>
                </c:pt>
                <c:pt idx="6">
                  <c:v>-2000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B-4184-8C44-2FE91A97A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3-4DCE-8BF0-B139F418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A-43EA-9811-859A0F85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1-42BD-B691-22BBB3117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5-4D16-92CE-D3C136E5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佐藤成浩!$L$2:$L$5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7E-42BF-8449-828DFF0D8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8466.6666666666661</c:v>
                </c:pt>
                <c:pt idx="1">
                  <c:v>-500</c:v>
                </c:pt>
                <c:pt idx="2">
                  <c:v>-1766.6666666666667</c:v>
                </c:pt>
                <c:pt idx="3">
                  <c:v>-3466.6666666666665</c:v>
                </c:pt>
                <c:pt idx="4">
                  <c:v>-4000</c:v>
                </c:pt>
                <c:pt idx="5">
                  <c:v>-2000</c:v>
                </c:pt>
                <c:pt idx="6">
                  <c:v>-1500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B-4C2A-86D8-B9A50EA3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6-476D-9EFD-598D269D8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7-4626-B89B-4992A0EBD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D2-4D3A-8DE0-8A39561C2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E-4B63-943E-096EBAF99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8-47ED-A59B-A9D2F13F1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A9-42EB-A64E-48C1AA4FD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0B-49F5-A370-AF70EAA24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高野源太!$L$2:$L$5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0-43E5-9B20-B67B4FEE4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3766.6666666666665</c:v>
                </c:pt>
                <c:pt idx="1">
                  <c:v>-3833.3333333333335</c:v>
                </c:pt>
                <c:pt idx="2">
                  <c:v>4666.666666666667</c:v>
                </c:pt>
                <c:pt idx="3">
                  <c:v>3800</c:v>
                </c:pt>
                <c:pt idx="4">
                  <c:v>2500</c:v>
                </c:pt>
                <c:pt idx="5">
                  <c:v>5850</c:v>
                </c:pt>
                <c:pt idx="6">
                  <c:v>-6000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D-48C3-BC5A-C3D864F35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9-4515-BAAA-44424D138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2-4515-9964-F6D4369E3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C2-4782-A2CE-7E4942F2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B-47CC-A4A9-48808A1CD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8B-4AB9-AA8E-A6D5C78BA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2D8-8045-EDA92308A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D86-96CC-F05EBC384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5-4A4C-87C6-1DA57832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6-4CD8-82C1-1533891CF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7-425C-95E7-D79940AB2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福澤大地!$L$2:$L$3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62-4C6C-8821-BC6F1B724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10600</c:v>
                </c:pt>
                <c:pt idx="2">
                  <c:v>-2000</c:v>
                </c:pt>
                <c:pt idx="3">
                  <c:v>-1000</c:v>
                </c:pt>
                <c:pt idx="4">
                  <c:v>-1000</c:v>
                </c:pt>
                <c:pt idx="5">
                  <c:v>1100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1-4BC5-B414-39ABBDDCE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B3-4D5A-8F60-106257EE9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58E5A4-F72E-4A09-80E2-5BABE4358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5DF63F-D26C-4471-BD85-4343ECF4E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94343E-1E9A-4946-BC9E-063D188C9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8FBAB9-5276-4C89-AA36-96109BBBF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00C829-9667-4530-9696-63E011305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866510-7008-4192-A885-22CBE8380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2AEBC2-C60A-4813-9624-76BE1A92C6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D8375B-58C1-4F6A-917C-10CE0E6C77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333AA5-BE38-455A-86A0-8455A119A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1357A5-9894-41E6-B765-5C62D3620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7509E7-2DCA-462A-B94D-4AFE4857E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D70565-77DD-4CDC-B538-43630DA82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11C639-01D4-4E74-9ADC-3ED4BD56B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33D692-D017-4A67-AC4F-38A558479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EF9166C-0488-479E-A189-6F2B097B1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47C7CC-8961-49EC-ABFC-647821342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ED5529-DAB2-4B20-BFF3-F59BE79CD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4C3C3A-2436-4785-B3C3-A97F49637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A6AA99-3127-460D-97FF-6B4910237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4352AA-539F-4BB4-9421-80ED3AEE5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1610A9-699C-4352-A8BA-6AF14F836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147790-6E45-4F1A-8DE1-C456CB986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BA3B62-7621-435D-AB33-13276B3F6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9554DC6-39B5-454F-BB2A-CD98001E3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C49A38-2255-4149-8C84-837AFA86E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58FFA1-459A-4CDD-A4F9-18A1EA73A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6E9458-DDB2-4624-97A5-AAEC7D812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28FAF9-795F-4027-B233-C077899E7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8E3D4E-3A87-4D7A-AE76-BB085AB5D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D94F6F-296C-4C0D-8CE7-7133D05A0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007CD3-8BDE-4F6B-8BEC-DB1C58C1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2BD2E4-3D53-4B33-873F-165DE7595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02A06D-F335-4C35-ABD3-1ACFBEDDB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74B5D3-A743-450C-9A5D-9539E722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28F9D5-08BF-49EB-873A-E4D7DDC9F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986D42-6DB6-4645-B097-92FCB7212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125ACE-E551-4D9C-9732-1F020631B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09CDF2-4B4E-4A8B-B9A6-11E9F0330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07D285-73B1-49DD-8402-B90796E23F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174</v>
      </c>
      <c r="B2" s="25">
        <v>43801.602060185185</v>
      </c>
      <c r="C2" s="24" t="s">
        <v>110</v>
      </c>
    </row>
    <row r="3" spans="1:4">
      <c r="A3" s="24" t="s">
        <v>179</v>
      </c>
      <c r="B3" s="25">
        <v>43801.602060185185</v>
      </c>
      <c r="C3" s="24" t="s">
        <v>110</v>
      </c>
    </row>
    <row r="4" spans="1:4">
      <c r="A4" s="24" t="s">
        <v>189</v>
      </c>
      <c r="B4" s="25">
        <v>43805.817199074074</v>
      </c>
      <c r="C4" s="24" t="s">
        <v>110</v>
      </c>
      <c r="D4" s="24" t="s">
        <v>191</v>
      </c>
    </row>
    <row r="5" spans="1:4">
      <c r="A5" s="24" t="s">
        <v>193</v>
      </c>
      <c r="B5" s="25">
        <v>43805.821909722225</v>
      </c>
      <c r="C5" s="24" t="s">
        <v>110</v>
      </c>
      <c r="D5" s="24" t="s">
        <v>191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122</v>
      </c>
      <c r="B1">
        <v>24</v>
      </c>
    </row>
    <row r="2" spans="1:2">
      <c r="A2" t="s">
        <v>178</v>
      </c>
      <c r="B2">
        <v>3</v>
      </c>
    </row>
    <row r="3" spans="1:2">
      <c r="A3" t="s">
        <v>175</v>
      </c>
      <c r="B3">
        <v>3</v>
      </c>
    </row>
    <row r="4" spans="1:2">
      <c r="A4" t="s">
        <v>176</v>
      </c>
      <c r="B4">
        <v>2</v>
      </c>
    </row>
    <row r="5" spans="1:2">
      <c r="A5" t="s">
        <v>177</v>
      </c>
      <c r="B5">
        <v>1</v>
      </c>
    </row>
    <row r="6" spans="1:2">
      <c r="A6" t="s">
        <v>183</v>
      </c>
      <c r="B6">
        <v>3</v>
      </c>
    </row>
    <row r="7" spans="1:2">
      <c r="A7" t="s">
        <v>180</v>
      </c>
      <c r="B7">
        <v>2</v>
      </c>
    </row>
    <row r="8" spans="1:2">
      <c r="A8" t="s">
        <v>181</v>
      </c>
      <c r="B8">
        <v>1</v>
      </c>
    </row>
    <row r="9" spans="1:2">
      <c r="A9" t="s">
        <v>182</v>
      </c>
      <c r="B9">
        <v>3</v>
      </c>
    </row>
    <row r="10" spans="1:2">
      <c r="A10" t="s">
        <v>190</v>
      </c>
      <c r="B10">
        <v>2</v>
      </c>
    </row>
    <row r="11" spans="1:2">
      <c r="A11" t="s">
        <v>192</v>
      </c>
      <c r="B11">
        <v>2</v>
      </c>
    </row>
    <row r="12" spans="1:2">
      <c r="A12" t="s">
        <v>195</v>
      </c>
      <c r="B12">
        <v>1</v>
      </c>
    </row>
    <row r="13" spans="1:2">
      <c r="A13" t="s">
        <v>194</v>
      </c>
      <c r="B1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5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70" customWidth="1"/>
    <col min="4" max="4" width="10.69921875" style="71" customWidth="1"/>
    <col min="5" max="5" width="10.69921875" style="83" customWidth="1"/>
    <col min="6" max="6" width="10.69921875" style="71" customWidth="1"/>
    <col min="7" max="7" width="10.69921875" style="72" customWidth="1"/>
    <col min="8" max="8" width="10.69921875" style="71" customWidth="1"/>
    <col min="9" max="9" width="10.69921875" style="73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4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5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4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8" customWidth="1"/>
    <col min="34" max="16384" width="9" style="59"/>
  </cols>
  <sheetData>
    <row r="1" spans="1:33">
      <c r="A1" s="58"/>
      <c r="B1" s="138" t="s">
        <v>6</v>
      </c>
      <c r="C1" s="139"/>
      <c r="D1" s="138" t="s">
        <v>7</v>
      </c>
      <c r="E1" s="139"/>
      <c r="F1" s="138" t="s">
        <v>15</v>
      </c>
      <c r="G1" s="139"/>
      <c r="H1" s="138" t="s">
        <v>14</v>
      </c>
      <c r="I1" s="139"/>
      <c r="J1" s="138" t="s">
        <v>133</v>
      </c>
      <c r="K1" s="139"/>
      <c r="L1" s="138" t="s">
        <v>163</v>
      </c>
      <c r="M1" s="139"/>
      <c r="N1" s="138" t="s">
        <v>123</v>
      </c>
      <c r="O1" s="139"/>
      <c r="P1" s="138" t="s">
        <v>124</v>
      </c>
      <c r="Q1" s="139"/>
      <c r="R1" s="138" t="s">
        <v>5</v>
      </c>
      <c r="S1" s="139"/>
      <c r="T1" s="138" t="s">
        <v>16</v>
      </c>
      <c r="U1" s="139"/>
      <c r="V1" s="138" t="s">
        <v>106</v>
      </c>
      <c r="W1" s="139"/>
      <c r="X1" s="138" t="s">
        <v>103</v>
      </c>
      <c r="Y1" s="139"/>
      <c r="Z1" s="138" t="s">
        <v>109</v>
      </c>
      <c r="AA1" s="139"/>
      <c r="AB1" s="138" t="s">
        <v>125</v>
      </c>
      <c r="AC1" s="139"/>
      <c r="AD1" s="138" t="s">
        <v>121</v>
      </c>
      <c r="AE1" s="139"/>
      <c r="AF1" s="138" t="s">
        <v>157</v>
      </c>
      <c r="AG1" s="139"/>
    </row>
    <row r="2" spans="1:33">
      <c r="A2" s="58" t="s">
        <v>132</v>
      </c>
      <c r="B2" s="140"/>
      <c r="C2" s="141"/>
      <c r="D2" s="140"/>
      <c r="E2" s="141"/>
      <c r="F2" s="136" t="s">
        <v>184</v>
      </c>
      <c r="G2" s="137"/>
      <c r="H2" s="136" t="s">
        <v>184</v>
      </c>
      <c r="I2" s="137"/>
      <c r="J2" s="136" t="s">
        <v>184</v>
      </c>
      <c r="K2" s="137"/>
      <c r="L2" s="136" t="s">
        <v>184</v>
      </c>
      <c r="M2" s="137"/>
      <c r="N2" s="136" t="s">
        <v>184</v>
      </c>
      <c r="O2" s="137"/>
      <c r="P2" s="136" t="s">
        <v>184</v>
      </c>
      <c r="Q2" s="137"/>
      <c r="R2" s="136" t="s">
        <v>184</v>
      </c>
      <c r="S2" s="137"/>
      <c r="T2" s="136" t="s">
        <v>184</v>
      </c>
      <c r="U2" s="137"/>
      <c r="V2" s="136" t="s">
        <v>184</v>
      </c>
      <c r="W2" s="137"/>
      <c r="X2" s="136" t="s">
        <v>184</v>
      </c>
      <c r="Y2" s="137"/>
      <c r="Z2" s="136" t="s">
        <v>184</v>
      </c>
      <c r="AA2" s="137"/>
      <c r="AB2" s="136" t="s">
        <v>184</v>
      </c>
      <c r="AC2" s="137"/>
      <c r="AD2" s="136" t="s">
        <v>184</v>
      </c>
      <c r="AE2" s="137"/>
      <c r="AF2" s="136" t="s">
        <v>184</v>
      </c>
      <c r="AG2" s="137"/>
    </row>
    <row r="3" spans="1:33">
      <c r="A3" s="60">
        <v>1</v>
      </c>
      <c r="B3" s="61" t="s">
        <v>182</v>
      </c>
      <c r="C3" s="62">
        <v>130.9</v>
      </c>
      <c r="D3" s="63" t="s">
        <v>194</v>
      </c>
      <c r="E3" s="82">
        <v>54.2</v>
      </c>
      <c r="F3" s="63" t="s">
        <v>194</v>
      </c>
      <c r="G3" s="64">
        <v>1</v>
      </c>
      <c r="H3" s="63" t="s">
        <v>194</v>
      </c>
      <c r="I3" s="65">
        <v>1</v>
      </c>
      <c r="J3" s="63" t="s">
        <v>177</v>
      </c>
      <c r="K3" s="65">
        <v>0</v>
      </c>
      <c r="L3" s="63" t="s">
        <v>181</v>
      </c>
      <c r="M3" s="65">
        <v>1</v>
      </c>
      <c r="N3" s="63" t="s">
        <v>182</v>
      </c>
      <c r="O3" s="66">
        <v>0.40909090909090912</v>
      </c>
      <c r="P3" s="63" t="s">
        <v>181</v>
      </c>
      <c r="Q3" s="66">
        <v>0</v>
      </c>
      <c r="R3" s="63" t="s">
        <v>183</v>
      </c>
      <c r="S3" s="67">
        <v>13000</v>
      </c>
      <c r="T3" s="63" t="s">
        <v>181</v>
      </c>
      <c r="U3" s="67">
        <v>0</v>
      </c>
      <c r="V3" s="63" t="s">
        <v>180</v>
      </c>
      <c r="W3" s="66">
        <v>0.11764705882352941</v>
      </c>
      <c r="X3" s="63" t="s">
        <v>177</v>
      </c>
      <c r="Y3" s="66">
        <v>0.3</v>
      </c>
      <c r="Z3" s="63" t="s">
        <v>176</v>
      </c>
      <c r="AA3" s="66">
        <v>0.77777777777777779</v>
      </c>
      <c r="AB3" s="63" t="s">
        <v>180</v>
      </c>
      <c r="AC3" s="66">
        <v>0.66666666666666663</v>
      </c>
      <c r="AD3" s="63" t="s">
        <v>176</v>
      </c>
      <c r="AE3" s="66">
        <v>0.7142857142857143</v>
      </c>
      <c r="AF3" s="63" t="s">
        <v>122</v>
      </c>
      <c r="AG3" s="77">
        <v>67800</v>
      </c>
    </row>
    <row r="4" spans="1:33">
      <c r="A4" s="68">
        <v>2</v>
      </c>
      <c r="B4" s="69" t="s">
        <v>194</v>
      </c>
      <c r="C4" s="70">
        <v>54.2</v>
      </c>
      <c r="D4" s="71" t="s">
        <v>182</v>
      </c>
      <c r="E4" s="83">
        <v>43.633333333333333</v>
      </c>
      <c r="F4" s="71" t="s">
        <v>182</v>
      </c>
      <c r="G4" s="72">
        <v>1.3333333333333333</v>
      </c>
      <c r="H4" s="71" t="s">
        <v>182</v>
      </c>
      <c r="I4" s="73">
        <v>0.66666666666666663</v>
      </c>
      <c r="J4" s="71" t="s">
        <v>183</v>
      </c>
      <c r="K4" s="73">
        <v>0</v>
      </c>
      <c r="L4" s="71" t="s">
        <v>182</v>
      </c>
      <c r="M4" s="73">
        <v>1</v>
      </c>
      <c r="N4" s="71" t="s">
        <v>176</v>
      </c>
      <c r="O4" s="74">
        <v>0.35</v>
      </c>
      <c r="P4" s="71" t="s">
        <v>182</v>
      </c>
      <c r="Q4" s="74">
        <v>4.5454545454545456E-2</v>
      </c>
      <c r="R4" s="71" t="s">
        <v>175</v>
      </c>
      <c r="S4" s="75">
        <v>9925</v>
      </c>
      <c r="T4" s="71" t="s">
        <v>194</v>
      </c>
      <c r="U4" s="75">
        <v>-2000</v>
      </c>
      <c r="V4" s="71" t="s">
        <v>195</v>
      </c>
      <c r="W4" s="74">
        <v>0.14285714285714285</v>
      </c>
      <c r="X4" s="71" t="s">
        <v>195</v>
      </c>
      <c r="Y4" s="74">
        <v>0.2857142857142857</v>
      </c>
      <c r="Z4" s="71" t="s">
        <v>190</v>
      </c>
      <c r="AA4" s="74">
        <v>0.75</v>
      </c>
      <c r="AB4" s="71" t="s">
        <v>182</v>
      </c>
      <c r="AC4" s="74">
        <v>0.5</v>
      </c>
      <c r="AD4" s="71" t="s">
        <v>180</v>
      </c>
      <c r="AE4" s="74">
        <v>0.66666666666666663</v>
      </c>
      <c r="AF4" s="71" t="s">
        <v>176</v>
      </c>
      <c r="AG4" s="78">
        <v>67800</v>
      </c>
    </row>
    <row r="5" spans="1:33">
      <c r="A5" s="68">
        <v>3</v>
      </c>
      <c r="B5" s="69" t="s">
        <v>176</v>
      </c>
      <c r="C5" s="70">
        <v>26.099999999999994</v>
      </c>
      <c r="D5" s="71" t="s">
        <v>181</v>
      </c>
      <c r="E5" s="83">
        <v>14</v>
      </c>
      <c r="F5" s="71" t="s">
        <v>181</v>
      </c>
      <c r="G5" s="72">
        <v>2</v>
      </c>
      <c r="H5" s="71" t="s">
        <v>176</v>
      </c>
      <c r="I5" s="73">
        <v>0.5</v>
      </c>
      <c r="J5" s="71" t="s">
        <v>181</v>
      </c>
      <c r="K5" s="73">
        <v>0</v>
      </c>
      <c r="L5" s="71" t="s">
        <v>194</v>
      </c>
      <c r="M5" s="73">
        <v>1</v>
      </c>
      <c r="N5" s="71" t="s">
        <v>181</v>
      </c>
      <c r="O5" s="74">
        <v>0.2857142857142857</v>
      </c>
      <c r="P5" s="71" t="s">
        <v>180</v>
      </c>
      <c r="Q5" s="74">
        <v>5.8823529411764705E-2</v>
      </c>
      <c r="R5" s="71" t="s">
        <v>181</v>
      </c>
      <c r="S5" s="75">
        <v>8600</v>
      </c>
      <c r="T5" s="71" t="s">
        <v>190</v>
      </c>
      <c r="U5" s="75">
        <v>-2950</v>
      </c>
      <c r="V5" s="71" t="s">
        <v>175</v>
      </c>
      <c r="W5" s="74">
        <v>0.18518518518518517</v>
      </c>
      <c r="X5" s="71" t="s">
        <v>182</v>
      </c>
      <c r="Y5" s="74">
        <v>0.27272727272727271</v>
      </c>
      <c r="Z5" s="71" t="s">
        <v>192</v>
      </c>
      <c r="AA5" s="74">
        <v>0.75</v>
      </c>
      <c r="AB5" s="71" t="s">
        <v>178</v>
      </c>
      <c r="AC5" s="74">
        <v>0.33333333333333331</v>
      </c>
      <c r="AD5" s="71" t="s">
        <v>182</v>
      </c>
      <c r="AE5" s="74">
        <v>0.55555555555555558</v>
      </c>
      <c r="AF5" s="71" t="s">
        <v>175</v>
      </c>
      <c r="AG5" s="78">
        <v>54900</v>
      </c>
    </row>
    <row r="6" spans="1:33">
      <c r="A6" s="68">
        <v>4</v>
      </c>
      <c r="B6" s="69" t="s">
        <v>181</v>
      </c>
      <c r="C6" s="70">
        <v>14</v>
      </c>
      <c r="D6" s="71" t="s">
        <v>176</v>
      </c>
      <c r="E6" s="83">
        <v>13.049999999999997</v>
      </c>
      <c r="F6" s="71" t="s">
        <v>122</v>
      </c>
      <c r="G6" s="72">
        <v>2.5</v>
      </c>
      <c r="H6" s="71" t="s">
        <v>192</v>
      </c>
      <c r="I6" s="73">
        <v>0.5</v>
      </c>
      <c r="J6" s="71" t="s">
        <v>182</v>
      </c>
      <c r="K6" s="73">
        <v>0</v>
      </c>
      <c r="L6" s="71" t="s">
        <v>122</v>
      </c>
      <c r="M6" s="73">
        <v>0.5</v>
      </c>
      <c r="N6" s="71" t="s">
        <v>194</v>
      </c>
      <c r="O6" s="74">
        <v>0.2857142857142857</v>
      </c>
      <c r="P6" s="71" t="s">
        <v>178</v>
      </c>
      <c r="Q6" s="74">
        <v>7.407407407407407E-2</v>
      </c>
      <c r="R6" s="71" t="s">
        <v>190</v>
      </c>
      <c r="S6" s="75">
        <v>8400</v>
      </c>
      <c r="T6" s="71" t="s">
        <v>178</v>
      </c>
      <c r="U6" s="75">
        <v>-5300</v>
      </c>
      <c r="V6" s="71" t="s">
        <v>183</v>
      </c>
      <c r="W6" s="74">
        <v>0.19230769230769232</v>
      </c>
      <c r="X6" s="71" t="s">
        <v>183</v>
      </c>
      <c r="Y6" s="74">
        <v>0.19230769230769232</v>
      </c>
      <c r="Z6" s="71" t="s">
        <v>182</v>
      </c>
      <c r="AA6" s="74">
        <v>0.66666666666666663</v>
      </c>
      <c r="AB6" s="71" t="s">
        <v>192</v>
      </c>
      <c r="AC6" s="74">
        <v>0.33333333333333331</v>
      </c>
      <c r="AD6" s="71" t="s">
        <v>181</v>
      </c>
      <c r="AE6" s="74">
        <v>0.5</v>
      </c>
      <c r="AF6" s="71" t="s">
        <v>192</v>
      </c>
      <c r="AG6" s="78">
        <v>42500</v>
      </c>
    </row>
    <row r="7" spans="1:33">
      <c r="A7" s="68">
        <v>5</v>
      </c>
      <c r="B7" s="69" t="s">
        <v>192</v>
      </c>
      <c r="C7" s="70">
        <v>3.8999999999999986</v>
      </c>
      <c r="D7" s="71" t="s">
        <v>192</v>
      </c>
      <c r="E7" s="83">
        <v>1.9499999999999993</v>
      </c>
      <c r="F7" s="71" t="s">
        <v>176</v>
      </c>
      <c r="G7" s="72">
        <v>2.5</v>
      </c>
      <c r="H7" s="71" t="s">
        <v>175</v>
      </c>
      <c r="I7" s="73">
        <v>0.33333333333333331</v>
      </c>
      <c r="J7" s="71" t="s">
        <v>190</v>
      </c>
      <c r="K7" s="73">
        <v>0</v>
      </c>
      <c r="L7" s="71" t="s">
        <v>176</v>
      </c>
      <c r="M7" s="73">
        <v>0.5</v>
      </c>
      <c r="N7" s="71" t="s">
        <v>192</v>
      </c>
      <c r="O7" s="74">
        <v>0.21052631578947367</v>
      </c>
      <c r="P7" s="71" t="s">
        <v>177</v>
      </c>
      <c r="Q7" s="74">
        <v>0.1</v>
      </c>
      <c r="R7" s="71" t="s">
        <v>178</v>
      </c>
      <c r="S7" s="75">
        <v>7033.333333333333</v>
      </c>
      <c r="T7" s="71" t="s">
        <v>183</v>
      </c>
      <c r="U7" s="75">
        <v>-5500</v>
      </c>
      <c r="V7" s="71" t="s">
        <v>192</v>
      </c>
      <c r="W7" s="74">
        <v>0.21052631578947367</v>
      </c>
      <c r="X7" s="71" t="s">
        <v>180</v>
      </c>
      <c r="Y7" s="74">
        <v>0.17647058823529413</v>
      </c>
      <c r="Z7" s="71" t="s">
        <v>122</v>
      </c>
      <c r="AA7" s="74">
        <v>0.54</v>
      </c>
      <c r="AB7" s="71" t="s">
        <v>122</v>
      </c>
      <c r="AC7" s="74">
        <v>0.23333333333333334</v>
      </c>
      <c r="AD7" s="71" t="s">
        <v>194</v>
      </c>
      <c r="AE7" s="74">
        <v>0.5</v>
      </c>
      <c r="AF7" s="71" t="s">
        <v>182</v>
      </c>
      <c r="AG7" s="78">
        <v>41100</v>
      </c>
    </row>
    <row r="8" spans="1:33">
      <c r="A8" s="68">
        <v>6</v>
      </c>
      <c r="B8" s="69" t="s">
        <v>122</v>
      </c>
      <c r="C8" s="70">
        <v>-0.99999999999998934</v>
      </c>
      <c r="D8" s="71" t="s">
        <v>122</v>
      </c>
      <c r="E8" s="83">
        <v>-4.166666666666622E-2</v>
      </c>
      <c r="F8" s="71" t="s">
        <v>190</v>
      </c>
      <c r="G8" s="72">
        <v>2.5</v>
      </c>
      <c r="H8" s="71" t="s">
        <v>122</v>
      </c>
      <c r="I8" s="73">
        <v>0.25</v>
      </c>
      <c r="J8" s="71" t="s">
        <v>194</v>
      </c>
      <c r="K8" s="73">
        <v>0</v>
      </c>
      <c r="L8" s="71" t="s">
        <v>180</v>
      </c>
      <c r="M8" s="73">
        <v>0.5</v>
      </c>
      <c r="N8" s="71" t="s">
        <v>122</v>
      </c>
      <c r="O8" s="74">
        <v>0.20098039215686275</v>
      </c>
      <c r="P8" s="71" t="s">
        <v>192</v>
      </c>
      <c r="Q8" s="74">
        <v>0.10526315789473684</v>
      </c>
      <c r="R8" s="71" t="s">
        <v>122</v>
      </c>
      <c r="S8" s="75">
        <v>6763.4146341463411</v>
      </c>
      <c r="T8" s="71" t="s">
        <v>192</v>
      </c>
      <c r="U8" s="75">
        <v>-5950</v>
      </c>
      <c r="V8" s="71" t="s">
        <v>178</v>
      </c>
      <c r="W8" s="74">
        <v>0.22222222222222221</v>
      </c>
      <c r="X8" s="71" t="s">
        <v>192</v>
      </c>
      <c r="Y8" s="74">
        <v>0.15789473684210525</v>
      </c>
      <c r="Z8" s="71" t="s">
        <v>177</v>
      </c>
      <c r="AA8" s="74">
        <v>0.5</v>
      </c>
      <c r="AB8" s="71" t="s">
        <v>175</v>
      </c>
      <c r="AC8" s="74">
        <v>0</v>
      </c>
      <c r="AD8" s="71" t="s">
        <v>122</v>
      </c>
      <c r="AE8" s="74">
        <v>0.41463414634146339</v>
      </c>
      <c r="AF8" s="71" t="s">
        <v>183</v>
      </c>
      <c r="AG8" s="78">
        <v>34800</v>
      </c>
    </row>
    <row r="9" spans="1:33">
      <c r="A9" s="68">
        <v>7</v>
      </c>
      <c r="B9" s="69" t="s">
        <v>190</v>
      </c>
      <c r="C9" s="70">
        <v>-2.2000000000000011</v>
      </c>
      <c r="D9" s="71" t="s">
        <v>190</v>
      </c>
      <c r="E9" s="83">
        <v>-1.1000000000000005</v>
      </c>
      <c r="F9" s="71" t="s">
        <v>192</v>
      </c>
      <c r="G9" s="72">
        <v>2.5</v>
      </c>
      <c r="H9" s="71" t="s">
        <v>178</v>
      </c>
      <c r="I9" s="73">
        <v>0</v>
      </c>
      <c r="J9" s="71" t="s">
        <v>122</v>
      </c>
      <c r="K9" s="73">
        <v>0.25</v>
      </c>
      <c r="L9" s="71" t="s">
        <v>190</v>
      </c>
      <c r="M9" s="73">
        <v>0.5</v>
      </c>
      <c r="N9" s="71" t="s">
        <v>177</v>
      </c>
      <c r="O9" s="74">
        <v>0.2</v>
      </c>
      <c r="P9" s="71" t="s">
        <v>122</v>
      </c>
      <c r="Q9" s="74">
        <v>0.11764705882352941</v>
      </c>
      <c r="R9" s="71" t="s">
        <v>176</v>
      </c>
      <c r="S9" s="75">
        <v>6714.2857142857147</v>
      </c>
      <c r="T9" s="71" t="s">
        <v>195</v>
      </c>
      <c r="U9" s="75">
        <v>-6600</v>
      </c>
      <c r="V9" s="71" t="s">
        <v>122</v>
      </c>
      <c r="W9" s="74">
        <v>0.24509803921568626</v>
      </c>
      <c r="X9" s="71" t="s">
        <v>122</v>
      </c>
      <c r="Y9" s="74">
        <v>0.14705882352941177</v>
      </c>
      <c r="Z9" s="71" t="s">
        <v>180</v>
      </c>
      <c r="AA9" s="74">
        <v>0.5</v>
      </c>
      <c r="AB9" s="71" t="s">
        <v>176</v>
      </c>
      <c r="AC9" s="74">
        <v>0</v>
      </c>
      <c r="AD9" s="71" t="s">
        <v>190</v>
      </c>
      <c r="AE9" s="74">
        <v>0.33333333333333331</v>
      </c>
      <c r="AF9" s="71" t="s">
        <v>194</v>
      </c>
      <c r="AG9" s="78">
        <v>34200</v>
      </c>
    </row>
    <row r="10" spans="1:33">
      <c r="A10" s="68">
        <v>8</v>
      </c>
      <c r="B10" s="69" t="s">
        <v>175</v>
      </c>
      <c r="C10" s="70">
        <v>-7.4999999999999929</v>
      </c>
      <c r="D10" s="71" t="s">
        <v>175</v>
      </c>
      <c r="E10" s="83">
        <v>-2.4999999999999978</v>
      </c>
      <c r="F10" s="71" t="s">
        <v>175</v>
      </c>
      <c r="G10" s="72">
        <v>2.6666666666666665</v>
      </c>
      <c r="H10" s="71" t="s">
        <v>177</v>
      </c>
      <c r="I10" s="73">
        <v>0</v>
      </c>
      <c r="J10" s="71" t="s">
        <v>178</v>
      </c>
      <c r="K10" s="73">
        <v>0.33333333333333331</v>
      </c>
      <c r="L10" s="71" t="s">
        <v>192</v>
      </c>
      <c r="M10" s="73">
        <v>0.5</v>
      </c>
      <c r="N10" s="71" t="s">
        <v>190</v>
      </c>
      <c r="O10" s="74">
        <v>0.2</v>
      </c>
      <c r="P10" s="71" t="s">
        <v>190</v>
      </c>
      <c r="Q10" s="74">
        <v>0.13333333333333333</v>
      </c>
      <c r="R10" s="71" t="s">
        <v>192</v>
      </c>
      <c r="S10" s="75">
        <v>5900</v>
      </c>
      <c r="T10" s="71" t="s">
        <v>122</v>
      </c>
      <c r="U10" s="75">
        <v>-6758.333333333333</v>
      </c>
      <c r="V10" s="71" t="s">
        <v>190</v>
      </c>
      <c r="W10" s="74">
        <v>0.26666666666666666</v>
      </c>
      <c r="X10" s="71" t="s">
        <v>181</v>
      </c>
      <c r="Y10" s="74">
        <v>0.14285714285714285</v>
      </c>
      <c r="Z10" s="71" t="s">
        <v>181</v>
      </c>
      <c r="AA10" s="74">
        <v>0.5</v>
      </c>
      <c r="AB10" s="71" t="s">
        <v>177</v>
      </c>
      <c r="AC10" s="74">
        <v>0</v>
      </c>
      <c r="AD10" s="71" t="s">
        <v>175</v>
      </c>
      <c r="AE10" s="74">
        <v>0.25</v>
      </c>
      <c r="AF10" s="71" t="s">
        <v>181</v>
      </c>
      <c r="AG10" s="78">
        <v>34000</v>
      </c>
    </row>
    <row r="11" spans="1:33">
      <c r="A11" s="68">
        <v>9</v>
      </c>
      <c r="B11" s="69" t="s">
        <v>177</v>
      </c>
      <c r="C11" s="70">
        <v>-25.1</v>
      </c>
      <c r="D11" s="71" t="s">
        <v>183</v>
      </c>
      <c r="E11" s="83">
        <v>-10.766666666666666</v>
      </c>
      <c r="F11" s="71" t="s">
        <v>183</v>
      </c>
      <c r="G11" s="72">
        <v>2.6666666666666665</v>
      </c>
      <c r="H11" s="71" t="s">
        <v>183</v>
      </c>
      <c r="I11" s="73">
        <v>0</v>
      </c>
      <c r="J11" s="71" t="s">
        <v>175</v>
      </c>
      <c r="K11" s="73">
        <v>0.33333333333333331</v>
      </c>
      <c r="L11" s="71" t="s">
        <v>178</v>
      </c>
      <c r="M11" s="73">
        <v>0.33333333333333331</v>
      </c>
      <c r="N11" s="71" t="s">
        <v>180</v>
      </c>
      <c r="O11" s="74">
        <v>0.17647058823529413</v>
      </c>
      <c r="P11" s="71" t="s">
        <v>194</v>
      </c>
      <c r="Q11" s="74">
        <v>0.14285714285714285</v>
      </c>
      <c r="R11" s="71" t="s">
        <v>182</v>
      </c>
      <c r="S11" s="75">
        <v>5700</v>
      </c>
      <c r="T11" s="71" t="s">
        <v>176</v>
      </c>
      <c r="U11" s="75">
        <v>-6800</v>
      </c>
      <c r="V11" s="71" t="s">
        <v>182</v>
      </c>
      <c r="W11" s="74">
        <v>0.27272727272727271</v>
      </c>
      <c r="X11" s="71" t="s">
        <v>178</v>
      </c>
      <c r="Y11" s="74">
        <v>0.1111111111111111</v>
      </c>
      <c r="Z11" s="71" t="s">
        <v>194</v>
      </c>
      <c r="AA11" s="74">
        <v>0.5</v>
      </c>
      <c r="AB11" s="71" t="s">
        <v>183</v>
      </c>
      <c r="AC11" s="74">
        <v>0</v>
      </c>
      <c r="AD11" s="71" t="s">
        <v>192</v>
      </c>
      <c r="AE11" s="74">
        <v>0.25</v>
      </c>
      <c r="AF11" s="71" t="s">
        <v>190</v>
      </c>
      <c r="AG11" s="78">
        <v>33600</v>
      </c>
    </row>
    <row r="12" spans="1:33">
      <c r="A12" s="68">
        <v>10</v>
      </c>
      <c r="B12" s="69" t="s">
        <v>183</v>
      </c>
      <c r="C12" s="70">
        <v>-32.299999999999997</v>
      </c>
      <c r="D12" s="71" t="s">
        <v>178</v>
      </c>
      <c r="E12" s="83">
        <v>-17.733333333333334</v>
      </c>
      <c r="F12" s="71" t="s">
        <v>178</v>
      </c>
      <c r="G12" s="72">
        <v>3</v>
      </c>
      <c r="H12" s="71" t="s">
        <v>180</v>
      </c>
      <c r="I12" s="73">
        <v>0</v>
      </c>
      <c r="J12" s="71" t="s">
        <v>176</v>
      </c>
      <c r="K12" s="73">
        <v>0.5</v>
      </c>
      <c r="L12" s="71" t="s">
        <v>175</v>
      </c>
      <c r="M12" s="73">
        <v>0.33333333333333331</v>
      </c>
      <c r="N12" s="71" t="s">
        <v>175</v>
      </c>
      <c r="O12" s="74">
        <v>0.14814814814814814</v>
      </c>
      <c r="P12" s="71" t="s">
        <v>176</v>
      </c>
      <c r="Q12" s="74">
        <v>0.15</v>
      </c>
      <c r="R12" s="71" t="s">
        <v>177</v>
      </c>
      <c r="S12" s="75">
        <v>5300</v>
      </c>
      <c r="T12" s="71" t="s">
        <v>175</v>
      </c>
      <c r="U12" s="75">
        <v>-6840</v>
      </c>
      <c r="V12" s="71" t="s">
        <v>181</v>
      </c>
      <c r="W12" s="74">
        <v>0.2857142857142857</v>
      </c>
      <c r="X12" s="71" t="s">
        <v>175</v>
      </c>
      <c r="Y12" s="74">
        <v>0.1111111111111111</v>
      </c>
      <c r="Z12" s="71" t="s">
        <v>175</v>
      </c>
      <c r="AA12" s="74">
        <v>0.4</v>
      </c>
      <c r="AB12" s="71" t="s">
        <v>181</v>
      </c>
      <c r="AC12" s="74">
        <v>0</v>
      </c>
      <c r="AD12" s="71" t="s">
        <v>178</v>
      </c>
      <c r="AE12" s="74">
        <v>0</v>
      </c>
      <c r="AF12" s="71" t="s">
        <v>178</v>
      </c>
      <c r="AG12" s="78">
        <v>31900</v>
      </c>
    </row>
    <row r="13" spans="1:33">
      <c r="A13" s="68">
        <v>11</v>
      </c>
      <c r="B13" s="69" t="s">
        <v>195</v>
      </c>
      <c r="C13" s="70">
        <v>-52.6</v>
      </c>
      <c r="D13" s="71" t="s">
        <v>177</v>
      </c>
      <c r="E13" s="83">
        <v>-25.1</v>
      </c>
      <c r="F13" s="71" t="s">
        <v>177</v>
      </c>
      <c r="G13" s="72">
        <v>3</v>
      </c>
      <c r="H13" s="71" t="s">
        <v>181</v>
      </c>
      <c r="I13" s="73">
        <v>0</v>
      </c>
      <c r="J13" s="71" t="s">
        <v>180</v>
      </c>
      <c r="K13" s="73">
        <v>0.5</v>
      </c>
      <c r="L13" s="71" t="s">
        <v>183</v>
      </c>
      <c r="M13" s="73">
        <v>0.33333333333333331</v>
      </c>
      <c r="N13" s="71" t="s">
        <v>178</v>
      </c>
      <c r="O13" s="74">
        <v>0.1111111111111111</v>
      </c>
      <c r="P13" s="71" t="s">
        <v>183</v>
      </c>
      <c r="Q13" s="74">
        <v>0.15384615384615385</v>
      </c>
      <c r="R13" s="71" t="s">
        <v>194</v>
      </c>
      <c r="S13" s="75">
        <v>4550</v>
      </c>
      <c r="T13" s="71" t="s">
        <v>177</v>
      </c>
      <c r="U13" s="75">
        <v>-12000</v>
      </c>
      <c r="V13" s="71" t="s">
        <v>194</v>
      </c>
      <c r="W13" s="74">
        <v>0.2857142857142857</v>
      </c>
      <c r="X13" s="71" t="s">
        <v>176</v>
      </c>
      <c r="Y13" s="74">
        <v>0.05</v>
      </c>
      <c r="Z13" s="71" t="s">
        <v>183</v>
      </c>
      <c r="AA13" s="74">
        <v>0.4</v>
      </c>
      <c r="AB13" s="71" t="s">
        <v>190</v>
      </c>
      <c r="AC13" s="74">
        <v>0</v>
      </c>
      <c r="AD13" s="71" t="s">
        <v>177</v>
      </c>
      <c r="AE13" s="74">
        <v>0</v>
      </c>
      <c r="AF13" s="71" t="s">
        <v>180</v>
      </c>
      <c r="AG13" s="78">
        <v>23700</v>
      </c>
    </row>
    <row r="14" spans="1:33">
      <c r="A14" s="68">
        <v>12</v>
      </c>
      <c r="B14" s="69" t="s">
        <v>178</v>
      </c>
      <c r="C14" s="70">
        <v>-53.2</v>
      </c>
      <c r="D14" s="71" t="s">
        <v>180</v>
      </c>
      <c r="E14" s="83">
        <v>-28.599999999999998</v>
      </c>
      <c r="F14" s="71" t="s">
        <v>180</v>
      </c>
      <c r="G14" s="72">
        <v>3</v>
      </c>
      <c r="H14" s="71" t="s">
        <v>190</v>
      </c>
      <c r="I14" s="73">
        <v>0</v>
      </c>
      <c r="J14" s="71" t="s">
        <v>192</v>
      </c>
      <c r="K14" s="73">
        <v>0.5</v>
      </c>
      <c r="L14" s="71" t="s">
        <v>177</v>
      </c>
      <c r="M14" s="73">
        <v>0</v>
      </c>
      <c r="N14" s="71" t="s">
        <v>183</v>
      </c>
      <c r="O14" s="74">
        <v>7.6923076923076927E-2</v>
      </c>
      <c r="P14" s="71" t="s">
        <v>175</v>
      </c>
      <c r="Q14" s="74">
        <v>0.18518518518518517</v>
      </c>
      <c r="R14" s="71" t="s">
        <v>180</v>
      </c>
      <c r="S14" s="75">
        <v>2166.6666666666665</v>
      </c>
      <c r="T14" s="71" t="s">
        <v>182</v>
      </c>
      <c r="U14" s="75">
        <v>-12000</v>
      </c>
      <c r="V14" s="71" t="s">
        <v>177</v>
      </c>
      <c r="W14" s="74">
        <v>0.4</v>
      </c>
      <c r="X14" s="71" t="s">
        <v>190</v>
      </c>
      <c r="Y14" s="74">
        <v>0</v>
      </c>
      <c r="Z14" s="71" t="s">
        <v>178</v>
      </c>
      <c r="AA14" s="74">
        <v>0.16666666666666666</v>
      </c>
      <c r="AB14" s="71" t="s">
        <v>195</v>
      </c>
      <c r="AC14" s="74">
        <v>0</v>
      </c>
      <c r="AD14" s="71" t="s">
        <v>183</v>
      </c>
      <c r="AE14" s="74">
        <v>0</v>
      </c>
      <c r="AF14" s="71" t="s">
        <v>177</v>
      </c>
      <c r="AG14" s="78">
        <v>14900</v>
      </c>
    </row>
    <row r="15" spans="1:33">
      <c r="A15" s="68">
        <v>13</v>
      </c>
      <c r="B15" s="69" t="s">
        <v>180</v>
      </c>
      <c r="C15" s="70">
        <v>-57.199999999999996</v>
      </c>
      <c r="D15" s="71" t="s">
        <v>195</v>
      </c>
      <c r="E15" s="83">
        <v>-52.6</v>
      </c>
      <c r="F15" s="71" t="s">
        <v>195</v>
      </c>
      <c r="G15" s="72">
        <v>4</v>
      </c>
      <c r="H15" s="71" t="s">
        <v>195</v>
      </c>
      <c r="I15" s="73">
        <v>0</v>
      </c>
      <c r="J15" s="71" t="s">
        <v>195</v>
      </c>
      <c r="K15" s="73">
        <v>1</v>
      </c>
      <c r="L15" s="71" t="s">
        <v>195</v>
      </c>
      <c r="M15" s="73">
        <v>0</v>
      </c>
      <c r="N15" s="71" t="s">
        <v>195</v>
      </c>
      <c r="O15" s="74">
        <v>0</v>
      </c>
      <c r="P15" s="71" t="s">
        <v>195</v>
      </c>
      <c r="Q15" s="74">
        <v>0.2857142857142857</v>
      </c>
      <c r="R15" s="71" t="s">
        <v>195</v>
      </c>
      <c r="S15" s="75">
        <v>0</v>
      </c>
      <c r="T15" s="71" t="s">
        <v>180</v>
      </c>
      <c r="U15" s="75">
        <v>-18000</v>
      </c>
      <c r="V15" s="71" t="s">
        <v>176</v>
      </c>
      <c r="W15" s="74">
        <v>0.45</v>
      </c>
      <c r="X15" s="71" t="s">
        <v>194</v>
      </c>
      <c r="Y15" s="74">
        <v>0</v>
      </c>
      <c r="Z15" s="71" t="s">
        <v>195</v>
      </c>
      <c r="AA15" s="74">
        <v>0</v>
      </c>
      <c r="AB15" s="71" t="s">
        <v>194</v>
      </c>
      <c r="AC15" s="74">
        <v>0</v>
      </c>
      <c r="AD15" s="71" t="s">
        <v>195</v>
      </c>
      <c r="AE15" s="74">
        <v>0</v>
      </c>
      <c r="AF15" s="71" t="s">
        <v>195</v>
      </c>
      <c r="AG15" s="78">
        <v>7400</v>
      </c>
    </row>
  </sheetData>
  <sortState xmlns:xlrd2="http://schemas.microsoft.com/office/spreadsheetml/2017/richdata2" ref="AF3:AG44">
    <sortCondition descending="1" ref="AG1"/>
  </sortState>
  <mergeCells count="32">
    <mergeCell ref="Z1:AA1"/>
    <mergeCell ref="AB1:AC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A921D-43F5-42AD-AA29-58DC3CD35B31}">
  <sheetPr codeName="Sheet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122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24</v>
      </c>
      <c r="C2" s="149"/>
      <c r="E2" s="54" t="s">
        <v>55</v>
      </c>
      <c r="F2" s="51" t="s">
        <v>164</v>
      </c>
      <c r="G2" s="39">
        <v>26</v>
      </c>
      <c r="H2" s="117">
        <f>IF(B$17=0,0,G2/B$17)</f>
        <v>0.63414634146341464</v>
      </c>
      <c r="I2" s="79">
        <v>6</v>
      </c>
      <c r="K2" s="30">
        <v>0</v>
      </c>
      <c r="L2" s="84">
        <v>0</v>
      </c>
      <c r="N2" s="99" t="s">
        <v>111</v>
      </c>
      <c r="O2" s="106">
        <f t="shared" ref="O2:O9" si="0">IF(P2=0,0,Q2/P2)</f>
        <v>-83.333333333333329</v>
      </c>
      <c r="P2" s="103">
        <v>24</v>
      </c>
      <c r="Q2" s="87">
        <v>-2000</v>
      </c>
    </row>
    <row r="3" spans="1:17">
      <c r="A3" s="47" t="s">
        <v>8</v>
      </c>
      <c r="B3" s="150">
        <v>204</v>
      </c>
      <c r="C3" s="151"/>
      <c r="E3" s="55" t="s">
        <v>57</v>
      </c>
      <c r="F3" s="52" t="s">
        <v>20</v>
      </c>
      <c r="G3" s="40">
        <v>25</v>
      </c>
      <c r="H3" s="118">
        <f>IF(B$17=0,0,G3/B$17)</f>
        <v>0.6097560975609756</v>
      </c>
      <c r="I3" s="80">
        <v>5</v>
      </c>
      <c r="K3" s="32">
        <v>1</v>
      </c>
      <c r="L3" s="85">
        <v>11.9</v>
      </c>
      <c r="N3" s="100" t="s">
        <v>112</v>
      </c>
      <c r="O3" s="107">
        <f t="shared" si="0"/>
        <v>41.666666666666664</v>
      </c>
      <c r="P3" s="104">
        <v>24</v>
      </c>
      <c r="Q3" s="88">
        <v>1000</v>
      </c>
    </row>
    <row r="4" spans="1:17">
      <c r="A4" s="47" t="s">
        <v>6</v>
      </c>
      <c r="B4" s="152">
        <v>-0.99999999999998934</v>
      </c>
      <c r="C4" s="153"/>
      <c r="E4" s="55" t="s">
        <v>58</v>
      </c>
      <c r="F4" s="52" t="s">
        <v>140</v>
      </c>
      <c r="G4" s="40">
        <v>18</v>
      </c>
      <c r="H4" s="118">
        <f>IF(B$17=0,0,G4/B$17)</f>
        <v>0.43902439024390244</v>
      </c>
      <c r="I4" s="80">
        <v>6</v>
      </c>
      <c r="K4" s="32">
        <v>2</v>
      </c>
      <c r="L4" s="85">
        <v>86.800000000000011</v>
      </c>
      <c r="N4" s="100" t="s">
        <v>113</v>
      </c>
      <c r="O4" s="107">
        <f t="shared" si="0"/>
        <v>-41.666666666666664</v>
      </c>
      <c r="P4" s="104">
        <v>24</v>
      </c>
      <c r="Q4" s="88">
        <v>-1000</v>
      </c>
    </row>
    <row r="5" spans="1:17">
      <c r="A5" s="47" t="s">
        <v>7</v>
      </c>
      <c r="B5" s="154">
        <f>IF(B$2=0,0,B$4/B$2)</f>
        <v>-4.166666666666622E-2</v>
      </c>
      <c r="C5" s="155"/>
      <c r="E5" s="55" t="s">
        <v>59</v>
      </c>
      <c r="F5" s="52" t="s">
        <v>166</v>
      </c>
      <c r="G5" s="40">
        <v>13</v>
      </c>
      <c r="H5" s="118">
        <f>IF(B$17=0,0,G5/B$17)</f>
        <v>0.31707317073170732</v>
      </c>
      <c r="I5" s="80">
        <v>6</v>
      </c>
      <c r="K5" s="32">
        <v>3</v>
      </c>
      <c r="L5" s="85">
        <v>25.100000000000009</v>
      </c>
      <c r="N5" s="100" t="s">
        <v>171</v>
      </c>
      <c r="O5" s="107">
        <f>IF(P5=0,0,Q5/P5)</f>
        <v>41.666666666666664</v>
      </c>
      <c r="P5" s="104">
        <v>24</v>
      </c>
      <c r="Q5" s="88">
        <v>1000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60</v>
      </c>
      <c r="F6" s="52" t="s">
        <v>21</v>
      </c>
      <c r="G6" s="40">
        <v>12</v>
      </c>
      <c r="H6" s="118">
        <f>IF(B$17=0,0,G6/B$17)</f>
        <v>0.29268292682926828</v>
      </c>
      <c r="I6" s="80">
        <v>7</v>
      </c>
      <c r="K6" s="32">
        <v>4</v>
      </c>
      <c r="L6" s="85">
        <v>7.1054273576010019E-15</v>
      </c>
      <c r="N6" s="100" t="s">
        <v>114</v>
      </c>
      <c r="O6" s="107">
        <f t="shared" ref="O6" si="1">IF(P6=0,0,Q6/P6)</f>
        <v>0</v>
      </c>
      <c r="P6" s="104">
        <v>20</v>
      </c>
      <c r="Q6" s="88">
        <v>0</v>
      </c>
    </row>
    <row r="7" spans="1:17">
      <c r="A7" s="47" t="s">
        <v>2</v>
      </c>
      <c r="B7" s="40">
        <v>6</v>
      </c>
      <c r="C7" s="33">
        <f t="shared" ref="C7:C12" si="2">IF(B$2=0,0,B7/B$2)</f>
        <v>0.25</v>
      </c>
      <c r="E7" s="55" t="s">
        <v>63</v>
      </c>
      <c r="F7" s="52" t="s">
        <v>22</v>
      </c>
      <c r="G7" s="40">
        <v>12</v>
      </c>
      <c r="H7" s="118">
        <f>IF(B$17=0,0,G7/B$17)</f>
        <v>0.29268292682926828</v>
      </c>
      <c r="I7" s="80">
        <v>5</v>
      </c>
      <c r="K7" s="32">
        <v>5</v>
      </c>
      <c r="L7" s="85">
        <v>-14.199999999999992</v>
      </c>
      <c r="N7" s="100" t="s">
        <v>115</v>
      </c>
      <c r="O7" s="107">
        <f t="shared" si="0"/>
        <v>0</v>
      </c>
      <c r="P7" s="104">
        <v>20</v>
      </c>
      <c r="Q7" s="88">
        <v>0</v>
      </c>
    </row>
    <row r="8" spans="1:17">
      <c r="A8" s="47" t="s">
        <v>3</v>
      </c>
      <c r="B8" s="40">
        <v>6</v>
      </c>
      <c r="C8" s="33">
        <f>IF(B$2=0,0,B8/B$2)</f>
        <v>0.25</v>
      </c>
      <c r="E8" s="55" t="s">
        <v>56</v>
      </c>
      <c r="F8" s="52" t="s">
        <v>165</v>
      </c>
      <c r="G8" s="40">
        <v>8</v>
      </c>
      <c r="H8" s="118">
        <f>IF(B$17=0,0,G8/B$17)</f>
        <v>0.1951219512195122</v>
      </c>
      <c r="I8" s="80">
        <v>6</v>
      </c>
      <c r="K8" s="32">
        <v>6</v>
      </c>
      <c r="L8" s="85">
        <v>-75.099999999999994</v>
      </c>
      <c r="N8" s="100" t="s">
        <v>116</v>
      </c>
      <c r="O8" s="107">
        <f t="shared" si="0"/>
        <v>0</v>
      </c>
      <c r="P8" s="104">
        <v>12</v>
      </c>
      <c r="Q8" s="88">
        <v>0</v>
      </c>
    </row>
    <row r="9" spans="1:17">
      <c r="A9" s="48" t="s">
        <v>4</v>
      </c>
      <c r="B9" s="41">
        <v>6</v>
      </c>
      <c r="C9" s="34">
        <f>IF(B$2=0,0,B9/B$2)</f>
        <v>0.25</v>
      </c>
      <c r="E9" s="55" t="s">
        <v>62</v>
      </c>
      <c r="F9" s="52" t="s">
        <v>19</v>
      </c>
      <c r="G9" s="40">
        <v>5</v>
      </c>
      <c r="H9" s="118">
        <f>IF(B$17=0,0,G9/B$17)</f>
        <v>0.12195121951219512</v>
      </c>
      <c r="I9" s="80">
        <v>5</v>
      </c>
      <c r="K9" s="32">
        <v>7</v>
      </c>
      <c r="L9" s="85">
        <v>-61.099999999999994</v>
      </c>
      <c r="N9" s="101" t="s">
        <v>172</v>
      </c>
      <c r="O9" s="108">
        <f t="shared" si="0"/>
        <v>0</v>
      </c>
      <c r="P9" s="105">
        <v>8</v>
      </c>
      <c r="Q9" s="89">
        <v>0</v>
      </c>
    </row>
    <row r="10" spans="1:17">
      <c r="A10" s="48" t="s">
        <v>161</v>
      </c>
      <c r="B10" s="41">
        <v>6</v>
      </c>
      <c r="C10" s="34">
        <f>IF(B$2=0,0,B10/B$2)</f>
        <v>0.25</v>
      </c>
      <c r="E10" s="55" t="s">
        <v>61</v>
      </c>
      <c r="F10" s="52" t="s">
        <v>23</v>
      </c>
      <c r="G10" s="40">
        <v>2</v>
      </c>
      <c r="H10" s="118">
        <f>IF(B$17=0,0,G10/B$17)</f>
        <v>4.878048780487805E-2</v>
      </c>
      <c r="I10" s="80">
        <v>3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12</v>
      </c>
      <c r="C11" s="34">
        <f>IF(B$2=0,0,B11/B$2)</f>
        <v>0.5</v>
      </c>
      <c r="E11" s="55" t="s">
        <v>70</v>
      </c>
      <c r="F11" s="52" t="s">
        <v>27</v>
      </c>
      <c r="G11" s="40">
        <v>1</v>
      </c>
      <c r="H11" s="118">
        <f>IF(B$17=0,0,G11/B$17)</f>
        <v>2.4390243902439025E-2</v>
      </c>
      <c r="I11" s="80">
        <v>2</v>
      </c>
      <c r="K11" s="32">
        <v>9</v>
      </c>
      <c r="L11" s="85">
        <v>-52.099999999999994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3</v>
      </c>
      <c r="C12" s="36">
        <f t="shared" si="2"/>
        <v>0.125</v>
      </c>
      <c r="E12" s="55" t="s">
        <v>72</v>
      </c>
      <c r="F12" s="52" t="s">
        <v>29</v>
      </c>
      <c r="G12" s="40">
        <v>1</v>
      </c>
      <c r="H12" s="118">
        <f>IF(B$17=0,0,G12/B$17)</f>
        <v>2.4390243902439025E-2</v>
      </c>
      <c r="I12" s="80">
        <v>2</v>
      </c>
      <c r="K12" s="32">
        <v>10</v>
      </c>
      <c r="L12" s="85">
        <v>-38.499999999999993</v>
      </c>
      <c r="N12" s="99" t="s">
        <v>134</v>
      </c>
      <c r="O12" s="109">
        <f>IF(P12=0,0,Q12/P12)</f>
        <v>-12.9</v>
      </c>
      <c r="P12" s="103">
        <v>6</v>
      </c>
      <c r="Q12" s="91">
        <v>-77.400000000000006</v>
      </c>
    </row>
    <row r="13" spans="1:17">
      <c r="A13" s="50" t="s">
        <v>105</v>
      </c>
      <c r="B13" s="43">
        <v>50</v>
      </c>
      <c r="C13" s="38">
        <f>IF(B$3=0,0,B13/B$3)</f>
        <v>0.24509803921568626</v>
      </c>
      <c r="E13" s="55" t="s">
        <v>74</v>
      </c>
      <c r="F13" s="52" t="s">
        <v>31</v>
      </c>
      <c r="G13" s="40">
        <v>1</v>
      </c>
      <c r="H13" s="118">
        <f>IF(B$17=0,0,G13/B$17)</f>
        <v>2.4390243902439025E-2</v>
      </c>
      <c r="I13" s="80">
        <v>2</v>
      </c>
      <c r="K13" s="32">
        <v>11</v>
      </c>
      <c r="L13" s="85">
        <v>18.100000000000009</v>
      </c>
      <c r="N13" s="100" t="s">
        <v>135</v>
      </c>
      <c r="O13" s="110">
        <f>IF(P13=0,0,Q13/P13)</f>
        <v>-5.333333333333333</v>
      </c>
      <c r="P13" s="104">
        <v>6</v>
      </c>
      <c r="Q13" s="92">
        <v>-31.999999999999996</v>
      </c>
    </row>
    <row r="14" spans="1:17">
      <c r="A14" s="47" t="s">
        <v>102</v>
      </c>
      <c r="B14" s="40">
        <v>30</v>
      </c>
      <c r="C14" s="33">
        <f>IF(B$3=0,0,B14/B$3)</f>
        <v>0.14705882352941177</v>
      </c>
      <c r="E14" s="55" t="s">
        <v>77</v>
      </c>
      <c r="F14" s="52" t="s">
        <v>34</v>
      </c>
      <c r="G14" s="40">
        <v>1</v>
      </c>
      <c r="H14" s="118">
        <f>IF(B$17=0,0,G14/B$17)</f>
        <v>2.4390243902439025E-2</v>
      </c>
      <c r="I14" s="80">
        <v>2</v>
      </c>
      <c r="K14" s="32">
        <v>12</v>
      </c>
      <c r="L14" s="85">
        <v>7.1054273576010019E-15</v>
      </c>
      <c r="N14" s="100" t="s">
        <v>136</v>
      </c>
      <c r="O14" s="110">
        <f>IF(P14=0,0,Q14/P14)</f>
        <v>14.433333333333332</v>
      </c>
      <c r="P14" s="104">
        <v>6</v>
      </c>
      <c r="Q14" s="92">
        <v>86.6</v>
      </c>
    </row>
    <row r="15" spans="1:17">
      <c r="A15" s="46" t="s">
        <v>107</v>
      </c>
      <c r="B15" s="39">
        <f>B21</f>
        <v>27</v>
      </c>
      <c r="C15" s="31">
        <f>IF(B$13=0,0,B15/B$13)</f>
        <v>0.54</v>
      </c>
      <c r="E15" s="55" t="s">
        <v>64</v>
      </c>
      <c r="F15" s="52" t="s">
        <v>24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62.500000000000007</v>
      </c>
      <c r="N15" s="101" t="s">
        <v>173</v>
      </c>
      <c r="O15" s="111">
        <f>IF(P15=0,0,Q15/P15)</f>
        <v>3.6333333333333329</v>
      </c>
      <c r="P15" s="105">
        <v>6</v>
      </c>
      <c r="Q15" s="93">
        <v>21.799999999999997</v>
      </c>
    </row>
    <row r="16" spans="1:17">
      <c r="A16" s="46" t="s">
        <v>108</v>
      </c>
      <c r="B16" s="39">
        <f>B22</f>
        <v>7</v>
      </c>
      <c r="C16" s="31">
        <f>IF(B$14=0,0,B16/B$14)</f>
        <v>0.23333333333333334</v>
      </c>
      <c r="E16" s="55" t="s">
        <v>65</v>
      </c>
      <c r="F16" s="52" t="s">
        <v>167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41</v>
      </c>
      <c r="C17" s="31">
        <f>IF(B$3=0,0,B17/B$3)</f>
        <v>0.20098039215686275</v>
      </c>
      <c r="E17" s="55" t="s">
        <v>66</v>
      </c>
      <c r="F17" s="52" t="s">
        <v>35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24</v>
      </c>
      <c r="C18" s="33">
        <f>IF(B$3=0,0,B18/B$3)</f>
        <v>0.11764705882352941</v>
      </c>
      <c r="E18" s="55" t="s">
        <v>67</v>
      </c>
      <c r="F18" s="52" t="s">
        <v>38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195</v>
      </c>
      <c r="O18" s="109">
        <f>IF(P18=0,0,Q18/P18)</f>
        <v>69.8</v>
      </c>
      <c r="P18" s="103">
        <v>3</v>
      </c>
      <c r="Q18" s="91">
        <v>209.39999999999998</v>
      </c>
    </row>
    <row r="19" spans="1:17">
      <c r="A19" s="47" t="s">
        <v>12</v>
      </c>
      <c r="B19" s="40">
        <v>17</v>
      </c>
      <c r="C19" s="33">
        <f>IF(B$17=0,0,B19/B$17)</f>
        <v>0.41463414634146339</v>
      </c>
      <c r="E19" s="55" t="s">
        <v>68</v>
      </c>
      <c r="F19" s="52" t="s">
        <v>25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180</v>
      </c>
      <c r="O19" s="110">
        <f>IF(P19=0,0,Q19/P19)</f>
        <v>38.133333333333333</v>
      </c>
      <c r="P19" s="104">
        <v>6</v>
      </c>
      <c r="Q19" s="92">
        <v>228.8</v>
      </c>
    </row>
    <row r="20" spans="1:17">
      <c r="A20" s="47" t="s">
        <v>11</v>
      </c>
      <c r="B20" s="40">
        <v>24</v>
      </c>
      <c r="C20" s="33">
        <f>IF(B$17=0,0,B20/B$17)</f>
        <v>0.58536585365853655</v>
      </c>
      <c r="E20" s="55" t="s">
        <v>69</v>
      </c>
      <c r="F20" s="52" t="s">
        <v>26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177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160</v>
      </c>
      <c r="B21" s="40">
        <v>27</v>
      </c>
      <c r="C21" s="33">
        <f>IF(B$17=0,0,B21/B$17)</f>
        <v>0.65853658536585369</v>
      </c>
      <c r="E21" s="55" t="s">
        <v>71</v>
      </c>
      <c r="F21" s="52" t="s">
        <v>28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178</v>
      </c>
      <c r="O21" s="110">
        <f>IF(P21=0,0,Q21/P21)</f>
        <v>23.644444444444446</v>
      </c>
      <c r="P21" s="104">
        <v>9</v>
      </c>
      <c r="Q21" s="92">
        <v>212.8</v>
      </c>
    </row>
    <row r="22" spans="1:17">
      <c r="A22" s="47" t="s">
        <v>158</v>
      </c>
      <c r="B22" s="40">
        <v>7</v>
      </c>
      <c r="C22" s="33">
        <f>IF(B$17=0,0,B22/B$17)</f>
        <v>0.17073170731707318</v>
      </c>
      <c r="E22" s="55" t="s">
        <v>73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183</v>
      </c>
      <c r="O22" s="110">
        <f>IF(P22=0,0,Q22/P22)</f>
        <v>14.355555555555554</v>
      </c>
      <c r="P22" s="104">
        <v>9</v>
      </c>
      <c r="Q22" s="92">
        <v>129.19999999999999</v>
      </c>
    </row>
    <row r="23" spans="1:17">
      <c r="A23" s="47" t="s">
        <v>159</v>
      </c>
      <c r="B23" s="40">
        <v>7</v>
      </c>
      <c r="C23" s="33">
        <f>IF(B$17=0,0,B23/B$17)</f>
        <v>0.17073170731707318</v>
      </c>
      <c r="E23" s="55" t="s">
        <v>75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175</v>
      </c>
      <c r="O23" s="110">
        <f>IF(P23=0,0,Q23/P23)</f>
        <v>3.3333333333333335</v>
      </c>
      <c r="P23" s="104">
        <v>9</v>
      </c>
      <c r="Q23" s="92">
        <v>30</v>
      </c>
    </row>
    <row r="24" spans="1:17">
      <c r="A24" s="47" t="s">
        <v>5</v>
      </c>
      <c r="B24" s="44">
        <f>IF(B$17=0,0,C24/B$17)</f>
        <v>6763.4146341463411</v>
      </c>
      <c r="C24" s="35">
        <v>277300</v>
      </c>
      <c r="E24" s="55" t="s">
        <v>76</v>
      </c>
      <c r="F24" s="52" t="s">
        <v>33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190</v>
      </c>
      <c r="O24" s="110">
        <f>IF(P24=0,0,Q24/P24)</f>
        <v>1.3</v>
      </c>
      <c r="P24" s="104">
        <v>6</v>
      </c>
      <c r="Q24" s="92">
        <v>7.8000000000000007</v>
      </c>
    </row>
    <row r="25" spans="1:17">
      <c r="A25" s="48" t="s">
        <v>142</v>
      </c>
      <c r="B25" s="121">
        <f>IF($B$17-B$16=0,0,C25/($B$17-B$16))</f>
        <v>7579.411764705882</v>
      </c>
      <c r="C25" s="122">
        <v>257700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-14.199999999999989</v>
      </c>
      <c r="N25" s="100" t="s">
        <v>192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143</v>
      </c>
      <c r="B26" s="121">
        <f>IF(B$16=0,0,C26/B$16)</f>
        <v>2800</v>
      </c>
      <c r="C26" s="122">
        <v>19600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-0.99999999999998934</v>
      </c>
      <c r="N26" s="100" t="s">
        <v>176</v>
      </c>
      <c r="O26" s="110">
        <f>IF(P26=0,0,Q26/P26)</f>
        <v>-17.399999999999999</v>
      </c>
      <c r="P26" s="104">
        <v>6</v>
      </c>
      <c r="Q26" s="92">
        <v>-104.39999999999999</v>
      </c>
    </row>
    <row r="27" spans="1:17">
      <c r="A27" s="48" t="s">
        <v>141</v>
      </c>
      <c r="B27" s="121">
        <f>IF(B$18=0,0,C27/B$18)</f>
        <v>-6758.333333333333</v>
      </c>
      <c r="C27" s="122">
        <v>-162200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181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138</v>
      </c>
      <c r="B28" s="40">
        <v>3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182</v>
      </c>
      <c r="O28" s="110">
        <f>IF(P28=0,0,Q28/P28)</f>
        <v>-58.288888888888906</v>
      </c>
      <c r="P28" s="104">
        <v>9</v>
      </c>
      <c r="Q28" s="92">
        <v>-524.60000000000014</v>
      </c>
    </row>
    <row r="29" spans="1:17">
      <c r="A29" s="47" t="s">
        <v>139</v>
      </c>
      <c r="B29" s="40">
        <v>26</v>
      </c>
      <c r="C29" s="120">
        <v>10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N29" s="100" t="s">
        <v>194</v>
      </c>
      <c r="O29" s="110">
        <f>IF(P29=0,0,Q29/P29)</f>
        <v>-72.600000000000009</v>
      </c>
      <c r="P29" s="104">
        <v>3</v>
      </c>
      <c r="Q29" s="92">
        <v>-217.8</v>
      </c>
    </row>
    <row r="30" spans="1:17">
      <c r="A30" s="76" t="s">
        <v>119</v>
      </c>
      <c r="B30" s="142">
        <v>5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67800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7</v>
      </c>
      <c r="C35" s="126">
        <f t="shared" ref="C35:C47" si="3">IF(B$17=0,0,B35/B$17)</f>
        <v>0.17073170731707318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5</v>
      </c>
      <c r="C36" s="33">
        <f t="shared" si="3"/>
        <v>0.12195121951219512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9</v>
      </c>
      <c r="C37" s="33">
        <f t="shared" si="3"/>
        <v>0.21951219512195122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7</v>
      </c>
      <c r="C38" s="33">
        <f t="shared" si="3"/>
        <v>0.17073170731707318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4</v>
      </c>
      <c r="C39" s="33">
        <f t="shared" si="3"/>
        <v>9.7560975609756101E-2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8</v>
      </c>
      <c r="C40" s="33">
        <f t="shared" si="3"/>
        <v>0.1951219512195122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1</v>
      </c>
      <c r="C41" s="33">
        <f t="shared" si="3"/>
        <v>2.4390243902439025E-2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57C22-1438-4F3E-8C07-2F823FD324BB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178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3</v>
      </c>
      <c r="C2" s="149"/>
      <c r="E2" s="54" t="s">
        <v>57</v>
      </c>
      <c r="F2" s="51" t="s">
        <v>20</v>
      </c>
      <c r="G2" s="39">
        <v>3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3</v>
      </c>
      <c r="Q2" s="87">
        <v>0</v>
      </c>
    </row>
    <row r="3" spans="1:17">
      <c r="A3" s="47" t="s">
        <v>8</v>
      </c>
      <c r="B3" s="150">
        <v>27</v>
      </c>
      <c r="C3" s="151"/>
      <c r="E3" s="55" t="s">
        <v>63</v>
      </c>
      <c r="F3" s="52" t="s">
        <v>22</v>
      </c>
      <c r="G3" s="40">
        <v>2</v>
      </c>
      <c r="H3" s="118">
        <f>IF(B$17=0,0,G3/B$17)</f>
        <v>0.66666666666666663</v>
      </c>
      <c r="I3" s="80">
        <v>2</v>
      </c>
      <c r="K3" s="32">
        <v>1</v>
      </c>
      <c r="L3" s="85">
        <v>11.9</v>
      </c>
      <c r="N3" s="100" t="s">
        <v>112</v>
      </c>
      <c r="O3" s="107">
        <f t="shared" si="0"/>
        <v>700</v>
      </c>
      <c r="P3" s="104">
        <v>3</v>
      </c>
      <c r="Q3" s="88">
        <v>2100</v>
      </c>
    </row>
    <row r="4" spans="1:17">
      <c r="A4" s="47" t="s">
        <v>6</v>
      </c>
      <c r="B4" s="152">
        <v>-53.2</v>
      </c>
      <c r="C4" s="153"/>
      <c r="E4" s="55" t="s">
        <v>55</v>
      </c>
      <c r="F4" s="52" t="s">
        <v>164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-40.200000000000003</v>
      </c>
      <c r="N4" s="100" t="s">
        <v>113</v>
      </c>
      <c r="O4" s="107">
        <f t="shared" si="0"/>
        <v>-1300</v>
      </c>
      <c r="P4" s="104">
        <v>3</v>
      </c>
      <c r="Q4" s="88">
        <v>-3900</v>
      </c>
    </row>
    <row r="5" spans="1:17">
      <c r="A5" s="47" t="s">
        <v>7</v>
      </c>
      <c r="B5" s="154">
        <f>IF(B$2=0,0,B$4/B$2)</f>
        <v>-17.733333333333334</v>
      </c>
      <c r="C5" s="155"/>
      <c r="E5" s="55" t="s">
        <v>58</v>
      </c>
      <c r="F5" s="52" t="s">
        <v>140</v>
      </c>
      <c r="G5" s="40">
        <v>1</v>
      </c>
      <c r="H5" s="118">
        <f>IF(B$17=0,0,G5/B$17)</f>
        <v>0.33333333333333331</v>
      </c>
      <c r="I5" s="80">
        <v>7</v>
      </c>
      <c r="K5" s="32">
        <v>3</v>
      </c>
      <c r="L5" s="85">
        <v>-53.2</v>
      </c>
      <c r="N5" s="100" t="s">
        <v>171</v>
      </c>
      <c r="O5" s="107">
        <f>IF(P5=0,0,Q5/P5)</f>
        <v>-800</v>
      </c>
      <c r="P5" s="104">
        <v>3</v>
      </c>
      <c r="Q5" s="88">
        <v>-2400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60</v>
      </c>
      <c r="F6" s="52" t="s">
        <v>21</v>
      </c>
      <c r="G6" s="40">
        <v>1</v>
      </c>
      <c r="H6" s="118">
        <f>IF(B$17=0,0,G6/B$17)</f>
        <v>0.33333333333333331</v>
      </c>
      <c r="I6" s="80">
        <v>5</v>
      </c>
      <c r="N6" s="100" t="s">
        <v>114</v>
      </c>
      <c r="O6" s="107">
        <f t="shared" ref="O6" si="1">IF(P6=0,0,Q6/P6)</f>
        <v>1833.3333333333333</v>
      </c>
      <c r="P6" s="104">
        <v>3</v>
      </c>
      <c r="Q6" s="88">
        <v>5500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70</v>
      </c>
      <c r="F7" s="52" t="s">
        <v>27</v>
      </c>
      <c r="G7" s="40">
        <v>1</v>
      </c>
      <c r="H7" s="118">
        <f>IF(B$17=0,0,G7/B$17)</f>
        <v>0.33333333333333331</v>
      </c>
      <c r="I7" s="80">
        <v>1</v>
      </c>
      <c r="N7" s="100" t="s">
        <v>115</v>
      </c>
      <c r="O7" s="107">
        <f t="shared" si="0"/>
        <v>-1166.6666666666667</v>
      </c>
      <c r="P7" s="104">
        <v>3</v>
      </c>
      <c r="Q7" s="88">
        <v>-3500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74</v>
      </c>
      <c r="F8" s="52" t="s">
        <v>31</v>
      </c>
      <c r="G8" s="40">
        <v>1</v>
      </c>
      <c r="H8" s="118">
        <f>IF(B$17=0,0,G8/B$17)</f>
        <v>0.33333333333333331</v>
      </c>
      <c r="I8" s="80">
        <v>1</v>
      </c>
      <c r="N8" s="100" t="s">
        <v>116</v>
      </c>
      <c r="O8" s="107">
        <f t="shared" si="0"/>
        <v>-2500</v>
      </c>
      <c r="P8" s="104">
        <v>2</v>
      </c>
      <c r="Q8" s="88">
        <v>-5000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56</v>
      </c>
      <c r="F9" s="52" t="s">
        <v>165</v>
      </c>
      <c r="G9" s="40">
        <v>0</v>
      </c>
      <c r="H9" s="118">
        <f>IF(B$17=0,0,G9/B$17)</f>
        <v>0</v>
      </c>
      <c r="I9" s="80">
        <v>8</v>
      </c>
      <c r="N9" s="101" t="s">
        <v>172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161</v>
      </c>
      <c r="B10" s="41">
        <v>1</v>
      </c>
      <c r="C10" s="34">
        <f>IF(B$2=0,0,B10/B$2)</f>
        <v>0.33333333333333331</v>
      </c>
      <c r="E10" s="55" t="s">
        <v>59</v>
      </c>
      <c r="F10" s="52" t="s">
        <v>166</v>
      </c>
      <c r="G10" s="40">
        <v>0</v>
      </c>
      <c r="H10" s="118">
        <f>IF(B$17=0,0,G10/B$17)</f>
        <v>0</v>
      </c>
      <c r="I10" s="80">
        <v>9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0.33333333333333331</v>
      </c>
      <c r="E11" s="55" t="s">
        <v>61</v>
      </c>
      <c r="F11" s="52" t="s">
        <v>23</v>
      </c>
      <c r="G11" s="40">
        <v>0</v>
      </c>
      <c r="H11" s="118">
        <f>IF(B$17=0,0,G11/B$17)</f>
        <v>0</v>
      </c>
      <c r="I11" s="80">
        <v>4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19</v>
      </c>
      <c r="G12" s="40">
        <v>0</v>
      </c>
      <c r="H12" s="118">
        <f>IF(B$17=0,0,G12/B$17)</f>
        <v>0</v>
      </c>
      <c r="I12" s="80">
        <v>6</v>
      </c>
      <c r="N12" s="99" t="s">
        <v>134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105</v>
      </c>
      <c r="B13" s="43">
        <v>6</v>
      </c>
      <c r="C13" s="38">
        <f>IF(B$3=0,0,B13/B$3)</f>
        <v>0.22222222222222221</v>
      </c>
      <c r="E13" s="55" t="s">
        <v>64</v>
      </c>
      <c r="F13" s="52" t="s">
        <v>24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3</v>
      </c>
      <c r="C14" s="33">
        <f>IF(B$3=0,0,B14/B$3)</f>
        <v>0.1111111111111111</v>
      </c>
      <c r="E14" s="55" t="s">
        <v>65</v>
      </c>
      <c r="F14" s="52" t="s">
        <v>167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1</v>
      </c>
      <c r="C15" s="31">
        <f>IF(B$13=0,0,B15/B$13)</f>
        <v>0.16666666666666666</v>
      </c>
      <c r="E15" s="55" t="s">
        <v>66</v>
      </c>
      <c r="F15" s="52" t="s">
        <v>35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108</v>
      </c>
      <c r="B16" s="39">
        <f>B22</f>
        <v>1</v>
      </c>
      <c r="C16" s="31">
        <f>IF(B$14=0,0,B16/B$14)</f>
        <v>0.33333333333333331</v>
      </c>
      <c r="E16" s="55" t="s">
        <v>67</v>
      </c>
      <c r="F16" s="52" t="s">
        <v>38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0.1111111111111111</v>
      </c>
      <c r="E17" s="55" t="s">
        <v>68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2</v>
      </c>
      <c r="C18" s="33">
        <f>IF(B$3=0,0,B18/B$3)</f>
        <v>7.407407407407407E-2</v>
      </c>
      <c r="E18" s="55" t="s">
        <v>69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177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3</v>
      </c>
      <c r="N20" s="100" t="s">
        <v>175</v>
      </c>
      <c r="O20" s="110">
        <f>IF(P20=0,0,Q20/P20)</f>
        <v>-15.233333333333334</v>
      </c>
      <c r="P20" s="104">
        <v>3</v>
      </c>
      <c r="Q20" s="92">
        <v>-45.7</v>
      </c>
    </row>
    <row r="21" spans="1:17">
      <c r="A21" s="47" t="s">
        <v>160</v>
      </c>
      <c r="B21" s="40">
        <v>1</v>
      </c>
      <c r="C21" s="33">
        <f>IF(B$17=0,0,B21/B$17)</f>
        <v>0.33333333333333331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  <c r="N21" s="100" t="s">
        <v>183</v>
      </c>
      <c r="O21" s="110">
        <f>IF(P21=0,0,Q21/P21)</f>
        <v>-27.8</v>
      </c>
      <c r="P21" s="104">
        <v>1</v>
      </c>
      <c r="Q21" s="92">
        <v>-27.8</v>
      </c>
    </row>
    <row r="22" spans="1:17">
      <c r="A22" s="47" t="s">
        <v>158</v>
      </c>
      <c r="B22" s="40">
        <v>1</v>
      </c>
      <c r="C22" s="33">
        <f>IF(B$17=0,0,B22/B$17)</f>
        <v>0.33333333333333331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190</v>
      </c>
      <c r="O22" s="110">
        <f>IF(P22=0,0,Q22/P22)</f>
        <v>-65.7</v>
      </c>
      <c r="P22" s="104">
        <v>1</v>
      </c>
      <c r="Q22" s="92">
        <v>-65.7</v>
      </c>
    </row>
    <row r="23" spans="1:17">
      <c r="A23" s="47" t="s">
        <v>159</v>
      </c>
      <c r="B23" s="40">
        <v>1</v>
      </c>
      <c r="C23" s="33">
        <f>IF(B$17=0,0,B23/B$17)</f>
        <v>0.33333333333333331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  <c r="N23" s="100" t="s">
        <v>192</v>
      </c>
      <c r="O23" s="110">
        <f>IF(P23=0,0,Q23/P23)</f>
        <v>-75.5</v>
      </c>
      <c r="P23" s="104">
        <v>1</v>
      </c>
      <c r="Q23" s="92">
        <v>-75.5</v>
      </c>
    </row>
    <row r="24" spans="1:17">
      <c r="A24" s="47" t="s">
        <v>5</v>
      </c>
      <c r="B24" s="44">
        <f>IF(B$17=0,0,C24/B$17)</f>
        <v>7033.333333333333</v>
      </c>
      <c r="C24" s="35">
        <v>21100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  <c r="N24" s="100" t="s">
        <v>182</v>
      </c>
      <c r="O24" s="110">
        <f>IF(P24=0,0,Q24/P24)</f>
        <v>-108.7</v>
      </c>
      <c r="P24" s="104">
        <v>1</v>
      </c>
      <c r="Q24" s="92">
        <v>-108.7</v>
      </c>
    </row>
    <row r="25" spans="1:17">
      <c r="A25" s="48" t="s">
        <v>142</v>
      </c>
      <c r="B25" s="121">
        <f>IF($B$17-B$16=0,0,C25/($B$17-B$16))</f>
        <v>4550</v>
      </c>
      <c r="C25" s="122">
        <v>9100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12000</v>
      </c>
      <c r="C26" s="122">
        <v>12000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-5300</v>
      </c>
      <c r="C27" s="122">
        <v>-10600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12</v>
      </c>
      <c r="C29" s="120">
        <v>5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31900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2</v>
      </c>
      <c r="C37" s="33">
        <f t="shared" si="3"/>
        <v>0.66666666666666663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1</v>
      </c>
      <c r="C40" s="33">
        <f t="shared" si="3"/>
        <v>0.33333333333333331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C8B1-67EE-48FE-8971-FFBB5D7BF231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175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3</v>
      </c>
      <c r="C2" s="149"/>
      <c r="E2" s="54" t="s">
        <v>58</v>
      </c>
      <c r="F2" s="51" t="s">
        <v>140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111</v>
      </c>
      <c r="O2" s="106">
        <f t="shared" ref="O2:O9" si="0">IF(P2=0,0,Q2/P2)</f>
        <v>-2766.6666666666665</v>
      </c>
      <c r="P2" s="103">
        <v>3</v>
      </c>
      <c r="Q2" s="87">
        <v>-8300</v>
      </c>
    </row>
    <row r="3" spans="1:17">
      <c r="A3" s="47" t="s">
        <v>8</v>
      </c>
      <c r="B3" s="150">
        <v>27</v>
      </c>
      <c r="C3" s="151"/>
      <c r="E3" s="55" t="s">
        <v>55</v>
      </c>
      <c r="F3" s="52" t="s">
        <v>164</v>
      </c>
      <c r="G3" s="40">
        <v>2</v>
      </c>
      <c r="H3" s="118">
        <f>IF(B$17=0,0,G3/B$17)</f>
        <v>0.5</v>
      </c>
      <c r="I3" s="80">
        <v>7</v>
      </c>
      <c r="K3" s="32">
        <v>1</v>
      </c>
      <c r="L3" s="85">
        <v>74.900000000000006</v>
      </c>
      <c r="N3" s="100" t="s">
        <v>112</v>
      </c>
      <c r="O3" s="107">
        <f t="shared" si="0"/>
        <v>7933.333333333333</v>
      </c>
      <c r="P3" s="104">
        <v>3</v>
      </c>
      <c r="Q3" s="88">
        <v>23800</v>
      </c>
    </row>
    <row r="4" spans="1:17">
      <c r="A4" s="47" t="s">
        <v>6</v>
      </c>
      <c r="B4" s="152">
        <v>-7.4999999999999929</v>
      </c>
      <c r="C4" s="153"/>
      <c r="E4" s="55" t="s">
        <v>57</v>
      </c>
      <c r="F4" s="52" t="s">
        <v>20</v>
      </c>
      <c r="G4" s="40">
        <v>2</v>
      </c>
      <c r="H4" s="118">
        <f>IF(B$17=0,0,G4/B$17)</f>
        <v>0.5</v>
      </c>
      <c r="I4" s="80">
        <v>6</v>
      </c>
      <c r="K4" s="32">
        <v>2</v>
      </c>
      <c r="L4" s="85">
        <v>56.800000000000004</v>
      </c>
      <c r="N4" s="100" t="s">
        <v>113</v>
      </c>
      <c r="O4" s="107">
        <f t="shared" si="0"/>
        <v>-500</v>
      </c>
      <c r="P4" s="104">
        <v>3</v>
      </c>
      <c r="Q4" s="88">
        <v>-1500</v>
      </c>
    </row>
    <row r="5" spans="1:17">
      <c r="A5" s="47" t="s">
        <v>7</v>
      </c>
      <c r="B5" s="154">
        <f>IF(B$2=0,0,B$4/B$2)</f>
        <v>-2.4999999999999978</v>
      </c>
      <c r="C5" s="155"/>
      <c r="E5" s="55" t="s">
        <v>60</v>
      </c>
      <c r="F5" s="52" t="s">
        <v>21</v>
      </c>
      <c r="G5" s="40">
        <v>2</v>
      </c>
      <c r="H5" s="118">
        <f>IF(B$17=0,0,G5/B$17)</f>
        <v>0.5</v>
      </c>
      <c r="I5" s="80">
        <v>1</v>
      </c>
      <c r="K5" s="32">
        <v>3</v>
      </c>
      <c r="L5" s="85">
        <v>-7.4999999999999929</v>
      </c>
      <c r="N5" s="100" t="s">
        <v>171</v>
      </c>
      <c r="O5" s="107">
        <f>IF(P5=0,0,Q5/P5)</f>
        <v>-866.66666666666663</v>
      </c>
      <c r="P5" s="104">
        <v>3</v>
      </c>
      <c r="Q5" s="88">
        <v>-2600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59</v>
      </c>
      <c r="F6" s="52" t="s">
        <v>166</v>
      </c>
      <c r="G6" s="40">
        <v>1</v>
      </c>
      <c r="H6" s="118">
        <f>IF(B$17=0,0,G6/B$17)</f>
        <v>0.25</v>
      </c>
      <c r="I6" s="80">
        <v>7</v>
      </c>
      <c r="N6" s="100" t="s">
        <v>114</v>
      </c>
      <c r="O6" s="107">
        <f t="shared" ref="O6" si="1">IF(P6=0,0,Q6/P6)</f>
        <v>-2166.6666666666665</v>
      </c>
      <c r="P6" s="104">
        <v>3</v>
      </c>
      <c r="Q6" s="88">
        <v>-6500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61</v>
      </c>
      <c r="F7" s="52" t="s">
        <v>23</v>
      </c>
      <c r="G7" s="40">
        <v>1</v>
      </c>
      <c r="H7" s="118">
        <f>IF(B$17=0,0,G7/B$17)</f>
        <v>0.25</v>
      </c>
      <c r="I7" s="80">
        <v>1</v>
      </c>
      <c r="N7" s="100" t="s">
        <v>115</v>
      </c>
      <c r="O7" s="107">
        <f t="shared" si="0"/>
        <v>-1433.3333333333333</v>
      </c>
      <c r="P7" s="104">
        <v>3</v>
      </c>
      <c r="Q7" s="88">
        <v>-4300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62</v>
      </c>
      <c r="F8" s="52" t="s">
        <v>19</v>
      </c>
      <c r="G8" s="40">
        <v>1</v>
      </c>
      <c r="H8" s="118">
        <f>IF(B$17=0,0,G8/B$17)</f>
        <v>0.25</v>
      </c>
      <c r="I8" s="80">
        <v>2</v>
      </c>
      <c r="N8" s="100" t="s">
        <v>116</v>
      </c>
      <c r="O8" s="107">
        <f t="shared" si="0"/>
        <v>-4000</v>
      </c>
      <c r="P8" s="104">
        <v>2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63</v>
      </c>
      <c r="F9" s="52" t="s">
        <v>22</v>
      </c>
      <c r="G9" s="40">
        <v>1</v>
      </c>
      <c r="H9" s="118">
        <f>IF(B$17=0,0,G9/B$17)</f>
        <v>0.25</v>
      </c>
      <c r="I9" s="80">
        <v>6</v>
      </c>
      <c r="N9" s="101" t="s">
        <v>172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161</v>
      </c>
      <c r="B10" s="41">
        <v>1</v>
      </c>
      <c r="C10" s="34">
        <f>IF(B$2=0,0,B10/B$2)</f>
        <v>0.33333333333333331</v>
      </c>
      <c r="E10" s="55" t="s">
        <v>56</v>
      </c>
      <c r="F10" s="52" t="s">
        <v>165</v>
      </c>
      <c r="G10" s="40">
        <v>0</v>
      </c>
      <c r="H10" s="118">
        <f>IF(B$17=0,0,G10/B$17)</f>
        <v>0</v>
      </c>
      <c r="I10" s="80">
        <v>8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0.33333333333333331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0.33333333333333331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5</v>
      </c>
      <c r="C13" s="38">
        <f>IF(B$3=0,0,B13/B$3)</f>
        <v>0.18518518518518517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102</v>
      </c>
      <c r="B14" s="40">
        <v>3</v>
      </c>
      <c r="C14" s="33">
        <f>IF(B$3=0,0,B14/B$3)</f>
        <v>0.1111111111111111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107</v>
      </c>
      <c r="B15" s="39">
        <f>B21</f>
        <v>2</v>
      </c>
      <c r="C15" s="31">
        <f>IF(B$13=0,0,B15/B$13)</f>
        <v>0.4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-18.100000000000001</v>
      </c>
      <c r="P15" s="105">
        <v>1</v>
      </c>
      <c r="Q15" s="93">
        <v>-18.100000000000001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0.14814814814814814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5</v>
      </c>
      <c r="C18" s="33">
        <f>IF(B$3=0,0,B18/B$3)</f>
        <v>0.18518518518518517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177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178</v>
      </c>
      <c r="O20" s="110">
        <f>IF(P20=0,0,Q20/P20)</f>
        <v>15.233333333333334</v>
      </c>
      <c r="P20" s="104">
        <v>3</v>
      </c>
      <c r="Q20" s="92">
        <v>45.7</v>
      </c>
    </row>
    <row r="21" spans="1:17">
      <c r="A21" s="47" t="s">
        <v>160</v>
      </c>
      <c r="B21" s="40">
        <v>2</v>
      </c>
      <c r="C21" s="33">
        <f>IF(B$17=0,0,B21/B$17)</f>
        <v>0.5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190</v>
      </c>
      <c r="O21" s="110">
        <f>IF(P21=0,0,Q21/P21)</f>
        <v>-31.700000000000003</v>
      </c>
      <c r="P21" s="104">
        <v>1</v>
      </c>
      <c r="Q21" s="92">
        <v>-31.700000000000003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182</v>
      </c>
      <c r="O22" s="110">
        <f>IF(P22=0,0,Q22/P22)</f>
        <v>-74.7</v>
      </c>
      <c r="P22" s="104">
        <v>1</v>
      </c>
      <c r="Q22" s="92">
        <v>-74.7</v>
      </c>
    </row>
    <row r="23" spans="1:17">
      <c r="A23" s="47" t="s">
        <v>159</v>
      </c>
      <c r="B23" s="40">
        <v>2</v>
      </c>
      <c r="C23" s="33">
        <f>IF(B$17=0,0,B23/B$17)</f>
        <v>0.5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  <c r="N23" s="100" t="s">
        <v>183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9925</v>
      </c>
      <c r="C24" s="35">
        <v>39700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  <c r="N24" s="100" t="s">
        <v>192</v>
      </c>
      <c r="O24" s="110">
        <f>IF(P24=0,0,Q24/P24)</f>
        <v>-126.8</v>
      </c>
      <c r="P24" s="104">
        <v>1</v>
      </c>
      <c r="Q24" s="92">
        <v>-126.8</v>
      </c>
    </row>
    <row r="25" spans="1:17">
      <c r="A25" s="48" t="s">
        <v>142</v>
      </c>
      <c r="B25" s="121">
        <f>IF($B$17-B$16=0,0,C25/($B$17-B$16))</f>
        <v>9925</v>
      </c>
      <c r="C25" s="122">
        <v>39700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-6840</v>
      </c>
      <c r="C27" s="122">
        <v>-34200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9</v>
      </c>
      <c r="C29" s="120">
        <v>2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54900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0.25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1</v>
      </c>
      <c r="C37" s="33">
        <f t="shared" si="3"/>
        <v>0.25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2</v>
      </c>
      <c r="C40" s="33">
        <f t="shared" si="3"/>
        <v>0.5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802A-0F70-4F72-9C49-9C00A258BD39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176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164</v>
      </c>
      <c r="G2" s="39">
        <v>6</v>
      </c>
      <c r="H2" s="117">
        <f>IF(B$17=0,0,G2/B$17)</f>
        <v>0.8571428571428571</v>
      </c>
      <c r="I2" s="79">
        <v>4</v>
      </c>
      <c r="K2" s="30">
        <v>0</v>
      </c>
      <c r="L2" s="84">
        <v>0</v>
      </c>
      <c r="N2" s="99" t="s">
        <v>111</v>
      </c>
      <c r="O2" s="106">
        <f t="shared" ref="O2:O9" si="0">IF(P2=0,0,Q2/P2)</f>
        <v>-3350</v>
      </c>
      <c r="P2" s="103">
        <v>2</v>
      </c>
      <c r="Q2" s="87">
        <v>-6700</v>
      </c>
    </row>
    <row r="3" spans="1:17">
      <c r="A3" s="47" t="s">
        <v>8</v>
      </c>
      <c r="B3" s="150">
        <v>20</v>
      </c>
      <c r="C3" s="151"/>
      <c r="E3" s="55" t="s">
        <v>57</v>
      </c>
      <c r="F3" s="52" t="s">
        <v>20</v>
      </c>
      <c r="G3" s="40">
        <v>6</v>
      </c>
      <c r="H3" s="118">
        <f>IF(B$17=0,0,G3/B$17)</f>
        <v>0.8571428571428571</v>
      </c>
      <c r="I3" s="80">
        <v>4</v>
      </c>
      <c r="K3" s="32">
        <v>1</v>
      </c>
      <c r="L3" s="85">
        <v>-61.7</v>
      </c>
      <c r="N3" s="100" t="s">
        <v>112</v>
      </c>
      <c r="O3" s="107">
        <f t="shared" si="0"/>
        <v>200</v>
      </c>
      <c r="P3" s="104">
        <v>2</v>
      </c>
      <c r="Q3" s="88">
        <v>400</v>
      </c>
    </row>
    <row r="4" spans="1:17">
      <c r="A4" s="47" t="s">
        <v>6</v>
      </c>
      <c r="B4" s="152">
        <v>26.099999999999994</v>
      </c>
      <c r="C4" s="153"/>
      <c r="E4" s="55" t="s">
        <v>59</v>
      </c>
      <c r="F4" s="52" t="s">
        <v>166</v>
      </c>
      <c r="G4" s="40">
        <v>4</v>
      </c>
      <c r="H4" s="118">
        <f>IF(B$17=0,0,G4/B$17)</f>
        <v>0.5714285714285714</v>
      </c>
      <c r="I4" s="80">
        <v>1</v>
      </c>
      <c r="K4" s="32">
        <v>2</v>
      </c>
      <c r="L4" s="85">
        <v>26.099999999999994</v>
      </c>
      <c r="N4" s="100" t="s">
        <v>113</v>
      </c>
      <c r="O4" s="107">
        <f t="shared" si="0"/>
        <v>750</v>
      </c>
      <c r="P4" s="104">
        <v>2</v>
      </c>
      <c r="Q4" s="88">
        <v>1500</v>
      </c>
    </row>
    <row r="5" spans="1:17">
      <c r="A5" s="47" t="s">
        <v>7</v>
      </c>
      <c r="B5" s="154">
        <f>IF(B$2=0,0,B$4/B$2)</f>
        <v>13.049999999999997</v>
      </c>
      <c r="C5" s="155"/>
      <c r="E5" s="55" t="s">
        <v>56</v>
      </c>
      <c r="F5" s="52" t="s">
        <v>165</v>
      </c>
      <c r="G5" s="40">
        <v>3</v>
      </c>
      <c r="H5" s="118">
        <f>IF(B$17=0,0,G5/B$17)</f>
        <v>0.42857142857142855</v>
      </c>
      <c r="I5" s="80">
        <v>4</v>
      </c>
      <c r="N5" s="100" t="s">
        <v>171</v>
      </c>
      <c r="O5" s="107">
        <f>IF(P5=0,0,Q5/P5)</f>
        <v>7150</v>
      </c>
      <c r="P5" s="104">
        <v>2</v>
      </c>
      <c r="Q5" s="88">
        <v>14300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60</v>
      </c>
      <c r="F6" s="52" t="s">
        <v>21</v>
      </c>
      <c r="G6" s="40">
        <v>3</v>
      </c>
      <c r="H6" s="118">
        <f>IF(B$17=0,0,G6/B$17)</f>
        <v>0.42857142857142855</v>
      </c>
      <c r="I6" s="80">
        <v>4</v>
      </c>
      <c r="N6" s="100" t="s">
        <v>114</v>
      </c>
      <c r="O6" s="107">
        <f t="shared" ref="O6" si="1">IF(P6=0,0,Q6/P6)</f>
        <v>2700</v>
      </c>
      <c r="P6" s="104">
        <v>2</v>
      </c>
      <c r="Q6" s="88">
        <v>5400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61</v>
      </c>
      <c r="F7" s="52" t="s">
        <v>23</v>
      </c>
      <c r="G7" s="40">
        <v>1</v>
      </c>
      <c r="H7" s="118">
        <f>IF(B$17=0,0,G7/B$17)</f>
        <v>0.14285714285714285</v>
      </c>
      <c r="I7" s="80">
        <v>2</v>
      </c>
      <c r="N7" s="100" t="s">
        <v>115</v>
      </c>
      <c r="O7" s="107">
        <f t="shared" si="0"/>
        <v>1850</v>
      </c>
      <c r="P7" s="104">
        <v>2</v>
      </c>
      <c r="Q7" s="88">
        <v>3700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63</v>
      </c>
      <c r="F8" s="52" t="s">
        <v>22</v>
      </c>
      <c r="G8" s="40">
        <v>1</v>
      </c>
      <c r="H8" s="118">
        <f>IF(B$17=0,0,G8/B$17)</f>
        <v>0.14285714285714285</v>
      </c>
      <c r="I8" s="80">
        <v>9</v>
      </c>
      <c r="N8" s="100" t="s">
        <v>116</v>
      </c>
      <c r="O8" s="107">
        <f t="shared" si="0"/>
        <v>-2000</v>
      </c>
      <c r="P8" s="104">
        <v>1</v>
      </c>
      <c r="Q8" s="88">
        <v>-2000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140</v>
      </c>
      <c r="G9" s="40">
        <v>0</v>
      </c>
      <c r="H9" s="118">
        <f>IF(B$17=0,0,G9/B$17)</f>
        <v>0</v>
      </c>
      <c r="I9" s="80">
        <v>10</v>
      </c>
      <c r="N9" s="101" t="s">
        <v>172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161</v>
      </c>
      <c r="B10" s="41">
        <v>1</v>
      </c>
      <c r="C10" s="34">
        <f>IF(B$2=0,0,B10/B$2)</f>
        <v>0.5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0.5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9</v>
      </c>
      <c r="C13" s="38">
        <f>IF(B$3=0,0,B13/B$3)</f>
        <v>0.45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0.05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13.049999999999997</v>
      </c>
      <c r="P14" s="104">
        <v>2</v>
      </c>
      <c r="Q14" s="92">
        <v>26.099999999999994</v>
      </c>
    </row>
    <row r="15" spans="1:17">
      <c r="A15" s="46" t="s">
        <v>107</v>
      </c>
      <c r="B15" s="39">
        <f>B21</f>
        <v>7</v>
      </c>
      <c r="C15" s="31">
        <f>IF(B$13=0,0,B15/B$13)</f>
        <v>0.77777777777777779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0.35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3</v>
      </c>
      <c r="C18" s="33">
        <f>IF(B$3=0,0,B18/B$3)</f>
        <v>0.15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5</v>
      </c>
      <c r="C19" s="33">
        <f>IF(B$17=0,0,B19/B$17)</f>
        <v>0.7142857142857143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183</v>
      </c>
      <c r="O19" s="110">
        <f>IF(P19=0,0,Q19/P19)</f>
        <v>120.69999999999999</v>
      </c>
      <c r="P19" s="104">
        <v>1</v>
      </c>
      <c r="Q19" s="92">
        <v>120.69999999999999</v>
      </c>
    </row>
    <row r="20" spans="1:17">
      <c r="A20" s="47" t="s">
        <v>11</v>
      </c>
      <c r="B20" s="40">
        <v>2</v>
      </c>
      <c r="C20" s="33">
        <f>IF(B$17=0,0,B20/B$17)</f>
        <v>0.2857142857142857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160</v>
      </c>
      <c r="B21" s="40">
        <v>7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177</v>
      </c>
      <c r="O21" s="110">
        <f>IF(P21=0,0,Q21/P21)</f>
        <v>-36.6</v>
      </c>
      <c r="P21" s="104">
        <v>1</v>
      </c>
      <c r="Q21" s="92">
        <v>-36.6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178</v>
      </c>
      <c r="O22" s="110">
        <f>IF(P22=0,0,Q22/P22)</f>
        <v>-73.600000000000009</v>
      </c>
      <c r="P22" s="104">
        <v>1</v>
      </c>
      <c r="Q22" s="92">
        <v>-73.600000000000009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>IF(P23=0,0,Q23/P23)</f>
        <v>-136.60000000000002</v>
      </c>
      <c r="P23" s="104">
        <v>1</v>
      </c>
      <c r="Q23" s="92">
        <v>-136.60000000000002</v>
      </c>
    </row>
    <row r="24" spans="1:17">
      <c r="A24" s="47" t="s">
        <v>5</v>
      </c>
      <c r="B24" s="44">
        <f>IF(B$17=0,0,C24/B$17)</f>
        <v>6714.2857142857147</v>
      </c>
      <c r="C24" s="35">
        <v>47000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6714.2857142857147</v>
      </c>
      <c r="C25" s="122">
        <v>47000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-6800</v>
      </c>
      <c r="C27" s="122">
        <v>-20400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3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12</v>
      </c>
      <c r="C29" s="120">
        <v>12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67800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1</v>
      </c>
      <c r="C35" s="126">
        <f t="shared" ref="C35:C47" si="3">IF(B$17=0,0,B35/B$17)</f>
        <v>0.14285714285714285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2</v>
      </c>
      <c r="C37" s="33">
        <f t="shared" si="3"/>
        <v>0.2857142857142857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2</v>
      </c>
      <c r="C38" s="33">
        <f t="shared" si="3"/>
        <v>0.2857142857142857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1</v>
      </c>
      <c r="C39" s="33">
        <f t="shared" si="3"/>
        <v>0.14285714285714285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1</v>
      </c>
      <c r="C40" s="33">
        <f t="shared" si="3"/>
        <v>0.14285714285714285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A0610-FC4E-4F48-9190-0E0C7CC116CD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177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55</v>
      </c>
      <c r="F2" s="51" t="s">
        <v>164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57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112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52">
        <v>-25.1</v>
      </c>
      <c r="C4" s="153"/>
      <c r="E4" s="55" t="s">
        <v>56</v>
      </c>
      <c r="F4" s="52" t="s">
        <v>165</v>
      </c>
      <c r="G4" s="40">
        <v>1</v>
      </c>
      <c r="H4" s="118">
        <f>IF(B$17=0,0,G4/B$17)</f>
        <v>0.5</v>
      </c>
      <c r="I4" s="80">
        <v>1</v>
      </c>
      <c r="N4" s="100" t="s">
        <v>113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-25.1</v>
      </c>
      <c r="C5" s="155"/>
      <c r="E5" s="55" t="s">
        <v>77</v>
      </c>
      <c r="F5" s="52" t="s">
        <v>34</v>
      </c>
      <c r="G5" s="40">
        <v>1</v>
      </c>
      <c r="H5" s="118">
        <f>IF(B$17=0,0,G5/B$17)</f>
        <v>0.5</v>
      </c>
      <c r="I5" s="80">
        <v>1</v>
      </c>
      <c r="N5" s="100" t="s">
        <v>171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58</v>
      </c>
      <c r="F6" s="52" t="s">
        <v>140</v>
      </c>
      <c r="G6" s="40">
        <v>0</v>
      </c>
      <c r="H6" s="118">
        <f>IF(B$17=0,0,G6/B$17)</f>
        <v>0</v>
      </c>
      <c r="I6" s="80">
        <v>10</v>
      </c>
      <c r="N6" s="100" t="s">
        <v>114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166</v>
      </c>
      <c r="G7" s="40">
        <v>0</v>
      </c>
      <c r="H7" s="118">
        <f>IF(B$17=0,0,G7/B$17)</f>
        <v>0</v>
      </c>
      <c r="I7" s="80">
        <v>9</v>
      </c>
      <c r="N7" s="100" t="s">
        <v>115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63</v>
      </c>
      <c r="F11" s="52" t="s">
        <v>22</v>
      </c>
      <c r="G11" s="40">
        <v>0</v>
      </c>
      <c r="H11" s="118">
        <f>IF(B$17=0,0,G11/B$17)</f>
        <v>0</v>
      </c>
      <c r="I11" s="80">
        <v>10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64</v>
      </c>
      <c r="F12" s="52" t="s">
        <v>24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4</v>
      </c>
      <c r="C13" s="38">
        <f>IF(B$3=0,0,B13/B$3)</f>
        <v>0.4</v>
      </c>
      <c r="E13" s="55" t="s">
        <v>65</v>
      </c>
      <c r="F13" s="52" t="s">
        <v>167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3</v>
      </c>
      <c r="C14" s="33">
        <f>IF(B$3=0,0,B14/B$3)</f>
        <v>0.3</v>
      </c>
      <c r="E14" s="55" t="s">
        <v>66</v>
      </c>
      <c r="F14" s="52" t="s">
        <v>35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0.5</v>
      </c>
      <c r="E15" s="55" t="s">
        <v>67</v>
      </c>
      <c r="F15" s="52" t="s">
        <v>38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68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3</v>
      </c>
      <c r="N18" s="99" t="s">
        <v>176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3</v>
      </c>
      <c r="N20" s="100" t="s">
        <v>175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160</v>
      </c>
      <c r="B21" s="40">
        <v>2</v>
      </c>
      <c r="C21" s="33">
        <f>IF(B$17=0,0,B21/B$17)</f>
        <v>1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74</v>
      </c>
      <c r="F22" s="52" t="s">
        <v>31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75</v>
      </c>
      <c r="F23" s="52" t="s">
        <v>32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76</v>
      </c>
      <c r="F24" s="52" t="s">
        <v>33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142</v>
      </c>
      <c r="B25" s="121">
        <f>IF($B$17-B$16=0,0,C25/($B$17-B$16))</f>
        <v>5300</v>
      </c>
      <c r="C25" s="122">
        <v>10600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6</v>
      </c>
      <c r="C29" s="120">
        <v>6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2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14900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0.5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1</v>
      </c>
      <c r="C39" s="33">
        <f t="shared" si="3"/>
        <v>0.5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7074-1A65-4504-A6AD-A9AEC8C1F654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183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164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8466.6666666666661</v>
      </c>
      <c r="P2" s="103">
        <v>3</v>
      </c>
      <c r="Q2" s="87">
        <v>25400</v>
      </c>
    </row>
    <row r="3" spans="1:17">
      <c r="A3" s="47" t="s">
        <v>8</v>
      </c>
      <c r="B3" s="150">
        <v>26</v>
      </c>
      <c r="C3" s="151"/>
      <c r="E3" s="55" t="s">
        <v>58</v>
      </c>
      <c r="F3" s="52" t="s">
        <v>140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112</v>
      </c>
      <c r="O3" s="107">
        <f t="shared" si="0"/>
        <v>-500</v>
      </c>
      <c r="P3" s="104">
        <v>3</v>
      </c>
      <c r="Q3" s="88">
        <v>-1500</v>
      </c>
    </row>
    <row r="4" spans="1:17">
      <c r="A4" s="47" t="s">
        <v>6</v>
      </c>
      <c r="B4" s="152">
        <v>-32.299999999999997</v>
      </c>
      <c r="C4" s="153"/>
      <c r="E4" s="55" t="s">
        <v>56</v>
      </c>
      <c r="F4" s="52" t="s">
        <v>165</v>
      </c>
      <c r="G4" s="40">
        <v>1</v>
      </c>
      <c r="H4" s="118">
        <f>IF(B$17=0,0,G4/B$17)</f>
        <v>0.5</v>
      </c>
      <c r="I4" s="80">
        <v>1</v>
      </c>
      <c r="K4" s="32">
        <v>2</v>
      </c>
      <c r="L4" s="85">
        <v>0.60000000000000142</v>
      </c>
      <c r="N4" s="100" t="s">
        <v>113</v>
      </c>
      <c r="O4" s="107">
        <f t="shared" si="0"/>
        <v>-1766.6666666666667</v>
      </c>
      <c r="P4" s="104">
        <v>3</v>
      </c>
      <c r="Q4" s="88">
        <v>-5300</v>
      </c>
    </row>
    <row r="5" spans="1:17">
      <c r="A5" s="47" t="s">
        <v>7</v>
      </c>
      <c r="B5" s="154">
        <f>IF(B$2=0,0,B$4/B$2)</f>
        <v>-10.766666666666666</v>
      </c>
      <c r="C5" s="155"/>
      <c r="E5" s="55" t="s">
        <v>57</v>
      </c>
      <c r="F5" s="52" t="s">
        <v>20</v>
      </c>
      <c r="G5" s="40">
        <v>1</v>
      </c>
      <c r="H5" s="118">
        <f>IF(B$17=0,0,G5/B$17)</f>
        <v>0.5</v>
      </c>
      <c r="I5" s="80">
        <v>6</v>
      </c>
      <c r="K5" s="32">
        <v>3</v>
      </c>
      <c r="L5" s="85">
        <v>-32.299999999999997</v>
      </c>
      <c r="N5" s="100" t="s">
        <v>171</v>
      </c>
      <c r="O5" s="107">
        <f>IF(P5=0,0,Q5/P5)</f>
        <v>-3466.6666666666665</v>
      </c>
      <c r="P5" s="104">
        <v>3</v>
      </c>
      <c r="Q5" s="88">
        <v>-10400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60</v>
      </c>
      <c r="F6" s="52" t="s">
        <v>21</v>
      </c>
      <c r="G6" s="40">
        <v>1</v>
      </c>
      <c r="H6" s="118">
        <f>IF(B$17=0,0,G6/B$17)</f>
        <v>0.5</v>
      </c>
      <c r="I6" s="80">
        <v>1</v>
      </c>
      <c r="N6" s="100" t="s">
        <v>114</v>
      </c>
      <c r="O6" s="107">
        <f t="shared" ref="O6" si="1">IF(P6=0,0,Q6/P6)</f>
        <v>-4000</v>
      </c>
      <c r="P6" s="104">
        <v>2</v>
      </c>
      <c r="Q6" s="88">
        <v>-8000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62</v>
      </c>
      <c r="F7" s="52" t="s">
        <v>19</v>
      </c>
      <c r="G7" s="40">
        <v>1</v>
      </c>
      <c r="H7" s="118">
        <f>IF(B$17=0,0,G7/B$17)</f>
        <v>0.5</v>
      </c>
      <c r="I7" s="80">
        <v>1</v>
      </c>
      <c r="N7" s="100" t="s">
        <v>115</v>
      </c>
      <c r="O7" s="107">
        <f t="shared" si="0"/>
        <v>-2000</v>
      </c>
      <c r="P7" s="104">
        <v>2</v>
      </c>
      <c r="Q7" s="88">
        <v>-4000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59</v>
      </c>
      <c r="F8" s="52" t="s">
        <v>166</v>
      </c>
      <c r="G8" s="40">
        <v>0</v>
      </c>
      <c r="H8" s="118">
        <f>IF(B$17=0,0,G8/B$17)</f>
        <v>0</v>
      </c>
      <c r="I8" s="80">
        <v>9</v>
      </c>
      <c r="N8" s="100" t="s">
        <v>116</v>
      </c>
      <c r="O8" s="107">
        <f t="shared" si="0"/>
        <v>-1500</v>
      </c>
      <c r="P8" s="104">
        <v>2</v>
      </c>
      <c r="Q8" s="88">
        <v>-3000</v>
      </c>
    </row>
    <row r="9" spans="1:17">
      <c r="A9" s="48" t="s">
        <v>4</v>
      </c>
      <c r="B9" s="41">
        <v>2</v>
      </c>
      <c r="C9" s="34">
        <f>IF(B$2=0,0,B9/B$2)</f>
        <v>0.66666666666666663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0.33333333333333331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105</v>
      </c>
      <c r="B13" s="43">
        <v>5</v>
      </c>
      <c r="C13" s="38">
        <f>IF(B$3=0,0,B13/B$3)</f>
        <v>0.19230769230769232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102</v>
      </c>
      <c r="B14" s="40">
        <v>5</v>
      </c>
      <c r="C14" s="33">
        <f>IF(B$3=0,0,B14/B$3)</f>
        <v>0.19230769230769232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0.4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7.6923076923076927E-2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4</v>
      </c>
      <c r="C18" s="33">
        <f>IF(B$3=0,0,B18/B$3)</f>
        <v>0.15384615384615385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175</v>
      </c>
      <c r="O18" s="109">
        <f>IF(P18=0,0,Q18/P18)</f>
        <v>79.099999999999994</v>
      </c>
      <c r="P18" s="103">
        <v>1</v>
      </c>
      <c r="Q18" s="91">
        <v>79.099999999999994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178</v>
      </c>
      <c r="O19" s="110">
        <f>IF(P19=0,0,Q19/P19)</f>
        <v>27.8</v>
      </c>
      <c r="P19" s="104">
        <v>1</v>
      </c>
      <c r="Q19" s="92">
        <v>27.8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5.0500000000000025</v>
      </c>
      <c r="P20" s="104">
        <v>2</v>
      </c>
      <c r="Q20" s="92">
        <v>10.100000000000005</v>
      </c>
    </row>
    <row r="21" spans="1:17">
      <c r="A21" s="47" t="s">
        <v>160</v>
      </c>
      <c r="B21" s="40">
        <v>2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192</v>
      </c>
      <c r="O21" s="110">
        <f>IF(P21=0,0,Q21/P21)</f>
        <v>-10.999999999999996</v>
      </c>
      <c r="P21" s="104">
        <v>2</v>
      </c>
      <c r="Q21" s="92">
        <v>-21.999999999999993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181</v>
      </c>
      <c r="O22" s="110">
        <f>IF(P22=0,0,Q22/P22)</f>
        <v>-28.2</v>
      </c>
      <c r="P22" s="104">
        <v>1</v>
      </c>
      <c r="Q22" s="92">
        <v>-28.2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  <c r="N23" s="100" t="s">
        <v>182</v>
      </c>
      <c r="O23" s="110">
        <f>IF(P23=0,0,Q23/P23)</f>
        <v>-75.3</v>
      </c>
      <c r="P23" s="104">
        <v>1</v>
      </c>
      <c r="Q23" s="92">
        <v>-75.3</v>
      </c>
    </row>
    <row r="24" spans="1:17">
      <c r="A24" s="47" t="s">
        <v>5</v>
      </c>
      <c r="B24" s="44">
        <f>IF(B$17=0,0,C24/B$17)</f>
        <v>13000</v>
      </c>
      <c r="C24" s="35">
        <v>26000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  <c r="N24" s="100" t="s">
        <v>176</v>
      </c>
      <c r="O24" s="110">
        <f>IF(P24=0,0,Q24/P24)</f>
        <v>-120.69999999999999</v>
      </c>
      <c r="P24" s="104">
        <v>1</v>
      </c>
      <c r="Q24" s="92">
        <v>-120.69999999999999</v>
      </c>
    </row>
    <row r="25" spans="1:17">
      <c r="A25" s="48" t="s">
        <v>142</v>
      </c>
      <c r="B25" s="121">
        <f>IF($B$17-B$16=0,0,C25/($B$17-B$16))</f>
        <v>13000</v>
      </c>
      <c r="C25" s="122">
        <v>26000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-5500</v>
      </c>
      <c r="C27" s="122">
        <v>-22000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8</v>
      </c>
      <c r="C29" s="120">
        <v>3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34800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1</v>
      </c>
      <c r="C38" s="33">
        <f t="shared" si="3"/>
        <v>0.5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1</v>
      </c>
      <c r="C40" s="33">
        <f t="shared" si="3"/>
        <v>0.5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FAE6-AB10-4928-A7E3-CE8C9EA6C341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2</v>
      </c>
      <c r="C2" s="149"/>
      <c r="E2" s="54" t="s">
        <v>63</v>
      </c>
      <c r="F2" s="51" t="s">
        <v>22</v>
      </c>
      <c r="G2" s="39">
        <v>2</v>
      </c>
      <c r="H2" s="117">
        <f>IF(B$17=0,0,G2/B$17)</f>
        <v>0.66666666666666663</v>
      </c>
      <c r="I2" s="79">
        <v>2</v>
      </c>
      <c r="K2" s="30">
        <v>0</v>
      </c>
      <c r="L2" s="84">
        <v>0</v>
      </c>
      <c r="N2" s="99" t="s">
        <v>111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55</v>
      </c>
      <c r="F3" s="52" t="s">
        <v>164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112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57</v>
      </c>
      <c r="F4" s="52" t="s">
        <v>20</v>
      </c>
      <c r="G4" s="40">
        <v>1</v>
      </c>
      <c r="H4" s="118">
        <f>IF(B$17=0,0,G4/B$17)</f>
        <v>0.33333333333333331</v>
      </c>
      <c r="I4" s="80">
        <v>10</v>
      </c>
      <c r="K4" s="32">
        <v>2</v>
      </c>
      <c r="L4" s="85">
        <v>-57.199999999999996</v>
      </c>
      <c r="N4" s="100" t="s">
        <v>113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59</v>
      </c>
      <c r="F5" s="52" t="s">
        <v>166</v>
      </c>
      <c r="G5" s="40">
        <v>1</v>
      </c>
      <c r="H5" s="118">
        <f>IF(B$17=0,0,G5/B$17)</f>
        <v>0.33333333333333331</v>
      </c>
      <c r="I5" s="80">
        <v>4</v>
      </c>
      <c r="N5" s="100" t="s">
        <v>171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56</v>
      </c>
      <c r="F6" s="52" t="s">
        <v>165</v>
      </c>
      <c r="G6" s="40">
        <v>0</v>
      </c>
      <c r="H6" s="118">
        <f>IF(B$17=0,0,G6/B$17)</f>
        <v>0</v>
      </c>
      <c r="I6" s="80">
        <v>8</v>
      </c>
      <c r="N6" s="100" t="s">
        <v>114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140</v>
      </c>
      <c r="G7" s="40">
        <v>0</v>
      </c>
      <c r="H7" s="118">
        <f>IF(B$17=0,0,G7/B$17)</f>
        <v>0</v>
      </c>
      <c r="I7" s="80">
        <v>10</v>
      </c>
      <c r="N7" s="100" t="s">
        <v>115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116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161</v>
      </c>
      <c r="B10" s="41">
        <v>1</v>
      </c>
      <c r="C10" s="34">
        <f>IF(B$2=0,0,B10/B$2)</f>
        <v>0.5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0.5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2</v>
      </c>
      <c r="C13" s="38">
        <f>IF(B$3=0,0,B13/B$3)</f>
        <v>0.11764705882352941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102</v>
      </c>
      <c r="B14" s="40">
        <v>3</v>
      </c>
      <c r="C14" s="33">
        <f>IF(B$3=0,0,B14/B$3)</f>
        <v>0.17647058823529413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108</v>
      </c>
      <c r="B16" s="39">
        <f>B22</f>
        <v>2</v>
      </c>
      <c r="C16" s="31">
        <f>IF(B$14=0,0,B16/B$14)</f>
        <v>0.66666666666666663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183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160</v>
      </c>
      <c r="B21" s="40">
        <v>1</v>
      </c>
      <c r="C21" s="33">
        <f>IF(B$17=0,0,B21/B$17)</f>
        <v>0.33333333333333331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176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158</v>
      </c>
      <c r="B22" s="40">
        <v>2</v>
      </c>
      <c r="C22" s="33">
        <f>IF(B$17=0,0,B22/B$17)</f>
        <v>0.66666666666666663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182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4000</v>
      </c>
      <c r="C25" s="122">
        <v>4000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1250</v>
      </c>
      <c r="C26" s="122">
        <v>2500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-18000</v>
      </c>
      <c r="C27" s="122">
        <v>-18000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2</v>
      </c>
      <c r="C28" s="120">
        <v>2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16</v>
      </c>
      <c r="C29" s="120">
        <v>16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1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23700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2</v>
      </c>
      <c r="C35" s="126">
        <f t="shared" ref="C35:C47" si="3">IF(B$17=0,0,B35/B$17)</f>
        <v>0.66666666666666663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1</v>
      </c>
      <c r="C37" s="33">
        <f t="shared" si="3"/>
        <v>0.33333333333333331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FBF92-B9D5-4850-828C-004828F270BC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181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58</v>
      </c>
      <c r="F2" s="51" t="s">
        <v>140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55</v>
      </c>
      <c r="F3" s="52" t="s">
        <v>164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14</v>
      </c>
      <c r="N3" s="100" t="s">
        <v>112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57</v>
      </c>
      <c r="F4" s="52" t="s">
        <v>20</v>
      </c>
      <c r="G4" s="40">
        <v>1</v>
      </c>
      <c r="H4" s="118">
        <f>IF(B$17=0,0,G4/B$17)</f>
        <v>0.5</v>
      </c>
      <c r="I4" s="80">
        <v>6</v>
      </c>
      <c r="N4" s="100" t="s">
        <v>113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59</v>
      </c>
      <c r="F5" s="52" t="s">
        <v>166</v>
      </c>
      <c r="G5" s="40">
        <v>1</v>
      </c>
      <c r="H5" s="118">
        <f>IF(B$17=0,0,G5/B$17)</f>
        <v>0.5</v>
      </c>
      <c r="I5" s="80">
        <v>2</v>
      </c>
      <c r="N5" s="100" t="s">
        <v>171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60</v>
      </c>
      <c r="F6" s="52" t="s">
        <v>21</v>
      </c>
      <c r="G6" s="40">
        <v>1</v>
      </c>
      <c r="H6" s="118">
        <f>IF(B$17=0,0,G6/B$17)</f>
        <v>0.5</v>
      </c>
      <c r="I6" s="80">
        <v>1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165</v>
      </c>
      <c r="G7" s="40">
        <v>0</v>
      </c>
      <c r="H7" s="118">
        <f>IF(B$17=0,0,G7/B$17)</f>
        <v>0</v>
      </c>
      <c r="I7" s="80">
        <v>8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61</v>
      </c>
      <c r="F8" s="52" t="s">
        <v>23</v>
      </c>
      <c r="G8" s="40">
        <v>0</v>
      </c>
      <c r="H8" s="118">
        <f>IF(B$17=0,0,G8/B$17)</f>
        <v>0</v>
      </c>
      <c r="I8" s="80">
        <v>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6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2</v>
      </c>
      <c r="C13" s="38">
        <f>IF(B$3=0,0,B13/B$3)</f>
        <v>0.2857142857142857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0.14285714285714285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183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160</v>
      </c>
      <c r="B21" s="40">
        <v>1</v>
      </c>
      <c r="C21" s="33">
        <f>IF(B$17=0,0,B21/B$17)</f>
        <v>0.5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0.5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8600</v>
      </c>
      <c r="C25" s="122">
        <v>17200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7</v>
      </c>
      <c r="C29" s="120">
        <v>7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4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34000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1</v>
      </c>
      <c r="C37" s="33">
        <f t="shared" si="3"/>
        <v>0.5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1</v>
      </c>
      <c r="C40" s="33">
        <f t="shared" si="3"/>
        <v>0.5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8A61-9E93-48CD-9373-99337EACD0F2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3</v>
      </c>
      <c r="C2" s="149"/>
      <c r="E2" s="54" t="s">
        <v>58</v>
      </c>
      <c r="F2" s="51" t="s">
        <v>140</v>
      </c>
      <c r="G2" s="39">
        <v>7</v>
      </c>
      <c r="H2" s="117">
        <f>IF(B$17=0,0,G2/B$17)</f>
        <v>0.77777777777777779</v>
      </c>
      <c r="I2" s="79">
        <v>3</v>
      </c>
      <c r="K2" s="30">
        <v>0</v>
      </c>
      <c r="L2" s="84">
        <v>0</v>
      </c>
      <c r="N2" s="99" t="s">
        <v>111</v>
      </c>
      <c r="O2" s="106">
        <f t="shared" ref="O2:O9" si="0">IF(P2=0,0,Q2/P2)</f>
        <v>3766.6666666666665</v>
      </c>
      <c r="P2" s="103">
        <v>3</v>
      </c>
      <c r="Q2" s="87">
        <v>11300</v>
      </c>
    </row>
    <row r="3" spans="1:17">
      <c r="A3" s="47" t="s">
        <v>8</v>
      </c>
      <c r="B3" s="150">
        <v>22</v>
      </c>
      <c r="C3" s="151"/>
      <c r="E3" s="55" t="s">
        <v>55</v>
      </c>
      <c r="F3" s="52" t="s">
        <v>164</v>
      </c>
      <c r="G3" s="40">
        <v>4</v>
      </c>
      <c r="H3" s="118">
        <f>IF(B$17=0,0,G3/B$17)</f>
        <v>0.44444444444444442</v>
      </c>
      <c r="I3" s="80">
        <v>10</v>
      </c>
      <c r="K3" s="32">
        <v>1</v>
      </c>
      <c r="L3" s="85">
        <v>61.1</v>
      </c>
      <c r="N3" s="100" t="s">
        <v>112</v>
      </c>
      <c r="O3" s="107">
        <f t="shared" si="0"/>
        <v>-3833.3333333333335</v>
      </c>
      <c r="P3" s="104">
        <v>3</v>
      </c>
      <c r="Q3" s="88">
        <v>-11500</v>
      </c>
    </row>
    <row r="4" spans="1:17">
      <c r="A4" s="47" t="s">
        <v>6</v>
      </c>
      <c r="B4" s="152">
        <v>130.9</v>
      </c>
      <c r="C4" s="153"/>
      <c r="E4" s="55" t="s">
        <v>57</v>
      </c>
      <c r="F4" s="52" t="s">
        <v>20</v>
      </c>
      <c r="G4" s="40">
        <v>4</v>
      </c>
      <c r="H4" s="118">
        <f>IF(B$17=0,0,G4/B$17)</f>
        <v>0.44444444444444442</v>
      </c>
      <c r="I4" s="80">
        <v>9</v>
      </c>
      <c r="K4" s="32">
        <v>2</v>
      </c>
      <c r="L4" s="85">
        <v>117.7</v>
      </c>
      <c r="N4" s="100" t="s">
        <v>113</v>
      </c>
      <c r="O4" s="107">
        <f t="shared" si="0"/>
        <v>4666.666666666667</v>
      </c>
      <c r="P4" s="104">
        <v>3</v>
      </c>
      <c r="Q4" s="88">
        <v>14000</v>
      </c>
    </row>
    <row r="5" spans="1:17">
      <c r="A5" s="47" t="s">
        <v>7</v>
      </c>
      <c r="B5" s="154">
        <f>IF(B$2=0,0,B$4/B$2)</f>
        <v>43.633333333333333</v>
      </c>
      <c r="C5" s="155"/>
      <c r="E5" s="55" t="s">
        <v>59</v>
      </c>
      <c r="F5" s="52" t="s">
        <v>166</v>
      </c>
      <c r="G5" s="40">
        <v>4</v>
      </c>
      <c r="H5" s="118">
        <f>IF(B$17=0,0,G5/B$17)</f>
        <v>0.44444444444444442</v>
      </c>
      <c r="I5" s="80">
        <v>3</v>
      </c>
      <c r="K5" s="32">
        <v>3</v>
      </c>
      <c r="L5" s="85">
        <v>130.9</v>
      </c>
      <c r="N5" s="100" t="s">
        <v>171</v>
      </c>
      <c r="O5" s="107">
        <f>IF(P5=0,0,Q5/P5)</f>
        <v>3800</v>
      </c>
      <c r="P5" s="104">
        <v>3</v>
      </c>
      <c r="Q5" s="88">
        <v>11400</v>
      </c>
    </row>
    <row r="6" spans="1:17">
      <c r="A6" s="47" t="s">
        <v>1</v>
      </c>
      <c r="B6" s="156">
        <f>IF(B$2=0,0,(B$7*1+B$8*2+B$9*3+B$10*4)/B$2)</f>
        <v>1.3333333333333333</v>
      </c>
      <c r="C6" s="157"/>
      <c r="E6" s="55" t="s">
        <v>60</v>
      </c>
      <c r="F6" s="52" t="s">
        <v>21</v>
      </c>
      <c r="G6" s="40">
        <v>2</v>
      </c>
      <c r="H6" s="118">
        <f>IF(B$17=0,0,G6/B$17)</f>
        <v>0.22222222222222221</v>
      </c>
      <c r="I6" s="80">
        <v>9</v>
      </c>
      <c r="N6" s="100" t="s">
        <v>114</v>
      </c>
      <c r="O6" s="107">
        <f t="shared" ref="O6" si="1">IF(P6=0,0,Q6/P6)</f>
        <v>2500</v>
      </c>
      <c r="P6" s="104">
        <v>2</v>
      </c>
      <c r="Q6" s="88">
        <v>5000</v>
      </c>
    </row>
    <row r="7" spans="1:17">
      <c r="A7" s="47" t="s">
        <v>2</v>
      </c>
      <c r="B7" s="40">
        <v>2</v>
      </c>
      <c r="C7" s="33">
        <f t="shared" ref="C7:C12" si="2">IF(B$2=0,0,B7/B$2)</f>
        <v>0.66666666666666663</v>
      </c>
      <c r="E7" s="55" t="s">
        <v>62</v>
      </c>
      <c r="F7" s="52" t="s">
        <v>19</v>
      </c>
      <c r="G7" s="40">
        <v>2</v>
      </c>
      <c r="H7" s="118">
        <f>IF(B$17=0,0,G7/B$17)</f>
        <v>0.22222222222222221</v>
      </c>
      <c r="I7" s="80">
        <v>4</v>
      </c>
      <c r="N7" s="100" t="s">
        <v>115</v>
      </c>
      <c r="O7" s="107">
        <f t="shared" si="0"/>
        <v>5850</v>
      </c>
      <c r="P7" s="104">
        <v>2</v>
      </c>
      <c r="Q7" s="88">
        <v>11700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63</v>
      </c>
      <c r="F8" s="52" t="s">
        <v>22</v>
      </c>
      <c r="G8" s="40">
        <v>2</v>
      </c>
      <c r="H8" s="118">
        <f>IF(B$17=0,0,G8/B$17)</f>
        <v>0.22222222222222221</v>
      </c>
      <c r="I8" s="80">
        <v>8</v>
      </c>
      <c r="N8" s="100" t="s">
        <v>116</v>
      </c>
      <c r="O8" s="107">
        <f t="shared" si="0"/>
        <v>-6000</v>
      </c>
      <c r="P8" s="104">
        <v>1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165</v>
      </c>
      <c r="G9" s="40">
        <v>1</v>
      </c>
      <c r="H9" s="118">
        <f>IF(B$17=0,0,G9/B$17)</f>
        <v>0.1111111111111111</v>
      </c>
      <c r="I9" s="80">
        <v>7</v>
      </c>
      <c r="N9" s="101" t="s">
        <v>172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61</v>
      </c>
      <c r="F10" s="52" t="s">
        <v>23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3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6</v>
      </c>
      <c r="C13" s="38">
        <f>IF(B$3=0,0,B13/B$3)</f>
        <v>0.27272727272727271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6</v>
      </c>
      <c r="C14" s="33">
        <f>IF(B$3=0,0,B14/B$3)</f>
        <v>0.27272727272727271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56.6</v>
      </c>
      <c r="P14" s="104">
        <v>1</v>
      </c>
      <c r="Q14" s="92">
        <v>56.6</v>
      </c>
    </row>
    <row r="15" spans="1:17">
      <c r="A15" s="46" t="s">
        <v>107</v>
      </c>
      <c r="B15" s="39">
        <f>B21</f>
        <v>4</v>
      </c>
      <c r="C15" s="31">
        <f>IF(B$13=0,0,B15/B$13)</f>
        <v>0.66666666666666663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37.15</v>
      </c>
      <c r="P15" s="105">
        <v>2</v>
      </c>
      <c r="Q15" s="93">
        <v>74.3</v>
      </c>
    </row>
    <row r="16" spans="1:17">
      <c r="A16" s="46" t="s">
        <v>108</v>
      </c>
      <c r="B16" s="39">
        <f>B22</f>
        <v>3</v>
      </c>
      <c r="C16" s="31">
        <f>IF(B$14=0,0,B16/B$14)</f>
        <v>0.5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</v>
      </c>
      <c r="C17" s="31">
        <f>IF(B$3=0,0,B17/B$3)</f>
        <v>0.40909090909090912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4.5454545454545456E-2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5</v>
      </c>
      <c r="C19" s="33">
        <f>IF(B$17=0,0,B19/B$17)</f>
        <v>0.55555555555555558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178</v>
      </c>
      <c r="O19" s="110">
        <f>IF(P19=0,0,Q19/P19)</f>
        <v>108.7</v>
      </c>
      <c r="P19" s="104">
        <v>1</v>
      </c>
      <c r="Q19" s="92">
        <v>108.7</v>
      </c>
    </row>
    <row r="20" spans="1:17">
      <c r="A20" s="47" t="s">
        <v>11</v>
      </c>
      <c r="B20" s="40">
        <v>4</v>
      </c>
      <c r="C20" s="33">
        <f>IF(B$17=0,0,B20/B$17)</f>
        <v>0.44444444444444442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75.3</v>
      </c>
      <c r="P20" s="104">
        <v>1</v>
      </c>
      <c r="Q20" s="92">
        <v>75.3</v>
      </c>
    </row>
    <row r="21" spans="1:17">
      <c r="A21" s="47" t="s">
        <v>160</v>
      </c>
      <c r="B21" s="40">
        <v>4</v>
      </c>
      <c r="C21" s="33">
        <f>IF(B$17=0,0,B21/B$17)</f>
        <v>0.44444444444444442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175</v>
      </c>
      <c r="O21" s="110">
        <f>IF(P21=0,0,Q21/P21)</f>
        <v>74.7</v>
      </c>
      <c r="P21" s="104">
        <v>1</v>
      </c>
      <c r="Q21" s="92">
        <v>74.7</v>
      </c>
    </row>
    <row r="22" spans="1:17">
      <c r="A22" s="47" t="s">
        <v>158</v>
      </c>
      <c r="B22" s="40">
        <v>3</v>
      </c>
      <c r="C22" s="33">
        <f>IF(B$17=0,0,B22/B$17)</f>
        <v>0.33333333333333331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>IF(P22=0,0,Q22/P22)</f>
        <v>65.8</v>
      </c>
      <c r="P22" s="104">
        <v>1</v>
      </c>
      <c r="Q22" s="92">
        <v>65.8</v>
      </c>
    </row>
    <row r="23" spans="1:17">
      <c r="A23" s="47" t="s">
        <v>159</v>
      </c>
      <c r="B23" s="40">
        <v>2</v>
      </c>
      <c r="C23" s="33">
        <f>IF(B$17=0,0,B23/B$17)</f>
        <v>0.22222222222222221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  <c r="N23" s="100" t="s">
        <v>181</v>
      </c>
      <c r="O23" s="110">
        <f>IF(P23=0,0,Q23/P23)</f>
        <v>47.1</v>
      </c>
      <c r="P23" s="104">
        <v>1</v>
      </c>
      <c r="Q23" s="92">
        <v>47.1</v>
      </c>
    </row>
    <row r="24" spans="1:17">
      <c r="A24" s="47" t="s">
        <v>5</v>
      </c>
      <c r="B24" s="44">
        <f>IF(B$17=0,0,C24/B$17)</f>
        <v>5700</v>
      </c>
      <c r="C24" s="35">
        <v>51300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  <c r="N24" s="100" t="s">
        <v>190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142</v>
      </c>
      <c r="B25" s="121">
        <f>IF($B$17-B$16=0,0,C25/($B$17-B$16))</f>
        <v>7866.666666666667</v>
      </c>
      <c r="C25" s="122">
        <v>47200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194</v>
      </c>
      <c r="O25" s="110">
        <f>IF(P25=0,0,Q25/P25)</f>
        <v>-41</v>
      </c>
      <c r="P25" s="104">
        <v>1</v>
      </c>
      <c r="Q25" s="92">
        <v>-41</v>
      </c>
    </row>
    <row r="26" spans="1:17">
      <c r="A26" s="48" t="s">
        <v>143</v>
      </c>
      <c r="B26" s="121">
        <f>IF(B$16=0,0,C26/B$16)</f>
        <v>1366.6666666666667</v>
      </c>
      <c r="C26" s="122">
        <v>4100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3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18</v>
      </c>
      <c r="C29" s="120">
        <v>18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5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41100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2</v>
      </c>
      <c r="C35" s="126">
        <f t="shared" ref="C35:C47" si="3">IF(B$17=0,0,B35/B$17)</f>
        <v>0.22222222222222221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2</v>
      </c>
      <c r="C36" s="33">
        <f t="shared" si="3"/>
        <v>0.22222222222222221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1</v>
      </c>
      <c r="C37" s="33">
        <f t="shared" si="3"/>
        <v>0.1111111111111111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2</v>
      </c>
      <c r="C38" s="33">
        <f t="shared" si="3"/>
        <v>0.22222222222222221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1</v>
      </c>
      <c r="C40" s="33">
        <f t="shared" si="3"/>
        <v>0.1111111111111111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1</v>
      </c>
      <c r="C41" s="33">
        <f t="shared" si="3"/>
        <v>0.1111111111111111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8FB4-562A-4C31-AA26-AC67D33D9D19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190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2</v>
      </c>
      <c r="C2" s="149"/>
      <c r="E2" s="54" t="s">
        <v>57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55</v>
      </c>
      <c r="F3" s="52" t="s">
        <v>164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112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-2.2000000000000011</v>
      </c>
      <c r="C4" s="153"/>
      <c r="E4" s="55" t="s">
        <v>56</v>
      </c>
      <c r="F4" s="52" t="s">
        <v>165</v>
      </c>
      <c r="G4" s="40">
        <v>1</v>
      </c>
      <c r="H4" s="118">
        <f>IF(B$17=0,0,G4/B$17)</f>
        <v>0.33333333333333331</v>
      </c>
      <c r="I4" s="80">
        <v>5</v>
      </c>
      <c r="K4" s="32">
        <v>2</v>
      </c>
      <c r="L4" s="85">
        <v>-2.2000000000000011</v>
      </c>
      <c r="N4" s="100" t="s">
        <v>113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-1.1000000000000005</v>
      </c>
      <c r="C5" s="155"/>
      <c r="E5" s="55" t="s">
        <v>58</v>
      </c>
      <c r="F5" s="52" t="s">
        <v>140</v>
      </c>
      <c r="G5" s="40">
        <v>1</v>
      </c>
      <c r="H5" s="118">
        <f>IF(B$17=0,0,G5/B$17)</f>
        <v>0.33333333333333331</v>
      </c>
      <c r="I5" s="80">
        <v>7</v>
      </c>
      <c r="N5" s="100" t="s">
        <v>171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59</v>
      </c>
      <c r="F6" s="52" t="s">
        <v>166</v>
      </c>
      <c r="G6" s="40">
        <v>1</v>
      </c>
      <c r="H6" s="118">
        <f>IF(B$17=0,0,G6/B$17)</f>
        <v>0.33333333333333331</v>
      </c>
      <c r="I6" s="80">
        <v>4</v>
      </c>
      <c r="N6" s="100" t="s">
        <v>114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115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63</v>
      </c>
      <c r="F8" s="52" t="s">
        <v>22</v>
      </c>
      <c r="G8" s="40">
        <v>1</v>
      </c>
      <c r="H8" s="118">
        <f>IF(B$17=0,0,G8/B$17)</f>
        <v>0.33333333333333331</v>
      </c>
      <c r="I8" s="80">
        <v>4</v>
      </c>
      <c r="N8" s="100" t="s">
        <v>116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0.5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4</v>
      </c>
      <c r="C13" s="38">
        <f>IF(B$3=0,0,B13/B$3)</f>
        <v>0.26666666666666666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102</v>
      </c>
      <c r="B14" s="40">
        <v>0</v>
      </c>
      <c r="C14" s="33">
        <f>IF(B$3=0,0,B14/B$3)</f>
        <v>0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3</v>
      </c>
      <c r="C15" s="31">
        <f>IF(B$13=0,0,B15/B$13)</f>
        <v>0.75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195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160</v>
      </c>
      <c r="B21" s="40">
        <v>3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194</v>
      </c>
      <c r="O22" s="110">
        <f>IF(P22=0,0,Q22/P22)</f>
        <v>-70</v>
      </c>
      <c r="P22" s="104">
        <v>1</v>
      </c>
      <c r="Q22" s="92">
        <v>-70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8400</v>
      </c>
      <c r="C25" s="122">
        <v>25200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-2950</v>
      </c>
      <c r="C27" s="122">
        <v>-5900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7</v>
      </c>
      <c r="C29" s="120">
        <v>7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33600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1</v>
      </c>
      <c r="C37" s="33">
        <f t="shared" si="3"/>
        <v>0.33333333333333331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1</v>
      </c>
      <c r="C38" s="33">
        <f t="shared" si="3"/>
        <v>0.33333333333333331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1</v>
      </c>
      <c r="C40" s="33">
        <f t="shared" si="3"/>
        <v>0.33333333333333331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BA792-CF03-4A97-9133-747362D60DEA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192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164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111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57</v>
      </c>
      <c r="F3" s="52" t="s">
        <v>20</v>
      </c>
      <c r="G3" s="40">
        <v>1</v>
      </c>
      <c r="H3" s="118">
        <f>IF(B$17=0,0,G3/B$17)</f>
        <v>0.25</v>
      </c>
      <c r="I3" s="80">
        <v>11</v>
      </c>
      <c r="K3" s="32">
        <v>1</v>
      </c>
      <c r="L3" s="85">
        <v>62.5</v>
      </c>
      <c r="N3" s="100" t="s">
        <v>112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58</v>
      </c>
      <c r="F4" s="52" t="s">
        <v>140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113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59</v>
      </c>
      <c r="F5" s="52" t="s">
        <v>166</v>
      </c>
      <c r="G5" s="40">
        <v>1</v>
      </c>
      <c r="H5" s="118">
        <f>IF(B$17=0,0,G5/B$17)</f>
        <v>0.25</v>
      </c>
      <c r="I5" s="80">
        <v>7</v>
      </c>
      <c r="N5" s="100" t="s">
        <v>171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60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114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62</v>
      </c>
      <c r="F7" s="52" t="s">
        <v>19</v>
      </c>
      <c r="G7" s="40">
        <v>1</v>
      </c>
      <c r="H7" s="118">
        <f>IF(B$17=0,0,G7/B$17)</f>
        <v>0.25</v>
      </c>
      <c r="I7" s="80">
        <v>2</v>
      </c>
      <c r="N7" s="100" t="s">
        <v>115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63</v>
      </c>
      <c r="F8" s="52" t="s">
        <v>22</v>
      </c>
      <c r="G8" s="40">
        <v>1</v>
      </c>
      <c r="H8" s="118">
        <f>IF(B$17=0,0,G8/B$17)</f>
        <v>0.25</v>
      </c>
      <c r="I8" s="80">
        <v>6</v>
      </c>
      <c r="N8" s="100" t="s">
        <v>116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72</v>
      </c>
      <c r="F9" s="52" t="s">
        <v>29</v>
      </c>
      <c r="G9" s="40">
        <v>1</v>
      </c>
      <c r="H9" s="118">
        <f>IF(B$17=0,0,G9/B$17)</f>
        <v>0.25</v>
      </c>
      <c r="I9" s="80">
        <v>1</v>
      </c>
      <c r="N9" s="101" t="s">
        <v>172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161</v>
      </c>
      <c r="B10" s="41">
        <v>1</v>
      </c>
      <c r="C10" s="34">
        <f>IF(B$2=0,0,B10/B$2)</f>
        <v>0.5</v>
      </c>
      <c r="E10" s="55" t="s">
        <v>56</v>
      </c>
      <c r="F10" s="52" t="s">
        <v>165</v>
      </c>
      <c r="G10" s="40">
        <v>0</v>
      </c>
      <c r="H10" s="118">
        <f>IF(B$17=0,0,G10/B$17)</f>
        <v>0</v>
      </c>
      <c r="I10" s="80">
        <v>8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0.5</v>
      </c>
      <c r="E11" s="55" t="s">
        <v>61</v>
      </c>
      <c r="F11" s="52" t="s">
        <v>23</v>
      </c>
      <c r="G11" s="40">
        <v>0</v>
      </c>
      <c r="H11" s="118">
        <f>IF(B$17=0,0,G11/B$17)</f>
        <v>0</v>
      </c>
      <c r="I11" s="80">
        <v>4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64</v>
      </c>
      <c r="F12" s="52" t="s">
        <v>24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105</v>
      </c>
      <c r="B13" s="43">
        <v>4</v>
      </c>
      <c r="C13" s="38">
        <f>IF(B$3=0,0,B13/B$3)</f>
        <v>0.21052631578947367</v>
      </c>
      <c r="E13" s="55" t="s">
        <v>65</v>
      </c>
      <c r="F13" s="52" t="s">
        <v>167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102</v>
      </c>
      <c r="B14" s="40">
        <v>3</v>
      </c>
      <c r="C14" s="33">
        <f>IF(B$3=0,0,B14/B$3)</f>
        <v>0.15789473684210525</v>
      </c>
      <c r="E14" s="55" t="s">
        <v>66</v>
      </c>
      <c r="F14" s="52" t="s">
        <v>35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3</v>
      </c>
      <c r="C15" s="31">
        <f>IF(B$13=0,0,B15/B$13)</f>
        <v>0.75</v>
      </c>
      <c r="E15" s="55" t="s">
        <v>67</v>
      </c>
      <c r="F15" s="52" t="s">
        <v>38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1</v>
      </c>
      <c r="C16" s="31">
        <f>IF(B$14=0,0,B16/B$14)</f>
        <v>0.33333333333333331</v>
      </c>
      <c r="E16" s="55" t="s">
        <v>68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3</v>
      </c>
      <c r="N18" s="99" t="s">
        <v>175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160</v>
      </c>
      <c r="B21" s="40">
        <v>3</v>
      </c>
      <c r="C21" s="33">
        <f>IF(B$17=0,0,B21/B$17)</f>
        <v>0.75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  <c r="N21" s="100" t="s">
        <v>180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158</v>
      </c>
      <c r="B22" s="40">
        <v>1</v>
      </c>
      <c r="C22" s="33">
        <f>IF(B$17=0,0,B22/B$17)</f>
        <v>0.25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7533.333333333333</v>
      </c>
      <c r="C25" s="122">
        <v>22600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1000</v>
      </c>
      <c r="C26" s="122">
        <v>1000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-5950</v>
      </c>
      <c r="C27" s="122">
        <v>-11900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2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9</v>
      </c>
      <c r="C29" s="120">
        <v>4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2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42500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1</v>
      </c>
      <c r="C35" s="126">
        <f t="shared" ref="C35:C47" si="3">IF(B$17=0,0,B35/B$17)</f>
        <v>0.25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0.25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1</v>
      </c>
      <c r="C38" s="33">
        <f t="shared" si="3"/>
        <v>0.25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1</v>
      </c>
      <c r="C39" s="33">
        <f t="shared" si="3"/>
        <v>0.25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D65B-8E22-4130-992A-D78024121AA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195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55</v>
      </c>
      <c r="F2" s="51" t="s">
        <v>164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111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165</v>
      </c>
      <c r="G3" s="40">
        <v>0</v>
      </c>
      <c r="H3" s="118">
        <f>IF(B$17=0,0,G3/B$17)</f>
        <v>0</v>
      </c>
      <c r="I3" s="80">
        <v>8</v>
      </c>
      <c r="K3" s="32">
        <v>1</v>
      </c>
      <c r="L3" s="85">
        <v>-52.6</v>
      </c>
      <c r="N3" s="100" t="s">
        <v>112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57</v>
      </c>
      <c r="F4" s="52" t="s">
        <v>20</v>
      </c>
      <c r="G4" s="40">
        <v>0</v>
      </c>
      <c r="H4" s="118">
        <f>IF(B$17=0,0,G4/B$17)</f>
        <v>0</v>
      </c>
      <c r="I4" s="80">
        <v>12</v>
      </c>
      <c r="N4" s="100" t="s">
        <v>113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58</v>
      </c>
      <c r="F5" s="52" t="s">
        <v>140</v>
      </c>
      <c r="G5" s="40">
        <v>0</v>
      </c>
      <c r="H5" s="118">
        <f>IF(B$17=0,0,G5/B$17)</f>
        <v>0</v>
      </c>
      <c r="I5" s="80">
        <v>10</v>
      </c>
      <c r="N5" s="100" t="s">
        <v>171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59</v>
      </c>
      <c r="F6" s="52" t="s">
        <v>166</v>
      </c>
      <c r="G6" s="40">
        <v>0</v>
      </c>
      <c r="H6" s="118">
        <f>IF(B$17=0,0,G6/B$17)</f>
        <v>0</v>
      </c>
      <c r="I6" s="80">
        <v>9</v>
      </c>
      <c r="N6" s="100" t="s">
        <v>114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21</v>
      </c>
      <c r="G7" s="40">
        <v>0</v>
      </c>
      <c r="H7" s="118">
        <f>IF(B$17=0,0,G7/B$17)</f>
        <v>0</v>
      </c>
      <c r="I7" s="80">
        <v>10</v>
      </c>
      <c r="N7" s="100" t="s">
        <v>115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23</v>
      </c>
      <c r="G8" s="40">
        <v>0</v>
      </c>
      <c r="H8" s="118">
        <f>IF(B$17=0,0,G8/B$17)</f>
        <v>0</v>
      </c>
      <c r="I8" s="80">
        <v>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6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1</v>
      </c>
      <c r="C10" s="34">
        <f>IF(B$2=0,0,B10/B$2)</f>
        <v>1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105</v>
      </c>
      <c r="B13" s="43">
        <v>1</v>
      </c>
      <c r="C13" s="38">
        <f>IF(B$3=0,0,B13/B$3)</f>
        <v>0.14285714285714285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2</v>
      </c>
      <c r="C14" s="33">
        <f>IF(B$3=0,0,B14/B$3)</f>
        <v>0.2857142857142857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0</v>
      </c>
      <c r="C15" s="31">
        <f>IF(B$13=0,0,B15/B$13)</f>
        <v>0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182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194</v>
      </c>
      <c r="O20" s="110">
        <f>IF(P20=0,0,Q20/P20)</f>
        <v>-106.80000000000001</v>
      </c>
      <c r="P20" s="104">
        <v>1</v>
      </c>
      <c r="Q20" s="92">
        <v>-106.80000000000001</v>
      </c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-6600</v>
      </c>
      <c r="C27" s="122">
        <v>-13200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0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2</v>
      </c>
      <c r="C29" s="120">
        <v>2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0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7400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52F3-0461-4624-BBEE-04675427B3B4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194</v>
      </c>
      <c r="C1" s="147"/>
      <c r="E1" s="114" t="s">
        <v>137</v>
      </c>
      <c r="F1" s="133" t="s">
        <v>99</v>
      </c>
      <c r="G1" s="132" t="s">
        <v>100</v>
      </c>
      <c r="H1" s="115" t="s">
        <v>101</v>
      </c>
      <c r="I1" s="133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63</v>
      </c>
      <c r="F2" s="51" t="s">
        <v>22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1500</v>
      </c>
      <c r="P2" s="103">
        <v>1</v>
      </c>
      <c r="Q2" s="87">
        <v>1500</v>
      </c>
    </row>
    <row r="3" spans="1:17">
      <c r="A3" s="47" t="s">
        <v>8</v>
      </c>
      <c r="B3" s="150">
        <v>7</v>
      </c>
      <c r="C3" s="151"/>
      <c r="E3" s="55" t="s">
        <v>55</v>
      </c>
      <c r="F3" s="52" t="s">
        <v>164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54.2</v>
      </c>
      <c r="N3" s="100" t="s">
        <v>112</v>
      </c>
      <c r="O3" s="107">
        <f t="shared" si="0"/>
        <v>10600</v>
      </c>
      <c r="P3" s="104">
        <v>1</v>
      </c>
      <c r="Q3" s="88">
        <v>10600</v>
      </c>
    </row>
    <row r="4" spans="1:17">
      <c r="A4" s="47" t="s">
        <v>6</v>
      </c>
      <c r="B4" s="152">
        <v>54.2</v>
      </c>
      <c r="C4" s="153"/>
      <c r="E4" s="55" t="s">
        <v>56</v>
      </c>
      <c r="F4" s="52" t="s">
        <v>165</v>
      </c>
      <c r="G4" s="40">
        <v>1</v>
      </c>
      <c r="H4" s="118">
        <f>IF(B$17=0,0,G4/B$17)</f>
        <v>0.5</v>
      </c>
      <c r="I4" s="80">
        <v>1</v>
      </c>
      <c r="N4" s="100" t="s">
        <v>113</v>
      </c>
      <c r="O4" s="107">
        <f t="shared" si="0"/>
        <v>-2000</v>
      </c>
      <c r="P4" s="104">
        <v>1</v>
      </c>
      <c r="Q4" s="88">
        <v>-2000</v>
      </c>
    </row>
    <row r="5" spans="1:17">
      <c r="A5" s="47" t="s">
        <v>7</v>
      </c>
      <c r="B5" s="154">
        <f>IF(B$2=0,0,B$4/B$2)</f>
        <v>54.2</v>
      </c>
      <c r="C5" s="155"/>
      <c r="E5" s="55" t="s">
        <v>58</v>
      </c>
      <c r="F5" s="52" t="s">
        <v>140</v>
      </c>
      <c r="G5" s="40">
        <v>1</v>
      </c>
      <c r="H5" s="118">
        <f>IF(B$17=0,0,G5/B$17)</f>
        <v>0.5</v>
      </c>
      <c r="I5" s="80">
        <v>5</v>
      </c>
      <c r="N5" s="100" t="s">
        <v>171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57</v>
      </c>
      <c r="F6" s="52" t="s">
        <v>20</v>
      </c>
      <c r="G6" s="40">
        <v>0</v>
      </c>
      <c r="H6" s="118">
        <f>IF(B$17=0,0,G6/B$17)</f>
        <v>0</v>
      </c>
      <c r="I6" s="80">
        <v>12</v>
      </c>
      <c r="N6" s="100" t="s">
        <v>114</v>
      </c>
      <c r="O6" s="107">
        <f t="shared" ref="O6" si="1">IF(P6=0,0,Q6/P6)</f>
        <v>-1000</v>
      </c>
      <c r="P6" s="104">
        <v>1</v>
      </c>
      <c r="Q6" s="88">
        <v>-1000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59</v>
      </c>
      <c r="F7" s="52" t="s">
        <v>166</v>
      </c>
      <c r="G7" s="40">
        <v>0</v>
      </c>
      <c r="H7" s="118">
        <f>IF(B$17=0,0,G7/B$17)</f>
        <v>0</v>
      </c>
      <c r="I7" s="80">
        <v>9</v>
      </c>
      <c r="N7" s="100" t="s">
        <v>115</v>
      </c>
      <c r="O7" s="107">
        <f t="shared" si="0"/>
        <v>1100</v>
      </c>
      <c r="P7" s="104">
        <v>1</v>
      </c>
      <c r="Q7" s="88">
        <v>1100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2</v>
      </c>
      <c r="C13" s="38">
        <f>IF(B$3=0,0,B13/B$3)</f>
        <v>0.2857142857142857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0</v>
      </c>
      <c r="C14" s="33">
        <f>IF(B$3=0,0,B14/B$3)</f>
        <v>0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54.2</v>
      </c>
      <c r="P14" s="104">
        <v>1</v>
      </c>
      <c r="Q14" s="92">
        <v>54.2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3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195</v>
      </c>
      <c r="O18" s="109">
        <f>IF(P18=0,0,Q18/P18)</f>
        <v>106.80000000000001</v>
      </c>
      <c r="P18" s="103">
        <v>1</v>
      </c>
      <c r="Q18" s="91">
        <v>106.80000000000001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3</v>
      </c>
      <c r="N19" s="100" t="s">
        <v>190</v>
      </c>
      <c r="O19" s="110">
        <f>IF(P19=0,0,Q19/P19)</f>
        <v>70</v>
      </c>
      <c r="P19" s="104">
        <v>1</v>
      </c>
      <c r="Q19" s="92">
        <v>70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41</v>
      </c>
      <c r="P20" s="104">
        <v>1</v>
      </c>
      <c r="Q20" s="92">
        <v>41</v>
      </c>
    </row>
    <row r="21" spans="1:17">
      <c r="A21" s="47" t="s">
        <v>160</v>
      </c>
      <c r="B21" s="40">
        <v>1</v>
      </c>
      <c r="C21" s="33">
        <f>IF(B$17=0,0,B21/B$17)</f>
        <v>0.5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0.5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4550</v>
      </c>
      <c r="C24" s="35">
        <v>9100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4550</v>
      </c>
      <c r="C25" s="122">
        <v>9100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-2000</v>
      </c>
      <c r="C27" s="122">
        <v>-2000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3</v>
      </c>
      <c r="C29" s="120">
        <v>3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2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34200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186</v>
      </c>
      <c r="B34" s="130" t="s">
        <v>100</v>
      </c>
      <c r="C34" s="131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4">
        <v>1</v>
      </c>
      <c r="C35" s="126">
        <f t="shared" ref="C35:C47" si="3">IF(B$17=0,0,B35/B$17)</f>
        <v>0.5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5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5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5">
        <v>1</v>
      </c>
      <c r="C39" s="33">
        <f t="shared" si="3"/>
        <v>0.5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5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5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5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5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5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5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5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137</v>
      </c>
      <c r="F1" s="128" t="s">
        <v>99</v>
      </c>
      <c r="G1" s="127" t="s">
        <v>100</v>
      </c>
      <c r="H1" s="115" t="s">
        <v>101</v>
      </c>
      <c r="I1" s="128" t="s">
        <v>126</v>
      </c>
      <c r="K1" s="2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131</v>
      </c>
    </row>
    <row r="2" spans="1:17">
      <c r="A2" s="18" t="s">
        <v>9</v>
      </c>
      <c r="B2" s="148">
        <v>0</v>
      </c>
      <c r="C2" s="149"/>
      <c r="E2" s="54" t="s">
        <v>55</v>
      </c>
      <c r="F2" s="51" t="s">
        <v>164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111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56</v>
      </c>
      <c r="F3" s="52" t="s">
        <v>165</v>
      </c>
      <c r="G3" s="40">
        <v>0</v>
      </c>
      <c r="H3" s="118">
        <f t="shared" si="0"/>
        <v>0</v>
      </c>
      <c r="I3" s="80"/>
      <c r="N3" s="100" t="s">
        <v>112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57</v>
      </c>
      <c r="F4" s="52" t="s">
        <v>20</v>
      </c>
      <c r="G4" s="40">
        <v>0</v>
      </c>
      <c r="H4" s="118">
        <f t="shared" si="0"/>
        <v>0</v>
      </c>
      <c r="I4" s="80"/>
      <c r="N4" s="100" t="s">
        <v>113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58</v>
      </c>
      <c r="F5" s="52" t="s">
        <v>140</v>
      </c>
      <c r="G5" s="40">
        <v>0</v>
      </c>
      <c r="H5" s="118">
        <f t="shared" si="0"/>
        <v>0</v>
      </c>
      <c r="I5" s="80"/>
      <c r="N5" s="100" t="s">
        <v>171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59</v>
      </c>
      <c r="F6" s="52" t="s">
        <v>166</v>
      </c>
      <c r="G6" s="40">
        <v>0</v>
      </c>
      <c r="H6" s="118">
        <f t="shared" si="0"/>
        <v>0</v>
      </c>
      <c r="I6" s="80"/>
      <c r="N6" s="100" t="s">
        <v>114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60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115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61</v>
      </c>
      <c r="F8" s="52" t="s">
        <v>23</v>
      </c>
      <c r="G8" s="40">
        <v>0</v>
      </c>
      <c r="H8" s="118">
        <f t="shared" si="0"/>
        <v>0</v>
      </c>
      <c r="I8" s="80"/>
      <c r="N8" s="100" t="s">
        <v>116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62</v>
      </c>
      <c r="F9" s="52" t="s">
        <v>19</v>
      </c>
      <c r="G9" s="40">
        <v>0</v>
      </c>
      <c r="H9" s="118">
        <f t="shared" si="0"/>
        <v>0</v>
      </c>
      <c r="I9" s="80"/>
      <c r="N9" s="101" t="s">
        <v>172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 t="shared" si="0"/>
        <v>0</v>
      </c>
      <c r="I11" s="80"/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65</v>
      </c>
      <c r="F12" s="52" t="s">
        <v>167</v>
      </c>
      <c r="G12" s="40">
        <v>0</v>
      </c>
      <c r="H12" s="118">
        <f t="shared" si="0"/>
        <v>0</v>
      </c>
      <c r="I12" s="80"/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105</v>
      </c>
      <c r="B13" s="15">
        <v>0</v>
      </c>
      <c r="C13" s="11">
        <f>IF(B$3=0,0,B13/B$3)</f>
        <v>0</v>
      </c>
      <c r="E13" s="55" t="s">
        <v>66</v>
      </c>
      <c r="F13" s="52" t="s">
        <v>35</v>
      </c>
      <c r="G13" s="40">
        <v>0</v>
      </c>
      <c r="H13" s="118">
        <f t="shared" si="0"/>
        <v>0</v>
      </c>
      <c r="I13" s="80"/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102</v>
      </c>
      <c r="B14" s="13">
        <v>0</v>
      </c>
      <c r="C14" s="6">
        <f>IF(B$3=0,0,B14/B$3)</f>
        <v>0</v>
      </c>
      <c r="E14" s="55" t="s">
        <v>67</v>
      </c>
      <c r="F14" s="52" t="s">
        <v>38</v>
      </c>
      <c r="G14" s="40">
        <v>0</v>
      </c>
      <c r="H14" s="118">
        <f t="shared" si="0"/>
        <v>0</v>
      </c>
      <c r="I14" s="80"/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107</v>
      </c>
      <c r="B15" s="12">
        <f>B21</f>
        <v>0</v>
      </c>
      <c r="C15" s="4">
        <f>IF(B$13=0,0,B15/B$13)</f>
        <v>0</v>
      </c>
      <c r="E15" s="55" t="s">
        <v>68</v>
      </c>
      <c r="F15" s="52" t="s">
        <v>25</v>
      </c>
      <c r="G15" s="40">
        <v>0</v>
      </c>
      <c r="H15" s="118">
        <f t="shared" si="0"/>
        <v>0</v>
      </c>
      <c r="I15" s="80"/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108</v>
      </c>
      <c r="B16" s="12">
        <f>B22</f>
        <v>0</v>
      </c>
      <c r="C16" s="4">
        <f>IF(B$14=0,0,B16/B$14)</f>
        <v>0</v>
      </c>
      <c r="E16" s="55" t="s">
        <v>69</v>
      </c>
      <c r="F16" s="52" t="s">
        <v>26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70</v>
      </c>
      <c r="F17" s="52" t="s">
        <v>27</v>
      </c>
      <c r="G17" s="40">
        <v>0</v>
      </c>
      <c r="H17" s="118">
        <f t="shared" si="0"/>
        <v>0</v>
      </c>
      <c r="I17" s="80"/>
      <c r="N17" s="98" t="s">
        <v>127</v>
      </c>
      <c r="O17" s="28" t="s">
        <v>128</v>
      </c>
      <c r="P17" s="102" t="s">
        <v>129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72</v>
      </c>
      <c r="F19" s="52" t="s">
        <v>29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73</v>
      </c>
      <c r="F20" s="52" t="s">
        <v>30</v>
      </c>
      <c r="G20" s="40">
        <v>0</v>
      </c>
      <c r="H20" s="118">
        <f t="shared" si="0"/>
        <v>0</v>
      </c>
      <c r="I20" s="80"/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 t="shared" si="0"/>
        <v>0</v>
      </c>
      <c r="I21" s="80"/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 t="shared" si="0"/>
        <v>0</v>
      </c>
      <c r="I22" s="80"/>
    </row>
    <row r="23" spans="1:17">
      <c r="A23" s="19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77</v>
      </c>
      <c r="F24" s="52" t="s">
        <v>34</v>
      </c>
      <c r="G24" s="40">
        <v>0</v>
      </c>
      <c r="H24" s="118">
        <f t="shared" si="0"/>
        <v>0</v>
      </c>
      <c r="I24" s="80"/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 t="shared" si="0"/>
        <v>0</v>
      </c>
      <c r="I25" s="80"/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 t="shared" si="0"/>
        <v>0</v>
      </c>
      <c r="I26" s="80"/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 t="shared" si="0"/>
        <v>0</v>
      </c>
      <c r="I27" s="80"/>
    </row>
    <row r="28" spans="1:17">
      <c r="A28" s="47" t="s">
        <v>138</v>
      </c>
      <c r="B28" s="40">
        <v>0</v>
      </c>
      <c r="C28" s="120">
        <v>0</v>
      </c>
      <c r="E28" s="55" t="s">
        <v>81</v>
      </c>
      <c r="F28" s="52" t="s">
        <v>40</v>
      </c>
      <c r="G28" s="40">
        <v>0</v>
      </c>
      <c r="H28" s="118">
        <f t="shared" si="0"/>
        <v>0</v>
      </c>
      <c r="I28" s="80"/>
    </row>
    <row r="29" spans="1:17">
      <c r="A29" s="47" t="s">
        <v>139</v>
      </c>
      <c r="B29" s="40">
        <v>0</v>
      </c>
      <c r="C29" s="120">
        <v>0</v>
      </c>
      <c r="E29" s="55" t="s">
        <v>82</v>
      </c>
      <c r="F29" s="52" t="s">
        <v>41</v>
      </c>
      <c r="G29" s="40">
        <v>0</v>
      </c>
      <c r="H29" s="118">
        <f t="shared" si="0"/>
        <v>0</v>
      </c>
      <c r="I29" s="80"/>
    </row>
    <row r="30" spans="1:17">
      <c r="A30" s="76" t="s">
        <v>119</v>
      </c>
      <c r="B30" s="142">
        <v>0</v>
      </c>
      <c r="C30" s="143"/>
      <c r="E30" s="55" t="s">
        <v>83</v>
      </c>
      <c r="F30" s="52" t="s">
        <v>42</v>
      </c>
      <c r="G30" s="40">
        <v>0</v>
      </c>
      <c r="H30" s="118">
        <f t="shared" si="0"/>
        <v>0</v>
      </c>
      <c r="I30" s="80"/>
    </row>
    <row r="31" spans="1:17">
      <c r="A31" s="50" t="s">
        <v>157</v>
      </c>
      <c r="B31" s="144">
        <v>-1000000</v>
      </c>
      <c r="C31" s="145"/>
      <c r="E31" s="55" t="s">
        <v>84</v>
      </c>
      <c r="F31" s="52" t="s">
        <v>43</v>
      </c>
      <c r="G31" s="40">
        <v>0</v>
      </c>
      <c r="H31" s="118">
        <f t="shared" si="0"/>
        <v>0</v>
      </c>
      <c r="I31" s="80"/>
    </row>
    <row r="32" spans="1:17">
      <c r="A32" s="21" t="s">
        <v>120</v>
      </c>
      <c r="B32" s="26">
        <v>0</v>
      </c>
      <c r="C32" s="9">
        <f>IF(B$3=0,0,B32/B$3)</f>
        <v>0</v>
      </c>
      <c r="E32" s="55" t="s">
        <v>85</v>
      </c>
      <c r="F32" s="52" t="s">
        <v>44</v>
      </c>
      <c r="G32" s="40">
        <v>0</v>
      </c>
      <c r="H32" s="118">
        <f t="shared" si="0"/>
        <v>0</v>
      </c>
      <c r="I32" s="80"/>
    </row>
    <row r="33" spans="1:9">
      <c r="E33" s="55" t="s">
        <v>86</v>
      </c>
      <c r="F33" s="52" t="s">
        <v>45</v>
      </c>
      <c r="G33" s="40">
        <v>0</v>
      </c>
      <c r="H33" s="118">
        <f t="shared" si="0"/>
        <v>0</v>
      </c>
      <c r="I33" s="80"/>
    </row>
    <row r="34" spans="1:9">
      <c r="A34" s="129" t="s">
        <v>186</v>
      </c>
      <c r="B34" s="130" t="s">
        <v>187</v>
      </c>
      <c r="C34" s="131" t="s">
        <v>188</v>
      </c>
      <c r="E34" s="55" t="s">
        <v>87</v>
      </c>
      <c r="F34" s="52" t="s">
        <v>46</v>
      </c>
      <c r="G34" s="40">
        <v>0</v>
      </c>
      <c r="H34" s="118">
        <f t="shared" si="0"/>
        <v>0</v>
      </c>
      <c r="I34" s="80"/>
    </row>
    <row r="35" spans="1:9">
      <c r="A35" s="76" t="s">
        <v>148</v>
      </c>
      <c r="B35" s="123">
        <v>0</v>
      </c>
      <c r="C35" s="126">
        <f t="shared" ref="C35:C47" si="4">IF(B$17=0,0,B35/B$17)</f>
        <v>0</v>
      </c>
      <c r="E35" s="55" t="s">
        <v>88</v>
      </c>
      <c r="F35" s="52" t="s">
        <v>47</v>
      </c>
      <c r="G35" s="40">
        <v>0</v>
      </c>
      <c r="H35" s="118">
        <f t="shared" si="0"/>
        <v>0</v>
      </c>
      <c r="I35" s="80"/>
    </row>
    <row r="36" spans="1:9">
      <c r="A36" s="47" t="s">
        <v>144</v>
      </c>
      <c r="B36" s="40">
        <v>0</v>
      </c>
      <c r="C36" s="33">
        <f t="shared" si="4"/>
        <v>0</v>
      </c>
      <c r="E36" s="55" t="s">
        <v>89</v>
      </c>
      <c r="F36" s="52" t="s">
        <v>48</v>
      </c>
      <c r="G36" s="40">
        <v>0</v>
      </c>
      <c r="H36" s="118">
        <f t="shared" si="0"/>
        <v>0</v>
      </c>
      <c r="I36" s="80"/>
    </row>
    <row r="37" spans="1:9">
      <c r="A37" s="47" t="s">
        <v>145</v>
      </c>
      <c r="B37" s="124">
        <v>0</v>
      </c>
      <c r="C37" s="33">
        <f t="shared" si="4"/>
        <v>0</v>
      </c>
      <c r="E37" s="55" t="s">
        <v>90</v>
      </c>
      <c r="F37" s="52" t="s">
        <v>49</v>
      </c>
      <c r="G37" s="40">
        <v>0</v>
      </c>
      <c r="H37" s="118">
        <f t="shared" si="0"/>
        <v>0</v>
      </c>
      <c r="I37" s="80"/>
    </row>
    <row r="38" spans="1:9">
      <c r="A38" s="47" t="s">
        <v>146</v>
      </c>
      <c r="B38" s="124">
        <v>0</v>
      </c>
      <c r="C38" s="33">
        <f t="shared" si="4"/>
        <v>0</v>
      </c>
      <c r="E38" s="55" t="s">
        <v>91</v>
      </c>
      <c r="F38" s="52" t="s">
        <v>50</v>
      </c>
      <c r="G38" s="40">
        <v>0</v>
      </c>
      <c r="H38" s="118">
        <f t="shared" si="0"/>
        <v>0</v>
      </c>
      <c r="I38" s="80"/>
    </row>
    <row r="39" spans="1:9">
      <c r="A39" s="47" t="s">
        <v>147</v>
      </c>
      <c r="B39" s="124">
        <v>0</v>
      </c>
      <c r="C39" s="33">
        <f t="shared" si="4"/>
        <v>0</v>
      </c>
      <c r="E39" s="55" t="s">
        <v>92</v>
      </c>
      <c r="F39" s="52" t="s">
        <v>51</v>
      </c>
      <c r="G39" s="40">
        <v>0</v>
      </c>
      <c r="H39" s="118">
        <f t="shared" si="0"/>
        <v>0</v>
      </c>
      <c r="I39" s="80"/>
    </row>
    <row r="40" spans="1:9">
      <c r="A40" s="47" t="s">
        <v>149</v>
      </c>
      <c r="B40" s="124">
        <v>0</v>
      </c>
      <c r="C40" s="33">
        <f t="shared" si="4"/>
        <v>0</v>
      </c>
      <c r="E40" s="55" t="s">
        <v>93</v>
      </c>
      <c r="F40" s="52" t="s">
        <v>52</v>
      </c>
      <c r="G40" s="40">
        <v>0</v>
      </c>
      <c r="H40" s="118">
        <f t="shared" si="0"/>
        <v>0</v>
      </c>
      <c r="I40" s="80"/>
    </row>
    <row r="41" spans="1:9">
      <c r="A41" s="47" t="s">
        <v>150</v>
      </c>
      <c r="B41" s="124">
        <v>0</v>
      </c>
      <c r="C41" s="33">
        <f t="shared" si="4"/>
        <v>0</v>
      </c>
      <c r="E41" s="55" t="s">
        <v>94</v>
      </c>
      <c r="F41" s="52" t="s">
        <v>53</v>
      </c>
      <c r="G41" s="40">
        <v>0</v>
      </c>
      <c r="H41" s="118">
        <f t="shared" si="0"/>
        <v>0</v>
      </c>
      <c r="I41" s="80"/>
    </row>
    <row r="42" spans="1:9">
      <c r="A42" s="47" t="s">
        <v>151</v>
      </c>
      <c r="B42" s="124">
        <v>0</v>
      </c>
      <c r="C42" s="33">
        <f t="shared" si="4"/>
        <v>0</v>
      </c>
      <c r="E42" s="55" t="s">
        <v>95</v>
      </c>
      <c r="F42" s="52" t="s">
        <v>54</v>
      </c>
      <c r="G42" s="40">
        <v>0</v>
      </c>
      <c r="H42" s="118">
        <f t="shared" si="0"/>
        <v>0</v>
      </c>
      <c r="I42" s="80"/>
    </row>
    <row r="43" spans="1:9">
      <c r="A43" s="47" t="s">
        <v>152</v>
      </c>
      <c r="B43" s="124">
        <v>0</v>
      </c>
      <c r="C43" s="33">
        <f t="shared" si="4"/>
        <v>0</v>
      </c>
      <c r="E43" s="55" t="s">
        <v>96</v>
      </c>
      <c r="F43" s="52" t="s">
        <v>168</v>
      </c>
      <c r="G43" s="40">
        <v>0</v>
      </c>
      <c r="H43" s="118">
        <f t="shared" si="0"/>
        <v>0</v>
      </c>
      <c r="I43" s="80"/>
    </row>
    <row r="44" spans="1:9">
      <c r="A44" s="47" t="s">
        <v>153</v>
      </c>
      <c r="B44" s="124">
        <v>0</v>
      </c>
      <c r="C44" s="33">
        <f t="shared" si="4"/>
        <v>0</v>
      </c>
      <c r="E44" s="55" t="s">
        <v>97</v>
      </c>
      <c r="F44" s="52" t="s">
        <v>169</v>
      </c>
      <c r="G44" s="40">
        <v>0</v>
      </c>
      <c r="H44" s="118">
        <f t="shared" si="0"/>
        <v>0</v>
      </c>
      <c r="I44" s="80"/>
    </row>
    <row r="45" spans="1:9">
      <c r="A45" s="47" t="s">
        <v>154</v>
      </c>
      <c r="B45" s="124">
        <v>0</v>
      </c>
      <c r="C45" s="33">
        <f t="shared" si="4"/>
        <v>0</v>
      </c>
      <c r="E45" s="56" t="s">
        <v>98</v>
      </c>
      <c r="F45" s="53" t="s">
        <v>170</v>
      </c>
      <c r="G45" s="42">
        <v>0</v>
      </c>
      <c r="H45" s="119">
        <f t="shared" si="0"/>
        <v>0</v>
      </c>
      <c r="I45" s="81"/>
    </row>
    <row r="46" spans="1:9">
      <c r="A46" s="47" t="s">
        <v>155</v>
      </c>
      <c r="B46" s="124">
        <v>0</v>
      </c>
      <c r="C46" s="33">
        <f t="shared" si="4"/>
        <v>0</v>
      </c>
    </row>
    <row r="47" spans="1:9">
      <c r="A47" s="49" t="s">
        <v>156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798</vt:i4>
      </vt:variant>
    </vt:vector>
  </HeadingPairs>
  <TitlesOfParts>
    <vt:vector size="81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Template</vt:lpstr>
      <vt:lpstr>依田幸憲!アガリ数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2019-12-06T10:46:34Z</dcterms:modified>
</cp:coreProperties>
</file>