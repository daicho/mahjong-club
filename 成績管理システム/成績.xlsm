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20EB44EE-0B6F-4728-A8C2-37DD81BE49B0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Template (3)" sheetId="6297" state="hidden" r:id="rId35"/>
    <sheet name="Template" sheetId="2228" state="hidden" r:id="rId36"/>
  </sheets>
  <definedNames>
    <definedName name="アガリ数" localSheetId="34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4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4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4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4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4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4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4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4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4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4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4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4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4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4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4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4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4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4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4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4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4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4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4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4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4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4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4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4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4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4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4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4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4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4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4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4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4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4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4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4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4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4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4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4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4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4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4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4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4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4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4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4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4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4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4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4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4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4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4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4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4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02" l="1"/>
  <c r="O19" i="6302"/>
  <c r="O19" i="6295"/>
  <c r="O18" i="6295"/>
  <c r="O19" i="6303"/>
  <c r="O18" i="6303"/>
  <c r="O20" i="6303"/>
  <c r="C32" i="6303"/>
  <c r="B27" i="6303"/>
  <c r="C18" i="6303"/>
  <c r="B17" i="6303"/>
  <c r="C17" i="6303" s="1"/>
  <c r="H17" i="6303"/>
  <c r="B16" i="6303"/>
  <c r="O15" i="6303"/>
  <c r="H16" i="6303"/>
  <c r="C15" i="6303"/>
  <c r="B15" i="6303"/>
  <c r="O14" i="6303"/>
  <c r="H15" i="6303"/>
  <c r="C14" i="6303"/>
  <c r="O13" i="6303"/>
  <c r="H14" i="6303"/>
  <c r="C13" i="6303"/>
  <c r="O12" i="6303"/>
  <c r="H13" i="6303"/>
  <c r="C12" i="6303"/>
  <c r="H12" i="6303"/>
  <c r="B11" i="6303"/>
  <c r="C11" i="6303" s="1"/>
  <c r="H7" i="6303"/>
  <c r="C10" i="6303"/>
  <c r="O9" i="6303"/>
  <c r="H11" i="6303"/>
  <c r="C9" i="6303"/>
  <c r="O8" i="6303"/>
  <c r="H10" i="6303"/>
  <c r="C8" i="6303"/>
  <c r="O7" i="6303"/>
  <c r="H6" i="6303"/>
  <c r="C7" i="6303"/>
  <c r="O6" i="6303"/>
  <c r="H5" i="6303"/>
  <c r="B6" i="6303"/>
  <c r="O5" i="6303"/>
  <c r="H9" i="6303"/>
  <c r="B5" i="6303"/>
  <c r="O4" i="6303"/>
  <c r="H2" i="6303"/>
  <c r="O3" i="6303"/>
  <c r="H8" i="6303"/>
  <c r="O2" i="6303"/>
  <c r="H4" i="6303"/>
  <c r="O28" i="6287"/>
  <c r="O28" i="6272"/>
  <c r="B26" i="6303" l="1"/>
  <c r="C16" i="6303"/>
  <c r="C47" i="6303"/>
  <c r="C46" i="6303"/>
  <c r="C45" i="6303"/>
  <c r="C44" i="6303"/>
  <c r="C43" i="6303"/>
  <c r="H3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29" i="6303"/>
  <c r="H28" i="6303"/>
  <c r="H27" i="6303"/>
  <c r="H26" i="6303"/>
  <c r="B25" i="6303"/>
  <c r="H25" i="6303"/>
  <c r="B24" i="6303"/>
  <c r="H24" i="6303"/>
  <c r="C23" i="6303"/>
  <c r="H23" i="6303"/>
  <c r="C22" i="6303"/>
  <c r="H22" i="6303"/>
  <c r="C21" i="6303"/>
  <c r="H21" i="6303"/>
  <c r="C20" i="6303"/>
  <c r="H20" i="6303"/>
  <c r="C19" i="6303"/>
  <c r="H19" i="6303"/>
  <c r="H18" i="6303"/>
  <c r="O21" i="6298" l="1"/>
  <c r="O19" i="6287"/>
  <c r="O20" i="6302"/>
  <c r="O18" i="6302"/>
  <c r="O21" i="6302"/>
  <c r="C32" i="6302"/>
  <c r="B27" i="6302"/>
  <c r="C18" i="6302"/>
  <c r="B17" i="6302"/>
  <c r="C17" i="6302" s="1"/>
  <c r="H16" i="6302"/>
  <c r="B16" i="6302"/>
  <c r="O15" i="6302"/>
  <c r="H15" i="6302"/>
  <c r="C15" i="6302"/>
  <c r="B15" i="6302"/>
  <c r="O14" i="6302"/>
  <c r="H14" i="6302"/>
  <c r="C14" i="6302"/>
  <c r="O13" i="6302"/>
  <c r="H13" i="6302"/>
  <c r="C13" i="6302"/>
  <c r="O12" i="6302"/>
  <c r="H12" i="6302"/>
  <c r="C12" i="6302"/>
  <c r="H11" i="6302"/>
  <c r="B11" i="6302"/>
  <c r="C11" i="6302" s="1"/>
  <c r="H2" i="6302"/>
  <c r="C10" i="6302"/>
  <c r="O9" i="6302"/>
  <c r="H10" i="6302"/>
  <c r="C9" i="6302"/>
  <c r="O8" i="6302"/>
  <c r="H9" i="6302"/>
  <c r="C8" i="6302"/>
  <c r="O7" i="6302"/>
  <c r="H8" i="6302"/>
  <c r="C7" i="6302"/>
  <c r="O6" i="6302"/>
  <c r="H4" i="6302"/>
  <c r="B6" i="6302"/>
  <c r="O5" i="6302"/>
  <c r="H7" i="6302"/>
  <c r="B5" i="6302"/>
  <c r="O4" i="6302"/>
  <c r="H3" i="6302"/>
  <c r="O3" i="6302"/>
  <c r="H6" i="6302"/>
  <c r="O2" i="6302"/>
  <c r="H5" i="6302"/>
  <c r="O18" i="6299"/>
  <c r="O26" i="6272"/>
  <c r="B26" i="6302" l="1"/>
  <c r="C16" i="6302"/>
  <c r="C47" i="6302"/>
  <c r="C46" i="6302"/>
  <c r="C45" i="6302"/>
  <c r="C44" i="6302"/>
  <c r="C43" i="6302"/>
  <c r="H42" i="6302"/>
  <c r="C42" i="6302"/>
  <c r="H41" i="6302"/>
  <c r="C41" i="6302"/>
  <c r="H40" i="6302"/>
  <c r="C40" i="6302"/>
  <c r="H39" i="6302"/>
  <c r="C39" i="6302"/>
  <c r="H38" i="6302"/>
  <c r="C38" i="6302"/>
  <c r="H37" i="6302"/>
  <c r="C37" i="6302"/>
  <c r="H36" i="6302"/>
  <c r="C36" i="6302"/>
  <c r="H35" i="6302"/>
  <c r="C35" i="6302"/>
  <c r="H34" i="6302"/>
  <c r="H33" i="6302"/>
  <c r="H32" i="6302"/>
  <c r="H31" i="6302"/>
  <c r="H30" i="6302"/>
  <c r="H29" i="6302"/>
  <c r="H28" i="6302"/>
  <c r="H27" i="6302"/>
  <c r="H26" i="6302"/>
  <c r="H25" i="6302"/>
  <c r="B25" i="6302"/>
  <c r="H24" i="6302"/>
  <c r="B24" i="6302"/>
  <c r="H23" i="6302"/>
  <c r="C23" i="6302"/>
  <c r="H22" i="6302"/>
  <c r="C22" i="6302"/>
  <c r="H21" i="6302"/>
  <c r="C21" i="6302"/>
  <c r="H20" i="6302"/>
  <c r="C20" i="6302"/>
  <c r="H19" i="6302"/>
  <c r="C19" i="6302"/>
  <c r="H18" i="6302"/>
  <c r="H17" i="6302"/>
  <c r="O18" i="6287" l="1"/>
  <c r="O22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0" i="6277"/>
  <c r="O22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3" i="6298" l="1"/>
  <c r="O28" i="6277"/>
  <c r="O20" i="6295" l="1"/>
  <c r="O23" i="6295"/>
  <c r="O29" i="6295"/>
  <c r="O24" i="6298"/>
  <c r="O20" i="6298"/>
  <c r="O23" i="6299"/>
  <c r="O19" i="6299"/>
  <c r="O47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2" i="6287"/>
  <c r="O24" i="6287"/>
  <c r="O20" i="6299"/>
  <c r="O21" i="6299"/>
  <c r="O22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8" i="6299"/>
  <c r="C10" i="6299"/>
  <c r="O9" i="6299"/>
  <c r="H7" i="6299"/>
  <c r="C9" i="6299"/>
  <c r="O8" i="6299"/>
  <c r="H11" i="6299"/>
  <c r="C8" i="6299"/>
  <c r="O7" i="6299"/>
  <c r="H5" i="6299"/>
  <c r="C7" i="6299"/>
  <c r="O6" i="6299"/>
  <c r="H10" i="6299"/>
  <c r="B6" i="6299"/>
  <c r="O5" i="6299"/>
  <c r="H6" i="6299"/>
  <c r="B5" i="6299"/>
  <c r="O4" i="6299"/>
  <c r="H4" i="6299"/>
  <c r="O3" i="6299"/>
  <c r="H9" i="6299"/>
  <c r="O2" i="6299"/>
  <c r="H2" i="6299"/>
  <c r="O29" i="6272"/>
  <c r="O18" i="6298"/>
  <c r="O22" i="6298"/>
  <c r="O19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4" i="6298"/>
  <c r="C10" i="6298"/>
  <c r="O9" i="6298"/>
  <c r="H9" i="6298"/>
  <c r="C9" i="6298"/>
  <c r="O8" i="6298"/>
  <c r="H12" i="6298"/>
  <c r="C8" i="6298"/>
  <c r="O7" i="6298"/>
  <c r="H8" i="6298"/>
  <c r="C7" i="6298"/>
  <c r="O6" i="6298"/>
  <c r="H7" i="6298"/>
  <c r="B6" i="6298"/>
  <c r="O5" i="6298"/>
  <c r="H6" i="6298"/>
  <c r="B5" i="6298"/>
  <c r="O4" i="6298"/>
  <c r="H2" i="6298"/>
  <c r="O3" i="6298"/>
  <c r="H11" i="6298"/>
  <c r="O2" i="6298"/>
  <c r="H3" i="6298"/>
  <c r="O33" i="6272"/>
  <c r="B26" i="6299" l="1"/>
  <c r="C16" i="6299"/>
  <c r="B26" i="6298"/>
  <c r="C16" i="6298"/>
  <c r="C47" i="6299"/>
  <c r="C46" i="6299"/>
  <c r="C45" i="6299"/>
  <c r="C44" i="6299"/>
  <c r="C43" i="6299"/>
  <c r="H3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0" i="6298"/>
  <c r="H19" i="6298"/>
  <c r="O30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1" i="6295"/>
  <c r="O25" i="6277"/>
  <c r="O20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4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7" i="6295" l="1"/>
  <c r="O28" i="6275"/>
  <c r="O31" i="6287" l="1"/>
  <c r="O21" i="6274"/>
  <c r="O24" i="6274"/>
  <c r="O22" i="6293"/>
  <c r="O26" i="6295" l="1"/>
  <c r="O25" i="6295"/>
  <c r="O28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3" i="6287"/>
  <c r="O25" i="6287"/>
  <c r="O27" i="6277"/>
  <c r="O21" i="6277"/>
  <c r="O31" i="6272"/>
  <c r="O30" i="6272"/>
  <c r="B25" i="6294" l="1"/>
  <c r="C37" i="6294"/>
  <c r="H31" i="6294"/>
  <c r="H11" i="6295"/>
  <c r="H7" i="6295"/>
  <c r="H15" i="6295"/>
  <c r="C21" i="6295"/>
  <c r="C35" i="6295"/>
  <c r="C41" i="6295"/>
  <c r="C47" i="6295"/>
  <c r="H12" i="6295"/>
  <c r="C23" i="6295"/>
  <c r="H29" i="6295"/>
  <c r="C36" i="6295"/>
  <c r="C42" i="6295"/>
  <c r="C19" i="6295"/>
  <c r="B24" i="6295"/>
  <c r="C37" i="6295"/>
  <c r="C43" i="6295"/>
  <c r="H6" i="6295"/>
  <c r="H8" i="6295"/>
  <c r="H14" i="6295"/>
  <c r="H10" i="6295"/>
  <c r="H4" i="6295"/>
  <c r="H9" i="6295"/>
  <c r="H17" i="6295"/>
  <c r="C17" i="6295"/>
  <c r="C20" i="6295"/>
  <c r="H27" i="6295"/>
  <c r="H34" i="6295"/>
  <c r="H38" i="6295"/>
  <c r="C45" i="6295"/>
  <c r="C16" i="6295"/>
  <c r="C38" i="6295"/>
  <c r="H31" i="6295"/>
  <c r="H3" i="6295"/>
  <c r="H13" i="6295"/>
  <c r="H16" i="6295"/>
  <c r="H18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5" i="6295"/>
  <c r="H19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9" i="6287"/>
  <c r="O21" i="6275"/>
  <c r="O32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6" i="6287"/>
  <c r="O20" i="6291"/>
  <c r="O24" i="6291"/>
  <c r="O20" i="6289"/>
  <c r="O24" i="6289"/>
  <c r="O21" i="6280"/>
  <c r="O22" i="6289"/>
  <c r="O37" i="6287" l="1"/>
  <c r="O31" i="6284"/>
  <c r="O20" i="6273"/>
  <c r="O46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5" i="6272"/>
  <c r="O36" i="6287"/>
  <c r="O3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3" i="6277" l="1"/>
  <c r="O30" i="6287"/>
  <c r="O27" i="6287"/>
  <c r="O21" i="6273"/>
  <c r="O33" i="6287"/>
  <c r="O32" i="6287"/>
  <c r="O35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39" i="6272"/>
  <c r="C39" i="6287" l="1"/>
  <c r="H41" i="6287"/>
  <c r="H5" i="6287"/>
  <c r="H14" i="6287"/>
  <c r="H24" i="6287"/>
  <c r="H10" i="6287"/>
  <c r="C20" i="6287"/>
  <c r="H12" i="6287"/>
  <c r="H2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3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5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1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2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4" i="6272"/>
  <c r="O23" i="6278"/>
  <c r="O18" i="6278"/>
  <c r="O18" i="6275"/>
  <c r="O26" i="6275"/>
  <c r="O22" i="6275"/>
  <c r="O21" i="6282"/>
  <c r="O22" i="6282"/>
  <c r="O3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5" i="6277"/>
  <c r="O34" i="6277"/>
  <c r="O26" i="6277"/>
  <c r="O3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5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4" i="6272"/>
  <c r="O36" i="6277"/>
  <c r="O37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2" i="6272"/>
  <c r="O43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0" i="6272"/>
  <c r="O45" i="6272"/>
  <c r="O36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8" i="6272"/>
  <c r="C35" i="6272"/>
  <c r="H4" i="6272"/>
  <c r="C36" i="6272"/>
  <c r="H37" i="6272"/>
  <c r="C20" i="6272"/>
  <c r="H11" i="6272"/>
  <c r="H24" i="6272"/>
  <c r="H41" i="6272"/>
  <c r="C21" i="6272"/>
  <c r="H27" i="6272"/>
  <c r="C41" i="6272"/>
  <c r="H23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7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3" i="6272"/>
  <c r="H22" i="6272"/>
  <c r="H33" i="6272"/>
  <c r="H38" i="6272"/>
  <c r="H42" i="6272"/>
  <c r="H20" i="6272"/>
  <c r="H31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<sst xmlns="http://schemas.openxmlformats.org/spreadsheetml/2006/main" count="6292" uniqueCount="243">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</sst>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全体!$K$2:$K$239</c:f>
              <c:numCache>
                <c:formatCode>General</c:formatCode>
                <c:ptCount val="2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</c:numCache>
            </c:numRef>
          </c:xVal>
          <c:yVal>
            <c:numRef>
              <c:f>全体!$L$2:$L$239</c:f>
              <c:numCache>
                <c:formatCode>\+0.0;\-0.0;\±0</c:formatCode>
                <c:ptCount val="23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-50.632911392405063</c:v>
                </c:pt>
                <c:pt idx="1">
                  <c:v>-8.4388185654008439</c:v>
                </c:pt>
                <c:pt idx="2">
                  <c:v>9.2827004219409286</c:v>
                </c:pt>
                <c:pt idx="3">
                  <c:v>0</c:v>
                </c:pt>
                <c:pt idx="4">
                  <c:v>19.23076923076923</c:v>
                </c:pt>
                <c:pt idx="5">
                  <c:v>-71.428571428571431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37</c:v>
                </c:pt>
                <c:pt idx="1">
                  <c:v>73</c:v>
                </c:pt>
                <c:pt idx="2">
                  <c:v>83</c:v>
                </c:pt>
                <c:pt idx="3">
                  <c:v>76</c:v>
                </c:pt>
                <c:pt idx="4">
                  <c:v>39</c:v>
                </c:pt>
                <c:pt idx="5">
                  <c:v>43</c:v>
                </c:pt>
                <c:pt idx="6">
                  <c:v>13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佐藤成浩!$L$2:$L$36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750</c:v>
                </c:pt>
                <c:pt idx="1">
                  <c:v>1826.4705882352941</c:v>
                </c:pt>
                <c:pt idx="2">
                  <c:v>1682.3529411764705</c:v>
                </c:pt>
                <c:pt idx="3">
                  <c:v>1293.3333333333333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9</c:v>
                </c:pt>
                <c:pt idx="3">
                  <c:v>19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柳澤颯吾!$L$2:$L$32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916.66666666666663</c:v>
                </c:pt>
                <c:pt idx="1">
                  <c:v>470</c:v>
                </c:pt>
                <c:pt idx="2">
                  <c:v>450</c:v>
                </c:pt>
                <c:pt idx="3">
                  <c:v>715.38461538461536</c:v>
                </c:pt>
                <c:pt idx="4">
                  <c:v>-1637.5</c:v>
                </c:pt>
                <c:pt idx="5">
                  <c:v>-1333.3333333333333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15</c:v>
                </c:pt>
                <c:pt idx="3">
                  <c:v>3</c:v>
                </c:pt>
                <c:pt idx="4">
                  <c:v>9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関谷洸佑!$L$2:$L$19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811.76470588235293</c:v>
                </c:pt>
                <c:pt idx="1">
                  <c:v>841.17647058823525</c:v>
                </c:pt>
                <c:pt idx="2">
                  <c:v>-3864.705882352941</c:v>
                </c:pt>
                <c:pt idx="3">
                  <c:v>-1442.8571428571429</c:v>
                </c:pt>
                <c:pt idx="4">
                  <c:v>-3585.7142857142858</c:v>
                </c:pt>
                <c:pt idx="5">
                  <c:v>-3525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伊藤仁城!$L$2:$L$10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1437.5</c:v>
                </c:pt>
                <c:pt idx="1">
                  <c:v>-3087.5</c:v>
                </c:pt>
                <c:pt idx="2">
                  <c:v>-3275</c:v>
                </c:pt>
                <c:pt idx="3">
                  <c:v>-1037.5</c:v>
                </c:pt>
                <c:pt idx="4">
                  <c:v>-1750</c:v>
                </c:pt>
                <c:pt idx="5">
                  <c:v>-2766.6666666666665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西沢武留!$L$2:$L$8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-4633.333333333333</c:v>
                </c:pt>
                <c:pt idx="1">
                  <c:v>-1116.6666666666667</c:v>
                </c:pt>
                <c:pt idx="2">
                  <c:v>1316.6666666666667</c:v>
                </c:pt>
                <c:pt idx="3">
                  <c:v>850</c:v>
                </c:pt>
                <c:pt idx="4">
                  <c:v>1500</c:v>
                </c:pt>
                <c:pt idx="5">
                  <c:v>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中村季暉!$L$2:$L$6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-3050</c:v>
                </c:pt>
                <c:pt idx="1">
                  <c:v>-6125</c:v>
                </c:pt>
                <c:pt idx="2">
                  <c:v>325</c:v>
                </c:pt>
                <c:pt idx="3">
                  <c:v>-1575</c:v>
                </c:pt>
                <c:pt idx="4">
                  <c:v>-3000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吉澤諒!$L$2:$L$4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-2300</c:v>
                </c:pt>
                <c:pt idx="2">
                  <c:v>3000</c:v>
                </c:pt>
                <c:pt idx="3">
                  <c:v>1250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40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1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237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30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8</v>
      </c>
    </row>
    <row r="27" spans="1:2">
      <c r="A27" t="s">
        <v>227</v>
      </c>
      <c r="B27">
        <v>6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  <row r="30" spans="1:2">
      <c r="A30" t="s">
        <v>238</v>
      </c>
      <c r="B30">
        <v>4</v>
      </c>
    </row>
    <row r="31" spans="1:2">
      <c r="A31" t="s">
        <v>241</v>
      </c>
      <c r="B31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3"/>
  <sheetViews>
    <sheetView showGridLines="0" tabSelected="1" zoomScale="130" zoomScaleNormal="130" workbookViewId="0">
      <selection activeCell="E10" sqref="E10"/>
    </sheetView>
  </sheetViews>
  <sheetFormatPr defaultColWidth="9" defaultRowHeight="18.75"/>
  <cols>
    <col min="1" max="1" width="6" style="44" customWidth="1"/>
    <col min="2" max="2" width="10.75" style="45" customWidth="1"/>
    <col min="3" max="3" width="10.75" style="107" customWidth="1"/>
    <col min="4" max="4" width="10.75" style="45" customWidth="1"/>
    <col min="5" max="5" width="10.75" style="46" customWidth="1"/>
    <col min="6" max="6" width="10.75" style="47" customWidth="1"/>
    <col min="7" max="7" width="10.75" style="59" customWidth="1"/>
    <col min="8" max="8" width="10.75" style="47" customWidth="1"/>
    <col min="9" max="9" width="10.75" style="48" customWidth="1"/>
    <col min="10" max="10" width="10.75" style="47" customWidth="1"/>
    <col min="11" max="11" width="10.75" style="49" customWidth="1"/>
    <col min="12" max="12" width="10.75" style="47" customWidth="1"/>
    <col min="13" max="13" width="10.75" style="49" customWidth="1"/>
    <col min="14" max="14" width="10.75" style="47" customWidth="1"/>
    <col min="15" max="15" width="10.75" style="49" customWidth="1"/>
    <col min="16" max="16" width="10.75" style="47" customWidth="1"/>
    <col min="17" max="17" width="10.75" style="50" customWidth="1"/>
    <col min="18" max="18" width="10.75" style="47" customWidth="1"/>
    <col min="19" max="19" width="10.75" style="50" customWidth="1"/>
    <col min="20" max="20" width="10.75" style="47" customWidth="1"/>
    <col min="21" max="21" width="10.75" style="51" customWidth="1"/>
    <col min="22" max="22" width="10.75" style="47" customWidth="1"/>
    <col min="23" max="23" width="10.75" style="51" customWidth="1"/>
    <col min="24" max="24" width="10.75" style="47" customWidth="1"/>
    <col min="25" max="25" width="10.75" style="50" customWidth="1"/>
    <col min="26" max="26" width="10.75" style="47" customWidth="1"/>
    <col min="27" max="27" width="10.75" style="50" customWidth="1"/>
    <col min="28" max="28" width="10.75" style="47" customWidth="1"/>
    <col min="29" max="29" width="10.75" style="50" customWidth="1"/>
    <col min="30" max="30" width="10.75" style="47" customWidth="1"/>
    <col min="31" max="31" width="10.75" style="50" customWidth="1"/>
    <col min="32" max="32" width="10.75" style="47" customWidth="1"/>
    <col min="33" max="33" width="10.75" style="50" customWidth="1"/>
    <col min="34" max="34" width="10.75" style="47" customWidth="1"/>
    <col min="35" max="35" width="10.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0.69570361401219083</v>
      </c>
      <c r="C2" s="111"/>
      <c r="D2" s="112"/>
      <c r="E2" s="113"/>
      <c r="F2" s="112"/>
      <c r="G2" s="113"/>
      <c r="H2" s="110">
        <v>0.8246699451973839</v>
      </c>
      <c r="I2" s="111"/>
      <c r="J2" s="110">
        <v>0.74865465687063359</v>
      </c>
      <c r="K2" s="111"/>
      <c r="L2" s="110">
        <v>0.55483192522048197</v>
      </c>
      <c r="M2" s="111"/>
      <c r="N2" s="110">
        <v>0.5548801082736482</v>
      </c>
      <c r="O2" s="111"/>
      <c r="P2" s="110">
        <v>0.45136404209900005</v>
      </c>
      <c r="Q2" s="111"/>
      <c r="R2" s="110">
        <v>0.35199176144812117</v>
      </c>
      <c r="S2" s="111"/>
      <c r="T2" s="110">
        <v>0.12266159654871733</v>
      </c>
      <c r="U2" s="111"/>
      <c r="V2" s="110">
        <v>0.52891549844005448</v>
      </c>
      <c r="W2" s="111"/>
      <c r="X2" s="110">
        <v>-0.17331438667498156</v>
      </c>
      <c r="Y2" s="111"/>
      <c r="Z2" s="110">
        <v>0.16540729297854162</v>
      </c>
      <c r="AA2" s="111"/>
      <c r="AB2" s="110">
        <v>0.52740490885171176</v>
      </c>
      <c r="AC2" s="111"/>
      <c r="AD2" s="110">
        <v>4.5043672469477429E-2</v>
      </c>
      <c r="AE2" s="111"/>
      <c r="AF2" s="110">
        <v>-0.40775894775552929</v>
      </c>
      <c r="AG2" s="111"/>
      <c r="AH2" s="110">
        <v>0.84982538003811225</v>
      </c>
      <c r="AI2" s="111"/>
    </row>
    <row r="3" spans="1:35">
      <c r="A3" s="36">
        <v>1</v>
      </c>
      <c r="B3" s="37" t="s">
        <v>114</v>
      </c>
      <c r="C3" s="106">
        <v>59.25</v>
      </c>
      <c r="D3" s="37" t="s">
        <v>169</v>
      </c>
      <c r="E3" s="38">
        <v>613.90000000000009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235</v>
      </c>
      <c r="U3" s="43">
        <v>12000</v>
      </c>
      <c r="V3" s="39" t="s">
        <v>167</v>
      </c>
      <c r="W3" s="43">
        <v>0</v>
      </c>
      <c r="X3" s="39" t="s">
        <v>215</v>
      </c>
      <c r="Y3" s="42">
        <v>0.33333333333333331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235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34</v>
      </c>
      <c r="D4" s="45" t="s">
        <v>162</v>
      </c>
      <c r="E4" s="46">
        <v>268</v>
      </c>
      <c r="F4" s="47" t="s">
        <v>205</v>
      </c>
      <c r="G4" s="59">
        <v>35.274999999999999</v>
      </c>
      <c r="H4" s="47" t="s">
        <v>205</v>
      </c>
      <c r="I4" s="48">
        <v>1.75</v>
      </c>
      <c r="J4" s="47" t="s">
        <v>162</v>
      </c>
      <c r="K4" s="49">
        <v>0.66666666666666663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231</v>
      </c>
      <c r="Q4" s="50">
        <v>0.30769230769230771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227</v>
      </c>
      <c r="Y4" s="50">
        <v>0.28947368421052633</v>
      </c>
      <c r="Z4" s="47" t="s">
        <v>199</v>
      </c>
      <c r="AA4" s="50">
        <v>0.33333333333333331</v>
      </c>
      <c r="AB4" s="47" t="s">
        <v>235</v>
      </c>
      <c r="AC4" s="50">
        <v>1</v>
      </c>
      <c r="AD4" s="47" t="s">
        <v>166</v>
      </c>
      <c r="AE4" s="50">
        <v>0.66666666666666663</v>
      </c>
      <c r="AF4" s="47" t="s">
        <v>241</v>
      </c>
      <c r="AG4" s="50">
        <v>1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30</v>
      </c>
      <c r="D5" s="45" t="s">
        <v>168</v>
      </c>
      <c r="E5" s="46">
        <v>154.39999999999998</v>
      </c>
      <c r="F5" s="47" t="s">
        <v>162</v>
      </c>
      <c r="G5" s="59">
        <v>29.777777777777779</v>
      </c>
      <c r="H5" s="47" t="s">
        <v>162</v>
      </c>
      <c r="I5" s="48">
        <v>1.8888888888888888</v>
      </c>
      <c r="J5" s="47" t="s">
        <v>177</v>
      </c>
      <c r="K5" s="49">
        <v>0.5</v>
      </c>
      <c r="L5" s="47" t="s">
        <v>196</v>
      </c>
      <c r="M5" s="49">
        <v>0</v>
      </c>
      <c r="N5" s="47" t="s">
        <v>205</v>
      </c>
      <c r="O5" s="49">
        <v>0.75</v>
      </c>
      <c r="P5" s="47" t="s">
        <v>168</v>
      </c>
      <c r="Q5" s="50">
        <v>0.30281690140845069</v>
      </c>
      <c r="R5" s="47" t="s">
        <v>231</v>
      </c>
      <c r="S5" s="50">
        <v>7.6923076923076927E-2</v>
      </c>
      <c r="T5" s="47" t="s">
        <v>216</v>
      </c>
      <c r="U5" s="51">
        <v>8592.3076923076915</v>
      </c>
      <c r="V5" s="47" t="s">
        <v>175</v>
      </c>
      <c r="W5" s="51">
        <v>-2950</v>
      </c>
      <c r="X5" s="47" t="s">
        <v>167</v>
      </c>
      <c r="Y5" s="50">
        <v>0.2857142857142857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162</v>
      </c>
      <c r="AE5" s="50">
        <v>0.55555555555555558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168</v>
      </c>
      <c r="C6" s="107">
        <v>18</v>
      </c>
      <c r="D6" s="45" t="s">
        <v>205</v>
      </c>
      <c r="E6" s="46">
        <v>141.1</v>
      </c>
      <c r="F6" s="47" t="s">
        <v>169</v>
      </c>
      <c r="G6" s="59">
        <v>18.055882352941179</v>
      </c>
      <c r="H6" s="47" t="s">
        <v>167</v>
      </c>
      <c r="I6" s="48">
        <v>2</v>
      </c>
      <c r="J6" s="47" t="s">
        <v>205</v>
      </c>
      <c r="K6" s="49">
        <v>0.5</v>
      </c>
      <c r="L6" s="47" t="s">
        <v>205</v>
      </c>
      <c r="M6" s="49">
        <v>0</v>
      </c>
      <c r="N6" s="47" t="s">
        <v>191</v>
      </c>
      <c r="O6" s="49">
        <v>0.7142857142857143</v>
      </c>
      <c r="P6" s="47" t="s">
        <v>167</v>
      </c>
      <c r="Q6" s="50">
        <v>0.2857142857142857</v>
      </c>
      <c r="R6" s="47" t="s">
        <v>169</v>
      </c>
      <c r="S6" s="50">
        <v>8.8803088803088806E-2</v>
      </c>
      <c r="T6" s="47" t="s">
        <v>175</v>
      </c>
      <c r="U6" s="51">
        <v>8400</v>
      </c>
      <c r="V6" s="47" t="s">
        <v>191</v>
      </c>
      <c r="W6" s="51">
        <v>-3740</v>
      </c>
      <c r="X6" s="47" t="s">
        <v>223</v>
      </c>
      <c r="Y6" s="50">
        <v>0.2857142857142857</v>
      </c>
      <c r="Z6" s="47" t="s">
        <v>163</v>
      </c>
      <c r="AA6" s="50">
        <v>0.3188405797101449</v>
      </c>
      <c r="AB6" s="47" t="s">
        <v>228</v>
      </c>
      <c r="AC6" s="50">
        <v>0.8571428571428571</v>
      </c>
      <c r="AD6" s="47" t="s">
        <v>196</v>
      </c>
      <c r="AE6" s="50">
        <v>0.5</v>
      </c>
      <c r="AF6" s="47" t="s">
        <v>166</v>
      </c>
      <c r="AG6" s="50">
        <v>0.5714285714285714</v>
      </c>
      <c r="AH6" s="47" t="s">
        <v>168</v>
      </c>
      <c r="AI6" s="54">
        <v>65600</v>
      </c>
    </row>
    <row r="7" spans="1:35">
      <c r="A7" s="44">
        <v>5</v>
      </c>
      <c r="B7" s="45" t="s">
        <v>216</v>
      </c>
      <c r="C7" s="107">
        <v>17</v>
      </c>
      <c r="D7" s="45" t="s">
        <v>231</v>
      </c>
      <c r="E7" s="46">
        <v>112.5</v>
      </c>
      <c r="F7" s="47" t="s">
        <v>167</v>
      </c>
      <c r="G7" s="59">
        <v>14</v>
      </c>
      <c r="H7" s="47" t="s">
        <v>169</v>
      </c>
      <c r="I7" s="48">
        <v>2.0882352941176472</v>
      </c>
      <c r="J7" s="47" t="s">
        <v>168</v>
      </c>
      <c r="K7" s="49">
        <v>0.3888888888888889</v>
      </c>
      <c r="L7" s="47" t="s">
        <v>215</v>
      </c>
      <c r="M7" s="49">
        <v>0</v>
      </c>
      <c r="N7" s="47" t="s">
        <v>162</v>
      </c>
      <c r="O7" s="49">
        <v>0.66666666666666663</v>
      </c>
      <c r="P7" s="47" t="s">
        <v>162</v>
      </c>
      <c r="Q7" s="50">
        <v>0.26923076923076922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215</v>
      </c>
      <c r="W7" s="51">
        <v>-3900</v>
      </c>
      <c r="X7" s="47" t="s">
        <v>175</v>
      </c>
      <c r="Y7" s="50">
        <v>0.26666666666666666</v>
      </c>
      <c r="Z7" s="47" t="s">
        <v>241</v>
      </c>
      <c r="AA7" s="50">
        <v>0.30769230769230771</v>
      </c>
      <c r="AB7" s="47" t="s">
        <v>162</v>
      </c>
      <c r="AC7" s="50">
        <v>0.75</v>
      </c>
      <c r="AD7" s="47" t="s">
        <v>179</v>
      </c>
      <c r="AE7" s="50">
        <v>0.45454545454545453</v>
      </c>
      <c r="AF7" s="47" t="s">
        <v>167</v>
      </c>
      <c r="AG7" s="50">
        <v>0.5</v>
      </c>
      <c r="AH7" s="47" t="s">
        <v>195</v>
      </c>
      <c r="AI7" s="54">
        <v>65500</v>
      </c>
    </row>
    <row r="8" spans="1:35">
      <c r="A8" s="44">
        <v>6</v>
      </c>
      <c r="B8" s="45" t="s">
        <v>179</v>
      </c>
      <c r="C8" s="107">
        <v>16</v>
      </c>
      <c r="D8" s="45" t="s">
        <v>191</v>
      </c>
      <c r="E8" s="46">
        <v>79.299999999999983</v>
      </c>
      <c r="F8" s="47" t="s">
        <v>168</v>
      </c>
      <c r="G8" s="59">
        <v>8.5777777777777757</v>
      </c>
      <c r="H8" s="47" t="s">
        <v>191</v>
      </c>
      <c r="I8" s="48">
        <v>2.1428571428571428</v>
      </c>
      <c r="J8" s="47" t="s">
        <v>169</v>
      </c>
      <c r="K8" s="49">
        <v>0.38235294117647056</v>
      </c>
      <c r="L8" s="47" t="s">
        <v>231</v>
      </c>
      <c r="M8" s="49">
        <v>0</v>
      </c>
      <c r="N8" s="47" t="s">
        <v>227</v>
      </c>
      <c r="O8" s="49">
        <v>0.66666666666666663</v>
      </c>
      <c r="P8" s="47" t="s">
        <v>227</v>
      </c>
      <c r="Q8" s="50">
        <v>0.26315789473684209</v>
      </c>
      <c r="R8" s="47" t="s">
        <v>177</v>
      </c>
      <c r="S8" s="50">
        <v>0.10526315789473684</v>
      </c>
      <c r="T8" s="47" t="s">
        <v>169</v>
      </c>
      <c r="U8" s="51">
        <v>8026.666666666667</v>
      </c>
      <c r="V8" s="47" t="s">
        <v>231</v>
      </c>
      <c r="W8" s="51">
        <v>-3900</v>
      </c>
      <c r="X8" s="47" t="s">
        <v>164</v>
      </c>
      <c r="Y8" s="50">
        <v>0.26446280991735538</v>
      </c>
      <c r="Z8" s="47" t="s">
        <v>180</v>
      </c>
      <c r="AA8" s="50">
        <v>0.2857142857142857</v>
      </c>
      <c r="AB8" s="47" t="s">
        <v>166</v>
      </c>
      <c r="AC8" s="50">
        <v>0.75</v>
      </c>
      <c r="AD8" s="47" t="s">
        <v>161</v>
      </c>
      <c r="AE8" s="50">
        <v>0.3888888888888889</v>
      </c>
      <c r="AF8" s="47" t="s">
        <v>203</v>
      </c>
      <c r="AG8" s="50">
        <v>0.5</v>
      </c>
      <c r="AH8" s="47" t="s">
        <v>205</v>
      </c>
      <c r="AI8" s="54">
        <v>57200</v>
      </c>
    </row>
    <row r="9" spans="1:35">
      <c r="A9" s="44">
        <v>7</v>
      </c>
      <c r="B9" s="45" t="s">
        <v>164</v>
      </c>
      <c r="C9" s="107">
        <v>15</v>
      </c>
      <c r="D9" s="45" t="s">
        <v>195</v>
      </c>
      <c r="E9" s="46">
        <v>64.999999999999972</v>
      </c>
      <c r="F9" s="47" t="s">
        <v>191</v>
      </c>
      <c r="G9" s="59">
        <v>5.6642857142857128</v>
      </c>
      <c r="H9" s="47" t="s">
        <v>168</v>
      </c>
      <c r="I9" s="48">
        <v>2.3333333333333335</v>
      </c>
      <c r="J9" s="47" t="s">
        <v>163</v>
      </c>
      <c r="K9" s="49">
        <v>0.375</v>
      </c>
      <c r="L9" s="47" t="s">
        <v>191</v>
      </c>
      <c r="M9" s="49">
        <v>7.1428571428571425E-2</v>
      </c>
      <c r="N9" s="47" t="s">
        <v>169</v>
      </c>
      <c r="O9" s="49">
        <v>0.6470588235294118</v>
      </c>
      <c r="P9" s="47" t="s">
        <v>195</v>
      </c>
      <c r="Q9" s="50">
        <v>0.25120772946859904</v>
      </c>
      <c r="R9" s="47" t="s">
        <v>179</v>
      </c>
      <c r="S9" s="50">
        <v>0.10687022900763359</v>
      </c>
      <c r="T9" s="47" t="s">
        <v>231</v>
      </c>
      <c r="U9" s="51">
        <v>7975</v>
      </c>
      <c r="V9" s="47" t="s">
        <v>241</v>
      </c>
      <c r="W9" s="51">
        <v>-4533.333333333333</v>
      </c>
      <c r="X9" s="47" t="s">
        <v>162</v>
      </c>
      <c r="Y9" s="50">
        <v>0.25641025641025639</v>
      </c>
      <c r="Z9" s="47" t="s">
        <v>195</v>
      </c>
      <c r="AA9" s="50">
        <v>0.2608695652173913</v>
      </c>
      <c r="AB9" s="47" t="s">
        <v>175</v>
      </c>
      <c r="AC9" s="50">
        <v>0.75</v>
      </c>
      <c r="AD9" s="47" t="s">
        <v>168</v>
      </c>
      <c r="AE9" s="50">
        <v>0.38297872340425532</v>
      </c>
      <c r="AF9" s="47" t="s">
        <v>213</v>
      </c>
      <c r="AG9" s="50">
        <v>0.5</v>
      </c>
      <c r="AH9" s="47" t="s">
        <v>161</v>
      </c>
      <c r="AI9" s="54">
        <v>54900</v>
      </c>
    </row>
    <row r="10" spans="1:35">
      <c r="A10" s="44">
        <v>8</v>
      </c>
      <c r="B10" s="45" t="s">
        <v>191</v>
      </c>
      <c r="C10" s="107">
        <v>14</v>
      </c>
      <c r="D10" s="45" t="s">
        <v>164</v>
      </c>
      <c r="E10" s="46">
        <v>22.499999999999993</v>
      </c>
      <c r="F10" s="47" t="s">
        <v>163</v>
      </c>
      <c r="G10" s="59">
        <v>2.5375000000000005</v>
      </c>
      <c r="H10" s="47" t="s">
        <v>179</v>
      </c>
      <c r="I10" s="48">
        <v>2.4375</v>
      </c>
      <c r="J10" s="47" t="s">
        <v>161</v>
      </c>
      <c r="K10" s="49">
        <v>0.3</v>
      </c>
      <c r="L10" s="47" t="s">
        <v>169</v>
      </c>
      <c r="M10" s="49">
        <v>0.11764705882352941</v>
      </c>
      <c r="N10" s="47" t="s">
        <v>164</v>
      </c>
      <c r="O10" s="49">
        <v>0.6</v>
      </c>
      <c r="P10" s="47" t="s">
        <v>179</v>
      </c>
      <c r="Q10" s="50">
        <v>0.24427480916030533</v>
      </c>
      <c r="R10" s="47" t="s">
        <v>205</v>
      </c>
      <c r="S10" s="50">
        <v>0.10714285714285714</v>
      </c>
      <c r="T10" s="47" t="s">
        <v>162</v>
      </c>
      <c r="U10" s="51">
        <v>7942.8571428571431</v>
      </c>
      <c r="V10" s="47" t="s">
        <v>202</v>
      </c>
      <c r="W10" s="51">
        <v>-4800</v>
      </c>
      <c r="X10" s="47" t="s">
        <v>195</v>
      </c>
      <c r="Y10" s="50">
        <v>0.2560386473429952</v>
      </c>
      <c r="Z10" s="47" t="s">
        <v>164</v>
      </c>
      <c r="AA10" s="50">
        <v>0.256198347107438</v>
      </c>
      <c r="AB10" s="47" t="s">
        <v>177</v>
      </c>
      <c r="AC10" s="50">
        <v>0.75</v>
      </c>
      <c r="AD10" s="47" t="s">
        <v>195</v>
      </c>
      <c r="AE10" s="50">
        <v>0.37037037037037035</v>
      </c>
      <c r="AF10" s="47" t="s">
        <v>223</v>
      </c>
      <c r="AG10" s="50">
        <v>0.5</v>
      </c>
      <c r="AH10" s="47" t="s">
        <v>179</v>
      </c>
      <c r="AI10" s="54">
        <v>53200</v>
      </c>
    </row>
    <row r="11" spans="1:35">
      <c r="A11" s="44">
        <v>9</v>
      </c>
      <c r="B11" s="45" t="s">
        <v>161</v>
      </c>
      <c r="C11" s="107">
        <v>10</v>
      </c>
      <c r="D11" s="45" t="s">
        <v>163</v>
      </c>
      <c r="E11" s="46">
        <v>20.300000000000004</v>
      </c>
      <c r="F11" s="47" t="s">
        <v>195</v>
      </c>
      <c r="G11" s="59">
        <v>2.1666666666666656</v>
      </c>
      <c r="H11" s="47" t="s">
        <v>164</v>
      </c>
      <c r="I11" s="48">
        <v>2.4666666666666668</v>
      </c>
      <c r="J11" s="47" t="s">
        <v>195</v>
      </c>
      <c r="K11" s="49">
        <v>0.26666666666666666</v>
      </c>
      <c r="L11" s="47" t="s">
        <v>195</v>
      </c>
      <c r="M11" s="49">
        <v>0.13333333333333333</v>
      </c>
      <c r="N11" s="47" t="s">
        <v>168</v>
      </c>
      <c r="O11" s="49">
        <v>0.55555555555555558</v>
      </c>
      <c r="P11" s="47" t="s">
        <v>169</v>
      </c>
      <c r="Q11" s="50">
        <v>0.23166023166023167</v>
      </c>
      <c r="R11" s="47" t="s">
        <v>166</v>
      </c>
      <c r="S11" s="50">
        <v>0.11428571428571428</v>
      </c>
      <c r="T11" s="47" t="s">
        <v>228</v>
      </c>
      <c r="U11" s="51">
        <v>7537.5</v>
      </c>
      <c r="V11" s="47" t="s">
        <v>162</v>
      </c>
      <c r="W11" s="51">
        <v>-5000</v>
      </c>
      <c r="X11" s="47" t="s">
        <v>196</v>
      </c>
      <c r="Y11" s="50">
        <v>0.25</v>
      </c>
      <c r="Z11" s="47" t="s">
        <v>179</v>
      </c>
      <c r="AA11" s="50">
        <v>0.25190839694656486</v>
      </c>
      <c r="AB11" s="47" t="s">
        <v>168</v>
      </c>
      <c r="AC11" s="50">
        <v>0.7142857142857143</v>
      </c>
      <c r="AD11" s="47" t="s">
        <v>169</v>
      </c>
      <c r="AE11" s="50">
        <v>0.36170212765957449</v>
      </c>
      <c r="AF11" s="47" t="s">
        <v>161</v>
      </c>
      <c r="AG11" s="50">
        <v>0.4375</v>
      </c>
      <c r="AH11" s="47" t="s">
        <v>191</v>
      </c>
      <c r="AI11" s="54">
        <v>52500</v>
      </c>
    </row>
    <row r="12" spans="1:35">
      <c r="A12" s="44">
        <v>10</v>
      </c>
      <c r="B12" s="45" t="s">
        <v>162</v>
      </c>
      <c r="C12" s="107">
        <v>9</v>
      </c>
      <c r="D12" s="45" t="s">
        <v>167</v>
      </c>
      <c r="E12" s="46">
        <v>14</v>
      </c>
      <c r="F12" s="47" t="s">
        <v>177</v>
      </c>
      <c r="G12" s="59">
        <v>1.9499999999999993</v>
      </c>
      <c r="H12" s="47" t="s">
        <v>195</v>
      </c>
      <c r="I12" s="48">
        <v>2.4666666666666668</v>
      </c>
      <c r="J12" s="47" t="s">
        <v>114</v>
      </c>
      <c r="K12" s="49">
        <v>0.25738396624472576</v>
      </c>
      <c r="L12" s="47" t="s">
        <v>227</v>
      </c>
      <c r="M12" s="49">
        <v>0.16666666666666666</v>
      </c>
      <c r="N12" s="47" t="s">
        <v>213</v>
      </c>
      <c r="O12" s="49">
        <v>0.55555555555555558</v>
      </c>
      <c r="P12" s="47" t="s">
        <v>163</v>
      </c>
      <c r="Q12" s="50">
        <v>0.21739130434782608</v>
      </c>
      <c r="R12" s="47" t="s">
        <v>163</v>
      </c>
      <c r="S12" s="50">
        <v>0.11594202898550725</v>
      </c>
      <c r="T12" s="47" t="s">
        <v>164</v>
      </c>
      <c r="U12" s="51">
        <v>7355</v>
      </c>
      <c r="V12" s="47" t="s">
        <v>203</v>
      </c>
      <c r="W12" s="51">
        <v>-5080</v>
      </c>
      <c r="X12" s="47" t="s">
        <v>205</v>
      </c>
      <c r="Y12" s="50">
        <v>0.25</v>
      </c>
      <c r="Z12" s="47" t="s">
        <v>196</v>
      </c>
      <c r="AA12" s="50">
        <v>0.25</v>
      </c>
      <c r="AB12" s="47" t="s">
        <v>169</v>
      </c>
      <c r="AC12" s="50">
        <v>0.65909090909090906</v>
      </c>
      <c r="AD12" s="47" t="s">
        <v>191</v>
      </c>
      <c r="AE12" s="50">
        <v>0.35714285714285715</v>
      </c>
      <c r="AF12" s="47" t="s">
        <v>162</v>
      </c>
      <c r="AG12" s="50">
        <v>0.42857142857142855</v>
      </c>
      <c r="AH12" s="47" t="s">
        <v>164</v>
      </c>
      <c r="AI12" s="54">
        <v>52000</v>
      </c>
    </row>
    <row r="13" spans="1:35">
      <c r="A13" s="44">
        <v>11</v>
      </c>
      <c r="B13" s="45" t="s">
        <v>213</v>
      </c>
      <c r="C13" s="107">
        <v>9</v>
      </c>
      <c r="D13" s="45" t="s">
        <v>177</v>
      </c>
      <c r="E13" s="46">
        <v>3.8999999999999986</v>
      </c>
      <c r="F13" s="47" t="s">
        <v>164</v>
      </c>
      <c r="G13" s="59">
        <v>1.4999999999999996</v>
      </c>
      <c r="H13" s="47" t="s">
        <v>114</v>
      </c>
      <c r="I13" s="48">
        <v>2.4852320675105486</v>
      </c>
      <c r="J13" s="47" t="s">
        <v>179</v>
      </c>
      <c r="K13" s="49">
        <v>0.25</v>
      </c>
      <c r="L13" s="47" t="s">
        <v>179</v>
      </c>
      <c r="M13" s="49">
        <v>0.1875</v>
      </c>
      <c r="N13" s="47" t="s">
        <v>114</v>
      </c>
      <c r="O13" s="49">
        <v>0.50210970464135019</v>
      </c>
      <c r="P13" s="47" t="s">
        <v>177</v>
      </c>
      <c r="Q13" s="50">
        <v>0.21052631578947367</v>
      </c>
      <c r="R13" s="47" t="s">
        <v>195</v>
      </c>
      <c r="S13" s="50">
        <v>0.12077294685990338</v>
      </c>
      <c r="T13" s="47" t="s">
        <v>213</v>
      </c>
      <c r="U13" s="51">
        <v>7300</v>
      </c>
      <c r="V13" s="47" t="s">
        <v>169</v>
      </c>
      <c r="W13" s="51">
        <v>-5165.217391304348</v>
      </c>
      <c r="X13" s="47" t="s">
        <v>177</v>
      </c>
      <c r="Y13" s="50">
        <v>0.21052631578947367</v>
      </c>
      <c r="Z13" s="47" t="s">
        <v>191</v>
      </c>
      <c r="AA13" s="50">
        <v>0.24347826086956523</v>
      </c>
      <c r="AB13" s="47" t="s">
        <v>227</v>
      </c>
      <c r="AC13" s="50">
        <v>0.63636363636363635</v>
      </c>
      <c r="AD13" s="47" t="s">
        <v>114</v>
      </c>
      <c r="AE13" s="50">
        <v>0.34782608695652173</v>
      </c>
      <c r="AF13" s="47" t="s">
        <v>195</v>
      </c>
      <c r="AG13" s="50">
        <v>0.42307692307692307</v>
      </c>
      <c r="AH13" s="47" t="s">
        <v>216</v>
      </c>
      <c r="AI13" s="54">
        <v>46700</v>
      </c>
    </row>
    <row r="14" spans="1:35">
      <c r="A14" s="44">
        <v>12</v>
      </c>
      <c r="B14" s="45" t="s">
        <v>163</v>
      </c>
      <c r="C14" s="107">
        <v>8</v>
      </c>
      <c r="D14" s="45" t="s">
        <v>161</v>
      </c>
      <c r="E14" s="46">
        <v>-0.69999999999998863</v>
      </c>
      <c r="F14" s="47" t="s">
        <v>161</v>
      </c>
      <c r="G14" s="59">
        <v>-6.9999999999998869E-2</v>
      </c>
      <c r="H14" s="47" t="s">
        <v>161</v>
      </c>
      <c r="I14" s="48">
        <v>2.5</v>
      </c>
      <c r="J14" s="47" t="s">
        <v>228</v>
      </c>
      <c r="K14" s="49">
        <v>0.25</v>
      </c>
      <c r="L14" s="47" t="s">
        <v>162</v>
      </c>
      <c r="M14" s="49">
        <v>0.22222222222222221</v>
      </c>
      <c r="N14" s="47" t="s">
        <v>161</v>
      </c>
      <c r="O14" s="49">
        <v>0.5</v>
      </c>
      <c r="P14" s="47" t="s">
        <v>161</v>
      </c>
      <c r="Q14" s="50">
        <v>0.20779220779220781</v>
      </c>
      <c r="R14" s="47" t="s">
        <v>213</v>
      </c>
      <c r="S14" s="50">
        <v>0.12244897959183673</v>
      </c>
      <c r="T14" s="47" t="s">
        <v>223</v>
      </c>
      <c r="U14" s="51">
        <v>7200</v>
      </c>
      <c r="V14" s="47" t="s">
        <v>223</v>
      </c>
      <c r="W14" s="51">
        <v>-5450</v>
      </c>
      <c r="X14" s="47" t="s">
        <v>203</v>
      </c>
      <c r="Y14" s="50">
        <v>0.20930232558139536</v>
      </c>
      <c r="Z14" s="47" t="s">
        <v>161</v>
      </c>
      <c r="AA14" s="50">
        <v>0.23376623376623376</v>
      </c>
      <c r="AB14" s="47" t="s">
        <v>161</v>
      </c>
      <c r="AC14" s="50">
        <v>0.53846153846153844</v>
      </c>
      <c r="AD14" s="47" t="s">
        <v>216</v>
      </c>
      <c r="AE14" s="50">
        <v>0.33333333333333331</v>
      </c>
      <c r="AF14" s="47" t="s">
        <v>205</v>
      </c>
      <c r="AG14" s="50">
        <v>0.41666666666666669</v>
      </c>
      <c r="AH14" s="47" t="s">
        <v>177</v>
      </c>
      <c r="AI14" s="54">
        <v>42500</v>
      </c>
    </row>
    <row r="15" spans="1:35">
      <c r="A15" s="44">
        <v>13</v>
      </c>
      <c r="B15" s="45" t="s">
        <v>228</v>
      </c>
      <c r="C15" s="107">
        <v>8</v>
      </c>
      <c r="D15" s="45" t="s">
        <v>175</v>
      </c>
      <c r="E15" s="46">
        <v>-2.2000000000000011</v>
      </c>
      <c r="F15" s="47" t="s">
        <v>114</v>
      </c>
      <c r="G15" s="59">
        <v>-0.12658227848101283</v>
      </c>
      <c r="H15" s="47" t="s">
        <v>163</v>
      </c>
      <c r="I15" s="48">
        <v>2.5</v>
      </c>
      <c r="J15" s="47" t="s">
        <v>191</v>
      </c>
      <c r="K15" s="49">
        <v>0.21428571428571427</v>
      </c>
      <c r="L15" s="47" t="s">
        <v>213</v>
      </c>
      <c r="M15" s="49">
        <v>0.22222222222222221</v>
      </c>
      <c r="N15" s="47" t="s">
        <v>179</v>
      </c>
      <c r="O15" s="49">
        <v>0.5</v>
      </c>
      <c r="P15" s="47" t="s">
        <v>114</v>
      </c>
      <c r="Q15" s="50">
        <v>0.20736543909348443</v>
      </c>
      <c r="R15" s="47" t="s">
        <v>162</v>
      </c>
      <c r="S15" s="50">
        <v>0.12820512820512819</v>
      </c>
      <c r="T15" s="47" t="s">
        <v>161</v>
      </c>
      <c r="U15" s="51">
        <v>7025</v>
      </c>
      <c r="V15" s="47" t="s">
        <v>164</v>
      </c>
      <c r="W15" s="51">
        <v>-5500</v>
      </c>
      <c r="X15" s="47" t="s">
        <v>213</v>
      </c>
      <c r="Y15" s="50">
        <v>0.20408163265306123</v>
      </c>
      <c r="Z15" s="47" t="s">
        <v>238</v>
      </c>
      <c r="AA15" s="50">
        <v>0.22222222222222221</v>
      </c>
      <c r="AB15" s="47" t="s">
        <v>114</v>
      </c>
      <c r="AC15" s="50">
        <v>0.5292397660818714</v>
      </c>
      <c r="AD15" s="47" t="s">
        <v>177</v>
      </c>
      <c r="AE15" s="50">
        <v>0.33333333333333331</v>
      </c>
      <c r="AF15" s="47" t="s">
        <v>168</v>
      </c>
      <c r="AG15" s="50">
        <v>0.39534883720930231</v>
      </c>
      <c r="AH15" s="47" t="s">
        <v>228</v>
      </c>
      <c r="AI15" s="54">
        <v>42500</v>
      </c>
    </row>
    <row r="16" spans="1:35">
      <c r="A16" s="44">
        <v>14</v>
      </c>
      <c r="B16" s="45" t="s">
        <v>227</v>
      </c>
      <c r="C16" s="107">
        <v>6</v>
      </c>
      <c r="D16" s="45" t="s">
        <v>215</v>
      </c>
      <c r="E16" s="46">
        <v>-14.4</v>
      </c>
      <c r="F16" s="47" t="s">
        <v>175</v>
      </c>
      <c r="G16" s="59">
        <v>-1.1000000000000005</v>
      </c>
      <c r="H16" s="47" t="s">
        <v>175</v>
      </c>
      <c r="I16" s="48">
        <v>2.5</v>
      </c>
      <c r="J16" s="47" t="s">
        <v>164</v>
      </c>
      <c r="K16" s="49">
        <v>0.2</v>
      </c>
      <c r="L16" s="47" t="s">
        <v>114</v>
      </c>
      <c r="M16" s="49">
        <v>0.24472573839662448</v>
      </c>
      <c r="N16" s="47" t="s">
        <v>163</v>
      </c>
      <c r="O16" s="49">
        <v>0.5</v>
      </c>
      <c r="P16" s="47" t="s">
        <v>166</v>
      </c>
      <c r="Q16" s="50">
        <v>0.2</v>
      </c>
      <c r="R16" s="47" t="s">
        <v>191</v>
      </c>
      <c r="S16" s="50">
        <v>0.13043478260869565</v>
      </c>
      <c r="T16" s="47" t="s">
        <v>114</v>
      </c>
      <c r="U16" s="51">
        <v>6772.1311475409839</v>
      </c>
      <c r="V16" s="47" t="s">
        <v>168</v>
      </c>
      <c r="W16" s="51">
        <v>-5835.7142857142853</v>
      </c>
      <c r="X16" s="47" t="s">
        <v>163</v>
      </c>
      <c r="Y16" s="50">
        <v>0.20289855072463769</v>
      </c>
      <c r="Z16" s="47" t="s">
        <v>205</v>
      </c>
      <c r="AA16" s="50">
        <v>0.21428571428571427</v>
      </c>
      <c r="AB16" s="47" t="s">
        <v>195</v>
      </c>
      <c r="AC16" s="50">
        <v>0.50943396226415094</v>
      </c>
      <c r="AD16" s="47" t="s">
        <v>205</v>
      </c>
      <c r="AE16" s="50">
        <v>0.33333333333333331</v>
      </c>
      <c r="AF16" s="47" t="s">
        <v>216</v>
      </c>
      <c r="AG16" s="50">
        <v>0.38461538461538464</v>
      </c>
      <c r="AH16" s="47" t="s">
        <v>163</v>
      </c>
      <c r="AI16" s="54">
        <v>41700</v>
      </c>
    </row>
    <row r="17" spans="1:35">
      <c r="A17" s="44">
        <v>15</v>
      </c>
      <c r="B17" s="45" t="s">
        <v>203</v>
      </c>
      <c r="C17" s="107">
        <v>5</v>
      </c>
      <c r="D17" s="45" t="s">
        <v>196</v>
      </c>
      <c r="E17" s="46">
        <v>-27.1</v>
      </c>
      <c r="F17" s="47" t="s">
        <v>179</v>
      </c>
      <c r="G17" s="59">
        <v>-2.1625000000000001</v>
      </c>
      <c r="H17" s="47" t="s">
        <v>177</v>
      </c>
      <c r="I17" s="48">
        <v>2.5</v>
      </c>
      <c r="J17" s="47" t="s">
        <v>216</v>
      </c>
      <c r="K17" s="49">
        <v>0.17647058823529413</v>
      </c>
      <c r="L17" s="47" t="s">
        <v>223</v>
      </c>
      <c r="M17" s="49">
        <v>0.25</v>
      </c>
      <c r="N17" s="47" t="s">
        <v>175</v>
      </c>
      <c r="O17" s="49">
        <v>0.5</v>
      </c>
      <c r="P17" s="47" t="s">
        <v>175</v>
      </c>
      <c r="Q17" s="50">
        <v>0.2</v>
      </c>
      <c r="R17" s="47" t="s">
        <v>175</v>
      </c>
      <c r="S17" s="50">
        <v>0.13333333333333333</v>
      </c>
      <c r="T17" s="47" t="s">
        <v>191</v>
      </c>
      <c r="U17" s="51">
        <v>6733.333333333333</v>
      </c>
      <c r="V17" s="47" t="s">
        <v>177</v>
      </c>
      <c r="W17" s="51">
        <v>-5950</v>
      </c>
      <c r="X17" s="47" t="s">
        <v>168</v>
      </c>
      <c r="Y17" s="50">
        <v>0.19718309859154928</v>
      </c>
      <c r="Z17" s="47" t="s">
        <v>114</v>
      </c>
      <c r="AA17" s="50">
        <v>0.20849858356940509</v>
      </c>
      <c r="AB17" s="47" t="s">
        <v>163</v>
      </c>
      <c r="AC17" s="50">
        <v>0.5</v>
      </c>
      <c r="AD17" s="47" t="s">
        <v>227</v>
      </c>
      <c r="AE17" s="50">
        <v>0.33333333333333331</v>
      </c>
      <c r="AF17" s="47" t="s">
        <v>179</v>
      </c>
      <c r="AG17" s="50">
        <v>0.375</v>
      </c>
      <c r="AH17" s="47" t="s">
        <v>231</v>
      </c>
      <c r="AI17" s="54">
        <v>41300</v>
      </c>
    </row>
    <row r="18" spans="1:35">
      <c r="A18" s="44">
        <v>16</v>
      </c>
      <c r="B18" s="45" t="s">
        <v>166</v>
      </c>
      <c r="C18" s="107">
        <v>4</v>
      </c>
      <c r="D18" s="45" t="s">
        <v>114</v>
      </c>
      <c r="E18" s="46">
        <v>-30.000000000000043</v>
      </c>
      <c r="F18" s="47" t="s">
        <v>227</v>
      </c>
      <c r="G18" s="59">
        <v>-7.9833333333333369</v>
      </c>
      <c r="H18" s="47" t="s">
        <v>227</v>
      </c>
      <c r="I18" s="48">
        <v>2.5</v>
      </c>
      <c r="J18" s="47" t="s">
        <v>166</v>
      </c>
      <c r="K18" s="49">
        <v>0</v>
      </c>
      <c r="L18" s="47" t="s">
        <v>238</v>
      </c>
      <c r="M18" s="49">
        <v>0.25</v>
      </c>
      <c r="N18" s="47" t="s">
        <v>177</v>
      </c>
      <c r="O18" s="49">
        <v>0.5</v>
      </c>
      <c r="P18" s="47" t="s">
        <v>191</v>
      </c>
      <c r="Q18" s="50">
        <v>0.18260869565217391</v>
      </c>
      <c r="R18" s="47" t="s">
        <v>199</v>
      </c>
      <c r="S18" s="50">
        <v>0.13333333333333333</v>
      </c>
      <c r="T18" s="47" t="s">
        <v>241</v>
      </c>
      <c r="U18" s="51">
        <v>6600</v>
      </c>
      <c r="V18" s="47" t="s">
        <v>213</v>
      </c>
      <c r="W18" s="51">
        <v>-5966.666666666667</v>
      </c>
      <c r="X18" s="47" t="s">
        <v>114</v>
      </c>
      <c r="Y18" s="50">
        <v>0.19376770538243626</v>
      </c>
      <c r="Z18" s="47" t="s">
        <v>235</v>
      </c>
      <c r="AA18" s="50">
        <v>0.2</v>
      </c>
      <c r="AB18" s="47" t="s">
        <v>167</v>
      </c>
      <c r="AC18" s="50">
        <v>0.5</v>
      </c>
      <c r="AD18" s="47" t="s">
        <v>238</v>
      </c>
      <c r="AE18" s="50">
        <v>0.33333333333333331</v>
      </c>
      <c r="AF18" s="47" t="s">
        <v>114</v>
      </c>
      <c r="AG18" s="50">
        <v>0.35245901639344263</v>
      </c>
      <c r="AH18" s="47" t="s">
        <v>227</v>
      </c>
      <c r="AI18" s="54">
        <v>38300</v>
      </c>
    </row>
    <row r="19" spans="1:35">
      <c r="A19" s="44">
        <v>17</v>
      </c>
      <c r="B19" s="45" t="s">
        <v>205</v>
      </c>
      <c r="C19" s="107">
        <v>4</v>
      </c>
      <c r="D19" s="45" t="s">
        <v>241</v>
      </c>
      <c r="E19" s="46">
        <v>-32.700000000000003</v>
      </c>
      <c r="F19" s="47" t="s">
        <v>213</v>
      </c>
      <c r="G19" s="59">
        <v>-11.033333333333335</v>
      </c>
      <c r="H19" s="47" t="s">
        <v>213</v>
      </c>
      <c r="I19" s="48">
        <v>2.6666666666666665</v>
      </c>
      <c r="J19" s="47" t="s">
        <v>167</v>
      </c>
      <c r="K19" s="49">
        <v>0</v>
      </c>
      <c r="L19" s="47" t="s">
        <v>164</v>
      </c>
      <c r="M19" s="49">
        <v>0.26666666666666666</v>
      </c>
      <c r="N19" s="47" t="s">
        <v>223</v>
      </c>
      <c r="O19" s="49">
        <v>0.5</v>
      </c>
      <c r="P19" s="47" t="s">
        <v>215</v>
      </c>
      <c r="Q19" s="50">
        <v>0.16666666666666666</v>
      </c>
      <c r="R19" s="47" t="s">
        <v>114</v>
      </c>
      <c r="S19" s="50">
        <v>0.13427762039660057</v>
      </c>
      <c r="T19" s="47" t="s">
        <v>227</v>
      </c>
      <c r="U19" s="51">
        <v>6570</v>
      </c>
      <c r="V19" s="47" t="s">
        <v>208</v>
      </c>
      <c r="W19" s="51">
        <v>-6340</v>
      </c>
      <c r="X19" s="47" t="s">
        <v>216</v>
      </c>
      <c r="Y19" s="50">
        <v>0.19266055045871561</v>
      </c>
      <c r="Z19" s="47" t="s">
        <v>169</v>
      </c>
      <c r="AA19" s="50">
        <v>0.18146718146718147</v>
      </c>
      <c r="AB19" s="47" t="s">
        <v>241</v>
      </c>
      <c r="AC19" s="50">
        <v>0.5</v>
      </c>
      <c r="AD19" s="47" t="s">
        <v>163</v>
      </c>
      <c r="AE19" s="50">
        <v>0.31818181818181818</v>
      </c>
      <c r="AF19" s="47" t="s">
        <v>175</v>
      </c>
      <c r="AG19" s="50">
        <v>0.33333333333333331</v>
      </c>
      <c r="AH19" s="47" t="s">
        <v>213</v>
      </c>
      <c r="AI19" s="54">
        <v>34800</v>
      </c>
    </row>
    <row r="20" spans="1:35">
      <c r="A20" s="44">
        <v>18</v>
      </c>
      <c r="B20" s="45" t="s">
        <v>223</v>
      </c>
      <c r="C20" s="107">
        <v>4</v>
      </c>
      <c r="D20" s="45" t="s">
        <v>179</v>
      </c>
      <c r="E20" s="46">
        <v>-34.6</v>
      </c>
      <c r="F20" s="47" t="s">
        <v>216</v>
      </c>
      <c r="G20" s="59">
        <v>-12.529411764705882</v>
      </c>
      <c r="H20" s="47" t="s">
        <v>223</v>
      </c>
      <c r="I20" s="48">
        <v>2.75</v>
      </c>
      <c r="J20" s="47" t="s">
        <v>175</v>
      </c>
      <c r="K20" s="49">
        <v>0</v>
      </c>
      <c r="L20" s="47" t="s">
        <v>168</v>
      </c>
      <c r="M20" s="49">
        <v>0.27777777777777779</v>
      </c>
      <c r="N20" s="47" t="s">
        <v>241</v>
      </c>
      <c r="O20" s="49">
        <v>0.5</v>
      </c>
      <c r="P20" s="47" t="s">
        <v>164</v>
      </c>
      <c r="Q20" s="50">
        <v>0.16528925619834711</v>
      </c>
      <c r="R20" s="47" t="s">
        <v>238</v>
      </c>
      <c r="S20" s="50">
        <v>0.14814814814814814</v>
      </c>
      <c r="T20" s="47" t="s">
        <v>195</v>
      </c>
      <c r="U20" s="51">
        <v>6442.3076923076924</v>
      </c>
      <c r="V20" s="47" t="s">
        <v>114</v>
      </c>
      <c r="W20" s="51">
        <v>-6389.8734177215192</v>
      </c>
      <c r="X20" s="47" t="s">
        <v>179</v>
      </c>
      <c r="Y20" s="50">
        <v>0.19083969465648856</v>
      </c>
      <c r="Z20" s="47" t="s">
        <v>202</v>
      </c>
      <c r="AA20" s="50">
        <v>0.17647058823529413</v>
      </c>
      <c r="AB20" s="47" t="s">
        <v>216</v>
      </c>
      <c r="AC20" s="50">
        <v>0.47619047619047616</v>
      </c>
      <c r="AD20" s="47" t="s">
        <v>241</v>
      </c>
      <c r="AE20" s="50">
        <v>0.25</v>
      </c>
      <c r="AF20" s="47" t="s">
        <v>238</v>
      </c>
      <c r="AG20" s="50">
        <v>0.33333333333333331</v>
      </c>
      <c r="AH20" s="47" t="s">
        <v>167</v>
      </c>
      <c r="AI20" s="54">
        <v>34000</v>
      </c>
    </row>
    <row r="21" spans="1:35">
      <c r="A21" s="44">
        <v>19</v>
      </c>
      <c r="B21" s="45" t="s">
        <v>238</v>
      </c>
      <c r="C21" s="107">
        <v>4</v>
      </c>
      <c r="D21" s="45" t="s">
        <v>227</v>
      </c>
      <c r="E21" s="46">
        <v>-47.90000000000002</v>
      </c>
      <c r="F21" s="47" t="s">
        <v>215</v>
      </c>
      <c r="G21" s="59">
        <v>-14.4</v>
      </c>
      <c r="H21" s="47" t="s">
        <v>216</v>
      </c>
      <c r="I21" s="48">
        <v>2.7647058823529411</v>
      </c>
      <c r="J21" s="47" t="s">
        <v>180</v>
      </c>
      <c r="K21" s="49">
        <v>0</v>
      </c>
      <c r="L21" s="47" t="s">
        <v>161</v>
      </c>
      <c r="M21" s="49">
        <v>0.3</v>
      </c>
      <c r="N21" s="47" t="s">
        <v>216</v>
      </c>
      <c r="O21" s="49">
        <v>0.41176470588235292</v>
      </c>
      <c r="P21" s="47" t="s">
        <v>241</v>
      </c>
      <c r="Q21" s="50">
        <v>0.15384615384615385</v>
      </c>
      <c r="R21" s="47" t="s">
        <v>216</v>
      </c>
      <c r="S21" s="50">
        <v>0.15596330275229359</v>
      </c>
      <c r="T21" s="47" t="s">
        <v>203</v>
      </c>
      <c r="U21" s="51">
        <v>6275</v>
      </c>
      <c r="V21" s="47" t="s">
        <v>161</v>
      </c>
      <c r="W21" s="51">
        <v>-6514.2857142857147</v>
      </c>
      <c r="X21" s="47" t="s">
        <v>169</v>
      </c>
      <c r="Y21" s="50">
        <v>0.16988416988416988</v>
      </c>
      <c r="Z21" s="47" t="s">
        <v>166</v>
      </c>
      <c r="AA21" s="50">
        <v>0.17142857142857143</v>
      </c>
      <c r="AB21" s="47" t="s">
        <v>179</v>
      </c>
      <c r="AC21" s="50">
        <v>0.4</v>
      </c>
      <c r="AD21" s="47" t="s">
        <v>164</v>
      </c>
      <c r="AE21" s="50">
        <v>0.22580645161290322</v>
      </c>
      <c r="AF21" s="47" t="s">
        <v>177</v>
      </c>
      <c r="AG21" s="50">
        <v>0.25</v>
      </c>
      <c r="AH21" s="47" t="s">
        <v>175</v>
      </c>
      <c r="AI21" s="54">
        <v>33600</v>
      </c>
    </row>
    <row r="22" spans="1:35">
      <c r="A22" s="44">
        <v>20</v>
      </c>
      <c r="B22" s="45" t="s">
        <v>208</v>
      </c>
      <c r="C22" s="107">
        <v>3</v>
      </c>
      <c r="D22" s="45" t="s">
        <v>180</v>
      </c>
      <c r="E22" s="46">
        <v>-52.6</v>
      </c>
      <c r="F22" s="47" t="s">
        <v>228</v>
      </c>
      <c r="G22" s="59">
        <v>-15.624999999999998</v>
      </c>
      <c r="H22" s="47" t="s">
        <v>228</v>
      </c>
      <c r="I22" s="48">
        <v>2.875</v>
      </c>
      <c r="J22" s="47" t="s">
        <v>199</v>
      </c>
      <c r="K22" s="49">
        <v>0</v>
      </c>
      <c r="L22" s="47" t="s">
        <v>216</v>
      </c>
      <c r="M22" s="49">
        <v>0.35294117647058826</v>
      </c>
      <c r="N22" s="47" t="s">
        <v>195</v>
      </c>
      <c r="O22" s="49">
        <v>0.4</v>
      </c>
      <c r="P22" s="47" t="s">
        <v>228</v>
      </c>
      <c r="Q22" s="50">
        <v>0.15094339622641509</v>
      </c>
      <c r="R22" s="47" t="s">
        <v>227</v>
      </c>
      <c r="S22" s="50">
        <v>0.15789473684210525</v>
      </c>
      <c r="T22" s="47" t="s">
        <v>163</v>
      </c>
      <c r="U22" s="51">
        <v>5993.333333333333</v>
      </c>
      <c r="V22" s="47" t="s">
        <v>180</v>
      </c>
      <c r="W22" s="51">
        <v>-6600</v>
      </c>
      <c r="X22" s="47" t="s">
        <v>161</v>
      </c>
      <c r="Y22" s="50">
        <v>0.16883116883116883</v>
      </c>
      <c r="Z22" s="47" t="s">
        <v>215</v>
      </c>
      <c r="AA22" s="50">
        <v>0.16666666666666666</v>
      </c>
      <c r="AB22" s="47" t="s">
        <v>213</v>
      </c>
      <c r="AC22" s="50">
        <v>0.4</v>
      </c>
      <c r="AD22" s="47" t="s">
        <v>231</v>
      </c>
      <c r="AE22" s="50">
        <v>0.2</v>
      </c>
      <c r="AF22" s="47" t="s">
        <v>228</v>
      </c>
      <c r="AG22" s="50">
        <v>0.25</v>
      </c>
      <c r="AH22" s="47" t="s">
        <v>241</v>
      </c>
      <c r="AI22" s="54">
        <v>33000</v>
      </c>
    </row>
    <row r="23" spans="1:35">
      <c r="A23" s="44">
        <v>21</v>
      </c>
      <c r="B23" s="45" t="s">
        <v>175</v>
      </c>
      <c r="C23" s="107">
        <v>2</v>
      </c>
      <c r="D23" s="45" t="s">
        <v>235</v>
      </c>
      <c r="E23" s="46">
        <v>-70.800000000000011</v>
      </c>
      <c r="F23" s="47" t="s">
        <v>241</v>
      </c>
      <c r="G23" s="59">
        <v>-16.350000000000001</v>
      </c>
      <c r="H23" s="47" t="s">
        <v>196</v>
      </c>
      <c r="I23" s="48">
        <v>3</v>
      </c>
      <c r="J23" s="47" t="s">
        <v>196</v>
      </c>
      <c r="K23" s="49">
        <v>0</v>
      </c>
      <c r="L23" s="47" t="s">
        <v>163</v>
      </c>
      <c r="M23" s="49">
        <v>0.375</v>
      </c>
      <c r="N23" s="47" t="s">
        <v>228</v>
      </c>
      <c r="O23" s="49">
        <v>0.375</v>
      </c>
      <c r="P23" s="47" t="s">
        <v>196</v>
      </c>
      <c r="Q23" s="50">
        <v>0.125</v>
      </c>
      <c r="R23" s="47" t="s">
        <v>215</v>
      </c>
      <c r="S23" s="50">
        <v>0.16666666666666666</v>
      </c>
      <c r="T23" s="47" t="s">
        <v>168</v>
      </c>
      <c r="U23" s="51">
        <v>5988.3720930232557</v>
      </c>
      <c r="V23" s="47" t="s">
        <v>195</v>
      </c>
      <c r="W23" s="51">
        <v>-6816</v>
      </c>
      <c r="X23" s="47" t="s">
        <v>231</v>
      </c>
      <c r="Y23" s="50">
        <v>0.15384615384615385</v>
      </c>
      <c r="Z23" s="47" t="s">
        <v>177</v>
      </c>
      <c r="AA23" s="50">
        <v>0.15789473684210525</v>
      </c>
      <c r="AB23" s="47" t="s">
        <v>191</v>
      </c>
      <c r="AC23" s="50">
        <v>0.33333333333333331</v>
      </c>
      <c r="AD23" s="47" t="s">
        <v>203</v>
      </c>
      <c r="AE23" s="50">
        <v>0.16666666666666666</v>
      </c>
      <c r="AF23" s="47" t="s">
        <v>231</v>
      </c>
      <c r="AG23" s="50">
        <v>0.25</v>
      </c>
      <c r="AH23" s="47" t="s">
        <v>238</v>
      </c>
      <c r="AI23" s="54">
        <v>27400</v>
      </c>
    </row>
    <row r="24" spans="1:35">
      <c r="A24" s="44">
        <v>22</v>
      </c>
      <c r="B24" s="45" t="s">
        <v>177</v>
      </c>
      <c r="C24" s="107">
        <v>2</v>
      </c>
      <c r="D24" s="45" t="s">
        <v>223</v>
      </c>
      <c r="E24" s="46">
        <v>-72.5</v>
      </c>
      <c r="F24" s="47" t="s">
        <v>223</v>
      </c>
      <c r="G24" s="59">
        <v>-18.125</v>
      </c>
      <c r="H24" s="47" t="s">
        <v>215</v>
      </c>
      <c r="I24" s="48">
        <v>3</v>
      </c>
      <c r="J24" s="47" t="s">
        <v>203</v>
      </c>
      <c r="K24" s="49">
        <v>0</v>
      </c>
      <c r="L24" s="47" t="s">
        <v>203</v>
      </c>
      <c r="M24" s="49">
        <v>0.4</v>
      </c>
      <c r="N24" s="47" t="s">
        <v>166</v>
      </c>
      <c r="O24" s="49">
        <v>0.25</v>
      </c>
      <c r="P24" s="47" t="s">
        <v>213</v>
      </c>
      <c r="Q24" s="50">
        <v>0.12244897959183673</v>
      </c>
      <c r="R24" s="47" t="s">
        <v>202</v>
      </c>
      <c r="S24" s="50">
        <v>0.17647058823529413</v>
      </c>
      <c r="T24" s="47" t="s">
        <v>177</v>
      </c>
      <c r="U24" s="51">
        <v>5900</v>
      </c>
      <c r="V24" s="47" t="s">
        <v>163</v>
      </c>
      <c r="W24" s="51">
        <v>-7212.5</v>
      </c>
      <c r="X24" s="47" t="s">
        <v>241</v>
      </c>
      <c r="Y24" s="50">
        <v>0.15384615384615385</v>
      </c>
      <c r="Z24" s="47" t="s">
        <v>227</v>
      </c>
      <c r="AA24" s="50">
        <v>0.15789473684210525</v>
      </c>
      <c r="AB24" s="47" t="s">
        <v>203</v>
      </c>
      <c r="AC24" s="50">
        <v>0.33333333333333331</v>
      </c>
      <c r="AD24" s="47" t="s">
        <v>228</v>
      </c>
      <c r="AE24" s="50">
        <v>0.14285714285714285</v>
      </c>
      <c r="AF24" s="47" t="s">
        <v>169</v>
      </c>
      <c r="AG24" s="50">
        <v>0.21666666666666667</v>
      </c>
      <c r="AH24" s="47" t="s">
        <v>215</v>
      </c>
      <c r="AI24" s="54">
        <v>25600</v>
      </c>
    </row>
    <row r="25" spans="1:35">
      <c r="A25" s="44">
        <v>23</v>
      </c>
      <c r="B25" s="45" t="s">
        <v>199</v>
      </c>
      <c r="C25" s="107">
        <v>2</v>
      </c>
      <c r="D25" s="45" t="s">
        <v>199</v>
      </c>
      <c r="E25" s="46">
        <v>-97.4</v>
      </c>
      <c r="F25" s="47" t="s">
        <v>238</v>
      </c>
      <c r="G25" s="59">
        <v>-26.674999999999997</v>
      </c>
      <c r="H25" s="47" t="s">
        <v>238</v>
      </c>
      <c r="I25" s="48">
        <v>3</v>
      </c>
      <c r="J25" s="47" t="s">
        <v>202</v>
      </c>
      <c r="K25" s="49">
        <v>0</v>
      </c>
      <c r="L25" s="47" t="s">
        <v>166</v>
      </c>
      <c r="M25" s="49">
        <v>0.5</v>
      </c>
      <c r="N25" s="47" t="s">
        <v>238</v>
      </c>
      <c r="O25" s="49">
        <v>0.25</v>
      </c>
      <c r="P25" s="47" t="s">
        <v>216</v>
      </c>
      <c r="Q25" s="50">
        <v>0.11926605504587157</v>
      </c>
      <c r="R25" s="47" t="s">
        <v>161</v>
      </c>
      <c r="S25" s="50">
        <v>0.18181818181818182</v>
      </c>
      <c r="T25" s="47" t="s">
        <v>179</v>
      </c>
      <c r="U25" s="51">
        <v>4909.375</v>
      </c>
      <c r="V25" s="47" t="s">
        <v>238</v>
      </c>
      <c r="W25" s="51">
        <v>-7275</v>
      </c>
      <c r="X25" s="47" t="s">
        <v>180</v>
      </c>
      <c r="Y25" s="50">
        <v>0.14285714285714285</v>
      </c>
      <c r="Z25" s="47" t="s">
        <v>167</v>
      </c>
      <c r="AA25" s="50">
        <v>0.14285714285714285</v>
      </c>
      <c r="AB25" s="47" t="s">
        <v>223</v>
      </c>
      <c r="AC25" s="50">
        <v>0.33333333333333331</v>
      </c>
      <c r="AD25" s="47" t="s">
        <v>167</v>
      </c>
      <c r="AE25" s="50">
        <v>0</v>
      </c>
      <c r="AF25" s="47" t="s">
        <v>164</v>
      </c>
      <c r="AG25" s="50">
        <v>0.2</v>
      </c>
      <c r="AH25" s="47" t="s">
        <v>203</v>
      </c>
      <c r="AI25" s="54">
        <v>25000</v>
      </c>
    </row>
    <row r="26" spans="1:35">
      <c r="A26" s="44">
        <v>24</v>
      </c>
      <c r="B26" s="45" t="s">
        <v>202</v>
      </c>
      <c r="C26" s="107">
        <v>2</v>
      </c>
      <c r="D26" s="45" t="s">
        <v>213</v>
      </c>
      <c r="E26" s="46">
        <v>-99.300000000000011</v>
      </c>
      <c r="F26" s="47" t="s">
        <v>196</v>
      </c>
      <c r="G26" s="59">
        <v>-27.1</v>
      </c>
      <c r="H26" s="47" t="s">
        <v>241</v>
      </c>
      <c r="I26" s="48">
        <v>3</v>
      </c>
      <c r="J26" s="47" t="s">
        <v>208</v>
      </c>
      <c r="K26" s="49">
        <v>0</v>
      </c>
      <c r="L26" s="47" t="s">
        <v>177</v>
      </c>
      <c r="M26" s="49">
        <v>0.5</v>
      </c>
      <c r="N26" s="47" t="s">
        <v>180</v>
      </c>
      <c r="O26" s="49">
        <v>0</v>
      </c>
      <c r="P26" s="47" t="s">
        <v>238</v>
      </c>
      <c r="Q26" s="50">
        <v>0.1111111111111111</v>
      </c>
      <c r="R26" s="47" t="s">
        <v>223</v>
      </c>
      <c r="S26" s="50">
        <v>0.19047619047619047</v>
      </c>
      <c r="T26" s="47" t="s">
        <v>215</v>
      </c>
      <c r="U26" s="51">
        <v>3900</v>
      </c>
      <c r="V26" s="47" t="s">
        <v>216</v>
      </c>
      <c r="W26" s="51">
        <v>-7882.3529411764703</v>
      </c>
      <c r="X26" s="47" t="s">
        <v>228</v>
      </c>
      <c r="Y26" s="50">
        <v>0.13207547169811321</v>
      </c>
      <c r="Z26" s="47" t="s">
        <v>203</v>
      </c>
      <c r="AA26" s="50">
        <v>0.13953488372093023</v>
      </c>
      <c r="AB26" s="47" t="s">
        <v>164</v>
      </c>
      <c r="AC26" s="50">
        <v>0.3125</v>
      </c>
      <c r="AD26" s="47" t="s">
        <v>175</v>
      </c>
      <c r="AE26" s="50">
        <v>0</v>
      </c>
      <c r="AF26" s="47" t="s">
        <v>191</v>
      </c>
      <c r="AG26" s="50">
        <v>0.14285714285714285</v>
      </c>
      <c r="AH26" s="47" t="s">
        <v>166</v>
      </c>
      <c r="AI26" s="54">
        <v>23700</v>
      </c>
    </row>
    <row r="27" spans="1:35">
      <c r="A27" s="44">
        <v>25</v>
      </c>
      <c r="B27" s="45" t="s">
        <v>231</v>
      </c>
      <c r="C27" s="107">
        <v>2</v>
      </c>
      <c r="D27" s="45" t="s">
        <v>202</v>
      </c>
      <c r="E27" s="46">
        <v>-105.9</v>
      </c>
      <c r="F27" s="47" t="s">
        <v>166</v>
      </c>
      <c r="G27" s="59">
        <v>-31.999999999999996</v>
      </c>
      <c r="H27" s="47" t="s">
        <v>166</v>
      </c>
      <c r="I27" s="48">
        <v>3.25</v>
      </c>
      <c r="J27" s="47" t="s">
        <v>213</v>
      </c>
      <c r="K27" s="49">
        <v>0</v>
      </c>
      <c r="L27" s="47" t="s">
        <v>228</v>
      </c>
      <c r="M27" s="49">
        <v>0.5</v>
      </c>
      <c r="N27" s="47" t="s">
        <v>199</v>
      </c>
      <c r="O27" s="49">
        <v>0</v>
      </c>
      <c r="P27" s="47" t="s">
        <v>223</v>
      </c>
      <c r="Q27" s="50">
        <v>9.5238095238095233E-2</v>
      </c>
      <c r="R27" s="47" t="s">
        <v>168</v>
      </c>
      <c r="S27" s="50">
        <v>0.19718309859154928</v>
      </c>
      <c r="T27" s="47" t="s">
        <v>238</v>
      </c>
      <c r="U27" s="51">
        <v>3266.6666666666665</v>
      </c>
      <c r="V27" s="47" t="s">
        <v>179</v>
      </c>
      <c r="W27" s="51">
        <v>-8157.1428571428569</v>
      </c>
      <c r="X27" s="47" t="s">
        <v>202</v>
      </c>
      <c r="Y27" s="50">
        <v>0.11764705882352941</v>
      </c>
      <c r="Z27" s="47" t="s">
        <v>228</v>
      </c>
      <c r="AA27" s="50">
        <v>0.13207547169811321</v>
      </c>
      <c r="AB27" s="47" t="s">
        <v>180</v>
      </c>
      <c r="AC27" s="50">
        <v>0</v>
      </c>
      <c r="AD27" s="47" t="s">
        <v>180</v>
      </c>
      <c r="AE27" s="50">
        <v>0</v>
      </c>
      <c r="AF27" s="47" t="s">
        <v>227</v>
      </c>
      <c r="AG27" s="50">
        <v>0.1</v>
      </c>
      <c r="AH27" s="47" t="s">
        <v>235</v>
      </c>
      <c r="AI27" s="54">
        <v>22900</v>
      </c>
    </row>
    <row r="28" spans="1:35">
      <c r="A28" s="44">
        <v>26</v>
      </c>
      <c r="B28" s="45" t="s">
        <v>235</v>
      </c>
      <c r="C28" s="107">
        <v>2</v>
      </c>
      <c r="D28" s="45" t="s">
        <v>238</v>
      </c>
      <c r="E28" s="46">
        <v>-106.69999999999999</v>
      </c>
      <c r="F28" s="47" t="s">
        <v>203</v>
      </c>
      <c r="G28" s="59">
        <v>-32.279999999999994</v>
      </c>
      <c r="H28" s="47" t="s">
        <v>203</v>
      </c>
      <c r="I28" s="48">
        <v>3.4</v>
      </c>
      <c r="J28" s="47" t="s">
        <v>215</v>
      </c>
      <c r="K28" s="49">
        <v>0</v>
      </c>
      <c r="L28" s="47" t="s">
        <v>235</v>
      </c>
      <c r="M28" s="49">
        <v>0.5</v>
      </c>
      <c r="N28" s="47" t="s">
        <v>196</v>
      </c>
      <c r="O28" s="49">
        <v>0</v>
      </c>
      <c r="P28" s="47" t="s">
        <v>203</v>
      </c>
      <c r="Q28" s="50">
        <v>9.3023255813953487E-2</v>
      </c>
      <c r="R28" s="47" t="s">
        <v>235</v>
      </c>
      <c r="S28" s="50">
        <v>0.2</v>
      </c>
      <c r="T28" s="47" t="s">
        <v>166</v>
      </c>
      <c r="U28" s="51">
        <v>2928.5714285714284</v>
      </c>
      <c r="V28" s="47" t="s">
        <v>228</v>
      </c>
      <c r="W28" s="51">
        <v>-8163.636363636364</v>
      </c>
      <c r="X28" s="47" t="s">
        <v>166</v>
      </c>
      <c r="Y28" s="50">
        <v>0.11428571428571428</v>
      </c>
      <c r="Z28" s="47" t="s">
        <v>162</v>
      </c>
      <c r="AA28" s="50">
        <v>0.11538461538461539</v>
      </c>
      <c r="AB28" s="47" t="s">
        <v>199</v>
      </c>
      <c r="AC28" s="50">
        <v>0</v>
      </c>
      <c r="AD28" s="47" t="s">
        <v>199</v>
      </c>
      <c r="AE28" s="50">
        <v>0</v>
      </c>
      <c r="AF28" s="47" t="s">
        <v>180</v>
      </c>
      <c r="AG28" s="50">
        <v>0</v>
      </c>
      <c r="AH28" s="47" t="s">
        <v>223</v>
      </c>
      <c r="AI28" s="54">
        <v>22100</v>
      </c>
    </row>
    <row r="29" spans="1:35">
      <c r="A29" s="44">
        <v>27</v>
      </c>
      <c r="B29" s="45" t="s">
        <v>241</v>
      </c>
      <c r="C29" s="107">
        <v>2</v>
      </c>
      <c r="D29" s="45" t="s">
        <v>228</v>
      </c>
      <c r="E29" s="46">
        <v>-124.99999999999999</v>
      </c>
      <c r="F29" s="47" t="s">
        <v>235</v>
      </c>
      <c r="G29" s="59">
        <v>-35.400000000000006</v>
      </c>
      <c r="H29" s="47" t="s">
        <v>235</v>
      </c>
      <c r="I29" s="48">
        <v>3.5</v>
      </c>
      <c r="J29" s="47" t="s">
        <v>223</v>
      </c>
      <c r="K29" s="49">
        <v>0</v>
      </c>
      <c r="L29" s="47" t="s">
        <v>241</v>
      </c>
      <c r="M29" s="49">
        <v>0.5</v>
      </c>
      <c r="N29" s="47" t="s">
        <v>203</v>
      </c>
      <c r="O29" s="49">
        <v>0</v>
      </c>
      <c r="P29" s="47" t="s">
        <v>235</v>
      </c>
      <c r="Q29" s="50">
        <v>6.6666666666666666E-2</v>
      </c>
      <c r="R29" s="47" t="s">
        <v>228</v>
      </c>
      <c r="S29" s="50">
        <v>0.20754716981132076</v>
      </c>
      <c r="T29" s="47" t="s">
        <v>202</v>
      </c>
      <c r="U29" s="51">
        <v>1300</v>
      </c>
      <c r="V29" s="47" t="s">
        <v>227</v>
      </c>
      <c r="W29" s="51">
        <v>-8283.3333333333339</v>
      </c>
      <c r="X29" s="47" t="s">
        <v>191</v>
      </c>
      <c r="Y29" s="50">
        <v>0.10434782608695652</v>
      </c>
      <c r="Z29" s="47" t="s">
        <v>216</v>
      </c>
      <c r="AA29" s="50">
        <v>8.2568807339449546E-2</v>
      </c>
      <c r="AB29" s="47" t="s">
        <v>196</v>
      </c>
      <c r="AC29" s="50">
        <v>0</v>
      </c>
      <c r="AD29" s="47" t="s">
        <v>202</v>
      </c>
      <c r="AE29" s="50">
        <v>0</v>
      </c>
      <c r="AF29" s="47" t="s">
        <v>199</v>
      </c>
      <c r="AG29" s="50">
        <v>0</v>
      </c>
      <c r="AH29" s="47" t="s">
        <v>199</v>
      </c>
      <c r="AI29" s="54">
        <v>14100</v>
      </c>
    </row>
    <row r="30" spans="1:35">
      <c r="A30" s="44">
        <v>28</v>
      </c>
      <c r="B30" s="45" t="s">
        <v>167</v>
      </c>
      <c r="C30" s="107">
        <v>1</v>
      </c>
      <c r="D30" s="45" t="s">
        <v>166</v>
      </c>
      <c r="E30" s="46">
        <v>-127.99999999999999</v>
      </c>
      <c r="F30" s="47" t="s">
        <v>208</v>
      </c>
      <c r="G30" s="59">
        <v>-44.233333333333327</v>
      </c>
      <c r="H30" s="47" t="s">
        <v>208</v>
      </c>
      <c r="I30" s="48">
        <v>3.6666666666666665</v>
      </c>
      <c r="J30" s="47" t="s">
        <v>227</v>
      </c>
      <c r="K30" s="49">
        <v>0</v>
      </c>
      <c r="L30" s="47" t="s">
        <v>208</v>
      </c>
      <c r="M30" s="49">
        <v>0.66666666666666663</v>
      </c>
      <c r="N30" s="47" t="s">
        <v>202</v>
      </c>
      <c r="O30" s="49">
        <v>0</v>
      </c>
      <c r="P30" s="47" t="s">
        <v>202</v>
      </c>
      <c r="Q30" s="50">
        <v>5.8823529411764705E-2</v>
      </c>
      <c r="R30" s="47" t="s">
        <v>208</v>
      </c>
      <c r="S30" s="50">
        <v>0.21739130434782608</v>
      </c>
      <c r="T30" s="47" t="s">
        <v>196</v>
      </c>
      <c r="U30" s="51">
        <v>1000</v>
      </c>
      <c r="V30" s="47" t="s">
        <v>205</v>
      </c>
      <c r="W30" s="51">
        <v>-9466.6666666666661</v>
      </c>
      <c r="X30" s="47" t="s">
        <v>199</v>
      </c>
      <c r="Y30" s="50">
        <v>6.6666666666666666E-2</v>
      </c>
      <c r="Z30" s="47" t="s">
        <v>213</v>
      </c>
      <c r="AA30" s="50">
        <v>4.0816326530612242E-2</v>
      </c>
      <c r="AB30" s="47" t="s">
        <v>202</v>
      </c>
      <c r="AC30" s="50">
        <v>0</v>
      </c>
      <c r="AD30" s="47" t="s">
        <v>208</v>
      </c>
      <c r="AE30" s="50">
        <v>0</v>
      </c>
      <c r="AF30" s="47" t="s">
        <v>196</v>
      </c>
      <c r="AG30" s="50">
        <v>0</v>
      </c>
      <c r="AH30" s="47" t="s">
        <v>202</v>
      </c>
      <c r="AI30" s="54">
        <v>13500</v>
      </c>
    </row>
    <row r="31" spans="1:35">
      <c r="A31" s="44">
        <v>29</v>
      </c>
      <c r="B31" s="45" t="s">
        <v>180</v>
      </c>
      <c r="C31" s="107">
        <v>1</v>
      </c>
      <c r="D31" s="45" t="s">
        <v>208</v>
      </c>
      <c r="E31" s="46">
        <v>-132.69999999999999</v>
      </c>
      <c r="F31" s="47" t="s">
        <v>199</v>
      </c>
      <c r="G31" s="59">
        <v>-48.7</v>
      </c>
      <c r="H31" s="47" t="s">
        <v>180</v>
      </c>
      <c r="I31" s="48">
        <v>4</v>
      </c>
      <c r="J31" s="47" t="s">
        <v>235</v>
      </c>
      <c r="K31" s="49">
        <v>0</v>
      </c>
      <c r="L31" s="47" t="s">
        <v>180</v>
      </c>
      <c r="M31" s="49">
        <v>1</v>
      </c>
      <c r="N31" s="47" t="s">
        <v>208</v>
      </c>
      <c r="O31" s="49">
        <v>0</v>
      </c>
      <c r="P31" s="47" t="s">
        <v>180</v>
      </c>
      <c r="Q31" s="50">
        <v>0</v>
      </c>
      <c r="R31" s="47" t="s">
        <v>241</v>
      </c>
      <c r="S31" s="50">
        <v>0.23076923076923078</v>
      </c>
      <c r="T31" s="47" t="s">
        <v>180</v>
      </c>
      <c r="U31" s="51">
        <v>0</v>
      </c>
      <c r="V31" s="47" t="s">
        <v>235</v>
      </c>
      <c r="W31" s="51">
        <v>-9533.3333333333339</v>
      </c>
      <c r="X31" s="47" t="s">
        <v>235</v>
      </c>
      <c r="Y31" s="50">
        <v>6.6666666666666666E-2</v>
      </c>
      <c r="Z31" s="47" t="s">
        <v>175</v>
      </c>
      <c r="AA31" s="50">
        <v>0</v>
      </c>
      <c r="AB31" s="47" t="s">
        <v>208</v>
      </c>
      <c r="AC31" s="50">
        <v>0</v>
      </c>
      <c r="AD31" s="47" t="s">
        <v>213</v>
      </c>
      <c r="AE31" s="50">
        <v>0</v>
      </c>
      <c r="AF31" s="47" t="s">
        <v>202</v>
      </c>
      <c r="AG31" s="50">
        <v>0</v>
      </c>
      <c r="AH31" s="47" t="s">
        <v>196</v>
      </c>
      <c r="AI31" s="54">
        <v>12900</v>
      </c>
    </row>
    <row r="32" spans="1:35">
      <c r="A32" s="44">
        <v>30</v>
      </c>
      <c r="B32" s="45" t="s">
        <v>196</v>
      </c>
      <c r="C32" s="107">
        <v>1</v>
      </c>
      <c r="D32" s="45" t="s">
        <v>203</v>
      </c>
      <c r="E32" s="46">
        <v>-161.39999999999998</v>
      </c>
      <c r="F32" s="47" t="s">
        <v>180</v>
      </c>
      <c r="G32" s="59">
        <v>-52.6</v>
      </c>
      <c r="H32" s="47" t="s">
        <v>199</v>
      </c>
      <c r="I32" s="48">
        <v>4</v>
      </c>
      <c r="J32" s="47" t="s">
        <v>238</v>
      </c>
      <c r="K32" s="49">
        <v>0</v>
      </c>
      <c r="L32" s="47" t="s">
        <v>199</v>
      </c>
      <c r="M32" s="49">
        <v>1</v>
      </c>
      <c r="N32" s="47" t="s">
        <v>215</v>
      </c>
      <c r="O32" s="49">
        <v>0</v>
      </c>
      <c r="P32" s="47" t="s">
        <v>199</v>
      </c>
      <c r="Q32" s="50">
        <v>0</v>
      </c>
      <c r="R32" s="47" t="s">
        <v>203</v>
      </c>
      <c r="S32" s="50">
        <v>0.23255813953488372</v>
      </c>
      <c r="T32" s="47" t="s">
        <v>199</v>
      </c>
      <c r="U32" s="51">
        <v>0</v>
      </c>
      <c r="V32" s="47" t="s">
        <v>199</v>
      </c>
      <c r="W32" s="51">
        <v>-10000</v>
      </c>
      <c r="X32" s="47" t="s">
        <v>208</v>
      </c>
      <c r="Y32" s="50">
        <v>4.3478260869565216E-2</v>
      </c>
      <c r="Z32" s="47" t="s">
        <v>208</v>
      </c>
      <c r="AA32" s="50">
        <v>0</v>
      </c>
      <c r="AB32" s="47" t="s">
        <v>215</v>
      </c>
      <c r="AC32" s="50">
        <v>0</v>
      </c>
      <c r="AD32" s="47" t="s">
        <v>223</v>
      </c>
      <c r="AE32" s="50">
        <v>0</v>
      </c>
      <c r="AF32" s="47" t="s">
        <v>208</v>
      </c>
      <c r="AG32" s="50">
        <v>0</v>
      </c>
      <c r="AH32" s="47" t="s">
        <v>208</v>
      </c>
      <c r="AI32" s="54">
        <v>10700</v>
      </c>
    </row>
    <row r="33" spans="1:35">
      <c r="A33" s="44">
        <v>31</v>
      </c>
      <c r="B33" s="45" t="s">
        <v>215</v>
      </c>
      <c r="C33" s="107">
        <v>1</v>
      </c>
      <c r="D33" s="45" t="s">
        <v>216</v>
      </c>
      <c r="E33" s="46">
        <v>-213</v>
      </c>
      <c r="F33" s="47" t="s">
        <v>202</v>
      </c>
      <c r="G33" s="59">
        <v>-52.95</v>
      </c>
      <c r="H33" s="47" t="s">
        <v>202</v>
      </c>
      <c r="I33" s="48">
        <v>4</v>
      </c>
      <c r="J33" s="47" t="s">
        <v>241</v>
      </c>
      <c r="K33" s="49">
        <v>0</v>
      </c>
      <c r="L33" s="47" t="s">
        <v>202</v>
      </c>
      <c r="M33" s="49">
        <v>1</v>
      </c>
      <c r="N33" s="47" t="s">
        <v>235</v>
      </c>
      <c r="O33" s="49">
        <v>0</v>
      </c>
      <c r="P33" s="47" t="s">
        <v>208</v>
      </c>
      <c r="Q33" s="50">
        <v>0</v>
      </c>
      <c r="R33" s="47" t="s">
        <v>180</v>
      </c>
      <c r="S33" s="50">
        <v>0.2857142857142857</v>
      </c>
      <c r="T33" s="47" t="s">
        <v>208</v>
      </c>
      <c r="U33" s="51">
        <v>0</v>
      </c>
      <c r="V33" s="47" t="s">
        <v>166</v>
      </c>
      <c r="W33" s="51">
        <v>-11400</v>
      </c>
      <c r="X33" s="47" t="s">
        <v>238</v>
      </c>
      <c r="Y33" s="50">
        <v>0</v>
      </c>
      <c r="Z33" s="47" t="s">
        <v>223</v>
      </c>
      <c r="AA33" s="50">
        <v>0</v>
      </c>
      <c r="AB33" s="47" t="s">
        <v>238</v>
      </c>
      <c r="AC33" s="50">
        <v>0</v>
      </c>
      <c r="AD33" s="47" t="s">
        <v>235</v>
      </c>
      <c r="AE33" s="50">
        <v>0</v>
      </c>
      <c r="AF33" s="47" t="s">
        <v>215</v>
      </c>
      <c r="AG33" s="50">
        <v>0</v>
      </c>
      <c r="AH33" s="47" t="s">
        <v>180</v>
      </c>
      <c r="AI33" s="54">
        <v>7400</v>
      </c>
    </row>
  </sheetData>
  <sortState xmlns:xlrd2="http://schemas.microsoft.com/office/spreadsheetml/2017/richdata2" ref="AH3:AI8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39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237</v>
      </c>
      <c r="C2" s="121"/>
      <c r="E2" s="32" t="s">
        <v>54</v>
      </c>
      <c r="F2" s="29" t="s">
        <v>20</v>
      </c>
      <c r="G2" s="12">
        <v>227</v>
      </c>
      <c r="H2" s="93">
        <f>IF(B$17=0,0,G2/B$17)</f>
        <v>0.6202185792349727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-50.632911392405063</v>
      </c>
      <c r="P2" s="79">
        <v>237</v>
      </c>
      <c r="Q2" s="63">
        <v>-12000</v>
      </c>
    </row>
    <row r="3" spans="1:17">
      <c r="A3" s="19" t="s">
        <v>8</v>
      </c>
      <c r="B3" s="122">
        <v>1765</v>
      </c>
      <c r="C3" s="123"/>
      <c r="E3" s="33" t="s">
        <v>184</v>
      </c>
      <c r="F3" s="30" t="s">
        <v>187</v>
      </c>
      <c r="G3" s="13">
        <v>180</v>
      </c>
      <c r="H3" s="94">
        <f>IF(B$17=0,0,G3/B$17)</f>
        <v>0.49180327868852458</v>
      </c>
      <c r="I3" s="56">
        <v>13</v>
      </c>
      <c r="K3" s="5">
        <v>1</v>
      </c>
      <c r="L3" s="61">
        <v>11.9</v>
      </c>
      <c r="N3" s="76" t="s">
        <v>104</v>
      </c>
      <c r="O3" s="83">
        <f t="shared" si="0"/>
        <v>-8.4388185654008439</v>
      </c>
      <c r="P3" s="80">
        <v>237</v>
      </c>
      <c r="Q3" s="64">
        <v>-2000</v>
      </c>
    </row>
    <row r="4" spans="1:17">
      <c r="A4" s="19" t="s">
        <v>6</v>
      </c>
      <c r="B4" s="124">
        <v>-30.000000000000043</v>
      </c>
      <c r="C4" s="125"/>
      <c r="E4" s="33" t="s">
        <v>181</v>
      </c>
      <c r="F4" s="30" t="s">
        <v>156</v>
      </c>
      <c r="G4" s="13">
        <v>179</v>
      </c>
      <c r="H4" s="94">
        <f>IF(B$17=0,0,G4/B$17)</f>
        <v>0.48907103825136611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9.2827004219409286</v>
      </c>
      <c r="P4" s="80">
        <v>237</v>
      </c>
      <c r="Q4" s="64">
        <v>2200</v>
      </c>
    </row>
    <row r="5" spans="1:17">
      <c r="A5" s="19" t="s">
        <v>7</v>
      </c>
      <c r="B5" s="126">
        <f>IF(B$2=0,0,B$4/B$2)</f>
        <v>-0.12658227848101283</v>
      </c>
      <c r="C5" s="127"/>
      <c r="E5" s="33" t="s">
        <v>60</v>
      </c>
      <c r="F5" s="30" t="s">
        <v>24</v>
      </c>
      <c r="G5" s="13">
        <v>147</v>
      </c>
      <c r="H5" s="94">
        <f>IF(B$17=0,0,G5/B$17)</f>
        <v>0.40163934426229508</v>
      </c>
      <c r="I5" s="56">
        <v>14</v>
      </c>
      <c r="K5" s="5">
        <v>3</v>
      </c>
      <c r="L5" s="61">
        <v>25.100000000000009</v>
      </c>
      <c r="N5" s="76" t="s">
        <v>157</v>
      </c>
      <c r="O5" s="83">
        <f>IF(P5=0,0,Q5/P5)</f>
        <v>0</v>
      </c>
      <c r="P5" s="80">
        <v>217</v>
      </c>
      <c r="Q5" s="64">
        <v>0</v>
      </c>
    </row>
    <row r="6" spans="1:17">
      <c r="A6" s="19" t="s">
        <v>1</v>
      </c>
      <c r="B6" s="128">
        <f>IF(B$2=0,0,(B$7*1+B$8*2+B$9*3+B$10*4)/B$2)</f>
        <v>2.4852320675105486</v>
      </c>
      <c r="C6" s="129"/>
      <c r="E6" s="33" t="s">
        <v>55</v>
      </c>
      <c r="F6" s="30" t="s">
        <v>155</v>
      </c>
      <c r="G6" s="13">
        <v>94</v>
      </c>
      <c r="H6" s="94">
        <f>IF(B$17=0,0,G6/B$17)</f>
        <v>0.25683060109289618</v>
      </c>
      <c r="I6" s="56">
        <v>13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19.23076923076923</v>
      </c>
      <c r="P6" s="80">
        <v>156</v>
      </c>
      <c r="Q6" s="64">
        <v>3000</v>
      </c>
    </row>
    <row r="7" spans="1:17">
      <c r="A7" s="19" t="s">
        <v>2</v>
      </c>
      <c r="B7" s="13">
        <v>61</v>
      </c>
      <c r="C7" s="6">
        <f t="shared" ref="C7:C12" si="2">IF(B$2=0,0,B7/B$2)</f>
        <v>0.25738396624472576</v>
      </c>
      <c r="E7" s="33" t="s">
        <v>57</v>
      </c>
      <c r="F7" s="30" t="s">
        <v>21</v>
      </c>
      <c r="G7" s="13">
        <v>90</v>
      </c>
      <c r="H7" s="94">
        <f>IF(B$17=0,0,G7/B$17)</f>
        <v>0.24590163934426229</v>
      </c>
      <c r="I7" s="56">
        <v>14</v>
      </c>
      <c r="K7" s="5">
        <v>5</v>
      </c>
      <c r="L7" s="61">
        <v>-14.199999999999992</v>
      </c>
      <c r="N7" s="76" t="s">
        <v>107</v>
      </c>
      <c r="O7" s="83">
        <f t="shared" si="0"/>
        <v>-71.428571428571431</v>
      </c>
      <c r="P7" s="80">
        <v>112</v>
      </c>
      <c r="Q7" s="64">
        <v>-8000</v>
      </c>
    </row>
    <row r="8" spans="1:17">
      <c r="A8" s="19" t="s">
        <v>3</v>
      </c>
      <c r="B8" s="13">
        <v>58</v>
      </c>
      <c r="C8" s="6">
        <f>IF(B$2=0,0,B8/B$2)</f>
        <v>0.24472573839662448</v>
      </c>
      <c r="E8" s="33" t="s">
        <v>56</v>
      </c>
      <c r="F8" s="30" t="s">
        <v>185</v>
      </c>
      <c r="G8" s="13">
        <v>88</v>
      </c>
      <c r="H8" s="94">
        <f>IF(B$17=0,0,G8/B$17)</f>
        <v>0.24043715846994534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76</v>
      </c>
      <c r="Q8" s="64">
        <v>0</v>
      </c>
    </row>
    <row r="9" spans="1:17">
      <c r="A9" s="20" t="s">
        <v>4</v>
      </c>
      <c r="B9" s="14">
        <v>60</v>
      </c>
      <c r="C9" s="7">
        <f>IF(B$2=0,0,B9/B$2)</f>
        <v>0.25316455696202533</v>
      </c>
      <c r="E9" s="33" t="s">
        <v>59</v>
      </c>
      <c r="F9" s="30" t="s">
        <v>23</v>
      </c>
      <c r="G9" s="13">
        <v>63</v>
      </c>
      <c r="H9" s="94">
        <f>IF(B$17=0,0,G9/B$17)</f>
        <v>0.1721311475409836</v>
      </c>
      <c r="I9" s="56">
        <v>11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58</v>
      </c>
      <c r="C10" s="7">
        <f>IF(B$2=0,0,B10/B$2)</f>
        <v>0.24472573839662448</v>
      </c>
      <c r="E10" s="33" t="s">
        <v>182</v>
      </c>
      <c r="F10" s="30" t="s">
        <v>19</v>
      </c>
      <c r="G10" s="13">
        <v>40</v>
      </c>
      <c r="H10" s="94">
        <f>IF(B$17=0,0,G10/B$17)</f>
        <v>0.10928961748633879</v>
      </c>
      <c r="I10" s="56">
        <v>10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119</v>
      </c>
      <c r="C11" s="7">
        <f>IF(B$2=0,0,B11/B$2)</f>
        <v>0.50210970464135019</v>
      </c>
      <c r="E11" s="33" t="s">
        <v>58</v>
      </c>
      <c r="F11" s="30" t="s">
        <v>22</v>
      </c>
      <c r="G11" s="13">
        <v>26</v>
      </c>
      <c r="H11" s="94">
        <f>IF(B$17=0,0,G11/B$17)</f>
        <v>7.1038251366120214E-2</v>
      </c>
      <c r="I11" s="56">
        <v>10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12</v>
      </c>
      <c r="C12" s="9">
        <f t="shared" si="2"/>
        <v>5.0632911392405063E-2</v>
      </c>
      <c r="E12" s="33" t="s">
        <v>183</v>
      </c>
      <c r="F12" s="30" t="s">
        <v>186</v>
      </c>
      <c r="G12" s="13">
        <v>14</v>
      </c>
      <c r="H12" s="94">
        <f>IF(B$17=0,0,G12/B$17)</f>
        <v>3.825136612021858E-2</v>
      </c>
      <c r="I12" s="56">
        <v>8</v>
      </c>
      <c r="K12" s="5">
        <v>10</v>
      </c>
      <c r="L12" s="61">
        <v>-38.499999999999993</v>
      </c>
      <c r="N12" s="75" t="s">
        <v>126</v>
      </c>
      <c r="O12" s="85">
        <f>IF(P12=0,0,Q12/P12)</f>
        <v>-1.1483333333333341</v>
      </c>
      <c r="P12" s="79">
        <v>60</v>
      </c>
      <c r="Q12" s="67">
        <v>-68.900000000000048</v>
      </c>
    </row>
    <row r="13" spans="1:17">
      <c r="A13" s="22" t="s">
        <v>97</v>
      </c>
      <c r="B13" s="15">
        <v>342</v>
      </c>
      <c r="C13" s="11">
        <f>IF(B$3=0,0,B13/B$3)</f>
        <v>0.19376770538243626</v>
      </c>
      <c r="E13" s="33" t="s">
        <v>71</v>
      </c>
      <c r="F13" s="30" t="s">
        <v>35</v>
      </c>
      <c r="G13" s="13">
        <v>13</v>
      </c>
      <c r="H13" s="94">
        <f>IF(B$17=0,0,G13/B$17)</f>
        <v>3.5519125683060107E-2</v>
      </c>
      <c r="I13" s="56">
        <v>6</v>
      </c>
      <c r="K13" s="5">
        <v>11</v>
      </c>
      <c r="L13" s="61">
        <v>18.100000000000009</v>
      </c>
      <c r="N13" s="76" t="s">
        <v>127</v>
      </c>
      <c r="O13" s="86">
        <f>IF(P13=0,0,Q13/P13)</f>
        <v>2.1249999999999978</v>
      </c>
      <c r="P13" s="80">
        <v>60</v>
      </c>
      <c r="Q13" s="68">
        <v>127.49999999999987</v>
      </c>
    </row>
    <row r="14" spans="1:17">
      <c r="A14" s="19" t="s">
        <v>94</v>
      </c>
      <c r="B14" s="13">
        <v>368</v>
      </c>
      <c r="C14" s="6">
        <f>IF(B$3=0,0,B14/B$3)</f>
        <v>0.20849858356940509</v>
      </c>
      <c r="E14" s="33" t="s">
        <v>77</v>
      </c>
      <c r="F14" s="30" t="s">
        <v>41</v>
      </c>
      <c r="G14" s="13">
        <v>13</v>
      </c>
      <c r="H14" s="94">
        <f>IF(B$17=0,0,G14/B$17)</f>
        <v>3.5519125683060107E-2</v>
      </c>
      <c r="I14" s="56">
        <v>5</v>
      </c>
      <c r="K14" s="5">
        <v>12</v>
      </c>
      <c r="L14" s="61">
        <v>7.1054273576010019E-15</v>
      </c>
      <c r="N14" s="76" t="s">
        <v>128</v>
      </c>
      <c r="O14" s="86">
        <f>IF(P14=0,0,Q14/P14)</f>
        <v>-1.4799999999999975</v>
      </c>
      <c r="P14" s="80">
        <v>60</v>
      </c>
      <c r="Q14" s="68">
        <v>-88.799999999999855</v>
      </c>
    </row>
    <row r="15" spans="1:17">
      <c r="A15" s="18" t="s">
        <v>99</v>
      </c>
      <c r="B15" s="12">
        <f>B21</f>
        <v>181</v>
      </c>
      <c r="C15" s="4">
        <f>IF(B$13=0,0,B15/B$13)</f>
        <v>0.5292397660818714</v>
      </c>
      <c r="E15" s="33" t="s">
        <v>74</v>
      </c>
      <c r="F15" s="30" t="s">
        <v>38</v>
      </c>
      <c r="G15" s="13">
        <v>8</v>
      </c>
      <c r="H15" s="94">
        <f>IF(B$17=0,0,G15/B$17)</f>
        <v>2.185792349726776E-2</v>
      </c>
      <c r="I15" s="56">
        <v>6</v>
      </c>
      <c r="K15" s="5">
        <v>13</v>
      </c>
      <c r="L15" s="61">
        <v>62.500000000000007</v>
      </c>
      <c r="N15" s="77" t="s">
        <v>159</v>
      </c>
      <c r="O15" s="87">
        <f>IF(P15=0,0,Q15/P15)</f>
        <v>3.333333333333736E-3</v>
      </c>
      <c r="P15" s="81">
        <v>60</v>
      </c>
      <c r="Q15" s="69">
        <v>0.20000000000002416</v>
      </c>
    </row>
    <row r="16" spans="1:17">
      <c r="A16" s="18" t="s">
        <v>100</v>
      </c>
      <c r="B16" s="12">
        <f>B22</f>
        <v>128</v>
      </c>
      <c r="C16" s="4">
        <f>IF(B$14=0,0,B16/B$14)</f>
        <v>0.34782608695652173</v>
      </c>
      <c r="E16" s="33" t="s">
        <v>67</v>
      </c>
      <c r="F16" s="30" t="s">
        <v>31</v>
      </c>
      <c r="G16" s="13">
        <v>6</v>
      </c>
      <c r="H16" s="94">
        <f>IF(B$17=0,0,G16/B$17)</f>
        <v>1.6393442622950821E-2</v>
      </c>
      <c r="I16" s="56">
        <v>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366</v>
      </c>
      <c r="C17" s="4">
        <f>IF(B$3=0,0,B17/B$3)</f>
        <v>0.20736543909348443</v>
      </c>
      <c r="E17" s="33" t="s">
        <v>62</v>
      </c>
      <c r="F17" s="30" t="s">
        <v>26</v>
      </c>
      <c r="G17" s="13">
        <v>4</v>
      </c>
      <c r="H17" s="94">
        <f>IF(B$17=0,0,G17/B$17)</f>
        <v>1.092896174863388E-2</v>
      </c>
      <c r="I17" s="56">
        <v>5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237</v>
      </c>
      <c r="C18" s="6">
        <f>IF(B$3=0,0,B18/B$3)</f>
        <v>0.13427762039660057</v>
      </c>
      <c r="E18" s="33" t="s">
        <v>66</v>
      </c>
      <c r="F18" s="30" t="s">
        <v>30</v>
      </c>
      <c r="G18" s="13">
        <v>4</v>
      </c>
      <c r="H18" s="94">
        <f>IF(B$17=0,0,G18/B$17)</f>
        <v>1.092896174863388E-2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 t="shared" ref="O18:O47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129</v>
      </c>
      <c r="C19" s="6">
        <f>IF(B$17=0,0,B19/B$17)</f>
        <v>0.35245901639344263</v>
      </c>
      <c r="E19" s="33" t="s">
        <v>78</v>
      </c>
      <c r="F19" s="30" t="s">
        <v>42</v>
      </c>
      <c r="G19" s="13">
        <v>4</v>
      </c>
      <c r="H19" s="94">
        <f>IF(B$17=0,0,G19/B$17)</f>
        <v>1.092896174863388E-2</v>
      </c>
      <c r="I19" s="56">
        <v>4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237</v>
      </c>
      <c r="C20" s="6">
        <f>IF(B$17=0,0,B20/B$17)</f>
        <v>0.64754098360655743</v>
      </c>
      <c r="E20" s="33" t="s">
        <v>69</v>
      </c>
      <c r="F20" s="30" t="s">
        <v>33</v>
      </c>
      <c r="G20" s="13">
        <v>2</v>
      </c>
      <c r="H20" s="94">
        <f>IF(B$17=0,0,G20/B$17)</f>
        <v>5.4644808743169399E-3</v>
      </c>
      <c r="I20" s="56">
        <v>3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181</v>
      </c>
      <c r="C21" s="6">
        <f>IF(B$17=0,0,B21/B$17)</f>
        <v>0.49453551912568305</v>
      </c>
      <c r="E21" s="33" t="s">
        <v>72</v>
      </c>
      <c r="F21" s="30" t="s">
        <v>36</v>
      </c>
      <c r="G21" s="13">
        <v>2</v>
      </c>
      <c r="H21" s="94">
        <f>IF(B$17=0,0,G21/B$17)</f>
        <v>5.4644808743169399E-3</v>
      </c>
      <c r="I21" s="56">
        <v>3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128</v>
      </c>
      <c r="C22" s="6">
        <f>IF(B$17=0,0,B22/B$17)</f>
        <v>0.34972677595628415</v>
      </c>
      <c r="E22" s="33" t="s">
        <v>75</v>
      </c>
      <c r="F22" s="30" t="s">
        <v>39</v>
      </c>
      <c r="G22" s="13">
        <v>2</v>
      </c>
      <c r="H22" s="94">
        <f>IF(B$17=0,0,G22/B$17)</f>
        <v>5.4644808743169399E-3</v>
      </c>
      <c r="I22" s="56">
        <v>3</v>
      </c>
      <c r="K22" s="5">
        <v>20</v>
      </c>
      <c r="L22" s="61">
        <v>1.1546319456101628E-14</v>
      </c>
      <c r="N22" s="76" t="s">
        <v>235</v>
      </c>
      <c r="O22" s="86">
        <f t="shared" si="3"/>
        <v>47.20000000000001</v>
      </c>
      <c r="P22" s="80">
        <v>6</v>
      </c>
      <c r="Q22" s="68">
        <v>283.20000000000005</v>
      </c>
    </row>
    <row r="23" spans="1:17">
      <c r="A23" s="19" t="s">
        <v>150</v>
      </c>
      <c r="B23" s="13">
        <v>57</v>
      </c>
      <c r="C23" s="6">
        <f>IF(B$17=0,0,B23/B$17)</f>
        <v>0.15573770491803279</v>
      </c>
      <c r="E23" s="33" t="s">
        <v>76</v>
      </c>
      <c r="F23" s="30" t="s">
        <v>40</v>
      </c>
      <c r="G23" s="13">
        <v>2</v>
      </c>
      <c r="H23" s="94">
        <f>IF(B$17=0,0,G23/B$17)</f>
        <v>5.4644808743169399E-3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 t="shared" si="3"/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6772.1311475409839</v>
      </c>
      <c r="C24" s="8">
        <v>2478600</v>
      </c>
      <c r="E24" s="33" t="s">
        <v>61</v>
      </c>
      <c r="F24" s="30" t="s">
        <v>25</v>
      </c>
      <c r="G24" s="13">
        <v>1</v>
      </c>
      <c r="H24" s="94">
        <f>IF(B$17=0,0,G24/B$17)</f>
        <v>2.7322404371584699E-3</v>
      </c>
      <c r="I24" s="56">
        <v>2</v>
      </c>
      <c r="K24" s="5">
        <v>22</v>
      </c>
      <c r="L24" s="61">
        <v>-68.399999999999991</v>
      </c>
      <c r="N24" s="76" t="s">
        <v>166</v>
      </c>
      <c r="O24" s="86">
        <f t="shared" si="3"/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7769.7478991596636</v>
      </c>
      <c r="C25" s="98">
        <v>1849200</v>
      </c>
      <c r="E25" s="33" t="s">
        <v>80</v>
      </c>
      <c r="F25" s="30" t="s">
        <v>44</v>
      </c>
      <c r="G25" s="13">
        <v>1</v>
      </c>
      <c r="H25" s="94">
        <f>IF(B$17=0,0,G25/B$17)</f>
        <v>2.7322404371584699E-3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4917.1875</v>
      </c>
      <c r="C26" s="98">
        <v>629400</v>
      </c>
      <c r="E26" s="33" t="s">
        <v>63</v>
      </c>
      <c r="F26" s="30" t="s">
        <v>27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1.0658141036401503E-14</v>
      </c>
      <c r="N26" s="76" t="s">
        <v>238</v>
      </c>
      <c r="O26" s="86">
        <f t="shared" si="3"/>
        <v>35.56666666666667</v>
      </c>
      <c r="P26" s="80">
        <v>12</v>
      </c>
      <c r="Q26" s="68">
        <v>426.80000000000007</v>
      </c>
    </row>
    <row r="27" spans="1:17">
      <c r="A27" s="20" t="s">
        <v>132</v>
      </c>
      <c r="B27" s="97">
        <f>IF(B$18=0,0,C27/B$18)</f>
        <v>-6389.8734177215192</v>
      </c>
      <c r="C27" s="98">
        <v>-1514400</v>
      </c>
      <c r="E27" s="33" t="s">
        <v>64</v>
      </c>
      <c r="F27" s="30" t="s">
        <v>28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223</v>
      </c>
      <c r="O27" s="86">
        <f t="shared" si="3"/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65</v>
      </c>
      <c r="F28" s="30" t="s">
        <v>29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241</v>
      </c>
      <c r="O28" s="86">
        <f t="shared" si="3"/>
        <v>21.799999999999997</v>
      </c>
      <c r="P28" s="80">
        <v>6</v>
      </c>
      <c r="Q28" s="68">
        <v>130.79999999999998</v>
      </c>
    </row>
    <row r="29" spans="1:17">
      <c r="A29" s="19" t="s">
        <v>131</v>
      </c>
      <c r="B29" s="13">
        <v>31</v>
      </c>
      <c r="C29" s="96">
        <v>9</v>
      </c>
      <c r="E29" s="33" t="s">
        <v>68</v>
      </c>
      <c r="F29" s="30" t="s">
        <v>32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228</v>
      </c>
      <c r="O29" s="86">
        <f t="shared" si="3"/>
        <v>20.833333333333336</v>
      </c>
      <c r="P29" s="80">
        <v>24</v>
      </c>
      <c r="Q29" s="68">
        <v>500.00000000000006</v>
      </c>
    </row>
    <row r="30" spans="1:17">
      <c r="A30" s="52" t="s">
        <v>111</v>
      </c>
      <c r="B30" s="114">
        <v>5</v>
      </c>
      <c r="C30" s="115"/>
      <c r="E30" s="33" t="s">
        <v>70</v>
      </c>
      <c r="F30" s="30" t="s">
        <v>34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 t="shared" si="3"/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73</v>
      </c>
      <c r="F31" s="30" t="s">
        <v>37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216</v>
      </c>
      <c r="O31" s="86">
        <f t="shared" si="3"/>
        <v>16.70588235294117</v>
      </c>
      <c r="P31" s="80">
        <v>51</v>
      </c>
      <c r="Q31" s="68">
        <v>851.99999999999966</v>
      </c>
    </row>
    <row r="32" spans="1:17">
      <c r="A32" s="21" t="s">
        <v>112</v>
      </c>
      <c r="B32" s="26">
        <v>3</v>
      </c>
      <c r="C32" s="9">
        <f>IF(B$3=0,0,B32/B$3)</f>
        <v>1.6997167138810198E-3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 t="shared" si="3"/>
        <v>14.71111111111111</v>
      </c>
      <c r="P32" s="80">
        <v>27</v>
      </c>
      <c r="Q32" s="68">
        <v>397.2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227</v>
      </c>
      <c r="O33" s="86">
        <f t="shared" si="3"/>
        <v>10.644444444444446</v>
      </c>
      <c r="P33" s="80">
        <v>18</v>
      </c>
      <c r="Q33" s="68">
        <v>191.60000000000002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179</v>
      </c>
      <c r="O34" s="86">
        <f t="shared" si="3"/>
        <v>2.4666666666666663</v>
      </c>
      <c r="P34" s="80">
        <v>48</v>
      </c>
      <c r="Q34" s="68">
        <v>118.39999999999998</v>
      </c>
    </row>
    <row r="35" spans="1:17">
      <c r="A35" s="52" t="s">
        <v>139</v>
      </c>
      <c r="B35" s="99">
        <v>37</v>
      </c>
      <c r="C35" s="102">
        <f t="shared" ref="C35:C47" si="4">IF(B$17=0,0,B35/B$17)</f>
        <v>0.10109289617486339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175</v>
      </c>
      <c r="O35" s="86">
        <f t="shared" si="3"/>
        <v>1.4666666666666668</v>
      </c>
      <c r="P35" s="80">
        <v>6</v>
      </c>
      <c r="Q35" s="68">
        <v>8.8000000000000007</v>
      </c>
    </row>
    <row r="36" spans="1:17">
      <c r="A36" s="19" t="s">
        <v>135</v>
      </c>
      <c r="B36" s="13">
        <v>73</v>
      </c>
      <c r="C36" s="6">
        <f t="shared" si="4"/>
        <v>0.19945355191256831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161</v>
      </c>
      <c r="O36" s="86">
        <f t="shared" si="3"/>
        <v>-0.57333333333333036</v>
      </c>
      <c r="P36" s="80">
        <v>30</v>
      </c>
      <c r="Q36" s="68">
        <v>-17.19999999999991</v>
      </c>
    </row>
    <row r="37" spans="1:17">
      <c r="A37" s="19" t="s">
        <v>136</v>
      </c>
      <c r="B37" s="100">
        <v>83</v>
      </c>
      <c r="C37" s="6">
        <f t="shared" si="4"/>
        <v>0.22677595628415301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164</v>
      </c>
      <c r="O37" s="86">
        <f t="shared" si="3"/>
        <v>-2.2222222222222197</v>
      </c>
      <c r="P37" s="80">
        <v>45</v>
      </c>
      <c r="Q37" s="68">
        <v>-99.999999999999886</v>
      </c>
    </row>
    <row r="38" spans="1:17">
      <c r="A38" s="19" t="s">
        <v>137</v>
      </c>
      <c r="B38" s="100">
        <v>76</v>
      </c>
      <c r="C38" s="6">
        <f t="shared" si="4"/>
        <v>0.20765027322404372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177</v>
      </c>
      <c r="O38" s="86">
        <f t="shared" si="3"/>
        <v>-2.6</v>
      </c>
      <c r="P38" s="80">
        <v>6</v>
      </c>
      <c r="Q38" s="68">
        <v>-15.600000000000001</v>
      </c>
    </row>
    <row r="39" spans="1:17">
      <c r="A39" s="19" t="s">
        <v>138</v>
      </c>
      <c r="B39" s="100">
        <v>39</v>
      </c>
      <c r="C39" s="6">
        <f t="shared" si="4"/>
        <v>0.10655737704918032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195</v>
      </c>
      <c r="O39" s="86">
        <f t="shared" si="3"/>
        <v>-3.0000000000000004</v>
      </c>
      <c r="P39" s="80">
        <v>90</v>
      </c>
      <c r="Q39" s="68">
        <v>-270.00000000000006</v>
      </c>
    </row>
    <row r="40" spans="1:17">
      <c r="A40" s="19" t="s">
        <v>140</v>
      </c>
      <c r="B40" s="100">
        <v>43</v>
      </c>
      <c r="C40" s="6">
        <f t="shared" si="4"/>
        <v>0.11748633879781421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163</v>
      </c>
      <c r="O40" s="86">
        <f t="shared" si="3"/>
        <v>-3.7999999999999949</v>
      </c>
      <c r="P40" s="80">
        <v>24</v>
      </c>
      <c r="Q40" s="68">
        <v>-91.199999999999875</v>
      </c>
    </row>
    <row r="41" spans="1:17">
      <c r="A41" s="19" t="s">
        <v>141</v>
      </c>
      <c r="B41" s="100">
        <v>13</v>
      </c>
      <c r="C41" s="6">
        <f t="shared" si="4"/>
        <v>3.5519125683060107E-2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191</v>
      </c>
      <c r="O41" s="86">
        <f t="shared" si="3"/>
        <v>-7.5523809523809531</v>
      </c>
      <c r="P41" s="80">
        <v>42</v>
      </c>
      <c r="Q41" s="68">
        <v>-317.20000000000005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168</v>
      </c>
      <c r="O42" s="86">
        <f t="shared" si="3"/>
        <v>-11.807407407407409</v>
      </c>
      <c r="P42" s="80">
        <v>54</v>
      </c>
      <c r="Q42" s="68">
        <v>-637.6</v>
      </c>
    </row>
    <row r="43" spans="1:17">
      <c r="A43" s="19" t="s">
        <v>143</v>
      </c>
      <c r="B43" s="100">
        <v>1</v>
      </c>
      <c r="C43" s="6">
        <f t="shared" si="4"/>
        <v>2.7322404371584699E-3</v>
      </c>
      <c r="K43" s="5">
        <v>41</v>
      </c>
      <c r="L43" s="61">
        <v>-66.399999999999991</v>
      </c>
      <c r="N43" s="76" t="s">
        <v>167</v>
      </c>
      <c r="O43" s="86">
        <f t="shared" si="3"/>
        <v>-18.666666666666664</v>
      </c>
      <c r="P43" s="80">
        <v>3</v>
      </c>
      <c r="Q43" s="68">
        <v>-55.999999999999993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-59.29999999999999</v>
      </c>
      <c r="N44" s="76" t="s">
        <v>169</v>
      </c>
      <c r="O44" s="86">
        <f t="shared" si="3"/>
        <v>-24.172549019607843</v>
      </c>
      <c r="P44" s="80">
        <v>102</v>
      </c>
      <c r="Q44" s="68">
        <v>-2465.6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162</v>
      </c>
      <c r="O45" s="86">
        <f t="shared" si="3"/>
        <v>-39.703703703703681</v>
      </c>
      <c r="P45" s="80">
        <v>27</v>
      </c>
      <c r="Q45" s="68">
        <v>-1071.9999999999993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205</v>
      </c>
      <c r="O46" s="86">
        <f t="shared" si="3"/>
        <v>-47.866666666666667</v>
      </c>
      <c r="P46" s="80">
        <v>12</v>
      </c>
      <c r="Q46" s="68">
        <v>-574.4</v>
      </c>
    </row>
    <row r="47" spans="1:17">
      <c r="A47" s="21" t="s">
        <v>147</v>
      </c>
      <c r="B47" s="101">
        <v>1</v>
      </c>
      <c r="C47" s="9">
        <f t="shared" si="4"/>
        <v>2.7322404371584699E-3</v>
      </c>
      <c r="K47" s="5">
        <v>45</v>
      </c>
      <c r="L47" s="61">
        <v>-52.099999999999987</v>
      </c>
      <c r="N47" s="76" t="s">
        <v>231</v>
      </c>
      <c r="O47" s="86">
        <f t="shared" si="3"/>
        <v>-75</v>
      </c>
      <c r="P47" s="80">
        <v>6</v>
      </c>
      <c r="Q47" s="68">
        <v>-450</v>
      </c>
    </row>
    <row r="48" spans="1:17">
      <c r="K48" s="5">
        <v>46</v>
      </c>
      <c r="L48" s="61">
        <v>-44.199999999999989</v>
      </c>
    </row>
    <row r="49" spans="11:12">
      <c r="K49" s="5">
        <v>47</v>
      </c>
      <c r="L49" s="61">
        <v>-76.299999999999983</v>
      </c>
    </row>
    <row r="50" spans="11:12">
      <c r="K50" s="5">
        <v>48</v>
      </c>
      <c r="L50" s="61">
        <v>-19.999999999999986</v>
      </c>
    </row>
    <row r="51" spans="11:12">
      <c r="K51" s="5">
        <v>49</v>
      </c>
      <c r="L51" s="61">
        <v>-73.599999999999994</v>
      </c>
    </row>
    <row r="52" spans="11:12">
      <c r="K52" s="5">
        <v>50</v>
      </c>
      <c r="L52" s="61">
        <v>-72.8</v>
      </c>
    </row>
    <row r="53" spans="11:12">
      <c r="K53" s="5">
        <v>51</v>
      </c>
      <c r="L53" s="61">
        <v>10</v>
      </c>
    </row>
    <row r="54" spans="11:12">
      <c r="K54" s="5">
        <v>52</v>
      </c>
      <c r="L54" s="61">
        <v>-20</v>
      </c>
    </row>
    <row r="55" spans="11:12">
      <c r="K55" s="5">
        <v>53</v>
      </c>
      <c r="L55" s="61">
        <v>-10.1</v>
      </c>
    </row>
    <row r="56" spans="11:12">
      <c r="K56" s="5">
        <v>54</v>
      </c>
      <c r="L56" s="61">
        <v>-30.5</v>
      </c>
    </row>
    <row r="57" spans="11:12">
      <c r="K57" s="5">
        <v>55</v>
      </c>
      <c r="L57" s="61">
        <v>20.799999999999997</v>
      </c>
    </row>
    <row r="58" spans="11:12">
      <c r="K58" s="5">
        <v>56</v>
      </c>
      <c r="L58" s="61">
        <v>-20</v>
      </c>
    </row>
    <row r="59" spans="11:12">
      <c r="K59" s="5">
        <v>57</v>
      </c>
      <c r="L59" s="61">
        <v>-63.5</v>
      </c>
    </row>
    <row r="60" spans="11:12">
      <c r="K60" s="5">
        <v>58</v>
      </c>
      <c r="L60" s="61">
        <v>-32.9</v>
      </c>
    </row>
    <row r="61" spans="11:12">
      <c r="K61" s="5">
        <v>59</v>
      </c>
      <c r="L61" s="61">
        <v>-2.2999999999999972</v>
      </c>
    </row>
    <row r="62" spans="11:12">
      <c r="K62" s="5">
        <v>60</v>
      </c>
      <c r="L62" s="61">
        <v>-19.999999999999996</v>
      </c>
    </row>
    <row r="63" spans="11:12">
      <c r="K63" s="5">
        <v>61</v>
      </c>
      <c r="L63" s="61">
        <v>-66.8</v>
      </c>
    </row>
    <row r="64" spans="11:12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</sheetData>
  <sortState xmlns:xlrd2="http://schemas.microsoft.com/office/spreadsheetml/2017/richdata2" ref="E2:I24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16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5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2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16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8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20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10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16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16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1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16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11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19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7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4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22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19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14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11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21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9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20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3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15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4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0.8833333333333333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750</v>
      </c>
      <c r="P2" s="79">
        <v>34</v>
      </c>
      <c r="Q2" s="63">
        <v>25500</v>
      </c>
    </row>
    <row r="3" spans="1:17">
      <c r="A3" s="19" t="s">
        <v>8</v>
      </c>
      <c r="B3" s="122">
        <v>259</v>
      </c>
      <c r="C3" s="123"/>
      <c r="E3" s="33" t="s">
        <v>184</v>
      </c>
      <c r="F3" s="30" t="s">
        <v>187</v>
      </c>
      <c r="G3" s="13">
        <v>41</v>
      </c>
      <c r="H3" s="94">
        <f>IF(B$17=0,0,G3/B$17)</f>
        <v>0.68333333333333335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1826.4705882352941</v>
      </c>
      <c r="P3" s="80">
        <v>34</v>
      </c>
      <c r="Q3" s="64">
        <v>62100</v>
      </c>
    </row>
    <row r="4" spans="1:17">
      <c r="A4" s="19" t="s">
        <v>6</v>
      </c>
      <c r="B4" s="124">
        <v>613.90000000000009</v>
      </c>
      <c r="C4" s="125"/>
      <c r="E4" s="33" t="s">
        <v>181</v>
      </c>
      <c r="F4" s="30" t="s">
        <v>156</v>
      </c>
      <c r="G4" s="13">
        <v>29</v>
      </c>
      <c r="H4" s="94">
        <f>IF(B$17=0,0,G4/B$17)</f>
        <v>0.48333333333333334</v>
      </c>
      <c r="I4" s="56">
        <v>18</v>
      </c>
      <c r="K4" s="5">
        <v>2</v>
      </c>
      <c r="L4" s="61">
        <v>0.60000000000000142</v>
      </c>
      <c r="N4" s="76" t="s">
        <v>105</v>
      </c>
      <c r="O4" s="83">
        <f t="shared" si="0"/>
        <v>1682.3529411764705</v>
      </c>
      <c r="P4" s="80">
        <v>34</v>
      </c>
      <c r="Q4" s="64">
        <v>57200</v>
      </c>
    </row>
    <row r="5" spans="1:17">
      <c r="A5" s="19" t="s">
        <v>7</v>
      </c>
      <c r="B5" s="126">
        <f>IF(B$2=0,0,B$4/B$2)</f>
        <v>18.055882352941179</v>
      </c>
      <c r="C5" s="127"/>
      <c r="E5" s="33" t="s">
        <v>57</v>
      </c>
      <c r="F5" s="30" t="s">
        <v>21</v>
      </c>
      <c r="G5" s="13">
        <v>21</v>
      </c>
      <c r="H5" s="94">
        <f>IF(B$17=0,0,G5/B$17)</f>
        <v>0.35</v>
      </c>
      <c r="I5" s="56">
        <v>6</v>
      </c>
      <c r="K5" s="5">
        <v>3</v>
      </c>
      <c r="L5" s="61">
        <v>-32.299999999999997</v>
      </c>
      <c r="N5" s="76" t="s">
        <v>157</v>
      </c>
      <c r="O5" s="83">
        <f>IF(P5=0,0,Q5/P5)</f>
        <v>1293.3333333333333</v>
      </c>
      <c r="P5" s="80">
        <v>30</v>
      </c>
      <c r="Q5" s="64">
        <v>38800</v>
      </c>
    </row>
    <row r="6" spans="1:17">
      <c r="A6" s="19" t="s">
        <v>1</v>
      </c>
      <c r="B6" s="128">
        <f>IF(B$2=0,0,(B$7*1+B$8*2+B$9*3+B$10*4)/B$2)</f>
        <v>2.0882352941176472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0.35</v>
      </c>
      <c r="I6" s="56">
        <v>16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1618.1818181818182</v>
      </c>
      <c r="P6" s="80">
        <v>22</v>
      </c>
      <c r="Q6" s="64">
        <v>35600</v>
      </c>
    </row>
    <row r="7" spans="1:17">
      <c r="A7" s="19" t="s">
        <v>2</v>
      </c>
      <c r="B7" s="13">
        <v>13</v>
      </c>
      <c r="C7" s="6">
        <f t="shared" ref="C7:C12" si="2">IF(B$2=0,0,B7/B$2)</f>
        <v>0.38235294117647056</v>
      </c>
      <c r="E7" s="33" t="s">
        <v>55</v>
      </c>
      <c r="F7" s="30" t="s">
        <v>155</v>
      </c>
      <c r="G7" s="13">
        <v>16</v>
      </c>
      <c r="H7" s="94">
        <f>IF(B$17=0,0,G7/B$17)</f>
        <v>0.26666666666666666</v>
      </c>
      <c r="I7" s="56">
        <v>12</v>
      </c>
      <c r="K7" s="5">
        <v>5</v>
      </c>
      <c r="L7" s="61">
        <v>-39</v>
      </c>
      <c r="N7" s="76" t="s">
        <v>107</v>
      </c>
      <c r="O7" s="83">
        <f t="shared" si="0"/>
        <v>1440</v>
      </c>
      <c r="P7" s="80">
        <v>15</v>
      </c>
      <c r="Q7" s="64">
        <v>21600</v>
      </c>
    </row>
    <row r="8" spans="1:17">
      <c r="A8" s="19" t="s">
        <v>3</v>
      </c>
      <c r="B8" s="13">
        <v>9</v>
      </c>
      <c r="C8" s="6">
        <f>IF(B$2=0,0,B8/B$2)</f>
        <v>0.26470588235294118</v>
      </c>
      <c r="E8" s="33" t="s">
        <v>59</v>
      </c>
      <c r="F8" s="30" t="s">
        <v>23</v>
      </c>
      <c r="G8" s="13">
        <v>14</v>
      </c>
      <c r="H8" s="94">
        <f>IF(B$17=0,0,G8/B$17)</f>
        <v>0.23333333333333334</v>
      </c>
      <c r="I8" s="56">
        <v>7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8</v>
      </c>
      <c r="C9" s="7">
        <f>IF(B$2=0,0,B9/B$2)</f>
        <v>0.23529411764705882</v>
      </c>
      <c r="E9" s="33" t="s">
        <v>56</v>
      </c>
      <c r="F9" s="30" t="s">
        <v>185</v>
      </c>
      <c r="G9" s="13">
        <v>10</v>
      </c>
      <c r="H9" s="94">
        <f>IF(B$17=0,0,G9/B$17)</f>
        <v>0.16666666666666666</v>
      </c>
      <c r="I9" s="56">
        <v>22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58</v>
      </c>
      <c r="F10" s="30" t="s">
        <v>22</v>
      </c>
      <c r="G10" s="13">
        <v>8</v>
      </c>
      <c r="H10" s="94">
        <f>IF(B$17=0,0,G10/B$17)</f>
        <v>0.13333333333333333</v>
      </c>
      <c r="I10" s="56">
        <v>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22</v>
      </c>
      <c r="C11" s="7">
        <f>IF(B$2=0,0,B11/B$2)</f>
        <v>0.6470588235294118</v>
      </c>
      <c r="E11" s="33" t="s">
        <v>182</v>
      </c>
      <c r="F11" s="30" t="s">
        <v>19</v>
      </c>
      <c r="G11" s="13">
        <v>6</v>
      </c>
      <c r="H11" s="94">
        <f>IF(B$17=0,0,G11/B$17)</f>
        <v>0.1</v>
      </c>
      <c r="I11" s="56">
        <v>11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8.3333333333333329E-2</v>
      </c>
      <c r="I12" s="56">
        <v>2</v>
      </c>
      <c r="K12" s="5">
        <v>10</v>
      </c>
      <c r="L12" s="61">
        <v>88.5</v>
      </c>
      <c r="N12" s="75" t="s">
        <v>126</v>
      </c>
      <c r="O12" s="85">
        <f>IF(P12=0,0,Q12/P12)</f>
        <v>27.690000000000005</v>
      </c>
      <c r="P12" s="79">
        <v>10</v>
      </c>
      <c r="Q12" s="67">
        <v>276.90000000000003</v>
      </c>
    </row>
    <row r="13" spans="1:17">
      <c r="A13" s="22" t="s">
        <v>97</v>
      </c>
      <c r="B13" s="15">
        <v>44</v>
      </c>
      <c r="C13" s="11">
        <f>IF(B$3=0,0,B13/B$3)</f>
        <v>0.16988416988416988</v>
      </c>
      <c r="E13" s="33" t="s">
        <v>62</v>
      </c>
      <c r="F13" s="30" t="s">
        <v>26</v>
      </c>
      <c r="G13" s="13">
        <v>1</v>
      </c>
      <c r="H13" s="94">
        <f>IF(B$17=0,0,G13/B$17)</f>
        <v>1.6666666666666666E-2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12.328571428571427</v>
      </c>
      <c r="P13" s="80">
        <v>7</v>
      </c>
      <c r="Q13" s="68">
        <v>86.3</v>
      </c>
    </row>
    <row r="14" spans="1:17">
      <c r="A14" s="19" t="s">
        <v>94</v>
      </c>
      <c r="B14" s="13">
        <v>47</v>
      </c>
      <c r="C14" s="6">
        <f>IF(B$3=0,0,B14/B$3)</f>
        <v>0.18146718146718147</v>
      </c>
      <c r="E14" s="33" t="s">
        <v>66</v>
      </c>
      <c r="F14" s="30" t="s">
        <v>30</v>
      </c>
      <c r="G14" s="13">
        <v>1</v>
      </c>
      <c r="H14" s="94">
        <f>IF(B$17=0,0,G14/B$17)</f>
        <v>1.6666666666666666E-2</v>
      </c>
      <c r="I14" s="56">
        <v>4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29</v>
      </c>
      <c r="C15" s="4">
        <f>IF(B$13=0,0,B15/B$13)</f>
        <v>0.65909090909090906</v>
      </c>
      <c r="E15" s="33" t="s">
        <v>183</v>
      </c>
      <c r="F15" s="30" t="s">
        <v>186</v>
      </c>
      <c r="G15" s="13">
        <v>1</v>
      </c>
      <c r="H15" s="94">
        <f>IF(B$17=0,0,G15/B$17)</f>
        <v>1.6666666666666666E-2</v>
      </c>
      <c r="I15" s="56">
        <v>10</v>
      </c>
      <c r="K15" s="5">
        <v>13</v>
      </c>
      <c r="L15" s="61">
        <v>168.9</v>
      </c>
      <c r="N15" s="77" t="s">
        <v>159</v>
      </c>
      <c r="O15" s="87">
        <f>IF(P15=0,0,Q15/P15)</f>
        <v>17.145454545454545</v>
      </c>
      <c r="P15" s="81">
        <v>11</v>
      </c>
      <c r="Q15" s="69">
        <v>188.6</v>
      </c>
    </row>
    <row r="16" spans="1:17">
      <c r="A16" s="18" t="s">
        <v>100</v>
      </c>
      <c r="B16" s="12">
        <f>B22</f>
        <v>17</v>
      </c>
      <c r="C16" s="4">
        <f>IF(B$14=0,0,B16/B$14)</f>
        <v>0.36170212765957449</v>
      </c>
      <c r="E16" s="33" t="s">
        <v>71</v>
      </c>
      <c r="F16" s="30" t="s">
        <v>35</v>
      </c>
      <c r="G16" s="13">
        <v>1</v>
      </c>
      <c r="H16" s="94">
        <f>IF(B$17=0,0,G16/B$17)</f>
        <v>1.6666666666666666E-2</v>
      </c>
      <c r="I16" s="56">
        <v>7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60</v>
      </c>
      <c r="C17" s="4">
        <f>IF(B$3=0,0,B17/B$3)</f>
        <v>0.23166023166023167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8.8803088803088806E-2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38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13</v>
      </c>
      <c r="C19" s="6">
        <f>IF(B$17=0,0,B19/B$17)</f>
        <v>0.21666666666666667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47</v>
      </c>
      <c r="C20" s="6">
        <f>IF(B$17=0,0,B20/B$17)</f>
        <v>0.78333333333333333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29</v>
      </c>
      <c r="C21" s="6">
        <f>IF(B$17=0,0,B21/B$17)</f>
        <v>0.48333333333333334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406.70000000000005</v>
      </c>
      <c r="N21" s="76" t="s">
        <v>215</v>
      </c>
      <c r="O21" s="86">
        <f t="shared" si="3"/>
        <v>66.400000000000006</v>
      </c>
      <c r="P21" s="80">
        <v>1</v>
      </c>
      <c r="Q21" s="68">
        <v>66.400000000000006</v>
      </c>
    </row>
    <row r="22" spans="1:17">
      <c r="A22" s="19" t="s">
        <v>149</v>
      </c>
      <c r="B22" s="13">
        <v>17</v>
      </c>
      <c r="C22" s="6">
        <f>IF(B$17=0,0,B22/B$17)</f>
        <v>0.28333333333333333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166</v>
      </c>
      <c r="O22" s="86">
        <f t="shared" si="3"/>
        <v>53.75</v>
      </c>
      <c r="P22" s="80">
        <v>4</v>
      </c>
      <c r="Q22" s="68">
        <v>215</v>
      </c>
    </row>
    <row r="23" spans="1:17">
      <c r="A23" s="19" t="s">
        <v>150</v>
      </c>
      <c r="B23" s="13">
        <v>14</v>
      </c>
      <c r="C23" s="6">
        <f>IF(B$17=0,0,B23/B$17)</f>
        <v>0.23333333333333334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470.30000000000007</v>
      </c>
      <c r="N23" s="76" t="s">
        <v>196</v>
      </c>
      <c r="O23" s="86">
        <f t="shared" si="3"/>
        <v>49.7</v>
      </c>
      <c r="P23" s="80">
        <v>1</v>
      </c>
      <c r="Q23" s="68">
        <v>49.7</v>
      </c>
    </row>
    <row r="24" spans="1:17">
      <c r="A24" s="19" t="s">
        <v>5</v>
      </c>
      <c r="B24" s="16">
        <f>IF(B$17=0,0,C24/B$17)</f>
        <v>8026.666666666667</v>
      </c>
      <c r="C24" s="8">
        <v>481600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179</v>
      </c>
      <c r="O24" s="86">
        <f t="shared" si="3"/>
        <v>46.750000000000014</v>
      </c>
      <c r="P24" s="80">
        <v>8</v>
      </c>
      <c r="Q24" s="68">
        <v>374.00000000000011</v>
      </c>
    </row>
    <row r="25" spans="1:17">
      <c r="A25" s="20" t="s">
        <v>133</v>
      </c>
      <c r="B25" s="97">
        <f>IF($B$17-B$16=0,0,C25/($B$17-B$16))</f>
        <v>8748.8372093023263</v>
      </c>
      <c r="C25" s="98">
        <v>376200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223</v>
      </c>
      <c r="O25" s="86">
        <f t="shared" si="3"/>
        <v>42.033333333333339</v>
      </c>
      <c r="P25" s="80">
        <v>3</v>
      </c>
      <c r="Q25" s="68">
        <v>126.10000000000001</v>
      </c>
    </row>
    <row r="26" spans="1:17">
      <c r="A26" s="20" t="s">
        <v>134</v>
      </c>
      <c r="B26" s="97">
        <f>IF(B$16=0,0,C26/B$16)</f>
        <v>6200</v>
      </c>
      <c r="C26" s="98">
        <v>105400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161</v>
      </c>
      <c r="O26" s="86">
        <f t="shared" si="3"/>
        <v>40.43333333333333</v>
      </c>
      <c r="P26" s="80">
        <v>6</v>
      </c>
      <c r="Q26" s="68">
        <v>242.6</v>
      </c>
    </row>
    <row r="27" spans="1:17">
      <c r="A27" s="20" t="s">
        <v>132</v>
      </c>
      <c r="B27" s="97">
        <f>IF(B$18=0,0,C27/B$18)</f>
        <v>-5165.217391304348</v>
      </c>
      <c r="C27" s="98">
        <v>-118800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K27" s="5">
        <v>25</v>
      </c>
      <c r="L27" s="61">
        <v>464.20000000000005</v>
      </c>
      <c r="N27" s="76" t="s">
        <v>216</v>
      </c>
      <c r="O27" s="86">
        <f t="shared" si="3"/>
        <v>39.80833333333333</v>
      </c>
      <c r="P27" s="80">
        <v>12</v>
      </c>
      <c r="Q27" s="68">
        <v>477.7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228</v>
      </c>
      <c r="O28" s="86">
        <f t="shared" si="3"/>
        <v>38.049999999999997</v>
      </c>
      <c r="P28" s="80">
        <v>2</v>
      </c>
      <c r="Q28" s="68">
        <v>76.099999999999994</v>
      </c>
    </row>
    <row r="29" spans="1:17">
      <c r="A29" s="19" t="s">
        <v>131</v>
      </c>
      <c r="B29" s="13">
        <v>42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213</v>
      </c>
      <c r="O29" s="86">
        <f t="shared" si="3"/>
        <v>37.4</v>
      </c>
      <c r="P29" s="80">
        <v>6</v>
      </c>
      <c r="Q29" s="68">
        <v>224.39999999999998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235</v>
      </c>
      <c r="O30" s="86">
        <f t="shared" si="3"/>
        <v>36.950000000000003</v>
      </c>
      <c r="P30" s="80">
        <v>2</v>
      </c>
      <c r="Q30" s="68">
        <v>73.900000000000006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191</v>
      </c>
      <c r="O31" s="86">
        <f t="shared" si="3"/>
        <v>32.150000000000006</v>
      </c>
      <c r="P31" s="80">
        <v>8</v>
      </c>
      <c r="Q31" s="68">
        <v>257.20000000000005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163</v>
      </c>
      <c r="O32" s="86">
        <f t="shared" si="3"/>
        <v>24.933333333333337</v>
      </c>
      <c r="P32" s="80">
        <v>3</v>
      </c>
      <c r="Q32" s="68">
        <v>74.800000000000011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195</v>
      </c>
      <c r="O33" s="86">
        <f t="shared" si="3"/>
        <v>-4.2812500000000053</v>
      </c>
      <c r="P33" s="80">
        <v>16</v>
      </c>
      <c r="Q33" s="68">
        <v>-68.500000000000085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610.80000000000018</v>
      </c>
      <c r="N34" s="76" t="s">
        <v>164</v>
      </c>
      <c r="O34" s="86">
        <f t="shared" si="3"/>
        <v>-7.6999999999999975</v>
      </c>
      <c r="P34" s="80">
        <v>7</v>
      </c>
      <c r="Q34" s="68">
        <v>-53.899999999999984</v>
      </c>
    </row>
    <row r="35" spans="1:17">
      <c r="A35" s="52" t="s">
        <v>139</v>
      </c>
      <c r="B35" s="99">
        <v>2</v>
      </c>
      <c r="C35" s="102">
        <f t="shared" ref="C35:C47" si="4">IF(B$17=0,0,B35/B$17)</f>
        <v>3.3333333333333333E-2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177</v>
      </c>
      <c r="O35" s="86">
        <f t="shared" si="3"/>
        <v>-10.999999999999996</v>
      </c>
      <c r="P35" s="80">
        <v>2</v>
      </c>
      <c r="Q35" s="68">
        <v>-21.999999999999993</v>
      </c>
    </row>
    <row r="36" spans="1:17">
      <c r="A36" s="19" t="s">
        <v>135</v>
      </c>
      <c r="B36" s="13">
        <v>11</v>
      </c>
      <c r="C36" s="6">
        <f t="shared" si="4"/>
        <v>0.18333333333333332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168</v>
      </c>
      <c r="O36" s="86">
        <f t="shared" si="3"/>
        <v>-14.5625</v>
      </c>
      <c r="P36" s="80">
        <v>8</v>
      </c>
      <c r="Q36" s="68">
        <v>-116.5</v>
      </c>
    </row>
    <row r="37" spans="1:17">
      <c r="A37" s="19" t="s">
        <v>136</v>
      </c>
      <c r="B37" s="100">
        <v>9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167</v>
      </c>
      <c r="O37" s="86">
        <f t="shared" si="3"/>
        <v>-28.2</v>
      </c>
      <c r="P37" s="80">
        <v>1</v>
      </c>
      <c r="Q37" s="68">
        <v>-28.2</v>
      </c>
    </row>
    <row r="38" spans="1:17">
      <c r="A38" s="19" t="s">
        <v>137</v>
      </c>
      <c r="B38" s="100">
        <v>19</v>
      </c>
      <c r="C38" s="6">
        <f t="shared" si="4"/>
        <v>0.31666666666666665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162</v>
      </c>
      <c r="O38" s="86">
        <f t="shared" si="3"/>
        <v>-38.020000000000003</v>
      </c>
      <c r="P38" s="80">
        <v>5</v>
      </c>
      <c r="Q38" s="68">
        <v>-190.10000000000002</v>
      </c>
    </row>
    <row r="39" spans="1:17">
      <c r="A39" s="19" t="s">
        <v>138</v>
      </c>
      <c r="B39" s="100">
        <v>5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10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11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20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17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18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17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19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18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8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17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5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5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2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7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6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18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19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22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23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22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12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16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23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12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18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17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22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11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24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21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25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2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17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27</v>
      </c>
      <c r="H2" s="93">
        <f>IF(B$17=0,0,G2/B$17)</f>
        <v>0.51923076923076927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916.66666666666663</v>
      </c>
      <c r="P2" s="79">
        <v>30</v>
      </c>
      <c r="Q2" s="63">
        <v>27500</v>
      </c>
    </row>
    <row r="3" spans="1:17">
      <c r="A3" s="19" t="s">
        <v>8</v>
      </c>
      <c r="B3" s="122">
        <v>207</v>
      </c>
      <c r="C3" s="123"/>
      <c r="E3" s="33" t="s">
        <v>54</v>
      </c>
      <c r="F3" s="30" t="s">
        <v>20</v>
      </c>
      <c r="G3" s="13">
        <v>25</v>
      </c>
      <c r="H3" s="94">
        <f>IF(B$17=0,0,G3/B$17)</f>
        <v>0.48076923076923078</v>
      </c>
      <c r="I3" s="56">
        <v>16</v>
      </c>
      <c r="K3" s="5">
        <v>1</v>
      </c>
      <c r="L3" s="61">
        <v>-21.3</v>
      </c>
      <c r="N3" s="76" t="s">
        <v>104</v>
      </c>
      <c r="O3" s="83">
        <f t="shared" si="0"/>
        <v>470</v>
      </c>
      <c r="P3" s="80">
        <v>30</v>
      </c>
      <c r="Q3" s="64">
        <v>14100</v>
      </c>
    </row>
    <row r="4" spans="1:17">
      <c r="A4" s="19" t="s">
        <v>6</v>
      </c>
      <c r="B4" s="124">
        <v>64.999999999999972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0.42307692307692307</v>
      </c>
      <c r="I4" s="56">
        <v>15</v>
      </c>
      <c r="K4" s="5">
        <v>2</v>
      </c>
      <c r="L4" s="61">
        <v>-12.200000000000001</v>
      </c>
      <c r="N4" s="76" t="s">
        <v>105</v>
      </c>
      <c r="O4" s="83">
        <f t="shared" si="0"/>
        <v>450</v>
      </c>
      <c r="P4" s="80">
        <v>30</v>
      </c>
      <c r="Q4" s="64">
        <v>13500</v>
      </c>
    </row>
    <row r="5" spans="1:17">
      <c r="A5" s="19" t="s">
        <v>7</v>
      </c>
      <c r="B5" s="126">
        <f>IF(B$2=0,0,B$4/B$2)</f>
        <v>2.1666666666666656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0.32692307692307693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715.38461538461536</v>
      </c>
      <c r="P5" s="80">
        <v>26</v>
      </c>
      <c r="Q5" s="64">
        <v>18600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16</v>
      </c>
      <c r="H6" s="94">
        <f>IF(B$17=0,0,G6/B$17)</f>
        <v>0.30769230769230771</v>
      </c>
      <c r="I6" s="56">
        <v>9</v>
      </c>
      <c r="K6" s="5">
        <v>4</v>
      </c>
      <c r="L6" s="61">
        <v>-96.4</v>
      </c>
      <c r="N6" s="76" t="s">
        <v>106</v>
      </c>
      <c r="O6" s="83">
        <f t="shared" ref="O6" si="1">IF(P6=0,0,Q6/P6)</f>
        <v>-1637.5</v>
      </c>
      <c r="P6" s="80">
        <v>16</v>
      </c>
      <c r="Q6" s="64">
        <v>-26200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56</v>
      </c>
      <c r="F7" s="30" t="s">
        <v>185</v>
      </c>
      <c r="G7" s="13">
        <v>14</v>
      </c>
      <c r="H7" s="94">
        <f>IF(B$17=0,0,G7/B$17)</f>
        <v>0.26923076923076922</v>
      </c>
      <c r="I7" s="56">
        <v>13</v>
      </c>
      <c r="K7" s="5">
        <v>5</v>
      </c>
      <c r="L7" s="61">
        <v>-160.60000000000002</v>
      </c>
      <c r="N7" s="76" t="s">
        <v>107</v>
      </c>
      <c r="O7" s="83">
        <f t="shared" si="0"/>
        <v>-1333.3333333333333</v>
      </c>
      <c r="P7" s="80">
        <v>12</v>
      </c>
      <c r="Q7" s="64">
        <v>-16000</v>
      </c>
    </row>
    <row r="8" spans="1:17">
      <c r="A8" s="19" t="s">
        <v>3</v>
      </c>
      <c r="B8" s="13">
        <v>4</v>
      </c>
      <c r="C8" s="6">
        <f>IF(B$2=0,0,B8/B$2)</f>
        <v>0.13333333333333333</v>
      </c>
      <c r="E8" s="33" t="s">
        <v>59</v>
      </c>
      <c r="F8" s="30" t="s">
        <v>23</v>
      </c>
      <c r="G8" s="13">
        <v>11</v>
      </c>
      <c r="H8" s="94">
        <f>IF(B$17=0,0,G8/B$17)</f>
        <v>0.21153846153846154</v>
      </c>
      <c r="I8" s="56">
        <v>8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0.46666666666666667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9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4</v>
      </c>
      <c r="C10" s="7">
        <f>IF(B$2=0,0,B10/B$2)</f>
        <v>0.13333333333333333</v>
      </c>
      <c r="E10" s="33" t="s">
        <v>57</v>
      </c>
      <c r="F10" s="30" t="s">
        <v>21</v>
      </c>
      <c r="G10" s="13">
        <v>7</v>
      </c>
      <c r="H10" s="94">
        <f>IF(B$17=0,0,G10/B$17)</f>
        <v>0.13461538461538461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</v>
      </c>
      <c r="E11" s="33" t="s">
        <v>77</v>
      </c>
      <c r="F11" s="30" t="s">
        <v>41</v>
      </c>
      <c r="G11" s="13">
        <v>4</v>
      </c>
      <c r="H11" s="94">
        <f>IF(B$17=0,0,G11/B$17)</f>
        <v>7.6923076923076927E-2</v>
      </c>
      <c r="I11" s="56">
        <v>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58</v>
      </c>
      <c r="F12" s="30" t="s">
        <v>22</v>
      </c>
      <c r="G12" s="13">
        <v>3</v>
      </c>
      <c r="H12" s="94">
        <f>IF(B$17=0,0,G12/B$17)</f>
        <v>5.7692307692307696E-2</v>
      </c>
      <c r="I12" s="56">
        <v>12</v>
      </c>
      <c r="K12" s="5">
        <v>10</v>
      </c>
      <c r="L12" s="61">
        <v>-239.90000000000003</v>
      </c>
      <c r="N12" s="75" t="s">
        <v>126</v>
      </c>
      <c r="O12" s="85">
        <f>IF(P12=0,0,Q12/P12)</f>
        <v>-25.266666666666669</v>
      </c>
      <c r="P12" s="79">
        <v>3</v>
      </c>
      <c r="Q12" s="67">
        <v>-75.800000000000011</v>
      </c>
    </row>
    <row r="13" spans="1:17">
      <c r="A13" s="22" t="s">
        <v>97</v>
      </c>
      <c r="B13" s="15">
        <v>53</v>
      </c>
      <c r="C13" s="11">
        <f>IF(B$3=0,0,B13/B$3)</f>
        <v>0.2560386473429952</v>
      </c>
      <c r="E13" s="33" t="s">
        <v>71</v>
      </c>
      <c r="F13" s="30" t="s">
        <v>35</v>
      </c>
      <c r="G13" s="13">
        <v>3</v>
      </c>
      <c r="H13" s="94">
        <f>IF(B$17=0,0,G13/B$17)</f>
        <v>5.7692307692307696E-2</v>
      </c>
      <c r="I13" s="56">
        <v>3</v>
      </c>
      <c r="K13" s="5">
        <v>11</v>
      </c>
      <c r="L13" s="61">
        <v>-300.00000000000006</v>
      </c>
      <c r="N13" s="76" t="s">
        <v>127</v>
      </c>
      <c r="O13" s="86">
        <f>IF(P13=0,0,Q13/P13)</f>
        <v>12.98</v>
      </c>
      <c r="P13" s="80">
        <v>5</v>
      </c>
      <c r="Q13" s="68">
        <v>64.900000000000006</v>
      </c>
    </row>
    <row r="14" spans="1:17">
      <c r="A14" s="19" t="s">
        <v>94</v>
      </c>
      <c r="B14" s="13">
        <v>54</v>
      </c>
      <c r="C14" s="6">
        <f>IF(B$3=0,0,B14/B$3)</f>
        <v>0.2608695652173913</v>
      </c>
      <c r="E14" s="33" t="s">
        <v>74</v>
      </c>
      <c r="F14" s="30" t="s">
        <v>38</v>
      </c>
      <c r="G14" s="13">
        <v>3</v>
      </c>
      <c r="H14" s="94">
        <f>IF(B$17=0,0,G14/B$17)</f>
        <v>5.7692307692307696E-2</v>
      </c>
      <c r="I14" s="56">
        <v>4</v>
      </c>
      <c r="K14" s="5">
        <v>12</v>
      </c>
      <c r="L14" s="61">
        <v>-290.00000000000006</v>
      </c>
      <c r="N14" s="76" t="s">
        <v>128</v>
      </c>
      <c r="O14" s="86">
        <f>IF(P14=0,0,Q14/P14)</f>
        <v>11.562499999999998</v>
      </c>
      <c r="P14" s="80">
        <v>8</v>
      </c>
      <c r="Q14" s="68">
        <v>92.499999999999986</v>
      </c>
    </row>
    <row r="15" spans="1:17">
      <c r="A15" s="18" t="s">
        <v>99</v>
      </c>
      <c r="B15" s="12">
        <f>B21</f>
        <v>27</v>
      </c>
      <c r="C15" s="4">
        <f>IF(B$13=0,0,B15/B$13)</f>
        <v>0.50943396226415094</v>
      </c>
      <c r="E15" s="33" t="s">
        <v>78</v>
      </c>
      <c r="F15" s="30" t="s">
        <v>42</v>
      </c>
      <c r="G15" s="13">
        <v>2</v>
      </c>
      <c r="H15" s="94">
        <f>IF(B$17=0,0,G15/B$17)</f>
        <v>3.8461538461538464E-2</v>
      </c>
      <c r="I15" s="56">
        <v>2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20</v>
      </c>
      <c r="C16" s="4">
        <f>IF(B$14=0,0,B16/B$14)</f>
        <v>0.37037037037037035</v>
      </c>
      <c r="E16" s="33" t="s">
        <v>62</v>
      </c>
      <c r="F16" s="30" t="s">
        <v>26</v>
      </c>
      <c r="G16" s="13">
        <v>1</v>
      </c>
      <c r="H16" s="94">
        <f>IF(B$17=0,0,G16/B$17)</f>
        <v>1.9230769230769232E-2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0.25120772946859904</v>
      </c>
      <c r="E17" s="33" t="s">
        <v>66</v>
      </c>
      <c r="F17" s="30" t="s">
        <v>30</v>
      </c>
      <c r="G17" s="13">
        <v>1</v>
      </c>
      <c r="H17" s="94">
        <f>IF(B$17=0,0,G17/B$17)</f>
        <v>1.9230769230769232E-2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0.12077294685990338</v>
      </c>
      <c r="E18" s="33" t="s">
        <v>183</v>
      </c>
      <c r="F18" s="30" t="s">
        <v>186</v>
      </c>
      <c r="G18" s="13">
        <v>1</v>
      </c>
      <c r="H18" s="94">
        <f>IF(B$17=0,0,G18/B$17)</f>
        <v>1.9230769230769232E-2</v>
      </c>
      <c r="I18" s="56">
        <v>9</v>
      </c>
      <c r="K18" s="5">
        <v>16</v>
      </c>
      <c r="L18" s="61">
        <v>-275</v>
      </c>
      <c r="N18" s="75" t="s">
        <v>235</v>
      </c>
      <c r="O18" s="85">
        <f t="shared" ref="O18:O37" si="3">IF(P18=0,0,Q18/P18)</f>
        <v>108.74999999999999</v>
      </c>
      <c r="P18" s="79">
        <v>2</v>
      </c>
      <c r="Q18" s="67">
        <v>217.49999999999997</v>
      </c>
    </row>
    <row r="19" spans="1:17">
      <c r="A19" s="19" t="s">
        <v>12</v>
      </c>
      <c r="B19" s="13">
        <v>22</v>
      </c>
      <c r="C19" s="6">
        <f>IF(B$17=0,0,B19/B$17)</f>
        <v>0.42307692307692307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-298.60000000000002</v>
      </c>
      <c r="N19" s="76" t="s">
        <v>238</v>
      </c>
      <c r="O19" s="86">
        <f t="shared" si="3"/>
        <v>55.199999999999989</v>
      </c>
      <c r="P19" s="80">
        <v>4</v>
      </c>
      <c r="Q19" s="68">
        <v>220.79999999999995</v>
      </c>
    </row>
    <row r="20" spans="1:17">
      <c r="A20" s="19" t="s">
        <v>11</v>
      </c>
      <c r="B20" s="13">
        <v>30</v>
      </c>
      <c r="C20" s="6">
        <f>IF(B$17=0,0,B20/B$17)</f>
        <v>0.57692307692307687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223</v>
      </c>
      <c r="O20" s="86">
        <f t="shared" si="3"/>
        <v>47.5</v>
      </c>
      <c r="P20" s="80">
        <v>2</v>
      </c>
      <c r="Q20" s="68">
        <v>95</v>
      </c>
    </row>
    <row r="21" spans="1:17">
      <c r="A21" s="19" t="s">
        <v>151</v>
      </c>
      <c r="B21" s="13">
        <v>27</v>
      </c>
      <c r="C21" s="6">
        <f>IF(B$17=0,0,B21/B$17)</f>
        <v>0.51923076923076927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208</v>
      </c>
      <c r="O21" s="86">
        <f t="shared" si="3"/>
        <v>45.5</v>
      </c>
      <c r="P21" s="80">
        <v>2</v>
      </c>
      <c r="Q21" s="68">
        <v>91</v>
      </c>
    </row>
    <row r="22" spans="1:17">
      <c r="A22" s="19" t="s">
        <v>149</v>
      </c>
      <c r="B22" s="13">
        <v>20</v>
      </c>
      <c r="C22" s="6">
        <f>IF(B$17=0,0,B22/B$17)</f>
        <v>0.38461538461538464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227</v>
      </c>
      <c r="O22" s="86">
        <f t="shared" si="3"/>
        <v>34.349999999999994</v>
      </c>
      <c r="P22" s="80">
        <v>4</v>
      </c>
      <c r="Q22" s="68">
        <v>137.39999999999998</v>
      </c>
    </row>
    <row r="23" spans="1:17">
      <c r="A23" s="19" t="s">
        <v>150</v>
      </c>
      <c r="B23" s="13">
        <v>5</v>
      </c>
      <c r="C23" s="6">
        <f>IF(B$17=0,0,B23/B$17)</f>
        <v>9.6153846153846159E-2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-205.40000000000003</v>
      </c>
      <c r="N23" s="76" t="s">
        <v>216</v>
      </c>
      <c r="O23" s="86">
        <f t="shared" si="3"/>
        <v>31.93076923076924</v>
      </c>
      <c r="P23" s="80">
        <v>13</v>
      </c>
      <c r="Q23" s="68">
        <v>415.10000000000014</v>
      </c>
    </row>
    <row r="24" spans="1:17">
      <c r="A24" s="19" t="s">
        <v>5</v>
      </c>
      <c r="B24" s="16">
        <f>IF(B$17=0,0,C24/B$17)</f>
        <v>6442.3076923076924</v>
      </c>
      <c r="C24" s="8">
        <v>335000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228</v>
      </c>
      <c r="O24" s="86">
        <f t="shared" si="3"/>
        <v>29.3</v>
      </c>
      <c r="P24" s="80">
        <v>6</v>
      </c>
      <c r="Q24" s="68">
        <v>175.8</v>
      </c>
    </row>
    <row r="25" spans="1:17">
      <c r="A25" s="20" t="s">
        <v>133</v>
      </c>
      <c r="B25" s="97">
        <f>IF($B$17-B$16=0,0,C25/($B$17-B$16))</f>
        <v>7821.875</v>
      </c>
      <c r="C25" s="98">
        <v>250300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-280</v>
      </c>
      <c r="N25" s="76" t="s">
        <v>215</v>
      </c>
      <c r="O25" s="86">
        <f t="shared" si="3"/>
        <v>24.4</v>
      </c>
      <c r="P25" s="80">
        <v>1</v>
      </c>
      <c r="Q25" s="68">
        <v>24.4</v>
      </c>
    </row>
    <row r="26" spans="1:17">
      <c r="A26" s="20" t="s">
        <v>134</v>
      </c>
      <c r="B26" s="97">
        <f>IF(B$16=0,0,C26/B$16)</f>
        <v>4235</v>
      </c>
      <c r="C26" s="98">
        <v>84700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203</v>
      </c>
      <c r="O26" s="86">
        <f t="shared" si="3"/>
        <v>20.5</v>
      </c>
      <c r="P26" s="80">
        <v>1</v>
      </c>
      <c r="Q26" s="68">
        <v>20.5</v>
      </c>
    </row>
    <row r="27" spans="1:17">
      <c r="A27" s="20" t="s">
        <v>132</v>
      </c>
      <c r="B27" s="97">
        <f>IF(B$18=0,0,C27/B$18)</f>
        <v>-6816</v>
      </c>
      <c r="C27" s="98">
        <v>-170400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169</v>
      </c>
      <c r="O27" s="86">
        <f t="shared" si="3"/>
        <v>4.2812500000000044</v>
      </c>
      <c r="P27" s="80">
        <v>16</v>
      </c>
      <c r="Q27" s="68">
        <v>68.500000000000071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 t="shared" si="3"/>
        <v>0.20000000000000284</v>
      </c>
      <c r="P28" s="80">
        <v>2</v>
      </c>
      <c r="Q28" s="68">
        <v>0.40000000000000568</v>
      </c>
    </row>
    <row r="29" spans="1:17">
      <c r="A29" s="19" t="s">
        <v>131</v>
      </c>
      <c r="B29" s="13">
        <v>34</v>
      </c>
      <c r="C29" s="96">
        <v>20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213</v>
      </c>
      <c r="O29" s="86">
        <f t="shared" si="3"/>
        <v>-8.4571428571428537</v>
      </c>
      <c r="P29" s="80">
        <v>7</v>
      </c>
      <c r="Q29" s="68">
        <v>-59.199999999999982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164</v>
      </c>
      <c r="O30" s="86">
        <f t="shared" si="3"/>
        <v>-19.399999999999999</v>
      </c>
      <c r="P30" s="80">
        <v>4</v>
      </c>
      <c r="Q30" s="68">
        <v>-77.599999999999994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161</v>
      </c>
      <c r="O31" s="86">
        <f t="shared" si="3"/>
        <v>-20.650000000000006</v>
      </c>
      <c r="P31" s="80">
        <v>2</v>
      </c>
      <c r="Q31" s="68">
        <v>-41.300000000000011</v>
      </c>
    </row>
    <row r="32" spans="1:17">
      <c r="A32" s="21" t="s">
        <v>112</v>
      </c>
      <c r="B32" s="26">
        <v>1</v>
      </c>
      <c r="C32" s="9">
        <f>IF(B$3=0,0,B32/B$3)</f>
        <v>4.830917874396135E-3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168</v>
      </c>
      <c r="O32" s="86">
        <f t="shared" si="3"/>
        <v>-25.7</v>
      </c>
      <c r="P32" s="80">
        <v>7</v>
      </c>
      <c r="Q32" s="68">
        <v>-179.9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163</v>
      </c>
      <c r="O33" s="86">
        <f t="shared" si="3"/>
        <v>-30.9</v>
      </c>
      <c r="P33" s="80">
        <v>1</v>
      </c>
      <c r="Q33" s="68">
        <v>-30.9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N34" s="76" t="s">
        <v>179</v>
      </c>
      <c r="O34" s="86">
        <f t="shared" si="3"/>
        <v>-34.119999999999997</v>
      </c>
      <c r="P34" s="80">
        <v>5</v>
      </c>
      <c r="Q34" s="68">
        <v>-170.6</v>
      </c>
    </row>
    <row r="35" spans="1:17">
      <c r="A35" s="52" t="s">
        <v>139</v>
      </c>
      <c r="B35" s="99">
        <v>4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162</v>
      </c>
      <c r="O35" s="86">
        <f t="shared" si="3"/>
        <v>-43.699999999999996</v>
      </c>
      <c r="P35" s="80">
        <v>4</v>
      </c>
      <c r="Q35" s="68">
        <v>-174.79999999999998</v>
      </c>
    </row>
    <row r="36" spans="1:17">
      <c r="A36" s="19" t="s">
        <v>135</v>
      </c>
      <c r="B36" s="13">
        <v>13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191</v>
      </c>
      <c r="O36" s="86">
        <f t="shared" si="3"/>
        <v>-65.966666666666669</v>
      </c>
      <c r="P36" s="80">
        <v>3</v>
      </c>
      <c r="Q36" s="68">
        <v>-197.9</v>
      </c>
    </row>
    <row r="37" spans="1:17">
      <c r="A37" s="19" t="s">
        <v>136</v>
      </c>
      <c r="B37" s="100">
        <v>15</v>
      </c>
      <c r="C37" s="6">
        <f t="shared" si="4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205</v>
      </c>
      <c r="O37" s="86">
        <f t="shared" si="3"/>
        <v>-66.05</v>
      </c>
      <c r="P37" s="80">
        <v>4</v>
      </c>
      <c r="Q37" s="68">
        <v>-264.2</v>
      </c>
    </row>
    <row r="38" spans="1:17">
      <c r="A38" s="19" t="s">
        <v>137</v>
      </c>
      <c r="B38" s="100">
        <v>3</v>
      </c>
      <c r="C38" s="6">
        <f t="shared" si="4"/>
        <v>5.7692307692307696E-2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9</v>
      </c>
      <c r="C39" s="6">
        <f t="shared" si="4"/>
        <v>0.17307692307692307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7.6923076923076927E-2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22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8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4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18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9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7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17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2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7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22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8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2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6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18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1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184</v>
      </c>
      <c r="F2" s="29" t="s">
        <v>187</v>
      </c>
      <c r="G2" s="12">
        <v>12</v>
      </c>
      <c r="H2" s="93">
        <f>IF(B$17=0,0,G2/B$17)</f>
        <v>0.92307692307692313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811.76470588235293</v>
      </c>
      <c r="P2" s="79">
        <v>17</v>
      </c>
      <c r="Q2" s="63">
        <v>13800</v>
      </c>
    </row>
    <row r="3" spans="1:17">
      <c r="A3" s="19" t="s">
        <v>8</v>
      </c>
      <c r="B3" s="122">
        <v>109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0.76923076923076927</v>
      </c>
      <c r="I3" s="56">
        <v>4</v>
      </c>
      <c r="K3" s="5">
        <v>1</v>
      </c>
      <c r="L3" s="61">
        <v>-47.6</v>
      </c>
      <c r="N3" s="76" t="s">
        <v>104</v>
      </c>
      <c r="O3" s="83">
        <f t="shared" si="0"/>
        <v>841.17647058823525</v>
      </c>
      <c r="P3" s="80">
        <v>17</v>
      </c>
      <c r="Q3" s="64">
        <v>14300</v>
      </c>
    </row>
    <row r="4" spans="1:17">
      <c r="A4" s="19" t="s">
        <v>6</v>
      </c>
      <c r="B4" s="124">
        <v>-213</v>
      </c>
      <c r="C4" s="125"/>
      <c r="E4" s="33" t="s">
        <v>55</v>
      </c>
      <c r="F4" s="30" t="s">
        <v>155</v>
      </c>
      <c r="G4" s="13">
        <v>8</v>
      </c>
      <c r="H4" s="94">
        <f>IF(B$17=0,0,G4/B$17)</f>
        <v>0.61538461538461542</v>
      </c>
      <c r="I4" s="56">
        <v>3</v>
      </c>
      <c r="K4" s="5">
        <v>2</v>
      </c>
      <c r="L4" s="61">
        <v>-102</v>
      </c>
      <c r="N4" s="76" t="s">
        <v>105</v>
      </c>
      <c r="O4" s="83">
        <f t="shared" si="0"/>
        <v>-3864.705882352941</v>
      </c>
      <c r="P4" s="80">
        <v>17</v>
      </c>
      <c r="Q4" s="64">
        <v>-65700</v>
      </c>
    </row>
    <row r="5" spans="1:17">
      <c r="A5" s="19" t="s">
        <v>7</v>
      </c>
      <c r="B5" s="126">
        <f>IF(B$2=0,0,B$4/B$2)</f>
        <v>-12.529411764705882</v>
      </c>
      <c r="C5" s="127"/>
      <c r="E5" s="33" t="s">
        <v>54</v>
      </c>
      <c r="F5" s="30" t="s">
        <v>20</v>
      </c>
      <c r="G5" s="13">
        <v>6</v>
      </c>
      <c r="H5" s="94">
        <f>IF(B$17=0,0,G5/B$17)</f>
        <v>0.46153846153846156</v>
      </c>
      <c r="I5" s="56">
        <v>17</v>
      </c>
      <c r="K5" s="5">
        <v>3</v>
      </c>
      <c r="L5" s="61">
        <v>-97.3</v>
      </c>
      <c r="N5" s="76" t="s">
        <v>157</v>
      </c>
      <c r="O5" s="83">
        <f>IF(P5=0,0,Q5/P5)</f>
        <v>-1442.8571428571429</v>
      </c>
      <c r="P5" s="80">
        <v>14</v>
      </c>
      <c r="Q5" s="64">
        <v>-20200</v>
      </c>
    </row>
    <row r="6" spans="1:17">
      <c r="A6" s="19" t="s">
        <v>1</v>
      </c>
      <c r="B6" s="128">
        <f>IF(B$2=0,0,(B$7*1+B$8*2+B$9*3+B$10*4)/B$2)</f>
        <v>2.7647058823529411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0.30769230769230771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-3585.7142857142858</v>
      </c>
      <c r="P6" s="80">
        <v>7</v>
      </c>
      <c r="Q6" s="64">
        <v>-25100</v>
      </c>
    </row>
    <row r="7" spans="1:17">
      <c r="A7" s="19" t="s">
        <v>2</v>
      </c>
      <c r="B7" s="13">
        <v>3</v>
      </c>
      <c r="C7" s="6">
        <f t="shared" ref="C7:C12" si="2">IF(B$2=0,0,B7/B$2)</f>
        <v>0.17647058823529413</v>
      </c>
      <c r="E7" s="33" t="s">
        <v>57</v>
      </c>
      <c r="F7" s="30" t="s">
        <v>21</v>
      </c>
      <c r="G7" s="13">
        <v>4</v>
      </c>
      <c r="H7" s="94">
        <f>IF(B$17=0,0,G7/B$17)</f>
        <v>0.30769230769230771</v>
      </c>
      <c r="I7" s="56">
        <v>9</v>
      </c>
      <c r="K7" s="5">
        <v>5</v>
      </c>
      <c r="L7" s="61">
        <v>-133.4</v>
      </c>
      <c r="N7" s="76" t="s">
        <v>107</v>
      </c>
      <c r="O7" s="83">
        <f t="shared" si="0"/>
        <v>-3525</v>
      </c>
      <c r="P7" s="80">
        <v>4</v>
      </c>
      <c r="Q7" s="64">
        <v>-14100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60</v>
      </c>
      <c r="F8" s="30" t="s">
        <v>24</v>
      </c>
      <c r="G8" s="13">
        <v>3</v>
      </c>
      <c r="H8" s="94">
        <f>IF(B$17=0,0,G8/B$17)</f>
        <v>0.23076923076923078</v>
      </c>
      <c r="I8" s="56">
        <v>24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2</v>
      </c>
      <c r="H9" s="94">
        <f>IF(B$17=0,0,G9/B$17)</f>
        <v>0.15384615384615385</v>
      </c>
      <c r="I9" s="56">
        <v>12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182</v>
      </c>
      <c r="F10" s="30" t="s">
        <v>19</v>
      </c>
      <c r="G10" s="13">
        <v>1</v>
      </c>
      <c r="H10" s="94">
        <f>IF(B$17=0,0,G10/B$17)</f>
        <v>7.6923076923076927E-2</v>
      </c>
      <c r="I10" s="56">
        <v>12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58</v>
      </c>
      <c r="F11" s="30" t="s">
        <v>22</v>
      </c>
      <c r="G11" s="13">
        <v>1</v>
      </c>
      <c r="H11" s="94">
        <f>IF(B$17=0,0,G11/B$17)</f>
        <v>7.6923076923076927E-2</v>
      </c>
      <c r="I11" s="56">
        <v>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5.8823529411764705E-2</v>
      </c>
      <c r="E12" s="33" t="s">
        <v>183</v>
      </c>
      <c r="F12" s="30" t="s">
        <v>186</v>
      </c>
      <c r="G12" s="13">
        <v>1</v>
      </c>
      <c r="H12" s="94">
        <f>IF(B$17=0,0,G12/B$17)</f>
        <v>7.6923076923076927E-2</v>
      </c>
      <c r="I12" s="56">
        <v>4</v>
      </c>
      <c r="K12" s="5">
        <v>10</v>
      </c>
      <c r="L12" s="61">
        <v>-213.49999999999997</v>
      </c>
      <c r="N12" s="75" t="s">
        <v>126</v>
      </c>
      <c r="O12" s="85">
        <f>IF(P12=0,0,Q12/P12)</f>
        <v>-18.833333333333336</v>
      </c>
      <c r="P12" s="79">
        <v>6</v>
      </c>
      <c r="Q12" s="67">
        <v>-113.00000000000001</v>
      </c>
    </row>
    <row r="13" spans="1:17">
      <c r="A13" s="22" t="s">
        <v>97</v>
      </c>
      <c r="B13" s="15">
        <v>21</v>
      </c>
      <c r="C13" s="11">
        <f>IF(B$3=0,0,B13/B$3)</f>
        <v>0.19266055045871561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-54.4</v>
      </c>
      <c r="P13" s="80">
        <v>1</v>
      </c>
      <c r="Q13" s="68">
        <v>-54.4</v>
      </c>
    </row>
    <row r="14" spans="1:17">
      <c r="A14" s="19" t="s">
        <v>94</v>
      </c>
      <c r="B14" s="13">
        <v>9</v>
      </c>
      <c r="C14" s="6">
        <f>IF(B$3=0,0,B14/B$3)</f>
        <v>8.2568807339449546E-2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-265.09999999999997</v>
      </c>
      <c r="N14" s="76" t="s">
        <v>128</v>
      </c>
      <c r="O14" s="86">
        <f>IF(P14=0,0,Q14/P14)</f>
        <v>5.616666666666668</v>
      </c>
      <c r="P14" s="80">
        <v>6</v>
      </c>
      <c r="Q14" s="68">
        <v>33.70000000000001</v>
      </c>
    </row>
    <row r="15" spans="1:17">
      <c r="A15" s="18" t="s">
        <v>99</v>
      </c>
      <c r="B15" s="12">
        <f>B21</f>
        <v>10</v>
      </c>
      <c r="C15" s="4">
        <f>IF(B$13=0,0,B15/B$13)</f>
        <v>0.47619047619047616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-253.39999999999998</v>
      </c>
      <c r="N15" s="77" t="s">
        <v>159</v>
      </c>
      <c r="O15" s="87">
        <f>IF(P15=0,0,Q15/P15)</f>
        <v>-19.825000000000003</v>
      </c>
      <c r="P15" s="81">
        <v>4</v>
      </c>
      <c r="Q15" s="69">
        <v>-79.300000000000011</v>
      </c>
    </row>
    <row r="16" spans="1:17">
      <c r="A16" s="18" t="s">
        <v>100</v>
      </c>
      <c r="B16" s="12">
        <f>B22</f>
        <v>3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0.11926605504587157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0.15596330275229359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-279.7</v>
      </c>
      <c r="N18" s="75" t="s">
        <v>238</v>
      </c>
      <c r="O18" s="85">
        <f t="shared" ref="O18:O30" si="3">IF(P18=0,0,Q18/P18)</f>
        <v>86.9</v>
      </c>
      <c r="P18" s="79">
        <v>2</v>
      </c>
      <c r="Q18" s="67">
        <v>173.8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-213</v>
      </c>
      <c r="N19" s="76" t="s">
        <v>241</v>
      </c>
      <c r="O19" s="86">
        <f t="shared" si="3"/>
        <v>76.050000000000011</v>
      </c>
      <c r="P19" s="80">
        <v>2</v>
      </c>
      <c r="Q19" s="68">
        <v>152.10000000000002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 t="shared" si="3"/>
        <v>19.174999999999997</v>
      </c>
      <c r="P20" s="80">
        <v>4</v>
      </c>
      <c r="Q20" s="68">
        <v>76.699999999999989</v>
      </c>
    </row>
    <row r="21" spans="1:17">
      <c r="A21" s="19" t="s">
        <v>151</v>
      </c>
      <c r="B21" s="13">
        <v>10</v>
      </c>
      <c r="C21" s="6">
        <f>IF(B$17=0,0,B21/B$17)</f>
        <v>0.76923076923076927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223</v>
      </c>
      <c r="O21" s="86">
        <f t="shared" si="3"/>
        <v>3.2500000000000036</v>
      </c>
      <c r="P21" s="80">
        <v>4</v>
      </c>
      <c r="Q21" s="68">
        <v>13.000000000000014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-4.0999999999999979</v>
      </c>
      <c r="P22" s="80">
        <v>2</v>
      </c>
      <c r="Q22" s="68">
        <v>-8.1999999999999957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227</v>
      </c>
      <c r="O23" s="86">
        <f t="shared" si="3"/>
        <v>-6.4</v>
      </c>
      <c r="P23" s="80">
        <v>2</v>
      </c>
      <c r="Q23" s="68">
        <v>-12.8</v>
      </c>
    </row>
    <row r="24" spans="1:17">
      <c r="A24" s="19" t="s">
        <v>5</v>
      </c>
      <c r="B24" s="16">
        <f>IF(B$17=0,0,C24/B$17)</f>
        <v>8592.3076923076915</v>
      </c>
      <c r="C24" s="8">
        <v>111700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213</v>
      </c>
      <c r="O24" s="86">
        <f t="shared" si="3"/>
        <v>-9.2750000000000004</v>
      </c>
      <c r="P24" s="80">
        <v>4</v>
      </c>
      <c r="Q24" s="68">
        <v>-37.1</v>
      </c>
    </row>
    <row r="25" spans="1:17">
      <c r="A25" s="20" t="s">
        <v>133</v>
      </c>
      <c r="B25" s="97">
        <f>IF($B$17-B$16=0,0,C25/($B$17-B$16))</f>
        <v>8970</v>
      </c>
      <c r="C25" s="98">
        <v>89700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-31.930769230769236</v>
      </c>
      <c r="P25" s="80">
        <v>13</v>
      </c>
      <c r="Q25" s="68">
        <v>-415.10000000000008</v>
      </c>
    </row>
    <row r="26" spans="1:17">
      <c r="A26" s="20" t="s">
        <v>134</v>
      </c>
      <c r="B26" s="97">
        <f>IF(B$16=0,0,C26/B$16)</f>
        <v>7333.333333333333</v>
      </c>
      <c r="C26" s="98">
        <v>22000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  <c r="N26" s="76" t="s">
        <v>215</v>
      </c>
      <c r="O26" s="86">
        <f t="shared" si="3"/>
        <v>-33.200000000000003</v>
      </c>
      <c r="P26" s="80">
        <v>1</v>
      </c>
      <c r="Q26" s="68">
        <v>-33.200000000000003</v>
      </c>
    </row>
    <row r="27" spans="1:17">
      <c r="A27" s="20" t="s">
        <v>132</v>
      </c>
      <c r="B27" s="97">
        <f>IF(B$18=0,0,C27/B$18)</f>
        <v>-7882.3529411764703</v>
      </c>
      <c r="C27" s="98">
        <v>-134000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162</v>
      </c>
      <c r="O27" s="86">
        <f t="shared" si="3"/>
        <v>-33.950000000000003</v>
      </c>
      <c r="P27" s="80">
        <v>2</v>
      </c>
      <c r="Q27" s="68">
        <v>-67.900000000000006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-39.808333333333337</v>
      </c>
      <c r="P28" s="80">
        <v>12</v>
      </c>
      <c r="Q28" s="68">
        <v>-477.70000000000005</v>
      </c>
    </row>
    <row r="29" spans="1:17">
      <c r="A29" s="19" t="s">
        <v>131</v>
      </c>
      <c r="B29" s="13">
        <v>18</v>
      </c>
      <c r="C29" s="96">
        <v>18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  <c r="N29" s="76" t="s">
        <v>231</v>
      </c>
      <c r="O29" s="86">
        <f t="shared" si="3"/>
        <v>-63.85</v>
      </c>
      <c r="P29" s="80">
        <v>2</v>
      </c>
      <c r="Q29" s="68">
        <v>-127.7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-87.9</v>
      </c>
      <c r="P30" s="80">
        <v>1</v>
      </c>
      <c r="Q30" s="68">
        <v>-87.9</v>
      </c>
    </row>
    <row r="31" spans="1:17">
      <c r="A31" s="22" t="s">
        <v>148</v>
      </c>
      <c r="B31" s="116">
        <v>46700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0.15384615384615385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0.15384615384615385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0.30769230769230771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0.23076923076923078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0.15384615384615385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17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1437.5</v>
      </c>
      <c r="P2" s="79">
        <v>8</v>
      </c>
      <c r="Q2" s="63">
        <v>11500</v>
      </c>
    </row>
    <row r="3" spans="1:17">
      <c r="A3" s="19" t="s">
        <v>8</v>
      </c>
      <c r="B3" s="122">
        <v>53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0.75</v>
      </c>
      <c r="I3" s="56">
        <v>5</v>
      </c>
      <c r="K3" s="5">
        <v>1</v>
      </c>
      <c r="L3" s="61">
        <v>60.4</v>
      </c>
      <c r="N3" s="76" t="s">
        <v>104</v>
      </c>
      <c r="O3" s="83">
        <f t="shared" si="0"/>
        <v>-3087.5</v>
      </c>
      <c r="P3" s="80">
        <v>8</v>
      </c>
      <c r="Q3" s="64">
        <v>-24700</v>
      </c>
    </row>
    <row r="4" spans="1:17">
      <c r="A4" s="19" t="s">
        <v>6</v>
      </c>
      <c r="B4" s="124">
        <v>-124.99999999999999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0.375</v>
      </c>
      <c r="I4" s="56">
        <v>15</v>
      </c>
      <c r="K4" s="5">
        <v>2</v>
      </c>
      <c r="L4" s="61">
        <v>122.9</v>
      </c>
      <c r="N4" s="76" t="s">
        <v>105</v>
      </c>
      <c r="O4" s="83">
        <f t="shared" si="0"/>
        <v>-3275</v>
      </c>
      <c r="P4" s="80">
        <v>8</v>
      </c>
      <c r="Q4" s="64">
        <v>-26200</v>
      </c>
    </row>
    <row r="5" spans="1:17">
      <c r="A5" s="19" t="s">
        <v>7</v>
      </c>
      <c r="B5" s="126">
        <f>IF(B$2=0,0,B$4/B$2)</f>
        <v>-15.624999999999998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0.375</v>
      </c>
      <c r="I5" s="56">
        <v>16</v>
      </c>
      <c r="K5" s="5">
        <v>3</v>
      </c>
      <c r="L5" s="61">
        <v>69.800000000000011</v>
      </c>
      <c r="N5" s="76" t="s">
        <v>157</v>
      </c>
      <c r="O5" s="83">
        <f>IF(P5=0,0,Q5/P5)</f>
        <v>-1037.5</v>
      </c>
      <c r="P5" s="80">
        <v>8</v>
      </c>
      <c r="Q5" s="64">
        <v>-8300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0.25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-1750</v>
      </c>
      <c r="P6" s="80">
        <v>4</v>
      </c>
      <c r="Q6" s="64">
        <v>-7000</v>
      </c>
    </row>
    <row r="7" spans="1:17">
      <c r="A7" s="19" t="s">
        <v>2</v>
      </c>
      <c r="B7" s="13">
        <v>2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1</v>
      </c>
      <c r="H7" s="94">
        <f>IF(B$17=0,0,G7/B$17)</f>
        <v>0.125</v>
      </c>
      <c r="I7" s="56">
        <v>23</v>
      </c>
      <c r="K7" s="5">
        <v>5</v>
      </c>
      <c r="L7" s="61">
        <v>23.200000000000014</v>
      </c>
      <c r="N7" s="76" t="s">
        <v>107</v>
      </c>
      <c r="O7" s="83">
        <f t="shared" si="0"/>
        <v>-2766.6666666666665</v>
      </c>
      <c r="P7" s="80">
        <v>3</v>
      </c>
      <c r="Q7" s="64">
        <v>-8300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57</v>
      </c>
      <c r="F8" s="30" t="s">
        <v>21</v>
      </c>
      <c r="G8" s="13">
        <v>1</v>
      </c>
      <c r="H8" s="94">
        <f>IF(B$17=0,0,G8/B$17)</f>
        <v>0.125</v>
      </c>
      <c r="I8" s="56">
        <v>19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59</v>
      </c>
      <c r="F9" s="30" t="s">
        <v>23</v>
      </c>
      <c r="G9" s="13">
        <v>1</v>
      </c>
      <c r="H9" s="94">
        <f>IF(B$17=0,0,G9/B$17)</f>
        <v>0.125</v>
      </c>
      <c r="I9" s="56">
        <v>13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183</v>
      </c>
      <c r="F10" s="30" t="s">
        <v>186</v>
      </c>
      <c r="G10" s="13">
        <v>1</v>
      </c>
      <c r="H10" s="94">
        <f>IF(B$17=0,0,G10/B$17)</f>
        <v>0.125</v>
      </c>
      <c r="I10" s="56">
        <v>1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7</v>
      </c>
      <c r="C13" s="11">
        <f>IF(B$3=0,0,B13/B$3)</f>
        <v>0.13207547169811321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-41.8</v>
      </c>
      <c r="P13" s="80">
        <v>1</v>
      </c>
      <c r="Q13" s="68">
        <v>-41.8</v>
      </c>
    </row>
    <row r="14" spans="1:17">
      <c r="A14" s="19" t="s">
        <v>94</v>
      </c>
      <c r="B14" s="13">
        <v>7</v>
      </c>
      <c r="C14" s="6">
        <f>IF(B$3=0,0,B14/B$3)</f>
        <v>0.13207547169811321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-16.3</v>
      </c>
      <c r="P14" s="80">
        <v>3</v>
      </c>
      <c r="Q14" s="68">
        <v>-48.9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-31.566666666666663</v>
      </c>
      <c r="P15" s="81">
        <v>3</v>
      </c>
      <c r="Q15" s="69">
        <v>-94.699999999999989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0.15094339622641509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0.20754716981132076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213</v>
      </c>
      <c r="O18" s="85">
        <f t="shared" ref="O18:O24" si="3">IF(P18=0,0,Q18/P18)</f>
        <v>64.599999999999994</v>
      </c>
      <c r="P18" s="79">
        <v>2</v>
      </c>
      <c r="Q18" s="67">
        <v>129.19999999999999</v>
      </c>
    </row>
    <row r="19" spans="1:17">
      <c r="A19" s="19" t="s">
        <v>12</v>
      </c>
      <c r="B19" s="13">
        <v>2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227</v>
      </c>
      <c r="O19" s="86">
        <f t="shared" si="3"/>
        <v>-5.8</v>
      </c>
      <c r="P19" s="80">
        <v>6</v>
      </c>
      <c r="Q19" s="68">
        <v>-34.799999999999997</v>
      </c>
    </row>
    <row r="20" spans="1:17">
      <c r="A20" s="19" t="s">
        <v>11</v>
      </c>
      <c r="B20" s="13">
        <v>6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-19.175000000000001</v>
      </c>
      <c r="P20" s="80">
        <v>4</v>
      </c>
      <c r="Q20" s="68">
        <v>-76.7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-29.199999999999996</v>
      </c>
      <c r="P21" s="80">
        <v>2</v>
      </c>
      <c r="Q21" s="68">
        <v>-58.399999999999991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-29.3</v>
      </c>
      <c r="P22" s="80">
        <v>6</v>
      </c>
      <c r="Q22" s="68">
        <v>-175.8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-38.049999999999997</v>
      </c>
      <c r="P23" s="80">
        <v>2</v>
      </c>
      <c r="Q23" s="68">
        <v>-76.099999999999994</v>
      </c>
    </row>
    <row r="24" spans="1:17">
      <c r="A24" s="19" t="s">
        <v>5</v>
      </c>
      <c r="B24" s="16">
        <f>IF(B$17=0,0,C24/B$17)</f>
        <v>7537.5</v>
      </c>
      <c r="C24" s="8">
        <v>60300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231</v>
      </c>
      <c r="O24" s="86">
        <f t="shared" si="3"/>
        <v>-103.69999999999999</v>
      </c>
      <c r="P24" s="80">
        <v>2</v>
      </c>
      <c r="Q24" s="68">
        <v>-207.39999999999998</v>
      </c>
    </row>
    <row r="25" spans="1:17">
      <c r="A25" s="20" t="s">
        <v>133</v>
      </c>
      <c r="B25" s="97">
        <f>IF($B$17-B$16=0,0,C25/($B$17-B$16))</f>
        <v>6900</v>
      </c>
      <c r="C25" s="98">
        <v>48300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-8163.636363636364</v>
      </c>
      <c r="C27" s="98">
        <v>-89800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-4633.333333333333</v>
      </c>
      <c r="P2" s="79">
        <v>6</v>
      </c>
      <c r="Q2" s="63">
        <v>-27800</v>
      </c>
    </row>
    <row r="3" spans="1:17">
      <c r="A3" s="19" t="s">
        <v>8</v>
      </c>
      <c r="B3" s="122">
        <v>38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-64.900000000000006</v>
      </c>
      <c r="N3" s="76" t="s">
        <v>104</v>
      </c>
      <c r="O3" s="83">
        <f t="shared" si="0"/>
        <v>-1116.6666666666667</v>
      </c>
      <c r="P3" s="80">
        <v>6</v>
      </c>
      <c r="Q3" s="64">
        <v>-6700</v>
      </c>
    </row>
    <row r="4" spans="1:17">
      <c r="A4" s="19" t="s">
        <v>6</v>
      </c>
      <c r="B4" s="124">
        <v>-47.90000000000002</v>
      </c>
      <c r="C4" s="125"/>
      <c r="E4" s="33" t="s">
        <v>54</v>
      </c>
      <c r="F4" s="30" t="s">
        <v>20</v>
      </c>
      <c r="G4" s="13">
        <v>4</v>
      </c>
      <c r="H4" s="94">
        <f>IF(B$17=0,0,G4/B$17)</f>
        <v>0.4</v>
      </c>
      <c r="I4" s="56">
        <v>19</v>
      </c>
      <c r="K4" s="5">
        <v>2</v>
      </c>
      <c r="L4" s="61">
        <v>-62.100000000000009</v>
      </c>
      <c r="N4" s="76" t="s">
        <v>105</v>
      </c>
      <c r="O4" s="83">
        <f t="shared" si="0"/>
        <v>1316.6666666666667</v>
      </c>
      <c r="P4" s="80">
        <v>6</v>
      </c>
      <c r="Q4" s="64">
        <v>7900</v>
      </c>
    </row>
    <row r="5" spans="1:17">
      <c r="A5" s="19" t="s">
        <v>7</v>
      </c>
      <c r="B5" s="126">
        <f>IF(B$2=0,0,B$4/B$2)</f>
        <v>-7.9833333333333369</v>
      </c>
      <c r="C5" s="127"/>
      <c r="E5" s="33" t="s">
        <v>57</v>
      </c>
      <c r="F5" s="30" t="s">
        <v>21</v>
      </c>
      <c r="G5" s="13">
        <v>4</v>
      </c>
      <c r="H5" s="94">
        <f>IF(B$17=0,0,G5/B$17)</f>
        <v>0.4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850</v>
      </c>
      <c r="P5" s="80">
        <v>6</v>
      </c>
      <c r="Q5" s="64">
        <v>5100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</v>
      </c>
      <c r="I6" s="56">
        <v>10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1500</v>
      </c>
      <c r="P6" s="80">
        <v>2</v>
      </c>
      <c r="Q6" s="64">
        <v>3000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</v>
      </c>
      <c r="I7" s="56">
        <v>4</v>
      </c>
      <c r="K7" s="5">
        <v>5</v>
      </c>
      <c r="L7" s="61">
        <v>-66.200000000000017</v>
      </c>
      <c r="N7" s="76" t="s">
        <v>107</v>
      </c>
      <c r="O7" s="83">
        <f t="shared" si="0"/>
        <v>1300</v>
      </c>
      <c r="P7" s="80">
        <v>2</v>
      </c>
      <c r="Q7" s="64">
        <v>2600</v>
      </c>
    </row>
    <row r="8" spans="1:17">
      <c r="A8" s="19" t="s">
        <v>3</v>
      </c>
      <c r="B8" s="13">
        <v>4</v>
      </c>
      <c r="C8" s="6">
        <f>IF(B$2=0,0,B8/B$2)</f>
        <v>0.66666666666666663</v>
      </c>
      <c r="E8" s="33" t="s">
        <v>60</v>
      </c>
      <c r="F8" s="30" t="s">
        <v>24</v>
      </c>
      <c r="G8" s="13">
        <v>3</v>
      </c>
      <c r="H8" s="94">
        <f>IF(B$17=0,0,G8/B$17)</f>
        <v>0.3</v>
      </c>
      <c r="I8" s="56">
        <v>22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182</v>
      </c>
      <c r="F9" s="30" t="s">
        <v>19</v>
      </c>
      <c r="G9" s="13">
        <v>2</v>
      </c>
      <c r="H9" s="94">
        <f>IF(B$17=0,0,G9/B$17)</f>
        <v>0.2</v>
      </c>
      <c r="I9" s="56">
        <v>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56</v>
      </c>
      <c r="F10" s="30" t="s">
        <v>185</v>
      </c>
      <c r="G10" s="13">
        <v>1</v>
      </c>
      <c r="H10" s="94">
        <f>IF(B$17=0,0,G10/B$17)</f>
        <v>0.1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62</v>
      </c>
      <c r="F12" s="30" t="s">
        <v>26</v>
      </c>
      <c r="G12" s="13">
        <v>1</v>
      </c>
      <c r="H12" s="94">
        <f>IF(B$17=0,0,G12/B$17)</f>
        <v>0.1</v>
      </c>
      <c r="I12" s="56">
        <v>1</v>
      </c>
      <c r="N12" s="75" t="s">
        <v>126</v>
      </c>
      <c r="O12" s="85">
        <f>IF(P12=0,0,Q12/P12)</f>
        <v>0.6000000000000002</v>
      </c>
      <c r="P12" s="79">
        <v>3</v>
      </c>
      <c r="Q12" s="67">
        <v>1.8000000000000007</v>
      </c>
    </row>
    <row r="13" spans="1:17">
      <c r="A13" s="22" t="s">
        <v>97</v>
      </c>
      <c r="B13" s="15">
        <v>11</v>
      </c>
      <c r="C13" s="11">
        <f>IF(B$3=0,0,B13/B$3)</f>
        <v>0.28947368421052633</v>
      </c>
      <c r="E13" s="33" t="s">
        <v>76</v>
      </c>
      <c r="F13" s="30" t="s">
        <v>40</v>
      </c>
      <c r="G13" s="13">
        <v>1</v>
      </c>
      <c r="H13" s="94">
        <f>IF(B$17=0,0,G13/B$17)</f>
        <v>0.1</v>
      </c>
      <c r="I13" s="56">
        <v>1</v>
      </c>
      <c r="N13" s="76" t="s">
        <v>127</v>
      </c>
      <c r="O13" s="86">
        <f>IF(P13=0,0,Q13/P13)</f>
        <v>-16.56666666666667</v>
      </c>
      <c r="P13" s="80">
        <v>3</v>
      </c>
      <c r="Q13" s="68">
        <v>-49.70000000000001</v>
      </c>
    </row>
    <row r="14" spans="1:17">
      <c r="A14" s="19" t="s">
        <v>94</v>
      </c>
      <c r="B14" s="13">
        <v>6</v>
      </c>
      <c r="C14" s="6">
        <f>IF(B$3=0,0,B14/B$3)</f>
        <v>0.15789473684210525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7</v>
      </c>
      <c r="C15" s="4">
        <f>IF(B$13=0,0,B15/B$13)</f>
        <v>0.63636363636363635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0.26315789473684209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0.15789473684210525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238</v>
      </c>
      <c r="O18" s="85">
        <f t="shared" ref="O18:O23" si="3">IF(P18=0,0,Q18/P18)</f>
        <v>34.450000000000003</v>
      </c>
      <c r="P18" s="79">
        <v>2</v>
      </c>
      <c r="Q18" s="67">
        <v>68.900000000000006</v>
      </c>
    </row>
    <row r="19" spans="1:17">
      <c r="A19" s="19" t="s">
        <v>12</v>
      </c>
      <c r="B19" s="13">
        <v>1</v>
      </c>
      <c r="C19" s="6">
        <f>IF(B$17=0,0,B19/B$17)</f>
        <v>0.1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216</v>
      </c>
      <c r="O19" s="86">
        <f t="shared" si="3"/>
        <v>6.3999999999999995</v>
      </c>
      <c r="P19" s="80">
        <v>2</v>
      </c>
      <c r="Q19" s="68">
        <v>12.799999999999999</v>
      </c>
    </row>
    <row r="20" spans="1:17">
      <c r="A20" s="19" t="s">
        <v>11</v>
      </c>
      <c r="B20" s="13">
        <v>9</v>
      </c>
      <c r="C20" s="6">
        <f>IF(B$17=0,0,B20/B$17)</f>
        <v>0.9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228</v>
      </c>
      <c r="O20" s="86">
        <f t="shared" si="3"/>
        <v>5.7999999999999972</v>
      </c>
      <c r="P20" s="80">
        <v>6</v>
      </c>
      <c r="Q20" s="68">
        <v>34.799999999999983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213</v>
      </c>
      <c r="O21" s="86">
        <f t="shared" si="3"/>
        <v>-27.900000000000002</v>
      </c>
      <c r="P21" s="80">
        <v>2</v>
      </c>
      <c r="Q21" s="68">
        <v>-55.800000000000004</v>
      </c>
    </row>
    <row r="22" spans="1:17">
      <c r="A22" s="19" t="s">
        <v>149</v>
      </c>
      <c r="B22" s="13">
        <v>2</v>
      </c>
      <c r="C22" s="6">
        <f>IF(B$17=0,0,B22/B$17)</f>
        <v>0.2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195</v>
      </c>
      <c r="O22" s="86">
        <f t="shared" si="3"/>
        <v>-34.35</v>
      </c>
      <c r="P22" s="80">
        <v>4</v>
      </c>
      <c r="Q22" s="68">
        <v>-137.4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231</v>
      </c>
      <c r="O23" s="86">
        <f t="shared" si="3"/>
        <v>-57.45</v>
      </c>
      <c r="P23" s="80">
        <v>2</v>
      </c>
      <c r="Q23" s="68">
        <v>-114.9</v>
      </c>
    </row>
    <row r="24" spans="1:17">
      <c r="A24" s="19" t="s">
        <v>5</v>
      </c>
      <c r="B24" s="16">
        <f>IF(B$17=0,0,C24/B$17)</f>
        <v>6570</v>
      </c>
      <c r="C24" s="8">
        <v>65700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</row>
    <row r="25" spans="1:17">
      <c r="A25" s="20" t="s">
        <v>133</v>
      </c>
      <c r="B25" s="97">
        <f>IF($B$17-B$16=0,0,C25/($B$17-B$16))</f>
        <v>7537.5</v>
      </c>
      <c r="C25" s="98">
        <v>60300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2700</v>
      </c>
      <c r="C26" s="98">
        <v>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-8283.3333333333339</v>
      </c>
      <c r="C27" s="98">
        <v>-49700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4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18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500</v>
      </c>
      <c r="P2" s="79">
        <v>2</v>
      </c>
      <c r="Q2" s="63">
        <v>1000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-53.7</v>
      </c>
      <c r="N3" s="76" t="s">
        <v>104</v>
      </c>
      <c r="O3" s="83">
        <f t="shared" si="0"/>
        <v>-2050</v>
      </c>
      <c r="P3" s="80">
        <v>2</v>
      </c>
      <c r="Q3" s="64">
        <v>-4100</v>
      </c>
    </row>
    <row r="4" spans="1:17">
      <c r="A4" s="19" t="s">
        <v>6</v>
      </c>
      <c r="B4" s="124">
        <v>-70.800000000000011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-70.800000000000011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-35.400000000000006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-10100</v>
      </c>
      <c r="P5" s="80">
        <v>2</v>
      </c>
      <c r="Q5" s="64">
        <v>-20200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22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-8000</v>
      </c>
      <c r="P8" s="80">
        <v>1</v>
      </c>
      <c r="Q8" s="64">
        <v>-8000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-17.100000000000001</v>
      </c>
      <c r="P14" s="80">
        <v>1</v>
      </c>
      <c r="Q14" s="68">
        <v>-17.100000000000001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6.6666666666666666E-2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216</v>
      </c>
      <c r="O18" s="85">
        <f>IF(P18=0,0,Q18/P18)</f>
        <v>4.0999999999999979</v>
      </c>
      <c r="P18" s="79">
        <v>2</v>
      </c>
      <c r="Q18" s="67">
        <v>8.1999999999999957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-36.949999999999996</v>
      </c>
      <c r="P19" s="80">
        <v>2</v>
      </c>
      <c r="Q19" s="68">
        <v>-73.899999999999991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>IF(P20=0,0,Q20/P20)</f>
        <v>-108.75</v>
      </c>
      <c r="P20" s="80">
        <v>2</v>
      </c>
      <c r="Q20" s="68">
        <v>-217.5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-9533.3333333333339</v>
      </c>
      <c r="C27" s="98">
        <v>-28600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4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1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-3050</v>
      </c>
      <c r="P2" s="79">
        <v>4</v>
      </c>
      <c r="Q2" s="63">
        <v>-12200</v>
      </c>
    </row>
    <row r="3" spans="1:17">
      <c r="A3" s="19" t="s">
        <v>8</v>
      </c>
      <c r="B3" s="122">
        <v>27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0.66666666666666663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-6125</v>
      </c>
      <c r="P3" s="80">
        <v>4</v>
      </c>
      <c r="Q3" s="64">
        <v>-24500</v>
      </c>
    </row>
    <row r="4" spans="1:17">
      <c r="A4" s="19" t="s">
        <v>6</v>
      </c>
      <c r="B4" s="124">
        <v>-106.69999999999999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9</v>
      </c>
      <c r="K4" s="5">
        <v>2</v>
      </c>
      <c r="L4" s="61">
        <v>-52.3</v>
      </c>
      <c r="N4" s="76" t="s">
        <v>105</v>
      </c>
      <c r="O4" s="83">
        <f t="shared" si="0"/>
        <v>325</v>
      </c>
      <c r="P4" s="80">
        <v>4</v>
      </c>
      <c r="Q4" s="64">
        <v>1300</v>
      </c>
    </row>
    <row r="5" spans="1:17">
      <c r="A5" s="19" t="s">
        <v>7</v>
      </c>
      <c r="B5" s="126">
        <f>IF(B$2=0,0,B$4/B$2)</f>
        <v>-26.674999999999997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25</v>
      </c>
      <c r="K5" s="5">
        <v>3</v>
      </c>
      <c r="L5" s="61">
        <v>-44.9</v>
      </c>
      <c r="N5" s="76" t="s">
        <v>157</v>
      </c>
      <c r="O5" s="83">
        <f>IF(P5=0,0,Q5/P5)</f>
        <v>-1575</v>
      </c>
      <c r="P5" s="80">
        <v>4</v>
      </c>
      <c r="Q5" s="64">
        <v>-6300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-3000</v>
      </c>
      <c r="P6" s="80">
        <v>1</v>
      </c>
      <c r="Q6" s="64">
        <v>-3000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-26.15</v>
      </c>
      <c r="P13" s="80">
        <v>2</v>
      </c>
      <c r="Q13" s="68">
        <v>-52.3</v>
      </c>
    </row>
    <row r="14" spans="1:17">
      <c r="A14" s="19" t="s">
        <v>94</v>
      </c>
      <c r="B14" s="13">
        <v>6</v>
      </c>
      <c r="C14" s="6">
        <f>IF(B$3=0,0,B14/B$3)</f>
        <v>0.22222222222222221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-61.8</v>
      </c>
      <c r="P14" s="80">
        <v>1</v>
      </c>
      <c r="Q14" s="68">
        <v>-61.8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7.4</v>
      </c>
      <c r="P15" s="81">
        <v>1</v>
      </c>
      <c r="Q15" s="69">
        <v>7.4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0.1111111111111111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0.14814814814814814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228</v>
      </c>
      <c r="O18" s="85">
        <f>IF(P18=0,0,Q18/P18)</f>
        <v>29.199999999999996</v>
      </c>
      <c r="P18" s="79">
        <v>2</v>
      </c>
      <c r="Q18" s="67">
        <v>58.399999999999991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-10.849999999999998</v>
      </c>
      <c r="P19" s="80">
        <v>2</v>
      </c>
      <c r="Q19" s="68">
        <v>-21.699999999999996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227</v>
      </c>
      <c r="O20" s="86">
        <f>IF(P20=0,0,Q20/P20)</f>
        <v>-34.450000000000003</v>
      </c>
      <c r="P20" s="80">
        <v>2</v>
      </c>
      <c r="Q20" s="68">
        <v>-68.900000000000006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-55.199999999999996</v>
      </c>
      <c r="P21" s="80">
        <v>4</v>
      </c>
      <c r="Q21" s="68">
        <v>-220.79999999999998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216</v>
      </c>
      <c r="O22" s="86">
        <f>IF(P22=0,0,Q22/P22)</f>
        <v>-86.9</v>
      </c>
      <c r="P22" s="80">
        <v>2</v>
      </c>
      <c r="Q22" s="68">
        <v>-173.8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3266.6666666666665</v>
      </c>
      <c r="C24" s="8">
        <v>9800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2000</v>
      </c>
      <c r="C25" s="98">
        <v>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7800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-7275</v>
      </c>
      <c r="C27" s="98">
        <v>-29100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2</v>
      </c>
      <c r="Q2" s="63">
        <v>-6600</v>
      </c>
    </row>
    <row r="3" spans="1:17">
      <c r="A3" s="19" t="s">
        <v>8</v>
      </c>
      <c r="B3" s="122">
        <v>13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-45.7</v>
      </c>
      <c r="N3" s="76" t="s">
        <v>104</v>
      </c>
      <c r="O3" s="83">
        <f t="shared" si="0"/>
        <v>-2300</v>
      </c>
      <c r="P3" s="80">
        <v>2</v>
      </c>
      <c r="Q3" s="64">
        <v>-4600</v>
      </c>
    </row>
    <row r="4" spans="1:17">
      <c r="A4" s="19" t="s">
        <v>6</v>
      </c>
      <c r="B4" s="124">
        <v>-32.700000000000003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12</v>
      </c>
      <c r="K4" s="5">
        <v>2</v>
      </c>
      <c r="L4" s="61">
        <v>-32.700000000000003</v>
      </c>
      <c r="N4" s="76" t="s">
        <v>105</v>
      </c>
      <c r="O4" s="83">
        <f t="shared" si="0"/>
        <v>3000</v>
      </c>
      <c r="P4" s="80">
        <v>2</v>
      </c>
      <c r="Q4" s="64">
        <v>6000</v>
      </c>
    </row>
    <row r="5" spans="1:17">
      <c r="A5" s="19" t="s">
        <v>7</v>
      </c>
      <c r="B5" s="126">
        <f>IF(B$2=0,0,B$4/B$2)</f>
        <v>-16.350000000000001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N5" s="76" t="s">
        <v>157</v>
      </c>
      <c r="O5" s="83">
        <f>IF(P5=0,0,Q5/P5)</f>
        <v>1250</v>
      </c>
      <c r="P5" s="80">
        <v>2</v>
      </c>
      <c r="Q5" s="64">
        <v>2500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1</v>
      </c>
      <c r="H7" s="94">
        <f>IF(B$17=0,0,G7/B$17)</f>
        <v>0.5</v>
      </c>
      <c r="I7" s="56">
        <v>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17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-16.350000000000001</v>
      </c>
      <c r="P13" s="80">
        <v>2</v>
      </c>
      <c r="Q13" s="68">
        <v>-32.700000000000003</v>
      </c>
    </row>
    <row r="14" spans="1:17">
      <c r="A14" s="19" t="s">
        <v>94</v>
      </c>
      <c r="B14" s="13">
        <v>4</v>
      </c>
      <c r="C14" s="6">
        <f>IF(B$3=0,0,B14/B$3)</f>
        <v>0.30769230769230771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0.15384615384615385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0.23076923076923078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238</v>
      </c>
      <c r="O18" s="85">
        <f>IF(P18=0,0,Q18/P18)</f>
        <v>10.849999999999998</v>
      </c>
      <c r="P18" s="79">
        <v>2</v>
      </c>
      <c r="Q18" s="67">
        <v>21.699999999999996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195</v>
      </c>
      <c r="O19" s="86">
        <f>IF(P19=0,0,Q19/P19)</f>
        <v>-0.20000000000000284</v>
      </c>
      <c r="P19" s="80">
        <v>2</v>
      </c>
      <c r="Q19" s="68">
        <v>-0.40000000000000568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>IF(P20=0,0,Q20/P20)</f>
        <v>-76.050000000000011</v>
      </c>
      <c r="P20" s="80">
        <v>2</v>
      </c>
      <c r="Q20" s="68">
        <v>-152.10000000000002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6600</v>
      </c>
      <c r="C24" s="8">
        <v>13200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5200</v>
      </c>
      <c r="C25" s="98">
        <v>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-4533.333333333333</v>
      </c>
      <c r="C27" s="98">
        <v>-13600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36</vt:i4>
      </vt:variant>
      <vt:variant>
        <vt:lpstr>名前付き一覧</vt:lpstr>
      </vt:variant>
      <vt:variant>
        <vt:i4>1881</vt:i4>
      </vt:variant>
    </vt:vector>
  </HeadingPairs>
  <TitlesOfParts>
    <vt:vector size="191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巻島夢樹!アガリ数</vt:lpstr>
      <vt:lpstr>関谷洸佑!アガリ数</vt:lpstr>
      <vt:lpstr>吉澤諒!アガリ数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巻島夢樹!アガリ率</vt:lpstr>
      <vt:lpstr>関谷洸佑!アガリ率</vt:lpstr>
      <vt:lpstr>吉澤諒!アガリ率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巻島夢樹!ダマアガリ数</vt:lpstr>
      <vt:lpstr>関谷洸佑!ダマアガリ数</vt:lpstr>
      <vt:lpstr>吉澤諒!ダマアガリ数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巻島夢樹!ダマアガリ率</vt:lpstr>
      <vt:lpstr>関谷洸佑!ダマアガリ率</vt:lpstr>
      <vt:lpstr>吉澤諒!ダマアガリ率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巻島夢樹!チョンボ数</vt:lpstr>
      <vt:lpstr>関谷洸佑!チョンボ数</vt:lpstr>
      <vt:lpstr>吉澤諒!チョンボ数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巻島夢樹!チョンボ率</vt:lpstr>
      <vt:lpstr>関谷洸佑!チョンボ率</vt:lpstr>
      <vt:lpstr>吉澤諒!チョンボ率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巻島夢樹!ツモ数</vt:lpstr>
      <vt:lpstr>関谷洸佑!ツモ数</vt:lpstr>
      <vt:lpstr>吉澤諒!ツモ数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巻島夢樹!ツモ率</vt:lpstr>
      <vt:lpstr>関谷洸佑!ツモ率</vt:lpstr>
      <vt:lpstr>吉澤諒!ツモ率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巻島夢樹!トップ数</vt:lpstr>
      <vt:lpstr>関谷洸佑!トップ数</vt:lpstr>
      <vt:lpstr>吉澤諒!トップ数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巻島夢樹!トップ率</vt:lpstr>
      <vt:lpstr>関谷洸佑!トップ率</vt:lpstr>
      <vt:lpstr>吉澤諒!トップ率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巻島夢樹!ふっとび数</vt:lpstr>
      <vt:lpstr>関谷洸佑!ふっとび数</vt:lpstr>
      <vt:lpstr>吉澤諒!ふっとび数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巻島夢樹!ふっとび率</vt:lpstr>
      <vt:lpstr>関谷洸佑!ふっとび率</vt:lpstr>
      <vt:lpstr>吉澤諒!ふっとび率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巻島夢樹!ラス数</vt:lpstr>
      <vt:lpstr>関谷洸佑!ラス数</vt:lpstr>
      <vt:lpstr>吉澤諒!ラス数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巻島夢樹!ラス率</vt:lpstr>
      <vt:lpstr>関谷洸佑!ラス率</vt:lpstr>
      <vt:lpstr>吉澤諒!ラス率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巻島夢樹!リーチアガリ数</vt:lpstr>
      <vt:lpstr>関谷洸佑!リーチアガリ数</vt:lpstr>
      <vt:lpstr>吉澤諒!リーチアガリ数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巻島夢樹!リーチアガリ率</vt:lpstr>
      <vt:lpstr>関谷洸佑!リーチアガリ率</vt:lpstr>
      <vt:lpstr>吉澤諒!リーチアガリ率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巻島夢樹!リーチ数</vt:lpstr>
      <vt:lpstr>関谷洸佑!リーチ数</vt:lpstr>
      <vt:lpstr>吉澤諒!リーチ数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巻島夢樹!リーチ成功数</vt:lpstr>
      <vt:lpstr>関谷洸佑!リーチ成功数</vt:lpstr>
      <vt:lpstr>吉澤諒!リーチ成功数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巻島夢樹!リーチ成功率</vt:lpstr>
      <vt:lpstr>関谷洸佑!リーチ成功率</vt:lpstr>
      <vt:lpstr>吉澤諒!リーチ成功率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巻島夢樹!リーチ率</vt:lpstr>
      <vt:lpstr>関谷洸佑!リーチ率</vt:lpstr>
      <vt:lpstr>吉澤諒!リーチ率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巻島夢樹!ロン数</vt:lpstr>
      <vt:lpstr>関谷洸佑!ロン数</vt:lpstr>
      <vt:lpstr>吉澤諒!ロン数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巻島夢樹!ロン率</vt:lpstr>
      <vt:lpstr>関谷洸佑!ロン率</vt:lpstr>
      <vt:lpstr>吉澤諒!ロン率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巻島夢樹!現行連続アガリ</vt:lpstr>
      <vt:lpstr>関谷洸佑!現行連続アガリ</vt:lpstr>
      <vt:lpstr>吉澤諒!現行連続アガリ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巻島夢樹!現行連続無放銃</vt:lpstr>
      <vt:lpstr>関谷洸佑!現行連続無放銃</vt:lpstr>
      <vt:lpstr>吉澤諒!現行連続無放銃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巻島夢樹!最高点</vt:lpstr>
      <vt:lpstr>関谷洸佑!最高点</vt:lpstr>
      <vt:lpstr>吉澤諒!最高点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巻島夢樹!最大ドラ数</vt:lpstr>
      <vt:lpstr>関谷洸佑!最大ドラ数</vt:lpstr>
      <vt:lpstr>吉澤諒!最大ドラ数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巻島夢樹!最大点数</vt:lpstr>
      <vt:lpstr>関谷洸佑!最大点数</vt:lpstr>
      <vt:lpstr>吉澤諒!最大点数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巻島夢樹!三位数</vt:lpstr>
      <vt:lpstr>関谷洸佑!三位数</vt:lpstr>
      <vt:lpstr>吉澤諒!三位数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巻島夢樹!三位率</vt:lpstr>
      <vt:lpstr>関谷洸佑!三位率</vt:lpstr>
      <vt:lpstr>吉澤諒!三位率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巻島夢樹!総局数</vt:lpstr>
      <vt:lpstr>関谷洸佑!総局数</vt:lpstr>
      <vt:lpstr>吉澤諒!総局数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巻島夢樹!対戦数</vt:lpstr>
      <vt:lpstr>関谷洸佑!対戦数</vt:lpstr>
      <vt:lpstr>吉澤諒!対戦数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巻島夢樹!通算アガリ点</vt:lpstr>
      <vt:lpstr>関谷洸佑!通算アガリ点</vt:lpstr>
      <vt:lpstr>吉澤諒!通算アガリ点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巻島夢樹!通算スコア</vt:lpstr>
      <vt:lpstr>関谷洸佑!通算スコア</vt:lpstr>
      <vt:lpstr>吉澤諒!通算スコア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巻島夢樹!通算副露アガリ点</vt:lpstr>
      <vt:lpstr>関谷洸佑!通算副露アガリ点</vt:lpstr>
      <vt:lpstr>吉澤諒!通算副露アガリ点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巻島夢樹!通算放銃点</vt:lpstr>
      <vt:lpstr>関谷洸佑!通算放銃点</vt:lpstr>
      <vt:lpstr>吉澤諒!通算放銃点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巻島夢樹!通算門前アガリ点</vt:lpstr>
      <vt:lpstr>関谷洸佑!通算門前アガリ点</vt:lpstr>
      <vt:lpstr>吉澤諒!通算門前アガリ点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巻島夢樹!二位数</vt:lpstr>
      <vt:lpstr>関谷洸佑!二位数</vt:lpstr>
      <vt:lpstr>吉澤諒!二位数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巻島夢樹!二位率</vt:lpstr>
      <vt:lpstr>関谷洸佑!二位率</vt:lpstr>
      <vt:lpstr>吉澤諒!二位率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巻島夢樹!副露アガリ数</vt:lpstr>
      <vt:lpstr>関谷洸佑!副露アガリ数</vt:lpstr>
      <vt:lpstr>吉澤諒!副露アガリ数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巻島夢樹!副露アガリ点</vt:lpstr>
      <vt:lpstr>関谷洸佑!副露アガリ点</vt:lpstr>
      <vt:lpstr>吉澤諒!副露アガリ点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巻島夢樹!副露アガリ率</vt:lpstr>
      <vt:lpstr>関谷洸佑!副露アガリ率</vt:lpstr>
      <vt:lpstr>吉澤諒!副露アガリ率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巻島夢樹!副露数</vt:lpstr>
      <vt:lpstr>関谷洸佑!副露数</vt:lpstr>
      <vt:lpstr>吉澤諒!副露数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巻島夢樹!副露成功数</vt:lpstr>
      <vt:lpstr>関谷洸佑!副露成功数</vt:lpstr>
      <vt:lpstr>吉澤諒!副露成功数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巻島夢樹!副露成功率</vt:lpstr>
      <vt:lpstr>関谷洸佑!副露成功率</vt:lpstr>
      <vt:lpstr>吉澤諒!副露成功率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巻島夢樹!副露率</vt:lpstr>
      <vt:lpstr>関谷洸佑!副露率</vt:lpstr>
      <vt:lpstr>吉澤諒!副露率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巻島夢樹!平均アガリ点</vt:lpstr>
      <vt:lpstr>関谷洸佑!平均アガリ点</vt:lpstr>
      <vt:lpstr>吉澤諒!平均アガリ点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巻島夢樹!平均スコア</vt:lpstr>
      <vt:lpstr>関谷洸佑!平均スコア</vt:lpstr>
      <vt:lpstr>吉澤諒!平均スコア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巻島夢樹!平均順位</vt:lpstr>
      <vt:lpstr>関谷洸佑!平均順位</vt:lpstr>
      <vt:lpstr>吉澤諒!平均順位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巻島夢樹!平均放銃点</vt:lpstr>
      <vt:lpstr>関谷洸佑!平均放銃点</vt:lpstr>
      <vt:lpstr>吉澤諒!平均放銃点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巻島夢樹!放銃数</vt:lpstr>
      <vt:lpstr>関谷洸佑!放銃数</vt:lpstr>
      <vt:lpstr>吉澤諒!放銃数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巻島夢樹!放銃率</vt:lpstr>
      <vt:lpstr>関谷洸佑!放銃率</vt:lpstr>
      <vt:lpstr>吉澤諒!放銃率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巻島夢樹!名前</vt:lpstr>
      <vt:lpstr>関谷洸佑!名前</vt:lpstr>
      <vt:lpstr>吉澤諒!名前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巻島夢樹!門前アガリ点</vt:lpstr>
      <vt:lpstr>関谷洸佑!門前アガリ点</vt:lpstr>
      <vt:lpstr>吉澤諒!門前アガリ点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巻島夢樹!連続アガリ</vt:lpstr>
      <vt:lpstr>関谷洸佑!連続アガリ</vt:lpstr>
      <vt:lpstr>吉澤諒!連続アガリ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巻島夢樹!連続無放銃</vt:lpstr>
      <vt:lpstr>関谷洸佑!連続無放銃</vt:lpstr>
      <vt:lpstr>吉澤諒!連続無放銃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巻島夢樹!連対数</vt:lpstr>
      <vt:lpstr>関谷洸佑!連対数</vt:lpstr>
      <vt:lpstr>吉澤諒!連対数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巻島夢樹!連対率</vt:lpstr>
      <vt:lpstr>関谷洸佑!連対率</vt:lpstr>
      <vt:lpstr>吉澤諒!連対率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2022-10-13T01:40:07Z</dcterms:modified>
</cp:coreProperties>
</file>