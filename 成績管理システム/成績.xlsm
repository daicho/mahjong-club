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90DE4314-176B-4C13-8D5D-6D2B49115D49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Template (3)" sheetId="6297" state="hidden" r:id="rId29"/>
    <sheet name="Template" sheetId="2228" state="hidden" r:id="rId30"/>
  </sheets>
  <definedNames>
    <definedName name="アガリ数" localSheetId="28">'Template (3)'!$B$17</definedName>
    <definedName name="アガリ数" localSheetId="24">阿部圭太朗!$B$17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8">'Template (3)'!$C$17</definedName>
    <definedName name="アガリ率" localSheetId="24">阿部圭太朗!$C$17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8">'Template (3)'!$B$23</definedName>
    <definedName name="ダマアガリ数" localSheetId="24">阿部圭太朗!$B$23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8">'Template (3)'!#REF!</definedName>
    <definedName name="ダマアガリ点" localSheetId="24">阿部圭太朗!#REF!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8">'Template (3)'!$C$23</definedName>
    <definedName name="ダマアガリ率" localSheetId="24">阿部圭太朗!$C$23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8">'Template (3)'!$B$32</definedName>
    <definedName name="チョンボ数" localSheetId="24">阿部圭太朗!$B$32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8">'Template (3)'!$C$32</definedName>
    <definedName name="チョンボ率" localSheetId="24">阿部圭太朗!$C$32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8">'Template (3)'!$B$19</definedName>
    <definedName name="ツモ数" localSheetId="24">阿部圭太朗!$B$19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8">'Template (3)'!$C$19</definedName>
    <definedName name="ツモ率" localSheetId="24">阿部圭太朗!$C$19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8">'Template (3)'!$B$7</definedName>
    <definedName name="トップ数" localSheetId="24">阿部圭太朗!$B$7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8">'Template (3)'!$C$7</definedName>
    <definedName name="トップ率" localSheetId="24">阿部圭太朗!$C$7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8">'Template (3)'!#REF!</definedName>
    <definedName name="ふっとばし数" localSheetId="24">阿部圭太朗!#REF!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8">'Template (3)'!#REF!</definedName>
    <definedName name="ふっとばし率" localSheetId="24">阿部圭太朗!#REF!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8">'Template (3)'!$B$12</definedName>
    <definedName name="ふっとび数" localSheetId="24">阿部圭太朗!$B$12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8">'Template (3)'!$C$12</definedName>
    <definedName name="ふっとび率" localSheetId="24">阿部圭太朗!$C$12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8">'Template (3)'!$B$10</definedName>
    <definedName name="ラス数" localSheetId="24">阿部圭太朗!$B$10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8">'Template (3)'!$C$10</definedName>
    <definedName name="ラス率" localSheetId="24">阿部圭太朗!$C$10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8">'Template (3)'!$B$21</definedName>
    <definedName name="リーチアガリ数" localSheetId="24">阿部圭太朗!$B$21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8">'Template (3)'!$C$21</definedName>
    <definedName name="リーチアガリ率" localSheetId="24">阿部圭太朗!$C$21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8">'Template (3)'!$B$13</definedName>
    <definedName name="リーチ数" localSheetId="24">阿部圭太朗!$B$13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8">'Template (3)'!$B$15</definedName>
    <definedName name="リーチ成功数" localSheetId="24">阿部圭太朗!$B$15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8">'Template (3)'!$C$15</definedName>
    <definedName name="リーチ成功率" localSheetId="24">阿部圭太朗!$C$15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8">'Template (3)'!$C$13</definedName>
    <definedName name="リーチ率" localSheetId="24">阿部圭太朗!$C$13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8">'Template (3)'!$B$20</definedName>
    <definedName name="ロン数" localSheetId="24">阿部圭太朗!$B$20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8">'Template (3)'!$C$20</definedName>
    <definedName name="ロン率" localSheetId="24">阿部圭太朗!$C$20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8">'Template (3)'!#REF!</definedName>
    <definedName name="逆転数" localSheetId="24">阿部圭太朗!#REF!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8">'Template (3)'!#REF!</definedName>
    <definedName name="逆転率" localSheetId="24">阿部圭太朗!#REF!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8">'Template (3)'!$C$28</definedName>
    <definedName name="現行連続アガリ" localSheetId="24">阿部圭太朗!$C$28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8">'Template (3)'!$C$29</definedName>
    <definedName name="現行連続無放銃" localSheetId="24">阿部圭太朗!$C$29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8">'Template (3)'!$B$31</definedName>
    <definedName name="最高点" localSheetId="24">阿部圭太朗!$B$31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8">'Template (3)'!$B$30</definedName>
    <definedName name="最大ドラ数" localSheetId="24">阿部圭太朗!$B$30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8">'Template (3)'!$B$31</definedName>
    <definedName name="最大点数" localSheetId="24">阿部圭太朗!$B$31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8">'Template (3)'!$B$9</definedName>
    <definedName name="三位数" localSheetId="24">阿部圭太朗!$B$9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8">'Template (3)'!$C$9</definedName>
    <definedName name="三位率" localSheetId="24">阿部圭太朗!$C$9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8">'Template (3)'!$B$3</definedName>
    <definedName name="総局数" localSheetId="24">阿部圭太朗!$B$3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8">'Template (3)'!$B$2</definedName>
    <definedName name="対戦数" localSheetId="24">阿部圭太朗!$B$2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8">'Template (3)'!$C$24</definedName>
    <definedName name="通算アガリ点" localSheetId="24">阿部圭太朗!$C$24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8">'Template (3)'!$B$4</definedName>
    <definedName name="通算スコア" localSheetId="24">阿部圭太朗!$B$4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8">'Template (3)'!$C$26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8">'Template (3)'!$C$27</definedName>
    <definedName name="通算放銃点" localSheetId="24">阿部圭太朗!$C$27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8">'Template (3)'!$C$25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8">'Template (3)'!$B$8</definedName>
    <definedName name="二位数" localSheetId="24">阿部圭太朗!$B$8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8">'Template (3)'!$C$8</definedName>
    <definedName name="二位率" localSheetId="24">阿部圭太朗!$C$8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8">'Template (3)'!$B$22</definedName>
    <definedName name="副露アガリ数" localSheetId="24">阿部圭太朗!$B$22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8">'Template (3)'!$B$26</definedName>
    <definedName name="副露アガリ点" localSheetId="24">阿部圭太朗!$B$26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8">'Template (3)'!$C$22</definedName>
    <definedName name="副露アガリ率" localSheetId="24">阿部圭太朗!$C$22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8">'Template (3)'!$B$14</definedName>
    <definedName name="副露数" localSheetId="24">阿部圭太朗!$B$14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8">'Template (3)'!$B$16</definedName>
    <definedName name="副露成功数" localSheetId="24">阿部圭太朗!$B$16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8">'Template (3)'!$C$16</definedName>
    <definedName name="副露成功率" localSheetId="24">阿部圭太朗!$C$16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8">'Template (3)'!$C$14</definedName>
    <definedName name="副露率" localSheetId="24">阿部圭太朗!$C$14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8">'Template (3)'!$B$24</definedName>
    <definedName name="平均アガリ点" localSheetId="24">阿部圭太朗!$B$24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8">'Template (3)'!$B$5</definedName>
    <definedName name="平均スコア" localSheetId="24">阿部圭太朗!$B$5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8">'Template (3)'!$B$6</definedName>
    <definedName name="平均順位" localSheetId="24">阿部圭太朗!$B$6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8">'Template (3)'!$B$27</definedName>
    <definedName name="平均放銃点" localSheetId="24">阿部圭太朗!$B$27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8">'Template (3)'!$B$18</definedName>
    <definedName name="放銃数" localSheetId="24">阿部圭太朗!$B$18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8">'Template (3)'!$C$18</definedName>
    <definedName name="放銃率" localSheetId="24">阿部圭太朗!$C$18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8">'Template (3)'!$B$1</definedName>
    <definedName name="名前" localSheetId="24">阿部圭太朗!$B$1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8">'Template (3)'!$B$25</definedName>
    <definedName name="門前アガリ点" localSheetId="24">阿部圭太朗!$B$25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8">'Template (3)'!$B$28</definedName>
    <definedName name="連続アガリ" localSheetId="24">阿部圭太朗!$B$28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8">'Template (3)'!$B$29</definedName>
    <definedName name="連続無放銃" localSheetId="24">阿部圭太朗!$B$29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8">'Template (3)'!$B$11</definedName>
    <definedName name="連対数" localSheetId="24">阿部圭太朗!$B$11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8">'Template (3)'!$C$11</definedName>
    <definedName name="連対率" localSheetId="24">阿部圭太朗!$C$11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296" l="1"/>
  <c r="O19" i="6296"/>
  <c r="O18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8" i="6295"/>
  <c r="O22" i="6277"/>
  <c r="O19" i="6287"/>
  <c r="O2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C11" i="6296"/>
  <c r="B11" i="6296"/>
  <c r="H10" i="6296"/>
  <c r="C10" i="6296"/>
  <c r="O9" i="6296"/>
  <c r="C9" i="6296"/>
  <c r="O8" i="6296"/>
  <c r="C8" i="6296"/>
  <c r="O7" i="6296"/>
  <c r="C7" i="6296"/>
  <c r="O6" i="6296"/>
  <c r="H6" i="6296"/>
  <c r="B6" i="6296"/>
  <c r="O5" i="6296"/>
  <c r="B5" i="6296"/>
  <c r="O4" i="6296"/>
  <c r="O3" i="6296"/>
  <c r="H3" i="6296"/>
  <c r="O2" i="6296"/>
  <c r="O20" i="6293"/>
  <c r="O19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5" i="6296"/>
  <c r="H9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4" i="6296"/>
  <c r="H8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7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3" i="6295" l="1"/>
  <c r="O28" i="6275"/>
  <c r="O26" i="6287" l="1"/>
  <c r="O24" i="6274"/>
  <c r="O21" i="6274"/>
  <c r="O18" i="6293"/>
  <c r="O22" i="6295" l="1"/>
  <c r="O20" i="6295"/>
  <c r="O21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1" i="6287"/>
  <c r="O28" i="6277"/>
  <c r="O21" i="6277"/>
  <c r="O28" i="6272"/>
  <c r="O26" i="6272"/>
  <c r="B25" i="6294" l="1"/>
  <c r="C37" i="6294"/>
  <c r="H31" i="6294"/>
  <c r="H11" i="6295"/>
  <c r="H10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9" i="6295"/>
  <c r="H5" i="6295"/>
  <c r="H13" i="6295"/>
  <c r="H7" i="6295"/>
  <c r="H8" i="6295"/>
  <c r="H6" i="6295"/>
  <c r="H16" i="6295"/>
  <c r="C17" i="6295"/>
  <c r="C20" i="6295"/>
  <c r="H27" i="6295"/>
  <c r="H34" i="6295"/>
  <c r="H38" i="6295"/>
  <c r="C45" i="6295"/>
  <c r="C16" i="6295"/>
  <c r="C38" i="6295"/>
  <c r="H31" i="6295"/>
  <c r="H4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3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1" i="6293" l="1"/>
  <c r="O19" i="6293"/>
  <c r="O22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3" i="6287"/>
  <c r="O21" i="6275"/>
  <c r="O29" i="6272"/>
  <c r="O18" i="6277"/>
  <c r="O21" i="6286"/>
  <c r="O23" i="6292"/>
  <c r="O21" i="6292"/>
  <c r="O22" i="6292"/>
  <c r="O18" i="6291"/>
  <c r="H8" i="6293" l="1"/>
  <c r="H5" i="6293"/>
  <c r="C22" i="6293"/>
  <c r="H34" i="6293"/>
  <c r="H9" i="6293"/>
  <c r="H14" i="6293"/>
  <c r="C43" i="6293"/>
  <c r="C23" i="6293"/>
  <c r="H3" i="6293"/>
  <c r="H35" i="6293"/>
  <c r="C46" i="6293"/>
  <c r="H11" i="6293"/>
  <c r="H24" i="6293"/>
  <c r="C17" i="6293"/>
  <c r="B24" i="6293"/>
  <c r="C38" i="6293"/>
  <c r="H7" i="6293"/>
  <c r="H39" i="6293"/>
  <c r="H6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4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8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2" i="6287"/>
  <c r="O20" i="6291"/>
  <c r="O24" i="6291"/>
  <c r="O20" i="6289"/>
  <c r="O24" i="6289"/>
  <c r="O21" i="6280"/>
  <c r="O22" i="6289"/>
  <c r="O32" i="6287" l="1"/>
  <c r="O31" i="6284"/>
  <c r="O20" i="6273"/>
  <c r="O4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4" i="6277"/>
  <c r="O25" i="6272"/>
  <c r="O31" i="6287"/>
  <c r="O29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1" i="6277" l="1"/>
  <c r="O25" i="6287"/>
  <c r="O24" i="6287"/>
  <c r="O21" i="6273"/>
  <c r="O28" i="6287"/>
  <c r="O27" i="6287"/>
  <c r="O30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7" i="6272"/>
  <c r="C39" i="6287" l="1"/>
  <c r="H41" i="6287"/>
  <c r="H5" i="6287"/>
  <c r="H12" i="6287"/>
  <c r="H22" i="6287"/>
  <c r="H13" i="6287"/>
  <c r="C20" i="6287"/>
  <c r="H11" i="6287"/>
  <c r="H2" i="6287"/>
  <c r="B24" i="6287"/>
  <c r="H14" i="6287"/>
  <c r="H6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3" i="6287"/>
  <c r="C17" i="6287"/>
  <c r="H9" i="6287"/>
  <c r="H7" i="6287"/>
  <c r="H20" i="6287"/>
  <c r="H10" i="6287"/>
  <c r="H28" i="6287"/>
  <c r="C37" i="6287"/>
  <c r="C43" i="6287"/>
  <c r="C22" i="6287"/>
  <c r="H18" i="6287"/>
  <c r="C23" i="6287"/>
  <c r="H29" i="6287"/>
  <c r="H38" i="6287"/>
  <c r="C46" i="6287"/>
  <c r="H37" i="6287"/>
  <c r="H4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8" i="6287"/>
  <c r="H15" i="6287"/>
  <c r="C21" i="6287"/>
  <c r="B25" i="6287"/>
  <c r="H31" i="6287"/>
  <c r="C36" i="6287"/>
  <c r="C40" i="6287"/>
  <c r="O29" i="6286" l="1"/>
  <c r="O24" i="6284"/>
  <c r="O24" i="6275"/>
  <c r="O24" i="6276"/>
  <c r="O27" i="6277"/>
  <c r="O28" i="6284"/>
  <c r="O27" i="6286"/>
  <c r="O24" i="6286"/>
  <c r="O20" i="6278" l="1"/>
  <c r="O19" i="6278"/>
  <c r="O25" i="6277"/>
  <c r="O23" i="6284"/>
  <c r="O30" i="6284"/>
  <c r="O23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5" i="6274" l="1"/>
  <c r="O19" i="6274"/>
  <c r="O19" i="6280"/>
  <c r="O25" i="6284"/>
  <c r="O18" i="6285"/>
  <c r="O22" i="6285"/>
  <c r="O31" i="6280"/>
  <c r="O18" i="6276"/>
  <c r="O30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1" i="6272"/>
  <c r="O23" i="6278"/>
  <c r="O18" i="6278"/>
  <c r="O18" i="6275"/>
  <c r="O26" i="6275"/>
  <c r="O22" i="6275"/>
  <c r="O21" i="6282"/>
  <c r="O22" i="6282"/>
  <c r="O3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8" i="6274"/>
  <c r="O29" i="6274"/>
  <c r="O33" i="6277"/>
  <c r="O32" i="6277"/>
  <c r="O26" i="6277"/>
  <c r="O3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6" i="6274"/>
  <c r="O27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9" i="6272"/>
  <c r="O34" i="6277"/>
  <c r="O35" i="6277"/>
  <c r="O23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7" i="6272"/>
  <c r="O38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7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21" i="6277"/>
  <c r="H37" i="6277"/>
  <c r="C19" i="6277"/>
  <c r="H11" i="6277"/>
  <c r="H16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8" i="6277"/>
  <c r="H14" i="6277"/>
  <c r="C20" i="6277"/>
  <c r="H29" i="6277"/>
  <c r="H39" i="6277"/>
  <c r="H24" i="6277"/>
  <c r="H12" i="6277"/>
  <c r="H41" i="6277"/>
  <c r="H32" i="6277"/>
  <c r="H10" i="6277"/>
  <c r="H8" i="6277"/>
  <c r="H20" i="6277"/>
  <c r="C23" i="6277"/>
  <c r="H3" i="6277"/>
  <c r="C17" i="6277"/>
  <c r="C22" i="6277"/>
  <c r="C42" i="6277"/>
  <c r="H19" i="6277"/>
  <c r="H25" i="6277"/>
  <c r="H34" i="6277"/>
  <c r="C46" i="6277"/>
  <c r="H15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9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2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5" i="6272"/>
  <c r="O40" i="6272"/>
  <c r="O3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4" i="6274"/>
  <c r="H29" i="6274"/>
  <c r="H11" i="6274"/>
  <c r="H31" i="6274"/>
  <c r="H3" i="6274"/>
  <c r="C23" i="6274"/>
  <c r="C39" i="6274"/>
  <c r="H8" i="6274"/>
  <c r="H19" i="6274"/>
  <c r="H12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7" i="6274"/>
  <c r="C45" i="6274"/>
  <c r="H5" i="6274"/>
  <c r="C19" i="6274"/>
  <c r="B24" i="6274"/>
  <c r="H4" i="6274"/>
  <c r="H10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2" i="6274"/>
  <c r="H23" i="6274"/>
  <c r="H27" i="6274"/>
  <c r="H30" i="6274"/>
  <c r="H36" i="6274"/>
  <c r="H40" i="6274"/>
  <c r="C44" i="6274"/>
  <c r="B25" i="6274"/>
  <c r="H21" i="6274"/>
  <c r="H24" i="6274"/>
  <c r="H9" i="6274"/>
  <c r="H32" i="6274"/>
  <c r="H37" i="6274"/>
  <c r="H41" i="6274"/>
  <c r="H18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5" i="6272"/>
  <c r="H25" i="6272"/>
  <c r="C38" i="6272"/>
  <c r="H28" i="6272"/>
  <c r="H20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7" i="6272"/>
  <c r="C17" i="6272"/>
  <c r="C23" i="6272"/>
  <c r="H26" i="6272"/>
  <c r="B24" i="6272"/>
  <c r="H8" i="6272"/>
  <c r="H29" i="6272"/>
  <c r="H16" i="6272"/>
  <c r="H35" i="6272"/>
  <c r="C40" i="6272"/>
  <c r="C47" i="6272"/>
  <c r="B25" i="6272"/>
  <c r="H13" i="6272"/>
  <c r="H12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<sst xmlns="http://schemas.openxmlformats.org/spreadsheetml/2006/main" count="5130" uniqueCount="224">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</sst>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全体!$K$2:$K$179</c:f>
              <c:numCache>
                <c:formatCode>General</c:formatCode>
                <c:ptCount val="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</c:numCache>
            </c:numRef>
          </c:xVal>
          <c:yVal>
            <c:numRef>
              <c:f>全体!$L$2:$L$179</c:f>
              <c:numCache>
                <c:formatCode>\+0.0;\-0.0;\±0</c:formatCode>
                <c:ptCount val="17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-62.146892655367232</c:v>
                </c:pt>
                <c:pt idx="1">
                  <c:v>5.6497175141242941</c:v>
                </c:pt>
                <c:pt idx="2">
                  <c:v>-10.169491525423728</c:v>
                </c:pt>
                <c:pt idx="3">
                  <c:v>0</c:v>
                </c:pt>
                <c:pt idx="4">
                  <c:v>22.727272727272727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34</c:v>
                </c:pt>
                <c:pt idx="1">
                  <c:v>60</c:v>
                </c:pt>
                <c:pt idx="2">
                  <c:v>68</c:v>
                </c:pt>
                <c:pt idx="3">
                  <c:v>54</c:v>
                </c:pt>
                <c:pt idx="4">
                  <c:v>29</c:v>
                </c:pt>
                <c:pt idx="5">
                  <c:v>31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佐藤成浩!$L$2:$L$30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1450</c:v>
                </c:pt>
                <c:pt idx="2">
                  <c:v>1303.5714285714287</c:v>
                </c:pt>
                <c:pt idx="3">
                  <c:v>876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13</c:v>
                </c:pt>
                <c:pt idx="4">
                  <c:v>4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柳澤颯吾!$L$2:$L$21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189.47368421052633</c:v>
                </c:pt>
                <c:pt idx="1">
                  <c:v>-1084.2105263157894</c:v>
                </c:pt>
                <c:pt idx="2">
                  <c:v>-815.78947368421052</c:v>
                </c:pt>
                <c:pt idx="3">
                  <c:v>-606.25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10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阿部圭太朗!$L$2:$L$7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340</c:v>
                </c:pt>
                <c:pt idx="1">
                  <c:v>-780</c:v>
                </c:pt>
                <c:pt idx="2">
                  <c:v>-4180</c:v>
                </c:pt>
                <c:pt idx="3">
                  <c:v>-500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関谷洸佑!$L$2:$L$8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-233.33333333333334</c:v>
                </c:pt>
                <c:pt idx="1">
                  <c:v>-16.666666666666668</c:v>
                </c:pt>
                <c:pt idx="2">
                  <c:v>-800</c:v>
                </c:pt>
                <c:pt idx="3">
                  <c:v>-2325</c:v>
                </c:pt>
                <c:pt idx="4">
                  <c:v>-5000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巻島夢樹!$L$2:$L$3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-5900</c:v>
                </c:pt>
                <c:pt idx="2">
                  <c:v>-6100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7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44491.041319444441</v>
      </c>
      <c r="C2" s="24" t="s">
        <v>102</v>
      </c>
    </row>
    <row r="3" spans="1:4">
      <c r="A3" s="24" t="s">
        <v>165</v>
      </c>
      <c r="B3" s="25">
        <v>44491.041319444441</v>
      </c>
      <c r="C3" s="24" t="s">
        <v>102</v>
      </c>
    </row>
    <row r="4" spans="1:4">
      <c r="A4" s="24" t="s">
        <v>174</v>
      </c>
      <c r="B4" s="25">
        <v>44491.041319444441</v>
      </c>
      <c r="C4" s="24" t="s">
        <v>102</v>
      </c>
      <c r="D4" s="24" t="s">
        <v>176</v>
      </c>
    </row>
    <row r="5" spans="1:4">
      <c r="A5" s="24" t="s">
        <v>178</v>
      </c>
      <c r="B5" s="25">
        <v>44491.041319444441</v>
      </c>
      <c r="C5" s="24" t="s">
        <v>102</v>
      </c>
      <c r="D5" s="24" t="s">
        <v>176</v>
      </c>
    </row>
    <row r="6" spans="1:4">
      <c r="A6" s="24" t="s">
        <v>188</v>
      </c>
      <c r="B6" s="25">
        <v>44491.041319444441</v>
      </c>
      <c r="C6" s="24" t="s">
        <v>102</v>
      </c>
      <c r="D6" s="24" t="s">
        <v>176</v>
      </c>
    </row>
    <row r="7" spans="1:4">
      <c r="A7" s="24" t="s">
        <v>189</v>
      </c>
      <c r="B7" s="25">
        <v>44491.041319444441</v>
      </c>
      <c r="C7" s="24" t="s">
        <v>102</v>
      </c>
      <c r="D7" s="24" t="s">
        <v>176</v>
      </c>
    </row>
    <row r="8" spans="1:4">
      <c r="A8" s="24" t="s">
        <v>190</v>
      </c>
      <c r="B8" s="25">
        <v>44491.041319444441</v>
      </c>
      <c r="C8" s="24" t="s">
        <v>102</v>
      </c>
      <c r="D8" s="24" t="s">
        <v>176</v>
      </c>
    </row>
    <row r="9" spans="1:4">
      <c r="A9" s="24" t="s">
        <v>192</v>
      </c>
      <c r="B9" s="25">
        <v>44491.041319444441</v>
      </c>
      <c r="C9" s="24" t="s">
        <v>102</v>
      </c>
      <c r="D9" s="24" t="s">
        <v>176</v>
      </c>
    </row>
    <row r="10" spans="1:4">
      <c r="A10" s="24" t="s">
        <v>193</v>
      </c>
      <c r="B10" s="25">
        <v>44491.041319444441</v>
      </c>
      <c r="C10" s="24" t="s">
        <v>102</v>
      </c>
      <c r="D10" s="24" t="s">
        <v>176</v>
      </c>
    </row>
    <row r="11" spans="1:4">
      <c r="A11" s="24" t="s">
        <v>194</v>
      </c>
      <c r="B11" s="25">
        <v>44491.041319444441</v>
      </c>
      <c r="C11" s="24" t="s">
        <v>102</v>
      </c>
      <c r="D11" s="24" t="s">
        <v>176</v>
      </c>
    </row>
    <row r="12" spans="1:4">
      <c r="A12" s="24" t="s">
        <v>197</v>
      </c>
      <c r="B12" s="25">
        <v>44491.041319444441</v>
      </c>
      <c r="C12" s="24" t="s">
        <v>102</v>
      </c>
      <c r="D12" s="24" t="s">
        <v>176</v>
      </c>
    </row>
    <row r="13" spans="1:4">
      <c r="A13" s="24" t="s">
        <v>198</v>
      </c>
      <c r="B13" s="25">
        <v>44491.041319444441</v>
      </c>
      <c r="C13" s="24" t="s">
        <v>102</v>
      </c>
      <c r="D13" s="24" t="s">
        <v>176</v>
      </c>
    </row>
    <row r="14" spans="1:4">
      <c r="A14" s="24" t="s">
        <v>201</v>
      </c>
      <c r="B14" s="25">
        <v>44491.041319444441</v>
      </c>
      <c r="C14" s="24" t="s">
        <v>102</v>
      </c>
      <c r="D14" s="24" t="s">
        <v>176</v>
      </c>
    </row>
    <row r="15" spans="1:4">
      <c r="A15" s="24" t="s">
        <v>204</v>
      </c>
      <c r="B15" s="25">
        <v>44491.041319444441</v>
      </c>
      <c r="C15" s="24" t="s">
        <v>102</v>
      </c>
      <c r="D15" s="24" t="s">
        <v>176</v>
      </c>
    </row>
    <row r="16" spans="1:4">
      <c r="A16" s="24" t="s">
        <v>206</v>
      </c>
      <c r="B16" s="25">
        <v>44491.041319444441</v>
      </c>
      <c r="C16" s="24" t="s">
        <v>102</v>
      </c>
      <c r="D16" s="24" t="s">
        <v>176</v>
      </c>
    </row>
    <row r="17" spans="1:5">
      <c r="A17" s="24" t="s">
        <v>207</v>
      </c>
      <c r="B17" s="25">
        <v>44491.041319444441</v>
      </c>
      <c r="C17" s="24" t="s">
        <v>102</v>
      </c>
      <c r="D17" s="24" t="s">
        <v>176</v>
      </c>
    </row>
    <row r="18" spans="1:5">
      <c r="A18" s="24" t="s">
        <v>209</v>
      </c>
      <c r="B18" s="25">
        <v>44491.041319444441</v>
      </c>
      <c r="C18" s="24" t="s">
        <v>102</v>
      </c>
    </row>
    <row r="19" spans="1:5">
      <c r="A19" s="24" t="s">
        <v>210</v>
      </c>
      <c r="B19" s="25">
        <v>44491.041319444441</v>
      </c>
      <c r="C19" s="24" t="s">
        <v>102</v>
      </c>
      <c r="D19" s="24" t="s">
        <v>176</v>
      </c>
    </row>
    <row r="20" spans="1:5">
      <c r="A20" s="24" t="s">
        <v>211</v>
      </c>
      <c r="B20" s="25">
        <v>44491.041319444441</v>
      </c>
      <c r="C20" s="24" t="s">
        <v>102</v>
      </c>
      <c r="D20" s="24" t="s">
        <v>176</v>
      </c>
    </row>
    <row r="21" spans="1:5">
      <c r="A21" s="24" t="s">
        <v>212</v>
      </c>
      <c r="B21" s="25">
        <v>44491.041319444441</v>
      </c>
      <c r="C21" s="24" t="s">
        <v>102</v>
      </c>
    </row>
    <row r="22" spans="1:5">
      <c r="A22" s="24" t="s">
        <v>214</v>
      </c>
      <c r="B22" s="25">
        <v>44442.062372685185</v>
      </c>
      <c r="C22" s="24" t="s">
        <v>102</v>
      </c>
    </row>
    <row r="23" spans="1:5">
      <c r="A23" s="24" t="s">
        <v>217</v>
      </c>
      <c r="B23" s="25">
        <v>44442.062372685185</v>
      </c>
      <c r="C23" s="24" t="s">
        <v>102</v>
      </c>
    </row>
    <row r="24" spans="1:5">
      <c r="A24" s="24" t="s">
        <v>218</v>
      </c>
      <c r="B24" s="25">
        <v>44442.062372685185</v>
      </c>
      <c r="C24" s="24" t="s">
        <v>102</v>
      </c>
    </row>
    <row r="25" spans="1:5">
      <c r="A25" s="24" t="s">
        <v>219</v>
      </c>
      <c r="B25" s="25">
        <v>44442.062372685185</v>
      </c>
      <c r="C25" s="24" t="s">
        <v>102</v>
      </c>
      <c r="D25" s="24" t="s">
        <v>176</v>
      </c>
    </row>
    <row r="26" spans="1:5">
      <c r="A26" s="24" t="s">
        <v>220</v>
      </c>
      <c r="B26" s="25">
        <v>44491.041307870371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44532.781423611108</v>
      </c>
      <c r="C27" s="24" t="s">
        <v>102</v>
      </c>
      <c r="D2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5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177</v>
      </c>
    </row>
    <row r="2" spans="1:2">
      <c r="A2" t="s">
        <v>164</v>
      </c>
      <c r="B2">
        <v>15</v>
      </c>
    </row>
    <row r="3" spans="1:2">
      <c r="A3" t="s">
        <v>161</v>
      </c>
      <c r="B3">
        <v>9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28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5</v>
      </c>
    </row>
    <row r="23" spans="1:2">
      <c r="A23" t="s">
        <v>215</v>
      </c>
      <c r="B23">
        <v>1</v>
      </c>
    </row>
    <row r="24" spans="1:2">
      <c r="A24" t="s">
        <v>216</v>
      </c>
      <c r="B24">
        <v>6</v>
      </c>
    </row>
    <row r="25" spans="1:2">
      <c r="A25" t="s">
        <v>223</v>
      </c>
      <c r="B25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7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0" t="s">
        <v>9</v>
      </c>
      <c r="C1" s="151"/>
      <c r="D1" s="150" t="s">
        <v>6</v>
      </c>
      <c r="E1" s="151"/>
      <c r="F1" s="150" t="s">
        <v>7</v>
      </c>
      <c r="G1" s="151"/>
      <c r="H1" s="150" t="s">
        <v>15</v>
      </c>
      <c r="I1" s="151"/>
      <c r="J1" s="150" t="s">
        <v>14</v>
      </c>
      <c r="K1" s="151"/>
      <c r="L1" s="150" t="s">
        <v>125</v>
      </c>
      <c r="M1" s="151"/>
      <c r="N1" s="150" t="s">
        <v>154</v>
      </c>
      <c r="O1" s="151"/>
      <c r="P1" s="150" t="s">
        <v>115</v>
      </c>
      <c r="Q1" s="151"/>
      <c r="R1" s="150" t="s">
        <v>116</v>
      </c>
      <c r="S1" s="151"/>
      <c r="T1" s="150" t="s">
        <v>5</v>
      </c>
      <c r="U1" s="151"/>
      <c r="V1" s="150" t="s">
        <v>16</v>
      </c>
      <c r="W1" s="151"/>
      <c r="X1" s="150" t="s">
        <v>98</v>
      </c>
      <c r="Y1" s="151"/>
      <c r="Z1" s="150" t="s">
        <v>95</v>
      </c>
      <c r="AA1" s="151"/>
      <c r="AB1" s="150" t="s">
        <v>101</v>
      </c>
      <c r="AC1" s="151"/>
      <c r="AD1" s="150" t="s">
        <v>117</v>
      </c>
      <c r="AE1" s="151"/>
      <c r="AF1" s="150" t="s">
        <v>113</v>
      </c>
      <c r="AG1" s="151"/>
      <c r="AH1" s="150" t="s">
        <v>148</v>
      </c>
      <c r="AI1" s="151"/>
    </row>
    <row r="2" spans="1:35">
      <c r="A2" s="58" t="s">
        <v>124</v>
      </c>
      <c r="B2" s="154">
        <v>0.68607401536578771</v>
      </c>
      <c r="C2" s="155"/>
      <c r="D2" s="152"/>
      <c r="E2" s="153"/>
      <c r="F2" s="152"/>
      <c r="G2" s="153"/>
      <c r="H2" s="154">
        <v>0.89299728001637757</v>
      </c>
      <c r="I2" s="155"/>
      <c r="J2" s="154">
        <v>0.85878598330367584</v>
      </c>
      <c r="K2" s="155"/>
      <c r="L2" s="154">
        <v>0.33642579757749863</v>
      </c>
      <c r="M2" s="155"/>
      <c r="N2" s="154">
        <v>0.69275050039639907</v>
      </c>
      <c r="O2" s="155"/>
      <c r="P2" s="154">
        <v>0.22512334374952606</v>
      </c>
      <c r="Q2" s="155"/>
      <c r="R2" s="154">
        <v>0.30739923292211468</v>
      </c>
      <c r="S2" s="155"/>
      <c r="T2" s="154">
        <v>0.79136130937358395</v>
      </c>
      <c r="U2" s="155"/>
      <c r="V2" s="154">
        <v>0.49069329212736851</v>
      </c>
      <c r="W2" s="155"/>
      <c r="X2" s="154">
        <v>-0.29625235002966038</v>
      </c>
      <c r="Y2" s="155"/>
      <c r="Z2" s="154">
        <v>-0.47011754437316544</v>
      </c>
      <c r="AA2" s="155"/>
      <c r="AB2" s="154">
        <v>0.58890992376033746</v>
      </c>
      <c r="AC2" s="155"/>
      <c r="AD2" s="154">
        <v>3.1935714050732554E-2</v>
      </c>
      <c r="AE2" s="155"/>
      <c r="AF2" s="154">
        <v>-0.49069656323470262</v>
      </c>
      <c r="AG2" s="155"/>
      <c r="AH2" s="154">
        <v>0.78401646474797293</v>
      </c>
      <c r="AI2" s="155"/>
    </row>
    <row r="3" spans="1:35">
      <c r="A3" s="60">
        <v>1</v>
      </c>
      <c r="B3" s="61" t="s">
        <v>114</v>
      </c>
      <c r="C3" s="132">
        <v>44.25</v>
      </c>
      <c r="D3" s="61" t="s">
        <v>169</v>
      </c>
      <c r="E3" s="62">
        <v>530.50000000000011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213</v>
      </c>
      <c r="AG3" s="66">
        <v>0.66666666666666663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28</v>
      </c>
      <c r="D4" s="69" t="s">
        <v>162</v>
      </c>
      <c r="E4" s="70">
        <v>268</v>
      </c>
      <c r="F4" s="71" t="s">
        <v>162</v>
      </c>
      <c r="G4" s="83">
        <v>29.777777777777779</v>
      </c>
      <c r="H4" s="71" t="s">
        <v>162</v>
      </c>
      <c r="I4" s="72">
        <v>1.8888888888888888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175</v>
      </c>
      <c r="U4" s="75">
        <v>8400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162</v>
      </c>
      <c r="AC4" s="74">
        <v>0.75</v>
      </c>
      <c r="AD4" s="71" t="s">
        <v>166</v>
      </c>
      <c r="AE4" s="74">
        <v>0.66666666666666663</v>
      </c>
      <c r="AF4" s="71" t="s">
        <v>163</v>
      </c>
      <c r="AG4" s="74">
        <v>0.6</v>
      </c>
      <c r="AH4" s="71" t="s">
        <v>162</v>
      </c>
      <c r="AI4" s="78">
        <v>67800</v>
      </c>
    </row>
    <row r="5" spans="1:35">
      <c r="A5" s="68">
        <v>3</v>
      </c>
      <c r="B5" s="69" t="s">
        <v>195</v>
      </c>
      <c r="C5" s="133">
        <v>19</v>
      </c>
      <c r="D5" s="69" t="s">
        <v>168</v>
      </c>
      <c r="E5" s="70">
        <v>154.39999999999998</v>
      </c>
      <c r="F5" s="71" t="s">
        <v>169</v>
      </c>
      <c r="G5" s="83">
        <v>18.946428571428577</v>
      </c>
      <c r="H5" s="71" t="s">
        <v>167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164</v>
      </c>
      <c r="S5" s="74">
        <v>9.0909090909090912E-2</v>
      </c>
      <c r="T5" s="71" t="s">
        <v>205</v>
      </c>
      <c r="U5" s="75">
        <v>8333.3333333333339</v>
      </c>
      <c r="V5" s="71" t="s">
        <v>223</v>
      </c>
      <c r="W5" s="75">
        <v>-2000</v>
      </c>
      <c r="X5" s="71" t="s">
        <v>175</v>
      </c>
      <c r="Y5" s="74">
        <v>0.26666666666666666</v>
      </c>
      <c r="Z5" s="71" t="s">
        <v>163</v>
      </c>
      <c r="AA5" s="74">
        <v>0.3188405797101449</v>
      </c>
      <c r="AB5" s="71" t="s">
        <v>166</v>
      </c>
      <c r="AC5" s="74">
        <v>0.75</v>
      </c>
      <c r="AD5" s="71" t="s">
        <v>216</v>
      </c>
      <c r="AE5" s="74">
        <v>0.66666666666666663</v>
      </c>
      <c r="AF5" s="71" t="s">
        <v>166</v>
      </c>
      <c r="AG5" s="74">
        <v>0.5714285714285714</v>
      </c>
      <c r="AH5" s="71" t="s">
        <v>168</v>
      </c>
      <c r="AI5" s="78">
        <v>65600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169</v>
      </c>
      <c r="I6" s="72">
        <v>2.0357142857142856</v>
      </c>
      <c r="J6" s="71" t="s">
        <v>169</v>
      </c>
      <c r="K6" s="73">
        <v>0.39285714285714285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0.26923076923076922</v>
      </c>
      <c r="R6" s="71" t="s">
        <v>169</v>
      </c>
      <c r="S6" s="74">
        <v>9.1743119266055051E-2</v>
      </c>
      <c r="T6" s="71" t="s">
        <v>162</v>
      </c>
      <c r="U6" s="75">
        <v>7942.8571428571431</v>
      </c>
      <c r="V6" s="71" t="s">
        <v>175</v>
      </c>
      <c r="W6" s="75">
        <v>-2950</v>
      </c>
      <c r="X6" s="71" t="s">
        <v>164</v>
      </c>
      <c r="Y6" s="74">
        <v>0.26446280991735538</v>
      </c>
      <c r="Z6" s="71" t="s">
        <v>180</v>
      </c>
      <c r="AA6" s="74">
        <v>0.2857142857142857</v>
      </c>
      <c r="AB6" s="71" t="s">
        <v>175</v>
      </c>
      <c r="AC6" s="74">
        <v>0.75</v>
      </c>
      <c r="AD6" s="71" t="s">
        <v>162</v>
      </c>
      <c r="AE6" s="74">
        <v>0.55555555555555558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179</v>
      </c>
      <c r="C7" s="133">
        <v>16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169</v>
      </c>
      <c r="O7" s="73">
        <v>0.6428571428571429</v>
      </c>
      <c r="P7" s="71" t="s">
        <v>179</v>
      </c>
      <c r="Q7" s="74">
        <v>0.24427480916030533</v>
      </c>
      <c r="R7" s="71" t="s">
        <v>177</v>
      </c>
      <c r="S7" s="74">
        <v>0.10526315789473684</v>
      </c>
      <c r="T7" s="71" t="s">
        <v>169</v>
      </c>
      <c r="U7" s="75">
        <v>7753.0612244897957</v>
      </c>
      <c r="V7" s="71" t="s">
        <v>191</v>
      </c>
      <c r="W7" s="75">
        <v>-3740</v>
      </c>
      <c r="X7" s="71" t="s">
        <v>162</v>
      </c>
      <c r="Y7" s="74">
        <v>0.25641025641025639</v>
      </c>
      <c r="Z7" s="71" t="s">
        <v>164</v>
      </c>
      <c r="AA7" s="74">
        <v>0.256198347107438</v>
      </c>
      <c r="AB7" s="71" t="s">
        <v>177</v>
      </c>
      <c r="AC7" s="74">
        <v>0.75</v>
      </c>
      <c r="AD7" s="71" t="s">
        <v>196</v>
      </c>
      <c r="AE7" s="74">
        <v>0.5</v>
      </c>
      <c r="AF7" s="71" t="s">
        <v>203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169</v>
      </c>
      <c r="M8" s="73">
        <v>7.1428571428571425E-2</v>
      </c>
      <c r="N8" s="71" t="s">
        <v>164</v>
      </c>
      <c r="O8" s="73">
        <v>0.6</v>
      </c>
      <c r="P8" s="71" t="s">
        <v>169</v>
      </c>
      <c r="Q8" s="74">
        <v>0.22477064220183487</v>
      </c>
      <c r="R8" s="71" t="s">
        <v>179</v>
      </c>
      <c r="S8" s="74">
        <v>0.10687022900763359</v>
      </c>
      <c r="T8" s="71" t="s">
        <v>164</v>
      </c>
      <c r="U8" s="75">
        <v>7355</v>
      </c>
      <c r="V8" s="71" t="s">
        <v>215</v>
      </c>
      <c r="W8" s="75">
        <v>-3900</v>
      </c>
      <c r="X8" s="71" t="s">
        <v>196</v>
      </c>
      <c r="Y8" s="74">
        <v>0.25</v>
      </c>
      <c r="Z8" s="71" t="s">
        <v>195</v>
      </c>
      <c r="AA8" s="74">
        <v>0.25563909774436089</v>
      </c>
      <c r="AB8" s="71" t="s">
        <v>168</v>
      </c>
      <c r="AC8" s="74">
        <v>0.7142857142857143</v>
      </c>
      <c r="AD8" s="71" t="s">
        <v>179</v>
      </c>
      <c r="AE8" s="74">
        <v>0.45454545454545453</v>
      </c>
      <c r="AF8" s="71" t="s">
        <v>161</v>
      </c>
      <c r="AG8" s="74">
        <v>0.46153846153846156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114</v>
      </c>
      <c r="K9" s="73">
        <v>0.25988700564971751</v>
      </c>
      <c r="L9" s="71" t="s">
        <v>191</v>
      </c>
      <c r="M9" s="73">
        <v>7.1428571428571425E-2</v>
      </c>
      <c r="N9" s="71" t="s">
        <v>213</v>
      </c>
      <c r="O9" s="73">
        <v>0.6</v>
      </c>
      <c r="P9" s="71" t="s">
        <v>163</v>
      </c>
      <c r="Q9" s="74">
        <v>0.21739130434782608</v>
      </c>
      <c r="R9" s="71" t="s">
        <v>205</v>
      </c>
      <c r="S9" s="74">
        <v>0.10714285714285714</v>
      </c>
      <c r="T9" s="71" t="s">
        <v>213</v>
      </c>
      <c r="U9" s="75">
        <v>7066.666666666667</v>
      </c>
      <c r="V9" s="71" t="s">
        <v>202</v>
      </c>
      <c r="W9" s="75">
        <v>-4800</v>
      </c>
      <c r="X9" s="71" t="s">
        <v>205</v>
      </c>
      <c r="Y9" s="74">
        <v>0.25</v>
      </c>
      <c r="Z9" s="71" t="s">
        <v>179</v>
      </c>
      <c r="AA9" s="74">
        <v>0.25190839694656486</v>
      </c>
      <c r="AB9" s="71" t="s">
        <v>169</v>
      </c>
      <c r="AC9" s="74">
        <v>0.71052631578947367</v>
      </c>
      <c r="AD9" s="71" t="s">
        <v>168</v>
      </c>
      <c r="AE9" s="74">
        <v>0.38297872340425532</v>
      </c>
      <c r="AF9" s="71" t="s">
        <v>195</v>
      </c>
      <c r="AG9" s="74">
        <v>0.44444444444444442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9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195</v>
      </c>
      <c r="M10" s="73">
        <v>0.15789473684210525</v>
      </c>
      <c r="N10" s="71" t="s">
        <v>168</v>
      </c>
      <c r="O10" s="73">
        <v>0.55555555555555558</v>
      </c>
      <c r="P10" s="71" t="s">
        <v>177</v>
      </c>
      <c r="Q10" s="74">
        <v>0.21052631578947367</v>
      </c>
      <c r="R10" s="71" t="s">
        <v>213</v>
      </c>
      <c r="S10" s="74">
        <v>0.10714285714285714</v>
      </c>
      <c r="T10" s="71" t="s">
        <v>161</v>
      </c>
      <c r="U10" s="75">
        <v>6884.6153846153848</v>
      </c>
      <c r="V10" s="71" t="s">
        <v>169</v>
      </c>
      <c r="W10" s="75">
        <v>-4890</v>
      </c>
      <c r="X10" s="71" t="s">
        <v>195</v>
      </c>
      <c r="Y10" s="74">
        <v>0.21804511278195488</v>
      </c>
      <c r="Z10" s="71" t="s">
        <v>196</v>
      </c>
      <c r="AA10" s="74">
        <v>0.25</v>
      </c>
      <c r="AB10" s="71" t="s">
        <v>114</v>
      </c>
      <c r="AC10" s="74">
        <v>0.51908396946564883</v>
      </c>
      <c r="AD10" s="71" t="s">
        <v>191</v>
      </c>
      <c r="AE10" s="74">
        <v>0.35714285714285715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2.4802259887005649</v>
      </c>
      <c r="J11" s="71" t="s">
        <v>161</v>
      </c>
      <c r="K11" s="73">
        <v>0.22222222222222221</v>
      </c>
      <c r="L11" s="71" t="s">
        <v>179</v>
      </c>
      <c r="M11" s="73">
        <v>0.1875</v>
      </c>
      <c r="N11" s="71" t="s">
        <v>114</v>
      </c>
      <c r="O11" s="73">
        <v>0.50282485875706218</v>
      </c>
      <c r="P11" s="71" t="s">
        <v>114</v>
      </c>
      <c r="Q11" s="74">
        <v>0.20697167755991286</v>
      </c>
      <c r="R11" s="71" t="s">
        <v>166</v>
      </c>
      <c r="S11" s="74">
        <v>0.11428571428571428</v>
      </c>
      <c r="T11" s="71" t="s">
        <v>216</v>
      </c>
      <c r="U11" s="75">
        <v>6800</v>
      </c>
      <c r="V11" s="71" t="s">
        <v>162</v>
      </c>
      <c r="W11" s="75">
        <v>-5000</v>
      </c>
      <c r="X11" s="71" t="s">
        <v>177</v>
      </c>
      <c r="Y11" s="74">
        <v>0.21052631578947367</v>
      </c>
      <c r="Z11" s="71" t="s">
        <v>191</v>
      </c>
      <c r="AA11" s="74">
        <v>0.24347826086956523</v>
      </c>
      <c r="AB11" s="71" t="s">
        <v>161</v>
      </c>
      <c r="AC11" s="74">
        <v>0.5</v>
      </c>
      <c r="AD11" s="71" t="s">
        <v>114</v>
      </c>
      <c r="AE11" s="74">
        <v>0.35</v>
      </c>
      <c r="AF11" s="71" t="s">
        <v>205</v>
      </c>
      <c r="AG11" s="74">
        <v>0.41666666666666669</v>
      </c>
      <c r="AH11" s="71" t="s">
        <v>164</v>
      </c>
      <c r="AI11" s="78">
        <v>52000</v>
      </c>
    </row>
    <row r="12" spans="1:35">
      <c r="A12" s="68">
        <v>10</v>
      </c>
      <c r="B12" s="69" t="s">
        <v>163</v>
      </c>
      <c r="C12" s="133">
        <v>8</v>
      </c>
      <c r="D12" s="69" t="s">
        <v>175</v>
      </c>
      <c r="E12" s="70">
        <v>-2.2000000000000011</v>
      </c>
      <c r="F12" s="71" t="s">
        <v>114</v>
      </c>
      <c r="G12" s="83">
        <v>-0.16949152542372881</v>
      </c>
      <c r="H12" s="71" t="s">
        <v>163</v>
      </c>
      <c r="I12" s="72">
        <v>2.5</v>
      </c>
      <c r="J12" s="71" t="s">
        <v>191</v>
      </c>
      <c r="K12" s="73">
        <v>0.21428571428571427</v>
      </c>
      <c r="L12" s="71" t="s">
        <v>213</v>
      </c>
      <c r="M12" s="73">
        <v>0.2</v>
      </c>
      <c r="N12" s="71" t="s">
        <v>179</v>
      </c>
      <c r="O12" s="73">
        <v>0.5</v>
      </c>
      <c r="P12" s="71" t="s">
        <v>195</v>
      </c>
      <c r="Q12" s="74">
        <v>0.20300751879699247</v>
      </c>
      <c r="R12" s="71" t="s">
        <v>163</v>
      </c>
      <c r="S12" s="74">
        <v>0.11594202898550725</v>
      </c>
      <c r="T12" s="71" t="s">
        <v>191</v>
      </c>
      <c r="U12" s="75">
        <v>6733.333333333333</v>
      </c>
      <c r="V12" s="71" t="s">
        <v>203</v>
      </c>
      <c r="W12" s="75">
        <v>-5080</v>
      </c>
      <c r="X12" s="71" t="s">
        <v>203</v>
      </c>
      <c r="Y12" s="74">
        <v>0.20930232558139536</v>
      </c>
      <c r="Z12" s="71" t="s">
        <v>161</v>
      </c>
      <c r="AA12" s="74">
        <v>0.22222222222222221</v>
      </c>
      <c r="AB12" s="71" t="s">
        <v>163</v>
      </c>
      <c r="AC12" s="74">
        <v>0.5</v>
      </c>
      <c r="AD12" s="71" t="s">
        <v>169</v>
      </c>
      <c r="AE12" s="74">
        <v>0.34210526315789475</v>
      </c>
      <c r="AF12" s="71" t="s">
        <v>168</v>
      </c>
      <c r="AG12" s="74">
        <v>0.39534883720930231</v>
      </c>
      <c r="AH12" s="71" t="s">
        <v>195</v>
      </c>
      <c r="AI12" s="78">
        <v>48000</v>
      </c>
    </row>
    <row r="13" spans="1:35">
      <c r="A13" s="68">
        <v>11</v>
      </c>
      <c r="B13" s="69" t="s">
        <v>216</v>
      </c>
      <c r="C13" s="133">
        <v>6</v>
      </c>
      <c r="D13" s="69" t="s">
        <v>215</v>
      </c>
      <c r="E13" s="70">
        <v>-14.4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164</v>
      </c>
      <c r="K13" s="73">
        <v>0.2</v>
      </c>
      <c r="L13" s="71" t="s">
        <v>162</v>
      </c>
      <c r="M13" s="73">
        <v>0.22222222222222221</v>
      </c>
      <c r="N13" s="71" t="s">
        <v>163</v>
      </c>
      <c r="O13" s="73">
        <v>0.5</v>
      </c>
      <c r="P13" s="71" t="s">
        <v>166</v>
      </c>
      <c r="Q13" s="74">
        <v>0.2</v>
      </c>
      <c r="R13" s="71" t="s">
        <v>162</v>
      </c>
      <c r="S13" s="74">
        <v>0.12820512820512819</v>
      </c>
      <c r="T13" s="71" t="s">
        <v>114</v>
      </c>
      <c r="U13" s="75">
        <v>6389.4736842105267</v>
      </c>
      <c r="V13" s="71" t="s">
        <v>164</v>
      </c>
      <c r="W13" s="75">
        <v>-5500</v>
      </c>
      <c r="X13" s="71" t="s">
        <v>163</v>
      </c>
      <c r="Y13" s="74">
        <v>0.20289855072463769</v>
      </c>
      <c r="Z13" s="71" t="s">
        <v>114</v>
      </c>
      <c r="AA13" s="74">
        <v>0.2178649237472767</v>
      </c>
      <c r="AB13" s="71" t="s">
        <v>167</v>
      </c>
      <c r="AC13" s="74">
        <v>0.5</v>
      </c>
      <c r="AD13" s="71" t="s">
        <v>177</v>
      </c>
      <c r="AE13" s="74">
        <v>0.33333333333333331</v>
      </c>
      <c r="AF13" s="71" t="s">
        <v>179</v>
      </c>
      <c r="AG13" s="74">
        <v>0.375</v>
      </c>
      <c r="AH13" s="71" t="s">
        <v>177</v>
      </c>
      <c r="AI13" s="78">
        <v>42500</v>
      </c>
    </row>
    <row r="14" spans="1:35">
      <c r="A14" s="68">
        <v>12</v>
      </c>
      <c r="B14" s="69" t="s">
        <v>203</v>
      </c>
      <c r="C14" s="133">
        <v>5</v>
      </c>
      <c r="D14" s="69" t="s">
        <v>196</v>
      </c>
      <c r="E14" s="70">
        <v>-27.1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216</v>
      </c>
      <c r="K14" s="73">
        <v>0.16666666666666666</v>
      </c>
      <c r="L14" s="71" t="s">
        <v>114</v>
      </c>
      <c r="M14" s="73">
        <v>0.24293785310734464</v>
      </c>
      <c r="N14" s="71" t="s">
        <v>175</v>
      </c>
      <c r="O14" s="73">
        <v>0.5</v>
      </c>
      <c r="P14" s="71" t="s">
        <v>175</v>
      </c>
      <c r="Q14" s="74">
        <v>0.2</v>
      </c>
      <c r="R14" s="71" t="s">
        <v>191</v>
      </c>
      <c r="S14" s="74">
        <v>0.13043478260869565</v>
      </c>
      <c r="T14" s="71" t="s">
        <v>203</v>
      </c>
      <c r="U14" s="75">
        <v>6275</v>
      </c>
      <c r="V14" s="71" t="s">
        <v>168</v>
      </c>
      <c r="W14" s="75">
        <v>-5835.7142857142853</v>
      </c>
      <c r="X14" s="71" t="s">
        <v>223</v>
      </c>
      <c r="Y14" s="74">
        <v>0.2</v>
      </c>
      <c r="Z14" s="71" t="s">
        <v>205</v>
      </c>
      <c r="AA14" s="74">
        <v>0.21428571428571427</v>
      </c>
      <c r="AB14" s="71" t="s">
        <v>195</v>
      </c>
      <c r="AC14" s="74">
        <v>0.48275862068965519</v>
      </c>
      <c r="AD14" s="71" t="s">
        <v>205</v>
      </c>
      <c r="AE14" s="74">
        <v>0.33333333333333331</v>
      </c>
      <c r="AF14" s="71" t="s">
        <v>114</v>
      </c>
      <c r="AG14" s="74">
        <v>0.35789473684210527</v>
      </c>
      <c r="AH14" s="71" t="s">
        <v>163</v>
      </c>
      <c r="AI14" s="78">
        <v>41700</v>
      </c>
    </row>
    <row r="15" spans="1:35">
      <c r="A15" s="68">
        <v>13</v>
      </c>
      <c r="B15" s="69" t="s">
        <v>213</v>
      </c>
      <c r="C15" s="133">
        <v>5</v>
      </c>
      <c r="D15" s="69" t="s">
        <v>114</v>
      </c>
      <c r="E15" s="70">
        <v>-30</v>
      </c>
      <c r="F15" s="71" t="s">
        <v>161</v>
      </c>
      <c r="G15" s="83">
        <v>-7.3888888888888875</v>
      </c>
      <c r="H15" s="71" t="s">
        <v>213</v>
      </c>
      <c r="I15" s="72">
        <v>2.6</v>
      </c>
      <c r="J15" s="71" t="s">
        <v>195</v>
      </c>
      <c r="K15" s="73">
        <v>0.10526315789473684</v>
      </c>
      <c r="L15" s="71" t="s">
        <v>164</v>
      </c>
      <c r="M15" s="73">
        <v>0.26666666666666666</v>
      </c>
      <c r="N15" s="71" t="s">
        <v>177</v>
      </c>
      <c r="O15" s="73">
        <v>0.5</v>
      </c>
      <c r="P15" s="71" t="s">
        <v>191</v>
      </c>
      <c r="Q15" s="74">
        <v>0.18260869565217391</v>
      </c>
      <c r="R15" s="71" t="s">
        <v>114</v>
      </c>
      <c r="S15" s="74">
        <v>0.13289760348583879</v>
      </c>
      <c r="T15" s="71" t="s">
        <v>163</v>
      </c>
      <c r="U15" s="75">
        <v>5993.333333333333</v>
      </c>
      <c r="V15" s="71" t="s">
        <v>177</v>
      </c>
      <c r="W15" s="75">
        <v>-5950</v>
      </c>
      <c r="X15" s="71" t="s">
        <v>168</v>
      </c>
      <c r="Y15" s="74">
        <v>0.19718309859154928</v>
      </c>
      <c r="Z15" s="71" t="s">
        <v>202</v>
      </c>
      <c r="AA15" s="74">
        <v>0.17647058823529413</v>
      </c>
      <c r="AB15" s="71" t="s">
        <v>179</v>
      </c>
      <c r="AC15" s="74">
        <v>0.4</v>
      </c>
      <c r="AD15" s="71" t="s">
        <v>195</v>
      </c>
      <c r="AE15" s="74">
        <v>0.3235294117647059</v>
      </c>
      <c r="AF15" s="71" t="s">
        <v>175</v>
      </c>
      <c r="AG15" s="74">
        <v>0.33333333333333331</v>
      </c>
      <c r="AH15" s="71" t="s">
        <v>216</v>
      </c>
      <c r="AI15" s="78">
        <v>36500</v>
      </c>
    </row>
    <row r="16" spans="1:35">
      <c r="A16" s="68">
        <v>14</v>
      </c>
      <c r="B16" s="69" t="s">
        <v>166</v>
      </c>
      <c r="C16" s="133">
        <v>4</v>
      </c>
      <c r="D16" s="69" t="s">
        <v>179</v>
      </c>
      <c r="E16" s="70">
        <v>-34.6</v>
      </c>
      <c r="F16" s="71" t="s">
        <v>213</v>
      </c>
      <c r="G16" s="83">
        <v>-10.98</v>
      </c>
      <c r="H16" s="71" t="s">
        <v>161</v>
      </c>
      <c r="I16" s="72">
        <v>2.6666666666666665</v>
      </c>
      <c r="J16" s="71" t="s">
        <v>166</v>
      </c>
      <c r="K16" s="73">
        <v>0</v>
      </c>
      <c r="L16" s="71" t="s">
        <v>168</v>
      </c>
      <c r="M16" s="73">
        <v>0.27777777777777779</v>
      </c>
      <c r="N16" s="71" t="s">
        <v>216</v>
      </c>
      <c r="O16" s="73">
        <v>0.5</v>
      </c>
      <c r="P16" s="71" t="s">
        <v>161</v>
      </c>
      <c r="Q16" s="74">
        <v>0.18055555555555555</v>
      </c>
      <c r="R16" s="71" t="s">
        <v>175</v>
      </c>
      <c r="S16" s="74">
        <v>0.13333333333333333</v>
      </c>
      <c r="T16" s="71" t="s">
        <v>168</v>
      </c>
      <c r="U16" s="75">
        <v>5988.3720930232557</v>
      </c>
      <c r="V16" s="71" t="s">
        <v>114</v>
      </c>
      <c r="W16" s="75">
        <v>-6043.1693989071036</v>
      </c>
      <c r="X16" s="71" t="s">
        <v>179</v>
      </c>
      <c r="Y16" s="74">
        <v>0.19083969465648856</v>
      </c>
      <c r="Z16" s="71" t="s">
        <v>169</v>
      </c>
      <c r="AA16" s="74">
        <v>0.1743119266055046</v>
      </c>
      <c r="AB16" s="71" t="s">
        <v>213</v>
      </c>
      <c r="AC16" s="74">
        <v>0.4</v>
      </c>
      <c r="AD16" s="71" t="s">
        <v>163</v>
      </c>
      <c r="AE16" s="74">
        <v>0.31818181818181818</v>
      </c>
      <c r="AF16" s="71" t="s">
        <v>177</v>
      </c>
      <c r="AG16" s="74">
        <v>0.25</v>
      </c>
      <c r="AH16" s="71" t="s">
        <v>167</v>
      </c>
      <c r="AI16" s="78">
        <v>34000</v>
      </c>
    </row>
    <row r="17" spans="1:35">
      <c r="A17" s="68">
        <v>15</v>
      </c>
      <c r="B17" s="69" t="s">
        <v>205</v>
      </c>
      <c r="C17" s="133">
        <v>4</v>
      </c>
      <c r="D17" s="69" t="s">
        <v>223</v>
      </c>
      <c r="E17" s="70">
        <v>-47</v>
      </c>
      <c r="F17" s="71" t="s">
        <v>216</v>
      </c>
      <c r="G17" s="83">
        <v>-12.816666666666668</v>
      </c>
      <c r="H17" s="71" t="s">
        <v>195</v>
      </c>
      <c r="I17" s="72">
        <v>2.736842105263158</v>
      </c>
      <c r="J17" s="71" t="s">
        <v>167</v>
      </c>
      <c r="K17" s="73">
        <v>0</v>
      </c>
      <c r="L17" s="71" t="s">
        <v>161</v>
      </c>
      <c r="M17" s="73">
        <v>0.33333333333333331</v>
      </c>
      <c r="N17" s="71" t="s">
        <v>161</v>
      </c>
      <c r="O17" s="73">
        <v>0.44444444444444442</v>
      </c>
      <c r="P17" s="71" t="s">
        <v>215</v>
      </c>
      <c r="Q17" s="74">
        <v>0.16666666666666666</v>
      </c>
      <c r="R17" s="71" t="s">
        <v>199</v>
      </c>
      <c r="S17" s="74">
        <v>0.13333333333333333</v>
      </c>
      <c r="T17" s="71" t="s">
        <v>177</v>
      </c>
      <c r="U17" s="75">
        <v>5900</v>
      </c>
      <c r="V17" s="71" t="s">
        <v>216</v>
      </c>
      <c r="W17" s="75">
        <v>-6160</v>
      </c>
      <c r="X17" s="71" t="s">
        <v>114</v>
      </c>
      <c r="Y17" s="74">
        <v>0.19026870007262164</v>
      </c>
      <c r="Z17" s="71" t="s">
        <v>166</v>
      </c>
      <c r="AA17" s="74">
        <v>0.17142857142857143</v>
      </c>
      <c r="AB17" s="71" t="s">
        <v>216</v>
      </c>
      <c r="AC17" s="74">
        <v>0.4</v>
      </c>
      <c r="AD17" s="71" t="s">
        <v>161</v>
      </c>
      <c r="AE17" s="74">
        <v>0.3125</v>
      </c>
      <c r="AF17" s="71" t="s">
        <v>216</v>
      </c>
      <c r="AG17" s="74">
        <v>0.25</v>
      </c>
      <c r="AH17" s="71" t="s">
        <v>175</v>
      </c>
      <c r="AI17" s="78">
        <v>33600</v>
      </c>
    </row>
    <row r="18" spans="1:35">
      <c r="A18" s="68">
        <v>16</v>
      </c>
      <c r="B18" s="69" t="s">
        <v>208</v>
      </c>
      <c r="C18" s="133">
        <v>3</v>
      </c>
      <c r="D18" s="69" t="s">
        <v>180</v>
      </c>
      <c r="E18" s="70">
        <v>-52.6</v>
      </c>
      <c r="F18" s="71" t="s">
        <v>195</v>
      </c>
      <c r="G18" s="83">
        <v>-13.810526315789476</v>
      </c>
      <c r="H18" s="71" t="s">
        <v>216</v>
      </c>
      <c r="I18" s="72">
        <v>2.8333333333333335</v>
      </c>
      <c r="J18" s="71" t="s">
        <v>175</v>
      </c>
      <c r="K18" s="73">
        <v>0</v>
      </c>
      <c r="L18" s="71" t="s">
        <v>163</v>
      </c>
      <c r="M18" s="73">
        <v>0.375</v>
      </c>
      <c r="N18" s="71" t="s">
        <v>195</v>
      </c>
      <c r="O18" s="73">
        <v>0.31578947368421051</v>
      </c>
      <c r="P18" s="71" t="s">
        <v>164</v>
      </c>
      <c r="Q18" s="74">
        <v>0.16528925619834711</v>
      </c>
      <c r="R18" s="71" t="s">
        <v>216</v>
      </c>
      <c r="S18" s="74">
        <v>0.13513513513513514</v>
      </c>
      <c r="T18" s="71" t="s">
        <v>179</v>
      </c>
      <c r="U18" s="75">
        <v>4909.375</v>
      </c>
      <c r="V18" s="71" t="s">
        <v>208</v>
      </c>
      <c r="W18" s="75">
        <v>-6340</v>
      </c>
      <c r="X18" s="71" t="s">
        <v>213</v>
      </c>
      <c r="Y18" s="74">
        <v>0.17857142857142858</v>
      </c>
      <c r="Z18" s="71" t="s">
        <v>215</v>
      </c>
      <c r="AA18" s="74">
        <v>0.16666666666666666</v>
      </c>
      <c r="AB18" s="71" t="s">
        <v>191</v>
      </c>
      <c r="AC18" s="74">
        <v>0.33333333333333331</v>
      </c>
      <c r="AD18" s="71" t="s">
        <v>164</v>
      </c>
      <c r="AE18" s="74">
        <v>0.22580645161290322</v>
      </c>
      <c r="AF18" s="71" t="s">
        <v>169</v>
      </c>
      <c r="AG18" s="74">
        <v>0.22448979591836735</v>
      </c>
      <c r="AH18" s="71" t="s">
        <v>213</v>
      </c>
      <c r="AI18" s="78">
        <v>29500</v>
      </c>
    </row>
    <row r="19" spans="1:35">
      <c r="A19" s="68">
        <v>17</v>
      </c>
      <c r="B19" s="69" t="s">
        <v>175</v>
      </c>
      <c r="C19" s="133">
        <v>2</v>
      </c>
      <c r="D19" s="69" t="s">
        <v>213</v>
      </c>
      <c r="E19" s="70">
        <v>-54.9</v>
      </c>
      <c r="F19" s="71" t="s">
        <v>215</v>
      </c>
      <c r="G19" s="83">
        <v>-14.4</v>
      </c>
      <c r="H19" s="71" t="s">
        <v>196</v>
      </c>
      <c r="I19" s="72">
        <v>3</v>
      </c>
      <c r="J19" s="71" t="s">
        <v>180</v>
      </c>
      <c r="K19" s="73">
        <v>0</v>
      </c>
      <c r="L19" s="71" t="s">
        <v>203</v>
      </c>
      <c r="M19" s="73">
        <v>0.4</v>
      </c>
      <c r="N19" s="71" t="s">
        <v>166</v>
      </c>
      <c r="O19" s="73">
        <v>0.25</v>
      </c>
      <c r="P19" s="71" t="s">
        <v>196</v>
      </c>
      <c r="Q19" s="74">
        <v>0.125</v>
      </c>
      <c r="R19" s="71" t="s">
        <v>195</v>
      </c>
      <c r="S19" s="74">
        <v>0.15789473684210525</v>
      </c>
      <c r="T19" s="71" t="s">
        <v>195</v>
      </c>
      <c r="U19" s="75">
        <v>4311.1111111111113</v>
      </c>
      <c r="V19" s="71" t="s">
        <v>161</v>
      </c>
      <c r="W19" s="75">
        <v>-6523.0769230769229</v>
      </c>
      <c r="X19" s="71" t="s">
        <v>169</v>
      </c>
      <c r="Y19" s="74">
        <v>0.1743119266055046</v>
      </c>
      <c r="Z19" s="71" t="s">
        <v>177</v>
      </c>
      <c r="AA19" s="74">
        <v>0.15789473684210525</v>
      </c>
      <c r="AB19" s="71" t="s">
        <v>203</v>
      </c>
      <c r="AC19" s="74">
        <v>0.33333333333333331</v>
      </c>
      <c r="AD19" s="71" t="s">
        <v>203</v>
      </c>
      <c r="AE19" s="74">
        <v>0.16666666666666666</v>
      </c>
      <c r="AF19" s="71" t="s">
        <v>164</v>
      </c>
      <c r="AG19" s="74">
        <v>0.2</v>
      </c>
      <c r="AH19" s="71" t="s">
        <v>215</v>
      </c>
      <c r="AI19" s="78">
        <v>25600</v>
      </c>
    </row>
    <row r="20" spans="1:35">
      <c r="A20" s="68">
        <v>18</v>
      </c>
      <c r="B20" s="69" t="s">
        <v>177</v>
      </c>
      <c r="C20" s="133">
        <v>2</v>
      </c>
      <c r="D20" s="69" t="s">
        <v>161</v>
      </c>
      <c r="E20" s="70">
        <v>-66.499999999999986</v>
      </c>
      <c r="F20" s="71" t="s">
        <v>196</v>
      </c>
      <c r="G20" s="83">
        <v>-27.1</v>
      </c>
      <c r="H20" s="71" t="s">
        <v>215</v>
      </c>
      <c r="I20" s="72">
        <v>3</v>
      </c>
      <c r="J20" s="71" t="s">
        <v>199</v>
      </c>
      <c r="K20" s="73">
        <v>0</v>
      </c>
      <c r="L20" s="71" t="s">
        <v>166</v>
      </c>
      <c r="M20" s="73">
        <v>0.5</v>
      </c>
      <c r="N20" s="71" t="s">
        <v>180</v>
      </c>
      <c r="O20" s="73">
        <v>0</v>
      </c>
      <c r="P20" s="71" t="s">
        <v>216</v>
      </c>
      <c r="Q20" s="74">
        <v>0.10810810810810811</v>
      </c>
      <c r="R20" s="71" t="s">
        <v>215</v>
      </c>
      <c r="S20" s="74">
        <v>0.16666666666666666</v>
      </c>
      <c r="T20" s="71" t="s">
        <v>215</v>
      </c>
      <c r="U20" s="75">
        <v>3900</v>
      </c>
      <c r="V20" s="71" t="s">
        <v>180</v>
      </c>
      <c r="W20" s="75">
        <v>-6600</v>
      </c>
      <c r="X20" s="71" t="s">
        <v>161</v>
      </c>
      <c r="Y20" s="74">
        <v>0.16666666666666666</v>
      </c>
      <c r="Z20" s="71" t="s">
        <v>167</v>
      </c>
      <c r="AA20" s="74">
        <v>0.14285714285714285</v>
      </c>
      <c r="AB20" s="71" t="s">
        <v>164</v>
      </c>
      <c r="AC20" s="74">
        <v>0.3125</v>
      </c>
      <c r="AD20" s="71" t="s">
        <v>167</v>
      </c>
      <c r="AE20" s="74">
        <v>0</v>
      </c>
      <c r="AF20" s="71" t="s">
        <v>191</v>
      </c>
      <c r="AG20" s="74">
        <v>0.14285714285714285</v>
      </c>
      <c r="AH20" s="71" t="s">
        <v>203</v>
      </c>
      <c r="AI20" s="78">
        <v>25000</v>
      </c>
    </row>
    <row r="21" spans="1:35">
      <c r="A21" s="68">
        <v>19</v>
      </c>
      <c r="B21" s="69" t="s">
        <v>199</v>
      </c>
      <c r="C21" s="133">
        <v>2</v>
      </c>
      <c r="D21" s="69" t="s">
        <v>216</v>
      </c>
      <c r="E21" s="70">
        <v>-76.900000000000006</v>
      </c>
      <c r="F21" s="71" t="s">
        <v>166</v>
      </c>
      <c r="G21" s="83">
        <v>-31.999999999999996</v>
      </c>
      <c r="H21" s="71" t="s">
        <v>166</v>
      </c>
      <c r="I21" s="72">
        <v>3.25</v>
      </c>
      <c r="J21" s="71" t="s">
        <v>196</v>
      </c>
      <c r="K21" s="73">
        <v>0</v>
      </c>
      <c r="L21" s="71" t="s">
        <v>177</v>
      </c>
      <c r="M21" s="73">
        <v>0.5</v>
      </c>
      <c r="N21" s="71" t="s">
        <v>199</v>
      </c>
      <c r="O21" s="73">
        <v>0</v>
      </c>
      <c r="P21" s="71" t="s">
        <v>213</v>
      </c>
      <c r="Q21" s="74">
        <v>0.10714285714285714</v>
      </c>
      <c r="R21" s="71" t="s">
        <v>202</v>
      </c>
      <c r="S21" s="74">
        <v>0.17647058823529413</v>
      </c>
      <c r="T21" s="71" t="s">
        <v>166</v>
      </c>
      <c r="U21" s="75">
        <v>2928.5714285714284</v>
      </c>
      <c r="V21" s="71" t="s">
        <v>195</v>
      </c>
      <c r="W21" s="75">
        <v>-6728.5714285714284</v>
      </c>
      <c r="X21" s="71" t="s">
        <v>180</v>
      </c>
      <c r="Y21" s="74">
        <v>0.14285714285714285</v>
      </c>
      <c r="Z21" s="71" t="s">
        <v>203</v>
      </c>
      <c r="AA21" s="74">
        <v>0.13953488372093023</v>
      </c>
      <c r="AB21" s="71" t="s">
        <v>180</v>
      </c>
      <c r="AC21" s="74">
        <v>0</v>
      </c>
      <c r="AD21" s="71" t="s">
        <v>175</v>
      </c>
      <c r="AE21" s="74">
        <v>0</v>
      </c>
      <c r="AF21" s="71" t="s">
        <v>180</v>
      </c>
      <c r="AG21" s="74">
        <v>0</v>
      </c>
      <c r="AH21" s="71" t="s">
        <v>166</v>
      </c>
      <c r="AI21" s="78">
        <v>23700</v>
      </c>
    </row>
    <row r="22" spans="1:35">
      <c r="A22" s="68">
        <v>20</v>
      </c>
      <c r="B22" s="69" t="s">
        <v>202</v>
      </c>
      <c r="C22" s="133">
        <v>2</v>
      </c>
      <c r="D22" s="69" t="s">
        <v>199</v>
      </c>
      <c r="E22" s="70">
        <v>-97.4</v>
      </c>
      <c r="F22" s="71" t="s">
        <v>203</v>
      </c>
      <c r="G22" s="83">
        <v>-32.279999999999994</v>
      </c>
      <c r="H22" s="71" t="s">
        <v>203</v>
      </c>
      <c r="I22" s="72">
        <v>3.4</v>
      </c>
      <c r="J22" s="71" t="s">
        <v>203</v>
      </c>
      <c r="K22" s="73">
        <v>0</v>
      </c>
      <c r="L22" s="71" t="s">
        <v>216</v>
      </c>
      <c r="M22" s="73">
        <v>0.5</v>
      </c>
      <c r="N22" s="71" t="s">
        <v>196</v>
      </c>
      <c r="O22" s="73">
        <v>0</v>
      </c>
      <c r="P22" s="71" t="s">
        <v>203</v>
      </c>
      <c r="Q22" s="74">
        <v>9.3023255813953487E-2</v>
      </c>
      <c r="R22" s="71" t="s">
        <v>161</v>
      </c>
      <c r="S22" s="74">
        <v>0.18055555555555555</v>
      </c>
      <c r="T22" s="71" t="s">
        <v>202</v>
      </c>
      <c r="U22" s="75">
        <v>1300</v>
      </c>
      <c r="V22" s="71" t="s">
        <v>213</v>
      </c>
      <c r="W22" s="75">
        <v>-7166.666666666667</v>
      </c>
      <c r="X22" s="71" t="s">
        <v>216</v>
      </c>
      <c r="Y22" s="74">
        <v>0.13513513513513514</v>
      </c>
      <c r="Z22" s="71" t="s">
        <v>162</v>
      </c>
      <c r="AA22" s="74">
        <v>0.11538461538461539</v>
      </c>
      <c r="AB22" s="71" t="s">
        <v>199</v>
      </c>
      <c r="AC22" s="74">
        <v>0</v>
      </c>
      <c r="AD22" s="71" t="s">
        <v>180</v>
      </c>
      <c r="AE22" s="74">
        <v>0</v>
      </c>
      <c r="AF22" s="71" t="s">
        <v>199</v>
      </c>
      <c r="AG22" s="74">
        <v>0</v>
      </c>
      <c r="AH22" s="71" t="s">
        <v>199</v>
      </c>
      <c r="AI22" s="78">
        <v>14100</v>
      </c>
    </row>
    <row r="23" spans="1:35">
      <c r="A23" s="68">
        <v>21</v>
      </c>
      <c r="B23" s="69" t="s">
        <v>167</v>
      </c>
      <c r="C23" s="133">
        <v>1</v>
      </c>
      <c r="D23" s="69" t="s">
        <v>202</v>
      </c>
      <c r="E23" s="70">
        <v>-105.9</v>
      </c>
      <c r="F23" s="71" t="s">
        <v>208</v>
      </c>
      <c r="G23" s="83">
        <v>-44.233333333333327</v>
      </c>
      <c r="H23" s="71" t="s">
        <v>208</v>
      </c>
      <c r="I23" s="72">
        <v>3.6666666666666665</v>
      </c>
      <c r="J23" s="71" t="s">
        <v>202</v>
      </c>
      <c r="K23" s="73">
        <v>0</v>
      </c>
      <c r="L23" s="71" t="s">
        <v>208</v>
      </c>
      <c r="M23" s="73">
        <v>0.66666666666666663</v>
      </c>
      <c r="N23" s="71" t="s">
        <v>203</v>
      </c>
      <c r="O23" s="73">
        <v>0</v>
      </c>
      <c r="P23" s="71" t="s">
        <v>202</v>
      </c>
      <c r="Q23" s="74">
        <v>5.8823529411764705E-2</v>
      </c>
      <c r="R23" s="71" t="s">
        <v>168</v>
      </c>
      <c r="S23" s="74">
        <v>0.19718309859154928</v>
      </c>
      <c r="T23" s="71" t="s">
        <v>196</v>
      </c>
      <c r="U23" s="75">
        <v>1000</v>
      </c>
      <c r="V23" s="71" t="s">
        <v>163</v>
      </c>
      <c r="W23" s="75">
        <v>-7212.5</v>
      </c>
      <c r="X23" s="71" t="s">
        <v>202</v>
      </c>
      <c r="Y23" s="74">
        <v>0.11764705882352941</v>
      </c>
      <c r="Z23" s="71" t="s">
        <v>216</v>
      </c>
      <c r="AA23" s="74">
        <v>8.1081081081081086E-2</v>
      </c>
      <c r="AB23" s="71" t="s">
        <v>196</v>
      </c>
      <c r="AC23" s="74">
        <v>0</v>
      </c>
      <c r="AD23" s="71" t="s">
        <v>199</v>
      </c>
      <c r="AE23" s="74">
        <v>0</v>
      </c>
      <c r="AF23" s="71" t="s">
        <v>196</v>
      </c>
      <c r="AG23" s="74">
        <v>0</v>
      </c>
      <c r="AH23" s="71" t="s">
        <v>202</v>
      </c>
      <c r="AI23" s="78">
        <v>13500</v>
      </c>
    </row>
    <row r="24" spans="1:35">
      <c r="A24" s="68">
        <v>22</v>
      </c>
      <c r="B24" s="69" t="s">
        <v>180</v>
      </c>
      <c r="C24" s="133">
        <v>1</v>
      </c>
      <c r="D24" s="69" t="s">
        <v>166</v>
      </c>
      <c r="E24" s="70">
        <v>-127.99999999999999</v>
      </c>
      <c r="F24" s="71" t="s">
        <v>223</v>
      </c>
      <c r="G24" s="83">
        <v>-47</v>
      </c>
      <c r="H24" s="71" t="s">
        <v>180</v>
      </c>
      <c r="I24" s="72">
        <v>4</v>
      </c>
      <c r="J24" s="71" t="s">
        <v>208</v>
      </c>
      <c r="K24" s="73">
        <v>0</v>
      </c>
      <c r="L24" s="71" t="s">
        <v>180</v>
      </c>
      <c r="M24" s="73">
        <v>1</v>
      </c>
      <c r="N24" s="71" t="s">
        <v>202</v>
      </c>
      <c r="O24" s="73">
        <v>0</v>
      </c>
      <c r="P24" s="71" t="s">
        <v>180</v>
      </c>
      <c r="Q24" s="74">
        <v>0</v>
      </c>
      <c r="R24" s="71" t="s">
        <v>223</v>
      </c>
      <c r="S24" s="74">
        <v>0.2</v>
      </c>
      <c r="T24" s="71" t="s">
        <v>180</v>
      </c>
      <c r="U24" s="75">
        <v>0</v>
      </c>
      <c r="V24" s="71" t="s">
        <v>179</v>
      </c>
      <c r="W24" s="75">
        <v>-8157.1428571428569</v>
      </c>
      <c r="X24" s="71" t="s">
        <v>166</v>
      </c>
      <c r="Y24" s="74">
        <v>0.11428571428571428</v>
      </c>
      <c r="Z24" s="71" t="s">
        <v>213</v>
      </c>
      <c r="AA24" s="74">
        <v>7.1428571428571425E-2</v>
      </c>
      <c r="AB24" s="71" t="s">
        <v>202</v>
      </c>
      <c r="AC24" s="74">
        <v>0</v>
      </c>
      <c r="AD24" s="71" t="s">
        <v>202</v>
      </c>
      <c r="AE24" s="74">
        <v>0</v>
      </c>
      <c r="AF24" s="71" t="s">
        <v>202</v>
      </c>
      <c r="AG24" s="74">
        <v>0</v>
      </c>
      <c r="AH24" s="71" t="s">
        <v>223</v>
      </c>
      <c r="AI24" s="78">
        <v>13000</v>
      </c>
    </row>
    <row r="25" spans="1:35">
      <c r="A25" s="68">
        <v>23</v>
      </c>
      <c r="B25" s="69" t="s">
        <v>196</v>
      </c>
      <c r="C25" s="133">
        <v>1</v>
      </c>
      <c r="D25" s="69" t="s">
        <v>208</v>
      </c>
      <c r="E25" s="70">
        <v>-132.69999999999999</v>
      </c>
      <c r="F25" s="71" t="s">
        <v>199</v>
      </c>
      <c r="G25" s="83">
        <v>-48.7</v>
      </c>
      <c r="H25" s="71" t="s">
        <v>199</v>
      </c>
      <c r="I25" s="72">
        <v>4</v>
      </c>
      <c r="J25" s="71" t="s">
        <v>213</v>
      </c>
      <c r="K25" s="73">
        <v>0</v>
      </c>
      <c r="L25" s="71" t="s">
        <v>199</v>
      </c>
      <c r="M25" s="73">
        <v>1</v>
      </c>
      <c r="N25" s="71" t="s">
        <v>208</v>
      </c>
      <c r="O25" s="73">
        <v>0</v>
      </c>
      <c r="P25" s="71" t="s">
        <v>199</v>
      </c>
      <c r="Q25" s="74">
        <v>0</v>
      </c>
      <c r="R25" s="71" t="s">
        <v>208</v>
      </c>
      <c r="S25" s="74">
        <v>0.21739130434782608</v>
      </c>
      <c r="T25" s="71" t="s">
        <v>199</v>
      </c>
      <c r="U25" s="75">
        <v>0</v>
      </c>
      <c r="V25" s="71" t="s">
        <v>205</v>
      </c>
      <c r="W25" s="75">
        <v>-9466.6666666666661</v>
      </c>
      <c r="X25" s="71" t="s">
        <v>191</v>
      </c>
      <c r="Y25" s="74">
        <v>0.10434782608695652</v>
      </c>
      <c r="Z25" s="71" t="s">
        <v>175</v>
      </c>
      <c r="AA25" s="74">
        <v>0</v>
      </c>
      <c r="AB25" s="71" t="s">
        <v>208</v>
      </c>
      <c r="AC25" s="74">
        <v>0</v>
      </c>
      <c r="AD25" s="71" t="s">
        <v>208</v>
      </c>
      <c r="AE25" s="74">
        <v>0</v>
      </c>
      <c r="AF25" s="71" t="s">
        <v>208</v>
      </c>
      <c r="AG25" s="74">
        <v>0</v>
      </c>
      <c r="AH25" s="71" t="s">
        <v>196</v>
      </c>
      <c r="AI25" s="78">
        <v>12900</v>
      </c>
    </row>
    <row r="26" spans="1:35">
      <c r="A26" s="68">
        <v>24</v>
      </c>
      <c r="B26" s="69" t="s">
        <v>215</v>
      </c>
      <c r="C26" s="133">
        <v>1</v>
      </c>
      <c r="D26" s="69" t="s">
        <v>203</v>
      </c>
      <c r="E26" s="70">
        <v>-161.39999999999998</v>
      </c>
      <c r="F26" s="71" t="s">
        <v>180</v>
      </c>
      <c r="G26" s="83">
        <v>-52.6</v>
      </c>
      <c r="H26" s="71" t="s">
        <v>202</v>
      </c>
      <c r="I26" s="72">
        <v>4</v>
      </c>
      <c r="J26" s="71" t="s">
        <v>215</v>
      </c>
      <c r="K26" s="73">
        <v>0</v>
      </c>
      <c r="L26" s="71" t="s">
        <v>202</v>
      </c>
      <c r="M26" s="73">
        <v>1</v>
      </c>
      <c r="N26" s="71" t="s">
        <v>215</v>
      </c>
      <c r="O26" s="73">
        <v>0</v>
      </c>
      <c r="P26" s="71" t="s">
        <v>208</v>
      </c>
      <c r="Q26" s="74">
        <v>0</v>
      </c>
      <c r="R26" s="71" t="s">
        <v>203</v>
      </c>
      <c r="S26" s="74">
        <v>0.23255813953488372</v>
      </c>
      <c r="T26" s="71" t="s">
        <v>208</v>
      </c>
      <c r="U26" s="75">
        <v>0</v>
      </c>
      <c r="V26" s="71" t="s">
        <v>199</v>
      </c>
      <c r="W26" s="75">
        <v>-10000</v>
      </c>
      <c r="X26" s="71" t="s">
        <v>199</v>
      </c>
      <c r="Y26" s="74">
        <v>6.6666666666666666E-2</v>
      </c>
      <c r="Z26" s="71" t="s">
        <v>208</v>
      </c>
      <c r="AA26" s="74">
        <v>0</v>
      </c>
      <c r="AB26" s="71" t="s">
        <v>215</v>
      </c>
      <c r="AC26" s="74">
        <v>0</v>
      </c>
      <c r="AD26" s="71" t="s">
        <v>213</v>
      </c>
      <c r="AE26" s="74">
        <v>0</v>
      </c>
      <c r="AF26" s="71" t="s">
        <v>215</v>
      </c>
      <c r="AG26" s="74">
        <v>0</v>
      </c>
      <c r="AH26" s="71" t="s">
        <v>208</v>
      </c>
      <c r="AI26" s="78">
        <v>10700</v>
      </c>
    </row>
    <row r="27" spans="1:35">
      <c r="A27" s="68">
        <v>25</v>
      </c>
      <c r="B27" s="69" t="s">
        <v>223</v>
      </c>
      <c r="C27" s="133">
        <v>1</v>
      </c>
      <c r="D27" s="69" t="s">
        <v>195</v>
      </c>
      <c r="E27" s="70">
        <v>-262.40000000000003</v>
      </c>
      <c r="F27" s="71" t="s">
        <v>202</v>
      </c>
      <c r="G27" s="83">
        <v>-52.95</v>
      </c>
      <c r="H27" s="71" t="s">
        <v>223</v>
      </c>
      <c r="I27" s="72">
        <v>4</v>
      </c>
      <c r="J27" s="71" t="s">
        <v>223</v>
      </c>
      <c r="K27" s="73">
        <v>0</v>
      </c>
      <c r="L27" s="71" t="s">
        <v>223</v>
      </c>
      <c r="M27" s="73">
        <v>1</v>
      </c>
      <c r="N27" s="71" t="s">
        <v>223</v>
      </c>
      <c r="O27" s="73">
        <v>0</v>
      </c>
      <c r="P27" s="71" t="s">
        <v>223</v>
      </c>
      <c r="Q27" s="74">
        <v>0</v>
      </c>
      <c r="R27" s="71" t="s">
        <v>180</v>
      </c>
      <c r="S27" s="74">
        <v>0.2857142857142857</v>
      </c>
      <c r="T27" s="71" t="s">
        <v>223</v>
      </c>
      <c r="U27" s="75">
        <v>0</v>
      </c>
      <c r="V27" s="71" t="s">
        <v>166</v>
      </c>
      <c r="W27" s="75">
        <v>-11400</v>
      </c>
      <c r="X27" s="71" t="s">
        <v>208</v>
      </c>
      <c r="Y27" s="74">
        <v>4.3478260869565216E-2</v>
      </c>
      <c r="Z27" s="71" t="s">
        <v>223</v>
      </c>
      <c r="AA27" s="74">
        <v>0</v>
      </c>
      <c r="AB27" s="71" t="s">
        <v>223</v>
      </c>
      <c r="AC27" s="74">
        <v>0</v>
      </c>
      <c r="AD27" s="71" t="s">
        <v>223</v>
      </c>
      <c r="AE27" s="74">
        <v>0</v>
      </c>
      <c r="AF27" s="71" t="s">
        <v>223</v>
      </c>
      <c r="AG27" s="74">
        <v>0</v>
      </c>
      <c r="AH27" s="71" t="s">
        <v>180</v>
      </c>
      <c r="AI27" s="78">
        <v>7400</v>
      </c>
    </row>
  </sheetData>
  <sortState xmlns:xlrd2="http://schemas.microsoft.com/office/spreadsheetml/2017/richdata2" ref="AH3:AI6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79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114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177</v>
      </c>
      <c r="C2" s="163"/>
      <c r="E2" s="54" t="s">
        <v>54</v>
      </c>
      <c r="F2" s="51" t="s">
        <v>20</v>
      </c>
      <c r="G2" s="39">
        <v>167</v>
      </c>
      <c r="H2" s="117">
        <f>IF(B$17=0,0,G2/B$17)</f>
        <v>0.5859649122807018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-62.146892655367232</v>
      </c>
      <c r="P2" s="103">
        <v>177</v>
      </c>
      <c r="Q2" s="87">
        <v>-11000</v>
      </c>
    </row>
    <row r="3" spans="1:17">
      <c r="A3" s="47" t="s">
        <v>8</v>
      </c>
      <c r="B3" s="164">
        <v>1377</v>
      </c>
      <c r="C3" s="165"/>
      <c r="E3" s="55" t="s">
        <v>184</v>
      </c>
      <c r="F3" s="52" t="s">
        <v>187</v>
      </c>
      <c r="G3" s="40">
        <v>141</v>
      </c>
      <c r="H3" s="118">
        <f>IF(B$17=0,0,G3/B$17)</f>
        <v>0.49473684210526314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0"/>
        <v>5.6497175141242941</v>
      </c>
      <c r="P3" s="104">
        <v>177</v>
      </c>
      <c r="Q3" s="88">
        <v>1000</v>
      </c>
    </row>
    <row r="4" spans="1:17">
      <c r="A4" s="47" t="s">
        <v>6</v>
      </c>
      <c r="B4" s="166">
        <v>-30</v>
      </c>
      <c r="C4" s="167"/>
      <c r="E4" s="55" t="s">
        <v>181</v>
      </c>
      <c r="F4" s="52" t="s">
        <v>156</v>
      </c>
      <c r="G4" s="40">
        <v>134</v>
      </c>
      <c r="H4" s="118">
        <f>IF(B$17=0,0,G4/B$17)</f>
        <v>0.47017543859649125</v>
      </c>
      <c r="I4" s="80">
        <v>12</v>
      </c>
      <c r="K4" s="32">
        <v>2</v>
      </c>
      <c r="L4" s="85">
        <v>86.800000000000011</v>
      </c>
      <c r="N4" s="100" t="s">
        <v>105</v>
      </c>
      <c r="O4" s="107">
        <f t="shared" si="0"/>
        <v>-10.169491525423728</v>
      </c>
      <c r="P4" s="104">
        <v>177</v>
      </c>
      <c r="Q4" s="88">
        <v>-1800</v>
      </c>
    </row>
    <row r="5" spans="1:17">
      <c r="A5" s="47" t="s">
        <v>7</v>
      </c>
      <c r="B5" s="168">
        <f>IF(B$2=0,0,B$4/B$2)</f>
        <v>-0.16949152542372881</v>
      </c>
      <c r="C5" s="169"/>
      <c r="E5" s="55" t="s">
        <v>60</v>
      </c>
      <c r="F5" s="52" t="s">
        <v>24</v>
      </c>
      <c r="G5" s="40">
        <v>115</v>
      </c>
      <c r="H5" s="118">
        <f>IF(B$17=0,0,G5/B$17)</f>
        <v>0.40350877192982454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161</v>
      </c>
      <c r="Q5" s="88">
        <v>0</v>
      </c>
    </row>
    <row r="6" spans="1:17">
      <c r="A6" s="47" t="s">
        <v>1</v>
      </c>
      <c r="B6" s="170">
        <f>IF(B$2=0,0,(B$7*1+B$8*2+B$9*3+B$10*4)/B$2)</f>
        <v>2.4802259887005649</v>
      </c>
      <c r="C6" s="171"/>
      <c r="E6" s="55" t="s">
        <v>57</v>
      </c>
      <c r="F6" s="52" t="s">
        <v>21</v>
      </c>
      <c r="G6" s="40">
        <v>69</v>
      </c>
      <c r="H6" s="118">
        <f>IF(B$17=0,0,G6/B$17)</f>
        <v>0.24210526315789474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22.727272727272727</v>
      </c>
      <c r="P6" s="104">
        <v>132</v>
      </c>
      <c r="Q6" s="88">
        <v>3000</v>
      </c>
    </row>
    <row r="7" spans="1:17">
      <c r="A7" s="47" t="s">
        <v>2</v>
      </c>
      <c r="B7" s="40">
        <v>46</v>
      </c>
      <c r="C7" s="33">
        <f t="shared" ref="C7:C12" si="2">IF(B$2=0,0,B7/B$2)</f>
        <v>0.25988700564971751</v>
      </c>
      <c r="E7" s="55" t="s">
        <v>56</v>
      </c>
      <c r="F7" s="52" t="s">
        <v>185</v>
      </c>
      <c r="G7" s="40">
        <v>67</v>
      </c>
      <c r="H7" s="118">
        <f>IF(B$17=0,0,G7/B$17)</f>
        <v>0.23508771929824562</v>
      </c>
      <c r="I7" s="80">
        <v>12</v>
      </c>
      <c r="K7" s="32">
        <v>5</v>
      </c>
      <c r="L7" s="85">
        <v>-14.199999999999992</v>
      </c>
      <c r="N7" s="100" t="s">
        <v>107</v>
      </c>
      <c r="O7" s="107">
        <f t="shared" si="0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43</v>
      </c>
      <c r="C8" s="33">
        <f>IF(B$2=0,0,B8/B$2)</f>
        <v>0.24293785310734464</v>
      </c>
      <c r="E8" s="55" t="s">
        <v>55</v>
      </c>
      <c r="F8" s="52" t="s">
        <v>155</v>
      </c>
      <c r="G8" s="40">
        <v>66</v>
      </c>
      <c r="H8" s="118">
        <f>IF(B$17=0,0,G8/B$17)</f>
        <v>0.23157894736842105</v>
      </c>
      <c r="I8" s="80">
        <v>10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45</v>
      </c>
      <c r="C9" s="34">
        <f>IF(B$2=0,0,B9/B$2)</f>
        <v>0.25423728813559321</v>
      </c>
      <c r="E9" s="55" t="s">
        <v>59</v>
      </c>
      <c r="F9" s="52" t="s">
        <v>23</v>
      </c>
      <c r="G9" s="40">
        <v>47</v>
      </c>
      <c r="H9" s="118">
        <f>IF(B$17=0,0,G9/B$17)</f>
        <v>0.1649122807017544</v>
      </c>
      <c r="I9" s="80">
        <v>10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43</v>
      </c>
      <c r="C10" s="34">
        <f>IF(B$2=0,0,B10/B$2)</f>
        <v>0.24293785310734464</v>
      </c>
      <c r="E10" s="55" t="s">
        <v>182</v>
      </c>
      <c r="F10" s="52" t="s">
        <v>19</v>
      </c>
      <c r="G10" s="40">
        <v>30</v>
      </c>
      <c r="H10" s="118">
        <f>IF(B$17=0,0,G10/B$17)</f>
        <v>0.10526315789473684</v>
      </c>
      <c r="I10" s="80">
        <v>8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89</v>
      </c>
      <c r="C11" s="34">
        <f>IF(B$2=0,0,B11/B$2)</f>
        <v>0.50282485875706218</v>
      </c>
      <c r="E11" s="55" t="s">
        <v>58</v>
      </c>
      <c r="F11" s="52" t="s">
        <v>22</v>
      </c>
      <c r="G11" s="40">
        <v>17</v>
      </c>
      <c r="H11" s="118">
        <f>IF(B$17=0,0,G11/B$17)</f>
        <v>5.9649122807017542E-2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5.0847457627118647E-2</v>
      </c>
      <c r="E12" s="55" t="s">
        <v>71</v>
      </c>
      <c r="F12" s="52" t="s">
        <v>35</v>
      </c>
      <c r="G12" s="40">
        <v>12</v>
      </c>
      <c r="H12" s="118">
        <f>IF(B$17=0,0,G12/B$17)</f>
        <v>4.2105263157894736E-2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-4.9488888888888907</v>
      </c>
      <c r="P12" s="103">
        <v>45</v>
      </c>
      <c r="Q12" s="91">
        <v>-222.70000000000007</v>
      </c>
    </row>
    <row r="13" spans="1:17">
      <c r="A13" s="50" t="s">
        <v>97</v>
      </c>
      <c r="B13" s="43">
        <v>262</v>
      </c>
      <c r="C13" s="38">
        <f>IF(B$3=0,0,B13/B$3)</f>
        <v>0.19026870007262164</v>
      </c>
      <c r="E13" s="55" t="s">
        <v>183</v>
      </c>
      <c r="F13" s="52" t="s">
        <v>186</v>
      </c>
      <c r="G13" s="40">
        <v>9</v>
      </c>
      <c r="H13" s="118">
        <f>IF(B$17=0,0,G13/B$17)</f>
        <v>3.1578947368421054E-2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5.2488888888888852</v>
      </c>
      <c r="P13" s="104">
        <v>45</v>
      </c>
      <c r="Q13" s="92">
        <v>236.19999999999985</v>
      </c>
    </row>
    <row r="14" spans="1:17">
      <c r="A14" s="47" t="s">
        <v>94</v>
      </c>
      <c r="B14" s="40">
        <v>300</v>
      </c>
      <c r="C14" s="33">
        <f>IF(B$3=0,0,B14/B$3)</f>
        <v>0.2178649237472767</v>
      </c>
      <c r="E14" s="55" t="s">
        <v>77</v>
      </c>
      <c r="F14" s="52" t="s">
        <v>41</v>
      </c>
      <c r="G14" s="40">
        <v>7</v>
      </c>
      <c r="H14" s="118">
        <f>IF(B$17=0,0,G14/B$17)</f>
        <v>2.456140350877193E-2</v>
      </c>
      <c r="I14" s="80">
        <v>4</v>
      </c>
      <c r="K14" s="32">
        <v>12</v>
      </c>
      <c r="L14" s="85">
        <v>7.1054273576010019E-15</v>
      </c>
      <c r="N14" s="100" t="s">
        <v>128</v>
      </c>
      <c r="O14" s="110">
        <f>IF(P14=0,0,Q14/P14)</f>
        <v>1.1755555555555586</v>
      </c>
      <c r="P14" s="104">
        <v>45</v>
      </c>
      <c r="Q14" s="92">
        <v>52.900000000000134</v>
      </c>
    </row>
    <row r="15" spans="1:17">
      <c r="A15" s="46" t="s">
        <v>99</v>
      </c>
      <c r="B15" s="39">
        <f>B21</f>
        <v>136</v>
      </c>
      <c r="C15" s="31">
        <f>IF(B$13=0,0,B15/B$13)</f>
        <v>0.51908396946564883</v>
      </c>
      <c r="E15" s="55" t="s">
        <v>67</v>
      </c>
      <c r="F15" s="52" t="s">
        <v>31</v>
      </c>
      <c r="G15" s="40">
        <v>6</v>
      </c>
      <c r="H15" s="118">
        <f>IF(B$17=0,0,G15/B$17)</f>
        <v>2.1052631578947368E-2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-2.1422222222222218</v>
      </c>
      <c r="P15" s="105">
        <v>45</v>
      </c>
      <c r="Q15" s="93">
        <v>-96.399999999999977</v>
      </c>
    </row>
    <row r="16" spans="1:17">
      <c r="A16" s="46" t="s">
        <v>100</v>
      </c>
      <c r="B16" s="39">
        <f>B22</f>
        <v>105</v>
      </c>
      <c r="C16" s="31">
        <f>IF(B$14=0,0,B16/B$14)</f>
        <v>0.35</v>
      </c>
      <c r="E16" s="55" t="s">
        <v>74</v>
      </c>
      <c r="F16" s="52" t="s">
        <v>38</v>
      </c>
      <c r="G16" s="40">
        <v>6</v>
      </c>
      <c r="H16" s="118">
        <f>IF(B$17=0,0,G16/B$17)</f>
        <v>2.1052631578947368E-2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285</v>
      </c>
      <c r="C17" s="31">
        <f>IF(B$3=0,0,B17/B$3)</f>
        <v>0.20697167755991286</v>
      </c>
      <c r="E17" s="55" t="s">
        <v>62</v>
      </c>
      <c r="F17" s="52" t="s">
        <v>26</v>
      </c>
      <c r="G17" s="40">
        <v>2</v>
      </c>
      <c r="H17" s="118">
        <f>IF(B$17=0,0,G17/B$17)</f>
        <v>7.0175438596491229E-3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183</v>
      </c>
      <c r="C18" s="33">
        <f>IF(B$3=0,0,B18/B$3)</f>
        <v>0.13289760348583879</v>
      </c>
      <c r="E18" s="55" t="s">
        <v>66</v>
      </c>
      <c r="F18" s="52" t="s">
        <v>30</v>
      </c>
      <c r="G18" s="40">
        <v>2</v>
      </c>
      <c r="H18" s="118">
        <f>IF(B$17=0,0,G18/B$17)</f>
        <v>7.0175438596491229E-3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 t="shared" ref="O18:O41" si="3"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102</v>
      </c>
      <c r="C19" s="33">
        <f>IF(B$17=0,0,B19/B$17)</f>
        <v>0.35789473684210527</v>
      </c>
      <c r="E19" s="55" t="s">
        <v>69</v>
      </c>
      <c r="F19" s="52" t="s">
        <v>33</v>
      </c>
      <c r="G19" s="40">
        <v>2</v>
      </c>
      <c r="H19" s="118">
        <f>IF(B$17=0,0,G19/B$17)</f>
        <v>7.0175438596491229E-3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 t="shared" si="3"/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183</v>
      </c>
      <c r="C20" s="33">
        <f>IF(B$17=0,0,B20/B$17)</f>
        <v>0.64210526315789473</v>
      </c>
      <c r="E20" s="55" t="s">
        <v>72</v>
      </c>
      <c r="F20" s="52" t="s">
        <v>36</v>
      </c>
      <c r="G20" s="40">
        <v>2</v>
      </c>
      <c r="H20" s="118">
        <f>IF(B$17=0,0,G20/B$17)</f>
        <v>7.0175438596491229E-3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 t="shared" si="3"/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136</v>
      </c>
      <c r="C21" s="33">
        <f>IF(B$17=0,0,B21/B$17)</f>
        <v>0.47719298245614034</v>
      </c>
      <c r="E21" s="55" t="s">
        <v>75</v>
      </c>
      <c r="F21" s="52" t="s">
        <v>39</v>
      </c>
      <c r="G21" s="40">
        <v>2</v>
      </c>
      <c r="H21" s="118">
        <f>IF(B$17=0,0,G21/B$17)</f>
        <v>7.0175438596491229E-3</v>
      </c>
      <c r="I21" s="80">
        <v>3</v>
      </c>
      <c r="K21" s="32">
        <v>19</v>
      </c>
      <c r="L21" s="85">
        <v>-3.6999999999999886</v>
      </c>
      <c r="N21" s="100" t="s">
        <v>223</v>
      </c>
      <c r="O21" s="110">
        <f t="shared" si="3"/>
        <v>62.666666666666664</v>
      </c>
      <c r="P21" s="104">
        <v>3</v>
      </c>
      <c r="Q21" s="92">
        <v>188</v>
      </c>
    </row>
    <row r="22" spans="1:17">
      <c r="A22" s="47" t="s">
        <v>149</v>
      </c>
      <c r="B22" s="40">
        <v>105</v>
      </c>
      <c r="C22" s="33">
        <f>IF(B$17=0,0,B22/B$17)</f>
        <v>0.36842105263157893</v>
      </c>
      <c r="E22" s="55" t="s">
        <v>78</v>
      </c>
      <c r="F22" s="52" t="s">
        <v>42</v>
      </c>
      <c r="G22" s="40">
        <v>2</v>
      </c>
      <c r="H22" s="118">
        <f>IF(B$17=0,0,G22/B$17)</f>
        <v>7.0175438596491229E-3</v>
      </c>
      <c r="I22" s="80">
        <v>3</v>
      </c>
      <c r="K22" s="32">
        <v>20</v>
      </c>
      <c r="L22" s="85">
        <v>1.1546319456101628E-14</v>
      </c>
      <c r="N22" s="100" t="s">
        <v>208</v>
      </c>
      <c r="O22" s="110">
        <f t="shared" si="3"/>
        <v>58.977777777777789</v>
      </c>
      <c r="P22" s="104">
        <v>9</v>
      </c>
      <c r="Q22" s="92">
        <v>530.80000000000007</v>
      </c>
    </row>
    <row r="23" spans="1:17">
      <c r="A23" s="47" t="s">
        <v>150</v>
      </c>
      <c r="B23" s="40">
        <v>44</v>
      </c>
      <c r="C23" s="33">
        <f>IF(B$17=0,0,B23/B$17)</f>
        <v>0.15438596491228071</v>
      </c>
      <c r="E23" s="55" t="s">
        <v>61</v>
      </c>
      <c r="F23" s="52" t="s">
        <v>25</v>
      </c>
      <c r="G23" s="40">
        <v>1</v>
      </c>
      <c r="H23" s="118">
        <f>IF(B$17=0,0,G23/B$17)</f>
        <v>3.5087719298245615E-3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 t="shared" si="3"/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6389.4736842105267</v>
      </c>
      <c r="C24" s="35">
        <v>1821000</v>
      </c>
      <c r="E24" s="55" t="s">
        <v>76</v>
      </c>
      <c r="F24" s="52" t="s">
        <v>40</v>
      </c>
      <c r="G24" s="40">
        <v>1</v>
      </c>
      <c r="H24" s="118">
        <f>IF(B$17=0,0,G24/B$17)</f>
        <v>3.5087719298245615E-3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 t="shared" si="3"/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7473.333333333333</v>
      </c>
      <c r="C25" s="122">
        <v>1345200</v>
      </c>
      <c r="E25" s="55" t="s">
        <v>80</v>
      </c>
      <c r="F25" s="52" t="s">
        <v>44</v>
      </c>
      <c r="G25" s="40">
        <v>1</v>
      </c>
      <c r="H25" s="118">
        <f>IF(B$17=0,0,G25/B$17)</f>
        <v>3.5087719298245615E-3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 t="shared" si="3"/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4531.4285714285716</v>
      </c>
      <c r="C26" s="122">
        <v>475800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215</v>
      </c>
      <c r="O26" s="110">
        <f t="shared" si="3"/>
        <v>19.200000000000003</v>
      </c>
      <c r="P26" s="104">
        <v>3</v>
      </c>
      <c r="Q26" s="92">
        <v>57.600000000000009</v>
      </c>
    </row>
    <row r="27" spans="1:17">
      <c r="A27" s="48" t="s">
        <v>132</v>
      </c>
      <c r="B27" s="121">
        <f>IF(B$18=0,0,C27/B$18)</f>
        <v>-6043.1693989071036</v>
      </c>
      <c r="C27" s="122">
        <v>-1105900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195</v>
      </c>
      <c r="O27" s="110">
        <f t="shared" si="3"/>
        <v>18.238596491228069</v>
      </c>
      <c r="P27" s="104">
        <v>57</v>
      </c>
      <c r="Q27" s="92">
        <v>1039.5999999999999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216</v>
      </c>
      <c r="O28" s="110">
        <f t="shared" si="3"/>
        <v>17.088888888888889</v>
      </c>
      <c r="P28" s="104">
        <v>18</v>
      </c>
      <c r="Q28" s="92">
        <v>307.59999999999997</v>
      </c>
    </row>
    <row r="29" spans="1:17">
      <c r="A29" s="47" t="s">
        <v>131</v>
      </c>
      <c r="B29" s="40">
        <v>31</v>
      </c>
      <c r="C29" s="120">
        <v>7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213</v>
      </c>
      <c r="O29" s="110">
        <f t="shared" si="3"/>
        <v>14.639999999999999</v>
      </c>
      <c r="P29" s="104">
        <v>15</v>
      </c>
      <c r="Q29" s="92">
        <v>219.6</v>
      </c>
    </row>
    <row r="30" spans="1:17">
      <c r="A30" s="76" t="s">
        <v>111</v>
      </c>
      <c r="B30" s="156">
        <v>5</v>
      </c>
      <c r="C30" s="157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161</v>
      </c>
      <c r="O30" s="110">
        <f t="shared" si="3"/>
        <v>9.1111111111111143</v>
      </c>
      <c r="P30" s="104">
        <v>27</v>
      </c>
      <c r="Q30" s="92">
        <v>246.00000000000009</v>
      </c>
    </row>
    <row r="31" spans="1:17">
      <c r="A31" s="50" t="s">
        <v>148</v>
      </c>
      <c r="B31" s="158">
        <v>67800</v>
      </c>
      <c r="C31" s="159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179</v>
      </c>
      <c r="O31" s="110">
        <f t="shared" si="3"/>
        <v>2.4666666666666663</v>
      </c>
      <c r="P31" s="104">
        <v>48</v>
      </c>
      <c r="Q31" s="92">
        <v>118.39999999999998</v>
      </c>
    </row>
    <row r="32" spans="1:17">
      <c r="A32" s="49" t="s">
        <v>112</v>
      </c>
      <c r="B32" s="57">
        <v>3</v>
      </c>
      <c r="C32" s="36">
        <f>IF(B$3=0,0,B32/B$3)</f>
        <v>2.1786492374727671E-3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175</v>
      </c>
      <c r="O32" s="110">
        <f t="shared" si="3"/>
        <v>1.4666666666666668</v>
      </c>
      <c r="P32" s="104">
        <v>6</v>
      </c>
      <c r="Q32" s="92">
        <v>8.8000000000000007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164</v>
      </c>
      <c r="O33" s="110">
        <f t="shared" si="3"/>
        <v>-2.2222222222222197</v>
      </c>
      <c r="P33" s="104">
        <v>45</v>
      </c>
      <c r="Q33" s="92">
        <v>-99.999999999999886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177</v>
      </c>
      <c r="O34" s="110">
        <f t="shared" si="3"/>
        <v>-2.6</v>
      </c>
      <c r="P34" s="104">
        <v>6</v>
      </c>
      <c r="Q34" s="92">
        <v>-15.600000000000001</v>
      </c>
    </row>
    <row r="35" spans="1:17">
      <c r="A35" s="76" t="s">
        <v>139</v>
      </c>
      <c r="B35" s="136">
        <v>34</v>
      </c>
      <c r="C35" s="126">
        <f t="shared" ref="C35:C47" si="4">IF(B$17=0,0,B35/B$17)</f>
        <v>0.11929824561403508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163</v>
      </c>
      <c r="O35" s="110">
        <f t="shared" si="3"/>
        <v>-3.7999999999999949</v>
      </c>
      <c r="P35" s="104">
        <v>24</v>
      </c>
      <c r="Q35" s="92">
        <v>-91.199999999999875</v>
      </c>
    </row>
    <row r="36" spans="1:17">
      <c r="A36" s="47" t="s">
        <v>135</v>
      </c>
      <c r="B36" s="40">
        <v>60</v>
      </c>
      <c r="C36" s="33">
        <f t="shared" si="4"/>
        <v>0.21052631578947367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191</v>
      </c>
      <c r="O36" s="110">
        <f t="shared" si="3"/>
        <v>-7.5523809523809531</v>
      </c>
      <c r="P36" s="104">
        <v>42</v>
      </c>
      <c r="Q36" s="92">
        <v>-317.20000000000005</v>
      </c>
    </row>
    <row r="37" spans="1:17">
      <c r="A37" s="47" t="s">
        <v>136</v>
      </c>
      <c r="B37" s="137">
        <v>68</v>
      </c>
      <c r="C37" s="33">
        <f t="shared" si="4"/>
        <v>0.23859649122807017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168</v>
      </c>
      <c r="O37" s="110">
        <f t="shared" si="3"/>
        <v>-11.807407407407409</v>
      </c>
      <c r="P37" s="104">
        <v>54</v>
      </c>
      <c r="Q37" s="92">
        <v>-637.6</v>
      </c>
    </row>
    <row r="38" spans="1:17">
      <c r="A38" s="47" t="s">
        <v>137</v>
      </c>
      <c r="B38" s="137">
        <v>54</v>
      </c>
      <c r="C38" s="33">
        <f t="shared" si="4"/>
        <v>0.18947368421052632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167</v>
      </c>
      <c r="O38" s="110">
        <f t="shared" si="3"/>
        <v>-18.666666666666664</v>
      </c>
      <c r="P38" s="104">
        <v>3</v>
      </c>
      <c r="Q38" s="92">
        <v>-55.999999999999993</v>
      </c>
    </row>
    <row r="39" spans="1:17">
      <c r="A39" s="47" t="s">
        <v>138</v>
      </c>
      <c r="B39" s="137">
        <v>29</v>
      </c>
      <c r="C39" s="33">
        <f t="shared" si="4"/>
        <v>0.10175438596491228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169</v>
      </c>
      <c r="O39" s="110">
        <f t="shared" si="3"/>
        <v>-25.380952380952369</v>
      </c>
      <c r="P39" s="104">
        <v>84</v>
      </c>
      <c r="Q39" s="92">
        <v>-2131.9999999999991</v>
      </c>
    </row>
    <row r="40" spans="1:17">
      <c r="A40" s="47" t="s">
        <v>140</v>
      </c>
      <c r="B40" s="137">
        <v>31</v>
      </c>
      <c r="C40" s="33">
        <f t="shared" si="4"/>
        <v>0.10877192982456141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162</v>
      </c>
      <c r="O40" s="110">
        <f t="shared" si="3"/>
        <v>-39.703703703703681</v>
      </c>
      <c r="P40" s="104">
        <v>27</v>
      </c>
      <c r="Q40" s="92">
        <v>-1071.9999999999993</v>
      </c>
    </row>
    <row r="41" spans="1:17">
      <c r="A41" s="47" t="s">
        <v>141</v>
      </c>
      <c r="B41" s="137">
        <v>8</v>
      </c>
      <c r="C41" s="33">
        <f t="shared" si="4"/>
        <v>2.8070175438596492E-2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205</v>
      </c>
      <c r="O41" s="110">
        <f t="shared" si="3"/>
        <v>-47.866666666666667</v>
      </c>
      <c r="P41" s="104">
        <v>12</v>
      </c>
      <c r="Q41" s="92">
        <v>-574.4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4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4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4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4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4"/>
        <v>3.5087719298245615E-3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</sheetData>
  <sortState xmlns:xlrd2="http://schemas.microsoft.com/office/spreadsheetml/2017/richdata2" ref="E2:I18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15</v>
      </c>
      <c r="C2" s="163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4">
        <v>121</v>
      </c>
      <c r="C3" s="165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66">
        <v>22.499999999999993</v>
      </c>
      <c r="C4" s="167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8">
        <f>IF(B$2=0,0,B$4/B$2)</f>
        <v>1.4999999999999996</v>
      </c>
      <c r="C5" s="169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0">
        <f>IF(B$2=0,0,(B$7*1+B$8*2+B$9*3+B$10*4)/B$2)</f>
        <v>2.4666666666666668</v>
      </c>
      <c r="C6" s="171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7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14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4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56">
        <v>4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8">
        <v>52000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184</v>
      </c>
      <c r="F2" s="51" t="s">
        <v>187</v>
      </c>
      <c r="G2" s="39">
        <v>8</v>
      </c>
      <c r="H2" s="117">
        <f>IF(B$17=0,0,G2/B$17)</f>
        <v>0.61538461538461542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64">
        <v>72</v>
      </c>
      <c r="C3" s="165"/>
      <c r="E3" s="55" t="s">
        <v>54</v>
      </c>
      <c r="F3" s="52" t="s">
        <v>20</v>
      </c>
      <c r="G3" s="40">
        <v>7</v>
      </c>
      <c r="H3" s="118">
        <f>IF(B$17=0,0,G3/B$17)</f>
        <v>0.53846153846153844</v>
      </c>
      <c r="I3" s="80">
        <v>10</v>
      </c>
      <c r="K3" s="32">
        <v>1</v>
      </c>
      <c r="L3" s="85">
        <v>74.900000000000006</v>
      </c>
      <c r="N3" s="100" t="s">
        <v>104</v>
      </c>
      <c r="O3" s="107">
        <f t="shared" si="0"/>
        <v>1122.2222222222222</v>
      </c>
      <c r="P3" s="104">
        <v>9</v>
      </c>
      <c r="Q3" s="88">
        <v>10100</v>
      </c>
    </row>
    <row r="4" spans="1:17">
      <c r="A4" s="47" t="s">
        <v>6</v>
      </c>
      <c r="B4" s="166">
        <v>-66.499999999999986</v>
      </c>
      <c r="C4" s="167"/>
      <c r="E4" s="55" t="s">
        <v>181</v>
      </c>
      <c r="F4" s="52" t="s">
        <v>156</v>
      </c>
      <c r="G4" s="40">
        <v>6</v>
      </c>
      <c r="H4" s="118">
        <f>IF(B$17=0,0,G4/B$17)</f>
        <v>0.46153846153846156</v>
      </c>
      <c r="I4" s="80">
        <v>14</v>
      </c>
      <c r="K4" s="32">
        <v>2</v>
      </c>
      <c r="L4" s="85">
        <v>56.800000000000004</v>
      </c>
      <c r="N4" s="100" t="s">
        <v>105</v>
      </c>
      <c r="O4" s="107">
        <f t="shared" si="0"/>
        <v>1933.3333333333333</v>
      </c>
      <c r="P4" s="104">
        <v>9</v>
      </c>
      <c r="Q4" s="88">
        <v>17400</v>
      </c>
    </row>
    <row r="5" spans="1:17">
      <c r="A5" s="47" t="s">
        <v>7</v>
      </c>
      <c r="B5" s="168">
        <f>IF(B$2=0,0,B$4/B$2)</f>
        <v>-7.3888888888888875</v>
      </c>
      <c r="C5" s="169"/>
      <c r="E5" s="55" t="s">
        <v>60</v>
      </c>
      <c r="F5" s="52" t="s">
        <v>24</v>
      </c>
      <c r="G5" s="40">
        <v>6</v>
      </c>
      <c r="H5" s="118">
        <f>IF(B$17=0,0,G5/B$17)</f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70">
        <f>IF(B$2=0,0,(B$7*1+B$8*2+B$9*3+B$10*4)/B$2)</f>
        <v>2.6666666666666665</v>
      </c>
      <c r="C6" s="171"/>
      <c r="E6" s="55" t="s">
        <v>55</v>
      </c>
      <c r="F6" s="52" t="s">
        <v>155</v>
      </c>
      <c r="G6" s="40">
        <v>3</v>
      </c>
      <c r="H6" s="118">
        <f>IF(B$17=0,0,G6/B$17)</f>
        <v>0.23076923076923078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56</v>
      </c>
      <c r="F7" s="52" t="s">
        <v>185</v>
      </c>
      <c r="G7" s="40">
        <v>3</v>
      </c>
      <c r="H7" s="118">
        <f>IF(B$17=0,0,G7/B$17)</f>
        <v>0.23076923076923078</v>
      </c>
      <c r="I7" s="80">
        <v>13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>IF(B$17=0,0,G8/B$17)</f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>IF(B$17=0,0,G9/B$17)</f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>IF(B$17=0,0,G10/B$17)</f>
        <v>7.6923076923076927E-2</v>
      </c>
      <c r="I10" s="80">
        <v>6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>IF(B$17=0,0,G11/B$17)</f>
        <v>7.6923076923076927E-2</v>
      </c>
      <c r="I11" s="80">
        <v>14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>IF(B$17=0,0,G13/B$17)</f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9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4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164</v>
      </c>
      <c r="O22" s="110">
        <f t="shared" si="3"/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166</v>
      </c>
      <c r="O23" s="110">
        <f t="shared" si="3"/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213</v>
      </c>
      <c r="O24" s="110">
        <f t="shared" si="3"/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179</v>
      </c>
      <c r="O25" s="110">
        <f t="shared" si="3"/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175</v>
      </c>
      <c r="O27" s="110">
        <f t="shared" si="3"/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169</v>
      </c>
      <c r="O28" s="110">
        <f t="shared" si="3"/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177</v>
      </c>
      <c r="O29" s="110">
        <f t="shared" si="3"/>
        <v>-126.8</v>
      </c>
      <c r="P29" s="104">
        <v>1</v>
      </c>
      <c r="Q29" s="92">
        <v>-126.8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54900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0.15384615384615385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7.6923076923076927E-2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0.23076923076923078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0.15384615384615385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64">
        <v>78</v>
      </c>
      <c r="C3" s="165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5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66">
        <v>268</v>
      </c>
      <c r="C4" s="167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68">
        <f>IF(B$2=0,0,B$4/B$2)</f>
        <v>29.777777777777779</v>
      </c>
      <c r="C5" s="169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0">
        <f>IF(B$2=0,0,(B$7*1+B$8*2+B$9*3+B$10*4)/B$2)</f>
        <v>1.8888888888888888</v>
      </c>
      <c r="C6" s="171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5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14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4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12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4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4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58">
        <v>67800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8</v>
      </c>
      <c r="C2" s="163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64">
        <v>69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16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66">
        <v>20.300000000000004</v>
      </c>
      <c r="C4" s="167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13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68">
        <f>IF(B$2=0,0,B$4/B$2)</f>
        <v>2.5375000000000005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8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15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4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41700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28</v>
      </c>
      <c r="C2" s="163"/>
      <c r="E2" s="54" t="s">
        <v>54</v>
      </c>
      <c r="F2" s="51" t="s">
        <v>20</v>
      </c>
      <c r="G2" s="39">
        <v>37</v>
      </c>
      <c r="H2" s="117">
        <f>IF(B$17=0,0,G2/B$17)</f>
        <v>0.75510204081632648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28</v>
      </c>
      <c r="Q2" s="87">
        <v>29400</v>
      </c>
    </row>
    <row r="3" spans="1:17">
      <c r="A3" s="47" t="s">
        <v>8</v>
      </c>
      <c r="B3" s="164">
        <v>218</v>
      </c>
      <c r="C3" s="165"/>
      <c r="E3" s="55" t="s">
        <v>184</v>
      </c>
      <c r="F3" s="52" t="s">
        <v>187</v>
      </c>
      <c r="G3" s="40">
        <v>34</v>
      </c>
      <c r="H3" s="118">
        <f>IF(B$17=0,0,G3/B$17)</f>
        <v>0.69387755102040816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1450</v>
      </c>
      <c r="P3" s="104">
        <v>28</v>
      </c>
      <c r="Q3" s="88">
        <v>40600</v>
      </c>
    </row>
    <row r="4" spans="1:17">
      <c r="A4" s="47" t="s">
        <v>6</v>
      </c>
      <c r="B4" s="166">
        <v>530.50000000000011</v>
      </c>
      <c r="C4" s="167"/>
      <c r="E4" s="55" t="s">
        <v>181</v>
      </c>
      <c r="F4" s="52" t="s">
        <v>156</v>
      </c>
      <c r="G4" s="40">
        <v>27</v>
      </c>
      <c r="H4" s="118">
        <f>IF(B$17=0,0,G4/B$17)</f>
        <v>0.55102040816326525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0"/>
        <v>1303.5714285714287</v>
      </c>
      <c r="P4" s="104">
        <v>28</v>
      </c>
      <c r="Q4" s="88">
        <v>36500</v>
      </c>
    </row>
    <row r="5" spans="1:17">
      <c r="A5" s="47" t="s">
        <v>7</v>
      </c>
      <c r="B5" s="168">
        <f>IF(B$2=0,0,B$4/B$2)</f>
        <v>18.946428571428577</v>
      </c>
      <c r="C5" s="169"/>
      <c r="E5" s="55" t="s">
        <v>57</v>
      </c>
      <c r="F5" s="52" t="s">
        <v>21</v>
      </c>
      <c r="G5" s="40">
        <v>18</v>
      </c>
      <c r="H5" s="118">
        <f>IF(B$17=0,0,G5/B$17)</f>
        <v>0.36734693877551022</v>
      </c>
      <c r="I5" s="80">
        <v>4</v>
      </c>
      <c r="K5" s="32">
        <v>3</v>
      </c>
      <c r="L5" s="85">
        <v>-32.299999999999997</v>
      </c>
      <c r="N5" s="100" t="s">
        <v>157</v>
      </c>
      <c r="O5" s="107">
        <f>IF(P5=0,0,Q5/P5)</f>
        <v>876</v>
      </c>
      <c r="P5" s="104">
        <v>25</v>
      </c>
      <c r="Q5" s="88">
        <v>21900</v>
      </c>
    </row>
    <row r="6" spans="1:17">
      <c r="A6" s="47" t="s">
        <v>1</v>
      </c>
      <c r="B6" s="170">
        <f>IF(B$2=0,0,(B$7*1+B$8*2+B$9*3+B$10*4)/B$2)</f>
        <v>2.0357142857142856</v>
      </c>
      <c r="C6" s="171"/>
      <c r="E6" s="55" t="s">
        <v>60</v>
      </c>
      <c r="F6" s="52" t="s">
        <v>24</v>
      </c>
      <c r="G6" s="40">
        <v>18</v>
      </c>
      <c r="H6" s="118">
        <f>IF(B$17=0,0,G6/B$17)</f>
        <v>0.36734693877551022</v>
      </c>
      <c r="I6" s="80">
        <v>12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11</v>
      </c>
      <c r="C7" s="33">
        <f t="shared" ref="C7:C12" si="2">IF(B$2=0,0,B7/B$2)</f>
        <v>0.39285714285714285</v>
      </c>
      <c r="E7" s="55" t="s">
        <v>55</v>
      </c>
      <c r="F7" s="52" t="s">
        <v>155</v>
      </c>
      <c r="G7" s="40">
        <v>15</v>
      </c>
      <c r="H7" s="118">
        <f>IF(B$17=0,0,G7/B$17)</f>
        <v>0.30612244897959184</v>
      </c>
      <c r="I7" s="80">
        <v>6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7</v>
      </c>
      <c r="C8" s="33">
        <f>IF(B$2=0,0,B8/B$2)</f>
        <v>0.25</v>
      </c>
      <c r="E8" s="55" t="s">
        <v>56</v>
      </c>
      <c r="F8" s="52" t="s">
        <v>185</v>
      </c>
      <c r="G8" s="40">
        <v>9</v>
      </c>
      <c r="H8" s="118">
        <f>IF(B$17=0,0,G8/B$17)</f>
        <v>0.18367346938775511</v>
      </c>
      <c r="I8" s="80">
        <v>16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0.2857142857142857</v>
      </c>
      <c r="E9" s="55" t="s">
        <v>59</v>
      </c>
      <c r="F9" s="52" t="s">
        <v>23</v>
      </c>
      <c r="G9" s="40">
        <v>8</v>
      </c>
      <c r="H9" s="118">
        <f>IF(B$17=0,0,G9/B$17)</f>
        <v>0.16326530612244897</v>
      </c>
      <c r="I9" s="80">
        <v>11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2</v>
      </c>
      <c r="C10" s="34">
        <f>IF(B$2=0,0,B10/B$2)</f>
        <v>7.1428571428571425E-2</v>
      </c>
      <c r="E10" s="55" t="s">
        <v>182</v>
      </c>
      <c r="F10" s="52" t="s">
        <v>19</v>
      </c>
      <c r="G10" s="40">
        <v>6</v>
      </c>
      <c r="H10" s="118">
        <f>IF(B$17=0,0,G10/B$17)</f>
        <v>0.12244897959183673</v>
      </c>
      <c r="I10" s="80">
        <v>6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18</v>
      </c>
      <c r="C11" s="34">
        <f>IF(B$2=0,0,B11/B$2)</f>
        <v>0.6428571428571429</v>
      </c>
      <c r="E11" s="55" t="s">
        <v>58</v>
      </c>
      <c r="F11" s="52" t="s">
        <v>22</v>
      </c>
      <c r="G11" s="40">
        <v>5</v>
      </c>
      <c r="H11" s="118">
        <f>IF(B$17=0,0,G11/B$17)</f>
        <v>0.10204081632653061</v>
      </c>
      <c r="I11" s="80">
        <v>2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8.1632653061224483E-2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38</v>
      </c>
      <c r="C13" s="38">
        <f>IF(B$3=0,0,B13/B$3)</f>
        <v>0.1743119266055046</v>
      </c>
      <c r="E13" s="55" t="s">
        <v>62</v>
      </c>
      <c r="F13" s="52" t="s">
        <v>26</v>
      </c>
      <c r="G13" s="40">
        <v>1</v>
      </c>
      <c r="H13" s="118">
        <f>IF(B$17=0,0,G13/B$17)</f>
        <v>2.0408163265306121E-2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38</v>
      </c>
      <c r="C14" s="33">
        <f>IF(B$3=0,0,B14/B$3)</f>
        <v>0.1743119266055046</v>
      </c>
      <c r="E14" s="55" t="s">
        <v>66</v>
      </c>
      <c r="F14" s="52" t="s">
        <v>30</v>
      </c>
      <c r="G14" s="40">
        <v>1</v>
      </c>
      <c r="H14" s="118">
        <f>IF(B$17=0,0,G14/B$17)</f>
        <v>2.0408163265306121E-2</v>
      </c>
      <c r="I14" s="80">
        <v>2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27</v>
      </c>
      <c r="C15" s="31">
        <f>IF(B$13=0,0,B15/B$13)</f>
        <v>0.71052631578947367</v>
      </c>
      <c r="E15" s="55" t="s">
        <v>71</v>
      </c>
      <c r="F15" s="52" t="s">
        <v>35</v>
      </c>
      <c r="G15" s="40">
        <v>1</v>
      </c>
      <c r="H15" s="118">
        <f>IF(B$17=0,0,G15/B$17)</f>
        <v>2.0408163265306121E-2</v>
      </c>
      <c r="I15" s="80">
        <v>7</v>
      </c>
      <c r="K15" s="32">
        <v>13</v>
      </c>
      <c r="L15" s="85">
        <v>168.9</v>
      </c>
      <c r="N15" s="101" t="s">
        <v>159</v>
      </c>
      <c r="O15" s="111">
        <f>IF(P15=0,0,Q15/P15)</f>
        <v>16.974999999999998</v>
      </c>
      <c r="P15" s="105">
        <v>8</v>
      </c>
      <c r="Q15" s="93">
        <v>135.79999999999998</v>
      </c>
    </row>
    <row r="16" spans="1:17">
      <c r="A16" s="46" t="s">
        <v>100</v>
      </c>
      <c r="B16" s="39">
        <f>B22</f>
        <v>13</v>
      </c>
      <c r="C16" s="31">
        <f>IF(B$14=0,0,B16/B$14)</f>
        <v>0.34210526315789475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49</v>
      </c>
      <c r="C17" s="31">
        <f>IF(B$3=0,0,B17/B$3)</f>
        <v>0.22477064220183487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9.1743119266055051E-2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6" si="3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11</v>
      </c>
      <c r="C19" s="33">
        <f>IF(B$17=0,0,B19/B$17)</f>
        <v>0.22448979591836735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 t="shared" si="3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38</v>
      </c>
      <c r="C20" s="33">
        <f>IF(B$17=0,0,B20/B$17)</f>
        <v>0.77551020408163263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 t="shared" si="3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27</v>
      </c>
      <c r="C21" s="33">
        <f>IF(B$17=0,0,B21/B$17)</f>
        <v>0.55102040816326525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3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13</v>
      </c>
      <c r="C22" s="33">
        <f>IF(B$17=0,0,B22/B$17)</f>
        <v>0.26530612244897961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223</v>
      </c>
      <c r="O22" s="110">
        <f t="shared" si="3"/>
        <v>54.7</v>
      </c>
      <c r="P22" s="104">
        <v>1</v>
      </c>
      <c r="Q22" s="92">
        <v>54.7</v>
      </c>
    </row>
    <row r="23" spans="1:17">
      <c r="A23" s="47" t="s">
        <v>150</v>
      </c>
      <c r="B23" s="40">
        <v>9</v>
      </c>
      <c r="C23" s="33">
        <f>IF(B$17=0,0,B23/B$17)</f>
        <v>0.18367346938775511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166</v>
      </c>
      <c r="O23" s="110">
        <f t="shared" si="3"/>
        <v>53.75</v>
      </c>
      <c r="P23" s="104">
        <v>4</v>
      </c>
      <c r="Q23" s="92">
        <v>215</v>
      </c>
    </row>
    <row r="24" spans="1:17">
      <c r="A24" s="47" t="s">
        <v>5</v>
      </c>
      <c r="B24" s="44">
        <f>IF(B$17=0,0,C24/B$17)</f>
        <v>7753.0612244897957</v>
      </c>
      <c r="C24" s="35">
        <v>379900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196</v>
      </c>
      <c r="O24" s="110">
        <f t="shared" si="3"/>
        <v>49.7</v>
      </c>
      <c r="P24" s="104">
        <v>1</v>
      </c>
      <c r="Q24" s="92">
        <v>49.7</v>
      </c>
    </row>
    <row r="25" spans="1:17">
      <c r="A25" s="48" t="s">
        <v>133</v>
      </c>
      <c r="B25" s="121">
        <f>IF($B$17-B$16=0,0,C25/($B$17-B$16))</f>
        <v>8675</v>
      </c>
      <c r="C25" s="122">
        <v>312300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179</v>
      </c>
      <c r="O25" s="110">
        <f t="shared" si="3"/>
        <v>46.750000000000014</v>
      </c>
      <c r="P25" s="104">
        <v>8</v>
      </c>
      <c r="Q25" s="92">
        <v>374.00000000000011</v>
      </c>
    </row>
    <row r="26" spans="1:17">
      <c r="A26" s="48" t="s">
        <v>134</v>
      </c>
      <c r="B26" s="121">
        <f>IF(B$16=0,0,C26/B$16)</f>
        <v>5200</v>
      </c>
      <c r="C26" s="122">
        <v>67600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3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191</v>
      </c>
      <c r="O27" s="110">
        <f t="shared" si="3"/>
        <v>32.150000000000006</v>
      </c>
      <c r="P27" s="104">
        <v>8</v>
      </c>
      <c r="Q27" s="92">
        <v>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216</v>
      </c>
      <c r="O28" s="110">
        <f t="shared" si="3"/>
        <v>29.349999999999994</v>
      </c>
      <c r="P28" s="104">
        <v>6</v>
      </c>
      <c r="Q28" s="92">
        <v>176.09999999999997</v>
      </c>
    </row>
    <row r="29" spans="1:17">
      <c r="A29" s="47" t="s">
        <v>131</v>
      </c>
      <c r="B29" s="40">
        <v>42</v>
      </c>
      <c r="C29" s="120">
        <v>7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213</v>
      </c>
      <c r="O29" s="110">
        <f t="shared" si="3"/>
        <v>27.619999999999997</v>
      </c>
      <c r="P29" s="104">
        <v>5</v>
      </c>
      <c r="Q29" s="92">
        <v>138.1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K30" s="32">
        <v>28</v>
      </c>
      <c r="L30" s="85">
        <v>530.50000000000011</v>
      </c>
      <c r="N30" s="100" t="s">
        <v>163</v>
      </c>
      <c r="O30" s="110">
        <f t="shared" si="3"/>
        <v>24.933333333333337</v>
      </c>
      <c r="P30" s="104">
        <v>3</v>
      </c>
      <c r="Q30" s="92">
        <v>74.800000000000011</v>
      </c>
    </row>
    <row r="31" spans="1:17">
      <c r="A31" s="50" t="s">
        <v>148</v>
      </c>
      <c r="B31" s="158">
        <v>62800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195</v>
      </c>
      <c r="O31" s="110">
        <f t="shared" si="3"/>
        <v>18.836363636363629</v>
      </c>
      <c r="P31" s="104">
        <v>11</v>
      </c>
      <c r="Q31" s="92">
        <v>207.19999999999993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164</v>
      </c>
      <c r="O32" s="110">
        <f t="shared" si="3"/>
        <v>-7.6999999999999975</v>
      </c>
      <c r="P32" s="104">
        <v>7</v>
      </c>
      <c r="Q32" s="92">
        <v>-53.899999999999984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177</v>
      </c>
      <c r="O33" s="110">
        <f t="shared" si="3"/>
        <v>-10.999999999999996</v>
      </c>
      <c r="P33" s="104">
        <v>2</v>
      </c>
      <c r="Q33" s="92">
        <v>-21.999999999999993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168</v>
      </c>
      <c r="O34" s="110">
        <f t="shared" si="3"/>
        <v>-14.5625</v>
      </c>
      <c r="P34" s="104">
        <v>8</v>
      </c>
      <c r="Q34" s="92">
        <v>-116.5</v>
      </c>
    </row>
    <row r="35" spans="1:17">
      <c r="A35" s="76" t="s">
        <v>139</v>
      </c>
      <c r="B35" s="136">
        <v>2</v>
      </c>
      <c r="C35" s="126">
        <f t="shared" ref="C35:C47" si="4">IF(B$17=0,0,B35/B$17)</f>
        <v>4.0816326530612242E-2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167</v>
      </c>
      <c r="O35" s="110">
        <f t="shared" si="3"/>
        <v>-28.2</v>
      </c>
      <c r="P35" s="104">
        <v>1</v>
      </c>
      <c r="Q35" s="92">
        <v>-28.2</v>
      </c>
    </row>
    <row r="36" spans="1:17">
      <c r="A36" s="47" t="s">
        <v>135</v>
      </c>
      <c r="B36" s="40">
        <v>10</v>
      </c>
      <c r="C36" s="33">
        <f t="shared" si="4"/>
        <v>0.20408163265306123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162</v>
      </c>
      <c r="O36" s="110">
        <f t="shared" si="3"/>
        <v>-38.020000000000003</v>
      </c>
      <c r="P36" s="104">
        <v>5</v>
      </c>
      <c r="Q36" s="92">
        <v>-190.10000000000002</v>
      </c>
    </row>
    <row r="37" spans="1:17">
      <c r="A37" s="47" t="s">
        <v>136</v>
      </c>
      <c r="B37" s="137">
        <v>8</v>
      </c>
      <c r="C37" s="33">
        <f t="shared" si="4"/>
        <v>0.16326530612244897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13</v>
      </c>
      <c r="C38" s="33">
        <f t="shared" si="4"/>
        <v>0.26530612244897961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4"/>
        <v>8.1632653061224483E-2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4"/>
        <v>0.18367346938775511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4"/>
        <v>6.1224489795918366E-2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4">
        <v>35</v>
      </c>
      <c r="C3" s="165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4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6">
        <v>-127.99999999999999</v>
      </c>
      <c r="C4" s="167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8">
        <f>IF(B$2=0,0,B$4/B$2)</f>
        <v>-31.999999999999996</v>
      </c>
      <c r="C5" s="169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16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0">
        <f>IF(B$2=0,0,(B$7*1+B$8*2+B$9*3+B$10*4)/B$2)</f>
        <v>3.25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1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4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1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23700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4">
        <v>7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6">
        <v>14</v>
      </c>
      <c r="C4" s="167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8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8">
        <f>IF(B$2=0,0,B$4/B$2)</f>
        <v>14</v>
      </c>
      <c r="C5" s="169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11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0">
        <f>IF(B$2=0,0,(B$7*1+B$8*2+B$9*3+B$10*4)/B$2)</f>
        <v>2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34000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18</v>
      </c>
      <c r="C2" s="163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64">
        <v>142</v>
      </c>
      <c r="C3" s="165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13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66">
        <v>154.39999999999998</v>
      </c>
      <c r="C4" s="167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68">
        <f>IF(B$2=0,0,B$4/B$2)</f>
        <v>8.5777777777777757</v>
      </c>
      <c r="C5" s="169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0">
        <f>IF(B$2=0,0,(B$7*1+B$8*2+B$9*3+B$10*4)/B$2)</f>
        <v>2.3333333333333335</v>
      </c>
      <c r="C6" s="171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16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9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4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8">
        <v>65600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4">
        <v>15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6">
        <v>-2.2000000000000011</v>
      </c>
      <c r="C4" s="167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8">
        <f>IF(B$2=0,0,B$4/B$2)</f>
        <v>-1.1000000000000005</v>
      </c>
      <c r="C5" s="169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6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14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15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33600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4">
        <v>19</v>
      </c>
      <c r="C3" s="165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17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6">
        <v>3.8999999999999986</v>
      </c>
      <c r="C4" s="167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9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8">
        <f>IF(B$2=0,0,B$4/B$2)</f>
        <v>1.9499999999999993</v>
      </c>
      <c r="C5" s="169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11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4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180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4">
        <v>7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6">
        <v>-52.6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8">
        <f>IF(B$2=0,0,B$4/B$2)</f>
        <v>-52.6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7400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16</v>
      </c>
      <c r="C2" s="163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4">
        <v>131</v>
      </c>
      <c r="C3" s="165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7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66">
        <v>-34.6</v>
      </c>
      <c r="C4" s="167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8">
        <f>IF(B$2=0,0,B$4/B$2)</f>
        <v>-2.1625000000000001</v>
      </c>
      <c r="C5" s="169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17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0">
        <f>IF(B$2=0,0,(B$7*1+B$8*2+B$9*3+B$10*4)/B$2)</f>
        <v>2.4375</v>
      </c>
      <c r="C6" s="171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7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15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4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56">
        <v>5</v>
      </c>
      <c r="C30" s="157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58">
        <v>53200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6">
        <v>-97.4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8">
        <f>IF(B$2=0,0,B$4/B$2)</f>
        <v>-48.7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14100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14</v>
      </c>
      <c r="C2" s="163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4">
        <v>115</v>
      </c>
      <c r="C3" s="165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66">
        <v>79.299999999999983</v>
      </c>
      <c r="C4" s="167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8">
        <f>IF(B$2=0,0,B$4/B$2)</f>
        <v>5.6642857142857128</v>
      </c>
      <c r="C5" s="169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0">
        <f>IF(B$2=0,0,(B$7*1+B$8*2+B$9*3+B$10*4)/B$2)</f>
        <v>2.1428571428571428</v>
      </c>
      <c r="C6" s="171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18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16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19</v>
      </c>
      <c r="C2" s="163"/>
      <c r="E2" s="54" t="s">
        <v>181</v>
      </c>
      <c r="F2" s="51" t="s">
        <v>156</v>
      </c>
      <c r="G2" s="39">
        <v>14</v>
      </c>
      <c r="H2" s="117">
        <f>IF(B$17=0,0,G2/B$17)</f>
        <v>0.51851851851851849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189.47368421052633</v>
      </c>
      <c r="P2" s="103">
        <v>19</v>
      </c>
      <c r="Q2" s="87">
        <v>3600</v>
      </c>
    </row>
    <row r="3" spans="1:17">
      <c r="A3" s="47" t="s">
        <v>8</v>
      </c>
      <c r="B3" s="164">
        <v>133</v>
      </c>
      <c r="C3" s="165"/>
      <c r="E3" s="55" t="s">
        <v>184</v>
      </c>
      <c r="F3" s="52" t="s">
        <v>187</v>
      </c>
      <c r="G3" s="40">
        <v>11</v>
      </c>
      <c r="H3" s="118">
        <f>IF(B$17=0,0,G3/B$17)</f>
        <v>0.40740740740740738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0"/>
        <v>-1084.2105263157894</v>
      </c>
      <c r="P3" s="104">
        <v>19</v>
      </c>
      <c r="Q3" s="88">
        <v>-20600</v>
      </c>
    </row>
    <row r="4" spans="1:17">
      <c r="A4" s="47" t="s">
        <v>6</v>
      </c>
      <c r="B4" s="166">
        <v>-262.40000000000003</v>
      </c>
      <c r="C4" s="167"/>
      <c r="E4" s="55" t="s">
        <v>54</v>
      </c>
      <c r="F4" s="52" t="s">
        <v>20</v>
      </c>
      <c r="G4" s="40">
        <v>9</v>
      </c>
      <c r="H4" s="118">
        <f>IF(B$17=0,0,G4/B$17)</f>
        <v>0.33333333333333331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-815.78947368421052</v>
      </c>
      <c r="P4" s="104">
        <v>19</v>
      </c>
      <c r="Q4" s="88">
        <v>-15500</v>
      </c>
    </row>
    <row r="5" spans="1:17">
      <c r="A5" s="47" t="s">
        <v>7</v>
      </c>
      <c r="B5" s="168">
        <f>IF(B$2=0,0,B$4/B$2)</f>
        <v>-13.810526315789476</v>
      </c>
      <c r="C5" s="169"/>
      <c r="E5" s="55" t="s">
        <v>60</v>
      </c>
      <c r="F5" s="52" t="s">
        <v>24</v>
      </c>
      <c r="G5" s="40">
        <v>9</v>
      </c>
      <c r="H5" s="118">
        <f>IF(B$17=0,0,G5/B$17)</f>
        <v>0.33333333333333331</v>
      </c>
      <c r="I5" s="80">
        <v>14</v>
      </c>
      <c r="K5" s="32">
        <v>3</v>
      </c>
      <c r="L5" s="85">
        <v>-68.400000000000006</v>
      </c>
      <c r="N5" s="100" t="s">
        <v>157</v>
      </c>
      <c r="O5" s="107">
        <f>IF(P5=0,0,Q5/P5)</f>
        <v>-606.25</v>
      </c>
      <c r="P5" s="104">
        <v>16</v>
      </c>
      <c r="Q5" s="88">
        <v>-9700</v>
      </c>
    </row>
    <row r="6" spans="1:17">
      <c r="A6" s="47" t="s">
        <v>1</v>
      </c>
      <c r="B6" s="170">
        <f>IF(B$2=0,0,(B$7*1+B$8*2+B$9*3+B$10*4)/B$2)</f>
        <v>2.736842105263158</v>
      </c>
      <c r="C6" s="171"/>
      <c r="E6" s="55" t="s">
        <v>55</v>
      </c>
      <c r="F6" s="52" t="s">
        <v>155</v>
      </c>
      <c r="G6" s="40">
        <v>7</v>
      </c>
      <c r="H6" s="118">
        <f>IF(B$17=0,0,G6/B$17)</f>
        <v>0.25925925925925924</v>
      </c>
      <c r="I6" s="80">
        <v>8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2</v>
      </c>
      <c r="C7" s="33">
        <f t="shared" ref="C7:C12" si="2">IF(B$2=0,0,B7/B$2)</f>
        <v>0.10526315789473684</v>
      </c>
      <c r="E7" s="55" t="s">
        <v>56</v>
      </c>
      <c r="F7" s="52" t="s">
        <v>185</v>
      </c>
      <c r="G7" s="40">
        <v>7</v>
      </c>
      <c r="H7" s="118">
        <f>IF(B$17=0,0,G7/B$17)</f>
        <v>0.25925925925925924</v>
      </c>
      <c r="I7" s="80">
        <v>9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0.21052631578947367</v>
      </c>
      <c r="E8" s="55" t="s">
        <v>59</v>
      </c>
      <c r="F8" s="52" t="s">
        <v>23</v>
      </c>
      <c r="G8" s="40">
        <v>7</v>
      </c>
      <c r="H8" s="118">
        <f>IF(B$17=0,0,G8/B$17)</f>
        <v>0.25925925925925924</v>
      </c>
      <c r="I8" s="80">
        <v>4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10</v>
      </c>
      <c r="C9" s="34">
        <f>IF(B$2=0,0,B9/B$2)</f>
        <v>0.52631578947368418</v>
      </c>
      <c r="E9" s="55" t="s">
        <v>182</v>
      </c>
      <c r="F9" s="52" t="s">
        <v>19</v>
      </c>
      <c r="G9" s="40">
        <v>3</v>
      </c>
      <c r="H9" s="118">
        <f>IF(B$17=0,0,G9/B$17)</f>
        <v>0.1111111111111111</v>
      </c>
      <c r="I9" s="80">
        <v>7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0.15789473684210525</v>
      </c>
      <c r="E10" s="55" t="s">
        <v>71</v>
      </c>
      <c r="F10" s="52" t="s">
        <v>35</v>
      </c>
      <c r="G10" s="40">
        <v>2</v>
      </c>
      <c r="H10" s="118">
        <f>IF(B$17=0,0,G10/B$17)</f>
        <v>7.407407407407407E-2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0.31578947368421051</v>
      </c>
      <c r="E11" s="55" t="s">
        <v>58</v>
      </c>
      <c r="F11" s="52" t="s">
        <v>22</v>
      </c>
      <c r="G11" s="40">
        <v>1</v>
      </c>
      <c r="H11" s="118">
        <f>IF(B$17=0,0,G11/B$17)</f>
        <v>3.7037037037037035E-2</v>
      </c>
      <c r="I11" s="80">
        <v>10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0.10526315789473684</v>
      </c>
      <c r="E12" s="55" t="s">
        <v>74</v>
      </c>
      <c r="F12" s="52" t="s">
        <v>38</v>
      </c>
      <c r="G12" s="40">
        <v>1</v>
      </c>
      <c r="H12" s="118">
        <f>IF(B$17=0,0,G12/B$17)</f>
        <v>3.7037037037037035E-2</v>
      </c>
      <c r="I12" s="80">
        <v>5</v>
      </c>
      <c r="K12" s="32">
        <v>10</v>
      </c>
      <c r="L12" s="85">
        <v>-239.90000000000003</v>
      </c>
      <c r="N12" s="99" t="s">
        <v>126</v>
      </c>
      <c r="O12" s="109">
        <f>IF(P12=0,0,Q12/P12)</f>
        <v>-17.2</v>
      </c>
      <c r="P12" s="103">
        <v>1</v>
      </c>
      <c r="Q12" s="91">
        <v>-17.2</v>
      </c>
    </row>
    <row r="13" spans="1:17">
      <c r="A13" s="50" t="s">
        <v>97</v>
      </c>
      <c r="B13" s="43">
        <v>29</v>
      </c>
      <c r="C13" s="38">
        <f>IF(B$3=0,0,B13/B$3)</f>
        <v>0.21804511278195488</v>
      </c>
      <c r="E13" s="55" t="s">
        <v>57</v>
      </c>
      <c r="F13" s="52" t="s">
        <v>21</v>
      </c>
      <c r="G13" s="40">
        <v>0</v>
      </c>
      <c r="H13" s="118">
        <f>IF(B$17=0,0,G13/B$17)</f>
        <v>0</v>
      </c>
      <c r="I13" s="80">
        <v>15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34</v>
      </c>
      <c r="C14" s="33">
        <f>IF(B$3=0,0,B14/B$3)</f>
        <v>0.25563909774436089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-9.92</v>
      </c>
      <c r="P14" s="104">
        <v>5</v>
      </c>
      <c r="Q14" s="92">
        <v>-49.6</v>
      </c>
    </row>
    <row r="15" spans="1:17">
      <c r="A15" s="46" t="s">
        <v>99</v>
      </c>
      <c r="B15" s="39">
        <f>B21</f>
        <v>14</v>
      </c>
      <c r="C15" s="31">
        <f>IF(B$13=0,0,B15/B$13)</f>
        <v>0.48275862068965519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11</v>
      </c>
      <c r="C16" s="31">
        <f>IF(B$14=0,0,B16/B$14)</f>
        <v>0.3235294117647059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27</v>
      </c>
      <c r="C17" s="31">
        <f>IF(B$3=0,0,B17/B$3)</f>
        <v>0.20300751879699247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21</v>
      </c>
      <c r="C18" s="33">
        <f>IF(B$3=0,0,B18/B$3)</f>
        <v>0.15789473684210525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-275</v>
      </c>
      <c r="N18" s="99" t="s">
        <v>208</v>
      </c>
      <c r="O18" s="109">
        <f t="shared" ref="O18:O32" si="3">IF(P18=0,0,Q18/P18)</f>
        <v>45.5</v>
      </c>
      <c r="P18" s="103">
        <v>2</v>
      </c>
      <c r="Q18" s="91">
        <v>91</v>
      </c>
    </row>
    <row r="19" spans="1:17">
      <c r="A19" s="47" t="s">
        <v>12</v>
      </c>
      <c r="B19" s="40">
        <v>12</v>
      </c>
      <c r="C19" s="33">
        <f>IF(B$17=0,0,B19/B$17)</f>
        <v>0.44444444444444442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4</v>
      </c>
      <c r="K19" s="32">
        <v>17</v>
      </c>
      <c r="L19" s="85">
        <v>-298.60000000000002</v>
      </c>
      <c r="N19" s="100" t="s">
        <v>223</v>
      </c>
      <c r="O19" s="110">
        <f t="shared" si="3"/>
        <v>29.8</v>
      </c>
      <c r="P19" s="104">
        <v>1</v>
      </c>
      <c r="Q19" s="92">
        <v>29.8</v>
      </c>
    </row>
    <row r="20" spans="1:17">
      <c r="A20" s="47" t="s">
        <v>11</v>
      </c>
      <c r="B20" s="40">
        <v>15</v>
      </c>
      <c r="C20" s="33">
        <f>IF(B$17=0,0,B20/B$17)</f>
        <v>0.55555555555555558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-245.20000000000002</v>
      </c>
      <c r="N20" s="100" t="s">
        <v>216</v>
      </c>
      <c r="O20" s="110">
        <f t="shared" si="3"/>
        <v>25.016666666666669</v>
      </c>
      <c r="P20" s="104">
        <v>6</v>
      </c>
      <c r="Q20" s="92">
        <v>150.10000000000002</v>
      </c>
    </row>
    <row r="21" spans="1:17">
      <c r="A21" s="47" t="s">
        <v>151</v>
      </c>
      <c r="B21" s="40">
        <v>14</v>
      </c>
      <c r="C21" s="33">
        <f>IF(B$17=0,0,B21/B$17)</f>
        <v>0.51851851851851849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-262.40000000000003</v>
      </c>
      <c r="N21" s="100" t="s">
        <v>215</v>
      </c>
      <c r="O21" s="110">
        <f t="shared" si="3"/>
        <v>24.4</v>
      </c>
      <c r="P21" s="104">
        <v>1</v>
      </c>
      <c r="Q21" s="92">
        <v>24.4</v>
      </c>
    </row>
    <row r="22" spans="1:17">
      <c r="A22" s="47" t="s">
        <v>149</v>
      </c>
      <c r="B22" s="40">
        <v>11</v>
      </c>
      <c r="C22" s="33">
        <f>IF(B$17=0,0,B22/B$17)</f>
        <v>0.40740740740740738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203</v>
      </c>
      <c r="O22" s="110">
        <f t="shared" si="3"/>
        <v>20.5</v>
      </c>
      <c r="P22" s="104">
        <v>1</v>
      </c>
      <c r="Q22" s="92">
        <v>20.5</v>
      </c>
    </row>
    <row r="23" spans="1:17">
      <c r="A23" s="47" t="s">
        <v>150</v>
      </c>
      <c r="B23" s="40">
        <v>2</v>
      </c>
      <c r="C23" s="33">
        <f>IF(B$17=0,0,B23/B$17)</f>
        <v>7.407407407407407E-2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213</v>
      </c>
      <c r="O23" s="110">
        <f t="shared" si="3"/>
        <v>-2.1999999999999957</v>
      </c>
      <c r="P23" s="104">
        <v>5</v>
      </c>
      <c r="Q23" s="92">
        <v>-10.999999999999979</v>
      </c>
    </row>
    <row r="24" spans="1:17">
      <c r="A24" s="47" t="s">
        <v>5</v>
      </c>
      <c r="B24" s="44">
        <f>IF(B$17=0,0,C24/B$17)</f>
        <v>4311.1111111111113</v>
      </c>
      <c r="C24" s="35">
        <v>116400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-18.836363636363629</v>
      </c>
      <c r="P24" s="104">
        <v>11</v>
      </c>
      <c r="Q24" s="92">
        <v>-207.19999999999993</v>
      </c>
    </row>
    <row r="25" spans="1:17">
      <c r="A25" s="48" t="s">
        <v>133</v>
      </c>
      <c r="B25" s="121">
        <f>IF($B$17-B$16=0,0,C25/($B$17-B$16))</f>
        <v>5837.5</v>
      </c>
      <c r="C25" s="122">
        <v>93400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-19.399999999999999</v>
      </c>
      <c r="P25" s="104">
        <v>4</v>
      </c>
      <c r="Q25" s="92">
        <v>-77.599999999999994</v>
      </c>
    </row>
    <row r="26" spans="1:17">
      <c r="A26" s="48" t="s">
        <v>134</v>
      </c>
      <c r="B26" s="121">
        <f>IF(B$16=0,0,C26/B$16)</f>
        <v>2090.909090909091</v>
      </c>
      <c r="C26" s="122">
        <v>23000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-20.650000000000006</v>
      </c>
      <c r="P26" s="104">
        <v>2</v>
      </c>
      <c r="Q26" s="92">
        <v>-41.300000000000011</v>
      </c>
    </row>
    <row r="27" spans="1:17">
      <c r="A27" s="48" t="s">
        <v>132</v>
      </c>
      <c r="B27" s="121">
        <f>IF(B$18=0,0,C27/B$18)</f>
        <v>-6728.5714285714284</v>
      </c>
      <c r="C27" s="122">
        <v>-141300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168</v>
      </c>
      <c r="O27" s="110">
        <f t="shared" si="3"/>
        <v>-25.7</v>
      </c>
      <c r="P27" s="104">
        <v>7</v>
      </c>
      <c r="Q27" s="92">
        <v>-179.9</v>
      </c>
    </row>
    <row r="28" spans="1:17">
      <c r="A28" s="47" t="s">
        <v>130</v>
      </c>
      <c r="B28" s="40">
        <v>3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163</v>
      </c>
      <c r="O28" s="110">
        <f t="shared" si="3"/>
        <v>-30.9</v>
      </c>
      <c r="P28" s="104">
        <v>1</v>
      </c>
      <c r="Q28" s="92">
        <v>-30.9</v>
      </c>
    </row>
    <row r="29" spans="1:17">
      <c r="A29" s="47" t="s">
        <v>131</v>
      </c>
      <c r="B29" s="40">
        <v>19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179</v>
      </c>
      <c r="O29" s="110">
        <f t="shared" si="3"/>
        <v>-34.119999999999997</v>
      </c>
      <c r="P29" s="104">
        <v>5</v>
      </c>
      <c r="Q29" s="92">
        <v>-170.6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162</v>
      </c>
      <c r="O30" s="110">
        <f t="shared" si="3"/>
        <v>-43.699999999999996</v>
      </c>
      <c r="P30" s="104">
        <v>4</v>
      </c>
      <c r="Q30" s="92">
        <v>-174.79999999999998</v>
      </c>
    </row>
    <row r="31" spans="1:17">
      <c r="A31" s="50" t="s">
        <v>148</v>
      </c>
      <c r="B31" s="158">
        <v>48000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191</v>
      </c>
      <c r="O31" s="110">
        <f t="shared" si="3"/>
        <v>-65.966666666666669</v>
      </c>
      <c r="P31" s="104">
        <v>3</v>
      </c>
      <c r="Q31" s="92">
        <v>-197.9</v>
      </c>
    </row>
    <row r="32" spans="1:17">
      <c r="A32" s="49" t="s">
        <v>112</v>
      </c>
      <c r="B32" s="57">
        <v>1</v>
      </c>
      <c r="C32" s="36">
        <f>IF(B$3=0,0,B32/B$3)</f>
        <v>7.5187969924812026E-3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-66.05</v>
      </c>
      <c r="P32" s="104">
        <v>4</v>
      </c>
      <c r="Q32" s="92">
        <v>-264.2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4</v>
      </c>
      <c r="C35" s="126">
        <f t="shared" ref="C35:C47" si="4">IF(B$17=0,0,B35/B$17)</f>
        <v>0.14814814814814814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9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4"/>
        <v>0.37037037037037035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0.1111111111111111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3.7037037037037035E-2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64">
        <v>8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66">
        <v>-27.1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68">
        <f>IF(B$2=0,0,B$4/B$2)</f>
        <v>-27.1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12900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4">
        <v>43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66">
        <v>-161.39999999999998</v>
      </c>
      <c r="C4" s="167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8">
        <f>IF(B$2=0,0,B$4/B$2)</f>
        <v>-32.279999999999994</v>
      </c>
      <c r="C5" s="169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0">
        <f>IF(B$2=0,0,(B$7*1+B$8*2+B$9*3+B$10*4)/B$2)</f>
        <v>3.4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25000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4">
        <v>17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66">
        <v>-105.9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8">
        <f>IF(B$2=0,0,B$4/B$2)</f>
        <v>-52.95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13500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64">
        <v>28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8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66">
        <v>141.1</v>
      </c>
      <c r="C4" s="167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12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8">
        <f>IF(B$2=0,0,B$4/B$2)</f>
        <v>35.274999999999999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6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0">
        <f>IF(B$2=0,0,(B$7*1+B$8*2+B$9*3+B$10*4)/B$2)</f>
        <v>1.75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4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56">
        <v>3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8">
        <v>57200</v>
      </c>
      <c r="C31" s="159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3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4">
        <v>23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66">
        <v>-132.69999999999999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8">
        <f>IF(B$2=0,0,B$4/B$2)</f>
        <v>-44.233333333333327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0">
        <f>IF(B$2=0,0,(B$7*1+B$8*2+B$9*3+B$10*4)/B$2)</f>
        <v>3.6666666666666665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10700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57</v>
      </c>
      <c r="F2" s="51" t="s">
        <v>21</v>
      </c>
      <c r="G2" s="39">
        <v>3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340</v>
      </c>
      <c r="P2" s="103">
        <v>5</v>
      </c>
      <c r="Q2" s="87">
        <v>1700</v>
      </c>
    </row>
    <row r="3" spans="1:17">
      <c r="A3" s="47" t="s">
        <v>8</v>
      </c>
      <c r="B3" s="164">
        <v>28</v>
      </c>
      <c r="C3" s="165"/>
      <c r="E3" s="55" t="s">
        <v>184</v>
      </c>
      <c r="F3" s="52" t="s">
        <v>187</v>
      </c>
      <c r="G3" s="40">
        <v>3</v>
      </c>
      <c r="H3" s="118">
        <f>IF(B$17=0,0,G3/B$17)</f>
        <v>1</v>
      </c>
      <c r="I3" s="80">
        <v>3</v>
      </c>
      <c r="K3" s="32">
        <v>1</v>
      </c>
      <c r="L3" s="85">
        <v>-19.5</v>
      </c>
      <c r="N3" s="100" t="s">
        <v>104</v>
      </c>
      <c r="O3" s="107">
        <f t="shared" si="0"/>
        <v>-780</v>
      </c>
      <c r="P3" s="104">
        <v>5</v>
      </c>
      <c r="Q3" s="88">
        <v>-3900</v>
      </c>
    </row>
    <row r="4" spans="1:17">
      <c r="A4" s="47" t="s">
        <v>6</v>
      </c>
      <c r="B4" s="166">
        <v>-54.9</v>
      </c>
      <c r="C4" s="167"/>
      <c r="E4" s="55" t="s">
        <v>181</v>
      </c>
      <c r="F4" s="52" t="s">
        <v>156</v>
      </c>
      <c r="G4" s="40">
        <v>2</v>
      </c>
      <c r="H4" s="118">
        <f>IF(B$17=0,0,G4/B$17)</f>
        <v>0.66666666666666663</v>
      </c>
      <c r="I4" s="80">
        <v>4</v>
      </c>
      <c r="K4" s="32">
        <v>2</v>
      </c>
      <c r="L4" s="85">
        <v>-12.1</v>
      </c>
      <c r="N4" s="100" t="s">
        <v>105</v>
      </c>
      <c r="O4" s="107">
        <f t="shared" si="0"/>
        <v>-4180</v>
      </c>
      <c r="P4" s="104">
        <v>5</v>
      </c>
      <c r="Q4" s="88">
        <v>-20900</v>
      </c>
    </row>
    <row r="5" spans="1:17">
      <c r="A5" s="47" t="s">
        <v>7</v>
      </c>
      <c r="B5" s="168">
        <f>IF(B$2=0,0,B$4/B$2)</f>
        <v>-10.98</v>
      </c>
      <c r="C5" s="169"/>
      <c r="E5" s="55" t="s">
        <v>56</v>
      </c>
      <c r="F5" s="52" t="s">
        <v>185</v>
      </c>
      <c r="G5" s="40">
        <v>2</v>
      </c>
      <c r="H5" s="118">
        <f>IF(B$17=0,0,G5/B$17)</f>
        <v>0.66666666666666663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70">
        <f>IF(B$2=0,0,(B$7*1+B$8*2+B$9*3+B$10*4)/B$2)</f>
        <v>2.6</v>
      </c>
      <c r="C6" s="171"/>
      <c r="E6" s="55" t="s">
        <v>54</v>
      </c>
      <c r="F6" s="52" t="s">
        <v>20</v>
      </c>
      <c r="G6" s="40">
        <v>1</v>
      </c>
      <c r="H6" s="118">
        <f>IF(B$17=0,0,G6/B$17)</f>
        <v>0.33333333333333331</v>
      </c>
      <c r="I6" s="80">
        <v>14</v>
      </c>
      <c r="K6" s="32">
        <v>4</v>
      </c>
      <c r="L6" s="85">
        <v>0</v>
      </c>
      <c r="N6" s="100" t="s">
        <v>106</v>
      </c>
      <c r="O6" s="107">
        <f t="shared" ref="O6" si="1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1</v>
      </c>
      <c r="H7" s="118">
        <f>IF(B$17=0,0,G7/B$17)</f>
        <v>0.33333333333333331</v>
      </c>
      <c r="I7" s="80">
        <v>3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59</v>
      </c>
      <c r="F8" s="52" t="s">
        <v>23</v>
      </c>
      <c r="G8" s="40">
        <v>1</v>
      </c>
      <c r="H8" s="118">
        <f>IF(B$17=0,0,G8/B$17)</f>
        <v>0.33333333333333331</v>
      </c>
      <c r="I8" s="80">
        <v>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0.6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5</v>
      </c>
      <c r="C13" s="38">
        <f>IF(B$3=0,0,B13/B$3)</f>
        <v>0.17857142857142858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-22.7</v>
      </c>
      <c r="P13" s="104">
        <v>2</v>
      </c>
      <c r="Q13" s="92">
        <v>-45.4</v>
      </c>
    </row>
    <row r="14" spans="1:17">
      <c r="A14" s="47" t="s">
        <v>94</v>
      </c>
      <c r="B14" s="40">
        <v>2</v>
      </c>
      <c r="C14" s="33">
        <f>IF(B$3=0,0,B14/B$3)</f>
        <v>7.1428571428571425E-2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2.5999999999999996</v>
      </c>
      <c r="P14" s="104">
        <v>1</v>
      </c>
      <c r="Q14" s="92">
        <v>2.5999999999999996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0.10714285714285714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5.5999999999999979</v>
      </c>
      <c r="P18" s="103">
        <v>2</v>
      </c>
      <c r="Q18" s="91">
        <v>11.199999999999996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195</v>
      </c>
      <c r="O19" s="110">
        <f>IF(P19=0,0,Q19/P19)</f>
        <v>2.1999999999999957</v>
      </c>
      <c r="P19" s="104">
        <v>5</v>
      </c>
      <c r="Q19" s="92">
        <v>10.999999999999979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216</v>
      </c>
      <c r="O20" s="110">
        <f>IF(P20=0,0,Q20/P20)</f>
        <v>-8.0999999999999979</v>
      </c>
      <c r="P20" s="104">
        <v>2</v>
      </c>
      <c r="Q20" s="92">
        <v>-16.199999999999996</v>
      </c>
    </row>
    <row r="21" spans="1:17">
      <c r="A21" s="47" t="s">
        <v>151</v>
      </c>
      <c r="B21" s="40">
        <v>2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-27.619999999999997</v>
      </c>
      <c r="P21" s="104">
        <v>5</v>
      </c>
      <c r="Q21" s="92">
        <v>-138.1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-87.5</v>
      </c>
      <c r="P22" s="104">
        <v>1</v>
      </c>
      <c r="Q22" s="92">
        <v>-87.5</v>
      </c>
    </row>
    <row r="23" spans="1:17">
      <c r="A23" s="47" t="s">
        <v>150</v>
      </c>
      <c r="B23" s="40">
        <v>1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7066.666666666667</v>
      </c>
      <c r="C24" s="35">
        <v>21200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-7166.666666666667</v>
      </c>
      <c r="C27" s="122">
        <v>-21500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29500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0.66666666666666663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0.33333333333333331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215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64">
        <v>6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19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66">
        <v>-14.4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68">
        <f>IF(B$2=0,0,B$4/B$2)</f>
        <v>-14.4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25600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216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6</v>
      </c>
      <c r="C2" s="163"/>
      <c r="E2" s="54" t="s">
        <v>184</v>
      </c>
      <c r="F2" s="51" t="s">
        <v>187</v>
      </c>
      <c r="G2" s="39">
        <v>5</v>
      </c>
      <c r="H2" s="117">
        <f>IF(B$17=0,0,G2/B$17)</f>
        <v>1.25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-233.33333333333334</v>
      </c>
      <c r="P2" s="103">
        <v>6</v>
      </c>
      <c r="Q2" s="87">
        <v>-1400</v>
      </c>
    </row>
    <row r="3" spans="1:17">
      <c r="A3" s="47" t="s">
        <v>8</v>
      </c>
      <c r="B3" s="164">
        <v>37</v>
      </c>
      <c r="C3" s="165"/>
      <c r="E3" s="55" t="s">
        <v>54</v>
      </c>
      <c r="F3" s="52" t="s">
        <v>20</v>
      </c>
      <c r="G3" s="40">
        <v>3</v>
      </c>
      <c r="H3" s="118">
        <f>IF(B$17=0,0,G3/B$17)</f>
        <v>0.75</v>
      </c>
      <c r="I3" s="80">
        <v>4</v>
      </c>
      <c r="K3" s="32">
        <v>1</v>
      </c>
      <c r="L3" s="85">
        <v>-47.6</v>
      </c>
      <c r="N3" s="100" t="s">
        <v>104</v>
      </c>
      <c r="O3" s="107">
        <f t="shared" si="0"/>
        <v>-16.666666666666668</v>
      </c>
      <c r="P3" s="104">
        <v>6</v>
      </c>
      <c r="Q3" s="88">
        <v>-100</v>
      </c>
    </row>
    <row r="4" spans="1:17">
      <c r="A4" s="47" t="s">
        <v>6</v>
      </c>
      <c r="B4" s="166">
        <v>-76.900000000000006</v>
      </c>
      <c r="C4" s="167"/>
      <c r="E4" s="55" t="s">
        <v>181</v>
      </c>
      <c r="F4" s="52" t="s">
        <v>156</v>
      </c>
      <c r="G4" s="40">
        <v>2</v>
      </c>
      <c r="H4" s="118">
        <f>IF(B$17=0,0,G4/B$17)</f>
        <v>0.5</v>
      </c>
      <c r="I4" s="80">
        <v>8</v>
      </c>
      <c r="K4" s="32">
        <v>2</v>
      </c>
      <c r="L4" s="85">
        <v>-102</v>
      </c>
      <c r="N4" s="100" t="s">
        <v>105</v>
      </c>
      <c r="O4" s="107">
        <f t="shared" si="0"/>
        <v>-800</v>
      </c>
      <c r="P4" s="104">
        <v>6</v>
      </c>
      <c r="Q4" s="88">
        <v>-4800</v>
      </c>
    </row>
    <row r="5" spans="1:17">
      <c r="A5" s="47" t="s">
        <v>7</v>
      </c>
      <c r="B5" s="168">
        <f>IF(B$2=0,0,B$4/B$2)</f>
        <v>-12.816666666666668</v>
      </c>
      <c r="C5" s="169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5</v>
      </c>
      <c r="K5" s="32">
        <v>3</v>
      </c>
      <c r="L5" s="85">
        <v>-97.3</v>
      </c>
      <c r="N5" s="100" t="s">
        <v>157</v>
      </c>
      <c r="O5" s="107">
        <f>IF(P5=0,0,Q5/P5)</f>
        <v>-2325</v>
      </c>
      <c r="P5" s="104">
        <v>4</v>
      </c>
      <c r="Q5" s="88">
        <v>-9300</v>
      </c>
    </row>
    <row r="6" spans="1:17">
      <c r="A6" s="47" t="s">
        <v>1</v>
      </c>
      <c r="B6" s="170">
        <f>IF(B$2=0,0,(B$7*1+B$8*2+B$9*3+B$10*4)/B$2)</f>
        <v>2.8333333333333335</v>
      </c>
      <c r="C6" s="171"/>
      <c r="E6" s="55" t="s">
        <v>59</v>
      </c>
      <c r="F6" s="52" t="s">
        <v>23</v>
      </c>
      <c r="G6" s="40">
        <v>1</v>
      </c>
      <c r="H6" s="118">
        <f>IF(B$17=0,0,G6/B$17)</f>
        <v>0.25</v>
      </c>
      <c r="I6" s="80">
        <v>5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-5000</v>
      </c>
      <c r="P6" s="104">
        <v>2</v>
      </c>
      <c r="Q6" s="88">
        <v>-10000</v>
      </c>
    </row>
    <row r="7" spans="1:17">
      <c r="A7" s="47" t="s">
        <v>2</v>
      </c>
      <c r="B7" s="40">
        <v>1</v>
      </c>
      <c r="C7" s="33">
        <f t="shared" ref="C7:C12" si="2">IF(B$2=0,0,B7/B$2)</f>
        <v>0.16666666666666666</v>
      </c>
      <c r="E7" s="55" t="s">
        <v>182</v>
      </c>
      <c r="F7" s="52" t="s">
        <v>19</v>
      </c>
      <c r="G7" s="40">
        <v>0</v>
      </c>
      <c r="H7" s="118">
        <f>IF(B$17=0,0,G7/B$17)</f>
        <v>0</v>
      </c>
      <c r="I7" s="80">
        <v>12</v>
      </c>
      <c r="K7" s="32">
        <v>5</v>
      </c>
      <c r="L7" s="85">
        <v>-133.4</v>
      </c>
      <c r="N7" s="100" t="s">
        <v>107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0.33333333333333331</v>
      </c>
      <c r="E8" s="55" t="s">
        <v>55</v>
      </c>
      <c r="F8" s="52" t="s">
        <v>155</v>
      </c>
      <c r="G8" s="40">
        <v>0</v>
      </c>
      <c r="H8" s="118">
        <f>IF(B$17=0,0,G8/B$17)</f>
        <v>0</v>
      </c>
      <c r="I8" s="80">
        <v>17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185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3</v>
      </c>
      <c r="C10" s="34">
        <f>IF(B$2=0,0,B10/B$2)</f>
        <v>0.5</v>
      </c>
      <c r="E10" s="55" t="s">
        <v>57</v>
      </c>
      <c r="F10" s="52" t="s">
        <v>21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-47.1</v>
      </c>
      <c r="P12" s="103">
        <v>1</v>
      </c>
      <c r="Q12" s="91">
        <v>-47.1</v>
      </c>
    </row>
    <row r="13" spans="1:17">
      <c r="A13" s="50" t="s">
        <v>97</v>
      </c>
      <c r="B13" s="43">
        <v>5</v>
      </c>
      <c r="C13" s="38">
        <f>IF(B$3=0,0,B13/B$3)</f>
        <v>0.13513513513513514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3</v>
      </c>
      <c r="C14" s="33">
        <f>IF(B$3=0,0,B14/B$3)</f>
        <v>8.1081081081081086E-2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30.6</v>
      </c>
      <c r="P14" s="104">
        <v>2</v>
      </c>
      <c r="Q14" s="92">
        <v>61.2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-18.3</v>
      </c>
      <c r="P15" s="105">
        <v>2</v>
      </c>
      <c r="Q15" s="93">
        <v>-36.6</v>
      </c>
    </row>
    <row r="16" spans="1:17">
      <c r="A16" s="46" t="s">
        <v>100</v>
      </c>
      <c r="B16" s="39">
        <f>B22</f>
        <v>2</v>
      </c>
      <c r="C16" s="31">
        <f>IF(B$14=0,0,B16/B$14)</f>
        <v>0.66666666666666663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0.10810810810810811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223</v>
      </c>
      <c r="O18" s="109">
        <f t="shared" ref="O18:O23" si="3">IF(P18=0,0,Q18/P18)</f>
        <v>103.5</v>
      </c>
      <c r="P18" s="103">
        <v>1</v>
      </c>
      <c r="Q18" s="91">
        <v>103.5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213</v>
      </c>
      <c r="O19" s="110">
        <f t="shared" si="3"/>
        <v>8.0999999999999979</v>
      </c>
      <c r="P19" s="104">
        <v>2</v>
      </c>
      <c r="Q19" s="92">
        <v>16.199999999999996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-25.016666666666666</v>
      </c>
      <c r="P20" s="104">
        <v>6</v>
      </c>
      <c r="Q20" s="92">
        <v>-150.1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-29.349999999999994</v>
      </c>
      <c r="P21" s="104">
        <v>6</v>
      </c>
      <c r="Q21" s="92">
        <v>-176.09999999999997</v>
      </c>
    </row>
    <row r="22" spans="1:17">
      <c r="A22" s="47" t="s">
        <v>149</v>
      </c>
      <c r="B22" s="40">
        <v>2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215</v>
      </c>
      <c r="O22" s="110">
        <f t="shared" si="3"/>
        <v>-33.200000000000003</v>
      </c>
      <c r="P22" s="104">
        <v>1</v>
      </c>
      <c r="Q22" s="92">
        <v>-33.200000000000003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-33.950000000000003</v>
      </c>
      <c r="P23" s="104">
        <v>2</v>
      </c>
      <c r="Q23" s="92">
        <v>-67.900000000000006</v>
      </c>
    </row>
    <row r="24" spans="1:17">
      <c r="A24" s="47" t="s">
        <v>5</v>
      </c>
      <c r="B24" s="44">
        <f>IF(B$17=0,0,C24/B$17)</f>
        <v>6800</v>
      </c>
      <c r="C24" s="35">
        <v>27200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6600</v>
      </c>
      <c r="C25" s="122">
        <v>13200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-6160</v>
      </c>
      <c r="C27" s="122">
        <v>-30800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13</v>
      </c>
      <c r="C29" s="120">
        <v>13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36500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223</v>
      </c>
      <c r="C1" s="161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64">
        <v>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-47</v>
      </c>
      <c r="N3" s="100" t="s">
        <v>104</v>
      </c>
      <c r="O3" s="107">
        <f t="shared" si="0"/>
        <v>-5900</v>
      </c>
      <c r="P3" s="104">
        <v>1</v>
      </c>
      <c r="Q3" s="88">
        <v>-5900</v>
      </c>
    </row>
    <row r="4" spans="1:17">
      <c r="A4" s="47" t="s">
        <v>6</v>
      </c>
      <c r="B4" s="166">
        <v>-47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N4" s="100" t="s">
        <v>105</v>
      </c>
      <c r="O4" s="107">
        <f t="shared" si="0"/>
        <v>-6100</v>
      </c>
      <c r="P4" s="104">
        <v>1</v>
      </c>
      <c r="Q4" s="88">
        <v>-6100</v>
      </c>
    </row>
    <row r="5" spans="1:17">
      <c r="A5" s="47" t="s">
        <v>7</v>
      </c>
      <c r="B5" s="168">
        <f>IF(B$2=0,0,B$4/B$2)</f>
        <v>-47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0.2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0.2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-29.8</v>
      </c>
      <c r="P18" s="103">
        <v>1</v>
      </c>
      <c r="Q18" s="91">
        <v>-29.8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-54.7</v>
      </c>
      <c r="P19" s="104">
        <v>1</v>
      </c>
      <c r="Q19" s="92">
        <v>-54.7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216</v>
      </c>
      <c r="O20" s="110">
        <f>IF(P20=0,0,Q20/P20)</f>
        <v>-103.5</v>
      </c>
      <c r="P20" s="104">
        <v>1</v>
      </c>
      <c r="Q20" s="92">
        <v>-103.5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-2000</v>
      </c>
      <c r="C27" s="122">
        <v>-2000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13000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/>
      <c r="C1" s="161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0"/>
      <c r="C1" s="161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1539</vt:i4>
      </vt:variant>
    </vt:vector>
  </HeadingPairs>
  <TitlesOfParts>
    <vt:vector size="156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Template (3)</vt:lpstr>
      <vt:lpstr>Template</vt:lpstr>
      <vt:lpstr>'Template (3)'!アガリ数</vt:lpstr>
      <vt:lpstr>阿部圭太朗!アガリ数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'Template (3)'!アガリ率</vt:lpstr>
      <vt:lpstr>阿部圭太朗!アガリ率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'Template (3)'!ダマアガリ数</vt:lpstr>
      <vt:lpstr>阿部圭太朗!ダマアガリ数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'Template (3)'!ダマアガリ率</vt:lpstr>
      <vt:lpstr>阿部圭太朗!ダマアガリ率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'Template (3)'!チョンボ数</vt:lpstr>
      <vt:lpstr>阿部圭太朗!チョンボ数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'Template (3)'!チョンボ率</vt:lpstr>
      <vt:lpstr>阿部圭太朗!チョンボ率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'Template (3)'!ツモ数</vt:lpstr>
      <vt:lpstr>阿部圭太朗!ツモ数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'Template (3)'!ツモ率</vt:lpstr>
      <vt:lpstr>阿部圭太朗!ツモ率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'Template (3)'!トップ数</vt:lpstr>
      <vt:lpstr>阿部圭太朗!トップ数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'Template (3)'!トップ率</vt:lpstr>
      <vt:lpstr>阿部圭太朗!トップ率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'Template (3)'!ふっとび数</vt:lpstr>
      <vt:lpstr>阿部圭太朗!ふっとび数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'Template (3)'!ふっとび率</vt:lpstr>
      <vt:lpstr>阿部圭太朗!ふっとび率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'Template (3)'!ラス数</vt:lpstr>
      <vt:lpstr>阿部圭太朗!ラス数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'Template (3)'!ラス率</vt:lpstr>
      <vt:lpstr>阿部圭太朗!ラス率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'Template (3)'!リーチアガリ数</vt:lpstr>
      <vt:lpstr>阿部圭太朗!リーチアガリ数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'Template (3)'!リーチ数</vt:lpstr>
      <vt:lpstr>阿部圭太朗!リーチ数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'Template (3)'!リーチ成功数</vt:lpstr>
      <vt:lpstr>阿部圭太朗!リーチ成功数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'Template (3)'!リーチ成功率</vt:lpstr>
      <vt:lpstr>阿部圭太朗!リーチ成功率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'Template (3)'!リーチ率</vt:lpstr>
      <vt:lpstr>阿部圭太朗!リーチ率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'Template (3)'!ロン数</vt:lpstr>
      <vt:lpstr>阿部圭太朗!ロン数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'Template (3)'!ロン率</vt:lpstr>
      <vt:lpstr>阿部圭太朗!ロン率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'Template (3)'!現行連続アガリ</vt:lpstr>
      <vt:lpstr>阿部圭太朗!現行連続アガリ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'Template (3)'!最高点</vt:lpstr>
      <vt:lpstr>阿部圭太朗!最高点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'Template (3)'!最大ドラ数</vt:lpstr>
      <vt:lpstr>阿部圭太朗!最大ドラ数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'Template (3)'!最大点数</vt:lpstr>
      <vt:lpstr>阿部圭太朗!最大点数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'Template (3)'!三位数</vt:lpstr>
      <vt:lpstr>阿部圭太朗!三位数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'Template (3)'!三位率</vt:lpstr>
      <vt:lpstr>阿部圭太朗!三位率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'Template (3)'!総局数</vt:lpstr>
      <vt:lpstr>阿部圭太朗!総局数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'Template (3)'!対戦数</vt:lpstr>
      <vt:lpstr>阿部圭太朗!対戦数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'Template (3)'!通算アガリ点</vt:lpstr>
      <vt:lpstr>阿部圭太朗!通算アガリ点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'Template (3)'!通算スコア</vt:lpstr>
      <vt:lpstr>阿部圭太朗!通算スコア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'Template (3)'!通算副露アガリ点</vt:lpstr>
      <vt:lpstr>阿部圭太朗!通算副露アガリ点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'Template (3)'!通算門前アガリ点</vt:lpstr>
      <vt:lpstr>阿部圭太朗!通算門前アガリ点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'Template (3)'!二位数</vt:lpstr>
      <vt:lpstr>阿部圭太朗!二位数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'Template (3)'!二位率</vt:lpstr>
      <vt:lpstr>阿部圭太朗!二位率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'Template (3)'!副露アガリ数</vt:lpstr>
      <vt:lpstr>阿部圭太朗!副露アガリ数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'Template (3)'!副露アガリ点</vt:lpstr>
      <vt:lpstr>阿部圭太朗!副露アガリ点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'Template (3)'!副露アガリ率</vt:lpstr>
      <vt:lpstr>阿部圭太朗!副露アガリ率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'Template (3)'!副露数</vt:lpstr>
      <vt:lpstr>阿部圭太朗!副露数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'Template (3)'!副露成功数</vt:lpstr>
      <vt:lpstr>阿部圭太朗!副露成功数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'Template (3)'!副露成功率</vt:lpstr>
      <vt:lpstr>阿部圭太朗!副露成功率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'Template (3)'!副露率</vt:lpstr>
      <vt:lpstr>阿部圭太朗!副露率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'Template (3)'!平均アガリ点</vt:lpstr>
      <vt:lpstr>阿部圭太朗!平均アガリ点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'Template (3)'!平均スコア</vt:lpstr>
      <vt:lpstr>阿部圭太朗!平均スコア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'Template (3)'!平均順位</vt:lpstr>
      <vt:lpstr>阿部圭太朗!平均順位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'Template (3)'!平均放銃点</vt:lpstr>
      <vt:lpstr>阿部圭太朗!平均放銃点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'Template (3)'!放銃数</vt:lpstr>
      <vt:lpstr>阿部圭太朗!放銃数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'Template (3)'!放銃率</vt:lpstr>
      <vt:lpstr>阿部圭太朗!放銃率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'Template (3)'!名前</vt:lpstr>
      <vt:lpstr>阿部圭太朗!名前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'Template (3)'!門前アガリ点</vt:lpstr>
      <vt:lpstr>阿部圭太朗!門前アガリ点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'Template (3)'!連続アガリ</vt:lpstr>
      <vt:lpstr>阿部圭太朗!連続アガリ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'Template (3)'!連続無放銃</vt:lpstr>
      <vt:lpstr>阿部圭太朗!連続無放銃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'Template (3)'!連対数</vt:lpstr>
      <vt:lpstr>阿部圭太朗!連対数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'Template (3)'!連対率</vt:lpstr>
      <vt:lpstr>阿部圭太朗!連対率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2021-12-08T13:50:52Z</dcterms:modified>
</cp:coreProperties>
</file>