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BC75079B-254B-408B-ACE1-638D191E4568}" xr6:coauthVersionLast="45" xr6:coauthVersionMax="45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50" r:id="rId4"/>
    <sheet name="松澤亮太" sheetId="6251" r:id="rId5"/>
    <sheet name="滝沢悠人" sheetId="6252" r:id="rId6"/>
    <sheet name="大池陸斗" sheetId="6253" r:id="rId7"/>
    <sheet name="百瀬成空" sheetId="6254" r:id="rId8"/>
    <sheet name="佐藤成浩" sheetId="6255" r:id="rId9"/>
    <sheet name="依田幸憲" sheetId="6256" r:id="rId10"/>
    <sheet name="保谷一貴" sheetId="6257" r:id="rId11"/>
    <sheet name="高野源太" sheetId="6258" r:id="rId12"/>
    <sheet name="矢ヶ崎健" sheetId="6259" r:id="rId13"/>
    <sheet name="小林郁斗" sheetId="6260" r:id="rId14"/>
    <sheet name="木角有希" sheetId="6261" r:id="rId15"/>
    <sheet name="福澤大地" sheetId="6262" r:id="rId16"/>
    <sheet name="髙橋桜" sheetId="6263" r:id="rId17"/>
    <sheet name="多田洋輔" sheetId="6264" r:id="rId18"/>
    <sheet name="柳澤颯吾" sheetId="6265" r:id="rId19"/>
    <sheet name="石澤巧望" sheetId="6266" r:id="rId20"/>
    <sheet name="川上翔大" sheetId="6267" r:id="rId21"/>
    <sheet name="北沢蓮太郎" sheetId="6268" r:id="rId22"/>
    <sheet name="市川大智" sheetId="6269" r:id="rId23"/>
    <sheet name="中川弘崇" sheetId="6270" r:id="rId24"/>
    <sheet name="Template" sheetId="2228" state="hidden" r:id="rId25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8" i="6255" l="1"/>
  <c r="O21" i="6264"/>
  <c r="O23" i="6270"/>
  <c r="O21" i="6270"/>
  <c r="O22" i="6270"/>
  <c r="O18" i="6269"/>
  <c r="O32" i="6258" l="1"/>
  <c r="O19" i="6269"/>
  <c r="O22" i="6254" l="1"/>
  <c r="O19" i="6267"/>
  <c r="O18" i="6265" l="1"/>
  <c r="O18" i="6270"/>
  <c r="O19" i="6270"/>
  <c r="O20" i="6270"/>
  <c r="C45" i="6270"/>
  <c r="C42" i="6270"/>
  <c r="C40" i="6270"/>
  <c r="C38" i="6270"/>
  <c r="H36" i="6270"/>
  <c r="C36" i="6270"/>
  <c r="H34" i="6270"/>
  <c r="H33" i="6270"/>
  <c r="C32" i="6270"/>
  <c r="H31" i="6270"/>
  <c r="H30" i="6270"/>
  <c r="H27" i="6270"/>
  <c r="B27" i="6270"/>
  <c r="H25" i="6270"/>
  <c r="H23" i="6270"/>
  <c r="C23" i="6270"/>
  <c r="H22" i="6270"/>
  <c r="H21" i="6270"/>
  <c r="C21" i="6270"/>
  <c r="H19" i="6270"/>
  <c r="C19" i="6270"/>
  <c r="H18" i="6270"/>
  <c r="C18" i="6270"/>
  <c r="H17" i="6270"/>
  <c r="C17" i="6270"/>
  <c r="B17" i="6270"/>
  <c r="C47" i="6270" s="1"/>
  <c r="C16" i="6270"/>
  <c r="B16" i="6270"/>
  <c r="B26" i="6270" s="1"/>
  <c r="O15" i="6270"/>
  <c r="C15" i="6270"/>
  <c r="B15" i="6270"/>
  <c r="O14" i="6270"/>
  <c r="C14" i="6270"/>
  <c r="O13" i="6270"/>
  <c r="H13" i="6270"/>
  <c r="C13" i="6270"/>
  <c r="O12" i="6270"/>
  <c r="H12" i="6270"/>
  <c r="C12" i="6270"/>
  <c r="C11" i="6270"/>
  <c r="B11" i="6270"/>
  <c r="H10" i="6270"/>
  <c r="C10" i="6270"/>
  <c r="O9" i="6270"/>
  <c r="H9" i="6270"/>
  <c r="C9" i="6270"/>
  <c r="O8" i="6270"/>
  <c r="H8" i="6270"/>
  <c r="C8" i="6270"/>
  <c r="O7" i="6270"/>
  <c r="C7" i="6270"/>
  <c r="O6" i="6270"/>
  <c r="H6" i="6270"/>
  <c r="B6" i="6270"/>
  <c r="O5" i="6270"/>
  <c r="H5" i="6270"/>
  <c r="B5" i="6270"/>
  <c r="O4" i="6270"/>
  <c r="H4" i="6270"/>
  <c r="O3" i="6270"/>
  <c r="H3" i="6270"/>
  <c r="O2" i="6270"/>
  <c r="H2" i="6270"/>
  <c r="O26" i="6258"/>
  <c r="O20" i="6262"/>
  <c r="O21" i="6250"/>
  <c r="H26" i="6270" l="1"/>
  <c r="H32" i="6270"/>
  <c r="H37" i="6270"/>
  <c r="H41" i="6270"/>
  <c r="H38" i="6270"/>
  <c r="H42" i="6270"/>
  <c r="H11" i="6270"/>
  <c r="H14" i="6270"/>
  <c r="H16" i="6270"/>
  <c r="C20" i="6270"/>
  <c r="B24" i="6270"/>
  <c r="H28" i="6270"/>
  <c r="C35" i="6270"/>
  <c r="C39" i="6270"/>
  <c r="C43" i="6270"/>
  <c r="H20" i="6270"/>
  <c r="H24" i="6270"/>
  <c r="H29" i="6270"/>
  <c r="H35" i="6270"/>
  <c r="H39" i="6270"/>
  <c r="C44" i="6270"/>
  <c r="B25" i="6270"/>
  <c r="H40" i="6270"/>
  <c r="C46" i="6270"/>
  <c r="H7" i="6270"/>
  <c r="H15" i="6270"/>
  <c r="C22" i="6270"/>
  <c r="C37" i="6270"/>
  <c r="C41" i="6270"/>
  <c r="O23" i="6264" l="1"/>
  <c r="O19" i="6265"/>
  <c r="O20" i="6269"/>
  <c r="O24" i="6269"/>
  <c r="O20" i="6267"/>
  <c r="O24" i="6267"/>
  <c r="O21" i="6258"/>
  <c r="O22" i="6267"/>
  <c r="O26" i="6265" l="1"/>
  <c r="O31" i="6262"/>
  <c r="O20" i="6251"/>
  <c r="O37" i="6250"/>
  <c r="O21" i="6269"/>
  <c r="O22" i="6269"/>
  <c r="O23" i="6269"/>
  <c r="C32" i="6269"/>
  <c r="B27" i="6269"/>
  <c r="C18" i="6269"/>
  <c r="B17" i="6269"/>
  <c r="C47" i="6269" s="1"/>
  <c r="B16" i="6269"/>
  <c r="B26" i="6269" s="1"/>
  <c r="O15" i="6269"/>
  <c r="B15" i="6269"/>
  <c r="C15" i="6269" s="1"/>
  <c r="O14" i="6269"/>
  <c r="C14" i="6269"/>
  <c r="O13" i="6269"/>
  <c r="C13" i="6269"/>
  <c r="O12" i="6269"/>
  <c r="C12" i="6269"/>
  <c r="B11" i="6269"/>
  <c r="C11" i="6269" s="1"/>
  <c r="C10" i="6269"/>
  <c r="O9" i="6269"/>
  <c r="C9" i="6269"/>
  <c r="O8" i="6269"/>
  <c r="C8" i="6269"/>
  <c r="O7" i="6269"/>
  <c r="C7" i="6269"/>
  <c r="O6" i="6269"/>
  <c r="B6" i="6269"/>
  <c r="O5" i="6269"/>
  <c r="B5" i="6269"/>
  <c r="O4" i="6269"/>
  <c r="O3" i="6269"/>
  <c r="O2" i="6269"/>
  <c r="C16" i="6269" l="1"/>
  <c r="H16" i="6269"/>
  <c r="H9" i="6269"/>
  <c r="H32" i="6269"/>
  <c r="H4" i="6269"/>
  <c r="H8" i="6269"/>
  <c r="C17" i="6269"/>
  <c r="H10" i="6269"/>
  <c r="H3" i="6269"/>
  <c r="C19" i="6269"/>
  <c r="H15" i="6269"/>
  <c r="C40" i="6269"/>
  <c r="C38" i="6269"/>
  <c r="C21" i="6269"/>
  <c r="H7" i="6269"/>
  <c r="H5" i="6269"/>
  <c r="C42" i="6269"/>
  <c r="H34" i="6269"/>
  <c r="C36" i="6269"/>
  <c r="H11" i="6269"/>
  <c r="C23" i="6269"/>
  <c r="C45" i="6269"/>
  <c r="B25" i="6269"/>
  <c r="H21" i="6269"/>
  <c r="H25" i="6269"/>
  <c r="H28" i="6269"/>
  <c r="H33" i="6269"/>
  <c r="H38" i="6269"/>
  <c r="H42" i="6269"/>
  <c r="H22" i="6269"/>
  <c r="H26" i="6269"/>
  <c r="H29" i="6269"/>
  <c r="H35" i="6269"/>
  <c r="H39" i="6269"/>
  <c r="H2" i="6269"/>
  <c r="H12" i="6269"/>
  <c r="H17" i="6269"/>
  <c r="H19" i="6269"/>
  <c r="C20" i="6269"/>
  <c r="B24" i="6269"/>
  <c r="H30" i="6269"/>
  <c r="C35" i="6269"/>
  <c r="C39" i="6269"/>
  <c r="C43" i="6269"/>
  <c r="H23" i="6269"/>
  <c r="H27" i="6269"/>
  <c r="H31" i="6269"/>
  <c r="H36" i="6269"/>
  <c r="H40" i="6269"/>
  <c r="C44" i="6269"/>
  <c r="H20" i="6269"/>
  <c r="H24" i="6269"/>
  <c r="H13" i="6269"/>
  <c r="H14" i="6269"/>
  <c r="H37" i="6269"/>
  <c r="H41" i="6269"/>
  <c r="C46" i="6269"/>
  <c r="H6" i="6269"/>
  <c r="H18" i="6269"/>
  <c r="C22" i="6269"/>
  <c r="C37" i="6269"/>
  <c r="C41" i="6269"/>
  <c r="O20" i="6264" l="1"/>
  <c r="O22" i="6264"/>
  <c r="O20" i="6268"/>
  <c r="O18" i="6268"/>
  <c r="O19" i="6268"/>
  <c r="H38" i="6268"/>
  <c r="H36" i="6268"/>
  <c r="C32" i="6268"/>
  <c r="B27" i="6268"/>
  <c r="B26" i="6268"/>
  <c r="H23" i="6268"/>
  <c r="C18" i="6268"/>
  <c r="B17" i="6268"/>
  <c r="C45" i="6268" s="1"/>
  <c r="C16" i="6268"/>
  <c r="B16" i="6268"/>
  <c r="O15" i="6268"/>
  <c r="C15" i="6268"/>
  <c r="B15" i="6268"/>
  <c r="O14" i="6268"/>
  <c r="C14" i="6268"/>
  <c r="O13" i="6268"/>
  <c r="C13" i="6268"/>
  <c r="O12" i="6268"/>
  <c r="C12" i="6268"/>
  <c r="C11" i="6268"/>
  <c r="B11" i="6268"/>
  <c r="H10" i="6268"/>
  <c r="C10" i="6268"/>
  <c r="O9" i="6268"/>
  <c r="C9" i="6268"/>
  <c r="O8" i="6268"/>
  <c r="C8" i="6268"/>
  <c r="O7" i="6268"/>
  <c r="H8" i="6268"/>
  <c r="C7" i="6268"/>
  <c r="O6" i="6268"/>
  <c r="B6" i="6268"/>
  <c r="O5" i="6268"/>
  <c r="B5" i="6268"/>
  <c r="O4" i="6268"/>
  <c r="H5" i="6268"/>
  <c r="O3" i="6268"/>
  <c r="O2" i="6268"/>
  <c r="O20" i="6255"/>
  <c r="O19" i="6255"/>
  <c r="O22" i="6250"/>
  <c r="O21" i="6267"/>
  <c r="O18" i="6267"/>
  <c r="O23" i="6267"/>
  <c r="C32" i="6267"/>
  <c r="B27" i="6267"/>
  <c r="C18" i="6267"/>
  <c r="B17" i="6267"/>
  <c r="C47" i="6267" s="1"/>
  <c r="C16" i="6267"/>
  <c r="B16" i="6267"/>
  <c r="B26" i="6267" s="1"/>
  <c r="O15" i="6267"/>
  <c r="B15" i="6267"/>
  <c r="C15" i="6267" s="1"/>
  <c r="O14" i="6267"/>
  <c r="C14" i="6267"/>
  <c r="O13" i="6267"/>
  <c r="C13" i="6267"/>
  <c r="O12" i="6267"/>
  <c r="C12" i="6267"/>
  <c r="C11" i="6267"/>
  <c r="B11" i="6267"/>
  <c r="C10" i="6267"/>
  <c r="O9" i="6267"/>
  <c r="C9" i="6267"/>
  <c r="O8" i="6267"/>
  <c r="C8" i="6267"/>
  <c r="O7" i="6267"/>
  <c r="C7" i="6267"/>
  <c r="O6" i="6267"/>
  <c r="B6" i="6267"/>
  <c r="O5" i="6267"/>
  <c r="B5" i="6267"/>
  <c r="O4" i="6267"/>
  <c r="O3" i="6267"/>
  <c r="O2" i="6267"/>
  <c r="O18" i="6250"/>
  <c r="C17" i="6268" l="1"/>
  <c r="C37" i="6268"/>
  <c r="H17" i="6268"/>
  <c r="H40" i="6268"/>
  <c r="H27" i="6268"/>
  <c r="C41" i="6268"/>
  <c r="H3" i="6268"/>
  <c r="H19" i="6268"/>
  <c r="H42" i="6268"/>
  <c r="H25" i="6268"/>
  <c r="H15" i="6268"/>
  <c r="H31" i="6268"/>
  <c r="H7" i="6268"/>
  <c r="H21" i="6268"/>
  <c r="C46" i="6268"/>
  <c r="H9" i="6268"/>
  <c r="H4" i="6268"/>
  <c r="H13" i="6268"/>
  <c r="C22" i="6268"/>
  <c r="H34" i="6268"/>
  <c r="C47" i="6268"/>
  <c r="H18" i="6268"/>
  <c r="H22" i="6268"/>
  <c r="H26" i="6268"/>
  <c r="H32" i="6268"/>
  <c r="H37" i="6268"/>
  <c r="H41" i="6268"/>
  <c r="H6" i="6268"/>
  <c r="C19" i="6268"/>
  <c r="C23" i="6268"/>
  <c r="H33" i="6268"/>
  <c r="C38" i="6268"/>
  <c r="C42" i="6268"/>
  <c r="H11" i="6268"/>
  <c r="H14" i="6268"/>
  <c r="H16" i="6268"/>
  <c r="C20" i="6268"/>
  <c r="B24" i="6268"/>
  <c r="H28" i="6268"/>
  <c r="C35" i="6268"/>
  <c r="C39" i="6268"/>
  <c r="C43" i="6268"/>
  <c r="H20" i="6268"/>
  <c r="H24" i="6268"/>
  <c r="H29" i="6268"/>
  <c r="H35" i="6268"/>
  <c r="H39" i="6268"/>
  <c r="C44" i="6268"/>
  <c r="H2" i="6268"/>
  <c r="H12" i="6268"/>
  <c r="C21" i="6268"/>
  <c r="B25" i="6268"/>
  <c r="H30" i="6268"/>
  <c r="C36" i="6268"/>
  <c r="C40" i="6268"/>
  <c r="H8" i="6267"/>
  <c r="H5" i="6267"/>
  <c r="H3" i="6267"/>
  <c r="H31" i="6267"/>
  <c r="H34" i="6267"/>
  <c r="C36" i="6267"/>
  <c r="C19" i="6267"/>
  <c r="C21" i="6267"/>
  <c r="C40" i="6267"/>
  <c r="H14" i="6267"/>
  <c r="H2" i="6267"/>
  <c r="C38" i="6267"/>
  <c r="H13" i="6267"/>
  <c r="H4" i="6267"/>
  <c r="C42" i="6267"/>
  <c r="C17" i="6267"/>
  <c r="H10" i="6267"/>
  <c r="H7" i="6267"/>
  <c r="H11" i="6267"/>
  <c r="C23" i="6267"/>
  <c r="C45" i="6267"/>
  <c r="H19" i="6267"/>
  <c r="H23" i="6267"/>
  <c r="H27" i="6267"/>
  <c r="H33" i="6267"/>
  <c r="H38" i="6267"/>
  <c r="H42" i="6267"/>
  <c r="H20" i="6267"/>
  <c r="H24" i="6267"/>
  <c r="H28" i="6267"/>
  <c r="H35" i="6267"/>
  <c r="H39" i="6267"/>
  <c r="H6" i="6267"/>
  <c r="H12" i="6267"/>
  <c r="H15" i="6267"/>
  <c r="H17" i="6267"/>
  <c r="C20" i="6267"/>
  <c r="B24" i="6267"/>
  <c r="H29" i="6267"/>
  <c r="C35" i="6267"/>
  <c r="C39" i="6267"/>
  <c r="C43" i="6267"/>
  <c r="H21" i="6267"/>
  <c r="H25" i="6267"/>
  <c r="H30" i="6267"/>
  <c r="H36" i="6267"/>
  <c r="H40" i="6267"/>
  <c r="C44" i="6267"/>
  <c r="B25" i="6267"/>
  <c r="H18" i="6267"/>
  <c r="H22" i="6267"/>
  <c r="H26" i="6267"/>
  <c r="H32" i="6267"/>
  <c r="H37" i="6267"/>
  <c r="H41" i="6267"/>
  <c r="C46" i="6267"/>
  <c r="H9" i="6267"/>
  <c r="H16" i="6267"/>
  <c r="C22" i="6267"/>
  <c r="C37" i="6267"/>
  <c r="C41" i="6267"/>
  <c r="O18" i="6266" l="1"/>
  <c r="O20" i="6266"/>
  <c r="O19" i="6266"/>
  <c r="C43" i="6266"/>
  <c r="H42" i="6266"/>
  <c r="C42" i="6266"/>
  <c r="C41" i="6266"/>
  <c r="H40" i="6266"/>
  <c r="C38" i="6266"/>
  <c r="C37" i="6266"/>
  <c r="H36" i="6266"/>
  <c r="C36" i="6266"/>
  <c r="C35" i="6266"/>
  <c r="C32" i="6266"/>
  <c r="H31" i="6266"/>
  <c r="H30" i="6266"/>
  <c r="H28" i="6266"/>
  <c r="H27" i="6266"/>
  <c r="B27" i="6266"/>
  <c r="B24" i="6266"/>
  <c r="H23" i="6266"/>
  <c r="C23" i="6266"/>
  <c r="H22" i="6266"/>
  <c r="C22" i="6266"/>
  <c r="C20" i="6266"/>
  <c r="H19" i="6266"/>
  <c r="C19" i="6266"/>
  <c r="H18" i="6266"/>
  <c r="C18" i="6266"/>
  <c r="H17" i="6266"/>
  <c r="B17" i="6266"/>
  <c r="C44" i="6266" s="1"/>
  <c r="H16" i="6266"/>
  <c r="B16" i="6266"/>
  <c r="B26" i="6266" s="1"/>
  <c r="O15" i="6266"/>
  <c r="H15" i="6266"/>
  <c r="C15" i="6266"/>
  <c r="B15" i="6266"/>
  <c r="O14" i="6266"/>
  <c r="H14" i="6266"/>
  <c r="C14" i="6266"/>
  <c r="O13" i="6266"/>
  <c r="H13" i="6266"/>
  <c r="C13" i="6266"/>
  <c r="O12" i="6266"/>
  <c r="C12" i="6266"/>
  <c r="H11" i="6266"/>
  <c r="C11" i="6266"/>
  <c r="B11" i="6266"/>
  <c r="H2" i="6266"/>
  <c r="C10" i="6266"/>
  <c r="O9" i="6266"/>
  <c r="H10" i="6266"/>
  <c r="C9" i="6266"/>
  <c r="O8" i="6266"/>
  <c r="H9" i="6266"/>
  <c r="C8" i="6266"/>
  <c r="O7" i="6266"/>
  <c r="H8" i="6266"/>
  <c r="C7" i="6266"/>
  <c r="O6" i="6266"/>
  <c r="H7" i="6266"/>
  <c r="B6" i="6266"/>
  <c r="O5" i="6266"/>
  <c r="H6" i="6266"/>
  <c r="B5" i="6266"/>
  <c r="O4" i="6266"/>
  <c r="H5" i="6266"/>
  <c r="O3" i="6266"/>
  <c r="H4" i="6266"/>
  <c r="O2" i="6266"/>
  <c r="H3" i="6266"/>
  <c r="O29" i="6262"/>
  <c r="O18" i="6264"/>
  <c r="O23" i="6255"/>
  <c r="O24" i="6250"/>
  <c r="O25" i="6265"/>
  <c r="O24" i="6265"/>
  <c r="O19" i="6264"/>
  <c r="O22" i="6262"/>
  <c r="C16" i="6266" l="1"/>
  <c r="H25" i="6266"/>
  <c r="H32" i="6266"/>
  <c r="H38" i="6266"/>
  <c r="C45" i="6266"/>
  <c r="C21" i="6266"/>
  <c r="H26" i="6266"/>
  <c r="H33" i="6266"/>
  <c r="C39" i="6266"/>
  <c r="C46" i="6266"/>
  <c r="H12" i="6266"/>
  <c r="C17" i="6266"/>
  <c r="H21" i="6266"/>
  <c r="H34" i="6266"/>
  <c r="C40" i="6266"/>
  <c r="C47" i="6266"/>
  <c r="B25" i="6266"/>
  <c r="H37" i="6266"/>
  <c r="H41" i="6266"/>
  <c r="H20" i="6266"/>
  <c r="H24" i="6266"/>
  <c r="H29" i="6266"/>
  <c r="H35" i="6266"/>
  <c r="H39" i="6266"/>
  <c r="O26" i="6255" l="1"/>
  <c r="O20" i="6265"/>
  <c r="O22" i="6265"/>
  <c r="O21" i="6251"/>
  <c r="O23" i="6265"/>
  <c r="O21" i="6265"/>
  <c r="O27" i="6265"/>
  <c r="C32" i="6265"/>
  <c r="B27" i="6265"/>
  <c r="C18" i="6265"/>
  <c r="B17" i="6265"/>
  <c r="C45" i="6265" s="1"/>
  <c r="B16" i="6265"/>
  <c r="B26" i="6265" s="1"/>
  <c r="O15" i="6265"/>
  <c r="B15" i="6265"/>
  <c r="C15" i="6265" s="1"/>
  <c r="O14" i="6265"/>
  <c r="C14" i="6265"/>
  <c r="O13" i="6265"/>
  <c r="C13" i="6265"/>
  <c r="O12" i="6265"/>
  <c r="C12" i="6265"/>
  <c r="B11" i="6265"/>
  <c r="C11" i="6265" s="1"/>
  <c r="C10" i="6265"/>
  <c r="O9" i="6265"/>
  <c r="C9" i="6265"/>
  <c r="O8" i="6265"/>
  <c r="C8" i="6265"/>
  <c r="O7" i="6265"/>
  <c r="C7" i="6265"/>
  <c r="O6" i="6265"/>
  <c r="B6" i="6265"/>
  <c r="O5" i="6265"/>
  <c r="B5" i="6265"/>
  <c r="O4" i="6265"/>
  <c r="O3" i="6265"/>
  <c r="O2" i="6265"/>
  <c r="O19" i="6254"/>
  <c r="O33" i="6258"/>
  <c r="O27" i="6258"/>
  <c r="O22" i="6253"/>
  <c r="O19" i="6253"/>
  <c r="O25" i="6250"/>
  <c r="C39" i="6265" l="1"/>
  <c r="H22" i="6265"/>
  <c r="C20" i="6265"/>
  <c r="B24" i="6265"/>
  <c r="H5" i="6265"/>
  <c r="H41" i="6265"/>
  <c r="C41" i="6265"/>
  <c r="H11" i="6265"/>
  <c r="H35" i="6265"/>
  <c r="H2" i="6265"/>
  <c r="H9" i="6265"/>
  <c r="H19" i="6265"/>
  <c r="C16" i="6265"/>
  <c r="H12" i="6265"/>
  <c r="H17" i="6265"/>
  <c r="C19" i="6265"/>
  <c r="H33" i="6265"/>
  <c r="H24" i="6265"/>
  <c r="H27" i="6265"/>
  <c r="C35" i="6265"/>
  <c r="H42" i="6265"/>
  <c r="C22" i="6265"/>
  <c r="C17" i="6265"/>
  <c r="H3" i="6265"/>
  <c r="H7" i="6265"/>
  <c r="H10" i="6265"/>
  <c r="H28" i="6265"/>
  <c r="C37" i="6265"/>
  <c r="C43" i="6265"/>
  <c r="H8" i="6265"/>
  <c r="H20" i="6265"/>
  <c r="H18" i="6265"/>
  <c r="C23" i="6265"/>
  <c r="H29" i="6265"/>
  <c r="H38" i="6265"/>
  <c r="C46" i="6265"/>
  <c r="H13" i="6265"/>
  <c r="H14" i="6265"/>
  <c r="H37" i="6265"/>
  <c r="H4" i="6265"/>
  <c r="H16" i="6265"/>
  <c r="H21" i="6265"/>
  <c r="H25" i="6265"/>
  <c r="H32" i="6265"/>
  <c r="H39" i="6265"/>
  <c r="C47" i="6265"/>
  <c r="H34" i="6265"/>
  <c r="C38" i="6265"/>
  <c r="C42" i="6265"/>
  <c r="H23" i="6265"/>
  <c r="H26" i="6265"/>
  <c r="H30" i="6265"/>
  <c r="H36" i="6265"/>
  <c r="H40" i="6265"/>
  <c r="C44" i="6265"/>
  <c r="H6" i="6265"/>
  <c r="H15" i="6265"/>
  <c r="C21" i="6265"/>
  <c r="B25" i="6265"/>
  <c r="H31" i="6265"/>
  <c r="C36" i="6265"/>
  <c r="C40" i="6265"/>
  <c r="O29" i="6264" l="1"/>
  <c r="O24" i="6262"/>
  <c r="O25" i="6253"/>
  <c r="O24" i="6254"/>
  <c r="O25" i="6255"/>
  <c r="O28" i="6262"/>
  <c r="O27" i="6264"/>
  <c r="O24" i="6264"/>
  <c r="O20" i="6256" l="1"/>
  <c r="O19" i="6256"/>
  <c r="O24" i="6255"/>
  <c r="O23" i="6262"/>
  <c r="O30" i="6262"/>
  <c r="O22" i="6252"/>
  <c r="O20" i="6254" l="1"/>
  <c r="O25" i="6264"/>
  <c r="O28" i="6264"/>
  <c r="O26" i="6264"/>
  <c r="C32" i="6264"/>
  <c r="B27" i="6264"/>
  <c r="C18" i="6264"/>
  <c r="B17" i="6264"/>
  <c r="C44" i="6264" s="1"/>
  <c r="B16" i="6264"/>
  <c r="B26" i="6264" s="1"/>
  <c r="O15" i="6264"/>
  <c r="B15" i="6264"/>
  <c r="C15" i="6264" s="1"/>
  <c r="O14" i="6264"/>
  <c r="C14" i="6264"/>
  <c r="O13" i="6264"/>
  <c r="C13" i="6264"/>
  <c r="O12" i="6264"/>
  <c r="C12" i="6264"/>
  <c r="B11" i="6264"/>
  <c r="C11" i="6264" s="1"/>
  <c r="C10" i="6264"/>
  <c r="O9" i="6264"/>
  <c r="C9" i="6264"/>
  <c r="O8" i="6264"/>
  <c r="C8" i="6264"/>
  <c r="O7" i="6264"/>
  <c r="C7" i="6264"/>
  <c r="O6" i="6264"/>
  <c r="B6" i="6264"/>
  <c r="O5" i="6264"/>
  <c r="B5" i="6264"/>
  <c r="O4" i="6264"/>
  <c r="O3" i="6264"/>
  <c r="O2" i="6264"/>
  <c r="O25" i="6251"/>
  <c r="O24" i="6258"/>
  <c r="O32" i="6250"/>
  <c r="C16" i="6264" l="1"/>
  <c r="H23" i="6264"/>
  <c r="H29" i="6264"/>
  <c r="C36" i="6264"/>
  <c r="H12" i="6264"/>
  <c r="H7" i="6264"/>
  <c r="H19" i="6264"/>
  <c r="C35" i="6264"/>
  <c r="H16" i="6264"/>
  <c r="H41" i="6264"/>
  <c r="C20" i="6264"/>
  <c r="H11" i="6264"/>
  <c r="C21" i="6264"/>
  <c r="C41" i="6264"/>
  <c r="C42" i="6264"/>
  <c r="H10" i="6264"/>
  <c r="H37" i="6264"/>
  <c r="H17" i="6264"/>
  <c r="C22" i="6264"/>
  <c r="H3" i="6264"/>
  <c r="H15" i="6264"/>
  <c r="C23" i="6264"/>
  <c r="C17" i="6264"/>
  <c r="C37" i="6264"/>
  <c r="H2" i="6264"/>
  <c r="H9" i="6264"/>
  <c r="H32" i="6264"/>
  <c r="C43" i="6264"/>
  <c r="H20" i="6264"/>
  <c r="H25" i="6264"/>
  <c r="H39" i="6264"/>
  <c r="C45" i="6264"/>
  <c r="C38" i="6264"/>
  <c r="H6" i="6264"/>
  <c r="H4" i="6264"/>
  <c r="H18" i="6264"/>
  <c r="B24" i="6264"/>
  <c r="H34" i="6264"/>
  <c r="C39" i="6264"/>
  <c r="C46" i="6264"/>
  <c r="H14" i="6264"/>
  <c r="H5" i="6264"/>
  <c r="H31" i="6264"/>
  <c r="C19" i="6264"/>
  <c r="H8" i="6264"/>
  <c r="H21" i="6264"/>
  <c r="H27" i="6264"/>
  <c r="H35" i="6264"/>
  <c r="C40" i="6264"/>
  <c r="C47" i="6264"/>
  <c r="B25" i="6264"/>
  <c r="H13" i="6264"/>
  <c r="H24" i="6264"/>
  <c r="H28" i="6264"/>
  <c r="H33" i="6264"/>
  <c r="H38" i="6264"/>
  <c r="H42" i="6264"/>
  <c r="H22" i="6264"/>
  <c r="H26" i="6264"/>
  <c r="H30" i="6264"/>
  <c r="H36" i="6264"/>
  <c r="H40" i="6264"/>
  <c r="O23" i="6252" l="1"/>
  <c r="O19" i="6252"/>
  <c r="O19" i="6258"/>
  <c r="O25" i="6262"/>
  <c r="O18" i="6263"/>
  <c r="O22" i="6263"/>
  <c r="O31" i="6258"/>
  <c r="O18" i="6254"/>
  <c r="O27" i="6255" l="1"/>
  <c r="O25" i="6254"/>
  <c r="O32" i="6262"/>
  <c r="O27" i="6262"/>
  <c r="O21" i="6262"/>
  <c r="O20" i="6253"/>
  <c r="O23" i="6253"/>
  <c r="O18" i="6251"/>
  <c r="O22" i="6251"/>
  <c r="O20" i="6250"/>
  <c r="O19" i="6263"/>
  <c r="O21" i="6263"/>
  <c r="O20" i="6263"/>
  <c r="C47" i="6263"/>
  <c r="C46" i="6263"/>
  <c r="C43" i="6263"/>
  <c r="C42" i="6263"/>
  <c r="H41" i="6263"/>
  <c r="C41" i="6263"/>
  <c r="H40" i="6263"/>
  <c r="C39" i="6263"/>
  <c r="C38" i="6263"/>
  <c r="H37" i="6263"/>
  <c r="C37" i="6263"/>
  <c r="H36" i="6263"/>
  <c r="C35" i="6263"/>
  <c r="H33" i="6263"/>
  <c r="H32" i="6263"/>
  <c r="C32" i="6263"/>
  <c r="H31" i="6263"/>
  <c r="H28" i="6263"/>
  <c r="B27" i="6263"/>
  <c r="H26" i="6263"/>
  <c r="B26" i="6263"/>
  <c r="H25" i="6263"/>
  <c r="B24" i="6263"/>
  <c r="C23" i="6263"/>
  <c r="H22" i="6263"/>
  <c r="C22" i="6263"/>
  <c r="H21" i="6263"/>
  <c r="C20" i="6263"/>
  <c r="C19" i="6263"/>
  <c r="H18" i="6263"/>
  <c r="C18" i="6263"/>
  <c r="H17" i="6263"/>
  <c r="C17" i="6263"/>
  <c r="B17" i="6263"/>
  <c r="C45" i="6263" s="1"/>
  <c r="H16" i="6263"/>
  <c r="C16" i="6263"/>
  <c r="B16" i="6263"/>
  <c r="O15" i="6263"/>
  <c r="H15" i="6263"/>
  <c r="C15" i="6263"/>
  <c r="B15" i="6263"/>
  <c r="O14" i="6263"/>
  <c r="H14" i="6263"/>
  <c r="C14" i="6263"/>
  <c r="O13" i="6263"/>
  <c r="H13" i="6263"/>
  <c r="C13" i="6263"/>
  <c r="O12" i="6263"/>
  <c r="H12" i="6263"/>
  <c r="C12" i="6263"/>
  <c r="H11" i="6263"/>
  <c r="C11" i="6263"/>
  <c r="B11" i="6263"/>
  <c r="H10" i="6263"/>
  <c r="C10" i="6263"/>
  <c r="O9" i="6263"/>
  <c r="H9" i="6263"/>
  <c r="C9" i="6263"/>
  <c r="O8" i="6263"/>
  <c r="H8" i="6263"/>
  <c r="C8" i="6263"/>
  <c r="O7" i="6263"/>
  <c r="H7" i="6263"/>
  <c r="C7" i="6263"/>
  <c r="O6" i="6263"/>
  <c r="H6" i="6263"/>
  <c r="B6" i="6263"/>
  <c r="O5" i="6263"/>
  <c r="H5" i="6263"/>
  <c r="B5" i="6263"/>
  <c r="O4" i="6263"/>
  <c r="H4" i="6263"/>
  <c r="O3" i="6263"/>
  <c r="H3" i="6263"/>
  <c r="O2" i="6263"/>
  <c r="H2" i="6263"/>
  <c r="H19" i="6263" l="1"/>
  <c r="H23" i="6263"/>
  <c r="H27" i="6263"/>
  <c r="H34" i="6263"/>
  <c r="H38" i="6263"/>
  <c r="H42" i="6263"/>
  <c r="H20" i="6263"/>
  <c r="H24" i="6263"/>
  <c r="H29" i="6263"/>
  <c r="H35" i="6263"/>
  <c r="H39" i="6263"/>
  <c r="C44" i="6263"/>
  <c r="C21" i="6263"/>
  <c r="B25" i="6263"/>
  <c r="H30" i="6263"/>
  <c r="C36" i="6263"/>
  <c r="C40" i="6263"/>
  <c r="O30" i="6258" l="1"/>
  <c r="O20" i="6258"/>
  <c r="O19" i="6262"/>
  <c r="O18" i="6262"/>
  <c r="O26" i="6262"/>
  <c r="C32" i="6262"/>
  <c r="B27" i="6262"/>
  <c r="C18" i="6262"/>
  <c r="B17" i="6262"/>
  <c r="C44" i="6262" s="1"/>
  <c r="B16" i="6262"/>
  <c r="B26" i="6262" s="1"/>
  <c r="O15" i="6262"/>
  <c r="B15" i="6262"/>
  <c r="C15" i="6262" s="1"/>
  <c r="O14" i="6262"/>
  <c r="C14" i="6262"/>
  <c r="O13" i="6262"/>
  <c r="C13" i="6262"/>
  <c r="O12" i="6262"/>
  <c r="C12" i="6262"/>
  <c r="B11" i="6262"/>
  <c r="C11" i="6262" s="1"/>
  <c r="C10" i="6262"/>
  <c r="O9" i="6262"/>
  <c r="C9" i="6262"/>
  <c r="O8" i="6262"/>
  <c r="C8" i="6262"/>
  <c r="O7" i="6262"/>
  <c r="C7" i="6262"/>
  <c r="O6" i="6262"/>
  <c r="B6" i="6262"/>
  <c r="O5" i="6262"/>
  <c r="B5" i="6262"/>
  <c r="O4" i="6262"/>
  <c r="O3" i="6262"/>
  <c r="O2" i="6262"/>
  <c r="O19" i="6259"/>
  <c r="O22" i="6259"/>
  <c r="O19" i="6250"/>
  <c r="O19" i="6261"/>
  <c r="O20" i="6261"/>
  <c r="O18" i="6261"/>
  <c r="C45" i="6261"/>
  <c r="C42" i="6261"/>
  <c r="C40" i="6261"/>
  <c r="C38" i="6261"/>
  <c r="C36" i="6261"/>
  <c r="H33" i="6261"/>
  <c r="C32" i="6261"/>
  <c r="H30" i="6261"/>
  <c r="B27" i="6261"/>
  <c r="H25" i="6261"/>
  <c r="H23" i="6261"/>
  <c r="C23" i="6261"/>
  <c r="H21" i="6261"/>
  <c r="C21" i="6261"/>
  <c r="H19" i="6261"/>
  <c r="C19" i="6261"/>
  <c r="C18" i="6261"/>
  <c r="H17" i="6261"/>
  <c r="C17" i="6261"/>
  <c r="B17" i="6261"/>
  <c r="C47" i="6261" s="1"/>
  <c r="C16" i="6261"/>
  <c r="B16" i="6261"/>
  <c r="B26" i="6261" s="1"/>
  <c r="O15" i="6261"/>
  <c r="C15" i="6261"/>
  <c r="B15" i="6261"/>
  <c r="O14" i="6261"/>
  <c r="C14" i="6261"/>
  <c r="O13" i="6261"/>
  <c r="H13" i="6261"/>
  <c r="C13" i="6261"/>
  <c r="O12" i="6261"/>
  <c r="H12" i="6261"/>
  <c r="C12" i="6261"/>
  <c r="C11" i="6261"/>
  <c r="B11" i="6261"/>
  <c r="H10" i="6261"/>
  <c r="C10" i="6261"/>
  <c r="O9" i="6261"/>
  <c r="H9" i="6261"/>
  <c r="C9" i="6261"/>
  <c r="O8" i="6261"/>
  <c r="H8" i="6261"/>
  <c r="C8" i="6261"/>
  <c r="O7" i="6261"/>
  <c r="C7" i="6261"/>
  <c r="O6" i="6261"/>
  <c r="H6" i="6261"/>
  <c r="B6" i="6261"/>
  <c r="O5" i="6261"/>
  <c r="H5" i="6261"/>
  <c r="B5" i="6261"/>
  <c r="O4" i="6261"/>
  <c r="H4" i="6261"/>
  <c r="O3" i="6261"/>
  <c r="H3" i="6261"/>
  <c r="O2" i="6261"/>
  <c r="H2" i="6261"/>
  <c r="O27" i="6250"/>
  <c r="O23" i="6256"/>
  <c r="O18" i="6256"/>
  <c r="O18" i="6253"/>
  <c r="O24" i="6253"/>
  <c r="O21" i="6253"/>
  <c r="O21" i="6260"/>
  <c r="O22" i="6260"/>
  <c r="O32" i="6255"/>
  <c r="C16" i="6262" l="1"/>
  <c r="C21" i="6262"/>
  <c r="H15" i="6262"/>
  <c r="H10" i="6262"/>
  <c r="C35" i="6262"/>
  <c r="H5" i="6262"/>
  <c r="H22" i="6262"/>
  <c r="H20" i="6262"/>
  <c r="C36" i="6262"/>
  <c r="H41" i="6262"/>
  <c r="H18" i="6262"/>
  <c r="C20" i="6262"/>
  <c r="C41" i="6262"/>
  <c r="H9" i="6262"/>
  <c r="H27" i="6262"/>
  <c r="C42" i="6262"/>
  <c r="H16" i="6262"/>
  <c r="H11" i="6262"/>
  <c r="H31" i="6262"/>
  <c r="C37" i="6262"/>
  <c r="H4" i="6262"/>
  <c r="C43" i="6262"/>
  <c r="C22" i="6262"/>
  <c r="H3" i="6262"/>
  <c r="H23" i="6262"/>
  <c r="C23" i="6262"/>
  <c r="H32" i="6262"/>
  <c r="H6" i="6262"/>
  <c r="H21" i="6262"/>
  <c r="H13" i="6262"/>
  <c r="H39" i="6262"/>
  <c r="C45" i="6262"/>
  <c r="C17" i="6262"/>
  <c r="H2" i="6262"/>
  <c r="H19" i="6262"/>
  <c r="C19" i="6262"/>
  <c r="B24" i="6262"/>
  <c r="H34" i="6262"/>
  <c r="C39" i="6262"/>
  <c r="C46" i="6262"/>
  <c r="H7" i="6262"/>
  <c r="H37" i="6262"/>
  <c r="H12" i="6262"/>
  <c r="C38" i="6262"/>
  <c r="H8" i="6262"/>
  <c r="H25" i="6262"/>
  <c r="H30" i="6262"/>
  <c r="H35" i="6262"/>
  <c r="C40" i="6262"/>
  <c r="C47" i="6262"/>
  <c r="B25" i="6262"/>
  <c r="H24" i="6262"/>
  <c r="H28" i="6262"/>
  <c r="H14" i="6262"/>
  <c r="H33" i="6262"/>
  <c r="H38" i="6262"/>
  <c r="H42" i="6262"/>
  <c r="H26" i="6262"/>
  <c r="H29" i="6262"/>
  <c r="H17" i="6262"/>
  <c r="H36" i="6262"/>
  <c r="H40" i="6262"/>
  <c r="H18" i="6261"/>
  <c r="H22" i="6261"/>
  <c r="H26" i="6261"/>
  <c r="H32" i="6261"/>
  <c r="H37" i="6261"/>
  <c r="H41" i="6261"/>
  <c r="H27" i="6261"/>
  <c r="H34" i="6261"/>
  <c r="H38" i="6261"/>
  <c r="H42" i="6261"/>
  <c r="H11" i="6261"/>
  <c r="H14" i="6261"/>
  <c r="H16" i="6261"/>
  <c r="C20" i="6261"/>
  <c r="B24" i="6261"/>
  <c r="H28" i="6261"/>
  <c r="C35" i="6261"/>
  <c r="C39" i="6261"/>
  <c r="C43" i="6261"/>
  <c r="H20" i="6261"/>
  <c r="H24" i="6261"/>
  <c r="H29" i="6261"/>
  <c r="H35" i="6261"/>
  <c r="H39" i="6261"/>
  <c r="C44" i="6261"/>
  <c r="B25" i="6261"/>
  <c r="H31" i="6261"/>
  <c r="H36" i="6261"/>
  <c r="H40" i="6261"/>
  <c r="C46" i="6261"/>
  <c r="H7" i="6261"/>
  <c r="H15" i="6261"/>
  <c r="C22" i="6261"/>
  <c r="C37" i="6261"/>
  <c r="C41" i="6261"/>
  <c r="O24" i="6251" l="1"/>
  <c r="O29" i="6251"/>
  <c r="O26" i="6252"/>
  <c r="O27" i="6252"/>
  <c r="O29" i="6255"/>
  <c r="O28" i="6255"/>
  <c r="O21" i="6255"/>
  <c r="O30" i="6250"/>
  <c r="O19" i="6260"/>
  <c r="O18" i="6260"/>
  <c r="O20" i="6260"/>
  <c r="C32" i="6260"/>
  <c r="B27" i="6260"/>
  <c r="C18" i="6260"/>
  <c r="B17" i="6260"/>
  <c r="C45" i="6260" s="1"/>
  <c r="B16" i="6260"/>
  <c r="B26" i="6260" s="1"/>
  <c r="O15" i="6260"/>
  <c r="B15" i="6260"/>
  <c r="C15" i="6260" s="1"/>
  <c r="O14" i="6260"/>
  <c r="C14" i="6260"/>
  <c r="O13" i="6260"/>
  <c r="C13" i="6260"/>
  <c r="O12" i="6260"/>
  <c r="C12" i="6260"/>
  <c r="B11" i="6260"/>
  <c r="C11" i="6260" s="1"/>
  <c r="C10" i="6260"/>
  <c r="O9" i="6260"/>
  <c r="C9" i="6260"/>
  <c r="O8" i="6260"/>
  <c r="C8" i="6260"/>
  <c r="O7" i="6260"/>
  <c r="C7" i="6260"/>
  <c r="O6" i="6260"/>
  <c r="B6" i="6260"/>
  <c r="O5" i="6260"/>
  <c r="B5" i="6260"/>
  <c r="O4" i="6260"/>
  <c r="O3" i="6260"/>
  <c r="O2" i="6260"/>
  <c r="O24" i="6252"/>
  <c r="O25" i="6252"/>
  <c r="O23" i="6258"/>
  <c r="O28" i="6258"/>
  <c r="O25" i="6258"/>
  <c r="O18" i="6259"/>
  <c r="O20" i="6259"/>
  <c r="O21" i="6259"/>
  <c r="C35" i="6259"/>
  <c r="C32" i="6259"/>
  <c r="B27" i="6259"/>
  <c r="C18" i="6259"/>
  <c r="B17" i="6259"/>
  <c r="C44" i="6259" s="1"/>
  <c r="C16" i="6259"/>
  <c r="B16" i="6259"/>
  <c r="B26" i="6259" s="1"/>
  <c r="O15" i="6259"/>
  <c r="B15" i="6259"/>
  <c r="C15" i="6259" s="1"/>
  <c r="O14" i="6259"/>
  <c r="C14" i="6259"/>
  <c r="O13" i="6259"/>
  <c r="C13" i="6259"/>
  <c r="O12" i="6259"/>
  <c r="C12" i="6259"/>
  <c r="C11" i="6259"/>
  <c r="B11" i="6259"/>
  <c r="C10" i="6259"/>
  <c r="O9" i="6259"/>
  <c r="C9" i="6259"/>
  <c r="O8" i="6259"/>
  <c r="H10" i="6259"/>
  <c r="C8" i="6259"/>
  <c r="O7" i="6259"/>
  <c r="C7" i="6259"/>
  <c r="O6" i="6259"/>
  <c r="B6" i="6259"/>
  <c r="O5" i="6259"/>
  <c r="B5" i="6259"/>
  <c r="O4" i="6259"/>
  <c r="O3" i="6259"/>
  <c r="O2" i="6259"/>
  <c r="O27" i="6251"/>
  <c r="O28" i="6251"/>
  <c r="O28" i="6250"/>
  <c r="H3" i="6259" l="1"/>
  <c r="C21" i="6259"/>
  <c r="H17" i="6259"/>
  <c r="H12" i="6259"/>
  <c r="H28" i="6259"/>
  <c r="C16" i="6260"/>
  <c r="H2" i="6260"/>
  <c r="H8" i="6260"/>
  <c r="H6" i="6260"/>
  <c r="C19" i="6260"/>
  <c r="H32" i="6260"/>
  <c r="H21" i="6260"/>
  <c r="H24" i="6260"/>
  <c r="H39" i="6260"/>
  <c r="H33" i="6260"/>
  <c r="B24" i="6260"/>
  <c r="C39" i="6260"/>
  <c r="H20" i="6260"/>
  <c r="H3" i="6260"/>
  <c r="H15" i="6260"/>
  <c r="H26" i="6260"/>
  <c r="H41" i="6260"/>
  <c r="H4" i="6260"/>
  <c r="H16" i="6260"/>
  <c r="H18" i="6260"/>
  <c r="C20" i="6260"/>
  <c r="H35" i="6260"/>
  <c r="C41" i="6260"/>
  <c r="H10" i="6260"/>
  <c r="H13" i="6260"/>
  <c r="H22" i="6260"/>
  <c r="H27" i="6260"/>
  <c r="C17" i="6260"/>
  <c r="C22" i="6260"/>
  <c r="H37" i="6260"/>
  <c r="C43" i="6260"/>
  <c r="H12" i="6260"/>
  <c r="H11" i="6260"/>
  <c r="H5" i="6260"/>
  <c r="H19" i="6260"/>
  <c r="H23" i="6260"/>
  <c r="H28" i="6260"/>
  <c r="C37" i="6260"/>
  <c r="C46" i="6260"/>
  <c r="C35" i="6260"/>
  <c r="H17" i="6260"/>
  <c r="C23" i="6260"/>
  <c r="H29" i="6260"/>
  <c r="H38" i="6260"/>
  <c r="C47" i="6260"/>
  <c r="H42" i="6260"/>
  <c r="H34" i="6260"/>
  <c r="C38" i="6260"/>
  <c r="C42" i="6260"/>
  <c r="H9" i="6260"/>
  <c r="H25" i="6260"/>
  <c r="H30" i="6260"/>
  <c r="H36" i="6260"/>
  <c r="H40" i="6260"/>
  <c r="C44" i="6260"/>
  <c r="H7" i="6260"/>
  <c r="H14" i="6260"/>
  <c r="C21" i="6260"/>
  <c r="B25" i="6260"/>
  <c r="H31" i="6260"/>
  <c r="C36" i="6260"/>
  <c r="C40" i="6260"/>
  <c r="C36" i="6259"/>
  <c r="H15" i="6259"/>
  <c r="H4" i="6259"/>
  <c r="H41" i="6259"/>
  <c r="C20" i="6259"/>
  <c r="C41" i="6259"/>
  <c r="C42" i="6259"/>
  <c r="H6" i="6259"/>
  <c r="H37" i="6259"/>
  <c r="H13" i="6259"/>
  <c r="C37" i="6259"/>
  <c r="C22" i="6259"/>
  <c r="H22" i="6259"/>
  <c r="H11" i="6259"/>
  <c r="H31" i="6259"/>
  <c r="H2" i="6259"/>
  <c r="C23" i="6259"/>
  <c r="H32" i="6259"/>
  <c r="C38" i="6259"/>
  <c r="H7" i="6259"/>
  <c r="H16" i="6259"/>
  <c r="H24" i="6259"/>
  <c r="H39" i="6259"/>
  <c r="C45" i="6259"/>
  <c r="H18" i="6259"/>
  <c r="C43" i="6259"/>
  <c r="H8" i="6259"/>
  <c r="H14" i="6259"/>
  <c r="B24" i="6259"/>
  <c r="H34" i="6259"/>
  <c r="C39" i="6259"/>
  <c r="C46" i="6259"/>
  <c r="H29" i="6259"/>
  <c r="C17" i="6259"/>
  <c r="H9" i="6259"/>
  <c r="C19" i="6259"/>
  <c r="H5" i="6259"/>
  <c r="H20" i="6259"/>
  <c r="H26" i="6259"/>
  <c r="H35" i="6259"/>
  <c r="C40" i="6259"/>
  <c r="C47" i="6259"/>
  <c r="B25" i="6259"/>
  <c r="H19" i="6259"/>
  <c r="H23" i="6259"/>
  <c r="H27" i="6259"/>
  <c r="H33" i="6259"/>
  <c r="H38" i="6259"/>
  <c r="H42" i="6259"/>
  <c r="H21" i="6259"/>
  <c r="H25" i="6259"/>
  <c r="H30" i="6259"/>
  <c r="H36" i="6259"/>
  <c r="H40" i="6259"/>
  <c r="O22" i="6258" l="1"/>
  <c r="O18" i="6258"/>
  <c r="O29" i="6258"/>
  <c r="C32" i="6258"/>
  <c r="B27" i="6258"/>
  <c r="C18" i="6258"/>
  <c r="B17" i="6258"/>
  <c r="C44" i="6258" s="1"/>
  <c r="B16" i="6258"/>
  <c r="B26" i="6258" s="1"/>
  <c r="O15" i="6258"/>
  <c r="B15" i="6258"/>
  <c r="C15" i="6258" s="1"/>
  <c r="O14" i="6258"/>
  <c r="C14" i="6258"/>
  <c r="O13" i="6258"/>
  <c r="C13" i="6258"/>
  <c r="O12" i="6258"/>
  <c r="C12" i="6258"/>
  <c r="B11" i="6258"/>
  <c r="C11" i="6258" s="1"/>
  <c r="C10" i="6258"/>
  <c r="O9" i="6258"/>
  <c r="C9" i="6258"/>
  <c r="O8" i="6258"/>
  <c r="C8" i="6258"/>
  <c r="O7" i="6258"/>
  <c r="C7" i="6258"/>
  <c r="O6" i="6258"/>
  <c r="B6" i="6258"/>
  <c r="O5" i="6258"/>
  <c r="B5" i="6258"/>
  <c r="O4" i="6258"/>
  <c r="O3" i="6258"/>
  <c r="O2" i="6258"/>
  <c r="O18" i="6257"/>
  <c r="O19" i="6257"/>
  <c r="O20" i="6257"/>
  <c r="C45" i="6257"/>
  <c r="C32" i="6257"/>
  <c r="B27" i="6257"/>
  <c r="C18" i="6257"/>
  <c r="B17" i="6257"/>
  <c r="C47" i="6257" s="1"/>
  <c r="C16" i="6257"/>
  <c r="B16" i="6257"/>
  <c r="B26" i="6257" s="1"/>
  <c r="O15" i="6257"/>
  <c r="C15" i="6257"/>
  <c r="B15" i="6257"/>
  <c r="O14" i="6257"/>
  <c r="C14" i="6257"/>
  <c r="O13" i="6257"/>
  <c r="C13" i="6257"/>
  <c r="O12" i="6257"/>
  <c r="C12" i="6257"/>
  <c r="C11" i="6257"/>
  <c r="B11" i="6257"/>
  <c r="C10" i="6257"/>
  <c r="O9" i="6257"/>
  <c r="C9" i="6257"/>
  <c r="O8" i="6257"/>
  <c r="C8" i="6257"/>
  <c r="O7" i="6257"/>
  <c r="C7" i="6257"/>
  <c r="O6" i="6257"/>
  <c r="B6" i="6257"/>
  <c r="O5" i="6257"/>
  <c r="B5" i="6257"/>
  <c r="O4" i="6257"/>
  <c r="O3" i="6257"/>
  <c r="O2" i="6257"/>
  <c r="O21" i="6256"/>
  <c r="O24" i="6256"/>
  <c r="O22" i="6256"/>
  <c r="C46" i="6256"/>
  <c r="C32" i="6256"/>
  <c r="B27" i="6256"/>
  <c r="C18" i="6256"/>
  <c r="B17" i="6256"/>
  <c r="C44" i="6256" s="1"/>
  <c r="H18" i="6256"/>
  <c r="B16" i="6256"/>
  <c r="B26" i="6256" s="1"/>
  <c r="O15" i="6256"/>
  <c r="B15" i="6256"/>
  <c r="C15" i="6256" s="1"/>
  <c r="O14" i="6256"/>
  <c r="C14" i="6256"/>
  <c r="O13" i="6256"/>
  <c r="C13" i="6256"/>
  <c r="O12" i="6256"/>
  <c r="C12" i="6256"/>
  <c r="B11" i="6256"/>
  <c r="C11" i="6256" s="1"/>
  <c r="C10" i="6256"/>
  <c r="O9" i="6256"/>
  <c r="C9" i="6256"/>
  <c r="O8" i="6256"/>
  <c r="C8" i="6256"/>
  <c r="O7" i="6256"/>
  <c r="C7" i="6256"/>
  <c r="O6" i="6256"/>
  <c r="B6" i="6256"/>
  <c r="O5" i="6256"/>
  <c r="B5" i="6256"/>
  <c r="O4" i="6256"/>
  <c r="O3" i="6256"/>
  <c r="O2" i="6256"/>
  <c r="O35" i="6250"/>
  <c r="O30" i="6255"/>
  <c r="O31" i="6255"/>
  <c r="O22" i="6255"/>
  <c r="C32" i="6255"/>
  <c r="B27" i="6255"/>
  <c r="C18" i="6255"/>
  <c r="B17" i="6255"/>
  <c r="C44" i="6255" s="1"/>
  <c r="B16" i="6255"/>
  <c r="B26" i="6255" s="1"/>
  <c r="O15" i="6255"/>
  <c r="B15" i="6255"/>
  <c r="C15" i="6255" s="1"/>
  <c r="O14" i="6255"/>
  <c r="C14" i="6255"/>
  <c r="O13" i="6255"/>
  <c r="C13" i="6255"/>
  <c r="O12" i="6255"/>
  <c r="C12" i="6255"/>
  <c r="B11" i="6255"/>
  <c r="C11" i="6255" s="1"/>
  <c r="C10" i="6255"/>
  <c r="O9" i="6255"/>
  <c r="C9" i="6255"/>
  <c r="O8" i="6255"/>
  <c r="C8" i="6255"/>
  <c r="O7" i="6255"/>
  <c r="C7" i="6255"/>
  <c r="O6" i="6255"/>
  <c r="B6" i="6255"/>
  <c r="O5" i="6255"/>
  <c r="B5" i="6255"/>
  <c r="O4" i="6255"/>
  <c r="O3" i="6255"/>
  <c r="O2" i="6255"/>
  <c r="O33" i="6250"/>
  <c r="O34" i="6250"/>
  <c r="O23" i="6250"/>
  <c r="C16" i="6255" l="1"/>
  <c r="H16" i="6256"/>
  <c r="C20" i="6256"/>
  <c r="H13" i="6256"/>
  <c r="H26" i="6256"/>
  <c r="C16" i="6256"/>
  <c r="H33" i="6256"/>
  <c r="H39" i="6256"/>
  <c r="C45" i="6256"/>
  <c r="H34" i="6256"/>
  <c r="C40" i="6256"/>
  <c r="C47" i="6256"/>
  <c r="H3" i="6256"/>
  <c r="H27" i="6256"/>
  <c r="H14" i="6256"/>
  <c r="H5" i="6256"/>
  <c r="H8" i="6256"/>
  <c r="C22" i="6256"/>
  <c r="H28" i="6256"/>
  <c r="C35" i="6256"/>
  <c r="H41" i="6256"/>
  <c r="H9" i="6256"/>
  <c r="C21" i="6256"/>
  <c r="C17" i="6256"/>
  <c r="H23" i="6256"/>
  <c r="C41" i="6256"/>
  <c r="C36" i="6256"/>
  <c r="H4" i="6256"/>
  <c r="H15" i="6256"/>
  <c r="H19" i="6256"/>
  <c r="C23" i="6256"/>
  <c r="H31" i="6256"/>
  <c r="H37" i="6256"/>
  <c r="C42" i="6256"/>
  <c r="H12" i="6256"/>
  <c r="H22" i="6256"/>
  <c r="H17" i="6256"/>
  <c r="H10" i="6256"/>
  <c r="C19" i="6256"/>
  <c r="H24" i="6256"/>
  <c r="H32" i="6256"/>
  <c r="C37" i="6256"/>
  <c r="H6" i="6256"/>
  <c r="C39" i="6256"/>
  <c r="H35" i="6256"/>
  <c r="H11" i="6256"/>
  <c r="H29" i="6256"/>
  <c r="H2" i="6256"/>
  <c r="H7" i="6256"/>
  <c r="H20" i="6256"/>
  <c r="B24" i="6256"/>
  <c r="C38" i="6256"/>
  <c r="C43" i="6256"/>
  <c r="H4" i="6255"/>
  <c r="H10" i="6255"/>
  <c r="C16" i="6258"/>
  <c r="H8" i="6258"/>
  <c r="H3" i="6258"/>
  <c r="C21" i="6258"/>
  <c r="H7" i="6258"/>
  <c r="H29" i="6258"/>
  <c r="H22" i="6258"/>
  <c r="H20" i="6258"/>
  <c r="H9" i="6258"/>
  <c r="C35" i="6258"/>
  <c r="C36" i="6258"/>
  <c r="H41" i="6258"/>
  <c r="H13" i="6258"/>
  <c r="H17" i="6258"/>
  <c r="C20" i="6258"/>
  <c r="C41" i="6258"/>
  <c r="H24" i="6258"/>
  <c r="H16" i="6258"/>
  <c r="H37" i="6258"/>
  <c r="C42" i="6258"/>
  <c r="H18" i="6258"/>
  <c r="C17" i="6258"/>
  <c r="C22" i="6258"/>
  <c r="H31" i="6258"/>
  <c r="C37" i="6258"/>
  <c r="H4" i="6258"/>
  <c r="H2" i="6258"/>
  <c r="C43" i="6258"/>
  <c r="H14" i="6258"/>
  <c r="C23" i="6258"/>
  <c r="H32" i="6258"/>
  <c r="C38" i="6258"/>
  <c r="H10" i="6258"/>
  <c r="H21" i="6258"/>
  <c r="H25" i="6258"/>
  <c r="H39" i="6258"/>
  <c r="C45" i="6258"/>
  <c r="H6" i="6258"/>
  <c r="H19" i="6258"/>
  <c r="C19" i="6258"/>
  <c r="B24" i="6258"/>
  <c r="H34" i="6258"/>
  <c r="C39" i="6258"/>
  <c r="C46" i="6258"/>
  <c r="H5" i="6258"/>
  <c r="H23" i="6258"/>
  <c r="H27" i="6258"/>
  <c r="H35" i="6258"/>
  <c r="C40" i="6258"/>
  <c r="C47" i="6258"/>
  <c r="B25" i="6258"/>
  <c r="H11" i="6258"/>
  <c r="H12" i="6258"/>
  <c r="H28" i="6258"/>
  <c r="H33" i="6258"/>
  <c r="H38" i="6258"/>
  <c r="H42" i="6258"/>
  <c r="H15" i="6258"/>
  <c r="H26" i="6258"/>
  <c r="H30" i="6258"/>
  <c r="H36" i="6258"/>
  <c r="H40" i="6258"/>
  <c r="C17" i="6257"/>
  <c r="H12" i="6257"/>
  <c r="C21" i="6257"/>
  <c r="H8" i="6257"/>
  <c r="H10" i="6257"/>
  <c r="H6" i="6257"/>
  <c r="H15" i="6257"/>
  <c r="H28" i="6257"/>
  <c r="H17" i="6257"/>
  <c r="C36" i="6257"/>
  <c r="H23" i="6257"/>
  <c r="H29" i="6257"/>
  <c r="H38" i="6257"/>
  <c r="H31" i="6257"/>
  <c r="C23" i="6257"/>
  <c r="C38" i="6257"/>
  <c r="H5" i="6257"/>
  <c r="H24" i="6257"/>
  <c r="H39" i="6257"/>
  <c r="H33" i="6257"/>
  <c r="H42" i="6257"/>
  <c r="H13" i="6257"/>
  <c r="H11" i="6257"/>
  <c r="H14" i="6257"/>
  <c r="C19" i="6257"/>
  <c r="B25" i="6257"/>
  <c r="H34" i="6257"/>
  <c r="H3" i="6257"/>
  <c r="H20" i="6257"/>
  <c r="H27" i="6257"/>
  <c r="H35" i="6257"/>
  <c r="C42" i="6257"/>
  <c r="H7" i="6257"/>
  <c r="H16" i="6257"/>
  <c r="H19" i="6257"/>
  <c r="B24" i="6257"/>
  <c r="C40" i="6257"/>
  <c r="H4" i="6257"/>
  <c r="H9" i="6257"/>
  <c r="C20" i="6257"/>
  <c r="C35" i="6257"/>
  <c r="H2" i="6257"/>
  <c r="C39" i="6257"/>
  <c r="C43" i="6257"/>
  <c r="H21" i="6257"/>
  <c r="H25" i="6257"/>
  <c r="H30" i="6257"/>
  <c r="H36" i="6257"/>
  <c r="H40" i="6257"/>
  <c r="C44" i="6257"/>
  <c r="H18" i="6257"/>
  <c r="H22" i="6257"/>
  <c r="H26" i="6257"/>
  <c r="H32" i="6257"/>
  <c r="H37" i="6257"/>
  <c r="H41" i="6257"/>
  <c r="C46" i="6257"/>
  <c r="C22" i="6257"/>
  <c r="C37" i="6257"/>
  <c r="C41" i="6257"/>
  <c r="B25" i="6256"/>
  <c r="H38" i="6256"/>
  <c r="H42" i="6256"/>
  <c r="H21" i="6256"/>
  <c r="H25" i="6256"/>
  <c r="H30" i="6256"/>
  <c r="H36" i="6256"/>
  <c r="H40" i="6256"/>
  <c r="C20" i="6255"/>
  <c r="H19" i="6255"/>
  <c r="C42" i="6255"/>
  <c r="C35" i="6255"/>
  <c r="H15" i="6255"/>
  <c r="C41" i="6255"/>
  <c r="H12" i="6255"/>
  <c r="H13" i="6255"/>
  <c r="H31" i="6255"/>
  <c r="H2" i="6255"/>
  <c r="C36" i="6255"/>
  <c r="H32" i="6255"/>
  <c r="C17" i="6255"/>
  <c r="C37" i="6255"/>
  <c r="H20" i="6255"/>
  <c r="C23" i="6255"/>
  <c r="C38" i="6255"/>
  <c r="H6" i="6255"/>
  <c r="H18" i="6255"/>
  <c r="H25" i="6255"/>
  <c r="H39" i="6255"/>
  <c r="C45" i="6255"/>
  <c r="C21" i="6255"/>
  <c r="H9" i="6255"/>
  <c r="H24" i="6255"/>
  <c r="C43" i="6255"/>
  <c r="H7" i="6255"/>
  <c r="H16" i="6255"/>
  <c r="C19" i="6255"/>
  <c r="B24" i="6255"/>
  <c r="H34" i="6255"/>
  <c r="C39" i="6255"/>
  <c r="C46" i="6255"/>
  <c r="H41" i="6255"/>
  <c r="H17" i="6255"/>
  <c r="H29" i="6255"/>
  <c r="H11" i="6255"/>
  <c r="H37" i="6255"/>
  <c r="H8" i="6255"/>
  <c r="C22" i="6255"/>
  <c r="H3" i="6255"/>
  <c r="H5" i="6255"/>
  <c r="H22" i="6255"/>
  <c r="H27" i="6255"/>
  <c r="H35" i="6255"/>
  <c r="C40" i="6255"/>
  <c r="C47" i="6255"/>
  <c r="B25" i="6255"/>
  <c r="H21" i="6255"/>
  <c r="H14" i="6255"/>
  <c r="H28" i="6255"/>
  <c r="H33" i="6255"/>
  <c r="H38" i="6255"/>
  <c r="H42" i="6255"/>
  <c r="H23" i="6255"/>
  <c r="H26" i="6255"/>
  <c r="H30" i="6255"/>
  <c r="H36" i="6255"/>
  <c r="H40" i="6255"/>
  <c r="O26" i="6254" l="1"/>
  <c r="O23" i="6254"/>
  <c r="O21" i="6254"/>
  <c r="C32" i="6254"/>
  <c r="B27" i="6254"/>
  <c r="C18" i="6254"/>
  <c r="B17" i="6254"/>
  <c r="C46" i="6254" s="1"/>
  <c r="B16" i="6254"/>
  <c r="B26" i="6254" s="1"/>
  <c r="O15" i="6254"/>
  <c r="B15" i="6254"/>
  <c r="C15" i="6254" s="1"/>
  <c r="O14" i="6254"/>
  <c r="C14" i="6254"/>
  <c r="O13" i="6254"/>
  <c r="C13" i="6254"/>
  <c r="O12" i="6254"/>
  <c r="C12" i="6254"/>
  <c r="B11" i="6254"/>
  <c r="C11" i="6254" s="1"/>
  <c r="C10" i="6254"/>
  <c r="O9" i="6254"/>
  <c r="C9" i="6254"/>
  <c r="O8" i="6254"/>
  <c r="C8" i="6254"/>
  <c r="O7" i="6254"/>
  <c r="C7" i="6254"/>
  <c r="O6" i="6254"/>
  <c r="B6" i="6254"/>
  <c r="O5" i="6254"/>
  <c r="B5" i="6254"/>
  <c r="O4" i="6254"/>
  <c r="O3" i="6254"/>
  <c r="O2" i="6254"/>
  <c r="O28" i="6253"/>
  <c r="O27" i="6253"/>
  <c r="O26" i="6253"/>
  <c r="C32" i="6253"/>
  <c r="B27" i="6253"/>
  <c r="C18" i="6253"/>
  <c r="B17" i="6253"/>
  <c r="C47" i="6253" s="1"/>
  <c r="B16" i="6253"/>
  <c r="B26" i="6253" s="1"/>
  <c r="O15" i="6253"/>
  <c r="B15" i="6253"/>
  <c r="C15" i="6253" s="1"/>
  <c r="O14" i="6253"/>
  <c r="C14" i="6253"/>
  <c r="O13" i="6253"/>
  <c r="C13" i="6253"/>
  <c r="O12" i="6253"/>
  <c r="C12" i="6253"/>
  <c r="B11" i="6253"/>
  <c r="C11" i="6253" s="1"/>
  <c r="C10" i="6253"/>
  <c r="O9" i="6253"/>
  <c r="C9" i="6253"/>
  <c r="O8" i="6253"/>
  <c r="C8" i="6253"/>
  <c r="O7" i="6253"/>
  <c r="C7" i="6253"/>
  <c r="O6" i="6253"/>
  <c r="B6" i="6253"/>
  <c r="O5" i="6253"/>
  <c r="B5" i="6253"/>
  <c r="O4" i="6253"/>
  <c r="O3" i="6253"/>
  <c r="O2" i="6253"/>
  <c r="O21" i="6252"/>
  <c r="O20" i="6252"/>
  <c r="O18" i="6252"/>
  <c r="C32" i="6252"/>
  <c r="B27" i="6252"/>
  <c r="C18" i="6252"/>
  <c r="B17" i="6252"/>
  <c r="C45" i="6252" s="1"/>
  <c r="B16" i="6252"/>
  <c r="B26" i="6252" s="1"/>
  <c r="O15" i="6252"/>
  <c r="B15" i="6252"/>
  <c r="C15" i="6252" s="1"/>
  <c r="O14" i="6252"/>
  <c r="C14" i="6252"/>
  <c r="O13" i="6252"/>
  <c r="C13" i="6252"/>
  <c r="O12" i="6252"/>
  <c r="C12" i="6252"/>
  <c r="B11" i="6252"/>
  <c r="C11" i="6252" s="1"/>
  <c r="C10" i="6252"/>
  <c r="O9" i="6252"/>
  <c r="C9" i="6252"/>
  <c r="O8" i="6252"/>
  <c r="C8" i="6252"/>
  <c r="O7" i="6252"/>
  <c r="C7" i="6252"/>
  <c r="O6" i="6252"/>
  <c r="B6" i="6252"/>
  <c r="O5" i="6252"/>
  <c r="B5" i="6252"/>
  <c r="O4" i="6252"/>
  <c r="O3" i="6252"/>
  <c r="O2" i="6252"/>
  <c r="O29" i="6250"/>
  <c r="O23" i="6251"/>
  <c r="O19" i="6251"/>
  <c r="O26" i="6251"/>
  <c r="C32" i="6251"/>
  <c r="B27" i="6251"/>
  <c r="C18" i="6251"/>
  <c r="B17" i="6251"/>
  <c r="C44" i="6251" s="1"/>
  <c r="B16" i="6251"/>
  <c r="B26" i="6251" s="1"/>
  <c r="O15" i="6251"/>
  <c r="B15" i="6251"/>
  <c r="C15" i="6251" s="1"/>
  <c r="O14" i="6251"/>
  <c r="C14" i="6251"/>
  <c r="O13" i="6251"/>
  <c r="C13" i="6251"/>
  <c r="O12" i="6251"/>
  <c r="C12" i="6251"/>
  <c r="B11" i="6251"/>
  <c r="C11" i="6251" s="1"/>
  <c r="C10" i="6251"/>
  <c r="O9" i="6251"/>
  <c r="C9" i="6251"/>
  <c r="O8" i="6251"/>
  <c r="C8" i="6251"/>
  <c r="O7" i="6251"/>
  <c r="C7" i="6251"/>
  <c r="O6" i="6251"/>
  <c r="B6" i="6251"/>
  <c r="O5" i="6251"/>
  <c r="B5" i="6251"/>
  <c r="O4" i="6251"/>
  <c r="O3" i="6251"/>
  <c r="O2" i="6251"/>
  <c r="O31" i="6250"/>
  <c r="O36" i="6250"/>
  <c r="O26" i="6250"/>
  <c r="C32" i="6250"/>
  <c r="B27" i="6250"/>
  <c r="C18" i="6250"/>
  <c r="B17" i="6250"/>
  <c r="C46" i="6250" s="1"/>
  <c r="B16" i="6250"/>
  <c r="B26" i="6250" s="1"/>
  <c r="O15" i="6250"/>
  <c r="B15" i="6250"/>
  <c r="C15" i="6250" s="1"/>
  <c r="O14" i="6250"/>
  <c r="C14" i="6250"/>
  <c r="O13" i="6250"/>
  <c r="C13" i="6250"/>
  <c r="O12" i="6250"/>
  <c r="C12" i="6250"/>
  <c r="B11" i="6250"/>
  <c r="C11" i="6250" s="1"/>
  <c r="C10" i="6250"/>
  <c r="O9" i="6250"/>
  <c r="C9" i="6250"/>
  <c r="O8" i="6250"/>
  <c r="C8" i="6250"/>
  <c r="O7" i="6250"/>
  <c r="C7" i="6250"/>
  <c r="O6" i="6250"/>
  <c r="B6" i="6250"/>
  <c r="O5" i="6250"/>
  <c r="B5" i="6250"/>
  <c r="O4" i="6250"/>
  <c r="O3" i="6250"/>
  <c r="O2" i="6250"/>
  <c r="H5" i="6254" l="1"/>
  <c r="H35" i="6254"/>
  <c r="H20" i="6254"/>
  <c r="H8" i="6254"/>
  <c r="H17" i="6254"/>
  <c r="C16" i="6252"/>
  <c r="C16" i="6254"/>
  <c r="H11" i="6254"/>
  <c r="C36" i="6254"/>
  <c r="C37" i="6254"/>
  <c r="H4" i="6254"/>
  <c r="H6" i="6254"/>
  <c r="H2" i="6254"/>
  <c r="H23" i="6254"/>
  <c r="C21" i="6254"/>
  <c r="B25" i="6254"/>
  <c r="H18" i="6254"/>
  <c r="H39" i="6254"/>
  <c r="H27" i="6254"/>
  <c r="C40" i="6254"/>
  <c r="H10" i="6254"/>
  <c r="H3" i="6254"/>
  <c r="H15" i="6254"/>
  <c r="H22" i="6254"/>
  <c r="H28" i="6254"/>
  <c r="C19" i="6254"/>
  <c r="C16" i="6253"/>
  <c r="C16" i="6251"/>
  <c r="C38" i="6253"/>
  <c r="H6" i="6253"/>
  <c r="H16" i="6253"/>
  <c r="H39" i="6253"/>
  <c r="H7" i="6253"/>
  <c r="H21" i="6253"/>
  <c r="H23" i="6253"/>
  <c r="C21" i="6253"/>
  <c r="H15" i="6253"/>
  <c r="H28" i="6253"/>
  <c r="C40" i="6253"/>
  <c r="H11" i="6253"/>
  <c r="H31" i="6253"/>
  <c r="H4" i="6253"/>
  <c r="H32" i="6253"/>
  <c r="H2" i="6253"/>
  <c r="C19" i="6253"/>
  <c r="H9" i="6251"/>
  <c r="C35" i="6251"/>
  <c r="H21" i="6251"/>
  <c r="H41" i="6251"/>
  <c r="H3" i="6251"/>
  <c r="C41" i="6251"/>
  <c r="H16" i="6251"/>
  <c r="C21" i="6251"/>
  <c r="H19" i="6251"/>
  <c r="H10" i="6251"/>
  <c r="C36" i="6251"/>
  <c r="C20" i="6251"/>
  <c r="H29" i="6251"/>
  <c r="C16" i="6250"/>
  <c r="C22" i="6254"/>
  <c r="C41" i="6254"/>
  <c r="C23" i="6254"/>
  <c r="H33" i="6254"/>
  <c r="H42" i="6254"/>
  <c r="C17" i="6254"/>
  <c r="H13" i="6254"/>
  <c r="H34" i="6254"/>
  <c r="C42" i="6254"/>
  <c r="H7" i="6254"/>
  <c r="H38" i="6254"/>
  <c r="C45" i="6254"/>
  <c r="H9" i="6254"/>
  <c r="H31" i="6254"/>
  <c r="C38" i="6254"/>
  <c r="C47" i="6254"/>
  <c r="H16" i="6254"/>
  <c r="H19" i="6254"/>
  <c r="H21" i="6254"/>
  <c r="C20" i="6254"/>
  <c r="B24" i="6254"/>
  <c r="H29" i="6254"/>
  <c r="C35" i="6254"/>
  <c r="C39" i="6254"/>
  <c r="C43" i="6254"/>
  <c r="H24" i="6254"/>
  <c r="H26" i="6254"/>
  <c r="H30" i="6254"/>
  <c r="H36" i="6254"/>
  <c r="H40" i="6254"/>
  <c r="C44" i="6254"/>
  <c r="H12" i="6254"/>
  <c r="H25" i="6254"/>
  <c r="H14" i="6254"/>
  <c r="H32" i="6254"/>
  <c r="H37" i="6254"/>
  <c r="H41" i="6254"/>
  <c r="H41" i="6253"/>
  <c r="C42" i="6253"/>
  <c r="H34" i="6253"/>
  <c r="C17" i="6253"/>
  <c r="H24" i="6253"/>
  <c r="H35" i="6253"/>
  <c r="H5" i="6253"/>
  <c r="H9" i="6253"/>
  <c r="H10" i="6253"/>
  <c r="H20" i="6253"/>
  <c r="H26" i="6253"/>
  <c r="C36" i="6253"/>
  <c r="C45" i="6253"/>
  <c r="C23" i="6253"/>
  <c r="H3" i="6253"/>
  <c r="H37" i="6253"/>
  <c r="C46" i="6253"/>
  <c r="B25" i="6253"/>
  <c r="H12" i="6253"/>
  <c r="H13" i="6253"/>
  <c r="H27" i="6253"/>
  <c r="H33" i="6253"/>
  <c r="H38" i="6253"/>
  <c r="H42" i="6253"/>
  <c r="H14" i="6253"/>
  <c r="H17" i="6253"/>
  <c r="H19" i="6253"/>
  <c r="C20" i="6253"/>
  <c r="B24" i="6253"/>
  <c r="H29" i="6253"/>
  <c r="C35" i="6253"/>
  <c r="C39" i="6253"/>
  <c r="C43" i="6253"/>
  <c r="H22" i="6253"/>
  <c r="H25" i="6253"/>
  <c r="H30" i="6253"/>
  <c r="H36" i="6253"/>
  <c r="H40" i="6253"/>
  <c r="C44" i="6253"/>
  <c r="H8" i="6253"/>
  <c r="H18" i="6253"/>
  <c r="C22" i="6253"/>
  <c r="C37" i="6253"/>
  <c r="C41" i="6253"/>
  <c r="H23" i="6250"/>
  <c r="H5" i="6252"/>
  <c r="H7" i="6252"/>
  <c r="H4" i="6252"/>
  <c r="H28" i="6252"/>
  <c r="C42" i="6252"/>
  <c r="H32" i="6252"/>
  <c r="H6" i="6252"/>
  <c r="C19" i="6252"/>
  <c r="H34" i="6252"/>
  <c r="H16" i="6252"/>
  <c r="H22" i="6252"/>
  <c r="C38" i="6252"/>
  <c r="H10" i="6252"/>
  <c r="H24" i="6252"/>
  <c r="C22" i="6252"/>
  <c r="H41" i="6252"/>
  <c r="H14" i="6252"/>
  <c r="H8" i="6252"/>
  <c r="H19" i="6252"/>
  <c r="H39" i="6252"/>
  <c r="H2" i="6252"/>
  <c r="H17" i="6252"/>
  <c r="C41" i="6252"/>
  <c r="C23" i="6252"/>
  <c r="H35" i="6252"/>
  <c r="H3" i="6252"/>
  <c r="H9" i="6252"/>
  <c r="C17" i="6252"/>
  <c r="H26" i="6252"/>
  <c r="H37" i="6252"/>
  <c r="C46" i="6252"/>
  <c r="H21" i="6252"/>
  <c r="H12" i="6252"/>
  <c r="C37" i="6252"/>
  <c r="C47" i="6252"/>
  <c r="H11" i="6252"/>
  <c r="H25" i="6252"/>
  <c r="H13" i="6252"/>
  <c r="H33" i="6252"/>
  <c r="H38" i="6252"/>
  <c r="H42" i="6252"/>
  <c r="H15" i="6252"/>
  <c r="H18" i="6252"/>
  <c r="H20" i="6252"/>
  <c r="C20" i="6252"/>
  <c r="B24" i="6252"/>
  <c r="H29" i="6252"/>
  <c r="C35" i="6252"/>
  <c r="C39" i="6252"/>
  <c r="C43" i="6252"/>
  <c r="H23" i="6252"/>
  <c r="H27" i="6252"/>
  <c r="H30" i="6252"/>
  <c r="H36" i="6252"/>
  <c r="H40" i="6252"/>
  <c r="C44" i="6252"/>
  <c r="C21" i="6252"/>
  <c r="B25" i="6252"/>
  <c r="H31" i="6252"/>
  <c r="C36" i="6252"/>
  <c r="C40" i="6252"/>
  <c r="H5" i="6250"/>
  <c r="H20" i="6250"/>
  <c r="H8" i="6250"/>
  <c r="H24" i="6250"/>
  <c r="C19" i="6250"/>
  <c r="H6" i="6250"/>
  <c r="H27" i="6250"/>
  <c r="H22" i="6250"/>
  <c r="H11" i="6250"/>
  <c r="H39" i="6250"/>
  <c r="H29" i="6250"/>
  <c r="C20" i="6250"/>
  <c r="C22" i="6250"/>
  <c r="C39" i="6250"/>
  <c r="C37" i="6250"/>
  <c r="H4" i="6250"/>
  <c r="H26" i="6250"/>
  <c r="C41" i="6250"/>
  <c r="C23" i="6250"/>
  <c r="H42" i="6250"/>
  <c r="H10" i="6250"/>
  <c r="H17" i="6250"/>
  <c r="H34" i="6250"/>
  <c r="C42" i="6250"/>
  <c r="C17" i="6250"/>
  <c r="H19" i="6250"/>
  <c r="H9" i="6250"/>
  <c r="B24" i="6250"/>
  <c r="H35" i="6250"/>
  <c r="H3" i="6250"/>
  <c r="H33" i="6250"/>
  <c r="H7" i="6250"/>
  <c r="H2" i="6250"/>
  <c r="H28" i="6250"/>
  <c r="H13" i="6250"/>
  <c r="C35" i="6250"/>
  <c r="H12" i="6251"/>
  <c r="H24" i="6251"/>
  <c r="H37" i="6251"/>
  <c r="C42" i="6251"/>
  <c r="C17" i="6251"/>
  <c r="C22" i="6251"/>
  <c r="H31" i="6251"/>
  <c r="C37" i="6251"/>
  <c r="H4" i="6251"/>
  <c r="C43" i="6251"/>
  <c r="H17" i="6251"/>
  <c r="H13" i="6251"/>
  <c r="C23" i="6251"/>
  <c r="C38" i="6251"/>
  <c r="H7" i="6251"/>
  <c r="H20" i="6251"/>
  <c r="H25" i="6251"/>
  <c r="H39" i="6251"/>
  <c r="C45" i="6251"/>
  <c r="H30" i="6251"/>
  <c r="H5" i="6251"/>
  <c r="H18" i="6251"/>
  <c r="C19" i="6251"/>
  <c r="B24" i="6251"/>
  <c r="H34" i="6251"/>
  <c r="C39" i="6251"/>
  <c r="C46" i="6251"/>
  <c r="H8" i="6251"/>
  <c r="H2" i="6251"/>
  <c r="H32" i="6251"/>
  <c r="H6" i="6251"/>
  <c r="H22" i="6251"/>
  <c r="H27" i="6251"/>
  <c r="H35" i="6251"/>
  <c r="C40" i="6251"/>
  <c r="C47" i="6251"/>
  <c r="B25" i="6251"/>
  <c r="H14" i="6251"/>
  <c r="H11" i="6251"/>
  <c r="H28" i="6251"/>
  <c r="H33" i="6251"/>
  <c r="H38" i="6251"/>
  <c r="H42" i="6251"/>
  <c r="H23" i="6251"/>
  <c r="H26" i="6251"/>
  <c r="H15" i="6251"/>
  <c r="H36" i="6251"/>
  <c r="H40" i="6251"/>
  <c r="H38" i="6250"/>
  <c r="C43" i="6250"/>
  <c r="H12" i="6250"/>
  <c r="H15" i="6250"/>
  <c r="C38" i="6250"/>
  <c r="C47" i="6250"/>
  <c r="H18" i="6250"/>
  <c r="H31" i="6250"/>
  <c r="H21" i="6250"/>
  <c r="H36" i="6250"/>
  <c r="H40" i="6250"/>
  <c r="C44" i="6250"/>
  <c r="C21" i="6250"/>
  <c r="B25" i="6250"/>
  <c r="H32" i="6250"/>
  <c r="C36" i="6250"/>
  <c r="C40" i="6250"/>
  <c r="C45" i="6250"/>
  <c r="H14" i="6250"/>
  <c r="H30" i="6250"/>
  <c r="H16" i="6250"/>
  <c r="H25" i="6250"/>
  <c r="H37" i="6250"/>
  <c r="H41" i="6250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<sst xmlns="http://schemas.openxmlformats.org/spreadsheetml/2006/main" count="4197" uniqueCount="212">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</sst>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全体!$K$2:$K$142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xVal>
          <c:yVal>
            <c:numRef>
              <c:f>全体!$L$2:$L$142</c:f>
              <c:numCache>
                <c:formatCode>\+0.0;\-0.0;\±0</c:formatCode>
                <c:ptCount val="141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0C-4295-A845-C94C5A4A4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-21.428571428571427</c:v>
                </c:pt>
                <c:pt idx="1">
                  <c:v>-7.1428571428571432</c:v>
                </c:pt>
                <c:pt idx="2">
                  <c:v>-57.142857142857146</c:v>
                </c:pt>
                <c:pt idx="3">
                  <c:v>-30.303030303030305</c:v>
                </c:pt>
                <c:pt idx="4">
                  <c:v>25.862068965517242</c:v>
                </c:pt>
                <c:pt idx="5">
                  <c:v>-90.909090909090907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D-49A7-8431-0E80CCFBE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31</c:v>
                </c:pt>
                <c:pt idx="1">
                  <c:v>48</c:v>
                </c:pt>
                <c:pt idx="2">
                  <c:v>58</c:v>
                </c:pt>
                <c:pt idx="3">
                  <c:v>42</c:v>
                </c:pt>
                <c:pt idx="4">
                  <c:v>21</c:v>
                </c:pt>
                <c:pt idx="5">
                  <c:v>28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8-42EA-B87F-26AD7628F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B-4B8E-8DC9-495614A6B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F1-435F-AA56-7214FBB48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C5-45EC-A4CD-861FEEF80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04-4930-9FF3-94A4FF2A5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5-4913-A68C-885981279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A-4A81-A5AA-DD6F14A71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大池陸斗!$L$2:$L$8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8-4D2E-B447-FF48D0AA6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-483.33333333333331</c:v>
                </c:pt>
                <c:pt idx="1">
                  <c:v>3483.3333333333335</c:v>
                </c:pt>
                <c:pt idx="2">
                  <c:v>2900</c:v>
                </c:pt>
                <c:pt idx="3">
                  <c:v>4383.333333333333</c:v>
                </c:pt>
                <c:pt idx="4">
                  <c:v>516.66666666666663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9-4733-A372-DF9CE3AB5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8-41AB-A3A5-ABC12E1AB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9A-428F-B67A-00D56D380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C-4EE1-B2B4-3E604636A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2-4625-9E0E-39E15F2A6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佐藤成浩!$L$2:$L$21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19-4271-9845-66E7938BA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1457.8947368421052</c:v>
                </c:pt>
                <c:pt idx="1">
                  <c:v>784.21052631578948</c:v>
                </c:pt>
                <c:pt idx="2">
                  <c:v>1815.7894736842106</c:v>
                </c:pt>
                <c:pt idx="3">
                  <c:v>994.44444444444446</c:v>
                </c:pt>
                <c:pt idx="4">
                  <c:v>1780</c:v>
                </c:pt>
                <c:pt idx="5">
                  <c:v>2863.6363636363635</c:v>
                </c:pt>
                <c:pt idx="6">
                  <c:v>810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3B-46D6-9A40-E993E4E3E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3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F1-409E-8353-35F16A97A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0-4B9D-B283-3693E9793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2B-46C9-8231-D492ED8CA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9B-492C-8F1D-7473BBDA4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03-4EDB-923A-027583199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8F-4B8D-B318-25E1BCC46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4-4794-8190-696CCC37A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5-429D-B5EE-B7BCAD9E3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B-4814-AFBE-18A2449D9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0-49C7-AF42-C22849E10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45-4B58-83F4-1D17A655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F8-4921-8FA7-C93344503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F5-477B-9DBE-DB442D16A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C-4534-8D38-6C75D8945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4E-4AE1-9BCE-C291F24EF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4-4957-831B-E080333CC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45-4F2C-8855-1D4A84FC7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64-4FCD-8AB9-FD1EE3B29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AB-4822-9146-69F012820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6C-4C21-9847-3E43C5444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0-455A-A833-482B4A363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B-408D-A537-0B64170B2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81-489F-A66A-556B73C00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BA-4658-9F81-94E20B801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BB-4D24-9D9A-CD82C39D8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90-4798-801B-A7C6018F7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46-4BA6-A90F-2DA33DFB2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EC-4438-BF08-0601A6CAC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柳澤颯吾!$L$2:$L$12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7B-470B-A28B-13751C310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-80</c:v>
                </c:pt>
                <c:pt idx="1">
                  <c:v>-680</c:v>
                </c:pt>
                <c:pt idx="2">
                  <c:v>-2160</c:v>
                </c:pt>
                <c:pt idx="3">
                  <c:v>-3233.3333333333335</c:v>
                </c:pt>
                <c:pt idx="4">
                  <c:v>-1612.5</c:v>
                </c:pt>
                <c:pt idx="5">
                  <c:v>-4028.5714285714284</c:v>
                </c:pt>
                <c:pt idx="6">
                  <c:v>-1900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AA-48DA-81CB-1B949440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9-49AB-B363-C379EF3B0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29-4BBD-A0C7-489D20B80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B-4760-9C7D-9B2063DF6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9-4526-AE72-3E01593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16-4B0D-9416-6E42177DC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F-4F00-A0EA-976ADA945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2-4DE0-B37D-51C399BE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61-4949-98E9-2DBE3B6BD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38-44B1-A826-87A39AA12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C-42D9-8045-E91BB7402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E6-462C-8885-F459C437D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9-4F6E-9281-F58579DB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A3-4448-86CC-D5DB2B371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6-4B09-AEA4-E262C549A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20-4246-B339-17B50B2ED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E-4150-B79F-4D51A0B52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D553C82-0987-4FFA-9A00-4D4DC423C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1F91828-BF86-4F16-84C6-2526BD322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937860F-0B67-4FB1-9C6B-23C2FACCA1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FD1B4B-2B83-4F12-9DE0-A976B811CF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A76AD7-2C06-4F73-91D0-747F96C80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F8A1967-E49F-402D-A1C0-285EB84A16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FA9401-37A5-4C6D-B4A6-FBD1C1454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F26D33-ACEB-49EE-BA53-7E5700FF9F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9835EF-156B-4BBA-AC95-959C50FF3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FE971D-46B1-4900-BD2B-F45A9665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8D920-0854-455C-B2EB-32553C7AD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BCEC882-9C4C-44AE-8D70-90F3D3A45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C50191-B9A0-4899-86E8-200E192998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64B26F-DC7C-41F3-B179-EC6C156E2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A4D469D-BBE5-4000-B2C5-01365E069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9424C6-F862-40FA-8EF8-04039E413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7F270DC-2B95-410C-90EF-1FE1F94EA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5BA054A-0F46-4CC9-91AC-D9F30D72E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A8A6F04-2478-49BD-A0BB-E15053383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661949-F62C-4A92-AF45-69898DDF3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98D54D4-A6D4-4616-9B79-644669443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8D3042-304E-4FB8-9ACF-8AAD8D657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B956F19-4EDA-4777-A79D-A1F50EC90E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7B14BFF-7C43-4D67-A779-83F40A952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D80E68-B077-402D-91C8-3A539C5D1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AD997D-6CB2-4249-AB49-D9EAD0037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094803-2734-4254-9059-8544AF368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279F9E-293B-4C7A-93E2-0D0A8FDF4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B1BAF9F-7E76-4D55-ACCB-98D4D701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2FE78B2-DA73-4E37-B1D6-1CA85DD6F2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42A1226-DB2E-41D4-95C2-B92F35D1A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0869D9-70A9-4CAF-8F1B-C6F008F4FC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D14367A-8040-49E7-8A1B-4402528C11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08FC085-645F-4DB8-BD9C-41097F718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818F711-5CFF-49F6-A90A-6E290ECFA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A67700B-A634-4F34-B8A5-9BBAB51C0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324DE2E-C8D5-404F-AF0C-A15FC6830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0D2256-A9D0-4977-9395-C6AB554954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0B1E51B-B838-4FC2-9E4C-4A74D3B67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037608-31EC-4B07-97BD-161F4D160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718442-E257-444D-B780-FF276C328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B252A1-0B34-40A9-9DFC-DEE29CABE1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C54CF1-D9D6-4B14-9795-E16E32B4F1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23FBF5-E4CD-4F4E-817C-E4E1F3D88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01C4D74-F4BC-476D-9DC0-B6859BF8DE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A42183-EE55-4CDE-8CF6-A6C6FAF656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7346DF-A94F-48EA-86A2-EEF0A15C0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78C11AE-D2E0-4337-BC7E-B7A2A2E282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DABF46-4535-4A49-92D8-85E2B998F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5D7DF5-692F-4D43-9859-98382F39D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B4E239-9642-4F02-B74D-9D05F9001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794CD1-31C8-4562-9E2E-6718C5840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5FD34B-2950-4CEA-B5A9-62B35088A4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0F1BE26-AECB-4AE0-BCF4-7C693A241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F5ECCF-CEE9-4F77-8FB8-2285DCFCAE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9C9D9F-C5B0-4150-8B2A-9BA5ABE374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7D096D-3E8E-4DD1-B503-DB7EF4B4C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96C16D-8F6C-4EAD-9218-5DFFBD15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88E12C-4DBE-4F3B-B88F-D9CEA79C3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FCB1872-290D-42A5-BDB1-028F51172E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20AAAA-EB01-4EBB-83C6-BE8B224CD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AF6C35-6FF3-40BB-99E5-3771A3822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7D7FFA8-5791-4CCE-8A60-B568899794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20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43801.602060185185</v>
      </c>
      <c r="C2" s="24" t="s">
        <v>102</v>
      </c>
    </row>
    <row r="3" spans="1:4">
      <c r="A3" s="24" t="s">
        <v>165</v>
      </c>
      <c r="B3" s="25">
        <v>43801.602060185185</v>
      </c>
      <c r="C3" s="24" t="s">
        <v>102</v>
      </c>
    </row>
    <row r="4" spans="1:4">
      <c r="A4" s="24" t="s">
        <v>174</v>
      </c>
      <c r="B4" s="25">
        <v>43810.397581018522</v>
      </c>
      <c r="C4" s="24" t="s">
        <v>102</v>
      </c>
      <c r="D4" s="24" t="s">
        <v>176</v>
      </c>
    </row>
    <row r="5" spans="1:4">
      <c r="A5" s="24" t="s">
        <v>178</v>
      </c>
      <c r="B5" s="25">
        <v>43813.948194444441</v>
      </c>
      <c r="C5" s="24" t="s">
        <v>102</v>
      </c>
      <c r="D5" s="24" t="s">
        <v>176</v>
      </c>
    </row>
    <row r="6" spans="1:4">
      <c r="A6" s="24" t="s">
        <v>188</v>
      </c>
      <c r="B6" s="25">
        <v>43900.61954861111</v>
      </c>
      <c r="C6" s="24" t="s">
        <v>102</v>
      </c>
      <c r="D6" s="24" t="s">
        <v>176</v>
      </c>
    </row>
    <row r="7" spans="1:4">
      <c r="A7" s="24" t="s">
        <v>189</v>
      </c>
      <c r="B7" s="25">
        <v>43900.619270833333</v>
      </c>
      <c r="C7" s="24" t="s">
        <v>102</v>
      </c>
      <c r="D7" s="24" t="s">
        <v>176</v>
      </c>
    </row>
    <row r="8" spans="1:4">
      <c r="A8" s="24" t="s">
        <v>190</v>
      </c>
      <c r="B8" s="25">
        <v>43840.765868055554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43844.60229166667</v>
      </c>
      <c r="C9" s="24" t="s">
        <v>102</v>
      </c>
      <c r="D9" s="24" t="s">
        <v>176</v>
      </c>
    </row>
    <row r="10" spans="1:4">
      <c r="A10" s="24" t="s">
        <v>193</v>
      </c>
      <c r="B10" s="25">
        <v>43854.767141203702</v>
      </c>
      <c r="C10" s="24" t="s">
        <v>102</v>
      </c>
      <c r="D10" s="24" t="s">
        <v>176</v>
      </c>
    </row>
    <row r="11" spans="1:4">
      <c r="A11" s="24" t="s">
        <v>194</v>
      </c>
      <c r="B11" s="25">
        <v>43854.768819444442</v>
      </c>
      <c r="C11" s="24" t="s">
        <v>102</v>
      </c>
      <c r="D11" s="24" t="s">
        <v>176</v>
      </c>
    </row>
    <row r="12" spans="1:4">
      <c r="A12" s="24" t="s">
        <v>197</v>
      </c>
      <c r="B12" s="25">
        <v>43861.775358796294</v>
      </c>
      <c r="C12" s="24" t="s">
        <v>102</v>
      </c>
      <c r="D12" s="24" t="s">
        <v>176</v>
      </c>
    </row>
    <row r="13" spans="1:4">
      <c r="A13" s="24" t="s">
        <v>198</v>
      </c>
      <c r="B13" s="25">
        <v>43886.48</v>
      </c>
      <c r="C13" s="24" t="s">
        <v>102</v>
      </c>
      <c r="D13" s="24" t="s">
        <v>176</v>
      </c>
    </row>
    <row r="14" spans="1:4">
      <c r="A14" s="24" t="s">
        <v>201</v>
      </c>
      <c r="B14" s="25">
        <v>44127.771817129629</v>
      </c>
      <c r="C14" s="24" t="s">
        <v>102</v>
      </c>
      <c r="D14" s="24" t="s">
        <v>176</v>
      </c>
    </row>
    <row r="15" spans="1:4">
      <c r="A15" s="24" t="s">
        <v>204</v>
      </c>
      <c r="B15" s="25">
        <v>44141.683472222219</v>
      </c>
      <c r="C15" s="24" t="s">
        <v>102</v>
      </c>
      <c r="D15" s="24" t="s">
        <v>176</v>
      </c>
    </row>
    <row r="16" spans="1:4">
      <c r="A16" s="24" t="s">
        <v>206</v>
      </c>
      <c r="B16" s="25">
        <v>44141.683472222219</v>
      </c>
      <c r="C16" s="24" t="s">
        <v>102</v>
      </c>
      <c r="D16" s="24" t="s">
        <v>176</v>
      </c>
    </row>
    <row r="17" spans="1:4">
      <c r="A17" s="24" t="s">
        <v>207</v>
      </c>
      <c r="B17" s="25">
        <v>44141.762002314812</v>
      </c>
      <c r="C17" s="24" t="s">
        <v>102</v>
      </c>
      <c r="D17" s="24" t="s">
        <v>176</v>
      </c>
    </row>
    <row r="18" spans="1:4">
      <c r="A18" s="24" t="s">
        <v>209</v>
      </c>
      <c r="B18" s="25">
        <v>44141.764027777775</v>
      </c>
      <c r="C18" s="24" t="s">
        <v>102</v>
      </c>
    </row>
    <row r="19" spans="1:4">
      <c r="A19" s="24" t="s">
        <v>210</v>
      </c>
      <c r="B19" s="25">
        <v>44148.764872685184</v>
      </c>
      <c r="C19" s="24" t="s">
        <v>102</v>
      </c>
      <c r="D19" s="24" t="s">
        <v>176</v>
      </c>
    </row>
    <row r="20" spans="1:4">
      <c r="A20" s="24" t="s">
        <v>211</v>
      </c>
      <c r="B20" s="25">
        <v>44148.765335648146</v>
      </c>
      <c r="C20" s="24" t="s">
        <v>102</v>
      </c>
      <c r="D20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1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140</v>
      </c>
    </row>
    <row r="2" spans="1:2">
      <c r="A2" t="s">
        <v>164</v>
      </c>
      <c r="B2">
        <v>15</v>
      </c>
    </row>
    <row r="3" spans="1:2">
      <c r="A3" t="s">
        <v>161</v>
      </c>
      <c r="B3">
        <v>7</v>
      </c>
    </row>
    <row r="4" spans="1:2">
      <c r="A4" t="s">
        <v>162</v>
      </c>
      <c r="B4">
        <v>6</v>
      </c>
    </row>
    <row r="5" spans="1:2">
      <c r="A5" t="s">
        <v>163</v>
      </c>
      <c r="B5">
        <v>8</v>
      </c>
    </row>
    <row r="6" spans="1:2">
      <c r="A6" t="s">
        <v>169</v>
      </c>
      <c r="B6">
        <v>19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10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3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38" t="s">
        <v>9</v>
      </c>
      <c r="C1" s="139"/>
      <c r="D1" s="138" t="s">
        <v>6</v>
      </c>
      <c r="E1" s="139"/>
      <c r="F1" s="138" t="s">
        <v>7</v>
      </c>
      <c r="G1" s="139"/>
      <c r="H1" s="138" t="s">
        <v>15</v>
      </c>
      <c r="I1" s="139"/>
      <c r="J1" s="138" t="s">
        <v>14</v>
      </c>
      <c r="K1" s="139"/>
      <c r="L1" s="138" t="s">
        <v>125</v>
      </c>
      <c r="M1" s="139"/>
      <c r="N1" s="138" t="s">
        <v>154</v>
      </c>
      <c r="O1" s="139"/>
      <c r="P1" s="138" t="s">
        <v>115</v>
      </c>
      <c r="Q1" s="139"/>
      <c r="R1" s="138" t="s">
        <v>116</v>
      </c>
      <c r="S1" s="139"/>
      <c r="T1" s="138" t="s">
        <v>5</v>
      </c>
      <c r="U1" s="139"/>
      <c r="V1" s="138" t="s">
        <v>16</v>
      </c>
      <c r="W1" s="139"/>
      <c r="X1" s="138" t="s">
        <v>98</v>
      </c>
      <c r="Y1" s="139"/>
      <c r="Z1" s="138" t="s">
        <v>95</v>
      </c>
      <c r="AA1" s="139"/>
      <c r="AB1" s="138" t="s">
        <v>101</v>
      </c>
      <c r="AC1" s="139"/>
      <c r="AD1" s="138" t="s">
        <v>117</v>
      </c>
      <c r="AE1" s="139"/>
      <c r="AF1" s="138" t="s">
        <v>113</v>
      </c>
      <c r="AG1" s="139"/>
      <c r="AH1" s="138" t="s">
        <v>148</v>
      </c>
      <c r="AI1" s="139"/>
    </row>
    <row r="2" spans="1:35">
      <c r="A2" s="58" t="s">
        <v>124</v>
      </c>
      <c r="B2" s="142">
        <v>0.88719683849743181</v>
      </c>
      <c r="C2" s="143"/>
      <c r="D2" s="140"/>
      <c r="E2" s="141"/>
      <c r="F2" s="140"/>
      <c r="G2" s="141"/>
      <c r="H2" s="142">
        <v>0.91591776557455129</v>
      </c>
      <c r="I2" s="143"/>
      <c r="J2" s="142">
        <v>0.91615122538655469</v>
      </c>
      <c r="K2" s="143"/>
      <c r="L2" s="142">
        <v>0.45879064927893431</v>
      </c>
      <c r="M2" s="143"/>
      <c r="N2" s="142">
        <v>0.72034894914255609</v>
      </c>
      <c r="O2" s="143"/>
      <c r="P2" s="142">
        <v>0.29537481837834756</v>
      </c>
      <c r="Q2" s="143"/>
      <c r="R2" s="142">
        <v>0.30578213931724774</v>
      </c>
      <c r="S2" s="143"/>
      <c r="T2" s="142">
        <v>0.86916622009293909</v>
      </c>
      <c r="U2" s="143"/>
      <c r="V2" s="142">
        <v>0.57248370080518918</v>
      </c>
      <c r="W2" s="143"/>
      <c r="X2" s="142">
        <v>-0.23229119984516197</v>
      </c>
      <c r="Y2" s="143"/>
      <c r="Z2" s="142">
        <v>-0.18335032427873671</v>
      </c>
      <c r="AA2" s="143"/>
      <c r="AB2" s="142">
        <v>0.56073062687482678</v>
      </c>
      <c r="AC2" s="143"/>
      <c r="AD2" s="142">
        <v>6.1578006246222082E-2</v>
      </c>
      <c r="AE2" s="143"/>
      <c r="AF2" s="142">
        <v>-0.17788409658030549</v>
      </c>
      <c r="AG2" s="143"/>
      <c r="AH2" s="142">
        <v>0.85509285985503636</v>
      </c>
      <c r="AI2" s="143"/>
    </row>
    <row r="3" spans="1:35">
      <c r="A3" s="60">
        <v>1</v>
      </c>
      <c r="B3" s="61" t="s">
        <v>114</v>
      </c>
      <c r="C3" s="132">
        <v>35</v>
      </c>
      <c r="D3" s="61" t="s">
        <v>169</v>
      </c>
      <c r="E3" s="62">
        <v>406.70000000000005</v>
      </c>
      <c r="F3" s="63" t="s">
        <v>205</v>
      </c>
      <c r="G3" s="82">
        <v>35.274999999999999</v>
      </c>
      <c r="H3" s="63" t="s">
        <v>205</v>
      </c>
      <c r="I3" s="64">
        <v>1.75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167</v>
      </c>
      <c r="Y3" s="66">
        <v>0.2857142857142857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166</v>
      </c>
      <c r="AE3" s="66">
        <v>0.66666666666666663</v>
      </c>
      <c r="AF3" s="63" t="s">
        <v>163</v>
      </c>
      <c r="AG3" s="66">
        <v>0.6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19</v>
      </c>
      <c r="D4" s="69" t="s">
        <v>162</v>
      </c>
      <c r="E4" s="70">
        <v>181.8</v>
      </c>
      <c r="F4" s="71" t="s">
        <v>162</v>
      </c>
      <c r="G4" s="83">
        <v>30.3</v>
      </c>
      <c r="H4" s="71" t="s">
        <v>162</v>
      </c>
      <c r="I4" s="72">
        <v>1.8333333333333333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169</v>
      </c>
      <c r="U4" s="75">
        <v>8442.424242424242</v>
      </c>
      <c r="V4" s="71" t="s">
        <v>196</v>
      </c>
      <c r="W4" s="75">
        <v>0</v>
      </c>
      <c r="X4" s="71" t="s">
        <v>175</v>
      </c>
      <c r="Y4" s="74">
        <v>0.26666666666666666</v>
      </c>
      <c r="Z4" s="71" t="s">
        <v>168</v>
      </c>
      <c r="AA4" s="74">
        <v>0.33098591549295775</v>
      </c>
      <c r="AB4" s="71" t="s">
        <v>166</v>
      </c>
      <c r="AC4" s="74">
        <v>0.75</v>
      </c>
      <c r="AD4" s="71" t="s">
        <v>162</v>
      </c>
      <c r="AE4" s="74">
        <v>0.5</v>
      </c>
      <c r="AF4" s="71" t="s">
        <v>166</v>
      </c>
      <c r="AG4" s="74">
        <v>0.5714285714285714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18</v>
      </c>
      <c r="D5" s="69" t="s">
        <v>168</v>
      </c>
      <c r="E5" s="70">
        <v>154.39999999999998</v>
      </c>
      <c r="F5" s="71" t="s">
        <v>169</v>
      </c>
      <c r="G5" s="83">
        <v>21.405263157894741</v>
      </c>
      <c r="H5" s="71" t="s">
        <v>169</v>
      </c>
      <c r="I5" s="72">
        <v>2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164</v>
      </c>
      <c r="S5" s="74">
        <v>9.0909090909090912E-2</v>
      </c>
      <c r="T5" s="71" t="s">
        <v>175</v>
      </c>
      <c r="U5" s="75">
        <v>8400</v>
      </c>
      <c r="V5" s="71" t="s">
        <v>175</v>
      </c>
      <c r="W5" s="75">
        <v>-2950</v>
      </c>
      <c r="X5" s="71" t="s">
        <v>164</v>
      </c>
      <c r="Y5" s="74">
        <v>0.26446280991735538</v>
      </c>
      <c r="Z5" s="71" t="s">
        <v>163</v>
      </c>
      <c r="AA5" s="74">
        <v>0.3188405797101449</v>
      </c>
      <c r="AB5" s="71" t="s">
        <v>175</v>
      </c>
      <c r="AC5" s="74">
        <v>0.75</v>
      </c>
      <c r="AD5" s="71" t="s">
        <v>196</v>
      </c>
      <c r="AE5" s="74">
        <v>0.5</v>
      </c>
      <c r="AF5" s="71" t="s">
        <v>162</v>
      </c>
      <c r="AG5" s="74">
        <v>0.5</v>
      </c>
      <c r="AH5" s="71" t="s">
        <v>168</v>
      </c>
      <c r="AI5" s="78">
        <v>65600</v>
      </c>
    </row>
    <row r="6" spans="1:35">
      <c r="A6" s="68">
        <v>4</v>
      </c>
      <c r="B6" s="69" t="s">
        <v>179</v>
      </c>
      <c r="C6" s="133">
        <v>16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167</v>
      </c>
      <c r="I6" s="72">
        <v>2</v>
      </c>
      <c r="J6" s="71" t="s">
        <v>169</v>
      </c>
      <c r="K6" s="73">
        <v>0.42105263157894735</v>
      </c>
      <c r="L6" s="71" t="s">
        <v>205</v>
      </c>
      <c r="M6" s="73">
        <v>0</v>
      </c>
      <c r="N6" s="71" t="s">
        <v>162</v>
      </c>
      <c r="O6" s="73">
        <v>0.66666666666666663</v>
      </c>
      <c r="P6" s="71" t="s">
        <v>162</v>
      </c>
      <c r="Q6" s="74">
        <v>0.25</v>
      </c>
      <c r="R6" s="71" t="s">
        <v>169</v>
      </c>
      <c r="S6" s="74">
        <v>9.202453987730061E-2</v>
      </c>
      <c r="T6" s="71" t="s">
        <v>205</v>
      </c>
      <c r="U6" s="75">
        <v>8333.3333333333339</v>
      </c>
      <c r="V6" s="71" t="s">
        <v>191</v>
      </c>
      <c r="W6" s="75">
        <v>-3740</v>
      </c>
      <c r="X6" s="71" t="s">
        <v>196</v>
      </c>
      <c r="Y6" s="74">
        <v>0.25</v>
      </c>
      <c r="Z6" s="71" t="s">
        <v>180</v>
      </c>
      <c r="AA6" s="74">
        <v>0.2857142857142857</v>
      </c>
      <c r="AB6" s="71" t="s">
        <v>177</v>
      </c>
      <c r="AC6" s="74">
        <v>0.75</v>
      </c>
      <c r="AD6" s="71" t="s">
        <v>179</v>
      </c>
      <c r="AE6" s="74">
        <v>0.45454545454545453</v>
      </c>
      <c r="AF6" s="71" t="s">
        <v>167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164</v>
      </c>
      <c r="C7" s="133">
        <v>15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168</v>
      </c>
      <c r="K7" s="73">
        <v>0.3888888888888889</v>
      </c>
      <c r="L7" s="71" t="s">
        <v>169</v>
      </c>
      <c r="M7" s="73">
        <v>5.2631578947368418E-2</v>
      </c>
      <c r="N7" s="71" t="s">
        <v>169</v>
      </c>
      <c r="O7" s="73">
        <v>0.63157894736842102</v>
      </c>
      <c r="P7" s="71" t="s">
        <v>179</v>
      </c>
      <c r="Q7" s="74">
        <v>0.24427480916030533</v>
      </c>
      <c r="R7" s="71" t="s">
        <v>177</v>
      </c>
      <c r="S7" s="74">
        <v>0.10526315789473684</v>
      </c>
      <c r="T7" s="71" t="s">
        <v>162</v>
      </c>
      <c r="U7" s="75">
        <v>7835.7142857142853</v>
      </c>
      <c r="V7" s="71" t="s">
        <v>162</v>
      </c>
      <c r="W7" s="75">
        <v>-3914.2857142857142</v>
      </c>
      <c r="X7" s="71" t="s">
        <v>205</v>
      </c>
      <c r="Y7" s="74">
        <v>0.25</v>
      </c>
      <c r="Z7" s="71" t="s">
        <v>164</v>
      </c>
      <c r="AA7" s="74">
        <v>0.256198347107438</v>
      </c>
      <c r="AB7" s="71" t="s">
        <v>169</v>
      </c>
      <c r="AC7" s="74">
        <v>0.72</v>
      </c>
      <c r="AD7" s="71" t="s">
        <v>168</v>
      </c>
      <c r="AE7" s="74">
        <v>0.38297872340425532</v>
      </c>
      <c r="AF7" s="71" t="s">
        <v>203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191</v>
      </c>
      <c r="C8" s="133">
        <v>14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191</v>
      </c>
      <c r="M8" s="73">
        <v>7.1428571428571425E-2</v>
      </c>
      <c r="N8" s="71" t="s">
        <v>164</v>
      </c>
      <c r="O8" s="73">
        <v>0.6</v>
      </c>
      <c r="P8" s="71" t="s">
        <v>163</v>
      </c>
      <c r="Q8" s="74">
        <v>0.21739130434782608</v>
      </c>
      <c r="R8" s="71" t="s">
        <v>179</v>
      </c>
      <c r="S8" s="74">
        <v>0.10687022900763359</v>
      </c>
      <c r="T8" s="71" t="s">
        <v>164</v>
      </c>
      <c r="U8" s="75">
        <v>7355</v>
      </c>
      <c r="V8" s="71" t="s">
        <v>169</v>
      </c>
      <c r="W8" s="75">
        <v>-4126.666666666667</v>
      </c>
      <c r="X8" s="71" t="s">
        <v>162</v>
      </c>
      <c r="Y8" s="74">
        <v>0.23214285714285715</v>
      </c>
      <c r="Z8" s="71" t="s">
        <v>179</v>
      </c>
      <c r="AA8" s="74">
        <v>0.25190839694656486</v>
      </c>
      <c r="AB8" s="71" t="s">
        <v>168</v>
      </c>
      <c r="AC8" s="74">
        <v>0.7142857142857143</v>
      </c>
      <c r="AD8" s="71" t="s">
        <v>191</v>
      </c>
      <c r="AE8" s="74">
        <v>0.35714285714285715</v>
      </c>
      <c r="AF8" s="71" t="s">
        <v>161</v>
      </c>
      <c r="AG8" s="74">
        <v>0.41666666666666669</v>
      </c>
      <c r="AH8" s="71" t="s">
        <v>161</v>
      </c>
      <c r="AI8" s="78">
        <v>54900</v>
      </c>
    </row>
    <row r="9" spans="1:35">
      <c r="A9" s="68">
        <v>7</v>
      </c>
      <c r="B9" s="69" t="s">
        <v>195</v>
      </c>
      <c r="C9" s="133">
        <v>10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179</v>
      </c>
      <c r="I9" s="72">
        <v>2.4375</v>
      </c>
      <c r="J9" s="71" t="s">
        <v>114</v>
      </c>
      <c r="K9" s="73">
        <v>0.25714285714285712</v>
      </c>
      <c r="L9" s="71" t="s">
        <v>162</v>
      </c>
      <c r="M9" s="73">
        <v>0.16666666666666666</v>
      </c>
      <c r="N9" s="71" t="s">
        <v>168</v>
      </c>
      <c r="O9" s="73">
        <v>0.55555555555555558</v>
      </c>
      <c r="P9" s="71" t="s">
        <v>177</v>
      </c>
      <c r="Q9" s="74">
        <v>0.21052631578947367</v>
      </c>
      <c r="R9" s="71" t="s">
        <v>205</v>
      </c>
      <c r="S9" s="74">
        <v>0.10714285714285714</v>
      </c>
      <c r="T9" s="71" t="s">
        <v>191</v>
      </c>
      <c r="U9" s="75">
        <v>6733.333333333333</v>
      </c>
      <c r="V9" s="71" t="s">
        <v>202</v>
      </c>
      <c r="W9" s="75">
        <v>-4800</v>
      </c>
      <c r="X9" s="71" t="s">
        <v>177</v>
      </c>
      <c r="Y9" s="74">
        <v>0.21052631578947367</v>
      </c>
      <c r="Z9" s="71" t="s">
        <v>196</v>
      </c>
      <c r="AA9" s="74">
        <v>0.25</v>
      </c>
      <c r="AB9" s="71" t="s">
        <v>162</v>
      </c>
      <c r="AC9" s="74">
        <v>0.69230769230769229</v>
      </c>
      <c r="AD9" s="71" t="s">
        <v>161</v>
      </c>
      <c r="AE9" s="74">
        <v>0.35714285714285715</v>
      </c>
      <c r="AF9" s="71" t="s">
        <v>205</v>
      </c>
      <c r="AG9" s="74">
        <v>0.41666666666666669</v>
      </c>
      <c r="AH9" s="71" t="s">
        <v>179</v>
      </c>
      <c r="AI9" s="78">
        <v>53200</v>
      </c>
    </row>
    <row r="10" spans="1:35">
      <c r="A10" s="68">
        <v>8</v>
      </c>
      <c r="B10" s="69" t="s">
        <v>163</v>
      </c>
      <c r="C10" s="133">
        <v>8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164</v>
      </c>
      <c r="I10" s="72">
        <v>2.4666666666666668</v>
      </c>
      <c r="J10" s="71" t="s">
        <v>179</v>
      </c>
      <c r="K10" s="73">
        <v>0.25</v>
      </c>
      <c r="L10" s="71" t="s">
        <v>179</v>
      </c>
      <c r="M10" s="73">
        <v>0.1875</v>
      </c>
      <c r="N10" s="71" t="s">
        <v>179</v>
      </c>
      <c r="O10" s="73">
        <v>0.5</v>
      </c>
      <c r="P10" s="71" t="s">
        <v>114</v>
      </c>
      <c r="Q10" s="74">
        <v>0.20572916666666666</v>
      </c>
      <c r="R10" s="71" t="s">
        <v>166</v>
      </c>
      <c r="S10" s="74">
        <v>0.11428571428571428</v>
      </c>
      <c r="T10" s="71" t="s">
        <v>161</v>
      </c>
      <c r="U10" s="75">
        <v>6458.333333333333</v>
      </c>
      <c r="V10" s="71" t="s">
        <v>203</v>
      </c>
      <c r="W10" s="75">
        <v>-5080</v>
      </c>
      <c r="X10" s="71" t="s">
        <v>203</v>
      </c>
      <c r="Y10" s="74">
        <v>0.20930232558139536</v>
      </c>
      <c r="Z10" s="71" t="s">
        <v>191</v>
      </c>
      <c r="AA10" s="74">
        <v>0.24347826086956523</v>
      </c>
      <c r="AB10" s="71" t="s">
        <v>114</v>
      </c>
      <c r="AC10" s="74">
        <v>0.51658767772511849</v>
      </c>
      <c r="AD10" s="71" t="s">
        <v>114</v>
      </c>
      <c r="AE10" s="74">
        <v>0.33969465648854963</v>
      </c>
      <c r="AF10" s="71" t="s">
        <v>168</v>
      </c>
      <c r="AG10" s="74">
        <v>0.39534883720930231</v>
      </c>
      <c r="AH10" s="71" t="s">
        <v>191</v>
      </c>
      <c r="AI10" s="78">
        <v>52500</v>
      </c>
    </row>
    <row r="11" spans="1:35">
      <c r="A11" s="68">
        <v>9</v>
      </c>
      <c r="B11" s="69" t="s">
        <v>161</v>
      </c>
      <c r="C11" s="133">
        <v>7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114</v>
      </c>
      <c r="I11" s="72">
        <v>2.4857142857142858</v>
      </c>
      <c r="J11" s="71" t="s">
        <v>191</v>
      </c>
      <c r="K11" s="73">
        <v>0.21428571428571427</v>
      </c>
      <c r="L11" s="71" t="s">
        <v>195</v>
      </c>
      <c r="M11" s="73">
        <v>0.2</v>
      </c>
      <c r="N11" s="71" t="s">
        <v>114</v>
      </c>
      <c r="O11" s="73">
        <v>0.5</v>
      </c>
      <c r="P11" s="71" t="s">
        <v>169</v>
      </c>
      <c r="Q11" s="74">
        <v>0.20245398773006135</v>
      </c>
      <c r="R11" s="71" t="s">
        <v>163</v>
      </c>
      <c r="S11" s="74">
        <v>0.11594202898550725</v>
      </c>
      <c r="T11" s="71" t="s">
        <v>114</v>
      </c>
      <c r="U11" s="75">
        <v>6424.0506329113923</v>
      </c>
      <c r="V11" s="71" t="s">
        <v>164</v>
      </c>
      <c r="W11" s="75">
        <v>-5500</v>
      </c>
      <c r="X11" s="71" t="s">
        <v>163</v>
      </c>
      <c r="Y11" s="74">
        <v>0.20289855072463769</v>
      </c>
      <c r="Z11" s="71" t="s">
        <v>161</v>
      </c>
      <c r="AA11" s="74">
        <v>0.23333333333333334</v>
      </c>
      <c r="AB11" s="71" t="s">
        <v>195</v>
      </c>
      <c r="AC11" s="74">
        <v>0.5</v>
      </c>
      <c r="AD11" s="71" t="s">
        <v>177</v>
      </c>
      <c r="AE11" s="74">
        <v>0.33333333333333331</v>
      </c>
      <c r="AF11" s="71" t="s">
        <v>179</v>
      </c>
      <c r="AG11" s="74">
        <v>0.375</v>
      </c>
      <c r="AH11" s="71" t="s">
        <v>164</v>
      </c>
      <c r="AI11" s="78">
        <v>52000</v>
      </c>
    </row>
    <row r="12" spans="1:35">
      <c r="A12" s="68">
        <v>10</v>
      </c>
      <c r="B12" s="69" t="s">
        <v>162</v>
      </c>
      <c r="C12" s="133">
        <v>6</v>
      </c>
      <c r="D12" s="69" t="s">
        <v>175</v>
      </c>
      <c r="E12" s="70">
        <v>-2.2000000000000011</v>
      </c>
      <c r="F12" s="71" t="s">
        <v>114</v>
      </c>
      <c r="G12" s="83">
        <v>-0.21428571428571427</v>
      </c>
      <c r="H12" s="71" t="s">
        <v>163</v>
      </c>
      <c r="I12" s="72">
        <v>2.5</v>
      </c>
      <c r="J12" s="71" t="s">
        <v>164</v>
      </c>
      <c r="K12" s="73">
        <v>0.2</v>
      </c>
      <c r="L12" s="71" t="s">
        <v>114</v>
      </c>
      <c r="M12" s="73">
        <v>0.24285714285714285</v>
      </c>
      <c r="N12" s="71" t="s">
        <v>163</v>
      </c>
      <c r="O12" s="73">
        <v>0.5</v>
      </c>
      <c r="P12" s="71" t="s">
        <v>161</v>
      </c>
      <c r="Q12" s="74">
        <v>0.2</v>
      </c>
      <c r="R12" s="71" t="s">
        <v>162</v>
      </c>
      <c r="S12" s="74">
        <v>0.125</v>
      </c>
      <c r="T12" s="71" t="s">
        <v>203</v>
      </c>
      <c r="U12" s="75">
        <v>6275</v>
      </c>
      <c r="V12" s="71" t="s">
        <v>168</v>
      </c>
      <c r="W12" s="75">
        <v>-5835.7142857142853</v>
      </c>
      <c r="X12" s="71" t="s">
        <v>168</v>
      </c>
      <c r="Y12" s="74">
        <v>0.19718309859154928</v>
      </c>
      <c r="Z12" s="71" t="s">
        <v>114</v>
      </c>
      <c r="AA12" s="74">
        <v>0.22743055555555555</v>
      </c>
      <c r="AB12" s="71" t="s">
        <v>163</v>
      </c>
      <c r="AC12" s="74">
        <v>0.5</v>
      </c>
      <c r="AD12" s="71" t="s">
        <v>205</v>
      </c>
      <c r="AE12" s="74">
        <v>0.33333333333333331</v>
      </c>
      <c r="AF12" s="71" t="s">
        <v>114</v>
      </c>
      <c r="AG12" s="74">
        <v>0.35021097046413502</v>
      </c>
      <c r="AH12" s="71" t="s">
        <v>177</v>
      </c>
      <c r="AI12" s="78">
        <v>42500</v>
      </c>
    </row>
    <row r="13" spans="1:35">
      <c r="A13" s="68">
        <v>11</v>
      </c>
      <c r="B13" s="69" t="s">
        <v>203</v>
      </c>
      <c r="C13" s="133">
        <v>5</v>
      </c>
      <c r="D13" s="69" t="s">
        <v>196</v>
      </c>
      <c r="E13" s="70">
        <v>-27.1</v>
      </c>
      <c r="F13" s="71" t="s">
        <v>175</v>
      </c>
      <c r="G13" s="83">
        <v>-1.1000000000000005</v>
      </c>
      <c r="H13" s="71" t="s">
        <v>175</v>
      </c>
      <c r="I13" s="72">
        <v>2.5</v>
      </c>
      <c r="J13" s="71" t="s">
        <v>161</v>
      </c>
      <c r="K13" s="73">
        <v>0.14285714285714285</v>
      </c>
      <c r="L13" s="71" t="s">
        <v>164</v>
      </c>
      <c r="M13" s="73">
        <v>0.26666666666666666</v>
      </c>
      <c r="N13" s="71" t="s">
        <v>175</v>
      </c>
      <c r="O13" s="73">
        <v>0.5</v>
      </c>
      <c r="P13" s="71" t="s">
        <v>166</v>
      </c>
      <c r="Q13" s="74">
        <v>0.2</v>
      </c>
      <c r="R13" s="71" t="s">
        <v>191</v>
      </c>
      <c r="S13" s="74">
        <v>0.13043478260869565</v>
      </c>
      <c r="T13" s="71" t="s">
        <v>163</v>
      </c>
      <c r="U13" s="75">
        <v>5993.333333333333</v>
      </c>
      <c r="V13" s="71" t="s">
        <v>177</v>
      </c>
      <c r="W13" s="75">
        <v>-5950</v>
      </c>
      <c r="X13" s="71" t="s">
        <v>179</v>
      </c>
      <c r="Y13" s="74">
        <v>0.19083969465648856</v>
      </c>
      <c r="Z13" s="71" t="s">
        <v>195</v>
      </c>
      <c r="AA13" s="74">
        <v>0.21794871794871795</v>
      </c>
      <c r="AB13" s="71" t="s">
        <v>167</v>
      </c>
      <c r="AC13" s="74">
        <v>0.5</v>
      </c>
      <c r="AD13" s="71" t="s">
        <v>169</v>
      </c>
      <c r="AE13" s="74">
        <v>0.32142857142857145</v>
      </c>
      <c r="AF13" s="71" t="s">
        <v>175</v>
      </c>
      <c r="AG13" s="74">
        <v>0.33333333333333331</v>
      </c>
      <c r="AH13" s="71" t="s">
        <v>163</v>
      </c>
      <c r="AI13" s="78">
        <v>41700</v>
      </c>
    </row>
    <row r="14" spans="1:35">
      <c r="A14" s="68">
        <v>12</v>
      </c>
      <c r="B14" s="69" t="s">
        <v>166</v>
      </c>
      <c r="C14" s="133">
        <v>4</v>
      </c>
      <c r="D14" s="69" t="s">
        <v>114</v>
      </c>
      <c r="E14" s="70">
        <v>-30</v>
      </c>
      <c r="F14" s="71" t="s">
        <v>179</v>
      </c>
      <c r="G14" s="83">
        <v>-2.1625000000000001</v>
      </c>
      <c r="H14" s="71" t="s">
        <v>177</v>
      </c>
      <c r="I14" s="72">
        <v>2.5</v>
      </c>
      <c r="J14" s="71" t="s">
        <v>195</v>
      </c>
      <c r="K14" s="73">
        <v>0</v>
      </c>
      <c r="L14" s="71" t="s">
        <v>168</v>
      </c>
      <c r="M14" s="73">
        <v>0.27777777777777779</v>
      </c>
      <c r="N14" s="71" t="s">
        <v>177</v>
      </c>
      <c r="O14" s="73">
        <v>0.5</v>
      </c>
      <c r="P14" s="71" t="s">
        <v>175</v>
      </c>
      <c r="Q14" s="74">
        <v>0.2</v>
      </c>
      <c r="R14" s="71" t="s">
        <v>175</v>
      </c>
      <c r="S14" s="74">
        <v>0.13333333333333333</v>
      </c>
      <c r="T14" s="71" t="s">
        <v>168</v>
      </c>
      <c r="U14" s="75">
        <v>5988.3720930232557</v>
      </c>
      <c r="V14" s="71" t="s">
        <v>114</v>
      </c>
      <c r="W14" s="75">
        <v>-5957.7922077922076</v>
      </c>
      <c r="X14" s="71" t="s">
        <v>161</v>
      </c>
      <c r="Y14" s="74">
        <v>0.18333333333333332</v>
      </c>
      <c r="Z14" s="71" t="s">
        <v>205</v>
      </c>
      <c r="AA14" s="74">
        <v>0.21428571428571427</v>
      </c>
      <c r="AB14" s="71" t="s">
        <v>161</v>
      </c>
      <c r="AC14" s="74">
        <v>0.45454545454545453</v>
      </c>
      <c r="AD14" s="71" t="s">
        <v>163</v>
      </c>
      <c r="AE14" s="74">
        <v>0.31818181818181818</v>
      </c>
      <c r="AF14" s="71" t="s">
        <v>195</v>
      </c>
      <c r="AG14" s="74">
        <v>0.30769230769230771</v>
      </c>
      <c r="AH14" s="71" t="s">
        <v>167</v>
      </c>
      <c r="AI14" s="78">
        <v>34000</v>
      </c>
    </row>
    <row r="15" spans="1:35">
      <c r="A15" s="68">
        <v>13</v>
      </c>
      <c r="B15" s="69" t="s">
        <v>205</v>
      </c>
      <c r="C15" s="133">
        <v>4</v>
      </c>
      <c r="D15" s="69" t="s">
        <v>179</v>
      </c>
      <c r="E15" s="70">
        <v>-34.6</v>
      </c>
      <c r="F15" s="71" t="s">
        <v>161</v>
      </c>
      <c r="G15" s="83">
        <v>-10.314285714285713</v>
      </c>
      <c r="H15" s="71" t="s">
        <v>161</v>
      </c>
      <c r="I15" s="72">
        <v>2.7142857142857144</v>
      </c>
      <c r="J15" s="71" t="s">
        <v>166</v>
      </c>
      <c r="K15" s="73">
        <v>0</v>
      </c>
      <c r="L15" s="71" t="s">
        <v>161</v>
      </c>
      <c r="M15" s="73">
        <v>0.2857142857142857</v>
      </c>
      <c r="N15" s="71" t="s">
        <v>161</v>
      </c>
      <c r="O15" s="73">
        <v>0.42857142857142855</v>
      </c>
      <c r="P15" s="71" t="s">
        <v>191</v>
      </c>
      <c r="Q15" s="74">
        <v>0.18260869565217391</v>
      </c>
      <c r="R15" s="71" t="s">
        <v>199</v>
      </c>
      <c r="S15" s="74">
        <v>0.13333333333333333</v>
      </c>
      <c r="T15" s="71" t="s">
        <v>177</v>
      </c>
      <c r="U15" s="75">
        <v>5900</v>
      </c>
      <c r="V15" s="71" t="s">
        <v>195</v>
      </c>
      <c r="W15" s="75">
        <v>-6323.0769230769229</v>
      </c>
      <c r="X15" s="71" t="s">
        <v>114</v>
      </c>
      <c r="Y15" s="74">
        <v>0.18315972222222221</v>
      </c>
      <c r="Z15" s="71" t="s">
        <v>202</v>
      </c>
      <c r="AA15" s="74">
        <v>0.17647058823529413</v>
      </c>
      <c r="AB15" s="71" t="s">
        <v>179</v>
      </c>
      <c r="AC15" s="74">
        <v>0.4</v>
      </c>
      <c r="AD15" s="71" t="s">
        <v>195</v>
      </c>
      <c r="AE15" s="74">
        <v>0.29411764705882354</v>
      </c>
      <c r="AF15" s="71" t="s">
        <v>177</v>
      </c>
      <c r="AG15" s="74">
        <v>0.25</v>
      </c>
      <c r="AH15" s="71" t="s">
        <v>175</v>
      </c>
      <c r="AI15" s="78">
        <v>33600</v>
      </c>
    </row>
    <row r="16" spans="1:35">
      <c r="A16" s="68">
        <v>14</v>
      </c>
      <c r="B16" s="69" t="s">
        <v>208</v>
      </c>
      <c r="C16" s="133">
        <v>3</v>
      </c>
      <c r="D16" s="69" t="s">
        <v>180</v>
      </c>
      <c r="E16" s="70">
        <v>-52.6</v>
      </c>
      <c r="F16" s="71" t="s">
        <v>195</v>
      </c>
      <c r="G16" s="83">
        <v>-23.990000000000002</v>
      </c>
      <c r="H16" s="71" t="s">
        <v>195</v>
      </c>
      <c r="I16" s="72">
        <v>2.9</v>
      </c>
      <c r="J16" s="71" t="s">
        <v>167</v>
      </c>
      <c r="K16" s="73">
        <v>0</v>
      </c>
      <c r="L16" s="71" t="s">
        <v>163</v>
      </c>
      <c r="M16" s="73">
        <v>0.375</v>
      </c>
      <c r="N16" s="71" t="s">
        <v>195</v>
      </c>
      <c r="O16" s="73">
        <v>0.3</v>
      </c>
      <c r="P16" s="71" t="s">
        <v>195</v>
      </c>
      <c r="Q16" s="74">
        <v>0.16666666666666666</v>
      </c>
      <c r="R16" s="71" t="s">
        <v>114</v>
      </c>
      <c r="S16" s="74">
        <v>0.13368055555555555</v>
      </c>
      <c r="T16" s="71" t="s">
        <v>179</v>
      </c>
      <c r="U16" s="75">
        <v>4909.375</v>
      </c>
      <c r="V16" s="71" t="s">
        <v>208</v>
      </c>
      <c r="W16" s="75">
        <v>-6340</v>
      </c>
      <c r="X16" s="71" t="s">
        <v>195</v>
      </c>
      <c r="Y16" s="74">
        <v>0.17948717948717949</v>
      </c>
      <c r="Z16" s="71" t="s">
        <v>169</v>
      </c>
      <c r="AA16" s="74">
        <v>0.17177914110429449</v>
      </c>
      <c r="AB16" s="71" t="s">
        <v>191</v>
      </c>
      <c r="AC16" s="74">
        <v>0.33333333333333331</v>
      </c>
      <c r="AD16" s="71" t="s">
        <v>164</v>
      </c>
      <c r="AE16" s="74">
        <v>0.22580645161290322</v>
      </c>
      <c r="AF16" s="71" t="s">
        <v>169</v>
      </c>
      <c r="AG16" s="74">
        <v>0.24242424242424243</v>
      </c>
      <c r="AH16" s="71" t="s">
        <v>195</v>
      </c>
      <c r="AI16" s="78">
        <v>29100</v>
      </c>
    </row>
    <row r="17" spans="1:35">
      <c r="A17" s="68">
        <v>15</v>
      </c>
      <c r="B17" s="69" t="s">
        <v>175</v>
      </c>
      <c r="C17" s="133">
        <v>2</v>
      </c>
      <c r="D17" s="69" t="s">
        <v>161</v>
      </c>
      <c r="E17" s="70">
        <v>-72.199999999999989</v>
      </c>
      <c r="F17" s="71" t="s">
        <v>196</v>
      </c>
      <c r="G17" s="83">
        <v>-27.1</v>
      </c>
      <c r="H17" s="71" t="s">
        <v>196</v>
      </c>
      <c r="I17" s="72">
        <v>3</v>
      </c>
      <c r="J17" s="71" t="s">
        <v>175</v>
      </c>
      <c r="K17" s="73">
        <v>0</v>
      </c>
      <c r="L17" s="71" t="s">
        <v>203</v>
      </c>
      <c r="M17" s="73">
        <v>0.4</v>
      </c>
      <c r="N17" s="71" t="s">
        <v>166</v>
      </c>
      <c r="O17" s="73">
        <v>0.25</v>
      </c>
      <c r="P17" s="71" t="s">
        <v>164</v>
      </c>
      <c r="Q17" s="74">
        <v>0.16528925619834711</v>
      </c>
      <c r="R17" s="71" t="s">
        <v>195</v>
      </c>
      <c r="S17" s="74">
        <v>0.16666666666666666</v>
      </c>
      <c r="T17" s="71" t="s">
        <v>195</v>
      </c>
      <c r="U17" s="75">
        <v>3830.7692307692309</v>
      </c>
      <c r="V17" s="71" t="s">
        <v>180</v>
      </c>
      <c r="W17" s="75">
        <v>-6600</v>
      </c>
      <c r="X17" s="71" t="s">
        <v>169</v>
      </c>
      <c r="Y17" s="74">
        <v>0.15337423312883436</v>
      </c>
      <c r="Z17" s="71" t="s">
        <v>166</v>
      </c>
      <c r="AA17" s="74">
        <v>0.17142857142857143</v>
      </c>
      <c r="AB17" s="71" t="s">
        <v>203</v>
      </c>
      <c r="AC17" s="74">
        <v>0.33333333333333331</v>
      </c>
      <c r="AD17" s="71" t="s">
        <v>203</v>
      </c>
      <c r="AE17" s="74">
        <v>0.16666666666666666</v>
      </c>
      <c r="AF17" s="71" t="s">
        <v>164</v>
      </c>
      <c r="AG17" s="74">
        <v>0.2</v>
      </c>
      <c r="AH17" s="71" t="s">
        <v>203</v>
      </c>
      <c r="AI17" s="78">
        <v>25000</v>
      </c>
    </row>
    <row r="18" spans="1:35">
      <c r="A18" s="68">
        <v>16</v>
      </c>
      <c r="B18" s="69" t="s">
        <v>177</v>
      </c>
      <c r="C18" s="133">
        <v>2</v>
      </c>
      <c r="D18" s="69" t="s">
        <v>199</v>
      </c>
      <c r="E18" s="70">
        <v>-97.4</v>
      </c>
      <c r="F18" s="71" t="s">
        <v>166</v>
      </c>
      <c r="G18" s="83">
        <v>-31.999999999999996</v>
      </c>
      <c r="H18" s="71" t="s">
        <v>166</v>
      </c>
      <c r="I18" s="72">
        <v>3.25</v>
      </c>
      <c r="J18" s="71" t="s">
        <v>180</v>
      </c>
      <c r="K18" s="73">
        <v>0</v>
      </c>
      <c r="L18" s="71" t="s">
        <v>166</v>
      </c>
      <c r="M18" s="73">
        <v>0.5</v>
      </c>
      <c r="N18" s="71" t="s">
        <v>180</v>
      </c>
      <c r="O18" s="73">
        <v>0</v>
      </c>
      <c r="P18" s="71" t="s">
        <v>196</v>
      </c>
      <c r="Q18" s="74">
        <v>0.125</v>
      </c>
      <c r="R18" s="71" t="s">
        <v>161</v>
      </c>
      <c r="S18" s="74">
        <v>0.16666666666666666</v>
      </c>
      <c r="T18" s="71" t="s">
        <v>166</v>
      </c>
      <c r="U18" s="75">
        <v>2928.5714285714284</v>
      </c>
      <c r="V18" s="71" t="s">
        <v>163</v>
      </c>
      <c r="W18" s="75">
        <v>-7212.5</v>
      </c>
      <c r="X18" s="71" t="s">
        <v>180</v>
      </c>
      <c r="Y18" s="74">
        <v>0.14285714285714285</v>
      </c>
      <c r="Z18" s="71" t="s">
        <v>177</v>
      </c>
      <c r="AA18" s="74">
        <v>0.15789473684210525</v>
      </c>
      <c r="AB18" s="71" t="s">
        <v>164</v>
      </c>
      <c r="AC18" s="74">
        <v>0.3125</v>
      </c>
      <c r="AD18" s="71" t="s">
        <v>167</v>
      </c>
      <c r="AE18" s="74">
        <v>0</v>
      </c>
      <c r="AF18" s="71" t="s">
        <v>191</v>
      </c>
      <c r="AG18" s="74">
        <v>0.14285714285714285</v>
      </c>
      <c r="AH18" s="71" t="s">
        <v>166</v>
      </c>
      <c r="AI18" s="78">
        <v>23700</v>
      </c>
    </row>
    <row r="19" spans="1:35">
      <c r="A19" s="68">
        <v>17</v>
      </c>
      <c r="B19" s="69" t="s">
        <v>199</v>
      </c>
      <c r="C19" s="133">
        <v>2</v>
      </c>
      <c r="D19" s="69" t="s">
        <v>202</v>
      </c>
      <c r="E19" s="70">
        <v>-105.9</v>
      </c>
      <c r="F19" s="71" t="s">
        <v>203</v>
      </c>
      <c r="G19" s="83">
        <v>-32.279999999999994</v>
      </c>
      <c r="H19" s="71" t="s">
        <v>203</v>
      </c>
      <c r="I19" s="72">
        <v>3.4</v>
      </c>
      <c r="J19" s="71" t="s">
        <v>199</v>
      </c>
      <c r="K19" s="73">
        <v>0</v>
      </c>
      <c r="L19" s="71" t="s">
        <v>177</v>
      </c>
      <c r="M19" s="73">
        <v>0.5</v>
      </c>
      <c r="N19" s="71" t="s">
        <v>199</v>
      </c>
      <c r="O19" s="73">
        <v>0</v>
      </c>
      <c r="P19" s="71" t="s">
        <v>203</v>
      </c>
      <c r="Q19" s="74">
        <v>9.3023255813953487E-2</v>
      </c>
      <c r="R19" s="71" t="s">
        <v>202</v>
      </c>
      <c r="S19" s="74">
        <v>0.17647058823529413</v>
      </c>
      <c r="T19" s="71" t="s">
        <v>202</v>
      </c>
      <c r="U19" s="75">
        <v>1300</v>
      </c>
      <c r="V19" s="71" t="s">
        <v>161</v>
      </c>
      <c r="W19" s="75">
        <v>-7220</v>
      </c>
      <c r="X19" s="71" t="s">
        <v>202</v>
      </c>
      <c r="Y19" s="74">
        <v>0.11764705882352941</v>
      </c>
      <c r="Z19" s="71" t="s">
        <v>162</v>
      </c>
      <c r="AA19" s="74">
        <v>0.14285714285714285</v>
      </c>
      <c r="AB19" s="71" t="s">
        <v>180</v>
      </c>
      <c r="AC19" s="74">
        <v>0</v>
      </c>
      <c r="AD19" s="71" t="s">
        <v>175</v>
      </c>
      <c r="AE19" s="74">
        <v>0</v>
      </c>
      <c r="AF19" s="71" t="s">
        <v>180</v>
      </c>
      <c r="AG19" s="74">
        <v>0</v>
      </c>
      <c r="AH19" s="71" t="s">
        <v>199</v>
      </c>
      <c r="AI19" s="78">
        <v>14100</v>
      </c>
    </row>
    <row r="20" spans="1:35">
      <c r="A20" s="68">
        <v>18</v>
      </c>
      <c r="B20" s="69" t="s">
        <v>202</v>
      </c>
      <c r="C20" s="133">
        <v>2</v>
      </c>
      <c r="D20" s="69" t="s">
        <v>166</v>
      </c>
      <c r="E20" s="70">
        <v>-127.99999999999999</v>
      </c>
      <c r="F20" s="71" t="s">
        <v>208</v>
      </c>
      <c r="G20" s="83">
        <v>-44.233333333333327</v>
      </c>
      <c r="H20" s="71" t="s">
        <v>208</v>
      </c>
      <c r="I20" s="72">
        <v>3.6666666666666665</v>
      </c>
      <c r="J20" s="71" t="s">
        <v>196</v>
      </c>
      <c r="K20" s="73">
        <v>0</v>
      </c>
      <c r="L20" s="71" t="s">
        <v>208</v>
      </c>
      <c r="M20" s="73">
        <v>0.66666666666666663</v>
      </c>
      <c r="N20" s="71" t="s">
        <v>196</v>
      </c>
      <c r="O20" s="73">
        <v>0</v>
      </c>
      <c r="P20" s="71" t="s">
        <v>202</v>
      </c>
      <c r="Q20" s="74">
        <v>5.8823529411764705E-2</v>
      </c>
      <c r="R20" s="71" t="s">
        <v>168</v>
      </c>
      <c r="S20" s="74">
        <v>0.19718309859154928</v>
      </c>
      <c r="T20" s="71" t="s">
        <v>196</v>
      </c>
      <c r="U20" s="75">
        <v>1000</v>
      </c>
      <c r="V20" s="71" t="s">
        <v>179</v>
      </c>
      <c r="W20" s="75">
        <v>-8157.1428571428569</v>
      </c>
      <c r="X20" s="71" t="s">
        <v>166</v>
      </c>
      <c r="Y20" s="74">
        <v>0.11428571428571428</v>
      </c>
      <c r="Z20" s="71" t="s">
        <v>167</v>
      </c>
      <c r="AA20" s="74">
        <v>0.14285714285714285</v>
      </c>
      <c r="AB20" s="71" t="s">
        <v>199</v>
      </c>
      <c r="AC20" s="74">
        <v>0</v>
      </c>
      <c r="AD20" s="71" t="s">
        <v>180</v>
      </c>
      <c r="AE20" s="74">
        <v>0</v>
      </c>
      <c r="AF20" s="71" t="s">
        <v>199</v>
      </c>
      <c r="AG20" s="74">
        <v>0</v>
      </c>
      <c r="AH20" s="71" t="s">
        <v>202</v>
      </c>
      <c r="AI20" s="78">
        <v>13500</v>
      </c>
    </row>
    <row r="21" spans="1:35">
      <c r="A21" s="68">
        <v>19</v>
      </c>
      <c r="B21" s="69" t="s">
        <v>167</v>
      </c>
      <c r="C21" s="133">
        <v>1</v>
      </c>
      <c r="D21" s="69" t="s">
        <v>208</v>
      </c>
      <c r="E21" s="70">
        <v>-132.69999999999999</v>
      </c>
      <c r="F21" s="71" t="s">
        <v>199</v>
      </c>
      <c r="G21" s="83">
        <v>-48.7</v>
      </c>
      <c r="H21" s="71" t="s">
        <v>180</v>
      </c>
      <c r="I21" s="72">
        <v>4</v>
      </c>
      <c r="J21" s="71" t="s">
        <v>203</v>
      </c>
      <c r="K21" s="73">
        <v>0</v>
      </c>
      <c r="L21" s="71" t="s">
        <v>180</v>
      </c>
      <c r="M21" s="73">
        <v>1</v>
      </c>
      <c r="N21" s="71" t="s">
        <v>203</v>
      </c>
      <c r="O21" s="73">
        <v>0</v>
      </c>
      <c r="P21" s="71" t="s">
        <v>180</v>
      </c>
      <c r="Q21" s="74">
        <v>0</v>
      </c>
      <c r="R21" s="71" t="s">
        <v>208</v>
      </c>
      <c r="S21" s="74">
        <v>0.21739130434782608</v>
      </c>
      <c r="T21" s="71" t="s">
        <v>180</v>
      </c>
      <c r="U21" s="75">
        <v>0</v>
      </c>
      <c r="V21" s="71" t="s">
        <v>205</v>
      </c>
      <c r="W21" s="75">
        <v>-9466.6666666666661</v>
      </c>
      <c r="X21" s="71" t="s">
        <v>191</v>
      </c>
      <c r="Y21" s="74">
        <v>0.10434782608695652</v>
      </c>
      <c r="Z21" s="71" t="s">
        <v>203</v>
      </c>
      <c r="AA21" s="74">
        <v>0.13953488372093023</v>
      </c>
      <c r="AB21" s="71" t="s">
        <v>196</v>
      </c>
      <c r="AC21" s="74">
        <v>0</v>
      </c>
      <c r="AD21" s="71" t="s">
        <v>199</v>
      </c>
      <c r="AE21" s="74">
        <v>0</v>
      </c>
      <c r="AF21" s="71" t="s">
        <v>196</v>
      </c>
      <c r="AG21" s="74">
        <v>0</v>
      </c>
      <c r="AH21" s="71" t="s">
        <v>196</v>
      </c>
      <c r="AI21" s="78">
        <v>12900</v>
      </c>
    </row>
    <row r="22" spans="1:35">
      <c r="A22" s="68">
        <v>20</v>
      </c>
      <c r="B22" s="69" t="s">
        <v>180</v>
      </c>
      <c r="C22" s="133">
        <v>1</v>
      </c>
      <c r="D22" s="69" t="s">
        <v>203</v>
      </c>
      <c r="E22" s="70">
        <v>-161.39999999999998</v>
      </c>
      <c r="F22" s="71" t="s">
        <v>180</v>
      </c>
      <c r="G22" s="83">
        <v>-52.6</v>
      </c>
      <c r="H22" s="71" t="s">
        <v>199</v>
      </c>
      <c r="I22" s="72">
        <v>4</v>
      </c>
      <c r="J22" s="71" t="s">
        <v>202</v>
      </c>
      <c r="K22" s="73">
        <v>0</v>
      </c>
      <c r="L22" s="71" t="s">
        <v>199</v>
      </c>
      <c r="M22" s="73">
        <v>1</v>
      </c>
      <c r="N22" s="71" t="s">
        <v>202</v>
      </c>
      <c r="O22" s="73">
        <v>0</v>
      </c>
      <c r="P22" s="71" t="s">
        <v>199</v>
      </c>
      <c r="Q22" s="74">
        <v>0</v>
      </c>
      <c r="R22" s="71" t="s">
        <v>203</v>
      </c>
      <c r="S22" s="74">
        <v>0.23255813953488372</v>
      </c>
      <c r="T22" s="71" t="s">
        <v>199</v>
      </c>
      <c r="U22" s="75">
        <v>0</v>
      </c>
      <c r="V22" s="71" t="s">
        <v>199</v>
      </c>
      <c r="W22" s="75">
        <v>-10000</v>
      </c>
      <c r="X22" s="71" t="s">
        <v>199</v>
      </c>
      <c r="Y22" s="74">
        <v>6.6666666666666666E-2</v>
      </c>
      <c r="Z22" s="71" t="s">
        <v>175</v>
      </c>
      <c r="AA22" s="74">
        <v>0</v>
      </c>
      <c r="AB22" s="71" t="s">
        <v>202</v>
      </c>
      <c r="AC22" s="74">
        <v>0</v>
      </c>
      <c r="AD22" s="71" t="s">
        <v>202</v>
      </c>
      <c r="AE22" s="74">
        <v>0</v>
      </c>
      <c r="AF22" s="71" t="s">
        <v>202</v>
      </c>
      <c r="AG22" s="74">
        <v>0</v>
      </c>
      <c r="AH22" s="71" t="s">
        <v>208</v>
      </c>
      <c r="AI22" s="78">
        <v>10700</v>
      </c>
    </row>
    <row r="23" spans="1:35">
      <c r="A23" s="68">
        <v>21</v>
      </c>
      <c r="B23" s="69" t="s">
        <v>196</v>
      </c>
      <c r="C23" s="133">
        <v>1</v>
      </c>
      <c r="D23" s="69" t="s">
        <v>195</v>
      </c>
      <c r="E23" s="70">
        <v>-239.90000000000003</v>
      </c>
      <c r="F23" s="71" t="s">
        <v>202</v>
      </c>
      <c r="G23" s="83">
        <v>-52.95</v>
      </c>
      <c r="H23" s="71" t="s">
        <v>202</v>
      </c>
      <c r="I23" s="72">
        <v>4</v>
      </c>
      <c r="J23" s="71" t="s">
        <v>208</v>
      </c>
      <c r="K23" s="73">
        <v>0</v>
      </c>
      <c r="L23" s="71" t="s">
        <v>202</v>
      </c>
      <c r="M23" s="73">
        <v>1</v>
      </c>
      <c r="N23" s="71" t="s">
        <v>208</v>
      </c>
      <c r="O23" s="73">
        <v>0</v>
      </c>
      <c r="P23" s="71" t="s">
        <v>208</v>
      </c>
      <c r="Q23" s="74">
        <v>0</v>
      </c>
      <c r="R23" s="71" t="s">
        <v>180</v>
      </c>
      <c r="S23" s="74">
        <v>0.2857142857142857</v>
      </c>
      <c r="T23" s="71" t="s">
        <v>208</v>
      </c>
      <c r="U23" s="75">
        <v>0</v>
      </c>
      <c r="V23" s="71" t="s">
        <v>166</v>
      </c>
      <c r="W23" s="75">
        <v>-11400</v>
      </c>
      <c r="X23" s="71" t="s">
        <v>208</v>
      </c>
      <c r="Y23" s="74">
        <v>4.3478260869565216E-2</v>
      </c>
      <c r="Z23" s="71" t="s">
        <v>208</v>
      </c>
      <c r="AA23" s="74">
        <v>0</v>
      </c>
      <c r="AB23" s="71" t="s">
        <v>208</v>
      </c>
      <c r="AC23" s="74">
        <v>0</v>
      </c>
      <c r="AD23" s="71" t="s">
        <v>208</v>
      </c>
      <c r="AE23" s="74">
        <v>0</v>
      </c>
      <c r="AF23" s="71" t="s">
        <v>208</v>
      </c>
      <c r="AG23" s="74">
        <v>0</v>
      </c>
      <c r="AH23" s="71" t="s">
        <v>180</v>
      </c>
      <c r="AI23" s="78">
        <v>7400</v>
      </c>
    </row>
  </sheetData>
  <sortState xmlns:xlrd2="http://schemas.microsoft.com/office/spreadsheetml/2017/richdata2" ref="AH3:AI6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ADA0A-1A4A-49C0-B65D-54AA0B2C7FE8}">
  <sheetPr codeName="Sheet4"/>
  <dimension ref="A1:Q142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114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140</v>
      </c>
      <c r="C2" s="151"/>
      <c r="E2" s="54" t="s">
        <v>54</v>
      </c>
      <c r="F2" s="51" t="s">
        <v>20</v>
      </c>
      <c r="G2" s="39">
        <v>140</v>
      </c>
      <c r="H2" s="117">
        <f>IF(B$17=0,0,G2/B$17)</f>
        <v>0.59071729957805907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-21.428571428571427</v>
      </c>
      <c r="P2" s="103">
        <v>140</v>
      </c>
      <c r="Q2" s="87">
        <v>-3000</v>
      </c>
    </row>
    <row r="3" spans="1:17">
      <c r="A3" s="47" t="s">
        <v>8</v>
      </c>
      <c r="B3" s="152">
        <v>1152</v>
      </c>
      <c r="C3" s="153"/>
      <c r="E3" s="55" t="s">
        <v>184</v>
      </c>
      <c r="F3" s="52" t="s">
        <v>187</v>
      </c>
      <c r="G3" s="40">
        <v>112</v>
      </c>
      <c r="H3" s="118">
        <f>IF(B$17=0,0,G3/B$17)</f>
        <v>0.47257383966244726</v>
      </c>
      <c r="I3" s="80">
        <v>8</v>
      </c>
      <c r="K3" s="32">
        <v>1</v>
      </c>
      <c r="L3" s="85">
        <v>11.9</v>
      </c>
      <c r="N3" s="100" t="s">
        <v>104</v>
      </c>
      <c r="O3" s="107">
        <f t="shared" si="0"/>
        <v>-7.1428571428571432</v>
      </c>
      <c r="P3" s="104">
        <v>140</v>
      </c>
      <c r="Q3" s="88">
        <v>-1000</v>
      </c>
    </row>
    <row r="4" spans="1:17">
      <c r="A4" s="47" t="s">
        <v>6</v>
      </c>
      <c r="B4" s="154">
        <v>-30</v>
      </c>
      <c r="C4" s="155"/>
      <c r="E4" s="55" t="s">
        <v>181</v>
      </c>
      <c r="F4" s="52" t="s">
        <v>156</v>
      </c>
      <c r="G4" s="40">
        <v>107</v>
      </c>
      <c r="H4" s="118">
        <f>IF(B$17=0,0,G4/B$17)</f>
        <v>0.45147679324894513</v>
      </c>
      <c r="I4" s="80">
        <v>11</v>
      </c>
      <c r="K4" s="32">
        <v>2</v>
      </c>
      <c r="L4" s="85">
        <v>86.800000000000011</v>
      </c>
      <c r="N4" s="100" t="s">
        <v>105</v>
      </c>
      <c r="O4" s="107">
        <f t="shared" si="0"/>
        <v>-57.142857142857146</v>
      </c>
      <c r="P4" s="104">
        <v>140</v>
      </c>
      <c r="Q4" s="88">
        <v>-8000</v>
      </c>
    </row>
    <row r="5" spans="1:17">
      <c r="A5" s="47" t="s">
        <v>7</v>
      </c>
      <c r="B5" s="156">
        <f>IF(B$2=0,0,B$4/B$2)</f>
        <v>-0.21428571428571427</v>
      </c>
      <c r="C5" s="157"/>
      <c r="E5" s="55" t="s">
        <v>60</v>
      </c>
      <c r="F5" s="52" t="s">
        <v>24</v>
      </c>
      <c r="G5" s="40">
        <v>95</v>
      </c>
      <c r="H5" s="118">
        <f>IF(B$17=0,0,G5/B$17)</f>
        <v>0.40084388185654007</v>
      </c>
      <c r="I5" s="80">
        <v>9</v>
      </c>
      <c r="K5" s="32">
        <v>3</v>
      </c>
      <c r="L5" s="85">
        <v>25.100000000000009</v>
      </c>
      <c r="N5" s="100" t="s">
        <v>157</v>
      </c>
      <c r="O5" s="107">
        <f>IF(P5=0,0,Q5/P5)</f>
        <v>-30.303030303030305</v>
      </c>
      <c r="P5" s="104">
        <v>132</v>
      </c>
      <c r="Q5" s="88">
        <v>-4000</v>
      </c>
    </row>
    <row r="6" spans="1:17">
      <c r="A6" s="47" t="s">
        <v>1</v>
      </c>
      <c r="B6" s="158">
        <f>IF(B$2=0,0,(B$7*1+B$8*2+B$9*3+B$10*4)/B$2)</f>
        <v>2.4857142857142858</v>
      </c>
      <c r="C6" s="159"/>
      <c r="E6" s="55" t="s">
        <v>55</v>
      </c>
      <c r="F6" s="52" t="s">
        <v>155</v>
      </c>
      <c r="G6" s="40">
        <v>57</v>
      </c>
      <c r="H6" s="118">
        <f>IF(B$17=0,0,G6/B$17)</f>
        <v>0.24050632911392406</v>
      </c>
      <c r="I6" s="80">
        <v>10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25.862068965517242</v>
      </c>
      <c r="P6" s="104">
        <v>116</v>
      </c>
      <c r="Q6" s="88">
        <v>3000</v>
      </c>
    </row>
    <row r="7" spans="1:17">
      <c r="A7" s="47" t="s">
        <v>2</v>
      </c>
      <c r="B7" s="40">
        <v>36</v>
      </c>
      <c r="C7" s="33">
        <f t="shared" ref="C7:C12" si="2">IF(B$2=0,0,B7/B$2)</f>
        <v>0.25714285714285712</v>
      </c>
      <c r="E7" s="55" t="s">
        <v>56</v>
      </c>
      <c r="F7" s="52" t="s">
        <v>185</v>
      </c>
      <c r="G7" s="40">
        <v>56</v>
      </c>
      <c r="H7" s="118">
        <f>IF(B$17=0,0,G7/B$17)</f>
        <v>0.23628691983122363</v>
      </c>
      <c r="I7" s="80">
        <v>10</v>
      </c>
      <c r="K7" s="32">
        <v>5</v>
      </c>
      <c r="L7" s="85">
        <v>-14.199999999999992</v>
      </c>
      <c r="N7" s="100" t="s">
        <v>107</v>
      </c>
      <c r="O7" s="107">
        <f t="shared" si="0"/>
        <v>-90.909090909090907</v>
      </c>
      <c r="P7" s="104">
        <v>88</v>
      </c>
      <c r="Q7" s="88">
        <v>-8000</v>
      </c>
    </row>
    <row r="8" spans="1:17">
      <c r="A8" s="47" t="s">
        <v>3</v>
      </c>
      <c r="B8" s="40">
        <v>34</v>
      </c>
      <c r="C8" s="33">
        <f>IF(B$2=0,0,B8/B$2)</f>
        <v>0.24285714285714285</v>
      </c>
      <c r="E8" s="55" t="s">
        <v>57</v>
      </c>
      <c r="F8" s="52" t="s">
        <v>21</v>
      </c>
      <c r="G8" s="40">
        <v>56</v>
      </c>
      <c r="H8" s="118">
        <f>IF(B$17=0,0,G8/B$17)</f>
        <v>0.23628691983122363</v>
      </c>
      <c r="I8" s="80">
        <v>12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68</v>
      </c>
      <c r="Q8" s="88">
        <v>0</v>
      </c>
    </row>
    <row r="9" spans="1:17">
      <c r="A9" s="48" t="s">
        <v>4</v>
      </c>
      <c r="B9" s="41">
        <v>36</v>
      </c>
      <c r="C9" s="34">
        <f>IF(B$2=0,0,B9/B$2)</f>
        <v>0.25714285714285712</v>
      </c>
      <c r="E9" s="55" t="s">
        <v>59</v>
      </c>
      <c r="F9" s="52" t="s">
        <v>23</v>
      </c>
      <c r="G9" s="40">
        <v>41</v>
      </c>
      <c r="H9" s="118">
        <f>IF(B$17=0,0,G9/B$17)</f>
        <v>0.1729957805907173</v>
      </c>
      <c r="I9" s="80">
        <v>9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34</v>
      </c>
      <c r="C10" s="34">
        <f>IF(B$2=0,0,B10/B$2)</f>
        <v>0.24285714285714285</v>
      </c>
      <c r="E10" s="55" t="s">
        <v>182</v>
      </c>
      <c r="F10" s="52" t="s">
        <v>19</v>
      </c>
      <c r="G10" s="40">
        <v>26</v>
      </c>
      <c r="H10" s="118">
        <f>IF(B$17=0,0,G10/B$17)</f>
        <v>0.10970464135021098</v>
      </c>
      <c r="I10" s="80">
        <v>8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70</v>
      </c>
      <c r="C11" s="34">
        <f>IF(B$2=0,0,B11/B$2)</f>
        <v>0.5</v>
      </c>
      <c r="E11" s="55" t="s">
        <v>58</v>
      </c>
      <c r="F11" s="52" t="s">
        <v>22</v>
      </c>
      <c r="G11" s="40">
        <v>15</v>
      </c>
      <c r="H11" s="118">
        <f>IF(B$17=0,0,G11/B$17)</f>
        <v>6.3291139240506333E-2</v>
      </c>
      <c r="I11" s="80">
        <v>7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8</v>
      </c>
      <c r="C12" s="36">
        <f t="shared" si="2"/>
        <v>5.7142857142857141E-2</v>
      </c>
      <c r="E12" s="55" t="s">
        <v>71</v>
      </c>
      <c r="F12" s="52" t="s">
        <v>35</v>
      </c>
      <c r="G12" s="40">
        <v>10</v>
      </c>
      <c r="H12" s="118">
        <f>IF(B$17=0,0,G12/B$17)</f>
        <v>4.2194092827004218E-2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-10.140000000000002</v>
      </c>
      <c r="P12" s="103">
        <v>35</v>
      </c>
      <c r="Q12" s="91">
        <v>-354.90000000000009</v>
      </c>
    </row>
    <row r="13" spans="1:17">
      <c r="A13" s="50" t="s">
        <v>97</v>
      </c>
      <c r="B13" s="43">
        <v>211</v>
      </c>
      <c r="C13" s="38">
        <f>IF(B$3=0,0,B13/B$3)</f>
        <v>0.18315972222222221</v>
      </c>
      <c r="E13" s="55" t="s">
        <v>183</v>
      </c>
      <c r="F13" s="52" t="s">
        <v>186</v>
      </c>
      <c r="G13" s="40">
        <v>9</v>
      </c>
      <c r="H13" s="118">
        <f>IF(B$17=0,0,G13/B$17)</f>
        <v>3.7974683544303799E-2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10.885714285714283</v>
      </c>
      <c r="P13" s="104">
        <v>35</v>
      </c>
      <c r="Q13" s="92">
        <v>380.99999999999989</v>
      </c>
    </row>
    <row r="14" spans="1:17">
      <c r="A14" s="47" t="s">
        <v>94</v>
      </c>
      <c r="B14" s="40">
        <v>262</v>
      </c>
      <c r="C14" s="33">
        <f>IF(B$3=0,0,B14/B$3)</f>
        <v>0.22743055555555555</v>
      </c>
      <c r="E14" s="55" t="s">
        <v>67</v>
      </c>
      <c r="F14" s="52" t="s">
        <v>31</v>
      </c>
      <c r="G14" s="40">
        <v>6</v>
      </c>
      <c r="H14" s="118">
        <f>IF(B$17=0,0,G14/B$17)</f>
        <v>2.5316455696202531E-2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-1.422857142857139</v>
      </c>
      <c r="P14" s="104">
        <v>35</v>
      </c>
      <c r="Q14" s="92">
        <v>-49.799999999999869</v>
      </c>
    </row>
    <row r="15" spans="1:17">
      <c r="A15" s="46" t="s">
        <v>99</v>
      </c>
      <c r="B15" s="39">
        <f>B21</f>
        <v>109</v>
      </c>
      <c r="C15" s="31">
        <f>IF(B$13=0,0,B15/B$13)</f>
        <v>0.51658767772511849</v>
      </c>
      <c r="E15" s="55" t="s">
        <v>77</v>
      </c>
      <c r="F15" s="52" t="s">
        <v>41</v>
      </c>
      <c r="G15" s="40">
        <v>5</v>
      </c>
      <c r="H15" s="118">
        <f>IF(B$17=0,0,G15/B$17)</f>
        <v>2.1097046413502109E-2</v>
      </c>
      <c r="I15" s="80">
        <v>5</v>
      </c>
      <c r="K15" s="32">
        <v>13</v>
      </c>
      <c r="L15" s="85">
        <v>62.500000000000007</v>
      </c>
      <c r="N15" s="101" t="s">
        <v>159</v>
      </c>
      <c r="O15" s="111">
        <f>IF(P15=0,0,Q15/P15)</f>
        <v>-0.17999999999999952</v>
      </c>
      <c r="P15" s="105">
        <v>35</v>
      </c>
      <c r="Q15" s="93">
        <v>-6.2999999999999829</v>
      </c>
    </row>
    <row r="16" spans="1:17">
      <c r="A16" s="46" t="s">
        <v>100</v>
      </c>
      <c r="B16" s="39">
        <f>B22</f>
        <v>89</v>
      </c>
      <c r="C16" s="31">
        <f>IF(B$14=0,0,B16/B$14)</f>
        <v>0.33969465648854963</v>
      </c>
      <c r="E16" s="55" t="s">
        <v>74</v>
      </c>
      <c r="F16" s="52" t="s">
        <v>38</v>
      </c>
      <c r="G16" s="40">
        <v>4</v>
      </c>
      <c r="H16" s="118">
        <f>IF(B$17=0,0,G16/B$17)</f>
        <v>1.6877637130801686E-2</v>
      </c>
      <c r="I16" s="80">
        <v>5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237</v>
      </c>
      <c r="C17" s="31">
        <f>IF(B$3=0,0,B17/B$3)</f>
        <v>0.20572916666666666</v>
      </c>
      <c r="E17" s="55" t="s">
        <v>62</v>
      </c>
      <c r="F17" s="52" t="s">
        <v>26</v>
      </c>
      <c r="G17" s="40">
        <v>2</v>
      </c>
      <c r="H17" s="118">
        <f>IF(B$17=0,0,G17/B$17)</f>
        <v>8.4388185654008432E-3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154</v>
      </c>
      <c r="C18" s="33">
        <f>IF(B$3=0,0,B18/B$3)</f>
        <v>0.13368055555555555</v>
      </c>
      <c r="E18" s="55" t="s">
        <v>69</v>
      </c>
      <c r="F18" s="52" t="s">
        <v>33</v>
      </c>
      <c r="G18" s="40">
        <v>2</v>
      </c>
      <c r="H18" s="118">
        <f>IF(B$17=0,0,G18/B$17)</f>
        <v>8.4388185654008432E-3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83</v>
      </c>
      <c r="C19" s="33">
        <f>IF(B$17=0,0,B19/B$17)</f>
        <v>0.35021097046413502</v>
      </c>
      <c r="E19" s="55" t="s">
        <v>72</v>
      </c>
      <c r="F19" s="52" t="s">
        <v>36</v>
      </c>
      <c r="G19" s="40">
        <v>2</v>
      </c>
      <c r="H19" s="118">
        <f>IF(B$17=0,0,G19/B$17)</f>
        <v>8.4388185654008432E-3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154</v>
      </c>
      <c r="C20" s="33">
        <f>IF(B$17=0,0,B20/B$17)</f>
        <v>0.64978902953586493</v>
      </c>
      <c r="E20" s="55" t="s">
        <v>75</v>
      </c>
      <c r="F20" s="52" t="s">
        <v>39</v>
      </c>
      <c r="G20" s="40">
        <v>2</v>
      </c>
      <c r="H20" s="118">
        <f>IF(B$17=0,0,G20/B$17)</f>
        <v>8.4388185654008432E-3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109</v>
      </c>
      <c r="C21" s="33">
        <f>IF(B$17=0,0,B21/B$17)</f>
        <v>0.45991561181434598</v>
      </c>
      <c r="E21" s="55" t="s">
        <v>78</v>
      </c>
      <c r="F21" s="52" t="s">
        <v>42</v>
      </c>
      <c r="G21" s="40">
        <v>2</v>
      </c>
      <c r="H21" s="118">
        <f>IF(B$17=0,0,G21/B$17)</f>
        <v>8.4388185654008432E-3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89</v>
      </c>
      <c r="C22" s="33">
        <f>IF(B$17=0,0,B22/B$17)</f>
        <v>0.37552742616033757</v>
      </c>
      <c r="E22" s="55" t="s">
        <v>61</v>
      </c>
      <c r="F22" s="52" t="s">
        <v>25</v>
      </c>
      <c r="G22" s="40">
        <v>1</v>
      </c>
      <c r="H22" s="118">
        <f>IF(B$17=0,0,G22/B$17)</f>
        <v>4.2194092827004216E-3</v>
      </c>
      <c r="I22" s="80">
        <v>2</v>
      </c>
      <c r="K22" s="32">
        <v>20</v>
      </c>
      <c r="L22" s="85">
        <v>1.1546319456101628E-14</v>
      </c>
      <c r="N22" s="100" t="s">
        <v>203</v>
      </c>
      <c r="O22" s="110">
        <f>IF(P22=0,0,Q22/P22)</f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39</v>
      </c>
      <c r="C23" s="33">
        <f>IF(B$17=0,0,B23/B$17)</f>
        <v>0.16455696202531644</v>
      </c>
      <c r="E23" s="55" t="s">
        <v>66</v>
      </c>
      <c r="F23" s="52" t="s">
        <v>30</v>
      </c>
      <c r="G23" s="40">
        <v>1</v>
      </c>
      <c r="H23" s="118">
        <f>IF(B$17=0,0,G23/B$17)</f>
        <v>4.2194092827004216E-3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6424.0506329113923</v>
      </c>
      <c r="C24" s="35">
        <v>1522500</v>
      </c>
      <c r="E24" s="55" t="s">
        <v>76</v>
      </c>
      <c r="F24" s="52" t="s">
        <v>40</v>
      </c>
      <c r="G24" s="40">
        <v>1</v>
      </c>
      <c r="H24" s="118">
        <f>IF(B$17=0,0,G24/B$17)</f>
        <v>4.2194092827004216E-3</v>
      </c>
      <c r="I24" s="80">
        <v>2</v>
      </c>
      <c r="K24" s="32">
        <v>22</v>
      </c>
      <c r="L24" s="85">
        <v>-68.399999999999991</v>
      </c>
      <c r="N24" s="100" t="s">
        <v>196</v>
      </c>
      <c r="O24" s="110">
        <f>IF(P24=0,0,Q24/P24)</f>
        <v>36.133333333333333</v>
      </c>
      <c r="P24" s="104">
        <v>3</v>
      </c>
      <c r="Q24" s="92">
        <v>108.4</v>
      </c>
    </row>
    <row r="25" spans="1:17">
      <c r="A25" s="48" t="s">
        <v>133</v>
      </c>
      <c r="B25" s="121">
        <f>IF($B$17-B$16=0,0,C25/($B$17-B$16))</f>
        <v>7509.4594594594591</v>
      </c>
      <c r="C25" s="122">
        <v>1111400</v>
      </c>
      <c r="E25" s="55" t="s">
        <v>80</v>
      </c>
      <c r="F25" s="52" t="s">
        <v>44</v>
      </c>
      <c r="G25" s="40">
        <v>1</v>
      </c>
      <c r="H25" s="118">
        <f>IF(B$17=0,0,G25/B$17)</f>
        <v>4.2194092827004216E-3</v>
      </c>
      <c r="I25" s="80">
        <v>2</v>
      </c>
      <c r="K25" s="32">
        <v>23</v>
      </c>
      <c r="L25" s="85">
        <v>-13.199999999999989</v>
      </c>
      <c r="N25" s="100" t="s">
        <v>195</v>
      </c>
      <c r="O25" s="110">
        <f>IF(P25=0,0,Q25/P25)</f>
        <v>31.653333333333332</v>
      </c>
      <c r="P25" s="104">
        <v>30</v>
      </c>
      <c r="Q25" s="92">
        <v>949.6</v>
      </c>
    </row>
    <row r="26" spans="1:17">
      <c r="A26" s="48" t="s">
        <v>134</v>
      </c>
      <c r="B26" s="121">
        <f>IF(B$16=0,0,C26/B$16)</f>
        <v>4619.1011235955057</v>
      </c>
      <c r="C26" s="122">
        <v>411100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161</v>
      </c>
      <c r="O26" s="110">
        <f>IF(P26=0,0,Q26/P26)</f>
        <v>12.800000000000006</v>
      </c>
      <c r="P26" s="104">
        <v>21</v>
      </c>
      <c r="Q26" s="92">
        <v>268.80000000000013</v>
      </c>
    </row>
    <row r="27" spans="1:17">
      <c r="A27" s="48" t="s">
        <v>132</v>
      </c>
      <c r="B27" s="121">
        <f>IF(B$18=0,0,C27/B$18)</f>
        <v>-5957.7922077922076</v>
      </c>
      <c r="C27" s="122">
        <v>-917500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179</v>
      </c>
      <c r="O27" s="110">
        <f>IF(P27=0,0,Q27/P27)</f>
        <v>2.4666666666666663</v>
      </c>
      <c r="P27" s="104">
        <v>48</v>
      </c>
      <c r="Q27" s="92">
        <v>118.39999999999998</v>
      </c>
    </row>
    <row r="28" spans="1:17">
      <c r="A28" s="47" t="s">
        <v>130</v>
      </c>
      <c r="B28" s="40">
        <v>4</v>
      </c>
      <c r="C28" s="120">
        <v>2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175</v>
      </c>
      <c r="O28" s="110">
        <f>IF(P28=0,0,Q28/P28)</f>
        <v>1.4666666666666668</v>
      </c>
      <c r="P28" s="104">
        <v>6</v>
      </c>
      <c r="Q28" s="92">
        <v>8.8000000000000007</v>
      </c>
    </row>
    <row r="29" spans="1:17">
      <c r="A29" s="47" t="s">
        <v>131</v>
      </c>
      <c r="B29" s="40">
        <v>31</v>
      </c>
      <c r="C29" s="120">
        <v>15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164</v>
      </c>
      <c r="O29" s="110">
        <f>IF(P29=0,0,Q29/P29)</f>
        <v>-2.2222222222222197</v>
      </c>
      <c r="P29" s="104">
        <v>45</v>
      </c>
      <c r="Q29" s="92">
        <v>-99.999999999999886</v>
      </c>
    </row>
    <row r="30" spans="1:17">
      <c r="A30" s="76" t="s">
        <v>111</v>
      </c>
      <c r="B30" s="144">
        <v>5</v>
      </c>
      <c r="C30" s="145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177</v>
      </c>
      <c r="O30" s="110">
        <f>IF(P30=0,0,Q30/P30)</f>
        <v>-2.6</v>
      </c>
      <c r="P30" s="104">
        <v>6</v>
      </c>
      <c r="Q30" s="92">
        <v>-15.600000000000001</v>
      </c>
    </row>
    <row r="31" spans="1:17">
      <c r="A31" s="50" t="s">
        <v>148</v>
      </c>
      <c r="B31" s="146">
        <v>67800</v>
      </c>
      <c r="C31" s="147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163</v>
      </c>
      <c r="O31" s="110">
        <f>IF(P31=0,0,Q31/P31)</f>
        <v>-3.7999999999999949</v>
      </c>
      <c r="P31" s="104">
        <v>24</v>
      </c>
      <c r="Q31" s="92">
        <v>-91.199999999999875</v>
      </c>
    </row>
    <row r="32" spans="1:17">
      <c r="A32" s="49" t="s">
        <v>112</v>
      </c>
      <c r="B32" s="57">
        <v>3</v>
      </c>
      <c r="C32" s="36">
        <f>IF(B$3=0,0,B32/B$3)</f>
        <v>2.6041666666666665E-3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191</v>
      </c>
      <c r="O32" s="110">
        <f>IF(P32=0,0,Q32/P32)</f>
        <v>-7.5523809523809531</v>
      </c>
      <c r="P32" s="104">
        <v>42</v>
      </c>
      <c r="Q32" s="92">
        <v>-317.20000000000005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168</v>
      </c>
      <c r="O33" s="110">
        <f>IF(P33=0,0,Q33/P33)</f>
        <v>-11.807407407407409</v>
      </c>
      <c r="P33" s="104">
        <v>54</v>
      </c>
      <c r="Q33" s="92">
        <v>-637.6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167</v>
      </c>
      <c r="O34" s="110">
        <f>IF(P34=0,0,Q34/P34)</f>
        <v>-18.666666666666664</v>
      </c>
      <c r="P34" s="104">
        <v>3</v>
      </c>
      <c r="Q34" s="92">
        <v>-55.999999999999993</v>
      </c>
    </row>
    <row r="35" spans="1:17">
      <c r="A35" s="76" t="s">
        <v>139</v>
      </c>
      <c r="B35" s="136">
        <v>31</v>
      </c>
      <c r="C35" s="126">
        <f t="shared" ref="C35:C47" si="3">IF(B$17=0,0,B35/B$17)</f>
        <v>0.13080168776371309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169</v>
      </c>
      <c r="O35" s="110">
        <f>IF(P35=0,0,Q35/P35)</f>
        <v>-28.715789473684207</v>
      </c>
      <c r="P35" s="104">
        <v>57</v>
      </c>
      <c r="Q35" s="92">
        <v>-1636.7999999999997</v>
      </c>
    </row>
    <row r="36" spans="1:17">
      <c r="A36" s="47" t="s">
        <v>135</v>
      </c>
      <c r="B36" s="40">
        <v>48</v>
      </c>
      <c r="C36" s="33">
        <f t="shared" si="3"/>
        <v>0.20253164556962025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162</v>
      </c>
      <c r="O36" s="110">
        <f>IF(P36=0,0,Q36/P36)</f>
        <v>-40.399999999999991</v>
      </c>
      <c r="P36" s="104">
        <v>18</v>
      </c>
      <c r="Q36" s="92">
        <v>-727.19999999999982</v>
      </c>
    </row>
    <row r="37" spans="1:17">
      <c r="A37" s="47" t="s">
        <v>136</v>
      </c>
      <c r="B37" s="137">
        <v>58</v>
      </c>
      <c r="C37" s="33">
        <f t="shared" si="3"/>
        <v>0.24472573839662448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205</v>
      </c>
      <c r="O37" s="110">
        <f>IF(P37=0,0,Q37/P37)</f>
        <v>-47.866666666666667</v>
      </c>
      <c r="P37" s="104">
        <v>12</v>
      </c>
      <c r="Q37" s="92">
        <v>-574.4</v>
      </c>
    </row>
    <row r="38" spans="1:17">
      <c r="A38" s="47" t="s">
        <v>137</v>
      </c>
      <c r="B38" s="137">
        <v>42</v>
      </c>
      <c r="C38" s="33">
        <f t="shared" si="3"/>
        <v>0.17721518987341772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7">
      <c r="A39" s="47" t="s">
        <v>138</v>
      </c>
      <c r="B39" s="137">
        <v>21</v>
      </c>
      <c r="C39" s="33">
        <f t="shared" si="3"/>
        <v>8.8607594936708861E-2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7">
      <c r="A40" s="47" t="s">
        <v>140</v>
      </c>
      <c r="B40" s="137">
        <v>28</v>
      </c>
      <c r="C40" s="33">
        <f t="shared" si="3"/>
        <v>0.11814345991561181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7">
      <c r="A41" s="47" t="s">
        <v>141</v>
      </c>
      <c r="B41" s="137">
        <v>8</v>
      </c>
      <c r="C41" s="33">
        <f t="shared" si="3"/>
        <v>3.3755274261603373E-2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4.2194092827004216E-3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A8483-7818-42FA-A595-757B60E12267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164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15</v>
      </c>
      <c r="C2" s="151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52">
        <v>121</v>
      </c>
      <c r="C3" s="153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7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54">
        <v>22.499999999999993</v>
      </c>
      <c r="C4" s="155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9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56">
        <f>IF(B$2=0,0,B$4/B$2)</f>
        <v>1.4999999999999996</v>
      </c>
      <c r="C5" s="157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11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58">
        <f>IF(B$2=0,0,(B$7*1+B$8*2+B$9*3+B$10*4)/B$2)</f>
        <v>2.4666666666666668</v>
      </c>
      <c r="C6" s="159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7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5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4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13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4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>IF(P19=0,0,Q19/P19)</f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>IF(P20=0,0,Q20/P20)</f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195</v>
      </c>
      <c r="O21" s="110">
        <f>IF(P21=0,0,Q21/P21)</f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>IF(P23=0,0,Q23/P23)</f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>IF(P24=0,0,Q24/P24)</f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>IF(P25=0,0,Q25/P25)</f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>IF(P26=0,0,Q26/P26)</f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168</v>
      </c>
      <c r="O27" s="110">
        <f>IF(P27=0,0,Q27/P27)</f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>IF(P28=0,0,Q28/P28)</f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>IF(P29=0,0,Q29/P29)</f>
        <v>-75.5</v>
      </c>
      <c r="P29" s="104">
        <v>1</v>
      </c>
      <c r="Q29" s="92">
        <v>-75.5</v>
      </c>
    </row>
    <row r="30" spans="1:17">
      <c r="A30" s="76" t="s">
        <v>111</v>
      </c>
      <c r="B30" s="144">
        <v>4</v>
      </c>
      <c r="C30" s="14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46">
        <v>52000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3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A4ED1-5758-4A9F-8542-102CB7EF38E2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161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7</v>
      </c>
      <c r="C2" s="151"/>
      <c r="E2" s="54" t="s">
        <v>54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52">
        <v>60</v>
      </c>
      <c r="C3" s="153"/>
      <c r="E3" s="55" t="s">
        <v>184</v>
      </c>
      <c r="F3" s="52" t="s">
        <v>187</v>
      </c>
      <c r="G3" s="40">
        <v>7</v>
      </c>
      <c r="H3" s="118">
        <f>IF(B$17=0,0,G3/B$17)</f>
        <v>0.58333333333333337</v>
      </c>
      <c r="I3" s="80">
        <v>3</v>
      </c>
      <c r="K3" s="32">
        <v>1</v>
      </c>
      <c r="L3" s="85">
        <v>74.900000000000006</v>
      </c>
      <c r="N3" s="100" t="s">
        <v>104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54">
        <v>-72.199999999999989</v>
      </c>
      <c r="C4" s="155"/>
      <c r="E4" s="55" t="s">
        <v>60</v>
      </c>
      <c r="F4" s="52" t="s">
        <v>24</v>
      </c>
      <c r="G4" s="40">
        <v>6</v>
      </c>
      <c r="H4" s="118">
        <f>IF(B$17=0,0,G4/B$17)</f>
        <v>0.5</v>
      </c>
      <c r="I4" s="80">
        <v>5</v>
      </c>
      <c r="K4" s="32">
        <v>2</v>
      </c>
      <c r="L4" s="85">
        <v>56.800000000000004</v>
      </c>
      <c r="N4" s="100" t="s">
        <v>105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56">
        <f>IF(B$2=0,0,B$4/B$2)</f>
        <v>-10.314285714285713</v>
      </c>
      <c r="C5" s="157"/>
      <c r="E5" s="55" t="s">
        <v>181</v>
      </c>
      <c r="F5" s="52" t="s">
        <v>156</v>
      </c>
      <c r="G5" s="40">
        <v>5</v>
      </c>
      <c r="H5" s="118">
        <f>IF(B$17=0,0,G5/B$17)</f>
        <v>0.41666666666666669</v>
      </c>
      <c r="I5" s="80">
        <v>13</v>
      </c>
      <c r="K5" s="32">
        <v>3</v>
      </c>
      <c r="L5" s="85">
        <v>-7.4999999999999929</v>
      </c>
      <c r="N5" s="100" t="s">
        <v>157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58">
        <f>IF(B$2=0,0,(B$7*1+B$8*2+B$9*3+B$10*4)/B$2)</f>
        <v>2.7142857142857144</v>
      </c>
      <c r="C6" s="159"/>
      <c r="E6" s="55" t="s">
        <v>55</v>
      </c>
      <c r="F6" s="52" t="s">
        <v>155</v>
      </c>
      <c r="G6" s="40">
        <v>3</v>
      </c>
      <c r="H6" s="118">
        <f>IF(B$17=0,0,G6/B$17)</f>
        <v>0.25</v>
      </c>
      <c r="I6" s="80">
        <v>8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57</v>
      </c>
      <c r="F7" s="52" t="s">
        <v>21</v>
      </c>
      <c r="G7" s="40">
        <v>3</v>
      </c>
      <c r="H7" s="118">
        <f>IF(B$17=0,0,G7/B$17)</f>
        <v>0.25</v>
      </c>
      <c r="I7" s="80">
        <v>8</v>
      </c>
      <c r="K7" s="32">
        <v>5</v>
      </c>
      <c r="L7" s="85">
        <v>-28.499999999999993</v>
      </c>
      <c r="N7" s="100" t="s">
        <v>107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56</v>
      </c>
      <c r="F8" s="52" t="s">
        <v>185</v>
      </c>
      <c r="G8" s="40">
        <v>2</v>
      </c>
      <c r="H8" s="118">
        <f>IF(B$17=0,0,G8/B$17)</f>
        <v>0.16666666666666666</v>
      </c>
      <c r="I8" s="80">
        <v>15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58</v>
      </c>
      <c r="F9" s="52" t="s">
        <v>22</v>
      </c>
      <c r="G9" s="40">
        <v>1</v>
      </c>
      <c r="H9" s="118">
        <f>IF(B$17=0,0,G9/B$17)</f>
        <v>8.3333333333333329E-2</v>
      </c>
      <c r="I9" s="80">
        <v>4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2</v>
      </c>
      <c r="C10" s="34">
        <f>IF(B$2=0,0,B10/B$2)</f>
        <v>0.2857142857142857</v>
      </c>
      <c r="E10" s="55" t="s">
        <v>59</v>
      </c>
      <c r="F10" s="52" t="s">
        <v>23</v>
      </c>
      <c r="G10" s="40">
        <v>1</v>
      </c>
      <c r="H10" s="118">
        <f>IF(B$17=0,0,G10/B$17)</f>
        <v>8.3333333333333329E-2</v>
      </c>
      <c r="I10" s="80">
        <v>10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0.42857142857142855</v>
      </c>
      <c r="E11" s="55" t="s">
        <v>183</v>
      </c>
      <c r="F11" s="52" t="s">
        <v>186</v>
      </c>
      <c r="G11" s="40">
        <v>1</v>
      </c>
      <c r="H11" s="118">
        <f>IF(B$17=0,0,G11/B$17)</f>
        <v>8.3333333333333329E-2</v>
      </c>
      <c r="I11" s="80">
        <v>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74</v>
      </c>
      <c r="F12" s="52" t="s">
        <v>38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11</v>
      </c>
      <c r="C13" s="38">
        <f>IF(B$3=0,0,B13/B$3)</f>
        <v>0.18333333333333332</v>
      </c>
      <c r="E13" s="55" t="s">
        <v>75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14</v>
      </c>
      <c r="C14" s="33">
        <f>IF(B$3=0,0,B14/B$3)</f>
        <v>0.23333333333333334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99</v>
      </c>
      <c r="B15" s="39">
        <f>B21</f>
        <v>5</v>
      </c>
      <c r="C15" s="31">
        <f>IF(B$13=0,0,B15/B$13)</f>
        <v>0.45454545454545453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0.35714285714285715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199</v>
      </c>
      <c r="O19" s="110">
        <f>IF(P19=0,0,Q19/P19)</f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163</v>
      </c>
      <c r="O20" s="110">
        <f>IF(P20=0,0,Q20/P20)</f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5</v>
      </c>
      <c r="C21" s="33">
        <f>IF(B$17=0,0,B21/B$17)</f>
        <v>0.41666666666666669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164</v>
      </c>
      <c r="O21" s="110">
        <f>IF(P21=0,0,Q21/P21)</f>
        <v>15.233333333333334</v>
      </c>
      <c r="P21" s="104">
        <v>3</v>
      </c>
      <c r="Q21" s="92">
        <v>45.7</v>
      </c>
    </row>
    <row r="22" spans="1:17">
      <c r="A22" s="47" t="s">
        <v>149</v>
      </c>
      <c r="B22" s="40">
        <v>5</v>
      </c>
      <c r="C22" s="33">
        <f>IF(B$17=0,0,B22/B$17)</f>
        <v>0.41666666666666669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13.549999999999997</v>
      </c>
      <c r="P22" s="104">
        <v>2</v>
      </c>
      <c r="Q22" s="92">
        <v>27.099999999999994</v>
      </c>
    </row>
    <row r="23" spans="1:17">
      <c r="A23" s="47" t="s">
        <v>150</v>
      </c>
      <c r="B23" s="40">
        <v>2</v>
      </c>
      <c r="C23" s="33">
        <f>IF(B$17=0,0,B23/B$17)</f>
        <v>0.16666666666666666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>IF(P23=0,0,Q23/P23)</f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>IF(P24=0,0,Q24/P24)</f>
        <v>-30.900000000000006</v>
      </c>
      <c r="P24" s="104">
        <v>3</v>
      </c>
      <c r="Q24" s="92">
        <v>-92.700000000000017</v>
      </c>
    </row>
    <row r="25" spans="1:17">
      <c r="A25" s="48" t="s">
        <v>133</v>
      </c>
      <c r="B25" s="121">
        <f>IF($B$17-B$16=0,0,C25/($B$17-B$16))</f>
        <v>8857.1428571428569</v>
      </c>
      <c r="C25" s="122">
        <v>62000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175</v>
      </c>
      <c r="O25" s="110">
        <f>IF(P25=0,0,Q25/P25)</f>
        <v>-31.700000000000003</v>
      </c>
      <c r="P25" s="104">
        <v>1</v>
      </c>
      <c r="Q25" s="92">
        <v>-31.700000000000003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169</v>
      </c>
      <c r="O26" s="110">
        <f>IF(P26=0,0,Q26/P26)</f>
        <v>-58.824999999999989</v>
      </c>
      <c r="P26" s="104">
        <v>4</v>
      </c>
      <c r="Q26" s="92">
        <v>-235.29999999999995</v>
      </c>
    </row>
    <row r="27" spans="1:17">
      <c r="A27" s="48" t="s">
        <v>132</v>
      </c>
      <c r="B27" s="121">
        <f>IF(B$18=0,0,C27/B$18)</f>
        <v>-7220</v>
      </c>
      <c r="C27" s="122">
        <v>-72200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177</v>
      </c>
      <c r="O27" s="110">
        <f>IF(P27=0,0,Q27/P27)</f>
        <v>-126.8</v>
      </c>
      <c r="P27" s="104">
        <v>1</v>
      </c>
      <c r="Q27" s="92">
        <v>-126.8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17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3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54900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1.6666666666666666E-2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3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3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3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28784-FA08-406D-93BF-48E83D9AF579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162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6</v>
      </c>
      <c r="C2" s="151"/>
      <c r="E2" s="54" t="s">
        <v>54</v>
      </c>
      <c r="F2" s="51" t="s">
        <v>20</v>
      </c>
      <c r="G2" s="39">
        <v>11</v>
      </c>
      <c r="H2" s="117">
        <f>IF(B$17=0,0,G2/B$17)</f>
        <v>0.7857142857142857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-483.33333333333331</v>
      </c>
      <c r="P2" s="103">
        <v>6</v>
      </c>
      <c r="Q2" s="87">
        <v>-2900</v>
      </c>
    </row>
    <row r="3" spans="1:17">
      <c r="A3" s="47" t="s">
        <v>8</v>
      </c>
      <c r="B3" s="152">
        <v>56</v>
      </c>
      <c r="C3" s="153"/>
      <c r="E3" s="55" t="s">
        <v>181</v>
      </c>
      <c r="F3" s="52" t="s">
        <v>156</v>
      </c>
      <c r="G3" s="40">
        <v>8</v>
      </c>
      <c r="H3" s="118">
        <f>IF(B$17=0,0,G3/B$17)</f>
        <v>0.5714285714285714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3483.3333333333335</v>
      </c>
      <c r="P3" s="104">
        <v>6</v>
      </c>
      <c r="Q3" s="88">
        <v>20900</v>
      </c>
    </row>
    <row r="4" spans="1:17">
      <c r="A4" s="47" t="s">
        <v>6</v>
      </c>
      <c r="B4" s="154">
        <v>181.8</v>
      </c>
      <c r="C4" s="155"/>
      <c r="E4" s="55" t="s">
        <v>60</v>
      </c>
      <c r="F4" s="52" t="s">
        <v>24</v>
      </c>
      <c r="G4" s="40">
        <v>8</v>
      </c>
      <c r="H4" s="118">
        <f>IF(B$17=0,0,G4/B$17)</f>
        <v>0.5714285714285714</v>
      </c>
      <c r="I4" s="80">
        <v>4</v>
      </c>
      <c r="K4" s="32">
        <v>2</v>
      </c>
      <c r="L4" s="85">
        <v>26.099999999999994</v>
      </c>
      <c r="N4" s="100" t="s">
        <v>105</v>
      </c>
      <c r="O4" s="107">
        <f t="shared" si="0"/>
        <v>2900</v>
      </c>
      <c r="P4" s="104">
        <v>6</v>
      </c>
      <c r="Q4" s="88">
        <v>17400</v>
      </c>
    </row>
    <row r="5" spans="1:17">
      <c r="A5" s="47" t="s">
        <v>7</v>
      </c>
      <c r="B5" s="156">
        <f>IF(B$2=0,0,B$4/B$2)</f>
        <v>30.3</v>
      </c>
      <c r="C5" s="157"/>
      <c r="E5" s="55" t="s">
        <v>184</v>
      </c>
      <c r="F5" s="52" t="s">
        <v>187</v>
      </c>
      <c r="G5" s="40">
        <v>7</v>
      </c>
      <c r="H5" s="118">
        <f>IF(B$17=0,0,G5/B$17)</f>
        <v>0.5</v>
      </c>
      <c r="I5" s="80">
        <v>6</v>
      </c>
      <c r="K5" s="32">
        <v>3</v>
      </c>
      <c r="L5" s="85">
        <v>81.5</v>
      </c>
      <c r="N5" s="100" t="s">
        <v>157</v>
      </c>
      <c r="O5" s="107">
        <f>IF(P5=0,0,Q5/P5)</f>
        <v>4383.333333333333</v>
      </c>
      <c r="P5" s="104">
        <v>6</v>
      </c>
      <c r="Q5" s="88">
        <v>26300</v>
      </c>
    </row>
    <row r="6" spans="1:17">
      <c r="A6" s="47" t="s">
        <v>1</v>
      </c>
      <c r="B6" s="158">
        <f>IF(B$2=0,0,(B$7*1+B$8*2+B$9*3+B$10*4)/B$2)</f>
        <v>1.8333333333333333</v>
      </c>
      <c r="C6" s="159"/>
      <c r="E6" s="55" t="s">
        <v>56</v>
      </c>
      <c r="F6" s="52" t="s">
        <v>185</v>
      </c>
      <c r="G6" s="40">
        <v>6</v>
      </c>
      <c r="H6" s="118">
        <f>IF(B$17=0,0,G6/B$17)</f>
        <v>0.42857142857142855</v>
      </c>
      <c r="I6" s="80">
        <v>3</v>
      </c>
      <c r="K6" s="32">
        <v>4</v>
      </c>
      <c r="L6" s="85">
        <v>65.5</v>
      </c>
      <c r="N6" s="100" t="s">
        <v>106</v>
      </c>
      <c r="O6" s="107">
        <f t="shared" ref="O6" si="1">IF(P6=0,0,Q6/P6)</f>
        <v>516.66666666666663</v>
      </c>
      <c r="P6" s="104">
        <v>6</v>
      </c>
      <c r="Q6" s="88">
        <v>3100</v>
      </c>
    </row>
    <row r="7" spans="1:17">
      <c r="A7" s="47" t="s">
        <v>2</v>
      </c>
      <c r="B7" s="40">
        <v>4</v>
      </c>
      <c r="C7" s="33">
        <f t="shared" ref="C7:C12" si="2">IF(B$2=0,0,B7/B$2)</f>
        <v>0.66666666666666663</v>
      </c>
      <c r="E7" s="55" t="s">
        <v>182</v>
      </c>
      <c r="F7" s="52" t="s">
        <v>19</v>
      </c>
      <c r="G7" s="40">
        <v>5</v>
      </c>
      <c r="H7" s="118">
        <f>IF(B$17=0,0,G7/B$17)</f>
        <v>0.35714285714285715</v>
      </c>
      <c r="I7" s="80">
        <v>1</v>
      </c>
      <c r="K7" s="32">
        <v>5</v>
      </c>
      <c r="L7" s="85">
        <v>124</v>
      </c>
      <c r="N7" s="100" t="s">
        <v>107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4</v>
      </c>
      <c r="H8" s="118">
        <f>IF(B$17=0,0,G8/B$17)</f>
        <v>0.2857142857142857</v>
      </c>
      <c r="I8" s="80">
        <v>6</v>
      </c>
      <c r="K8" s="32">
        <v>6</v>
      </c>
      <c r="L8" s="85">
        <v>181.8</v>
      </c>
      <c r="N8" s="100" t="s">
        <v>108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55</v>
      </c>
      <c r="F9" s="52" t="s">
        <v>155</v>
      </c>
      <c r="G9" s="40">
        <v>1</v>
      </c>
      <c r="H9" s="118">
        <f>IF(B$17=0,0,G9/B$17)</f>
        <v>7.1428571428571425E-2</v>
      </c>
      <c r="I9" s="80">
        <v>15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1</v>
      </c>
      <c r="C10" s="34">
        <f>IF(B$2=0,0,B10/B$2)</f>
        <v>0.16666666666666666</v>
      </c>
      <c r="E10" s="55" t="s">
        <v>58</v>
      </c>
      <c r="F10" s="52" t="s">
        <v>22</v>
      </c>
      <c r="G10" s="40">
        <v>1</v>
      </c>
      <c r="H10" s="118">
        <f>IF(B$17=0,0,G10/B$17)</f>
        <v>7.1428571428571425E-2</v>
      </c>
      <c r="I10" s="80">
        <v>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0.66666666666666663</v>
      </c>
      <c r="E11" s="55" t="s">
        <v>59</v>
      </c>
      <c r="F11" s="52" t="s">
        <v>23</v>
      </c>
      <c r="G11" s="40">
        <v>1</v>
      </c>
      <c r="H11" s="118">
        <f>IF(B$17=0,0,G11/B$17)</f>
        <v>7.1428571428571425E-2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183</v>
      </c>
      <c r="F12" s="52" t="s">
        <v>186</v>
      </c>
      <c r="G12" s="40">
        <v>1</v>
      </c>
      <c r="H12" s="118">
        <f>IF(B$17=0,0,G12/B$17)</f>
        <v>7.1428571428571425E-2</v>
      </c>
      <c r="I12" s="80">
        <v>3</v>
      </c>
      <c r="N12" s="99" t="s">
        <v>126</v>
      </c>
      <c r="O12" s="109">
        <f>IF(P12=0,0,Q12/P12)</f>
        <v>57.8</v>
      </c>
      <c r="P12" s="103">
        <v>1</v>
      </c>
      <c r="Q12" s="91">
        <v>57.8</v>
      </c>
    </row>
    <row r="13" spans="1:17">
      <c r="A13" s="50" t="s">
        <v>97</v>
      </c>
      <c r="B13" s="43">
        <v>13</v>
      </c>
      <c r="C13" s="38">
        <f>IF(B$3=0,0,B13/B$3)</f>
        <v>0.23214285714285715</v>
      </c>
      <c r="E13" s="55" t="s">
        <v>71</v>
      </c>
      <c r="F13" s="52" t="s">
        <v>35</v>
      </c>
      <c r="G13" s="40">
        <v>1</v>
      </c>
      <c r="H13" s="118">
        <f>IF(B$17=0,0,G13/B$17)</f>
        <v>7.1428571428571425E-2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8</v>
      </c>
      <c r="C14" s="33">
        <f>IF(B$3=0,0,B14/B$3)</f>
        <v>0.14285714285714285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9</v>
      </c>
      <c r="C15" s="31">
        <f>IF(B$13=0,0,B15/B$13)</f>
        <v>0.69230769230769229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4</v>
      </c>
      <c r="C16" s="31">
        <f>IF(B$14=0,0,B16/B$14)</f>
        <v>0.5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7</v>
      </c>
      <c r="C20" s="33">
        <f>IF(B$17=0,0,B20/B$17)</f>
        <v>0.5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199</v>
      </c>
      <c r="O20" s="110">
        <f>IF(P20=0,0,Q20/P20)</f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9</v>
      </c>
      <c r="C21" s="33">
        <f>IF(B$17=0,0,B21/B$17)</f>
        <v>0.6428571428571429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84.1</v>
      </c>
      <c r="P21" s="104">
        <v>1</v>
      </c>
      <c r="Q21" s="92">
        <v>84.1</v>
      </c>
    </row>
    <row r="22" spans="1:17">
      <c r="A22" s="47" t="s">
        <v>149</v>
      </c>
      <c r="B22" s="40">
        <v>4</v>
      </c>
      <c r="C22" s="33">
        <f>IF(B$17=0,0,B22/B$17)</f>
        <v>0.2857142857142857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195</v>
      </c>
      <c r="O22" s="110">
        <f>IF(P22=0,0,Q22/P22)</f>
        <v>79.099999999999994</v>
      </c>
      <c r="P22" s="104">
        <v>1</v>
      </c>
      <c r="Q22" s="92">
        <v>79.099999999999994</v>
      </c>
    </row>
    <row r="23" spans="1:17">
      <c r="A23" s="47" t="s">
        <v>150</v>
      </c>
      <c r="B23" s="40">
        <v>1</v>
      </c>
      <c r="C23" s="33">
        <f>IF(B$17=0,0,B23/B$17)</f>
        <v>7.1428571428571425E-2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179</v>
      </c>
      <c r="O23" s="110">
        <f>IF(P23=0,0,Q23/P23)</f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7835.7142857142853</v>
      </c>
      <c r="C24" s="35">
        <v>109700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169</v>
      </c>
      <c r="O24" s="110">
        <f>IF(P24=0,0,Q24/P24)</f>
        <v>48.199999999999996</v>
      </c>
      <c r="P24" s="104">
        <v>2</v>
      </c>
      <c r="Q24" s="92">
        <v>96.399999999999991</v>
      </c>
    </row>
    <row r="25" spans="1:17">
      <c r="A25" s="48" t="s">
        <v>133</v>
      </c>
      <c r="B25" s="121">
        <f>IF($B$17-B$16=0,0,C25/($B$17-B$16))</f>
        <v>7480</v>
      </c>
      <c r="C25" s="122">
        <v>74800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191</v>
      </c>
      <c r="O25" s="110">
        <f>IF(P25=0,0,Q25/P25)</f>
        <v>47.8</v>
      </c>
      <c r="P25" s="104">
        <v>1</v>
      </c>
      <c r="Q25" s="92">
        <v>47.8</v>
      </c>
    </row>
    <row r="26" spans="1:17">
      <c r="A26" s="48" t="s">
        <v>134</v>
      </c>
      <c r="B26" s="121">
        <f>IF(B$16=0,0,C26/B$16)</f>
        <v>8725</v>
      </c>
      <c r="C26" s="122">
        <v>34900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  <c r="N26" s="100" t="s">
        <v>163</v>
      </c>
      <c r="O26" s="110">
        <f>IF(P26=0,0,Q26/P26)</f>
        <v>37.875</v>
      </c>
      <c r="P26" s="104">
        <v>4</v>
      </c>
      <c r="Q26" s="92">
        <v>151.5</v>
      </c>
    </row>
    <row r="27" spans="1:17">
      <c r="A27" s="48" t="s">
        <v>132</v>
      </c>
      <c r="B27" s="121">
        <f>IF(B$18=0,0,C27/B$18)</f>
        <v>-3914.2857142857142</v>
      </c>
      <c r="C27" s="122">
        <v>-27400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164</v>
      </c>
      <c r="O27" s="110">
        <f>IF(P27=0,0,Q27/P27)</f>
        <v>-34.833333333333336</v>
      </c>
      <c r="P27" s="104">
        <v>3</v>
      </c>
      <c r="Q27" s="92">
        <v>-104.5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161</v>
      </c>
      <c r="O28" s="110">
        <f>IF(P28=0,0,Q28/P28)</f>
        <v>-136.60000000000002</v>
      </c>
      <c r="P28" s="104">
        <v>1</v>
      </c>
      <c r="Q28" s="92">
        <v>-136.60000000000002</v>
      </c>
    </row>
    <row r="29" spans="1:17">
      <c r="A29" s="47" t="s">
        <v>131</v>
      </c>
      <c r="B29" s="40">
        <v>19</v>
      </c>
      <c r="C29" s="120">
        <v>9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67800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3"/>
        <v>0.21428571428571427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3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0.14285714285714285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3"/>
        <v>0.21428571428571427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17033-E36D-4392-96D0-41D4BA96DD0A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163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8</v>
      </c>
      <c r="C2" s="151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52">
        <v>69</v>
      </c>
      <c r="C3" s="153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14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54">
        <v>20.300000000000004</v>
      </c>
      <c r="C4" s="155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12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56">
        <f>IF(B$2=0,0,B$4/B$2)</f>
        <v>2.5375000000000005</v>
      </c>
      <c r="C5" s="157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7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7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15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7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13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4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11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>IF(P20=0,0,Q20/P20)</f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164</v>
      </c>
      <c r="O21" s="110">
        <f>IF(P21=0,0,Q21/P21)</f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7</v>
      </c>
      <c r="N22" s="100" t="s">
        <v>203</v>
      </c>
      <c r="O22" s="110">
        <f>IF(P22=0,0,Q22/P22)</f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>IF(P23=0,0,Q23/P23)</f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>IF(P24=0,0,Q24/P24)</f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>IF(P25=0,0,Q25/P25)</f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>IF(P26=0,0,Q26/P26)</f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3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41700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3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3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F8D58-4F7C-4A8F-821F-936180DAD54B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169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19</v>
      </c>
      <c r="C2" s="151"/>
      <c r="E2" s="54" t="s">
        <v>184</v>
      </c>
      <c r="F2" s="51" t="s">
        <v>187</v>
      </c>
      <c r="G2" s="39">
        <v>26</v>
      </c>
      <c r="H2" s="117">
        <f>IF(B$17=0,0,G2/B$17)</f>
        <v>0.78787878787878785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1457.8947368421052</v>
      </c>
      <c r="P2" s="103">
        <v>19</v>
      </c>
      <c r="Q2" s="87">
        <v>27700</v>
      </c>
    </row>
    <row r="3" spans="1:17">
      <c r="A3" s="47" t="s">
        <v>8</v>
      </c>
      <c r="B3" s="152">
        <v>163</v>
      </c>
      <c r="C3" s="153"/>
      <c r="E3" s="55" t="s">
        <v>54</v>
      </c>
      <c r="F3" s="52" t="s">
        <v>20</v>
      </c>
      <c r="G3" s="40">
        <v>24</v>
      </c>
      <c r="H3" s="118">
        <f>IF(B$17=0,0,G3/B$17)</f>
        <v>0.72727272727272729</v>
      </c>
      <c r="I3" s="80">
        <v>4</v>
      </c>
      <c r="K3" s="32">
        <v>1</v>
      </c>
      <c r="L3" s="85">
        <v>-14.2</v>
      </c>
      <c r="N3" s="100" t="s">
        <v>104</v>
      </c>
      <c r="O3" s="107">
        <f t="shared" si="0"/>
        <v>784.21052631578948</v>
      </c>
      <c r="P3" s="104">
        <v>19</v>
      </c>
      <c r="Q3" s="88">
        <v>14900</v>
      </c>
    </row>
    <row r="4" spans="1:17">
      <c r="A4" s="47" t="s">
        <v>6</v>
      </c>
      <c r="B4" s="154">
        <v>406.70000000000005</v>
      </c>
      <c r="C4" s="155"/>
      <c r="E4" s="55" t="s">
        <v>181</v>
      </c>
      <c r="F4" s="52" t="s">
        <v>156</v>
      </c>
      <c r="G4" s="40">
        <v>18</v>
      </c>
      <c r="H4" s="118">
        <f>IF(B$17=0,0,G4/B$17)</f>
        <v>0.54545454545454541</v>
      </c>
      <c r="I4" s="80">
        <v>5</v>
      </c>
      <c r="K4" s="32">
        <v>2</v>
      </c>
      <c r="L4" s="85">
        <v>0.60000000000000142</v>
      </c>
      <c r="N4" s="100" t="s">
        <v>105</v>
      </c>
      <c r="O4" s="107">
        <f t="shared" si="0"/>
        <v>1815.7894736842106</v>
      </c>
      <c r="P4" s="104">
        <v>19</v>
      </c>
      <c r="Q4" s="88">
        <v>34500</v>
      </c>
    </row>
    <row r="5" spans="1:17">
      <c r="A5" s="47" t="s">
        <v>7</v>
      </c>
      <c r="B5" s="156">
        <f>IF(B$2=0,0,B$4/B$2)</f>
        <v>21.405263157894741</v>
      </c>
      <c r="C5" s="157"/>
      <c r="E5" s="55" t="s">
        <v>55</v>
      </c>
      <c r="F5" s="52" t="s">
        <v>155</v>
      </c>
      <c r="G5" s="40">
        <v>12</v>
      </c>
      <c r="H5" s="118">
        <f>IF(B$17=0,0,G5/B$17)</f>
        <v>0.36363636363636365</v>
      </c>
      <c r="I5" s="80">
        <v>3</v>
      </c>
      <c r="K5" s="32">
        <v>3</v>
      </c>
      <c r="L5" s="85">
        <v>-32.299999999999997</v>
      </c>
      <c r="N5" s="100" t="s">
        <v>157</v>
      </c>
      <c r="O5" s="107">
        <f>IF(P5=0,0,Q5/P5)</f>
        <v>994.44444444444446</v>
      </c>
      <c r="P5" s="104">
        <v>18</v>
      </c>
      <c r="Q5" s="88">
        <v>17900</v>
      </c>
    </row>
    <row r="6" spans="1:17">
      <c r="A6" s="47" t="s">
        <v>1</v>
      </c>
      <c r="B6" s="158">
        <f>IF(B$2=0,0,(B$7*1+B$8*2+B$9*3+B$10*4)/B$2)</f>
        <v>2</v>
      </c>
      <c r="C6" s="159"/>
      <c r="E6" s="55" t="s">
        <v>57</v>
      </c>
      <c r="F6" s="52" t="s">
        <v>21</v>
      </c>
      <c r="G6" s="40">
        <v>12</v>
      </c>
      <c r="H6" s="118">
        <f>IF(B$17=0,0,G6/B$17)</f>
        <v>0.36363636363636365</v>
      </c>
      <c r="I6" s="80">
        <v>2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1780</v>
      </c>
      <c r="P6" s="104">
        <v>15</v>
      </c>
      <c r="Q6" s="88">
        <v>26700</v>
      </c>
    </row>
    <row r="7" spans="1:17">
      <c r="A7" s="47" t="s">
        <v>2</v>
      </c>
      <c r="B7" s="40">
        <v>8</v>
      </c>
      <c r="C7" s="33">
        <f t="shared" ref="C7:C12" si="2">IF(B$2=0,0,B7/B$2)</f>
        <v>0.42105263157894735</v>
      </c>
      <c r="E7" s="55" t="s">
        <v>60</v>
      </c>
      <c r="F7" s="52" t="s">
        <v>24</v>
      </c>
      <c r="G7" s="40">
        <v>12</v>
      </c>
      <c r="H7" s="118">
        <f>IF(B$17=0,0,G7/B$17)</f>
        <v>0.36363636363636365</v>
      </c>
      <c r="I7" s="80">
        <v>10</v>
      </c>
      <c r="K7" s="32">
        <v>5</v>
      </c>
      <c r="L7" s="85">
        <v>-39</v>
      </c>
      <c r="N7" s="100" t="s">
        <v>107</v>
      </c>
      <c r="O7" s="107">
        <f t="shared" si="0"/>
        <v>2863.6363636363635</v>
      </c>
      <c r="P7" s="104">
        <v>11</v>
      </c>
      <c r="Q7" s="88">
        <v>31500</v>
      </c>
    </row>
    <row r="8" spans="1:17">
      <c r="A8" s="47" t="s">
        <v>3</v>
      </c>
      <c r="B8" s="40">
        <v>4</v>
      </c>
      <c r="C8" s="33">
        <f>IF(B$2=0,0,B8/B$2)</f>
        <v>0.21052631578947367</v>
      </c>
      <c r="E8" s="55" t="s">
        <v>59</v>
      </c>
      <c r="F8" s="52" t="s">
        <v>23</v>
      </c>
      <c r="G8" s="40">
        <v>8</v>
      </c>
      <c r="H8" s="118">
        <f>IF(B$17=0,0,G8/B$17)</f>
        <v>0.24242424242424243</v>
      </c>
      <c r="I8" s="80">
        <v>6</v>
      </c>
      <c r="K8" s="32">
        <v>6</v>
      </c>
      <c r="L8" s="85">
        <v>43.8</v>
      </c>
      <c r="N8" s="100" t="s">
        <v>108</v>
      </c>
      <c r="O8" s="107">
        <f t="shared" si="0"/>
        <v>810</v>
      </c>
      <c r="P8" s="104">
        <v>10</v>
      </c>
      <c r="Q8" s="88">
        <v>8100</v>
      </c>
    </row>
    <row r="9" spans="1:17">
      <c r="A9" s="48" t="s">
        <v>4</v>
      </c>
      <c r="B9" s="41">
        <v>6</v>
      </c>
      <c r="C9" s="34">
        <f>IF(B$2=0,0,B9/B$2)</f>
        <v>0.31578947368421051</v>
      </c>
      <c r="E9" s="55" t="s">
        <v>56</v>
      </c>
      <c r="F9" s="52" t="s">
        <v>185</v>
      </c>
      <c r="G9" s="40">
        <v>7</v>
      </c>
      <c r="H9" s="118">
        <f>IF(B$17=0,0,G9/B$17)</f>
        <v>0.21212121212121213</v>
      </c>
      <c r="I9" s="80">
        <v>12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1</v>
      </c>
      <c r="C10" s="34">
        <f>IF(B$2=0,0,B10/B$2)</f>
        <v>5.2631578947368418E-2</v>
      </c>
      <c r="E10" s="55" t="s">
        <v>58</v>
      </c>
      <c r="F10" s="52" t="s">
        <v>22</v>
      </c>
      <c r="G10" s="40">
        <v>5</v>
      </c>
      <c r="H10" s="118">
        <f>IF(B$17=0,0,G10/B$17)</f>
        <v>0.15151515151515152</v>
      </c>
      <c r="I10" s="80">
        <v>1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12</v>
      </c>
      <c r="C11" s="34">
        <f>IF(B$2=0,0,B11/B$2)</f>
        <v>0.63157894736842102</v>
      </c>
      <c r="E11" s="55" t="s">
        <v>182</v>
      </c>
      <c r="F11" s="52" t="s">
        <v>19</v>
      </c>
      <c r="G11" s="40">
        <v>4</v>
      </c>
      <c r="H11" s="118">
        <f>IF(B$17=0,0,G11/B$17)</f>
        <v>0.12121212121212122</v>
      </c>
      <c r="I11" s="80">
        <v>7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2</v>
      </c>
      <c r="H12" s="118">
        <f>IF(B$17=0,0,G12/B$17)</f>
        <v>6.0606060606060608E-2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17</v>
      </c>
      <c r="P12" s="103">
        <v>5</v>
      </c>
      <c r="Q12" s="91">
        <v>85</v>
      </c>
    </row>
    <row r="13" spans="1:17">
      <c r="A13" s="50" t="s">
        <v>97</v>
      </c>
      <c r="B13" s="43">
        <v>25</v>
      </c>
      <c r="C13" s="38">
        <f>IF(B$3=0,0,B13/B$3)</f>
        <v>0.15337423312883436</v>
      </c>
      <c r="E13" s="55" t="s">
        <v>62</v>
      </c>
      <c r="F13" s="52" t="s">
        <v>26</v>
      </c>
      <c r="G13" s="40">
        <v>1</v>
      </c>
      <c r="H13" s="118">
        <f>IF(B$17=0,0,G13/B$17)</f>
        <v>3.0303030303030304E-2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27.066666666666666</v>
      </c>
      <c r="P13" s="104">
        <v>3</v>
      </c>
      <c r="Q13" s="92">
        <v>81.2</v>
      </c>
    </row>
    <row r="14" spans="1:17">
      <c r="A14" s="47" t="s">
        <v>94</v>
      </c>
      <c r="B14" s="40">
        <v>28</v>
      </c>
      <c r="C14" s="33">
        <f>IF(B$3=0,0,B14/B$3)</f>
        <v>0.17177914110429449</v>
      </c>
      <c r="E14" s="55" t="s">
        <v>71</v>
      </c>
      <c r="F14" s="52" t="s">
        <v>35</v>
      </c>
      <c r="G14" s="40">
        <v>1</v>
      </c>
      <c r="H14" s="118">
        <f>IF(B$17=0,0,G14/B$17)</f>
        <v>3.0303030303030304E-2</v>
      </c>
      <c r="I14" s="80">
        <v>7</v>
      </c>
      <c r="K14" s="32">
        <v>12</v>
      </c>
      <c r="L14" s="85">
        <v>97.9</v>
      </c>
      <c r="N14" s="100" t="s">
        <v>128</v>
      </c>
      <c r="O14" s="110">
        <f>IF(P14=0,0,Q14/P14)</f>
        <v>27.224999999999998</v>
      </c>
      <c r="P14" s="104">
        <v>4</v>
      </c>
      <c r="Q14" s="92">
        <v>108.89999999999999</v>
      </c>
    </row>
    <row r="15" spans="1:17">
      <c r="A15" s="46" t="s">
        <v>99</v>
      </c>
      <c r="B15" s="39">
        <f>B21</f>
        <v>18</v>
      </c>
      <c r="C15" s="31">
        <f>IF(B$13=0,0,B15/B$13)</f>
        <v>0.72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K15" s="32">
        <v>13</v>
      </c>
      <c r="L15" s="85">
        <v>168.9</v>
      </c>
      <c r="N15" s="101" t="s">
        <v>159</v>
      </c>
      <c r="O15" s="111">
        <f>IF(P15=0,0,Q15/P15)</f>
        <v>18.8</v>
      </c>
      <c r="P15" s="105">
        <v>7</v>
      </c>
      <c r="Q15" s="93">
        <v>131.6</v>
      </c>
    </row>
    <row r="16" spans="1:17">
      <c r="A16" s="46" t="s">
        <v>100</v>
      </c>
      <c r="B16" s="39">
        <f>B22</f>
        <v>9</v>
      </c>
      <c r="C16" s="31">
        <f>IF(B$14=0,0,B16/B$14)</f>
        <v>0.32142857142857145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33</v>
      </c>
      <c r="C17" s="31">
        <f>IF(B$3=0,0,B17/B$3)</f>
        <v>0.20245398773006135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9.202453987730061E-2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8</v>
      </c>
      <c r="C19" s="33">
        <f>IF(B$17=0,0,B19/B$17)</f>
        <v>0.24242424242424243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K19" s="32">
        <v>17</v>
      </c>
      <c r="L19" s="85">
        <v>344</v>
      </c>
      <c r="N19" s="100" t="s">
        <v>202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25</v>
      </c>
      <c r="C20" s="33">
        <f>IF(B$17=0,0,B20/B$17)</f>
        <v>0.75757575757575757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333.8</v>
      </c>
      <c r="N20" s="100" t="s">
        <v>203</v>
      </c>
      <c r="O20" s="110">
        <f>IF(P20=0,0,Q20/P20)</f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18</v>
      </c>
      <c r="C21" s="33">
        <f>IF(B$17=0,0,B21/B$17)</f>
        <v>0.54545454545454541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161</v>
      </c>
      <c r="O21" s="110">
        <f>IF(P21=0,0,Q21/P21)</f>
        <v>58.824999999999996</v>
      </c>
      <c r="P21" s="104">
        <v>4</v>
      </c>
      <c r="Q21" s="92">
        <v>235.29999999999998</v>
      </c>
    </row>
    <row r="22" spans="1:17">
      <c r="A22" s="47" t="s">
        <v>149</v>
      </c>
      <c r="B22" s="40">
        <v>9</v>
      </c>
      <c r="C22" s="33">
        <f>IF(B$17=0,0,B22/B$17)</f>
        <v>0.27272727272727271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6</v>
      </c>
      <c r="C23" s="33">
        <f>IF(B$17=0,0,B23/B$17)</f>
        <v>0.18181818181818182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196</v>
      </c>
      <c r="O23" s="110">
        <f>IF(P23=0,0,Q23/P23)</f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8442.424242424242</v>
      </c>
      <c r="C24" s="35">
        <v>278600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179</v>
      </c>
      <c r="O24" s="110">
        <f>IF(P24=0,0,Q24/P24)</f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9770.8333333333339</v>
      </c>
      <c r="C25" s="122">
        <v>234500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>IF(P25=0,0,Q25/P25)</f>
        <v>32.150000000000006</v>
      </c>
      <c r="P25" s="104">
        <v>8</v>
      </c>
      <c r="Q25" s="92">
        <v>257.20000000000005</v>
      </c>
    </row>
    <row r="26" spans="1:17">
      <c r="A26" s="48" t="s">
        <v>134</v>
      </c>
      <c r="B26" s="121">
        <f>IF(B$16=0,0,C26/B$16)</f>
        <v>4900</v>
      </c>
      <c r="C26" s="122">
        <v>44100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195</v>
      </c>
      <c r="O26" s="110">
        <f>IF(P26=0,0,Q26/P26)</f>
        <v>30.45</v>
      </c>
      <c r="P26" s="104">
        <v>2</v>
      </c>
      <c r="Q26" s="92">
        <v>60.9</v>
      </c>
    </row>
    <row r="27" spans="1:17">
      <c r="A27" s="48" t="s">
        <v>132</v>
      </c>
      <c r="B27" s="121">
        <f>IF(B$18=0,0,C27/B$18)</f>
        <v>-4126.666666666667</v>
      </c>
      <c r="C27" s="122">
        <v>-61900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163</v>
      </c>
      <c r="O27" s="110">
        <f>IF(P27=0,0,Q27/P27)</f>
        <v>24.933333333333337</v>
      </c>
      <c r="P27" s="104">
        <v>3</v>
      </c>
      <c r="Q27" s="92">
        <v>74.800000000000011</v>
      </c>
    </row>
    <row r="28" spans="1:17">
      <c r="A28" s="47" t="s">
        <v>130</v>
      </c>
      <c r="B28" s="40">
        <v>3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>IF(P28=0,0,Q28/P28)</f>
        <v>-7.6999999999999975</v>
      </c>
      <c r="P28" s="104">
        <v>7</v>
      </c>
      <c r="Q28" s="92">
        <v>-53.899999999999984</v>
      </c>
    </row>
    <row r="29" spans="1:17">
      <c r="A29" s="47" t="s">
        <v>131</v>
      </c>
      <c r="B29" s="40">
        <v>39</v>
      </c>
      <c r="C29" s="120">
        <v>39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>IF(P29=0,0,Q29/P29)</f>
        <v>-10.999999999999996</v>
      </c>
      <c r="P29" s="104">
        <v>2</v>
      </c>
      <c r="Q29" s="92">
        <v>-21.999999999999993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168</v>
      </c>
      <c r="O30" s="110">
        <f>IF(P30=0,0,Q30/P30)</f>
        <v>-14.5625</v>
      </c>
      <c r="P30" s="104">
        <v>8</v>
      </c>
      <c r="Q30" s="92">
        <v>-116.5</v>
      </c>
    </row>
    <row r="31" spans="1:17">
      <c r="A31" s="50" t="s">
        <v>148</v>
      </c>
      <c r="B31" s="146">
        <v>62800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167</v>
      </c>
      <c r="O31" s="110">
        <f>IF(P31=0,0,Q31/P31)</f>
        <v>-28.2</v>
      </c>
      <c r="P31" s="104">
        <v>1</v>
      </c>
      <c r="Q31" s="92">
        <v>-28.2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>IF(P32=0,0,Q32/P32)</f>
        <v>-48.199999999999996</v>
      </c>
      <c r="P32" s="104">
        <v>2</v>
      </c>
      <c r="Q32" s="92">
        <v>-96.399999999999991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3.0303030303030304E-2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3"/>
        <v>0.18181818181818182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3"/>
        <v>0.18181818181818182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7</v>
      </c>
      <c r="C38" s="33">
        <f t="shared" si="3"/>
        <v>0.21212121212121213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9.0909090909090912E-2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7</v>
      </c>
      <c r="C40" s="33">
        <f t="shared" si="3"/>
        <v>0.21212121212121213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3</v>
      </c>
      <c r="C41" s="33">
        <f t="shared" si="3"/>
        <v>9.0909090909090912E-2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CD264-5543-4D9D-A192-B70B69D57E5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166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4</v>
      </c>
      <c r="C2" s="151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52">
        <v>35</v>
      </c>
      <c r="C3" s="153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3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54">
        <v>-127.99999999999999</v>
      </c>
      <c r="C4" s="155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7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56">
        <f>IF(B$2=0,0,B$4/B$2)</f>
        <v>-31.999999999999996</v>
      </c>
      <c r="C5" s="157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14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58">
        <f>IF(B$2=0,0,(B$7*1+B$8*2+B$9*3+B$10*4)/B$2)</f>
        <v>3.25</v>
      </c>
      <c r="C6" s="159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14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2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177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>IF(P19=0,0,Q19/P19)</f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>IF(P20=0,0,Q20/P20)</f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>IF(P21=0,0,Q21/P21)</f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>IF(P22=0,0,Q22/P22)</f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>IF(P23=0,0,Q23/P23)</f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>IF(P24=0,0,Q24/P24)</f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1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23700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3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605C3-3621-4915-AF39-7F743D2556B7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167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2">
        <v>7</v>
      </c>
      <c r="C3" s="153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4">
        <v>14</v>
      </c>
      <c r="C4" s="155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7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6">
        <f>IF(B$2=0,0,B$4/B$2)</f>
        <v>14</v>
      </c>
      <c r="C5" s="157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8">
        <f>IF(B$2=0,0,(B$7*1+B$8*2+B$9*3+B$10*4)/B$2)</f>
        <v>2</v>
      </c>
      <c r="C6" s="159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34000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9307B-BD5E-482C-989F-962D658A5A57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168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18</v>
      </c>
      <c r="C2" s="151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52">
        <v>142</v>
      </c>
      <c r="C3" s="153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10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54">
        <v>154.39999999999998</v>
      </c>
      <c r="C4" s="155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12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56">
        <f>IF(B$2=0,0,B$4/B$2)</f>
        <v>8.5777777777777757</v>
      </c>
      <c r="C5" s="157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5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58">
        <f>IF(B$2=0,0,(B$7*1+B$8*2+B$9*3+B$10*4)/B$2)</f>
        <v>2.3333333333333335</v>
      </c>
      <c r="C6" s="159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13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8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8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13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10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6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4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>IF(P21=0,0,Q21/P21)</f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167</v>
      </c>
      <c r="O22" s="110">
        <f>IF(P22=0,0,Q22/P22)</f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>IF(P23=0,0,Q23/P23)</f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>IF(P24=0,0,Q24/P24)</f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>IF(P25=0,0,Q25/P25)</f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>IF(P26=0,0,Q26/P26)</f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195</v>
      </c>
      <c r="O27" s="110">
        <f>IF(P27=0,0,Q27/P27)</f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>IF(P28=0,0,Q28/P28)</f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>IF(P29=0,0,Q29/P29)</f>
        <v>14.5625</v>
      </c>
      <c r="P29" s="104">
        <v>8</v>
      </c>
      <c r="Q29" s="92">
        <v>116.5</v>
      </c>
    </row>
    <row r="30" spans="1:17">
      <c r="A30" s="76" t="s">
        <v>111</v>
      </c>
      <c r="B30" s="144">
        <v>5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>IF(P30=0,0,Q30/P30)</f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46">
        <v>65600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>IF(P31=0,0,Q31/P31)</f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>IF(P32=0,0,Q32/P32)</f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>IF(P33=0,0,Q33/P33)</f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3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3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3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3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3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3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3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BDF8-D59B-4538-A771-8295E93DF227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175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2">
        <v>15</v>
      </c>
      <c r="C3" s="153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4">
        <v>-2.2000000000000011</v>
      </c>
      <c r="C4" s="155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6">
        <f>IF(B$2=0,0,B$4/B$2)</f>
        <v>-1.1000000000000005</v>
      </c>
      <c r="C5" s="157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4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5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3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12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13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3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33600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F830C-FBE6-48C4-AD37-F5E1DA3F7C46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177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2">
        <v>19</v>
      </c>
      <c r="C3" s="153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15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4">
        <v>3.8999999999999986</v>
      </c>
      <c r="C4" s="155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8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6">
        <f>IF(B$2=0,0,B$4/B$2)</f>
        <v>1.9499999999999993</v>
      </c>
      <c r="C5" s="157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9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14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2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42500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4E6E-5883-4584-9127-EA18CE9403D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180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2">
        <v>7</v>
      </c>
      <c r="C3" s="15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4">
        <v>-52.6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6">
        <f>IF(B$2=0,0,B$4/B$2)</f>
        <v>-52.6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7400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82842-B35F-4625-AFF0-037D99901B52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179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16</v>
      </c>
      <c r="C2" s="151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52">
        <v>131</v>
      </c>
      <c r="C3" s="153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7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54">
        <v>-34.6</v>
      </c>
      <c r="C4" s="155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11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56">
        <f>IF(B$2=0,0,B$4/B$2)</f>
        <v>-2.1625000000000001</v>
      </c>
      <c r="C5" s="157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15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58">
        <f>IF(B$2=0,0,(B$7*1+B$8*2+B$9*3+B$10*4)/B$2)</f>
        <v>2.4375</v>
      </c>
      <c r="C6" s="159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8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14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12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8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13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>IF(P19=0,0,Q19/P19)</f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>IF(P20=0,0,Q20/P20)</f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>IF(P21=0,0,Q21/P21)</f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195</v>
      </c>
      <c r="O22" s="110">
        <f>IF(P22=0,0,Q22/P22)</f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>IF(P23=0,0,Q23/P23)</f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7</v>
      </c>
      <c r="N24" s="100" t="s">
        <v>163</v>
      </c>
      <c r="O24" s="110">
        <f>IF(P24=0,0,Q24/P24)</f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>IF(P25=0,0,Q25/P25)</f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>IF(P26=0,0,Q26/P26)</f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>IF(P27=0,0,Q27/P27)</f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>IF(P28=0,0,Q28/P28)</f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>IF(P29=0,0,Q29/P29)</f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44">
        <v>5</v>
      </c>
      <c r="C30" s="145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6</v>
      </c>
      <c r="N30" s="100" t="s">
        <v>169</v>
      </c>
      <c r="O30" s="110">
        <f>IF(P30=0,0,Q30/P30)</f>
        <v>-46.75</v>
      </c>
      <c r="P30" s="104">
        <v>8</v>
      </c>
      <c r="Q30" s="92">
        <v>-374</v>
      </c>
    </row>
    <row r="31" spans="1:17">
      <c r="A31" s="50" t="s">
        <v>148</v>
      </c>
      <c r="B31" s="146">
        <v>53200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>IF(P31=0,0,Q31/P31)</f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>IF(P32=0,0,Q32/P32)</f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3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3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3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3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3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41E94-3A7D-453E-88E8-153DE5A4466A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199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2">
        <v>15</v>
      </c>
      <c r="C3" s="15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4">
        <v>-97.4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56">
        <f>IF(B$2=0,0,B$4/B$2)</f>
        <v>-48.7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14100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140A7-555E-4013-9F7A-B58959283787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191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14</v>
      </c>
      <c r="C2" s="151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52">
        <v>115</v>
      </c>
      <c r="C3" s="153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5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54">
        <v>79.299999999999983</v>
      </c>
      <c r="C4" s="155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7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56">
        <f>IF(B$2=0,0,B$4/B$2)</f>
        <v>5.6642857142857128</v>
      </c>
      <c r="C5" s="157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2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58">
        <f>IF(B$2=0,0,(B$7*1+B$8*2+B$9*3+B$10*4)/B$2)</f>
        <v>2.1428571428571428</v>
      </c>
      <c r="C6" s="159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11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16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14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16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5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>IF(P20=0,0,Q20/P20)</f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>IF(P21=0,0,Q21/P21)</f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>IF(P22=0,0,Q22/P22)</f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>IF(P23=0,0,Q23/P23)</f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>IF(P24=0,0,Q24/P24)</f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>IF(P25=0,0,Q25/P25)</f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>IF(P26=0,0,Q26/P26)</f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169</v>
      </c>
      <c r="O27" s="110">
        <f>IF(P27=0,0,Q27/P27)</f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>IF(P28=0,0,Q28/P28)</f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>IF(P29=0,0,Q29/P29)</f>
        <v>-47.8</v>
      </c>
      <c r="P29" s="104">
        <v>1</v>
      </c>
      <c r="Q29" s="92">
        <v>-47.8</v>
      </c>
    </row>
    <row r="30" spans="1:17">
      <c r="A30" s="76" t="s">
        <v>111</v>
      </c>
      <c r="B30" s="144">
        <v>5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52500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3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3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1B793-D7D4-4CF4-B472-8EFF1D041898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195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10</v>
      </c>
      <c r="C2" s="151"/>
      <c r="E2" s="54" t="s">
        <v>181</v>
      </c>
      <c r="F2" s="51" t="s">
        <v>156</v>
      </c>
      <c r="G2" s="39">
        <v>7</v>
      </c>
      <c r="H2" s="117">
        <f>IF(B$17=0,0,G2/B$17)</f>
        <v>0.53846153846153844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-80</v>
      </c>
      <c r="P2" s="103">
        <v>10</v>
      </c>
      <c r="Q2" s="87">
        <v>-800</v>
      </c>
    </row>
    <row r="3" spans="1:17">
      <c r="A3" s="47" t="s">
        <v>8</v>
      </c>
      <c r="B3" s="152">
        <v>78</v>
      </c>
      <c r="C3" s="153"/>
      <c r="E3" s="55" t="s">
        <v>184</v>
      </c>
      <c r="F3" s="52" t="s">
        <v>187</v>
      </c>
      <c r="G3" s="40">
        <v>5</v>
      </c>
      <c r="H3" s="118">
        <f>IF(B$17=0,0,G3/B$17)</f>
        <v>0.38461538461538464</v>
      </c>
      <c r="I3" s="80">
        <v>10</v>
      </c>
      <c r="K3" s="32">
        <v>1</v>
      </c>
      <c r="L3" s="85">
        <v>-21.3</v>
      </c>
      <c r="N3" s="100" t="s">
        <v>104</v>
      </c>
      <c r="O3" s="107">
        <f t="shared" si="0"/>
        <v>-680</v>
      </c>
      <c r="P3" s="104">
        <v>10</v>
      </c>
      <c r="Q3" s="88">
        <v>-6800</v>
      </c>
    </row>
    <row r="4" spans="1:17">
      <c r="A4" s="47" t="s">
        <v>6</v>
      </c>
      <c r="B4" s="154">
        <v>-239.90000000000003</v>
      </c>
      <c r="C4" s="155"/>
      <c r="E4" s="55" t="s">
        <v>54</v>
      </c>
      <c r="F4" s="52" t="s">
        <v>20</v>
      </c>
      <c r="G4" s="40">
        <v>4</v>
      </c>
      <c r="H4" s="118">
        <f>IF(B$17=0,0,G4/B$17)</f>
        <v>0.30769230769230771</v>
      </c>
      <c r="I4" s="80">
        <v>13</v>
      </c>
      <c r="K4" s="32">
        <v>2</v>
      </c>
      <c r="L4" s="85">
        <v>-12.200000000000001</v>
      </c>
      <c r="N4" s="100" t="s">
        <v>105</v>
      </c>
      <c r="O4" s="107">
        <f t="shared" si="0"/>
        <v>-2160</v>
      </c>
      <c r="P4" s="104">
        <v>10</v>
      </c>
      <c r="Q4" s="88">
        <v>-21600</v>
      </c>
    </row>
    <row r="5" spans="1:17">
      <c r="A5" s="47" t="s">
        <v>7</v>
      </c>
      <c r="B5" s="156">
        <f>IF(B$2=0,0,B$4/B$2)</f>
        <v>-23.990000000000002</v>
      </c>
      <c r="C5" s="157"/>
      <c r="E5" s="55" t="s">
        <v>55</v>
      </c>
      <c r="F5" s="52" t="s">
        <v>155</v>
      </c>
      <c r="G5" s="40">
        <v>4</v>
      </c>
      <c r="H5" s="118">
        <f>IF(B$17=0,0,G5/B$17)</f>
        <v>0.30769230769230771</v>
      </c>
      <c r="I5" s="80">
        <v>6</v>
      </c>
      <c r="K5" s="32">
        <v>3</v>
      </c>
      <c r="L5" s="85">
        <v>-68.400000000000006</v>
      </c>
      <c r="N5" s="100" t="s">
        <v>157</v>
      </c>
      <c r="O5" s="107">
        <f>IF(P5=0,0,Q5/P5)</f>
        <v>-3233.3333333333335</v>
      </c>
      <c r="P5" s="104">
        <v>9</v>
      </c>
      <c r="Q5" s="88">
        <v>-29100</v>
      </c>
    </row>
    <row r="6" spans="1:17">
      <c r="A6" s="47" t="s">
        <v>1</v>
      </c>
      <c r="B6" s="158">
        <f>IF(B$2=0,0,(B$7*1+B$8*2+B$9*3+B$10*4)/B$2)</f>
        <v>2.9</v>
      </c>
      <c r="C6" s="159"/>
      <c r="E6" s="55" t="s">
        <v>59</v>
      </c>
      <c r="F6" s="52" t="s">
        <v>23</v>
      </c>
      <c r="G6" s="40">
        <v>4</v>
      </c>
      <c r="H6" s="118">
        <f>IF(B$17=0,0,G6/B$17)</f>
        <v>0.30769230769230771</v>
      </c>
      <c r="I6" s="80">
        <v>3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-1612.5</v>
      </c>
      <c r="P6" s="104">
        <v>8</v>
      </c>
      <c r="Q6" s="88">
        <v>-12900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3</v>
      </c>
      <c r="H7" s="118">
        <f>IF(B$17=0,0,G7/B$17)</f>
        <v>0.23076923076923078</v>
      </c>
      <c r="I7" s="80">
        <v>11</v>
      </c>
      <c r="K7" s="32">
        <v>5</v>
      </c>
      <c r="L7" s="85">
        <v>-160.60000000000002</v>
      </c>
      <c r="N7" s="100" t="s">
        <v>107</v>
      </c>
      <c r="O7" s="107">
        <f t="shared" si="0"/>
        <v>-4028.5714285714284</v>
      </c>
      <c r="P7" s="104">
        <v>7</v>
      </c>
      <c r="Q7" s="88">
        <v>-28200</v>
      </c>
    </row>
    <row r="8" spans="1:17">
      <c r="A8" s="47" t="s">
        <v>3</v>
      </c>
      <c r="B8" s="40">
        <v>3</v>
      </c>
      <c r="C8" s="33">
        <f>IF(B$2=0,0,B8/B$2)</f>
        <v>0.3</v>
      </c>
      <c r="E8" s="55" t="s">
        <v>182</v>
      </c>
      <c r="F8" s="52" t="s">
        <v>19</v>
      </c>
      <c r="G8" s="40">
        <v>2</v>
      </c>
      <c r="H8" s="118">
        <f>IF(B$17=0,0,G8/B$17)</f>
        <v>0.15384615384615385</v>
      </c>
      <c r="I8" s="80">
        <v>6</v>
      </c>
      <c r="K8" s="32">
        <v>6</v>
      </c>
      <c r="L8" s="85">
        <v>-199.10000000000002</v>
      </c>
      <c r="N8" s="100" t="s">
        <v>108</v>
      </c>
      <c r="O8" s="107">
        <f t="shared" si="0"/>
        <v>-1900</v>
      </c>
      <c r="P8" s="104">
        <v>5</v>
      </c>
      <c r="Q8" s="88">
        <v>-9500</v>
      </c>
    </row>
    <row r="9" spans="1:17">
      <c r="A9" s="48" t="s">
        <v>4</v>
      </c>
      <c r="B9" s="41">
        <v>5</v>
      </c>
      <c r="C9" s="34">
        <f>IF(B$2=0,0,B9/B$2)</f>
        <v>0.5</v>
      </c>
      <c r="E9" s="55" t="s">
        <v>60</v>
      </c>
      <c r="F9" s="52" t="s">
        <v>24</v>
      </c>
      <c r="G9" s="40">
        <v>2</v>
      </c>
      <c r="H9" s="118">
        <f>IF(B$17=0,0,G9/B$17)</f>
        <v>0.15384615384615385</v>
      </c>
      <c r="I9" s="80">
        <v>16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2</v>
      </c>
      <c r="C10" s="34">
        <f>IF(B$2=0,0,B10/B$2)</f>
        <v>0.2</v>
      </c>
      <c r="E10" s="55" t="s">
        <v>71</v>
      </c>
      <c r="F10" s="52" t="s">
        <v>35</v>
      </c>
      <c r="G10" s="40">
        <v>1</v>
      </c>
      <c r="H10" s="118">
        <f>IF(B$17=0,0,G10/B$17)</f>
        <v>7.6923076923076927E-2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0.3</v>
      </c>
      <c r="E11" s="55" t="s">
        <v>74</v>
      </c>
      <c r="F11" s="52" t="s">
        <v>38</v>
      </c>
      <c r="G11" s="40">
        <v>1</v>
      </c>
      <c r="H11" s="118">
        <f>IF(B$17=0,0,G11/B$17)</f>
        <v>7.6923076923076927E-2</v>
      </c>
      <c r="I11" s="80">
        <v>3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57</v>
      </c>
      <c r="F12" s="52" t="s">
        <v>21</v>
      </c>
      <c r="G12" s="40">
        <v>0</v>
      </c>
      <c r="H12" s="118">
        <f>IF(B$17=0,0,G12/B$17)</f>
        <v>0</v>
      </c>
      <c r="I12" s="80">
        <v>14</v>
      </c>
      <c r="K12" s="32">
        <v>10</v>
      </c>
      <c r="L12" s="85">
        <v>-239.90000000000003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14</v>
      </c>
      <c r="C13" s="38">
        <f>IF(B$3=0,0,B13/B$3)</f>
        <v>0.17948717948717949</v>
      </c>
      <c r="E13" s="55" t="s">
        <v>58</v>
      </c>
      <c r="F13" s="52" t="s">
        <v>22</v>
      </c>
      <c r="G13" s="40">
        <v>0</v>
      </c>
      <c r="H13" s="118">
        <f>IF(B$17=0,0,G13/B$17)</f>
        <v>0</v>
      </c>
      <c r="I13" s="80">
        <v>11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17</v>
      </c>
      <c r="C14" s="33">
        <f>IF(B$3=0,0,B14/B$3)</f>
        <v>0.21794871794871795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-28.533333333333331</v>
      </c>
      <c r="P14" s="104">
        <v>3</v>
      </c>
      <c r="Q14" s="92">
        <v>-85.6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-22.042857142857144</v>
      </c>
      <c r="P15" s="105">
        <v>7</v>
      </c>
      <c r="Q15" s="93">
        <v>-154.30000000000001</v>
      </c>
    </row>
    <row r="16" spans="1:17">
      <c r="A16" s="46" t="s">
        <v>100</v>
      </c>
      <c r="B16" s="39">
        <f>B22</f>
        <v>5</v>
      </c>
      <c r="C16" s="31">
        <f>IF(B$14=0,0,B16/B$14)</f>
        <v>0.29411764705882354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0.16666666666666666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13</v>
      </c>
      <c r="C18" s="33">
        <f>IF(B$3=0,0,B18/B$3)</f>
        <v>0.16666666666666666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>IF(P18=0,0,Q18/P18)</f>
        <v>45.5</v>
      </c>
      <c r="P18" s="103">
        <v>2</v>
      </c>
      <c r="Q18" s="91">
        <v>91</v>
      </c>
    </row>
    <row r="19" spans="1:17">
      <c r="A19" s="47" t="s">
        <v>12</v>
      </c>
      <c r="B19" s="40">
        <v>4</v>
      </c>
      <c r="C19" s="33">
        <f>IF(B$17=0,0,B19/B$17)</f>
        <v>0.30769230769230771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203</v>
      </c>
      <c r="O19" s="110">
        <f>IF(P19=0,0,Q19/P19)</f>
        <v>20.5</v>
      </c>
      <c r="P19" s="104">
        <v>1</v>
      </c>
      <c r="Q19" s="92">
        <v>20.5</v>
      </c>
    </row>
    <row r="20" spans="1:17">
      <c r="A20" s="47" t="s">
        <v>11</v>
      </c>
      <c r="B20" s="40">
        <v>9</v>
      </c>
      <c r="C20" s="33">
        <f>IF(B$17=0,0,B20/B$17)</f>
        <v>0.69230769230769229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164</v>
      </c>
      <c r="O20" s="110">
        <f>IF(P20=0,0,Q20/P20)</f>
        <v>-19.399999999999999</v>
      </c>
      <c r="P20" s="104">
        <v>4</v>
      </c>
      <c r="Q20" s="92">
        <v>-77.599999999999994</v>
      </c>
    </row>
    <row r="21" spans="1:17">
      <c r="A21" s="47" t="s">
        <v>151</v>
      </c>
      <c r="B21" s="40">
        <v>7</v>
      </c>
      <c r="C21" s="33">
        <f>IF(B$17=0,0,B21/B$17)</f>
        <v>0.53846153846153844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168</v>
      </c>
      <c r="O21" s="110">
        <f>IF(P21=0,0,Q21/P21)</f>
        <v>-25.7</v>
      </c>
      <c r="P21" s="104">
        <v>7</v>
      </c>
      <c r="Q21" s="92">
        <v>-179.9</v>
      </c>
    </row>
    <row r="22" spans="1:17">
      <c r="A22" s="47" t="s">
        <v>149</v>
      </c>
      <c r="B22" s="40">
        <v>5</v>
      </c>
      <c r="C22" s="33">
        <f>IF(B$17=0,0,B22/B$17)</f>
        <v>0.38461538461538464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169</v>
      </c>
      <c r="O22" s="110">
        <f>IF(P22=0,0,Q22/P22)</f>
        <v>-30.45</v>
      </c>
      <c r="P22" s="104">
        <v>2</v>
      </c>
      <c r="Q22" s="92">
        <v>-60.9</v>
      </c>
    </row>
    <row r="23" spans="1:17">
      <c r="A23" s="47" t="s">
        <v>150</v>
      </c>
      <c r="B23" s="40">
        <v>1</v>
      </c>
      <c r="C23" s="33">
        <f>IF(B$17=0,0,B23/B$17)</f>
        <v>7.6923076923076927E-2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>IF(P23=0,0,Q23/P23)</f>
        <v>-30.9</v>
      </c>
      <c r="P23" s="104">
        <v>1</v>
      </c>
      <c r="Q23" s="92">
        <v>-30.9</v>
      </c>
    </row>
    <row r="24" spans="1:17">
      <c r="A24" s="47" t="s">
        <v>5</v>
      </c>
      <c r="B24" s="44">
        <f>IF(B$17=0,0,C24/B$17)</f>
        <v>3830.7692307692309</v>
      </c>
      <c r="C24" s="35">
        <v>49800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179</v>
      </c>
      <c r="O24" s="110">
        <f>IF(P24=0,0,Q24/P24)</f>
        <v>-34.119999999999997</v>
      </c>
      <c r="P24" s="104">
        <v>5</v>
      </c>
      <c r="Q24" s="92">
        <v>-170.6</v>
      </c>
    </row>
    <row r="25" spans="1:17">
      <c r="A25" s="48" t="s">
        <v>133</v>
      </c>
      <c r="B25" s="121">
        <f>IF($B$17-B$16=0,0,C25/($B$17-B$16))</f>
        <v>4862.5</v>
      </c>
      <c r="C25" s="122">
        <v>38900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>IF(P25=0,0,Q25/P25)</f>
        <v>-65.966666666666669</v>
      </c>
      <c r="P25" s="104">
        <v>3</v>
      </c>
      <c r="Q25" s="92">
        <v>-197.9</v>
      </c>
    </row>
    <row r="26" spans="1:17">
      <c r="A26" s="48" t="s">
        <v>134</v>
      </c>
      <c r="B26" s="121">
        <f>IF(B$16=0,0,C26/B$16)</f>
        <v>2180</v>
      </c>
      <c r="C26" s="122">
        <v>10900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205</v>
      </c>
      <c r="O26" s="110">
        <f>IF(P26=0,0,Q26/P26)</f>
        <v>-66.05</v>
      </c>
      <c r="P26" s="104">
        <v>4</v>
      </c>
      <c r="Q26" s="92">
        <v>-264.2</v>
      </c>
    </row>
    <row r="27" spans="1:17">
      <c r="A27" s="48" t="s">
        <v>132</v>
      </c>
      <c r="B27" s="121">
        <f>IF(B$18=0,0,C27/B$18)</f>
        <v>-6323.0769230769229</v>
      </c>
      <c r="C27" s="122">
        <v>-82200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162</v>
      </c>
      <c r="O27" s="110">
        <f>IF(P27=0,0,Q27/P27)</f>
        <v>-79.099999999999994</v>
      </c>
      <c r="P27" s="104">
        <v>1</v>
      </c>
      <c r="Q27" s="92">
        <v>-79.099999999999994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19</v>
      </c>
      <c r="C29" s="120">
        <v>8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29100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1.282051282051282E-2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0.15384615384615385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3"/>
        <v>0.30769230769230771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3"/>
        <v>0.46153846153846156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7.6923076923076927E-2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E8136-78EA-4EFD-AB67-71C90E14AB9B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196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52">
        <v>8</v>
      </c>
      <c r="C3" s="15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54">
        <v>-27.1</v>
      </c>
      <c r="C4" s="15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56">
        <f>IF(B$2=0,0,B$4/B$2)</f>
        <v>-27.1</v>
      </c>
      <c r="C5" s="15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58">
        <f>IF(B$2=0,0,(B$7*1+B$8*2+B$9*3+B$10*4)/B$2)</f>
        <v>3</v>
      </c>
      <c r="C6" s="15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17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12900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37693-9C37-472E-89E0-1E71E7830578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203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5</v>
      </c>
      <c r="C2" s="151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52">
        <v>43</v>
      </c>
      <c r="C3" s="153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54">
        <v>-161.39999999999998</v>
      </c>
      <c r="C4" s="155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56">
        <f>IF(B$2=0,0,B$4/B$2)</f>
        <v>-32.279999999999994</v>
      </c>
      <c r="C5" s="157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5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58">
        <f>IF(B$2=0,0,(B$7*1+B$8*2+B$9*3+B$10*4)/B$2)</f>
        <v>3.4</v>
      </c>
      <c r="C6" s="159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6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15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163</v>
      </c>
      <c r="O19" s="110">
        <f>IF(P19=0,0,Q19/P19)</f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>IF(P20=0,0,Q20/P20)</f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>IF(P21=0,0,Q21/P21)</f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>IF(P22=0,0,Q22/P22)</f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>IF(P23=0,0,Q23/P23)</f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>IF(P24=0,0,Q24/P24)</f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2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25000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C40D0-5419-48BC-9990-C7F2F8C0CC8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202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52">
        <v>17</v>
      </c>
      <c r="C3" s="15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54">
        <v>-105.9</v>
      </c>
      <c r="C4" s="15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56">
        <f>IF(B$2=0,0,B$4/B$2)</f>
        <v>-52.95</v>
      </c>
      <c r="C5" s="15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17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13500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A3F7B-A469-4CF0-B139-15DF7B933FF0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205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4</v>
      </c>
      <c r="C2" s="151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52">
        <v>28</v>
      </c>
      <c r="C3" s="153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7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54">
        <v>141.1</v>
      </c>
      <c r="C4" s="155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11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56">
        <f>IF(B$2=0,0,B$4/B$2)</f>
        <v>35.274999999999999</v>
      </c>
      <c r="C5" s="157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5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58">
        <f>IF(B$2=0,0,(B$7*1+B$8*2+B$9*3+B$10*4)/B$2)</f>
        <v>1.75</v>
      </c>
      <c r="C6" s="159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3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11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10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>IF(P20=0,0,Q20/P20)</f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>IF(P21=0,0,Q21/P21)</f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>IF(P23=0,0,Q23/P23)</f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>IF(P24=0,0,Q24/P24)</f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4">
        <v>3</v>
      </c>
      <c r="C30" s="14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46">
        <v>57200</v>
      </c>
      <c r="C31" s="147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1</v>
      </c>
      <c r="C47" s="36">
        <f t="shared" si="3"/>
        <v>8.3333333333333329E-2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A99FF-FAE5-486F-A274-98316ABB1C8A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208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3</v>
      </c>
      <c r="C2" s="15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52">
        <v>23</v>
      </c>
      <c r="C3" s="15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54">
        <v>-132.69999999999999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56">
        <f>IF(B$2=0,0,B$4/B$2)</f>
        <v>-44.233333333333327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58">
        <f>IF(B$2=0,0,(B$7*1+B$8*2+B$9*3+B$10*4)/B$2)</f>
        <v>3.6666666666666665</v>
      </c>
      <c r="C6" s="15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>IF(P20=0,0,Q20/P20)</f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>IF(P21=0,0,Q21/P21)</f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>IF(P22=0,0,Q22/P22)</f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>IF(P23=0,0,Q23/P23)</f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10700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48"/>
      <c r="C1" s="149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50">
        <v>0</v>
      </c>
      <c r="C2" s="151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2">
        <v>0</v>
      </c>
      <c r="C3" s="153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4">
        <v>0</v>
      </c>
      <c r="C4" s="155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6">
        <f>IF(B$2=0,0,B$4/B$2)</f>
        <v>0</v>
      </c>
      <c r="C5" s="157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8">
        <f>IF(B$2=0,0,(B$7*1+B$8*2+B$9*3+B$10*4)/B$2)</f>
        <v>0</v>
      </c>
      <c r="C6" s="159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46">
        <v>-1000000</v>
      </c>
      <c r="C31" s="147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1254</vt:i4>
      </vt:variant>
    </vt:vector>
  </HeadingPairs>
  <TitlesOfParts>
    <vt:vector size="127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Template</vt:lpstr>
      <vt:lpstr>依田幸憲!アガリ数</vt:lpstr>
      <vt:lpstr>高野源太!アガリ数</vt:lpstr>
      <vt:lpstr>佐藤成浩!アガリ数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依田幸憲!アガリ率</vt:lpstr>
      <vt:lpstr>高野源太!アガリ率</vt:lpstr>
      <vt:lpstr>佐藤成浩!アガリ率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依田幸憲!ダマアガリ数</vt:lpstr>
      <vt:lpstr>高野源太!ダマアガリ数</vt:lpstr>
      <vt:lpstr>佐藤成浩!ダマアガリ数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依田幸憲!ダマアガリ率</vt:lpstr>
      <vt:lpstr>高野源太!ダマアガリ率</vt:lpstr>
      <vt:lpstr>佐藤成浩!ダマアガリ率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依田幸憲!チョンボ数</vt:lpstr>
      <vt:lpstr>高野源太!チョンボ数</vt:lpstr>
      <vt:lpstr>佐藤成浩!チョンボ数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依田幸憲!チョンボ率</vt:lpstr>
      <vt:lpstr>高野源太!チョンボ率</vt:lpstr>
      <vt:lpstr>佐藤成浩!チョンボ率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依田幸憲!ツモ数</vt:lpstr>
      <vt:lpstr>高野源太!ツモ数</vt:lpstr>
      <vt:lpstr>佐藤成浩!ツモ数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依田幸憲!ツモ率</vt:lpstr>
      <vt:lpstr>高野源太!ツモ率</vt:lpstr>
      <vt:lpstr>佐藤成浩!ツモ率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依田幸憲!トップ数</vt:lpstr>
      <vt:lpstr>高野源太!トップ数</vt:lpstr>
      <vt:lpstr>佐藤成浩!トップ数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依田幸憲!トップ率</vt:lpstr>
      <vt:lpstr>高野源太!トップ率</vt:lpstr>
      <vt:lpstr>佐藤成浩!トップ率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依田幸憲!ふっとび数</vt:lpstr>
      <vt:lpstr>高野源太!ふっとび数</vt:lpstr>
      <vt:lpstr>佐藤成浩!ふっとび数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依田幸憲!ふっとび率</vt:lpstr>
      <vt:lpstr>高野源太!ふっとび率</vt:lpstr>
      <vt:lpstr>佐藤成浩!ふっとび率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依田幸憲!ラス数</vt:lpstr>
      <vt:lpstr>高野源太!ラス数</vt:lpstr>
      <vt:lpstr>佐藤成浩!ラス数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依田幸憲!ラス率</vt:lpstr>
      <vt:lpstr>高野源太!ラス率</vt:lpstr>
      <vt:lpstr>佐藤成浩!ラス率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依田幸憲!リーチアガリ数</vt:lpstr>
      <vt:lpstr>高野源太!リーチアガリ数</vt:lpstr>
      <vt:lpstr>佐藤成浩!リーチアガリ数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依田幸憲!リーチ数</vt:lpstr>
      <vt:lpstr>高野源太!リーチ数</vt:lpstr>
      <vt:lpstr>佐藤成浩!リーチ数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依田幸憲!リーチ成功数</vt:lpstr>
      <vt:lpstr>高野源太!リーチ成功数</vt:lpstr>
      <vt:lpstr>佐藤成浩!リーチ成功数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依田幸憲!リーチ成功率</vt:lpstr>
      <vt:lpstr>高野源太!リーチ成功率</vt:lpstr>
      <vt:lpstr>佐藤成浩!リーチ成功率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依田幸憲!リーチ率</vt:lpstr>
      <vt:lpstr>高野源太!リーチ率</vt:lpstr>
      <vt:lpstr>佐藤成浩!リーチ率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依田幸憲!ロン数</vt:lpstr>
      <vt:lpstr>高野源太!ロン数</vt:lpstr>
      <vt:lpstr>佐藤成浩!ロン数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依田幸憲!ロン率</vt:lpstr>
      <vt:lpstr>高野源太!ロン率</vt:lpstr>
      <vt:lpstr>佐藤成浩!ロン率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依田幸憲!現行連続アガリ</vt:lpstr>
      <vt:lpstr>高野源太!現行連続アガリ</vt:lpstr>
      <vt:lpstr>佐藤成浩!現行連続アガリ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依田幸憲!最高点</vt:lpstr>
      <vt:lpstr>高野源太!最高点</vt:lpstr>
      <vt:lpstr>佐藤成浩!最高点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依田幸憲!最大ドラ数</vt:lpstr>
      <vt:lpstr>高野源太!最大ドラ数</vt:lpstr>
      <vt:lpstr>佐藤成浩!最大ドラ数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依田幸憲!最大点数</vt:lpstr>
      <vt:lpstr>高野源太!最大点数</vt:lpstr>
      <vt:lpstr>佐藤成浩!最大点数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依田幸憲!三位数</vt:lpstr>
      <vt:lpstr>高野源太!三位数</vt:lpstr>
      <vt:lpstr>佐藤成浩!三位数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依田幸憲!三位率</vt:lpstr>
      <vt:lpstr>高野源太!三位率</vt:lpstr>
      <vt:lpstr>佐藤成浩!三位率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依田幸憲!総局数</vt:lpstr>
      <vt:lpstr>高野源太!総局数</vt:lpstr>
      <vt:lpstr>佐藤成浩!総局数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依田幸憲!対戦数</vt:lpstr>
      <vt:lpstr>高野源太!対戦数</vt:lpstr>
      <vt:lpstr>佐藤成浩!対戦数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依田幸憲!通算アガリ点</vt:lpstr>
      <vt:lpstr>高野源太!通算アガリ点</vt:lpstr>
      <vt:lpstr>佐藤成浩!通算アガリ点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依田幸憲!通算スコア</vt:lpstr>
      <vt:lpstr>高野源太!通算スコア</vt:lpstr>
      <vt:lpstr>佐藤成浩!通算スコア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依田幸憲!通算放銃点</vt:lpstr>
      <vt:lpstr>高野源太!通算放銃点</vt:lpstr>
      <vt:lpstr>佐藤成浩!通算放銃点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依田幸憲!二位数</vt:lpstr>
      <vt:lpstr>高野源太!二位数</vt:lpstr>
      <vt:lpstr>佐藤成浩!二位数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依田幸憲!二位率</vt:lpstr>
      <vt:lpstr>高野源太!二位率</vt:lpstr>
      <vt:lpstr>佐藤成浩!二位率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依田幸憲!副露アガリ数</vt:lpstr>
      <vt:lpstr>高野源太!副露アガリ数</vt:lpstr>
      <vt:lpstr>佐藤成浩!副露アガリ数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依田幸憲!副露アガリ点</vt:lpstr>
      <vt:lpstr>高野源太!副露アガリ点</vt:lpstr>
      <vt:lpstr>佐藤成浩!副露アガリ点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依田幸憲!副露アガリ率</vt:lpstr>
      <vt:lpstr>高野源太!副露アガリ率</vt:lpstr>
      <vt:lpstr>佐藤成浩!副露アガリ率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依田幸憲!副露数</vt:lpstr>
      <vt:lpstr>高野源太!副露数</vt:lpstr>
      <vt:lpstr>佐藤成浩!副露数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依田幸憲!副露成功数</vt:lpstr>
      <vt:lpstr>高野源太!副露成功数</vt:lpstr>
      <vt:lpstr>佐藤成浩!副露成功数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依田幸憲!副露成功率</vt:lpstr>
      <vt:lpstr>高野源太!副露成功率</vt:lpstr>
      <vt:lpstr>佐藤成浩!副露成功率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依田幸憲!副露率</vt:lpstr>
      <vt:lpstr>高野源太!副露率</vt:lpstr>
      <vt:lpstr>佐藤成浩!副露率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依田幸憲!平均アガリ点</vt:lpstr>
      <vt:lpstr>高野源太!平均アガリ点</vt:lpstr>
      <vt:lpstr>佐藤成浩!平均アガリ点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依田幸憲!平均スコア</vt:lpstr>
      <vt:lpstr>高野源太!平均スコア</vt:lpstr>
      <vt:lpstr>佐藤成浩!平均スコア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依田幸憲!平均順位</vt:lpstr>
      <vt:lpstr>高野源太!平均順位</vt:lpstr>
      <vt:lpstr>佐藤成浩!平均順位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依田幸憲!平均放銃点</vt:lpstr>
      <vt:lpstr>高野源太!平均放銃点</vt:lpstr>
      <vt:lpstr>佐藤成浩!平均放銃点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依田幸憲!放銃数</vt:lpstr>
      <vt:lpstr>高野源太!放銃数</vt:lpstr>
      <vt:lpstr>佐藤成浩!放銃数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依田幸憲!放銃率</vt:lpstr>
      <vt:lpstr>高野源太!放銃率</vt:lpstr>
      <vt:lpstr>佐藤成浩!放銃率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依田幸憲!名前</vt:lpstr>
      <vt:lpstr>高野源太!名前</vt:lpstr>
      <vt:lpstr>佐藤成浩!名前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依田幸憲!門前アガリ点</vt:lpstr>
      <vt:lpstr>高野源太!門前アガリ点</vt:lpstr>
      <vt:lpstr>佐藤成浩!門前アガリ点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依田幸憲!連続アガリ</vt:lpstr>
      <vt:lpstr>高野源太!連続アガリ</vt:lpstr>
      <vt:lpstr>佐藤成浩!連続アガリ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依田幸憲!連続無放銃</vt:lpstr>
      <vt:lpstr>高野源太!連続無放銃</vt:lpstr>
      <vt:lpstr>佐藤成浩!連続無放銃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依田幸憲!連対数</vt:lpstr>
      <vt:lpstr>高野源太!連対数</vt:lpstr>
      <vt:lpstr>佐藤成浩!連対数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依田幸憲!連対率</vt:lpstr>
      <vt:lpstr>高野源太!連対率</vt:lpstr>
      <vt:lpstr>佐藤成浩!連対率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2021-02-06T02:45:37Z</dcterms:modified>
</cp:coreProperties>
</file>