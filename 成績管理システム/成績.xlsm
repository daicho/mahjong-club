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"/>
    </mc:Choice>
  </mc:AlternateContent>
  <xr:revisionPtr revIDLastSave="0" documentId="13_ncr:1_{1D293DF0-8683-4904-9C99-E206A56FA66B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Template (3)" sheetId="6297" state="hidden" r:id="rId32"/>
    <sheet name="Template" sheetId="2228" state="hidden" r:id="rId33"/>
  </sheets>
  <definedNames>
    <definedName name="アガリ数" localSheetId="3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95" l="1"/>
  <c r="O20" i="6295"/>
  <c r="O26" i="6295"/>
  <c r="O22" i="6298"/>
  <c r="O21" i="6298"/>
  <c r="O22" i="6299"/>
  <c r="O18" i="6299"/>
  <c r="O4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3" i="6287"/>
  <c r="O34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8" i="6272"/>
  <c r="O19" i="6298"/>
  <c r="O18" i="6298"/>
  <c r="O20" i="6298"/>
  <c r="C32" i="6298"/>
  <c r="B27" i="6298"/>
  <c r="C18" i="6298"/>
  <c r="B17" i="6298"/>
  <c r="C17" i="6298" s="1"/>
  <c r="H17" i="6298"/>
  <c r="B16" i="6298"/>
  <c r="O15" i="6298"/>
  <c r="H16" i="6298"/>
  <c r="B15" i="6298"/>
  <c r="C15" i="6298" s="1"/>
  <c r="O14" i="6298"/>
  <c r="H15" i="6298"/>
  <c r="C14" i="6298"/>
  <c r="O13" i="6298"/>
  <c r="H14" i="6298"/>
  <c r="C13" i="6298"/>
  <c r="O12" i="6298"/>
  <c r="H13" i="6298"/>
  <c r="C12" i="6298"/>
  <c r="H12" i="6298"/>
  <c r="B11" i="6298"/>
  <c r="C11" i="6298" s="1"/>
  <c r="H5" i="6298"/>
  <c r="C10" i="6298"/>
  <c r="O9" i="6298"/>
  <c r="H9" i="6298"/>
  <c r="C9" i="6298"/>
  <c r="O8" i="6298"/>
  <c r="H11" i="6298"/>
  <c r="C8" i="6298"/>
  <c r="O7" i="6298"/>
  <c r="H8" i="6298"/>
  <c r="C7" i="6298"/>
  <c r="O6" i="6298"/>
  <c r="H7" i="6298"/>
  <c r="B6" i="6298"/>
  <c r="O5" i="6298"/>
  <c r="H4" i="6298"/>
  <c r="B5" i="6298"/>
  <c r="O4" i="6298"/>
  <c r="H2" i="6298"/>
  <c r="O3" i="6298"/>
  <c r="H10" i="6298"/>
  <c r="O2" i="6298"/>
  <c r="H3" i="6298"/>
  <c r="O27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9" i="6298"/>
  <c r="H18" i="6298"/>
  <c r="O27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18" i="6287"/>
  <c r="O26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1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3" i="6295" l="1"/>
  <c r="O28" i="6275"/>
  <c r="O27" i="6287" l="1"/>
  <c r="O21" i="6274"/>
  <c r="O24" i="6274"/>
  <c r="O22" i="6293"/>
  <c r="O22" i="6295" l="1"/>
  <c r="O24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7" i="6277"/>
  <c r="O21" i="6277"/>
  <c r="O25" i="6272"/>
  <c r="O28" i="6272"/>
  <c r="B25" i="6294" l="1"/>
  <c r="C37" i="6294"/>
  <c r="H31" i="6294"/>
  <c r="H11" i="6295"/>
  <c r="H8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7" i="6295"/>
  <c r="H6" i="6295"/>
  <c r="H13" i="6295"/>
  <c r="H10" i="6295"/>
  <c r="H4" i="6295"/>
  <c r="H9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5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3" i="6287" l="1"/>
  <c r="O31" i="6284"/>
  <c r="O20" i="6273"/>
  <c r="O4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4" i="6272"/>
  <c r="O32" i="6287"/>
  <c r="O30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6" i="6287"/>
  <c r="O24" i="6287"/>
  <c r="O21" i="6273"/>
  <c r="O29" i="6287"/>
  <c r="O28" i="6287"/>
  <c r="O31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9" i="6272"/>
  <c r="C39" i="6287" l="1"/>
  <c r="H41" i="6287"/>
  <c r="H5" i="6287"/>
  <c r="H11" i="6287"/>
  <c r="H23" i="6287"/>
  <c r="H12" i="6287"/>
  <c r="C20" i="6287"/>
  <c r="H13" i="6287"/>
  <c r="H2" i="6287"/>
  <c r="B24" i="6287"/>
  <c r="H17" i="6287"/>
  <c r="H6" i="6287"/>
  <c r="H14" i="6287"/>
  <c r="H33" i="6287"/>
  <c r="C19" i="6287"/>
  <c r="H35" i="6287"/>
  <c r="C16" i="6287"/>
  <c r="H20" i="6287"/>
  <c r="C41" i="6287"/>
  <c r="H25" i="6287"/>
  <c r="H28" i="6287"/>
  <c r="C35" i="6287"/>
  <c r="H42" i="6287"/>
  <c r="H4" i="6287"/>
  <c r="C17" i="6287"/>
  <c r="H9" i="6287"/>
  <c r="H7" i="6287"/>
  <c r="H22" i="6287"/>
  <c r="H10" i="6287"/>
  <c r="H29" i="6287"/>
  <c r="C37" i="6287"/>
  <c r="C43" i="6287"/>
  <c r="C22" i="6287"/>
  <c r="H21" i="6287"/>
  <c r="C23" i="6287"/>
  <c r="H16" i="6287"/>
  <c r="H38" i="6287"/>
  <c r="C46" i="6287"/>
  <c r="H37" i="6287"/>
  <c r="H3" i="6287"/>
  <c r="H19" i="6287"/>
  <c r="H15" i="6287"/>
  <c r="H26" i="6287"/>
  <c r="H32" i="6287"/>
  <c r="H39" i="6287"/>
  <c r="C47" i="6287"/>
  <c r="H34" i="6287"/>
  <c r="C38" i="6287"/>
  <c r="C42" i="6287"/>
  <c r="H24" i="6287"/>
  <c r="H27" i="6287"/>
  <c r="H30" i="6287"/>
  <c r="H36" i="6287"/>
  <c r="H40" i="6287"/>
  <c r="C44" i="6287"/>
  <c r="H8" i="6287"/>
  <c r="H18" i="6287"/>
  <c r="C21" i="6287"/>
  <c r="B25" i="6287"/>
  <c r="H31" i="6287"/>
  <c r="C36" i="6287"/>
  <c r="C40" i="6287"/>
  <c r="O29" i="6286" l="1"/>
  <c r="O24" i="6284"/>
  <c r="O24" i="6275"/>
  <c r="O24" i="6276"/>
  <c r="O29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3" i="6277"/>
  <c r="O32" i="6277"/>
  <c r="O26" i="6277"/>
  <c r="O3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1" i="6272"/>
  <c r="O34" i="6277"/>
  <c r="O35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9" i="6272"/>
  <c r="O40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1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0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6" i="6272"/>
  <c r="O42" i="6272"/>
  <c r="O3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8" i="6272"/>
  <c r="C22" i="6272"/>
  <c r="H32" i="6272"/>
  <c r="C37" i="6272"/>
  <c r="H2" i="6272"/>
  <c r="H16" i="6272"/>
  <c r="H25" i="6272"/>
  <c r="C38" i="6272"/>
  <c r="H28" i="6272"/>
  <c r="H20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<sst xmlns="http://schemas.openxmlformats.org/spreadsheetml/2006/main" count="5711" uniqueCount="232">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</sst>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全体!$K$2:$K$207</c:f>
              <c:numCache>
                <c:formatCode>General</c:formatCod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</c:numCache>
            </c:numRef>
          </c:xVal>
          <c:yVal>
            <c:numRef>
              <c:f>全体!$L$2:$L$207</c:f>
              <c:numCache>
                <c:formatCode>\+0.0;\-0.0;\±0</c:formatCode>
                <c:ptCount val="2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-53.658536585365852</c:v>
                </c:pt>
                <c:pt idx="1">
                  <c:v>-4.8780487804878048</c:v>
                </c:pt>
                <c:pt idx="2">
                  <c:v>0.97560975609756095</c:v>
                </c:pt>
                <c:pt idx="3">
                  <c:v>0</c:v>
                </c:pt>
                <c:pt idx="4">
                  <c:v>21.428571428571427</c:v>
                </c:pt>
                <c:pt idx="5">
                  <c:v>-80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67</c:v>
                </c:pt>
                <c:pt idx="2">
                  <c:v>72</c:v>
                </c:pt>
                <c:pt idx="3">
                  <c:v>64</c:v>
                </c:pt>
                <c:pt idx="4">
                  <c:v>32</c:v>
                </c:pt>
                <c:pt idx="5">
                  <c:v>38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佐藤成浩!$L$2:$L$32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760</c:v>
                </c:pt>
                <c:pt idx="1">
                  <c:v>1653.3333333333333</c:v>
                </c:pt>
                <c:pt idx="2">
                  <c:v>1510</c:v>
                </c:pt>
                <c:pt idx="3">
                  <c:v>1815.3846153846155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柳澤颯吾!$L$2:$L$24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418.18181818181819</c:v>
                </c:pt>
                <c:pt idx="1">
                  <c:v>222.72727272727272</c:v>
                </c:pt>
                <c:pt idx="2">
                  <c:v>-763.63636363636363</c:v>
                </c:pt>
                <c:pt idx="3">
                  <c:v>-1205.5555555555557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関谷洸佑!$L$2:$L$13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454.54545454545456</c:v>
                </c:pt>
                <c:pt idx="1">
                  <c:v>-927.27272727272725</c:v>
                </c:pt>
                <c:pt idx="2">
                  <c:v>-2845.4545454545455</c:v>
                </c:pt>
                <c:pt idx="3">
                  <c:v>-2950</c:v>
                </c:pt>
                <c:pt idx="4">
                  <c:v>-4525</c:v>
                </c:pt>
                <c:pt idx="5">
                  <c:v>-2450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伊藤仁城!$L$2:$L$6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5875</c:v>
                </c:pt>
                <c:pt idx="1">
                  <c:v>-2150</c:v>
                </c:pt>
                <c:pt idx="2">
                  <c:v>50</c:v>
                </c:pt>
                <c:pt idx="3">
                  <c:v>-500</c:v>
                </c:pt>
                <c:pt idx="4">
                  <c:v>-3000</c:v>
                </c:pt>
                <c:pt idx="5">
                  <c:v>-2100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44743.450046296297</v>
      </c>
      <c r="C2" s="24" t="s">
        <v>102</v>
      </c>
    </row>
    <row r="3" spans="1:4">
      <c r="A3" s="24" t="s">
        <v>165</v>
      </c>
      <c r="B3" s="25">
        <v>44743.450046296297</v>
      </c>
      <c r="C3" s="24" t="s">
        <v>102</v>
      </c>
    </row>
    <row r="4" spans="1:4">
      <c r="A4" s="24" t="s">
        <v>174</v>
      </c>
      <c r="B4" s="25">
        <v>44743.450046296297</v>
      </c>
      <c r="C4" s="24" t="s">
        <v>102</v>
      </c>
      <c r="D4" s="24" t="s">
        <v>176</v>
      </c>
    </row>
    <row r="5" spans="1:4">
      <c r="A5" s="24" t="s">
        <v>178</v>
      </c>
      <c r="B5" s="25">
        <v>44743.450046296297</v>
      </c>
      <c r="C5" s="24" t="s">
        <v>102</v>
      </c>
      <c r="D5" s="24" t="s">
        <v>176</v>
      </c>
    </row>
    <row r="6" spans="1:4">
      <c r="A6" s="24" t="s">
        <v>188</v>
      </c>
      <c r="B6" s="25">
        <v>44743.450046296297</v>
      </c>
      <c r="C6" s="24" t="s">
        <v>102</v>
      </c>
      <c r="D6" s="24" t="s">
        <v>176</v>
      </c>
    </row>
    <row r="7" spans="1:4">
      <c r="A7" s="24" t="s">
        <v>189</v>
      </c>
      <c r="B7" s="25">
        <v>44743.450046296297</v>
      </c>
      <c r="C7" s="24" t="s">
        <v>102</v>
      </c>
      <c r="D7" s="24" t="s">
        <v>176</v>
      </c>
    </row>
    <row r="8" spans="1:4">
      <c r="A8" s="24" t="s">
        <v>190</v>
      </c>
      <c r="B8" s="25">
        <v>44743.450046296297</v>
      </c>
      <c r="C8" s="24" t="s">
        <v>102</v>
      </c>
      <c r="D8" s="24" t="s">
        <v>176</v>
      </c>
    </row>
    <row r="9" spans="1:4">
      <c r="A9" s="24" t="s">
        <v>192</v>
      </c>
      <c r="B9" s="25">
        <v>44743.450046296297</v>
      </c>
      <c r="C9" s="24" t="s">
        <v>102</v>
      </c>
      <c r="D9" s="24" t="s">
        <v>176</v>
      </c>
    </row>
    <row r="10" spans="1:4">
      <c r="A10" s="24" t="s">
        <v>193</v>
      </c>
      <c r="B10" s="25">
        <v>44743.450046296297</v>
      </c>
      <c r="C10" s="24" t="s">
        <v>102</v>
      </c>
      <c r="D10" s="24" t="s">
        <v>176</v>
      </c>
    </row>
    <row r="11" spans="1:4">
      <c r="A11" s="24" t="s">
        <v>194</v>
      </c>
      <c r="B11" s="25">
        <v>44743.450046296297</v>
      </c>
      <c r="C11" s="24" t="s">
        <v>102</v>
      </c>
      <c r="D11" s="24" t="s">
        <v>176</v>
      </c>
    </row>
    <row r="12" spans="1:4">
      <c r="A12" s="24" t="s">
        <v>197</v>
      </c>
      <c r="B12" s="25">
        <v>44743.450046296297</v>
      </c>
      <c r="C12" s="24" t="s">
        <v>102</v>
      </c>
      <c r="D12" s="24" t="s">
        <v>176</v>
      </c>
    </row>
    <row r="13" spans="1:4">
      <c r="A13" s="24" t="s">
        <v>198</v>
      </c>
      <c r="B13" s="25">
        <v>44743.450046296297</v>
      </c>
      <c r="C13" s="24" t="s">
        <v>102</v>
      </c>
      <c r="D13" s="24" t="s">
        <v>176</v>
      </c>
    </row>
    <row r="14" spans="1:4">
      <c r="A14" s="24" t="s">
        <v>201</v>
      </c>
      <c r="B14" s="25">
        <v>44743.450046296297</v>
      </c>
      <c r="C14" s="24" t="s">
        <v>102</v>
      </c>
      <c r="D14" s="24" t="s">
        <v>176</v>
      </c>
    </row>
    <row r="15" spans="1:4">
      <c r="A15" s="24" t="s">
        <v>204</v>
      </c>
      <c r="B15" s="25">
        <v>44743.450046296297</v>
      </c>
      <c r="C15" s="24" t="s">
        <v>102</v>
      </c>
      <c r="D15" s="24" t="s">
        <v>176</v>
      </c>
    </row>
    <row r="16" spans="1:4">
      <c r="A16" s="24" t="s">
        <v>206</v>
      </c>
      <c r="B16" s="25">
        <v>44743.450046296297</v>
      </c>
      <c r="C16" s="24" t="s">
        <v>102</v>
      </c>
      <c r="D16" s="24" t="s">
        <v>176</v>
      </c>
    </row>
    <row r="17" spans="1:5">
      <c r="A17" s="24" t="s">
        <v>207</v>
      </c>
      <c r="B17" s="25">
        <v>44743.450046296297</v>
      </c>
      <c r="C17" s="24" t="s">
        <v>102</v>
      </c>
      <c r="D17" s="24" t="s">
        <v>176</v>
      </c>
    </row>
    <row r="18" spans="1:5">
      <c r="A18" s="24" t="s">
        <v>209</v>
      </c>
      <c r="B18" s="25">
        <v>44743.450046296297</v>
      </c>
      <c r="C18" s="24" t="s">
        <v>102</v>
      </c>
    </row>
    <row r="19" spans="1:5">
      <c r="A19" s="24" t="s">
        <v>210</v>
      </c>
      <c r="B19" s="25">
        <v>44743.450046296297</v>
      </c>
      <c r="C19" s="24" t="s">
        <v>102</v>
      </c>
      <c r="D19" s="24" t="s">
        <v>176</v>
      </c>
    </row>
    <row r="20" spans="1:5">
      <c r="A20" s="24" t="s">
        <v>211</v>
      </c>
      <c r="B20" s="25">
        <v>44743.450046296297</v>
      </c>
      <c r="C20" s="24" t="s">
        <v>102</v>
      </c>
      <c r="D20" s="24" t="s">
        <v>176</v>
      </c>
    </row>
    <row r="21" spans="1:5">
      <c r="A21" s="24" t="s">
        <v>212</v>
      </c>
      <c r="B21" s="25">
        <v>44743.450046296297</v>
      </c>
      <c r="C21" s="24" t="s">
        <v>102</v>
      </c>
    </row>
    <row r="22" spans="1:5">
      <c r="A22" s="24" t="s">
        <v>214</v>
      </c>
      <c r="B22" s="25">
        <v>44743.450046296297</v>
      </c>
      <c r="C22" s="24" t="s">
        <v>102</v>
      </c>
    </row>
    <row r="23" spans="1:5">
      <c r="A23" s="24" t="s">
        <v>217</v>
      </c>
      <c r="B23" s="25">
        <v>44743.450046296297</v>
      </c>
      <c r="C23" s="24" t="s">
        <v>102</v>
      </c>
    </row>
    <row r="24" spans="1:5">
      <c r="A24" s="24" t="s">
        <v>218</v>
      </c>
      <c r="B24" s="25">
        <v>44743.450046296297</v>
      </c>
      <c r="C24" s="24" t="s">
        <v>102</v>
      </c>
    </row>
    <row r="25" spans="1:5">
      <c r="A25" s="24" t="s">
        <v>219</v>
      </c>
      <c r="B25" s="25">
        <v>44743.450057870374</v>
      </c>
      <c r="C25" s="24" t="s">
        <v>102</v>
      </c>
      <c r="D25" s="24" t="s">
        <v>176</v>
      </c>
    </row>
    <row r="26" spans="1:5">
      <c r="A26" s="24" t="s">
        <v>220</v>
      </c>
      <c r="B26" s="25">
        <v>44743.450057870374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44743.450057870374</v>
      </c>
      <c r="C27" s="24" t="s">
        <v>102</v>
      </c>
      <c r="D27" s="24" t="s">
        <v>176</v>
      </c>
    </row>
    <row r="28" spans="1:5">
      <c r="A28" s="24" t="s">
        <v>224</v>
      </c>
      <c r="B28" s="25">
        <v>44743.450057870374</v>
      </c>
      <c r="C28" s="24" t="s">
        <v>102</v>
      </c>
    </row>
    <row r="29" spans="1:5">
      <c r="A29" s="24" t="s">
        <v>225</v>
      </c>
      <c r="B29" s="25">
        <v>44743.450057870374</v>
      </c>
      <c r="C29" s="24" t="s">
        <v>102</v>
      </c>
      <c r="D29" s="24" t="s">
        <v>176</v>
      </c>
    </row>
    <row r="30" spans="1:5">
      <c r="A30" s="24" t="s">
        <v>226</v>
      </c>
      <c r="B30" s="25">
        <v>44743.450057870374</v>
      </c>
      <c r="C30" s="24" t="s">
        <v>102</v>
      </c>
    </row>
    <row r="31" spans="1:5">
      <c r="A31" s="24" t="s">
        <v>229</v>
      </c>
      <c r="B31" s="25">
        <v>44743.450057870374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8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11</v>
      </c>
    </row>
    <row r="25" spans="1:2">
      <c r="A25" t="s">
        <v>223</v>
      </c>
      <c r="B25">
        <v>4</v>
      </c>
    </row>
    <row r="26" spans="1:2">
      <c r="A26" t="s">
        <v>228</v>
      </c>
      <c r="B26">
        <v>4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0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8" t="s">
        <v>9</v>
      </c>
      <c r="C1" s="159"/>
      <c r="D1" s="158" t="s">
        <v>6</v>
      </c>
      <c r="E1" s="159"/>
      <c r="F1" s="158" t="s">
        <v>7</v>
      </c>
      <c r="G1" s="159"/>
      <c r="H1" s="158" t="s">
        <v>15</v>
      </c>
      <c r="I1" s="159"/>
      <c r="J1" s="158" t="s">
        <v>14</v>
      </c>
      <c r="K1" s="159"/>
      <c r="L1" s="158" t="s">
        <v>125</v>
      </c>
      <c r="M1" s="159"/>
      <c r="N1" s="158" t="s">
        <v>154</v>
      </c>
      <c r="O1" s="159"/>
      <c r="P1" s="158" t="s">
        <v>115</v>
      </c>
      <c r="Q1" s="159"/>
      <c r="R1" s="158" t="s">
        <v>116</v>
      </c>
      <c r="S1" s="159"/>
      <c r="T1" s="158" t="s">
        <v>5</v>
      </c>
      <c r="U1" s="159"/>
      <c r="V1" s="158" t="s">
        <v>16</v>
      </c>
      <c r="W1" s="159"/>
      <c r="X1" s="158" t="s">
        <v>98</v>
      </c>
      <c r="Y1" s="159"/>
      <c r="Z1" s="158" t="s">
        <v>95</v>
      </c>
      <c r="AA1" s="159"/>
      <c r="AB1" s="158" t="s">
        <v>101</v>
      </c>
      <c r="AC1" s="159"/>
      <c r="AD1" s="158" t="s">
        <v>117</v>
      </c>
      <c r="AE1" s="159"/>
      <c r="AF1" s="158" t="s">
        <v>113</v>
      </c>
      <c r="AG1" s="159"/>
      <c r="AH1" s="158" t="s">
        <v>148</v>
      </c>
      <c r="AI1" s="159"/>
    </row>
    <row r="2" spans="1:35">
      <c r="A2" s="58" t="s">
        <v>124</v>
      </c>
      <c r="B2" s="162">
        <v>0.64026879352618404</v>
      </c>
      <c r="C2" s="163"/>
      <c r="D2" s="160"/>
      <c r="E2" s="161"/>
      <c r="F2" s="160"/>
      <c r="G2" s="161"/>
      <c r="H2" s="162">
        <v>0.85592620820839582</v>
      </c>
      <c r="I2" s="163"/>
      <c r="J2" s="162">
        <v>0.83871012035198544</v>
      </c>
      <c r="K2" s="163"/>
      <c r="L2" s="162">
        <v>0.49768822715440569</v>
      </c>
      <c r="M2" s="163"/>
      <c r="N2" s="162">
        <v>0.71725798332735735</v>
      </c>
      <c r="O2" s="163"/>
      <c r="P2" s="162">
        <v>0.40570402869962474</v>
      </c>
      <c r="Q2" s="163"/>
      <c r="R2" s="162">
        <v>0.44612860864802512</v>
      </c>
      <c r="S2" s="163"/>
      <c r="T2" s="162">
        <v>0.38147000734072717</v>
      </c>
      <c r="U2" s="163"/>
      <c r="V2" s="162">
        <v>0.60059557897878213</v>
      </c>
      <c r="W2" s="163"/>
      <c r="X2" s="162">
        <v>-0.19134544276315485</v>
      </c>
      <c r="Y2" s="163"/>
      <c r="Z2" s="162">
        <v>7.5649248606163094E-2</v>
      </c>
      <c r="AA2" s="163"/>
      <c r="AB2" s="162">
        <v>0.53679034681055648</v>
      </c>
      <c r="AC2" s="163"/>
      <c r="AD2" s="162">
        <v>-5.0059534874623984E-4</v>
      </c>
      <c r="AE2" s="163"/>
      <c r="AF2" s="162">
        <v>-0.42481254925639877</v>
      </c>
      <c r="AG2" s="163"/>
      <c r="AH2" s="162">
        <v>0.88322582596079147</v>
      </c>
      <c r="AI2" s="163"/>
    </row>
    <row r="3" spans="1:35">
      <c r="A3" s="60">
        <v>1</v>
      </c>
      <c r="B3" s="61" t="s">
        <v>114</v>
      </c>
      <c r="C3" s="132">
        <v>51.25</v>
      </c>
      <c r="D3" s="61" t="s">
        <v>169</v>
      </c>
      <c r="E3" s="62">
        <v>577.00000000000011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169</v>
      </c>
      <c r="AI3" s="77">
        <v>71300</v>
      </c>
    </row>
    <row r="4" spans="1:35">
      <c r="A4" s="68">
        <v>2</v>
      </c>
      <c r="B4" s="69" t="s">
        <v>169</v>
      </c>
      <c r="C4" s="133">
        <v>30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205</v>
      </c>
      <c r="AC4" s="74">
        <v>0.8571428571428571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114</v>
      </c>
      <c r="AI4" s="78">
        <v>71300</v>
      </c>
    </row>
    <row r="5" spans="1:35">
      <c r="A5" s="68">
        <v>3</v>
      </c>
      <c r="B5" s="69" t="s">
        <v>195</v>
      </c>
      <c r="C5" s="133">
        <v>22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205</v>
      </c>
      <c r="U5" s="75">
        <v>8333.3333333333339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228</v>
      </c>
      <c r="AC5" s="74">
        <v>0.8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19.233333333333338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8.7336244541484712E-2</v>
      </c>
      <c r="T6" s="71" t="s">
        <v>216</v>
      </c>
      <c r="U6" s="75">
        <v>8157.1428571428569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162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2.0666666666666669</v>
      </c>
      <c r="J7" s="71" t="s">
        <v>228</v>
      </c>
      <c r="K7" s="73">
        <v>0.5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7998.1132075471696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166</v>
      </c>
      <c r="AC7" s="74">
        <v>0.75</v>
      </c>
      <c r="AD7" s="71" t="s">
        <v>179</v>
      </c>
      <c r="AE7" s="74">
        <v>0.45454545454545453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0.4</v>
      </c>
      <c r="L8" s="71" t="s">
        <v>231</v>
      </c>
      <c r="M8" s="73">
        <v>0</v>
      </c>
      <c r="N8" s="71" t="s">
        <v>169</v>
      </c>
      <c r="O8" s="73">
        <v>0.6333333333333333</v>
      </c>
      <c r="P8" s="71" t="s">
        <v>228</v>
      </c>
      <c r="Q8" s="74">
        <v>0.25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0.26666666666666666</v>
      </c>
      <c r="AB8" s="71" t="s">
        <v>175</v>
      </c>
      <c r="AC8" s="74">
        <v>0.75</v>
      </c>
      <c r="AD8" s="71" t="s">
        <v>216</v>
      </c>
      <c r="AE8" s="74">
        <v>0.4</v>
      </c>
      <c r="AF8" s="71" t="s">
        <v>223</v>
      </c>
      <c r="AG8" s="74">
        <v>0.5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228</v>
      </c>
      <c r="E9" s="70">
        <v>28.000000000000014</v>
      </c>
      <c r="F9" s="71" t="s">
        <v>228</v>
      </c>
      <c r="G9" s="83">
        <v>7.0000000000000036</v>
      </c>
      <c r="H9" s="71" t="s">
        <v>168</v>
      </c>
      <c r="I9" s="72">
        <v>2.3333333333333335</v>
      </c>
      <c r="J9" s="71" t="s">
        <v>168</v>
      </c>
      <c r="K9" s="73">
        <v>0.3888888888888889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179</v>
      </c>
      <c r="Q9" s="74">
        <v>0.24427480916030533</v>
      </c>
      <c r="R9" s="71" t="s">
        <v>179</v>
      </c>
      <c r="S9" s="74">
        <v>0.10687022900763359</v>
      </c>
      <c r="T9" s="71" t="s">
        <v>162</v>
      </c>
      <c r="U9" s="75">
        <v>7942.8571428571431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177</v>
      </c>
      <c r="AC9" s="74">
        <v>0.75</v>
      </c>
      <c r="AD9" s="71" t="s">
        <v>161</v>
      </c>
      <c r="AE9" s="74">
        <v>0.3888888888888889</v>
      </c>
      <c r="AF9" s="71" t="s">
        <v>161</v>
      </c>
      <c r="AG9" s="74">
        <v>0.4375</v>
      </c>
      <c r="AH9" s="71" t="s">
        <v>179</v>
      </c>
      <c r="AI9" s="78">
        <v>53200</v>
      </c>
    </row>
    <row r="10" spans="1:35">
      <c r="A10" s="68">
        <v>8</v>
      </c>
      <c r="B10" s="69" t="s">
        <v>216</v>
      </c>
      <c r="C10" s="133">
        <v>11</v>
      </c>
      <c r="D10" s="69" t="s">
        <v>164</v>
      </c>
      <c r="E10" s="70">
        <v>22.499999999999993</v>
      </c>
      <c r="F10" s="71" t="s">
        <v>191</v>
      </c>
      <c r="G10" s="83">
        <v>5.6642857142857128</v>
      </c>
      <c r="H10" s="71" t="s">
        <v>179</v>
      </c>
      <c r="I10" s="72">
        <v>2.4375</v>
      </c>
      <c r="J10" s="71" t="s">
        <v>163</v>
      </c>
      <c r="K10" s="73">
        <v>0.375</v>
      </c>
      <c r="L10" s="71" t="s">
        <v>169</v>
      </c>
      <c r="M10" s="73">
        <v>0.1</v>
      </c>
      <c r="N10" s="71" t="s">
        <v>168</v>
      </c>
      <c r="O10" s="73">
        <v>0.55555555555555558</v>
      </c>
      <c r="P10" s="71" t="s">
        <v>169</v>
      </c>
      <c r="Q10" s="74">
        <v>0.23144104803493451</v>
      </c>
      <c r="R10" s="71" t="s">
        <v>205</v>
      </c>
      <c r="S10" s="74">
        <v>0.10714285714285714</v>
      </c>
      <c r="T10" s="71" t="s">
        <v>228</v>
      </c>
      <c r="U10" s="75">
        <v>7850</v>
      </c>
      <c r="V10" s="71" t="s">
        <v>169</v>
      </c>
      <c r="W10" s="75">
        <v>-4890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168</v>
      </c>
      <c r="AC10" s="74">
        <v>0.7142857142857143</v>
      </c>
      <c r="AD10" s="71" t="s">
        <v>168</v>
      </c>
      <c r="AE10" s="74">
        <v>0.38297872340425532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10</v>
      </c>
      <c r="D11" s="69" t="s">
        <v>163</v>
      </c>
      <c r="E11" s="70">
        <v>20.300000000000004</v>
      </c>
      <c r="F11" s="71" t="s">
        <v>163</v>
      </c>
      <c r="G11" s="83">
        <v>2.5375000000000005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0.18181818181818182</v>
      </c>
      <c r="N11" s="71" t="s">
        <v>213</v>
      </c>
      <c r="O11" s="73">
        <v>0.55555555555555558</v>
      </c>
      <c r="P11" s="71" t="s">
        <v>195</v>
      </c>
      <c r="Q11" s="74">
        <v>0.22</v>
      </c>
      <c r="R11" s="71" t="s">
        <v>166</v>
      </c>
      <c r="S11" s="74">
        <v>0.11428571428571428</v>
      </c>
      <c r="T11" s="71" t="s">
        <v>164</v>
      </c>
      <c r="U11" s="75">
        <v>7355</v>
      </c>
      <c r="V11" s="71" t="s">
        <v>162</v>
      </c>
      <c r="W11" s="75">
        <v>-5000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169</v>
      </c>
      <c r="AC11" s="74">
        <v>0.7</v>
      </c>
      <c r="AD11" s="71" t="s">
        <v>169</v>
      </c>
      <c r="AE11" s="74">
        <v>0.36585365853658536</v>
      </c>
      <c r="AF11" s="71" t="s">
        <v>195</v>
      </c>
      <c r="AG11" s="74">
        <v>0.42424242424242425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9</v>
      </c>
      <c r="D12" s="69" t="s">
        <v>167</v>
      </c>
      <c r="E12" s="70">
        <v>14</v>
      </c>
      <c r="F12" s="71" t="s">
        <v>177</v>
      </c>
      <c r="G12" s="83">
        <v>1.9499999999999993</v>
      </c>
      <c r="H12" s="71" t="s">
        <v>114</v>
      </c>
      <c r="I12" s="72">
        <v>2.4829268292682927</v>
      </c>
      <c r="J12" s="71" t="s">
        <v>114</v>
      </c>
      <c r="K12" s="73">
        <v>0.25853658536585367</v>
      </c>
      <c r="L12" s="71" t="s">
        <v>179</v>
      </c>
      <c r="M12" s="73">
        <v>0.1875</v>
      </c>
      <c r="N12" s="71" t="s">
        <v>114</v>
      </c>
      <c r="O12" s="73">
        <v>0.5024390243902439</v>
      </c>
      <c r="P12" s="71" t="s">
        <v>163</v>
      </c>
      <c r="Q12" s="74">
        <v>0.21739130434782608</v>
      </c>
      <c r="R12" s="71" t="s">
        <v>163</v>
      </c>
      <c r="S12" s="74">
        <v>0.11594202898550725</v>
      </c>
      <c r="T12" s="71" t="s">
        <v>213</v>
      </c>
      <c r="U12" s="75">
        <v>7300</v>
      </c>
      <c r="V12" s="71" t="s">
        <v>203</v>
      </c>
      <c r="W12" s="75">
        <v>-5080</v>
      </c>
      <c r="X12" s="71" t="s">
        <v>195</v>
      </c>
      <c r="Y12" s="74">
        <v>0.22666666666666666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191</v>
      </c>
      <c r="AE12" s="74">
        <v>0.35714285714285715</v>
      </c>
      <c r="AF12" s="71" t="s">
        <v>205</v>
      </c>
      <c r="AG12" s="74">
        <v>0.41666666666666669</v>
      </c>
      <c r="AH12" s="71" t="s">
        <v>195</v>
      </c>
      <c r="AI12" s="78">
        <v>48000</v>
      </c>
    </row>
    <row r="13" spans="1:35">
      <c r="A13" s="68">
        <v>11</v>
      </c>
      <c r="B13" s="69" t="s">
        <v>213</v>
      </c>
      <c r="C13" s="133">
        <v>9</v>
      </c>
      <c r="D13" s="69" t="s">
        <v>177</v>
      </c>
      <c r="E13" s="70">
        <v>3.8999999999999986</v>
      </c>
      <c r="F13" s="71" t="s">
        <v>164</v>
      </c>
      <c r="G13" s="83">
        <v>1.4999999999999996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177</v>
      </c>
      <c r="Q13" s="74">
        <v>0.21052631578947367</v>
      </c>
      <c r="R13" s="71" t="s">
        <v>213</v>
      </c>
      <c r="S13" s="74">
        <v>0.12244897959183673</v>
      </c>
      <c r="T13" s="71" t="s">
        <v>223</v>
      </c>
      <c r="U13" s="75">
        <v>7200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161</v>
      </c>
      <c r="AC13" s="74">
        <v>0.53846153846153844</v>
      </c>
      <c r="AD13" s="71" t="s">
        <v>114</v>
      </c>
      <c r="AE13" s="74">
        <v>0.34969325153374231</v>
      </c>
      <c r="AF13" s="71" t="s">
        <v>168</v>
      </c>
      <c r="AG13" s="74">
        <v>0.39534883720930231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161</v>
      </c>
      <c r="E14" s="70">
        <v>-0.69999999999998863</v>
      </c>
      <c r="F14" s="71" t="s">
        <v>161</v>
      </c>
      <c r="G14" s="83">
        <v>-6.9999999999998869E-2</v>
      </c>
      <c r="H14" s="71" t="s">
        <v>163</v>
      </c>
      <c r="I14" s="72">
        <v>2.5</v>
      </c>
      <c r="J14" s="71" t="s">
        <v>191</v>
      </c>
      <c r="K14" s="73">
        <v>0.21428571428571427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114</v>
      </c>
      <c r="Q14" s="74">
        <v>0.20884840598568641</v>
      </c>
      <c r="R14" s="71" t="s">
        <v>162</v>
      </c>
      <c r="S14" s="74">
        <v>0.12820512820512819</v>
      </c>
      <c r="T14" s="71" t="s">
        <v>161</v>
      </c>
      <c r="U14" s="75">
        <v>7025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114</v>
      </c>
      <c r="AC14" s="74">
        <v>0.52842809364548493</v>
      </c>
      <c r="AD14" s="71" t="s">
        <v>177</v>
      </c>
      <c r="AE14" s="74">
        <v>0.33333333333333331</v>
      </c>
      <c r="AF14" s="71" t="s">
        <v>179</v>
      </c>
      <c r="AG14" s="74">
        <v>0.375</v>
      </c>
      <c r="AH14" s="71" t="s">
        <v>228</v>
      </c>
      <c r="AI14" s="78">
        <v>42500</v>
      </c>
    </row>
    <row r="15" spans="1:35">
      <c r="A15" s="68">
        <v>13</v>
      </c>
      <c r="B15" s="69" t="s">
        <v>203</v>
      </c>
      <c r="C15" s="133">
        <v>5</v>
      </c>
      <c r="D15" s="69" t="s">
        <v>175</v>
      </c>
      <c r="E15" s="70">
        <v>-2.2000000000000011</v>
      </c>
      <c r="F15" s="71" t="s">
        <v>114</v>
      </c>
      <c r="G15" s="83">
        <v>-0.14634146341463428</v>
      </c>
      <c r="H15" s="71" t="s">
        <v>175</v>
      </c>
      <c r="I15" s="72">
        <v>2.5</v>
      </c>
      <c r="J15" s="71" t="s">
        <v>164</v>
      </c>
      <c r="K15" s="73">
        <v>0.2</v>
      </c>
      <c r="L15" s="71" t="s">
        <v>114</v>
      </c>
      <c r="M15" s="73">
        <v>0.24390243902439024</v>
      </c>
      <c r="N15" s="71" t="s">
        <v>163</v>
      </c>
      <c r="O15" s="73">
        <v>0.5</v>
      </c>
      <c r="P15" s="71" t="s">
        <v>227</v>
      </c>
      <c r="Q15" s="74">
        <v>0.20833333333333334</v>
      </c>
      <c r="R15" s="71" t="s">
        <v>191</v>
      </c>
      <c r="S15" s="74">
        <v>0.13043478260869565</v>
      </c>
      <c r="T15" s="71" t="s">
        <v>191</v>
      </c>
      <c r="U15" s="75">
        <v>6733.333333333333</v>
      </c>
      <c r="V15" s="71" t="s">
        <v>168</v>
      </c>
      <c r="W15" s="75">
        <v>-5835.7142857142853</v>
      </c>
      <c r="X15" s="71" t="s">
        <v>228</v>
      </c>
      <c r="Y15" s="74">
        <v>0.20833333333333334</v>
      </c>
      <c r="Z15" s="71" t="s">
        <v>114</v>
      </c>
      <c r="AA15" s="74">
        <v>0.21210149642160053</v>
      </c>
      <c r="AB15" s="71" t="s">
        <v>195</v>
      </c>
      <c r="AC15" s="74">
        <v>0.5</v>
      </c>
      <c r="AD15" s="71" t="s">
        <v>205</v>
      </c>
      <c r="AE15" s="74">
        <v>0.33333333333333331</v>
      </c>
      <c r="AF15" s="71" t="s">
        <v>114</v>
      </c>
      <c r="AG15" s="74">
        <v>0.34890965732087226</v>
      </c>
      <c r="AH15" s="71" t="s">
        <v>163</v>
      </c>
      <c r="AI15" s="78">
        <v>41700</v>
      </c>
    </row>
    <row r="16" spans="1:35">
      <c r="A16" s="68">
        <v>14</v>
      </c>
      <c r="B16" s="69" t="s">
        <v>166</v>
      </c>
      <c r="C16" s="133">
        <v>4</v>
      </c>
      <c r="D16" s="69" t="s">
        <v>215</v>
      </c>
      <c r="E16" s="70">
        <v>-14.4</v>
      </c>
      <c r="F16" s="71" t="s">
        <v>175</v>
      </c>
      <c r="G16" s="83">
        <v>-1.1000000000000005</v>
      </c>
      <c r="H16" s="71" t="s">
        <v>177</v>
      </c>
      <c r="I16" s="72">
        <v>2.5</v>
      </c>
      <c r="J16" s="71" t="s">
        <v>195</v>
      </c>
      <c r="K16" s="73">
        <v>0.13636363636363635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161</v>
      </c>
      <c r="Q16" s="74">
        <v>0.20779220779220781</v>
      </c>
      <c r="R16" s="71" t="s">
        <v>175</v>
      </c>
      <c r="S16" s="74">
        <v>0.13333333333333333</v>
      </c>
      <c r="T16" s="71" t="s">
        <v>114</v>
      </c>
      <c r="U16" s="75">
        <v>6576.6355140186915</v>
      </c>
      <c r="V16" s="71" t="s">
        <v>177</v>
      </c>
      <c r="W16" s="75">
        <v>-5950</v>
      </c>
      <c r="X16" s="71" t="s">
        <v>213</v>
      </c>
      <c r="Y16" s="74">
        <v>0.20408163265306123</v>
      </c>
      <c r="Z16" s="71" t="s">
        <v>227</v>
      </c>
      <c r="AA16" s="74">
        <v>0.20833333333333334</v>
      </c>
      <c r="AB16" s="71" t="s">
        <v>163</v>
      </c>
      <c r="AC16" s="74">
        <v>0.5</v>
      </c>
      <c r="AD16" s="71" t="s">
        <v>228</v>
      </c>
      <c r="AE16" s="74">
        <v>0.33333333333333331</v>
      </c>
      <c r="AF16" s="71" t="s">
        <v>175</v>
      </c>
      <c r="AG16" s="74">
        <v>0.33333333333333331</v>
      </c>
      <c r="AH16" s="71" t="s">
        <v>231</v>
      </c>
      <c r="AI16" s="78">
        <v>41300</v>
      </c>
    </row>
    <row r="17" spans="1:35">
      <c r="A17" s="68">
        <v>15</v>
      </c>
      <c r="B17" s="69" t="s">
        <v>205</v>
      </c>
      <c r="C17" s="133">
        <v>4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228</v>
      </c>
      <c r="I17" s="72">
        <v>2.5</v>
      </c>
      <c r="J17" s="71" t="s">
        <v>216</v>
      </c>
      <c r="K17" s="73">
        <v>9.0909090909090912E-2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166</v>
      </c>
      <c r="Q17" s="74">
        <v>0.2</v>
      </c>
      <c r="R17" s="71" t="s">
        <v>199</v>
      </c>
      <c r="S17" s="74">
        <v>0.13333333333333333</v>
      </c>
      <c r="T17" s="71" t="s">
        <v>203</v>
      </c>
      <c r="U17" s="75">
        <v>6275</v>
      </c>
      <c r="V17" s="71" t="s">
        <v>213</v>
      </c>
      <c r="W17" s="75">
        <v>-5966.666666666667</v>
      </c>
      <c r="X17" s="71" t="s">
        <v>163</v>
      </c>
      <c r="Y17" s="74">
        <v>0.20289855072463769</v>
      </c>
      <c r="Z17" s="71" t="s">
        <v>169</v>
      </c>
      <c r="AA17" s="74">
        <v>0.17903930131004367</v>
      </c>
      <c r="AB17" s="71" t="s">
        <v>167</v>
      </c>
      <c r="AC17" s="74">
        <v>0.5</v>
      </c>
      <c r="AD17" s="71" t="s">
        <v>195</v>
      </c>
      <c r="AE17" s="74">
        <v>0.32500000000000001</v>
      </c>
      <c r="AF17" s="71" t="s">
        <v>228</v>
      </c>
      <c r="AG17" s="74">
        <v>0.33333333333333331</v>
      </c>
      <c r="AH17" s="71" t="s">
        <v>216</v>
      </c>
      <c r="AI17" s="78">
        <v>36500</v>
      </c>
    </row>
    <row r="18" spans="1:35">
      <c r="A18" s="68">
        <v>16</v>
      </c>
      <c r="B18" s="69" t="s">
        <v>223</v>
      </c>
      <c r="C18" s="133">
        <v>4</v>
      </c>
      <c r="D18" s="69" t="s">
        <v>114</v>
      </c>
      <c r="E18" s="70">
        <v>-30.000000000000028</v>
      </c>
      <c r="F18" s="71" t="s">
        <v>213</v>
      </c>
      <c r="G18" s="83">
        <v>-11.033333333333335</v>
      </c>
      <c r="H18" s="71" t="s">
        <v>213</v>
      </c>
      <c r="I18" s="72">
        <v>2.6666666666666665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175</v>
      </c>
      <c r="Q18" s="74">
        <v>0.2</v>
      </c>
      <c r="R18" s="71" t="s">
        <v>114</v>
      </c>
      <c r="S18" s="74">
        <v>0.13597918022121014</v>
      </c>
      <c r="T18" s="71" t="s">
        <v>163</v>
      </c>
      <c r="U18" s="75">
        <v>5993.333333333333</v>
      </c>
      <c r="V18" s="71" t="s">
        <v>114</v>
      </c>
      <c r="W18" s="75">
        <v>-6211.0047846889956</v>
      </c>
      <c r="X18" s="71" t="s">
        <v>168</v>
      </c>
      <c r="Y18" s="74">
        <v>0.19718309859154928</v>
      </c>
      <c r="Z18" s="71" t="s">
        <v>202</v>
      </c>
      <c r="AA18" s="74">
        <v>0.17647058823529413</v>
      </c>
      <c r="AB18" s="71" t="s">
        <v>216</v>
      </c>
      <c r="AC18" s="74">
        <v>0.45454545454545453</v>
      </c>
      <c r="AD18" s="71" t="s">
        <v>163</v>
      </c>
      <c r="AE18" s="74">
        <v>0.31818181818181818</v>
      </c>
      <c r="AF18" s="71" t="s">
        <v>216</v>
      </c>
      <c r="AG18" s="74">
        <v>0.2857142857142857</v>
      </c>
      <c r="AH18" s="71" t="s">
        <v>213</v>
      </c>
      <c r="AI18" s="78">
        <v>34800</v>
      </c>
    </row>
    <row r="19" spans="1:35">
      <c r="A19" s="68">
        <v>17</v>
      </c>
      <c r="B19" s="69" t="s">
        <v>228</v>
      </c>
      <c r="C19" s="133">
        <v>4</v>
      </c>
      <c r="D19" s="69" t="s">
        <v>179</v>
      </c>
      <c r="E19" s="70">
        <v>-34.6</v>
      </c>
      <c r="F19" s="71" t="s">
        <v>195</v>
      </c>
      <c r="G19" s="83">
        <v>-11.345454545454546</v>
      </c>
      <c r="H19" s="71" t="s">
        <v>195</v>
      </c>
      <c r="I19" s="72">
        <v>2.7272727272727271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191</v>
      </c>
      <c r="Q19" s="74">
        <v>0.18260869565217391</v>
      </c>
      <c r="R19" s="71" t="s">
        <v>195</v>
      </c>
      <c r="S19" s="74">
        <v>0.15333333333333332</v>
      </c>
      <c r="T19" s="71" t="s">
        <v>168</v>
      </c>
      <c r="U19" s="75">
        <v>5988.3720930232557</v>
      </c>
      <c r="V19" s="71" t="s">
        <v>208</v>
      </c>
      <c r="W19" s="75">
        <v>-6340</v>
      </c>
      <c r="X19" s="71" t="s">
        <v>114</v>
      </c>
      <c r="Y19" s="74">
        <v>0.19453480806766429</v>
      </c>
      <c r="Z19" s="71" t="s">
        <v>166</v>
      </c>
      <c r="AA19" s="74">
        <v>0.17142857142857143</v>
      </c>
      <c r="AB19" s="71" t="s">
        <v>179</v>
      </c>
      <c r="AC19" s="74">
        <v>0.4</v>
      </c>
      <c r="AD19" s="71" t="s">
        <v>164</v>
      </c>
      <c r="AE19" s="74">
        <v>0.22580645161290322</v>
      </c>
      <c r="AF19" s="71" t="s">
        <v>177</v>
      </c>
      <c r="AG19" s="74">
        <v>0.25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180</v>
      </c>
      <c r="E20" s="70">
        <v>-52.6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177</v>
      </c>
      <c r="U20" s="75">
        <v>5900</v>
      </c>
      <c r="V20" s="71" t="s">
        <v>161</v>
      </c>
      <c r="W20" s="75">
        <v>-6514.2857142857147</v>
      </c>
      <c r="X20" s="71" t="s">
        <v>179</v>
      </c>
      <c r="Y20" s="74">
        <v>0.19083969465648856</v>
      </c>
      <c r="Z20" s="71" t="s">
        <v>215</v>
      </c>
      <c r="AA20" s="74">
        <v>0.16666666666666666</v>
      </c>
      <c r="AB20" s="71" t="s">
        <v>213</v>
      </c>
      <c r="AC20" s="74">
        <v>0.4</v>
      </c>
      <c r="AD20" s="71" t="s">
        <v>227</v>
      </c>
      <c r="AE20" s="74">
        <v>0.2</v>
      </c>
      <c r="AF20" s="71" t="s">
        <v>231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227</v>
      </c>
      <c r="E21" s="70">
        <v>-64.500000000000014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216</v>
      </c>
      <c r="M21" s="73">
        <v>0.36363636363636365</v>
      </c>
      <c r="N21" s="71" t="s">
        <v>216</v>
      </c>
      <c r="O21" s="73">
        <v>0.36363636363636365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227</v>
      </c>
      <c r="U21" s="75">
        <v>5480</v>
      </c>
      <c r="V21" s="71" t="s">
        <v>180</v>
      </c>
      <c r="W21" s="75">
        <v>-6600</v>
      </c>
      <c r="X21" s="71" t="s">
        <v>169</v>
      </c>
      <c r="Y21" s="74">
        <v>0.17467248908296942</v>
      </c>
      <c r="Z21" s="71" t="s">
        <v>177</v>
      </c>
      <c r="AA21" s="74">
        <v>0.15789473684210525</v>
      </c>
      <c r="AB21" s="71" t="s">
        <v>191</v>
      </c>
      <c r="AC21" s="74">
        <v>0.33333333333333331</v>
      </c>
      <c r="AD21" s="71" t="s">
        <v>231</v>
      </c>
      <c r="AE21" s="74">
        <v>0.2</v>
      </c>
      <c r="AF21" s="71" t="s">
        <v>169</v>
      </c>
      <c r="AG21" s="74">
        <v>0.20754716981132076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223</v>
      </c>
      <c r="E22" s="70">
        <v>-72.5</v>
      </c>
      <c r="F22" s="71" t="s">
        <v>223</v>
      </c>
      <c r="G22" s="83">
        <v>-18.125</v>
      </c>
      <c r="H22" s="71" t="s">
        <v>216</v>
      </c>
      <c r="I22" s="72">
        <v>2.9090909090909092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195</v>
      </c>
      <c r="O22" s="73">
        <v>0.31818181818181818</v>
      </c>
      <c r="P22" s="71" t="s">
        <v>196</v>
      </c>
      <c r="Q22" s="74">
        <v>0.125</v>
      </c>
      <c r="R22" s="71" t="s">
        <v>202</v>
      </c>
      <c r="S22" s="74">
        <v>0.17647058823529413</v>
      </c>
      <c r="T22" s="71" t="s">
        <v>195</v>
      </c>
      <c r="U22" s="75">
        <v>5039.393939393939</v>
      </c>
      <c r="V22" s="71" t="s">
        <v>228</v>
      </c>
      <c r="W22" s="75">
        <v>-6780</v>
      </c>
      <c r="X22" s="71" t="s">
        <v>161</v>
      </c>
      <c r="Y22" s="74">
        <v>0.16883116883116883</v>
      </c>
      <c r="Z22" s="71" t="s">
        <v>167</v>
      </c>
      <c r="AA22" s="74">
        <v>0.14285714285714285</v>
      </c>
      <c r="AB22" s="71" t="s">
        <v>203</v>
      </c>
      <c r="AC22" s="74">
        <v>0.33333333333333331</v>
      </c>
      <c r="AD22" s="71" t="s">
        <v>203</v>
      </c>
      <c r="AE22" s="74">
        <v>0.16666666666666666</v>
      </c>
      <c r="AF22" s="71" t="s">
        <v>164</v>
      </c>
      <c r="AG22" s="74">
        <v>0.2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199</v>
      </c>
      <c r="E23" s="70">
        <v>-97.4</v>
      </c>
      <c r="F23" s="71" t="s">
        <v>216</v>
      </c>
      <c r="G23" s="83">
        <v>-18.918181818181814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203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161</v>
      </c>
      <c r="S23" s="74">
        <v>0.18181818181818182</v>
      </c>
      <c r="T23" s="71" t="s">
        <v>179</v>
      </c>
      <c r="U23" s="75">
        <v>4909.375</v>
      </c>
      <c r="V23" s="71" t="s">
        <v>195</v>
      </c>
      <c r="W23" s="75">
        <v>-6834.782608695652</v>
      </c>
      <c r="X23" s="71" t="s">
        <v>216</v>
      </c>
      <c r="Y23" s="74">
        <v>0.16666666666666666</v>
      </c>
      <c r="Z23" s="71" t="s">
        <v>203</v>
      </c>
      <c r="AA23" s="74">
        <v>0.13953488372093023</v>
      </c>
      <c r="AB23" s="71" t="s">
        <v>223</v>
      </c>
      <c r="AC23" s="74">
        <v>0.33333333333333331</v>
      </c>
      <c r="AD23" s="71" t="s">
        <v>167</v>
      </c>
      <c r="AE23" s="74">
        <v>0</v>
      </c>
      <c r="AF23" s="71" t="s">
        <v>227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213</v>
      </c>
      <c r="E24" s="70">
        <v>-99.300000000000011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166</v>
      </c>
      <c r="M24" s="73">
        <v>0.5</v>
      </c>
      <c r="N24" s="71" t="s">
        <v>180</v>
      </c>
      <c r="O24" s="73">
        <v>0</v>
      </c>
      <c r="P24" s="71" t="s">
        <v>216</v>
      </c>
      <c r="Q24" s="74">
        <v>0.10606060606060606</v>
      </c>
      <c r="R24" s="71" t="s">
        <v>216</v>
      </c>
      <c r="S24" s="74">
        <v>0.18181818181818182</v>
      </c>
      <c r="T24" s="71" t="s">
        <v>215</v>
      </c>
      <c r="U24" s="75">
        <v>3900</v>
      </c>
      <c r="V24" s="71" t="s">
        <v>163</v>
      </c>
      <c r="W24" s="75">
        <v>-7212.5</v>
      </c>
      <c r="X24" s="71" t="s">
        <v>231</v>
      </c>
      <c r="Y24" s="74">
        <v>0.15384615384615385</v>
      </c>
      <c r="Z24" s="71" t="s">
        <v>228</v>
      </c>
      <c r="AA24" s="74">
        <v>0.125</v>
      </c>
      <c r="AB24" s="71" t="s">
        <v>164</v>
      </c>
      <c r="AC24" s="74">
        <v>0.3125</v>
      </c>
      <c r="AD24" s="71" t="s">
        <v>175</v>
      </c>
      <c r="AE24" s="74">
        <v>0</v>
      </c>
      <c r="AF24" s="71" t="s">
        <v>191</v>
      </c>
      <c r="AG24" s="74">
        <v>0.14285714285714285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202</v>
      </c>
      <c r="E25" s="70">
        <v>-105.9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177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166</v>
      </c>
      <c r="U25" s="75">
        <v>2928.5714285714284</v>
      </c>
      <c r="V25" s="71" t="s">
        <v>216</v>
      </c>
      <c r="W25" s="75">
        <v>-8025</v>
      </c>
      <c r="X25" s="71" t="s">
        <v>180</v>
      </c>
      <c r="Y25" s="74">
        <v>0.14285714285714285</v>
      </c>
      <c r="Z25" s="71" t="s">
        <v>162</v>
      </c>
      <c r="AA25" s="74">
        <v>0.11538461538461539</v>
      </c>
      <c r="AB25" s="71" t="s">
        <v>180</v>
      </c>
      <c r="AC25" s="74">
        <v>0</v>
      </c>
      <c r="AD25" s="71" t="s">
        <v>180</v>
      </c>
      <c r="AE25" s="74">
        <v>0</v>
      </c>
      <c r="AF25" s="71" t="s">
        <v>180</v>
      </c>
      <c r="AG25" s="74">
        <v>0</v>
      </c>
      <c r="AH25" s="71" t="s">
        <v>223</v>
      </c>
      <c r="AI25" s="78">
        <v>22100</v>
      </c>
    </row>
    <row r="26" spans="1:35">
      <c r="A26" s="68">
        <v>24</v>
      </c>
      <c r="B26" s="69" t="s">
        <v>231</v>
      </c>
      <c r="C26" s="133">
        <v>2</v>
      </c>
      <c r="D26" s="69" t="s">
        <v>166</v>
      </c>
      <c r="E26" s="70">
        <v>-127.99999999999999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228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202</v>
      </c>
      <c r="U26" s="75">
        <v>1300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216</v>
      </c>
      <c r="AA26" s="74">
        <v>7.575757575757576E-2</v>
      </c>
      <c r="AB26" s="71" t="s">
        <v>199</v>
      </c>
      <c r="AC26" s="74">
        <v>0</v>
      </c>
      <c r="AD26" s="71" t="s">
        <v>199</v>
      </c>
      <c r="AE26" s="74">
        <v>0</v>
      </c>
      <c r="AF26" s="71" t="s">
        <v>199</v>
      </c>
      <c r="AG26" s="74">
        <v>0</v>
      </c>
      <c r="AH26" s="71" t="s">
        <v>199</v>
      </c>
      <c r="AI26" s="78">
        <v>14100</v>
      </c>
    </row>
    <row r="27" spans="1:35">
      <c r="A27" s="68">
        <v>25</v>
      </c>
      <c r="B27" s="69" t="s">
        <v>167</v>
      </c>
      <c r="C27" s="133">
        <v>1</v>
      </c>
      <c r="D27" s="69" t="s">
        <v>208</v>
      </c>
      <c r="E27" s="70">
        <v>-132.69999999999999</v>
      </c>
      <c r="F27" s="71" t="s">
        <v>208</v>
      </c>
      <c r="G27" s="83">
        <v>-44.233333333333327</v>
      </c>
      <c r="H27" s="71" t="s">
        <v>208</v>
      </c>
      <c r="I27" s="72">
        <v>3.6666666666666665</v>
      </c>
      <c r="J27" s="71" t="s">
        <v>213</v>
      </c>
      <c r="K27" s="73">
        <v>0</v>
      </c>
      <c r="L27" s="71" t="s">
        <v>208</v>
      </c>
      <c r="M27" s="73">
        <v>0.66666666666666663</v>
      </c>
      <c r="N27" s="71" t="s">
        <v>203</v>
      </c>
      <c r="O27" s="73">
        <v>0</v>
      </c>
      <c r="P27" s="71" t="s">
        <v>202</v>
      </c>
      <c r="Q27" s="74">
        <v>5.8823529411764705E-2</v>
      </c>
      <c r="R27" s="71" t="s">
        <v>228</v>
      </c>
      <c r="S27" s="74">
        <v>0.20833333333333334</v>
      </c>
      <c r="T27" s="71" t="s">
        <v>196</v>
      </c>
      <c r="U27" s="75">
        <v>1000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213</v>
      </c>
      <c r="AA27" s="74">
        <v>4.0816326530612242E-2</v>
      </c>
      <c r="AB27" s="71" t="s">
        <v>196</v>
      </c>
      <c r="AC27" s="74">
        <v>0</v>
      </c>
      <c r="AD27" s="71" t="s">
        <v>202</v>
      </c>
      <c r="AE27" s="74">
        <v>0</v>
      </c>
      <c r="AF27" s="71" t="s">
        <v>196</v>
      </c>
      <c r="AG27" s="74">
        <v>0</v>
      </c>
      <c r="AH27" s="71" t="s">
        <v>202</v>
      </c>
      <c r="AI27" s="78">
        <v>13500</v>
      </c>
    </row>
    <row r="28" spans="1:35">
      <c r="A28" s="68">
        <v>26</v>
      </c>
      <c r="B28" s="69" t="s">
        <v>180</v>
      </c>
      <c r="C28" s="133">
        <v>1</v>
      </c>
      <c r="D28" s="69" t="s">
        <v>203</v>
      </c>
      <c r="E28" s="70">
        <v>-161.39999999999998</v>
      </c>
      <c r="F28" s="71" t="s">
        <v>199</v>
      </c>
      <c r="G28" s="83">
        <v>-48.7</v>
      </c>
      <c r="H28" s="71" t="s">
        <v>180</v>
      </c>
      <c r="I28" s="72">
        <v>4</v>
      </c>
      <c r="J28" s="71" t="s">
        <v>215</v>
      </c>
      <c r="K28" s="73">
        <v>0</v>
      </c>
      <c r="L28" s="71" t="s">
        <v>180</v>
      </c>
      <c r="M28" s="73">
        <v>1</v>
      </c>
      <c r="N28" s="71" t="s">
        <v>202</v>
      </c>
      <c r="O28" s="73">
        <v>0</v>
      </c>
      <c r="P28" s="71" t="s">
        <v>180</v>
      </c>
      <c r="Q28" s="74">
        <v>0</v>
      </c>
      <c r="R28" s="71" t="s">
        <v>208</v>
      </c>
      <c r="S28" s="74">
        <v>0.21739130434782608</v>
      </c>
      <c r="T28" s="71" t="s">
        <v>180</v>
      </c>
      <c r="U28" s="75">
        <v>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175</v>
      </c>
      <c r="AA28" s="74">
        <v>0</v>
      </c>
      <c r="AB28" s="71" t="s">
        <v>202</v>
      </c>
      <c r="AC28" s="74">
        <v>0</v>
      </c>
      <c r="AD28" s="71" t="s">
        <v>208</v>
      </c>
      <c r="AE28" s="74">
        <v>0</v>
      </c>
      <c r="AF28" s="71" t="s">
        <v>202</v>
      </c>
      <c r="AG28" s="74">
        <v>0</v>
      </c>
      <c r="AH28" s="71" t="s">
        <v>196</v>
      </c>
      <c r="AI28" s="78">
        <v>12900</v>
      </c>
    </row>
    <row r="29" spans="1:35">
      <c r="A29" s="68">
        <v>27</v>
      </c>
      <c r="B29" s="69" t="s">
        <v>196</v>
      </c>
      <c r="C29" s="133">
        <v>1</v>
      </c>
      <c r="D29" s="69" t="s">
        <v>216</v>
      </c>
      <c r="E29" s="70">
        <v>-208.09999999999997</v>
      </c>
      <c r="F29" s="71" t="s">
        <v>180</v>
      </c>
      <c r="G29" s="83">
        <v>-52.6</v>
      </c>
      <c r="H29" s="71" t="s">
        <v>199</v>
      </c>
      <c r="I29" s="72">
        <v>4</v>
      </c>
      <c r="J29" s="71" t="s">
        <v>223</v>
      </c>
      <c r="K29" s="73">
        <v>0</v>
      </c>
      <c r="L29" s="71" t="s">
        <v>199</v>
      </c>
      <c r="M29" s="73">
        <v>1</v>
      </c>
      <c r="N29" s="71" t="s">
        <v>208</v>
      </c>
      <c r="O29" s="73">
        <v>0</v>
      </c>
      <c r="P29" s="71" t="s">
        <v>199</v>
      </c>
      <c r="Q29" s="74">
        <v>0</v>
      </c>
      <c r="R29" s="71" t="s">
        <v>203</v>
      </c>
      <c r="S29" s="74">
        <v>0.23255813953488372</v>
      </c>
      <c r="T29" s="71" t="s">
        <v>199</v>
      </c>
      <c r="U29" s="75">
        <v>0</v>
      </c>
      <c r="V29" s="71" t="s">
        <v>199</v>
      </c>
      <c r="W29" s="75">
        <v>-10000</v>
      </c>
      <c r="X29" s="71" t="s">
        <v>199</v>
      </c>
      <c r="Y29" s="74">
        <v>6.6666666666666666E-2</v>
      </c>
      <c r="Z29" s="71" t="s">
        <v>208</v>
      </c>
      <c r="AA29" s="74">
        <v>0</v>
      </c>
      <c r="AB29" s="71" t="s">
        <v>208</v>
      </c>
      <c r="AC29" s="74">
        <v>0</v>
      </c>
      <c r="AD29" s="71" t="s">
        <v>213</v>
      </c>
      <c r="AE29" s="74">
        <v>0</v>
      </c>
      <c r="AF29" s="71" t="s">
        <v>208</v>
      </c>
      <c r="AG29" s="74">
        <v>0</v>
      </c>
      <c r="AH29" s="71" t="s">
        <v>208</v>
      </c>
      <c r="AI29" s="78">
        <v>10700</v>
      </c>
    </row>
    <row r="30" spans="1:35">
      <c r="A30" s="68">
        <v>28</v>
      </c>
      <c r="B30" s="69" t="s">
        <v>215</v>
      </c>
      <c r="C30" s="133">
        <v>1</v>
      </c>
      <c r="D30" s="69" t="s">
        <v>195</v>
      </c>
      <c r="E30" s="70">
        <v>-249.60000000000002</v>
      </c>
      <c r="F30" s="71" t="s">
        <v>202</v>
      </c>
      <c r="G30" s="83">
        <v>-52.95</v>
      </c>
      <c r="H30" s="71" t="s">
        <v>202</v>
      </c>
      <c r="I30" s="72">
        <v>4</v>
      </c>
      <c r="J30" s="71" t="s">
        <v>227</v>
      </c>
      <c r="K30" s="73">
        <v>0</v>
      </c>
      <c r="L30" s="71" t="s">
        <v>202</v>
      </c>
      <c r="M30" s="73">
        <v>1</v>
      </c>
      <c r="N30" s="71" t="s">
        <v>215</v>
      </c>
      <c r="O30" s="73">
        <v>0</v>
      </c>
      <c r="P30" s="71" t="s">
        <v>208</v>
      </c>
      <c r="Q30" s="74">
        <v>0</v>
      </c>
      <c r="R30" s="71" t="s">
        <v>180</v>
      </c>
      <c r="S30" s="74">
        <v>0.2857142857142857</v>
      </c>
      <c r="T30" s="71" t="s">
        <v>208</v>
      </c>
      <c r="U30" s="75">
        <v>0</v>
      </c>
      <c r="V30" s="71" t="s">
        <v>166</v>
      </c>
      <c r="W30" s="75">
        <v>-11400</v>
      </c>
      <c r="X30" s="71" t="s">
        <v>208</v>
      </c>
      <c r="Y30" s="74">
        <v>4.3478260869565216E-2</v>
      </c>
      <c r="Z30" s="71" t="s">
        <v>223</v>
      </c>
      <c r="AA30" s="74">
        <v>0</v>
      </c>
      <c r="AB30" s="71" t="s">
        <v>215</v>
      </c>
      <c r="AC30" s="74">
        <v>0</v>
      </c>
      <c r="AD30" s="71" t="s">
        <v>223</v>
      </c>
      <c r="AE30" s="74">
        <v>0</v>
      </c>
      <c r="AF30" s="71" t="s">
        <v>215</v>
      </c>
      <c r="AG30" s="74">
        <v>0</v>
      </c>
      <c r="AH30" s="71" t="s">
        <v>180</v>
      </c>
      <c r="AI30" s="78">
        <v>7400</v>
      </c>
    </row>
  </sheetData>
  <sortState xmlns:xlrd2="http://schemas.microsoft.com/office/spreadsheetml/2017/richdata2" ref="AH3:AI7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0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114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205</v>
      </c>
      <c r="C2" s="171"/>
      <c r="E2" s="54" t="s">
        <v>54</v>
      </c>
      <c r="F2" s="51" t="s">
        <v>20</v>
      </c>
      <c r="G2" s="39">
        <v>195</v>
      </c>
      <c r="H2" s="117">
        <f>IF(B$17=0,0,G2/B$17)</f>
        <v>0.60747663551401865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-53.658536585365852</v>
      </c>
      <c r="P2" s="103">
        <v>205</v>
      </c>
      <c r="Q2" s="87">
        <v>-11000</v>
      </c>
    </row>
    <row r="3" spans="1:17">
      <c r="A3" s="47" t="s">
        <v>8</v>
      </c>
      <c r="B3" s="172">
        <v>1537</v>
      </c>
      <c r="C3" s="173"/>
      <c r="E3" s="55" t="s">
        <v>184</v>
      </c>
      <c r="F3" s="52" t="s">
        <v>187</v>
      </c>
      <c r="G3" s="40">
        <v>157</v>
      </c>
      <c r="H3" s="118">
        <f>IF(B$17=0,0,G3/B$17)</f>
        <v>0.48909657320872274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-4.8780487804878048</v>
      </c>
      <c r="P3" s="104">
        <v>205</v>
      </c>
      <c r="Q3" s="88">
        <v>-1000</v>
      </c>
    </row>
    <row r="4" spans="1:17">
      <c r="A4" s="47" t="s">
        <v>6</v>
      </c>
      <c r="B4" s="174">
        <v>-30.000000000000028</v>
      </c>
      <c r="C4" s="175"/>
      <c r="E4" s="55" t="s">
        <v>181</v>
      </c>
      <c r="F4" s="52" t="s">
        <v>156</v>
      </c>
      <c r="G4" s="40">
        <v>156</v>
      </c>
      <c r="H4" s="118">
        <f>IF(B$17=0,0,G4/B$17)</f>
        <v>0.48598130841121495</v>
      </c>
      <c r="I4" s="80">
        <v>16</v>
      </c>
      <c r="K4" s="32">
        <v>2</v>
      </c>
      <c r="L4" s="85">
        <v>86.800000000000011</v>
      </c>
      <c r="N4" s="100" t="s">
        <v>105</v>
      </c>
      <c r="O4" s="107">
        <f t="shared" si="0"/>
        <v>0.97560975609756095</v>
      </c>
      <c r="P4" s="104">
        <v>205</v>
      </c>
      <c r="Q4" s="88">
        <v>200</v>
      </c>
    </row>
    <row r="5" spans="1:17">
      <c r="A5" s="47" t="s">
        <v>7</v>
      </c>
      <c r="B5" s="176">
        <f>IF(B$2=0,0,B$4/B$2)</f>
        <v>-0.14634146341463428</v>
      </c>
      <c r="C5" s="177"/>
      <c r="E5" s="55" t="s">
        <v>60</v>
      </c>
      <c r="F5" s="52" t="s">
        <v>24</v>
      </c>
      <c r="G5" s="40">
        <v>129</v>
      </c>
      <c r="H5" s="118">
        <f>IF(B$17=0,0,G5/B$17)</f>
        <v>0.40186915887850466</v>
      </c>
      <c r="I5" s="80">
        <v>12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185</v>
      </c>
      <c r="Q5" s="88">
        <v>0</v>
      </c>
    </row>
    <row r="6" spans="1:17">
      <c r="A6" s="47" t="s">
        <v>1</v>
      </c>
      <c r="B6" s="178">
        <f>IF(B$2=0,0,(B$7*1+B$8*2+B$9*3+B$10*4)/B$2)</f>
        <v>2.4829268292682927</v>
      </c>
      <c r="C6" s="179"/>
      <c r="E6" s="55" t="s">
        <v>55</v>
      </c>
      <c r="F6" s="52" t="s">
        <v>155</v>
      </c>
      <c r="G6" s="40">
        <v>83</v>
      </c>
      <c r="H6" s="118">
        <f>IF(B$17=0,0,G6/B$17)</f>
        <v>0.25856697819314639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21.428571428571427</v>
      </c>
      <c r="P6" s="104">
        <v>140</v>
      </c>
      <c r="Q6" s="88">
        <v>3000</v>
      </c>
    </row>
    <row r="7" spans="1:17">
      <c r="A7" s="47" t="s">
        <v>2</v>
      </c>
      <c r="B7" s="40">
        <v>53</v>
      </c>
      <c r="C7" s="33">
        <f t="shared" ref="C7:C12" si="2">IF(B$2=0,0,B7/B$2)</f>
        <v>0.25853658536585367</v>
      </c>
      <c r="E7" s="55" t="s">
        <v>57</v>
      </c>
      <c r="F7" s="52" t="s">
        <v>21</v>
      </c>
      <c r="G7" s="40">
        <v>78</v>
      </c>
      <c r="H7" s="118">
        <f>IF(B$17=0,0,G7/B$17)</f>
        <v>0.24299065420560748</v>
      </c>
      <c r="I7" s="80">
        <v>12</v>
      </c>
      <c r="K7" s="32">
        <v>5</v>
      </c>
      <c r="L7" s="85">
        <v>-14.199999999999992</v>
      </c>
      <c r="N7" s="100" t="s">
        <v>107</v>
      </c>
      <c r="O7" s="107">
        <f t="shared" si="0"/>
        <v>-80</v>
      </c>
      <c r="P7" s="104">
        <v>100</v>
      </c>
      <c r="Q7" s="88">
        <v>-8000</v>
      </c>
    </row>
    <row r="8" spans="1:17">
      <c r="A8" s="47" t="s">
        <v>3</v>
      </c>
      <c r="B8" s="40">
        <v>50</v>
      </c>
      <c r="C8" s="33">
        <f>IF(B$2=0,0,B8/B$2)</f>
        <v>0.24390243902439024</v>
      </c>
      <c r="E8" s="55" t="s">
        <v>56</v>
      </c>
      <c r="F8" s="52" t="s">
        <v>185</v>
      </c>
      <c r="G8" s="40">
        <v>75</v>
      </c>
      <c r="H8" s="118">
        <f>IF(B$17=0,0,G8/B$17)</f>
        <v>0.23364485981308411</v>
      </c>
      <c r="I8" s="80">
        <v>15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52</v>
      </c>
      <c r="C9" s="34">
        <f>IF(B$2=0,0,B9/B$2)</f>
        <v>0.25365853658536586</v>
      </c>
      <c r="E9" s="55" t="s">
        <v>59</v>
      </c>
      <c r="F9" s="52" t="s">
        <v>23</v>
      </c>
      <c r="G9" s="40">
        <v>54</v>
      </c>
      <c r="H9" s="118">
        <f>IF(B$17=0,0,G9/B$17)</f>
        <v>0.16822429906542055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50</v>
      </c>
      <c r="C10" s="34">
        <f>IF(B$2=0,0,B10/B$2)</f>
        <v>0.24390243902439024</v>
      </c>
      <c r="E10" s="55" t="s">
        <v>182</v>
      </c>
      <c r="F10" s="52" t="s">
        <v>19</v>
      </c>
      <c r="G10" s="40">
        <v>33</v>
      </c>
      <c r="H10" s="118">
        <f>IF(B$17=0,0,G10/B$17)</f>
        <v>0.10280373831775701</v>
      </c>
      <c r="I10" s="80">
        <v>9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103</v>
      </c>
      <c r="C11" s="34">
        <f>IF(B$2=0,0,B11/B$2)</f>
        <v>0.5024390243902439</v>
      </c>
      <c r="E11" s="55" t="s">
        <v>58</v>
      </c>
      <c r="F11" s="52" t="s">
        <v>22</v>
      </c>
      <c r="G11" s="40">
        <v>19</v>
      </c>
      <c r="H11" s="118">
        <f>IF(B$17=0,0,G11/B$17)</f>
        <v>5.9190031152647975E-2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5.3658536585365853E-2</v>
      </c>
      <c r="E12" s="55" t="s">
        <v>183</v>
      </c>
      <c r="F12" s="52" t="s">
        <v>186</v>
      </c>
      <c r="G12" s="40">
        <v>12</v>
      </c>
      <c r="H12" s="118">
        <f>IF(B$17=0,0,G12/B$17)</f>
        <v>3.7383177570093455E-2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-3.6173076923076937</v>
      </c>
      <c r="P12" s="103">
        <v>52</v>
      </c>
      <c r="Q12" s="91">
        <v>-188.10000000000008</v>
      </c>
    </row>
    <row r="13" spans="1:17">
      <c r="A13" s="50" t="s">
        <v>97</v>
      </c>
      <c r="B13" s="43">
        <v>299</v>
      </c>
      <c r="C13" s="38">
        <f>IF(B$3=0,0,B13/B$3)</f>
        <v>0.19453480806766429</v>
      </c>
      <c r="E13" s="55" t="s">
        <v>71</v>
      </c>
      <c r="F13" s="52" t="s">
        <v>35</v>
      </c>
      <c r="G13" s="40">
        <v>12</v>
      </c>
      <c r="H13" s="118">
        <f>IF(B$17=0,0,G13/B$17)</f>
        <v>3.7383177570093455E-2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2.9076923076923054</v>
      </c>
      <c r="P13" s="104">
        <v>52</v>
      </c>
      <c r="Q13" s="92">
        <v>151.19999999999987</v>
      </c>
    </row>
    <row r="14" spans="1:17">
      <c r="A14" s="47" t="s">
        <v>94</v>
      </c>
      <c r="B14" s="40">
        <v>326</v>
      </c>
      <c r="C14" s="33">
        <f>IF(B$3=0,0,B14/B$3)</f>
        <v>0.21210149642160053</v>
      </c>
      <c r="E14" s="55" t="s">
        <v>77</v>
      </c>
      <c r="F14" s="52" t="s">
        <v>41</v>
      </c>
      <c r="G14" s="40">
        <v>9</v>
      </c>
      <c r="H14" s="118">
        <f>IF(B$17=0,0,G14/B$17)</f>
        <v>2.8037383177570093E-2</v>
      </c>
      <c r="I14" s="80">
        <v>6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1.0500000000000027</v>
      </c>
      <c r="P14" s="104">
        <v>52</v>
      </c>
      <c r="Q14" s="92">
        <v>54.600000000000136</v>
      </c>
    </row>
    <row r="15" spans="1:17">
      <c r="A15" s="46" t="s">
        <v>99</v>
      </c>
      <c r="B15" s="39">
        <f>B21</f>
        <v>158</v>
      </c>
      <c r="C15" s="31">
        <f>IF(B$13=0,0,B15/B$13)</f>
        <v>0.52842809364548493</v>
      </c>
      <c r="E15" s="55" t="s">
        <v>74</v>
      </c>
      <c r="F15" s="52" t="s">
        <v>38</v>
      </c>
      <c r="G15" s="40">
        <v>7</v>
      </c>
      <c r="H15" s="118">
        <f>IF(B$17=0,0,G15/B$17)</f>
        <v>2.1806853582554516E-2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-0.91730769230769182</v>
      </c>
      <c r="P15" s="105">
        <v>52</v>
      </c>
      <c r="Q15" s="93">
        <v>-47.699999999999974</v>
      </c>
    </row>
    <row r="16" spans="1:17">
      <c r="A16" s="46" t="s">
        <v>100</v>
      </c>
      <c r="B16" s="39">
        <f>B22</f>
        <v>114</v>
      </c>
      <c r="C16" s="31">
        <f>IF(B$14=0,0,B16/B$14)</f>
        <v>0.34969325153374231</v>
      </c>
      <c r="E16" s="55" t="s">
        <v>67</v>
      </c>
      <c r="F16" s="52" t="s">
        <v>31</v>
      </c>
      <c r="G16" s="40">
        <v>6</v>
      </c>
      <c r="H16" s="118">
        <f>IF(B$17=0,0,G16/B$17)</f>
        <v>1.8691588785046728E-2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321</v>
      </c>
      <c r="C17" s="31">
        <f>IF(B$3=0,0,B17/B$3)</f>
        <v>0.20884840598568641</v>
      </c>
      <c r="E17" s="55" t="s">
        <v>66</v>
      </c>
      <c r="F17" s="52" t="s">
        <v>30</v>
      </c>
      <c r="G17" s="40">
        <v>4</v>
      </c>
      <c r="H17" s="118">
        <f>IF(B$17=0,0,G17/B$17)</f>
        <v>1.2461059190031152E-2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209</v>
      </c>
      <c r="C18" s="33">
        <f>IF(B$3=0,0,B18/B$3)</f>
        <v>0.13597918022121014</v>
      </c>
      <c r="E18" s="55" t="s">
        <v>62</v>
      </c>
      <c r="F18" s="52" t="s">
        <v>26</v>
      </c>
      <c r="G18" s="40">
        <v>2</v>
      </c>
      <c r="H18" s="118">
        <f>IF(B$17=0,0,G18/B$17)</f>
        <v>6.2305295950155761E-3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 t="shared" ref="O18:O44" si="3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112</v>
      </c>
      <c r="C19" s="33">
        <f>IF(B$17=0,0,B19/B$17)</f>
        <v>0.34890965732087226</v>
      </c>
      <c r="E19" s="55" t="s">
        <v>69</v>
      </c>
      <c r="F19" s="52" t="s">
        <v>33</v>
      </c>
      <c r="G19" s="40">
        <v>2</v>
      </c>
      <c r="H19" s="118">
        <f>IF(B$17=0,0,G19/B$17)</f>
        <v>6.2305295950155761E-3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 t="shared" si="3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209</v>
      </c>
      <c r="C20" s="33">
        <f>IF(B$17=0,0,B20/B$17)</f>
        <v>0.65109034267912769</v>
      </c>
      <c r="E20" s="55" t="s">
        <v>72</v>
      </c>
      <c r="F20" s="52" t="s">
        <v>36</v>
      </c>
      <c r="G20" s="40">
        <v>2</v>
      </c>
      <c r="H20" s="118">
        <f>IF(B$17=0,0,G20/B$17)</f>
        <v>6.2305295950155761E-3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3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158</v>
      </c>
      <c r="C21" s="33">
        <f>IF(B$17=0,0,B21/B$17)</f>
        <v>0.49221183800623053</v>
      </c>
      <c r="E21" s="55" t="s">
        <v>75</v>
      </c>
      <c r="F21" s="52" t="s">
        <v>39</v>
      </c>
      <c r="G21" s="40">
        <v>2</v>
      </c>
      <c r="H21" s="118">
        <f>IF(B$17=0,0,G21/B$17)</f>
        <v>6.2305295950155761E-3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 t="shared" si="3"/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114</v>
      </c>
      <c r="C22" s="33">
        <f>IF(B$17=0,0,B22/B$17)</f>
        <v>0.35514018691588783</v>
      </c>
      <c r="E22" s="55" t="s">
        <v>78</v>
      </c>
      <c r="F22" s="52" t="s">
        <v>42</v>
      </c>
      <c r="G22" s="40">
        <v>2</v>
      </c>
      <c r="H22" s="118">
        <f>IF(B$17=0,0,G22/B$17)</f>
        <v>6.2305295950155761E-3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 t="shared" si="3"/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49</v>
      </c>
      <c r="C23" s="33">
        <f>IF(B$17=0,0,B23/B$17)</f>
        <v>0.15264797507788161</v>
      </c>
      <c r="E23" s="55" t="s">
        <v>61</v>
      </c>
      <c r="F23" s="52" t="s">
        <v>25</v>
      </c>
      <c r="G23" s="40">
        <v>1</v>
      </c>
      <c r="H23" s="118">
        <f>IF(B$17=0,0,G23/B$17)</f>
        <v>3.1152647975077881E-3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 t="shared" si="3"/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6576.6355140186915</v>
      </c>
      <c r="C24" s="35">
        <v>2111100</v>
      </c>
      <c r="E24" s="55" t="s">
        <v>76</v>
      </c>
      <c r="F24" s="52" t="s">
        <v>40</v>
      </c>
      <c r="G24" s="40">
        <v>1</v>
      </c>
      <c r="H24" s="118">
        <f>IF(B$17=0,0,G24/B$17)</f>
        <v>3.1152647975077881E-3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 t="shared" si="3"/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7588.8888888888887</v>
      </c>
      <c r="C25" s="122">
        <v>1570900</v>
      </c>
      <c r="E25" s="55" t="s">
        <v>80</v>
      </c>
      <c r="F25" s="52" t="s">
        <v>44</v>
      </c>
      <c r="G25" s="40">
        <v>1</v>
      </c>
      <c r="H25" s="118">
        <f>IF(B$17=0,0,G25/B$17)</f>
        <v>3.1152647975077881E-3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 t="shared" si="3"/>
        <v>25.224242424242426</v>
      </c>
      <c r="P25" s="104">
        <v>33</v>
      </c>
      <c r="Q25" s="92">
        <v>832.40000000000009</v>
      </c>
    </row>
    <row r="26" spans="1:17">
      <c r="A26" s="48" t="s">
        <v>134</v>
      </c>
      <c r="B26" s="121">
        <f>IF(B$16=0,0,C26/B$16)</f>
        <v>4738.5964912280706</v>
      </c>
      <c r="C26" s="122">
        <v>540200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223</v>
      </c>
      <c r="O26" s="110">
        <f t="shared" si="3"/>
        <v>24.166666666666671</v>
      </c>
      <c r="P26" s="104">
        <v>12</v>
      </c>
      <c r="Q26" s="92">
        <v>290.00000000000006</v>
      </c>
    </row>
    <row r="27" spans="1:17">
      <c r="A27" s="48" t="s">
        <v>132</v>
      </c>
      <c r="B27" s="121">
        <f>IF(B$18=0,0,C27/B$18)</f>
        <v>-6211.0047846889956</v>
      </c>
      <c r="C27" s="122">
        <v>-1298100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227</v>
      </c>
      <c r="O27" s="110">
        <f t="shared" si="3"/>
        <v>21.500000000000004</v>
      </c>
      <c r="P27" s="104">
        <v>12</v>
      </c>
      <c r="Q27" s="92">
        <v>258.00000000000006</v>
      </c>
    </row>
    <row r="28" spans="1:17">
      <c r="A28" s="47" t="s">
        <v>130</v>
      </c>
      <c r="B28" s="40">
        <v>5</v>
      </c>
      <c r="C28" s="120">
        <v>1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215</v>
      </c>
      <c r="O28" s="110">
        <f t="shared" si="3"/>
        <v>19.200000000000003</v>
      </c>
      <c r="P28" s="104">
        <v>3</v>
      </c>
      <c r="Q28" s="92">
        <v>57.600000000000009</v>
      </c>
    </row>
    <row r="29" spans="1:17">
      <c r="A29" s="47" t="s">
        <v>131</v>
      </c>
      <c r="B29" s="40">
        <v>31</v>
      </c>
      <c r="C29" s="120">
        <v>2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195</v>
      </c>
      <c r="O29" s="110">
        <f t="shared" si="3"/>
        <v>14.975757575757575</v>
      </c>
      <c r="P29" s="104">
        <v>66</v>
      </c>
      <c r="Q29" s="92">
        <v>988.4</v>
      </c>
    </row>
    <row r="30" spans="1:17">
      <c r="A30" s="76" t="s">
        <v>111</v>
      </c>
      <c r="B30" s="164">
        <v>5</v>
      </c>
      <c r="C30" s="16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 t="shared" si="3"/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66">
        <v>71300</v>
      </c>
      <c r="C31" s="16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 t="shared" si="3"/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1.9518542615484711E-3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 t="shared" si="3"/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161</v>
      </c>
      <c r="O33" s="110">
        <f t="shared" si="3"/>
        <v>-0.57333333333333036</v>
      </c>
      <c r="P33" s="104">
        <v>30</v>
      </c>
      <c r="Q33" s="92">
        <v>-17.19999999999991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164</v>
      </c>
      <c r="O34" s="110">
        <f t="shared" si="3"/>
        <v>-2.2222222222222197</v>
      </c>
      <c r="P34" s="104">
        <v>45</v>
      </c>
      <c r="Q34" s="92">
        <v>-99.999999999999886</v>
      </c>
    </row>
    <row r="35" spans="1:17">
      <c r="A35" s="76" t="s">
        <v>139</v>
      </c>
      <c r="B35" s="136">
        <v>37</v>
      </c>
      <c r="C35" s="126">
        <f t="shared" ref="C35:C47" si="4">IF(B$17=0,0,B35/B$17)</f>
        <v>0.11526479750778816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177</v>
      </c>
      <c r="O35" s="110">
        <f t="shared" si="3"/>
        <v>-2.6</v>
      </c>
      <c r="P35" s="104">
        <v>6</v>
      </c>
      <c r="Q35" s="92">
        <v>-15.600000000000001</v>
      </c>
    </row>
    <row r="36" spans="1:17">
      <c r="A36" s="47" t="s">
        <v>135</v>
      </c>
      <c r="B36" s="40">
        <v>67</v>
      </c>
      <c r="C36" s="33">
        <f t="shared" si="4"/>
        <v>0.2087227414330218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163</v>
      </c>
      <c r="O36" s="110">
        <f t="shared" si="3"/>
        <v>-3.7999999999999949</v>
      </c>
      <c r="P36" s="104">
        <v>24</v>
      </c>
      <c r="Q36" s="92">
        <v>-91.199999999999875</v>
      </c>
    </row>
    <row r="37" spans="1:17">
      <c r="A37" s="47" t="s">
        <v>136</v>
      </c>
      <c r="B37" s="137">
        <v>72</v>
      </c>
      <c r="C37" s="33">
        <f t="shared" si="4"/>
        <v>0.22429906542056074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191</v>
      </c>
      <c r="O37" s="110">
        <f t="shared" si="3"/>
        <v>-7.5523809523809531</v>
      </c>
      <c r="P37" s="104">
        <v>42</v>
      </c>
      <c r="Q37" s="92">
        <v>-317.20000000000005</v>
      </c>
    </row>
    <row r="38" spans="1:17">
      <c r="A38" s="47" t="s">
        <v>137</v>
      </c>
      <c r="B38" s="137">
        <v>64</v>
      </c>
      <c r="C38" s="33">
        <f t="shared" si="4"/>
        <v>0.19937694704049844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228</v>
      </c>
      <c r="O38" s="110">
        <f t="shared" si="3"/>
        <v>-9.3333333333333339</v>
      </c>
      <c r="P38" s="104">
        <v>12</v>
      </c>
      <c r="Q38" s="92">
        <v>-112.00000000000001</v>
      </c>
    </row>
    <row r="39" spans="1:17">
      <c r="A39" s="47" t="s">
        <v>138</v>
      </c>
      <c r="B39" s="137">
        <v>32</v>
      </c>
      <c r="C39" s="33">
        <f t="shared" si="4"/>
        <v>9.9688473520249218E-2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168</v>
      </c>
      <c r="O39" s="110">
        <f t="shared" si="3"/>
        <v>-11.807407407407409</v>
      </c>
      <c r="P39" s="104">
        <v>54</v>
      </c>
      <c r="Q39" s="92">
        <v>-637.6</v>
      </c>
    </row>
    <row r="40" spans="1:17">
      <c r="A40" s="47" t="s">
        <v>140</v>
      </c>
      <c r="B40" s="137">
        <v>38</v>
      </c>
      <c r="C40" s="33">
        <f t="shared" si="4"/>
        <v>0.11838006230529595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167</v>
      </c>
      <c r="O40" s="110">
        <f t="shared" si="3"/>
        <v>-18.666666666666664</v>
      </c>
      <c r="P40" s="104">
        <v>3</v>
      </c>
      <c r="Q40" s="92">
        <v>-55.999999999999993</v>
      </c>
    </row>
    <row r="41" spans="1:17">
      <c r="A41" s="47" t="s">
        <v>141</v>
      </c>
      <c r="B41" s="137">
        <v>10</v>
      </c>
      <c r="C41" s="33">
        <f t="shared" si="4"/>
        <v>3.1152647975077882E-2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169</v>
      </c>
      <c r="O41" s="110">
        <f t="shared" si="3"/>
        <v>-25.755555555555546</v>
      </c>
      <c r="P41" s="104">
        <v>90</v>
      </c>
      <c r="Q41" s="92">
        <v>-2317.9999999999991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162</v>
      </c>
      <c r="O42" s="110">
        <f t="shared" si="3"/>
        <v>-39.703703703703681</v>
      </c>
      <c r="P42" s="104">
        <v>27</v>
      </c>
      <c r="Q42" s="92">
        <v>-1071.9999999999993</v>
      </c>
    </row>
    <row r="43" spans="1:17">
      <c r="A43" s="47" t="s">
        <v>143</v>
      </c>
      <c r="B43" s="137">
        <v>0</v>
      </c>
      <c r="C43" s="33">
        <f t="shared" si="4"/>
        <v>0</v>
      </c>
      <c r="K43" s="32">
        <v>41</v>
      </c>
      <c r="L43" s="85">
        <v>-66.399999999999991</v>
      </c>
      <c r="N43" s="100" t="s">
        <v>205</v>
      </c>
      <c r="O43" s="110">
        <f t="shared" si="3"/>
        <v>-47.866666666666667</v>
      </c>
      <c r="P43" s="104">
        <v>12</v>
      </c>
      <c r="Q43" s="92">
        <v>-574.4</v>
      </c>
    </row>
    <row r="44" spans="1:17">
      <c r="A44" s="47" t="s">
        <v>144</v>
      </c>
      <c r="B44" s="137">
        <v>0</v>
      </c>
      <c r="C44" s="33">
        <f t="shared" si="4"/>
        <v>0</v>
      </c>
      <c r="K44" s="32">
        <v>42</v>
      </c>
      <c r="L44" s="85">
        <v>-59.29999999999999</v>
      </c>
      <c r="N44" s="100" t="s">
        <v>231</v>
      </c>
      <c r="O44" s="110">
        <f t="shared" si="3"/>
        <v>-75</v>
      </c>
      <c r="P44" s="104">
        <v>6</v>
      </c>
      <c r="Q44" s="92">
        <v>-450</v>
      </c>
    </row>
    <row r="45" spans="1:17">
      <c r="A45" s="47" t="s">
        <v>145</v>
      </c>
      <c r="B45" s="137">
        <v>0</v>
      </c>
      <c r="C45" s="33">
        <f t="shared" si="4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4"/>
        <v>3.1152647975077881E-3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</sheetData>
  <sortState xmlns:xlrd2="http://schemas.microsoft.com/office/spreadsheetml/2017/richdata2" ref="E2:I20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15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2">
        <v>121</v>
      </c>
      <c r="C3" s="173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12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4">
        <v>22.499999999999993</v>
      </c>
      <c r="C4" s="175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76">
        <f>IF(B$2=0,0,B$4/B$2)</f>
        <v>1.4999999999999996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8">
        <f>IF(B$2=0,0,(B$7*1+B$8*2+B$9*3+B$10*4)/B$2)</f>
        <v>2.4666666666666668</v>
      </c>
      <c r="C6" s="17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12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16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14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4">
        <v>4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52000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10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2">
        <v>77</v>
      </c>
      <c r="C3" s="173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4">
        <v>-0.69999999999998863</v>
      </c>
      <c r="C4" s="175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18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76">
        <f>IF(B$2=0,0,B$4/B$2)</f>
        <v>-6.9999999999998869E-2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14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3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1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12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66">
        <v>54900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2">
        <v>78</v>
      </c>
      <c r="C3" s="173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6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4">
        <v>268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76">
        <f>IF(B$2=0,0,B$4/B$2)</f>
        <v>29.777777777777779</v>
      </c>
      <c r="C5" s="177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8">
        <f>IF(B$2=0,0,(B$7*1+B$8*2+B$9*3+B$10*4)/B$2)</f>
        <v>1.8888888888888888</v>
      </c>
      <c r="C6" s="179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5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66">
        <v>67800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8</v>
      </c>
      <c r="C2" s="17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2">
        <v>69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20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4">
        <v>20.300000000000004</v>
      </c>
      <c r="C4" s="17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76">
        <f>IF(B$2=0,0,B$4/B$2)</f>
        <v>2.5375000000000005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9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13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9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41700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30</v>
      </c>
      <c r="C2" s="171"/>
      <c r="E2" s="54" t="s">
        <v>54</v>
      </c>
      <c r="F2" s="51" t="s">
        <v>20</v>
      </c>
      <c r="G2" s="39">
        <v>45</v>
      </c>
      <c r="H2" s="117">
        <f>IF(B$17=0,0,G2/B$17)</f>
        <v>0.84905660377358494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760</v>
      </c>
      <c r="P2" s="103">
        <v>30</v>
      </c>
      <c r="Q2" s="87">
        <v>22800</v>
      </c>
    </row>
    <row r="3" spans="1:17">
      <c r="A3" s="47" t="s">
        <v>8</v>
      </c>
      <c r="B3" s="172">
        <v>229</v>
      </c>
      <c r="C3" s="173"/>
      <c r="E3" s="55" t="s">
        <v>184</v>
      </c>
      <c r="F3" s="52" t="s">
        <v>187</v>
      </c>
      <c r="G3" s="40">
        <v>37</v>
      </c>
      <c r="H3" s="118">
        <f>IF(B$17=0,0,G3/B$17)</f>
        <v>0.69811320754716977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1653.3333333333333</v>
      </c>
      <c r="P3" s="104">
        <v>30</v>
      </c>
      <c r="Q3" s="88">
        <v>49600</v>
      </c>
    </row>
    <row r="4" spans="1:17">
      <c r="A4" s="47" t="s">
        <v>6</v>
      </c>
      <c r="B4" s="174">
        <v>577.00000000000011</v>
      </c>
      <c r="C4" s="175"/>
      <c r="E4" s="55" t="s">
        <v>181</v>
      </c>
      <c r="F4" s="52" t="s">
        <v>156</v>
      </c>
      <c r="G4" s="40">
        <v>28</v>
      </c>
      <c r="H4" s="118">
        <f>IF(B$17=0,0,G4/B$17)</f>
        <v>0.52830188679245282</v>
      </c>
      <c r="I4" s="80">
        <v>10</v>
      </c>
      <c r="K4" s="32">
        <v>2</v>
      </c>
      <c r="L4" s="85">
        <v>0.60000000000000142</v>
      </c>
      <c r="N4" s="100" t="s">
        <v>105</v>
      </c>
      <c r="O4" s="107">
        <f t="shared" si="0"/>
        <v>1510</v>
      </c>
      <c r="P4" s="104">
        <v>30</v>
      </c>
      <c r="Q4" s="88">
        <v>45300</v>
      </c>
    </row>
    <row r="5" spans="1:17">
      <c r="A5" s="47" t="s">
        <v>7</v>
      </c>
      <c r="B5" s="176">
        <f>IF(B$2=0,0,B$4/B$2)</f>
        <v>19.233333333333338</v>
      </c>
      <c r="C5" s="177"/>
      <c r="E5" s="55" t="s">
        <v>57</v>
      </c>
      <c r="F5" s="52" t="s">
        <v>21</v>
      </c>
      <c r="G5" s="40">
        <v>20</v>
      </c>
      <c r="H5" s="118">
        <f>IF(B$17=0,0,G5/B$17)</f>
        <v>0.37735849056603776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1815.3846153846155</v>
      </c>
      <c r="P5" s="104">
        <v>26</v>
      </c>
      <c r="Q5" s="88">
        <v>47200</v>
      </c>
    </row>
    <row r="6" spans="1:17">
      <c r="A6" s="47" t="s">
        <v>1</v>
      </c>
      <c r="B6" s="178">
        <f>IF(B$2=0,0,(B$7*1+B$8*2+B$9*3+B$10*4)/B$2)</f>
        <v>2.0666666666666669</v>
      </c>
      <c r="C6" s="179"/>
      <c r="E6" s="55" t="s">
        <v>60</v>
      </c>
      <c r="F6" s="52" t="s">
        <v>24</v>
      </c>
      <c r="G6" s="40">
        <v>18</v>
      </c>
      <c r="H6" s="118">
        <f>IF(B$17=0,0,G6/B$17)</f>
        <v>0.33962264150943394</v>
      </c>
      <c r="I6" s="80">
        <v>14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12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16</v>
      </c>
      <c r="H7" s="118">
        <f>IF(B$17=0,0,G7/B$17)</f>
        <v>0.30188679245283018</v>
      </c>
      <c r="I7" s="80">
        <v>11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0.23333333333333334</v>
      </c>
      <c r="E8" s="55" t="s">
        <v>59</v>
      </c>
      <c r="F8" s="52" t="s">
        <v>23</v>
      </c>
      <c r="G8" s="40">
        <v>11</v>
      </c>
      <c r="H8" s="118">
        <f>IF(B$17=0,0,G8/B$17)</f>
        <v>0.20754716981132076</v>
      </c>
      <c r="I8" s="80">
        <v>8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0.26666666666666666</v>
      </c>
      <c r="E9" s="55" t="s">
        <v>56</v>
      </c>
      <c r="F9" s="52" t="s">
        <v>185</v>
      </c>
      <c r="G9" s="40">
        <v>9</v>
      </c>
      <c r="H9" s="118">
        <f>IF(B$17=0,0,G9/B$17)</f>
        <v>0.16981132075471697</v>
      </c>
      <c r="I9" s="80">
        <v>19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3</v>
      </c>
      <c r="C10" s="34">
        <f>IF(B$2=0,0,B10/B$2)</f>
        <v>0.1</v>
      </c>
      <c r="E10" s="55" t="s">
        <v>182</v>
      </c>
      <c r="F10" s="52" t="s">
        <v>19</v>
      </c>
      <c r="G10" s="40">
        <v>6</v>
      </c>
      <c r="H10" s="118">
        <f>IF(B$17=0,0,G10/B$17)</f>
        <v>0.11320754716981132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19</v>
      </c>
      <c r="C11" s="34">
        <f>IF(B$2=0,0,B11/B$2)</f>
        <v>0.6333333333333333</v>
      </c>
      <c r="E11" s="55" t="s">
        <v>58</v>
      </c>
      <c r="F11" s="52" t="s">
        <v>22</v>
      </c>
      <c r="G11" s="40">
        <v>5</v>
      </c>
      <c r="H11" s="118">
        <f>IF(B$17=0,0,G11/B$17)</f>
        <v>9.4339622641509441E-2</v>
      </c>
      <c r="I11" s="80">
        <v>6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7.5471698113207544E-2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40</v>
      </c>
      <c r="C13" s="38">
        <f>IF(B$3=0,0,B13/B$3)</f>
        <v>0.17467248908296942</v>
      </c>
      <c r="E13" s="55" t="s">
        <v>62</v>
      </c>
      <c r="F13" s="52" t="s">
        <v>26</v>
      </c>
      <c r="G13" s="40">
        <v>1</v>
      </c>
      <c r="H13" s="118">
        <f>IF(B$17=0,0,G13/B$17)</f>
        <v>1.8867924528301886E-2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41</v>
      </c>
      <c r="C14" s="33">
        <f>IF(B$3=0,0,B14/B$3)</f>
        <v>0.17903930131004367</v>
      </c>
      <c r="E14" s="55" t="s">
        <v>66</v>
      </c>
      <c r="F14" s="52" t="s">
        <v>30</v>
      </c>
      <c r="G14" s="40">
        <v>1</v>
      </c>
      <c r="H14" s="118">
        <f>IF(B$17=0,0,G14/B$17)</f>
        <v>1.8867924528301886E-2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28</v>
      </c>
      <c r="C15" s="31">
        <f>IF(B$13=0,0,B15/B$13)</f>
        <v>0.7</v>
      </c>
      <c r="E15" s="55" t="s">
        <v>183</v>
      </c>
      <c r="F15" s="52" t="s">
        <v>186</v>
      </c>
      <c r="G15" s="40">
        <v>1</v>
      </c>
      <c r="H15" s="118">
        <f>IF(B$17=0,0,G15/B$17)</f>
        <v>1.8867924528301886E-2</v>
      </c>
      <c r="I15" s="80">
        <v>8</v>
      </c>
      <c r="K15" s="32">
        <v>13</v>
      </c>
      <c r="L15" s="85">
        <v>168.9</v>
      </c>
      <c r="N15" s="101" t="s">
        <v>159</v>
      </c>
      <c r="O15" s="111">
        <f>IF(P15=0,0,Q15/P15)</f>
        <v>18.229999999999997</v>
      </c>
      <c r="P15" s="105">
        <v>10</v>
      </c>
      <c r="Q15" s="93">
        <v>182.29999999999998</v>
      </c>
    </row>
    <row r="16" spans="1:17">
      <c r="A16" s="46" t="s">
        <v>100</v>
      </c>
      <c r="B16" s="39">
        <f>B22</f>
        <v>15</v>
      </c>
      <c r="C16" s="31">
        <f>IF(B$14=0,0,B16/B$14)</f>
        <v>0.36585365853658536</v>
      </c>
      <c r="E16" s="55" t="s">
        <v>71</v>
      </c>
      <c r="F16" s="52" t="s">
        <v>35</v>
      </c>
      <c r="G16" s="40">
        <v>1</v>
      </c>
      <c r="H16" s="118">
        <f>IF(B$17=0,0,G16/B$17)</f>
        <v>1.8867924528301886E-2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53</v>
      </c>
      <c r="C17" s="31">
        <f>IF(B$3=0,0,B17/B$3)</f>
        <v>0.23144104803493451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8.7336244541484712E-2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6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0.20754716981132076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42</v>
      </c>
      <c r="C20" s="33">
        <f>IF(B$17=0,0,B20/B$17)</f>
        <v>0.79245283018867929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28</v>
      </c>
      <c r="C21" s="33">
        <f>IF(B$17=0,0,B21/B$17)</f>
        <v>0.52830188679245282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15</v>
      </c>
      <c r="C22" s="33">
        <f>IF(B$17=0,0,B22/B$17)</f>
        <v>0.28301886792452829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10</v>
      </c>
      <c r="C23" s="33">
        <f>IF(B$17=0,0,B23/B$17)</f>
        <v>0.18867924528301888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7998.1132075471696</v>
      </c>
      <c r="C24" s="35">
        <v>423900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8744.7368421052633</v>
      </c>
      <c r="C25" s="122">
        <v>332300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6106.666666666667</v>
      </c>
      <c r="C26" s="122">
        <v>91600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39.562499999999993</v>
      </c>
      <c r="P27" s="104">
        <v>8</v>
      </c>
      <c r="Q27" s="92">
        <v>316.49999999999994</v>
      </c>
    </row>
    <row r="28" spans="1:17">
      <c r="A28" s="47" t="s">
        <v>130</v>
      </c>
      <c r="B28" s="40">
        <v>4</v>
      </c>
      <c r="C28" s="120">
        <v>4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 t="shared" si="3"/>
        <v>37.4</v>
      </c>
      <c r="P28" s="104">
        <v>6</v>
      </c>
      <c r="Q28" s="92">
        <v>224.39999999999998</v>
      </c>
    </row>
    <row r="29" spans="1:17">
      <c r="A29" s="47" t="s">
        <v>131</v>
      </c>
      <c r="B29" s="40">
        <v>42</v>
      </c>
      <c r="C29" s="120">
        <v>18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191</v>
      </c>
      <c r="O29" s="110">
        <f t="shared" si="3"/>
        <v>32.150000000000006</v>
      </c>
      <c r="P29" s="104">
        <v>8</v>
      </c>
      <c r="Q29" s="92">
        <v>257.20000000000005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 t="shared" si="3"/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66">
        <v>71300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195</v>
      </c>
      <c r="O31" s="110">
        <f t="shared" si="3"/>
        <v>7.9249999999999936</v>
      </c>
      <c r="P31" s="104">
        <v>12</v>
      </c>
      <c r="Q31" s="92">
        <v>95.099999999999923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164</v>
      </c>
      <c r="O32" s="110">
        <f t="shared" si="3"/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 t="shared" si="3"/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 t="shared" si="3"/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3.7735849056603772E-2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 t="shared" si="3"/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4"/>
        <v>0.18867924528301888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 t="shared" si="3"/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4"/>
        <v>0.15094339622641509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15</v>
      </c>
      <c r="C38" s="33">
        <f t="shared" si="4"/>
        <v>0.28301886792452829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5</v>
      </c>
      <c r="C39" s="33">
        <f t="shared" si="4"/>
        <v>9.4339622641509441E-2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4"/>
        <v>0.16981132075471697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7.5471698113207544E-2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2">
        <v>35</v>
      </c>
      <c r="C3" s="17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4">
        <v>-127.99999999999999</v>
      </c>
      <c r="C4" s="17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76">
        <f>IF(B$2=0,0,B$4/B$2)</f>
        <v>-31.999999999999996</v>
      </c>
      <c r="C5" s="17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17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8">
        <f>IF(B$2=0,0,(B$7*1+B$8*2+B$9*3+B$10*4)/B$2)</f>
        <v>3.25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19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1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23700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2">
        <v>7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4">
        <v>14</v>
      </c>
      <c r="C4" s="17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12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76">
        <f>IF(B$2=0,0,B$4/B$2)</f>
        <v>14</v>
      </c>
      <c r="C5" s="17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12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8">
        <f>IF(B$2=0,0,(B$7*1+B$8*2+B$9*3+B$10*4)/B$2)</f>
        <v>2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34000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18</v>
      </c>
      <c r="C2" s="17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2">
        <v>142</v>
      </c>
      <c r="C3" s="173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17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4">
        <v>154.39999999999998</v>
      </c>
      <c r="C4" s="175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16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76">
        <f>IF(B$2=0,0,B$4/B$2)</f>
        <v>8.5777777777777757</v>
      </c>
      <c r="C5" s="17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10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8">
        <f>IF(B$2=0,0,(B$7*1+B$8*2+B$9*3+B$10*4)/B$2)</f>
        <v>2.3333333333333335</v>
      </c>
      <c r="C6" s="17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7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2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66">
        <v>65600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2">
        <v>15</v>
      </c>
      <c r="C3" s="17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4">
        <v>-2.2000000000000011</v>
      </c>
      <c r="C4" s="17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76">
        <f>IF(B$2=0,0,B$4/B$2)</f>
        <v>-1.1000000000000005</v>
      </c>
      <c r="C5" s="17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15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33600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2">
        <v>19</v>
      </c>
      <c r="C3" s="17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18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4">
        <v>3.8999999999999986</v>
      </c>
      <c r="C4" s="17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76">
        <f>IF(B$2=0,0,B$4/B$2)</f>
        <v>1.9499999999999993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21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9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180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2">
        <v>7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4">
        <v>-52.6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76">
        <f>IF(B$2=0,0,B$4/B$2)</f>
        <v>-52.6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7400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16</v>
      </c>
      <c r="C2" s="17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2">
        <v>131</v>
      </c>
      <c r="C3" s="17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9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4">
        <v>-34.6</v>
      </c>
      <c r="C4" s="175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76">
        <f>IF(B$2=0,0,B$4/B$2)</f>
        <v>-2.1625000000000001</v>
      </c>
      <c r="C5" s="177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21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8">
        <f>IF(B$2=0,0,(B$7*1+B$8*2+B$9*3+B$10*4)/B$2)</f>
        <v>2.4375</v>
      </c>
      <c r="C6" s="17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18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12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4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9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4">
        <v>5</v>
      </c>
      <c r="C30" s="16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66">
        <v>53200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2">
        <v>15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4">
        <v>-97.4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76">
        <f>IF(B$2=0,0,B$4/B$2)</f>
        <v>-48.7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14100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14</v>
      </c>
      <c r="C2" s="17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2">
        <v>115</v>
      </c>
      <c r="C3" s="173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4">
        <v>79.299999999999983</v>
      </c>
      <c r="C4" s="17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76">
        <f>IF(B$2=0,0,B$4/B$2)</f>
        <v>5.6642857142857128</v>
      </c>
      <c r="C5" s="17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8">
        <f>IF(B$2=0,0,(B$7*1+B$8*2+B$9*3+B$10*4)/B$2)</f>
        <v>2.1428571428571428</v>
      </c>
      <c r="C6" s="17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13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22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22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3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15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52500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22</v>
      </c>
      <c r="C2" s="171"/>
      <c r="E2" s="54" t="s">
        <v>181</v>
      </c>
      <c r="F2" s="51" t="s">
        <v>156</v>
      </c>
      <c r="G2" s="39">
        <v>17</v>
      </c>
      <c r="H2" s="117">
        <f>IF(B$17=0,0,G2/B$17)</f>
        <v>0.51515151515151514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418.18181818181819</v>
      </c>
      <c r="P2" s="103">
        <v>22</v>
      </c>
      <c r="Q2" s="87">
        <v>9200</v>
      </c>
    </row>
    <row r="3" spans="1:17">
      <c r="A3" s="47" t="s">
        <v>8</v>
      </c>
      <c r="B3" s="172">
        <v>150</v>
      </c>
      <c r="C3" s="173"/>
      <c r="E3" s="55" t="s">
        <v>54</v>
      </c>
      <c r="F3" s="52" t="s">
        <v>20</v>
      </c>
      <c r="G3" s="40">
        <v>16</v>
      </c>
      <c r="H3" s="118">
        <f>IF(B$17=0,0,G3/B$17)</f>
        <v>0.48484848484848486</v>
      </c>
      <c r="I3" s="80">
        <v>13</v>
      </c>
      <c r="K3" s="32">
        <v>1</v>
      </c>
      <c r="L3" s="85">
        <v>-21.3</v>
      </c>
      <c r="N3" s="100" t="s">
        <v>104</v>
      </c>
      <c r="O3" s="107">
        <f t="shared" si="0"/>
        <v>222.72727272727272</v>
      </c>
      <c r="P3" s="104">
        <v>22</v>
      </c>
      <c r="Q3" s="88">
        <v>4900</v>
      </c>
    </row>
    <row r="4" spans="1:17">
      <c r="A4" s="47" t="s">
        <v>6</v>
      </c>
      <c r="B4" s="174">
        <v>-249.60000000000002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0.39393939393939392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-763.63636363636363</v>
      </c>
      <c r="P4" s="104">
        <v>22</v>
      </c>
      <c r="Q4" s="88">
        <v>-16800</v>
      </c>
    </row>
    <row r="5" spans="1:17">
      <c r="A5" s="47" t="s">
        <v>7</v>
      </c>
      <c r="B5" s="176">
        <f>IF(B$2=0,0,B$4/B$2)</f>
        <v>-11.345454545454546</v>
      </c>
      <c r="C5" s="177"/>
      <c r="E5" s="55" t="s">
        <v>60</v>
      </c>
      <c r="F5" s="52" t="s">
        <v>24</v>
      </c>
      <c r="G5" s="40">
        <v>11</v>
      </c>
      <c r="H5" s="118">
        <f>IF(B$17=0,0,G5/B$17)</f>
        <v>0.33333333333333331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-1205.5555555555557</v>
      </c>
      <c r="P5" s="104">
        <v>18</v>
      </c>
      <c r="Q5" s="88">
        <v>-21700</v>
      </c>
    </row>
    <row r="6" spans="1:17">
      <c r="A6" s="47" t="s">
        <v>1</v>
      </c>
      <c r="B6" s="178">
        <f>IF(B$2=0,0,(B$7*1+B$8*2+B$9*3+B$10*4)/B$2)</f>
        <v>2.7272727272727271</v>
      </c>
      <c r="C6" s="179"/>
      <c r="E6" s="55" t="s">
        <v>55</v>
      </c>
      <c r="F6" s="52" t="s">
        <v>155</v>
      </c>
      <c r="G6" s="40">
        <v>9</v>
      </c>
      <c r="H6" s="118">
        <f>IF(B$17=0,0,G6/B$17)</f>
        <v>0.27272727272727271</v>
      </c>
      <c r="I6" s="80">
        <v>13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3</v>
      </c>
      <c r="C7" s="33">
        <f t="shared" ref="C7:C12" si="2">IF(B$2=0,0,B7/B$2)</f>
        <v>0.13636363636363635</v>
      </c>
      <c r="E7" s="55" t="s">
        <v>56</v>
      </c>
      <c r="F7" s="52" t="s">
        <v>185</v>
      </c>
      <c r="G7" s="40">
        <v>8</v>
      </c>
      <c r="H7" s="118">
        <f>IF(B$17=0,0,G7/B$17)</f>
        <v>0.24242424242424243</v>
      </c>
      <c r="I7" s="80">
        <v>14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0.18181818181818182</v>
      </c>
      <c r="E8" s="55" t="s">
        <v>59</v>
      </c>
      <c r="F8" s="52" t="s">
        <v>23</v>
      </c>
      <c r="G8" s="40">
        <v>7</v>
      </c>
      <c r="H8" s="118">
        <f>IF(B$17=0,0,G8/B$17)</f>
        <v>0.21212121212121213</v>
      </c>
      <c r="I8" s="80">
        <v>7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11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9.0909090909090912E-2</v>
      </c>
      <c r="I9" s="80">
        <v>10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0.18181818181818182</v>
      </c>
      <c r="E10" s="55" t="s">
        <v>71</v>
      </c>
      <c r="F10" s="52" t="s">
        <v>35</v>
      </c>
      <c r="G10" s="40">
        <v>2</v>
      </c>
      <c r="H10" s="118">
        <f>IF(B$17=0,0,G10/B$17)</f>
        <v>6.0606060606060608E-2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0.31818181818181818</v>
      </c>
      <c r="E11" s="55" t="s">
        <v>74</v>
      </c>
      <c r="F11" s="52" t="s">
        <v>38</v>
      </c>
      <c r="G11" s="40">
        <v>2</v>
      </c>
      <c r="H11" s="118">
        <f>IF(B$17=0,0,G11/B$17)</f>
        <v>6.0606060606060608E-2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9.0909090909090912E-2</v>
      </c>
      <c r="E12" s="55" t="s">
        <v>57</v>
      </c>
      <c r="F12" s="52" t="s">
        <v>21</v>
      </c>
      <c r="G12" s="40">
        <v>1</v>
      </c>
      <c r="H12" s="118">
        <f>IF(B$17=0,0,G12/B$17)</f>
        <v>3.0303030303030304E-2</v>
      </c>
      <c r="I12" s="80">
        <v>18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34</v>
      </c>
      <c r="C13" s="38">
        <f>IF(B$3=0,0,B13/B$3)</f>
        <v>0.22666666666666666</v>
      </c>
      <c r="E13" s="55" t="s">
        <v>58</v>
      </c>
      <c r="F13" s="52" t="s">
        <v>22</v>
      </c>
      <c r="G13" s="40">
        <v>1</v>
      </c>
      <c r="H13" s="118">
        <f>IF(B$17=0,0,G13/B$17)</f>
        <v>3.0303030303030304E-2</v>
      </c>
      <c r="I13" s="80">
        <v>11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40</v>
      </c>
      <c r="C14" s="33">
        <f>IF(B$3=0,0,B14/B$3)</f>
        <v>0.26666666666666666</v>
      </c>
      <c r="E14" s="55" t="s">
        <v>66</v>
      </c>
      <c r="F14" s="52" t="s">
        <v>30</v>
      </c>
      <c r="G14" s="40">
        <v>1</v>
      </c>
      <c r="H14" s="118">
        <f>IF(B$17=0,0,G14/B$17)</f>
        <v>3.0303030303030304E-2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17</v>
      </c>
      <c r="C15" s="31">
        <f>IF(B$13=0,0,B15/B$13)</f>
        <v>0.5</v>
      </c>
      <c r="E15" s="55" t="s">
        <v>183</v>
      </c>
      <c r="F15" s="52" t="s">
        <v>186</v>
      </c>
      <c r="G15" s="40">
        <v>1</v>
      </c>
      <c r="H15" s="118">
        <f>IF(B$17=0,0,G15/B$17)</f>
        <v>3.0303030303030304E-2</v>
      </c>
      <c r="I15" s="80">
        <v>7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13</v>
      </c>
      <c r="C16" s="31">
        <f>IF(B$14=0,0,B16/B$14)</f>
        <v>0.32500000000000001</v>
      </c>
      <c r="E16" s="55" t="s">
        <v>77</v>
      </c>
      <c r="F16" s="52" t="s">
        <v>41</v>
      </c>
      <c r="G16" s="40">
        <v>1</v>
      </c>
      <c r="H16" s="118">
        <f>IF(B$17=0,0,G16/B$17)</f>
        <v>3.0303030303030304E-2</v>
      </c>
      <c r="I16" s="80">
        <v>5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</v>
      </c>
      <c r="C17" s="31">
        <f>IF(B$3=0,0,B17/B$3)</f>
        <v>0.22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0.15333333333333332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-275</v>
      </c>
      <c r="N18" s="99" t="s">
        <v>223</v>
      </c>
      <c r="O18" s="109">
        <f t="shared" ref="O18:O34" si="3"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14</v>
      </c>
      <c r="C19" s="33">
        <f>IF(B$17=0,0,B19/B$17)</f>
        <v>0.42424242424242425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-298.60000000000002</v>
      </c>
      <c r="N19" s="100" t="s">
        <v>208</v>
      </c>
      <c r="O19" s="110">
        <f t="shared" si="3"/>
        <v>45.5</v>
      </c>
      <c r="P19" s="104">
        <v>2</v>
      </c>
      <c r="Q19" s="92">
        <v>91</v>
      </c>
    </row>
    <row r="20" spans="1:17">
      <c r="A20" s="47" t="s">
        <v>11</v>
      </c>
      <c r="B20" s="40">
        <v>19</v>
      </c>
      <c r="C20" s="33">
        <f>IF(B$17=0,0,B20/B$17)</f>
        <v>0.5757575757575758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 t="shared" si="3"/>
        <v>34.571428571428577</v>
      </c>
      <c r="P20" s="104">
        <v>7</v>
      </c>
      <c r="Q20" s="92">
        <v>242.00000000000003</v>
      </c>
    </row>
    <row r="21" spans="1:17">
      <c r="A21" s="47" t="s">
        <v>151</v>
      </c>
      <c r="B21" s="40">
        <v>17</v>
      </c>
      <c r="C21" s="33">
        <f>IF(B$17=0,0,B21/B$17)</f>
        <v>0.51515151515151514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215</v>
      </c>
      <c r="O21" s="110">
        <f t="shared" si="3"/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13</v>
      </c>
      <c r="C22" s="33">
        <f>IF(B$17=0,0,B22/B$17)</f>
        <v>0.39393939393939392</v>
      </c>
      <c r="E22" s="55" t="s">
        <v>67</v>
      </c>
      <c r="F22" s="52" t="s">
        <v>31</v>
      </c>
      <c r="G22" s="40">
        <v>0</v>
      </c>
      <c r="H22" s="118">
        <f>IF(B$17=0,0,G22/B$17)</f>
        <v>0</v>
      </c>
      <c r="I22" s="80">
        <v>7</v>
      </c>
      <c r="K22" s="32">
        <v>20</v>
      </c>
      <c r="L22" s="85">
        <v>-195.10000000000002</v>
      </c>
      <c r="N22" s="100" t="s">
        <v>203</v>
      </c>
      <c r="O22" s="110">
        <f t="shared" si="3"/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9.0909090909090912E-2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-205.40000000000003</v>
      </c>
      <c r="N23" s="100" t="s">
        <v>227</v>
      </c>
      <c r="O23" s="110">
        <f t="shared" si="3"/>
        <v>3.8000000000000029</v>
      </c>
      <c r="P23" s="104">
        <v>2</v>
      </c>
      <c r="Q23" s="92">
        <v>7.6000000000000059</v>
      </c>
    </row>
    <row r="24" spans="1:17">
      <c r="A24" s="47" t="s">
        <v>5</v>
      </c>
      <c r="B24" s="44">
        <f>IF(B$17=0,0,C24/B$17)</f>
        <v>5039.393939393939</v>
      </c>
      <c r="C24" s="35">
        <v>166300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K24" s="32">
        <v>22</v>
      </c>
      <c r="L24" s="85">
        <v>-249.60000000000002</v>
      </c>
      <c r="N24" s="100" t="s">
        <v>169</v>
      </c>
      <c r="O24" s="110">
        <f t="shared" si="3"/>
        <v>-7.9249999999999936</v>
      </c>
      <c r="P24" s="104">
        <v>12</v>
      </c>
      <c r="Q24" s="92">
        <v>-95.099999999999923</v>
      </c>
    </row>
    <row r="25" spans="1:17">
      <c r="A25" s="48" t="s">
        <v>133</v>
      </c>
      <c r="B25" s="121">
        <f>IF($B$17-B$16=0,0,C25/($B$17-B$16))</f>
        <v>6465</v>
      </c>
      <c r="C25" s="122">
        <v>129300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213</v>
      </c>
      <c r="O25" s="110">
        <f t="shared" si="3"/>
        <v>-8.4571428571428537</v>
      </c>
      <c r="P25" s="104">
        <v>7</v>
      </c>
      <c r="Q25" s="92">
        <v>-59.199999999999982</v>
      </c>
    </row>
    <row r="26" spans="1:17">
      <c r="A26" s="48" t="s">
        <v>134</v>
      </c>
      <c r="B26" s="121">
        <f>IF(B$16=0,0,C26/B$16)</f>
        <v>2846.1538461538462</v>
      </c>
      <c r="C26" s="122">
        <v>37000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164</v>
      </c>
      <c r="O26" s="110">
        <f t="shared" si="3"/>
        <v>-19.399999999999999</v>
      </c>
      <c r="P26" s="104">
        <v>4</v>
      </c>
      <c r="Q26" s="92">
        <v>-77.599999999999994</v>
      </c>
    </row>
    <row r="27" spans="1:17">
      <c r="A27" s="48" t="s">
        <v>132</v>
      </c>
      <c r="B27" s="121">
        <f>IF(B$18=0,0,C27/B$18)</f>
        <v>-6834.782608695652</v>
      </c>
      <c r="C27" s="122">
        <v>-157200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161</v>
      </c>
      <c r="O27" s="110">
        <f t="shared" si="3"/>
        <v>-20.650000000000006</v>
      </c>
      <c r="P27" s="104">
        <v>2</v>
      </c>
      <c r="Q27" s="92">
        <v>-41.300000000000011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-25.7</v>
      </c>
      <c r="P28" s="104">
        <v>7</v>
      </c>
      <c r="Q28" s="92">
        <v>-179.9</v>
      </c>
    </row>
    <row r="29" spans="1:17">
      <c r="A29" s="47" t="s">
        <v>131</v>
      </c>
      <c r="B29" s="40">
        <v>19</v>
      </c>
      <c r="C29" s="120">
        <v>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163</v>
      </c>
      <c r="O29" s="110">
        <f t="shared" si="3"/>
        <v>-30.9</v>
      </c>
      <c r="P29" s="104">
        <v>1</v>
      </c>
      <c r="Q29" s="92">
        <v>-30.9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-34.119999999999997</v>
      </c>
      <c r="P30" s="104">
        <v>5</v>
      </c>
      <c r="Q30" s="92">
        <v>-170.6</v>
      </c>
    </row>
    <row r="31" spans="1:17">
      <c r="A31" s="50" t="s">
        <v>148</v>
      </c>
      <c r="B31" s="166">
        <v>48000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 t="shared" si="3"/>
        <v>-43.699999999999996</v>
      </c>
      <c r="P31" s="104">
        <v>4</v>
      </c>
      <c r="Q31" s="92">
        <v>-174.79999999999998</v>
      </c>
    </row>
    <row r="32" spans="1:17">
      <c r="A32" s="49" t="s">
        <v>112</v>
      </c>
      <c r="B32" s="57">
        <v>1</v>
      </c>
      <c r="C32" s="36">
        <f>IF(B$3=0,0,B32/B$3)</f>
        <v>6.6666666666666671E-3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191</v>
      </c>
      <c r="O32" s="110">
        <f t="shared" si="3"/>
        <v>-65.966666666666669</v>
      </c>
      <c r="P32" s="104">
        <v>3</v>
      </c>
      <c r="Q32" s="92">
        <v>-197.9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205</v>
      </c>
      <c r="O33" s="110">
        <f t="shared" si="3"/>
        <v>-66.05</v>
      </c>
      <c r="P33" s="104">
        <v>4</v>
      </c>
      <c r="Q33" s="92">
        <v>-264.2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228</v>
      </c>
      <c r="O34" s="110">
        <f t="shared" si="3"/>
        <v>-88.7</v>
      </c>
      <c r="P34" s="104">
        <v>2</v>
      </c>
      <c r="Q34" s="92">
        <v>-177.4</v>
      </c>
    </row>
    <row r="35" spans="1:17">
      <c r="A35" s="76" t="s">
        <v>139</v>
      </c>
      <c r="B35" s="136">
        <v>4</v>
      </c>
      <c r="C35" s="126">
        <f t="shared" ref="C35:C47" si="4">IF(B$17=0,0,B35/B$17)</f>
        <v>0.12121212121212122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11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0.30303030303030304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</v>
      </c>
      <c r="C38" s="33">
        <f t="shared" si="4"/>
        <v>3.0303030303030304E-2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4"/>
        <v>0.12121212121212122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2</v>
      </c>
      <c r="C40" s="33">
        <f t="shared" si="4"/>
        <v>6.0606060606060608E-2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3.0303030303030304E-2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2">
        <v>8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4">
        <v>-27.1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76">
        <f>IF(B$2=0,0,B$4/B$2)</f>
        <v>-27.1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12900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5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2">
        <v>43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4">
        <v>-161.39999999999998</v>
      </c>
      <c r="C4" s="175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76">
        <f>IF(B$2=0,0,B$4/B$2)</f>
        <v>-32.279999999999994</v>
      </c>
      <c r="C5" s="17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8">
        <f>IF(B$2=0,0,(B$7*1+B$8*2+B$9*3+B$10*4)/B$2)</f>
        <v>3.4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25000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2">
        <v>17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4">
        <v>-105.9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76">
        <f>IF(B$2=0,0,B$4/B$2)</f>
        <v>-52.95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13500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2">
        <v>28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12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4">
        <v>141.1</v>
      </c>
      <c r="C4" s="17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76">
        <f>IF(B$2=0,0,B$4/B$2)</f>
        <v>35.274999999999999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8">
        <f>IF(B$2=0,0,(B$7*1+B$8*2+B$9*3+B$10*4)/B$2)</f>
        <v>1.75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6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9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3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57200</v>
      </c>
      <c r="C31" s="16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2">
        <v>23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4">
        <v>-132.69999999999999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76">
        <f>IF(B$2=0,0,B$4/B$2)</f>
        <v>-44.233333333333327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8">
        <f>IF(B$2=0,0,(B$7*1+B$8*2+B$9*3+B$10*4)/B$2)</f>
        <v>3.6666666666666665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10700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2">
        <v>49</v>
      </c>
      <c r="C3" s="173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6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4">
        <v>-99.300000000000011</v>
      </c>
      <c r="C4" s="175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76">
        <f>IF(B$2=0,0,B$4/B$2)</f>
        <v>-11.033333333333335</v>
      </c>
      <c r="C5" s="177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78">
        <f>IF(B$2=0,0,(B$7*1+B$8*2+B$9*3+B$10*4)/B$2)</f>
        <v>2.6666666666666665</v>
      </c>
      <c r="C6" s="179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15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34800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215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2">
        <v>6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4">
        <v>-14.4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76">
        <f>IF(B$2=0,0,B$4/B$2)</f>
        <v>-14.4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25600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216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11</v>
      </c>
      <c r="C2" s="171"/>
      <c r="E2" s="54" t="s">
        <v>184</v>
      </c>
      <c r="F2" s="51" t="s">
        <v>187</v>
      </c>
      <c r="G2" s="39">
        <v>9</v>
      </c>
      <c r="H2" s="117">
        <f>IF(B$17=0,0,G2/B$17)</f>
        <v>1.2857142857142858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454.54545454545456</v>
      </c>
      <c r="P2" s="103">
        <v>11</v>
      </c>
      <c r="Q2" s="87">
        <v>5000</v>
      </c>
    </row>
    <row r="3" spans="1:17">
      <c r="A3" s="47" t="s">
        <v>8</v>
      </c>
      <c r="B3" s="172">
        <v>66</v>
      </c>
      <c r="C3" s="173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6</v>
      </c>
      <c r="K3" s="32">
        <v>1</v>
      </c>
      <c r="L3" s="85">
        <v>-47.6</v>
      </c>
      <c r="N3" s="100" t="s">
        <v>104</v>
      </c>
      <c r="O3" s="107">
        <f t="shared" si="0"/>
        <v>-927.27272727272725</v>
      </c>
      <c r="P3" s="104">
        <v>11</v>
      </c>
      <c r="Q3" s="88">
        <v>-10200</v>
      </c>
    </row>
    <row r="4" spans="1:17">
      <c r="A4" s="47" t="s">
        <v>6</v>
      </c>
      <c r="B4" s="174">
        <v>-208.09999999999997</v>
      </c>
      <c r="C4" s="175"/>
      <c r="E4" s="55" t="s">
        <v>55</v>
      </c>
      <c r="F4" s="52" t="s">
        <v>155</v>
      </c>
      <c r="G4" s="40">
        <v>5</v>
      </c>
      <c r="H4" s="118">
        <f>IF(B$17=0,0,G4/B$17)</f>
        <v>0.7142857142857143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-2845.4545454545455</v>
      </c>
      <c r="P4" s="104">
        <v>11</v>
      </c>
      <c r="Q4" s="88">
        <v>-31300</v>
      </c>
    </row>
    <row r="5" spans="1:17">
      <c r="A5" s="47" t="s">
        <v>7</v>
      </c>
      <c r="B5" s="176">
        <f>IF(B$2=0,0,B$4/B$2)</f>
        <v>-18.918181818181814</v>
      </c>
      <c r="C5" s="177"/>
      <c r="E5" s="55" t="s">
        <v>54</v>
      </c>
      <c r="F5" s="52" t="s">
        <v>20</v>
      </c>
      <c r="G5" s="40">
        <v>3</v>
      </c>
      <c r="H5" s="118">
        <f>IF(B$17=0,0,G5/B$17)</f>
        <v>0.42857142857142855</v>
      </c>
      <c r="I5" s="80">
        <v>14</v>
      </c>
      <c r="K5" s="32">
        <v>3</v>
      </c>
      <c r="L5" s="85">
        <v>-97.3</v>
      </c>
      <c r="N5" s="100" t="s">
        <v>157</v>
      </c>
      <c r="O5" s="107">
        <f>IF(P5=0,0,Q5/P5)</f>
        <v>-2950</v>
      </c>
      <c r="P5" s="104">
        <v>8</v>
      </c>
      <c r="Q5" s="88">
        <v>-23600</v>
      </c>
    </row>
    <row r="6" spans="1:17">
      <c r="A6" s="47" t="s">
        <v>1</v>
      </c>
      <c r="B6" s="178">
        <f>IF(B$2=0,0,(B$7*1+B$8*2+B$9*3+B$10*4)/B$2)</f>
        <v>2.9090909090909092</v>
      </c>
      <c r="C6" s="179"/>
      <c r="E6" s="55" t="s">
        <v>60</v>
      </c>
      <c r="F6" s="52" t="s">
        <v>24</v>
      </c>
      <c r="G6" s="40">
        <v>2</v>
      </c>
      <c r="H6" s="118">
        <f>IF(B$17=0,0,G6/B$17)</f>
        <v>0.2857142857142857</v>
      </c>
      <c r="I6" s="80">
        <v>20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-4525</v>
      </c>
      <c r="P6" s="104">
        <v>4</v>
      </c>
      <c r="Q6" s="88">
        <v>-18100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21</v>
      </c>
      <c r="K7" s="32">
        <v>5</v>
      </c>
      <c r="L7" s="85">
        <v>-133.4</v>
      </c>
      <c r="N7" s="100" t="s">
        <v>107</v>
      </c>
      <c r="O7" s="107">
        <f t="shared" si="0"/>
        <v>-2450</v>
      </c>
      <c r="P7" s="104">
        <v>2</v>
      </c>
      <c r="Q7" s="88">
        <v>-4900</v>
      </c>
    </row>
    <row r="8" spans="1:17">
      <c r="A8" s="47" t="s">
        <v>3</v>
      </c>
      <c r="B8" s="40">
        <v>3</v>
      </c>
      <c r="C8" s="33">
        <f>IF(B$2=0,0,B8/B$2)</f>
        <v>0.27272727272727271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0.27272727272727271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13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4</v>
      </c>
      <c r="C10" s="34">
        <f>IF(B$2=0,0,B10/B$2)</f>
        <v>0.36363636363636365</v>
      </c>
      <c r="E10" s="55" t="s">
        <v>182</v>
      </c>
      <c r="F10" s="52" t="s">
        <v>19</v>
      </c>
      <c r="G10" s="40">
        <v>0</v>
      </c>
      <c r="H10" s="118">
        <f>IF(B$17=0,0,G10/B$17)</f>
        <v>0</v>
      </c>
      <c r="I10" s="80">
        <v>15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0.36363636363636365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-47</v>
      </c>
      <c r="P12" s="103">
        <v>3</v>
      </c>
      <c r="Q12" s="91">
        <v>-141</v>
      </c>
    </row>
    <row r="13" spans="1:17">
      <c r="A13" s="50" t="s">
        <v>97</v>
      </c>
      <c r="B13" s="43">
        <v>11</v>
      </c>
      <c r="C13" s="38">
        <f>IF(B$3=0,0,B13/B$3)</f>
        <v>0.16666666666666666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5</v>
      </c>
      <c r="C14" s="33">
        <f>IF(B$3=0,0,B14/B$3)</f>
        <v>7.575757575757576E-2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22.200000000000003</v>
      </c>
      <c r="P14" s="104">
        <v>3</v>
      </c>
      <c r="Q14" s="92">
        <v>66.600000000000009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0.4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0.10606060606060606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0.18181818181818182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 t="shared" ref="O18:O27" si="3">IF(P18=0,0,Q18/P18)</f>
        <v>39.849999999999994</v>
      </c>
      <c r="P18" s="103">
        <v>2</v>
      </c>
      <c r="Q18" s="91">
        <v>79.699999999999989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223</v>
      </c>
      <c r="O19" s="110">
        <f t="shared" si="3"/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227</v>
      </c>
      <c r="O20" s="110">
        <f t="shared" si="3"/>
        <v>-6.4</v>
      </c>
      <c r="P20" s="104">
        <v>2</v>
      </c>
      <c r="Q20" s="92">
        <v>-12.8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 t="shared" si="3"/>
        <v>-9.2750000000000004</v>
      </c>
      <c r="P21" s="104">
        <v>4</v>
      </c>
      <c r="Q21" s="92">
        <v>-37.1</v>
      </c>
    </row>
    <row r="22" spans="1:17">
      <c r="A22" s="47" t="s">
        <v>149</v>
      </c>
      <c r="B22" s="40">
        <v>2</v>
      </c>
      <c r="C22" s="33">
        <f>IF(B$17=0,0,B22/B$17)</f>
        <v>0.2857142857142857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215</v>
      </c>
      <c r="O22" s="110">
        <f t="shared" si="3"/>
        <v>-33.200000000000003</v>
      </c>
      <c r="P22" s="104">
        <v>1</v>
      </c>
      <c r="Q22" s="92">
        <v>-33.200000000000003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-33.950000000000003</v>
      </c>
      <c r="P23" s="104">
        <v>2</v>
      </c>
      <c r="Q23" s="92">
        <v>-67.900000000000006</v>
      </c>
    </row>
    <row r="24" spans="1:17">
      <c r="A24" s="47" t="s">
        <v>5</v>
      </c>
      <c r="B24" s="44">
        <f>IF(B$17=0,0,C24/B$17)</f>
        <v>8157.1428571428569</v>
      </c>
      <c r="C24" s="35">
        <v>57100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195</v>
      </c>
      <c r="O24" s="110">
        <f t="shared" si="3"/>
        <v>-34.571428571428569</v>
      </c>
      <c r="P24" s="104">
        <v>7</v>
      </c>
      <c r="Q24" s="92">
        <v>-242</v>
      </c>
    </row>
    <row r="25" spans="1:17">
      <c r="A25" s="48" t="s">
        <v>133</v>
      </c>
      <c r="B25" s="121">
        <f>IF($B$17-B$16=0,0,C25/($B$17-B$16))</f>
        <v>8620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-39.5625</v>
      </c>
      <c r="P25" s="104">
        <v>8</v>
      </c>
      <c r="Q25" s="92">
        <v>-316.5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231</v>
      </c>
      <c r="O26" s="110">
        <f t="shared" si="3"/>
        <v>-63.85</v>
      </c>
      <c r="P26" s="104">
        <v>2</v>
      </c>
      <c r="Q26" s="92">
        <v>-127.7</v>
      </c>
    </row>
    <row r="27" spans="1:17">
      <c r="A27" s="48" t="s">
        <v>132</v>
      </c>
      <c r="B27" s="121">
        <f>IF(B$18=0,0,C27/B$18)</f>
        <v>-8025</v>
      </c>
      <c r="C27" s="122">
        <v>-96300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161</v>
      </c>
      <c r="O27" s="110">
        <f t="shared" si="3"/>
        <v>-87.9</v>
      </c>
      <c r="P27" s="104">
        <v>1</v>
      </c>
      <c r="Q27" s="92">
        <v>-87.9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36500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0.14285714285714285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4"/>
        <v>0.2857142857142857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1</v>
      </c>
      <c r="C39" s="33">
        <f t="shared" si="4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4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223</v>
      </c>
      <c r="C1" s="169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2">
        <v>21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4">
        <v>-72.5</v>
      </c>
      <c r="C4" s="175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76">
        <f>IF(B$2=0,0,B$4/B$2)</f>
        <v>-18.125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15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1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22100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228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54</v>
      </c>
      <c r="F2" s="51" t="s">
        <v>20</v>
      </c>
      <c r="G2" s="39">
        <v>6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5875</v>
      </c>
      <c r="P2" s="103">
        <v>4</v>
      </c>
      <c r="Q2" s="87">
        <v>23500</v>
      </c>
    </row>
    <row r="3" spans="1:17">
      <c r="A3" s="47" t="s">
        <v>8</v>
      </c>
      <c r="B3" s="172">
        <v>24</v>
      </c>
      <c r="C3" s="173"/>
      <c r="E3" s="55" t="s">
        <v>181</v>
      </c>
      <c r="F3" s="52" t="s">
        <v>156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60.4</v>
      </c>
      <c r="N3" s="100" t="s">
        <v>104</v>
      </c>
      <c r="O3" s="107">
        <f t="shared" si="0"/>
        <v>-2150</v>
      </c>
      <c r="P3" s="104">
        <v>4</v>
      </c>
      <c r="Q3" s="88">
        <v>-8600</v>
      </c>
    </row>
    <row r="4" spans="1:17">
      <c r="A4" s="47" t="s">
        <v>6</v>
      </c>
      <c r="B4" s="174">
        <v>28.000000000000014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0.33333333333333331</v>
      </c>
      <c r="I4" s="80">
        <v>7</v>
      </c>
      <c r="K4" s="32">
        <v>2</v>
      </c>
      <c r="L4" s="85">
        <v>122.9</v>
      </c>
      <c r="N4" s="100" t="s">
        <v>105</v>
      </c>
      <c r="O4" s="107">
        <f t="shared" si="0"/>
        <v>50</v>
      </c>
      <c r="P4" s="104">
        <v>4</v>
      </c>
      <c r="Q4" s="88">
        <v>200</v>
      </c>
    </row>
    <row r="5" spans="1:17">
      <c r="A5" s="47" t="s">
        <v>7</v>
      </c>
      <c r="B5" s="176">
        <f>IF(B$2=0,0,B$4/B$2)</f>
        <v>7.0000000000000036</v>
      </c>
      <c r="C5" s="177"/>
      <c r="E5" s="55" t="s">
        <v>60</v>
      </c>
      <c r="F5" s="52" t="s">
        <v>24</v>
      </c>
      <c r="G5" s="40">
        <v>2</v>
      </c>
      <c r="H5" s="118">
        <f>IF(B$17=0,0,G5/B$17)</f>
        <v>0.33333333333333331</v>
      </c>
      <c r="I5" s="80">
        <v>15</v>
      </c>
      <c r="K5" s="32">
        <v>3</v>
      </c>
      <c r="L5" s="85">
        <v>69.800000000000011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0.33333333333333331</v>
      </c>
      <c r="I6" s="80">
        <v>17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-3000</v>
      </c>
      <c r="P6" s="104">
        <v>1</v>
      </c>
      <c r="Q6" s="88">
        <v>-3000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56</v>
      </c>
      <c r="F7" s="52" t="s">
        <v>185</v>
      </c>
      <c r="G7" s="40">
        <v>1</v>
      </c>
      <c r="H7" s="118">
        <f>IF(B$17=0,0,G7/B$17)</f>
        <v>0.16666666666666666</v>
      </c>
      <c r="I7" s="80">
        <v>20</v>
      </c>
      <c r="N7" s="100" t="s">
        <v>107</v>
      </c>
      <c r="O7" s="107">
        <f t="shared" si="0"/>
        <v>-2100</v>
      </c>
      <c r="P7" s="104">
        <v>1</v>
      </c>
      <c r="Q7" s="88">
        <v>-2100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1</v>
      </c>
      <c r="H8" s="118">
        <f>IF(B$17=0,0,G8/B$17)</f>
        <v>0.16666666666666666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1</v>
      </c>
      <c r="H9" s="118">
        <f>IF(B$17=0,0,G9/B$17)</f>
        <v>0.16666666666666666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182</v>
      </c>
      <c r="F10" s="52" t="s">
        <v>19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5</v>
      </c>
      <c r="C13" s="38">
        <f>IF(B$3=0,0,B13/B$3)</f>
        <v>0.20833333333333334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3</v>
      </c>
      <c r="C14" s="33">
        <f>IF(B$3=0,0,B14/B$3)</f>
        <v>0.125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4</v>
      </c>
      <c r="C15" s="31">
        <f>IF(B$13=0,0,B15/B$13)</f>
        <v>0.8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0.20833333333333334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88.699999999999989</v>
      </c>
      <c r="P18" s="103">
        <v>2</v>
      </c>
      <c r="Q18" s="91">
        <v>177.39999999999998</v>
      </c>
    </row>
    <row r="19" spans="1:17">
      <c r="A19" s="47" t="s">
        <v>12</v>
      </c>
      <c r="B19" s="40">
        <v>2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213</v>
      </c>
      <c r="O19" s="110">
        <f>IF(P19=0,0,Q19/P19)</f>
        <v>64.599999999999994</v>
      </c>
      <c r="P19" s="104">
        <v>2</v>
      </c>
      <c r="Q19" s="92">
        <v>129.19999999999999</v>
      </c>
    </row>
    <row r="20" spans="1:17">
      <c r="A20" s="47" t="s">
        <v>11</v>
      </c>
      <c r="B20" s="40">
        <v>4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227</v>
      </c>
      <c r="O20" s="110">
        <f>IF(P20=0,0,Q20/P20)</f>
        <v>23.125</v>
      </c>
      <c r="P20" s="104">
        <v>4</v>
      </c>
      <c r="Q20" s="92">
        <v>92.5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>IF(P21=0,0,Q21/P21)</f>
        <v>-39.85</v>
      </c>
      <c r="P21" s="104">
        <v>2</v>
      </c>
      <c r="Q21" s="92">
        <v>-79.7</v>
      </c>
    </row>
    <row r="22" spans="1:17">
      <c r="A22" s="47" t="s">
        <v>149</v>
      </c>
      <c r="B22" s="40">
        <v>1</v>
      </c>
      <c r="C22" s="33">
        <f>IF(B$17=0,0,B22/B$17)</f>
        <v>0.16666666666666666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-103.69999999999999</v>
      </c>
      <c r="P22" s="104">
        <v>2</v>
      </c>
      <c r="Q22" s="92">
        <v>-207.39999999999998</v>
      </c>
    </row>
    <row r="23" spans="1:17">
      <c r="A23" s="47" t="s">
        <v>150</v>
      </c>
      <c r="B23" s="40">
        <v>1</v>
      </c>
      <c r="C23" s="33">
        <f>IF(B$17=0,0,B23/B$17)</f>
        <v>0.16666666666666666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7850</v>
      </c>
      <c r="C24" s="35">
        <v>47100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7020</v>
      </c>
      <c r="C25" s="122">
        <v>35100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-6780</v>
      </c>
      <c r="C27" s="122">
        <v>-33900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0.16666666666666666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2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227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2">
        <v>24</v>
      </c>
      <c r="C3" s="173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4">
        <v>-64.500000000000014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76">
        <f>IF(B$2=0,0,B$4/B$2)</f>
        <v>-16.125000000000004</v>
      </c>
      <c r="C5" s="177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5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32400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231</v>
      </c>
      <c r="C1" s="169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2">
        <v>13</v>
      </c>
      <c r="C3" s="173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12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4">
        <v>112.5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76">
        <f>IF(B$2=0,0,B$4/B$2)</f>
        <v>56.25</v>
      </c>
      <c r="C5" s="177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78">
        <f>IF(B$2=0,0,(B$7*1+B$8*2+B$9*3+B$10*4)/B$2)</f>
        <v>1</v>
      </c>
      <c r="C6" s="179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3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11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9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41300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/>
      <c r="C1" s="169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8"/>
      <c r="C1" s="16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1710</vt:i4>
      </vt:variant>
    </vt:vector>
  </HeadingPairs>
  <TitlesOfParts>
    <vt:vector size="174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2022-07-01T01:50:57Z</dcterms:modified>
</cp:coreProperties>
</file>