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5CE69DC0-7EC5-4394-8D6C-E9D06EAD7B89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Template (3)" sheetId="6297" state="hidden" r:id="rId44"/>
    <sheet name="Template" sheetId="2228" state="hidden" r:id="rId45"/>
  </sheets>
  <definedNames>
    <definedName name="アガリ数" localSheetId="43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3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3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3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3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3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3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3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3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3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3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3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3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3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3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3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3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3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3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3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3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3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3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3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3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3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3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3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3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3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3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3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3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3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3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3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3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3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3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3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3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3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3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3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3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3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3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3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3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3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3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3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3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3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3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3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3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3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3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3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3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3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293" l="1"/>
  <c r="O27" i="6293"/>
  <c r="O18" i="6293"/>
  <c r="O23" i="6307"/>
  <c r="O19" i="6307"/>
  <c r="O20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1" i="6272"/>
  <c r="O18" i="6311"/>
  <c r="O19" i="6311"/>
  <c r="O20" i="6311"/>
  <c r="C32" i="6311"/>
  <c r="B27" i="6311"/>
  <c r="C18" i="6311"/>
  <c r="C17" i="6311"/>
  <c r="B17" i="6311"/>
  <c r="C44" i="6311" s="1"/>
  <c r="C16" i="6311"/>
  <c r="B16" i="6311"/>
  <c r="B26" i="6311" s="1"/>
  <c r="O15" i="6311"/>
  <c r="C15" i="6311"/>
  <c r="B15" i="631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4" i="6272"/>
  <c r="H14" i="6312" l="1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2" i="6301"/>
  <c r="O28" i="6301"/>
  <c r="O26" i="6301"/>
  <c r="O18" i="6309"/>
  <c r="O18" i="6307"/>
  <c r="O20" i="6310" l="1"/>
  <c r="O19" i="6310"/>
  <c r="O18" i="6310"/>
  <c r="H40" i="6310"/>
  <c r="C40" i="6310"/>
  <c r="H34" i="6310"/>
  <c r="H32" i="6310"/>
  <c r="C32" i="6310"/>
  <c r="B27" i="6310"/>
  <c r="B26" i="6310"/>
  <c r="H26" i="6310"/>
  <c r="B25" i="6310"/>
  <c r="C21" i="6310"/>
  <c r="H21" i="6310"/>
  <c r="C19" i="6310"/>
  <c r="C18" i="6310"/>
  <c r="C17" i="6310"/>
  <c r="B17" i="6310"/>
  <c r="C44" i="6310" s="1"/>
  <c r="C16" i="6310"/>
  <c r="B16" i="6310"/>
  <c r="O15" i="6310"/>
  <c r="C15" i="6310"/>
  <c r="B15" i="6310"/>
  <c r="O14" i="6310"/>
  <c r="C14" i="6310"/>
  <c r="O13" i="6310"/>
  <c r="H15" i="6310"/>
  <c r="C13" i="6310"/>
  <c r="O12" i="6310"/>
  <c r="C12" i="6310"/>
  <c r="B11" i="6310"/>
  <c r="C11" i="6310" s="1"/>
  <c r="H3" i="6310"/>
  <c r="C10" i="6310"/>
  <c r="O9" i="6310"/>
  <c r="C9" i="6310"/>
  <c r="O8" i="6310"/>
  <c r="H11" i="6310"/>
  <c r="C8" i="6310"/>
  <c r="O7" i="6310"/>
  <c r="H10" i="6310"/>
  <c r="C7" i="6310"/>
  <c r="O6" i="6310"/>
  <c r="B6" i="6310"/>
  <c r="O5" i="6310"/>
  <c r="H9" i="6310"/>
  <c r="B5" i="6310"/>
  <c r="O4" i="6310"/>
  <c r="O3" i="6310"/>
  <c r="O2" i="6310"/>
  <c r="H6" i="6310"/>
  <c r="O19" i="6309"/>
  <c r="O20" i="6309"/>
  <c r="O21" i="6309"/>
  <c r="C32" i="6309"/>
  <c r="B27" i="6309"/>
  <c r="B26" i="6309"/>
  <c r="H26" i="6309"/>
  <c r="C18" i="6309"/>
  <c r="B17" i="6309"/>
  <c r="C45" i="6309" s="1"/>
  <c r="H17" i="6309"/>
  <c r="C16" i="6309"/>
  <c r="B16" i="6309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4" i="6309"/>
  <c r="B6" i="6309"/>
  <c r="O5" i="6309"/>
  <c r="B5" i="6309"/>
  <c r="O4" i="6309"/>
  <c r="O3" i="6309"/>
  <c r="H3" i="6309"/>
  <c r="O2" i="6309"/>
  <c r="O20" i="6308"/>
  <c r="O21" i="6308"/>
  <c r="O19" i="6308"/>
  <c r="C40" i="6308"/>
  <c r="H38" i="6308"/>
  <c r="C32" i="6308"/>
  <c r="H30" i="6308"/>
  <c r="H27" i="6308"/>
  <c r="B27" i="6308"/>
  <c r="H22" i="6308"/>
  <c r="C21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H14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H8" i="6308"/>
  <c r="O3" i="6308"/>
  <c r="O2" i="6308"/>
  <c r="O48" i="6272"/>
  <c r="O24" i="6307"/>
  <c r="O22" i="6307"/>
  <c r="O21" i="6307"/>
  <c r="C3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34" i="6272"/>
  <c r="O32" i="6272"/>
  <c r="H31" i="6308" l="1"/>
  <c r="H5" i="6308"/>
  <c r="H4" i="6308"/>
  <c r="H20" i="6308"/>
  <c r="C38" i="6308"/>
  <c r="H15" i="6307"/>
  <c r="H17" i="6307"/>
  <c r="H4" i="6307"/>
  <c r="C21" i="6307"/>
  <c r="H12" i="6307"/>
  <c r="H7" i="6307"/>
  <c r="H28" i="6307"/>
  <c r="C41" i="6310"/>
  <c r="H22" i="6310"/>
  <c r="H27" i="6310"/>
  <c r="C36" i="6310"/>
  <c r="H41" i="6310"/>
  <c r="H42" i="6310"/>
  <c r="H7" i="6310"/>
  <c r="H2" i="6310"/>
  <c r="H19" i="6310"/>
  <c r="H23" i="6310"/>
  <c r="H28" i="6310"/>
  <c r="C37" i="6310"/>
  <c r="C45" i="6310"/>
  <c r="C22" i="6310"/>
  <c r="H12" i="6310"/>
  <c r="H14" i="6310"/>
  <c r="C23" i="6310"/>
  <c r="H30" i="6310"/>
  <c r="H37" i="6310"/>
  <c r="C46" i="6310"/>
  <c r="H13" i="6310"/>
  <c r="H36" i="6310"/>
  <c r="H8" i="6310"/>
  <c r="H17" i="6310"/>
  <c r="H20" i="6310"/>
  <c r="H24" i="6310"/>
  <c r="H31" i="6310"/>
  <c r="H38" i="6310"/>
  <c r="C47" i="6310"/>
  <c r="H33" i="6310"/>
  <c r="C38" i="6310"/>
  <c r="C42" i="6310"/>
  <c r="H16" i="6310"/>
  <c r="H18" i="6310"/>
  <c r="C20" i="6310"/>
  <c r="B24" i="6310"/>
  <c r="H5" i="6310"/>
  <c r="C35" i="6310"/>
  <c r="C39" i="6310"/>
  <c r="C43" i="6310"/>
  <c r="H4" i="6310"/>
  <c r="H25" i="6310"/>
  <c r="H29" i="6310"/>
  <c r="H35" i="6310"/>
  <c r="H39" i="6310"/>
  <c r="H12" i="6309"/>
  <c r="C19" i="6309"/>
  <c r="H8" i="6309"/>
  <c r="H10" i="6309"/>
  <c r="H20" i="6309"/>
  <c r="H34" i="6309"/>
  <c r="H32" i="6309"/>
  <c r="C20" i="6309"/>
  <c r="C39" i="6309"/>
  <c r="H15" i="6309"/>
  <c r="H2" i="6309"/>
  <c r="B24" i="6309"/>
  <c r="H40" i="6309"/>
  <c r="C41" i="6309"/>
  <c r="H22" i="6309"/>
  <c r="H27" i="6309"/>
  <c r="C35" i="6309"/>
  <c r="H41" i="6309"/>
  <c r="H42" i="6309"/>
  <c r="C17" i="6309"/>
  <c r="H7" i="6309"/>
  <c r="H18" i="6309"/>
  <c r="H23" i="6309"/>
  <c r="H28" i="6309"/>
  <c r="C37" i="6309"/>
  <c r="C43" i="6309"/>
  <c r="H13" i="6309"/>
  <c r="C22" i="6309"/>
  <c r="H9" i="6309"/>
  <c r="H16" i="6309"/>
  <c r="C23" i="6309"/>
  <c r="H6" i="6309"/>
  <c r="H37" i="6309"/>
  <c r="C46" i="6309"/>
  <c r="H11" i="6309"/>
  <c r="H36" i="6309"/>
  <c r="H5" i="6309"/>
  <c r="H14" i="6309"/>
  <c r="H19" i="6309"/>
  <c r="H24" i="6309"/>
  <c r="H31" i="6309"/>
  <c r="H38" i="6309"/>
  <c r="C47" i="6309"/>
  <c r="H33" i="6309"/>
  <c r="C38" i="6309"/>
  <c r="C42" i="6309"/>
  <c r="H21" i="6309"/>
  <c r="H25" i="6309"/>
  <c r="H29" i="6309"/>
  <c r="H35" i="6309"/>
  <c r="H39" i="6309"/>
  <c r="C44" i="6309"/>
  <c r="C21" i="6309"/>
  <c r="B25" i="6309"/>
  <c r="H30" i="6309"/>
  <c r="C36" i="6309"/>
  <c r="C40" i="6309"/>
  <c r="H40" i="6308"/>
  <c r="C23" i="6308"/>
  <c r="H10" i="6308"/>
  <c r="C42" i="6308"/>
  <c r="H18" i="6308"/>
  <c r="H23" i="6308"/>
  <c r="H34" i="6308"/>
  <c r="H42" i="6308"/>
  <c r="H3" i="6308"/>
  <c r="H2" i="6308"/>
  <c r="C17" i="6308"/>
  <c r="H9" i="6308"/>
  <c r="H25" i="6308"/>
  <c r="C36" i="6308"/>
  <c r="C45" i="6308"/>
  <c r="C22" i="6308"/>
  <c r="H33" i="6308"/>
  <c r="H7" i="6308"/>
  <c r="H13" i="6308"/>
  <c r="H11" i="6308"/>
  <c r="H16" i="6308"/>
  <c r="C19" i="6308"/>
  <c r="H36" i="6308"/>
  <c r="C46" i="6308"/>
  <c r="B25" i="6308"/>
  <c r="H19" i="6308"/>
  <c r="H6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2" i="6298"/>
  <c r="O25" i="6305" l="1"/>
  <c r="O24" i="6305"/>
  <c r="O18" i="6295"/>
  <c r="O19" i="6287"/>
  <c r="O22" i="6305"/>
  <c r="O21" i="6305"/>
  <c r="O19" i="6306"/>
  <c r="O23" i="6306"/>
  <c r="O21" i="6306"/>
  <c r="O26" i="6304"/>
  <c r="O24" i="6304"/>
  <c r="O23" i="6304"/>
  <c r="O31" i="6277"/>
  <c r="O23" i="6277"/>
  <c r="O24" i="6301" l="1"/>
  <c r="O21" i="6301"/>
  <c r="O25" i="6303"/>
  <c r="O24" i="6303"/>
  <c r="O21" i="6298"/>
  <c r="O20" i="6298"/>
  <c r="O18" i="6298"/>
  <c r="O38" i="6272"/>
  <c r="O20" i="6306"/>
  <c r="O18" i="6306"/>
  <c r="O22" i="6306"/>
  <c r="C32" i="6306"/>
  <c r="B27" i="6306"/>
  <c r="C18" i="6306"/>
  <c r="B17" i="6306"/>
  <c r="C17" i="6306" s="1"/>
  <c r="H19" i="6306"/>
  <c r="C16" i="6306"/>
  <c r="B16" i="6306"/>
  <c r="B26" i="6306" s="1"/>
  <c r="O15" i="6306"/>
  <c r="H18" i="6306"/>
  <c r="B15" i="6306"/>
  <c r="C15" i="6306" s="1"/>
  <c r="O14" i="6306"/>
  <c r="H17" i="6306"/>
  <c r="C14" i="6306"/>
  <c r="O13" i="6306"/>
  <c r="H16" i="6306"/>
  <c r="C13" i="6306"/>
  <c r="O12" i="6306"/>
  <c r="H15" i="6306"/>
  <c r="C12" i="6306"/>
  <c r="H14" i="6306"/>
  <c r="B11" i="6306"/>
  <c r="C11" i="6306" s="1"/>
  <c r="H13" i="6306"/>
  <c r="C10" i="6306"/>
  <c r="O9" i="6306"/>
  <c r="H12" i="6306"/>
  <c r="C9" i="6306"/>
  <c r="O8" i="6306"/>
  <c r="H7" i="6306"/>
  <c r="C8" i="6306"/>
  <c r="O7" i="6306"/>
  <c r="H6" i="6306"/>
  <c r="C7" i="6306"/>
  <c r="O6" i="6306"/>
  <c r="H11" i="6306"/>
  <c r="B6" i="6306"/>
  <c r="O5" i="6306"/>
  <c r="H5" i="6306"/>
  <c r="B5" i="6306"/>
  <c r="O4" i="6306"/>
  <c r="H10" i="6306"/>
  <c r="O3" i="6306"/>
  <c r="H4" i="6306"/>
  <c r="O2" i="6306"/>
  <c r="H2" i="6306"/>
  <c r="O23" i="6301"/>
  <c r="O19" i="6303"/>
  <c r="C47" i="6306" l="1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29" i="6306"/>
  <c r="H28" i="6306"/>
  <c r="H27" i="6306"/>
  <c r="H9" i="6306"/>
  <c r="B25" i="6306"/>
  <c r="H26" i="6306"/>
  <c r="B24" i="6306"/>
  <c r="H25" i="6306"/>
  <c r="C23" i="6306"/>
  <c r="H8" i="6306"/>
  <c r="C22" i="6306"/>
  <c r="H24" i="6306"/>
  <c r="C21" i="6306"/>
  <c r="H23" i="6306"/>
  <c r="C20" i="6306"/>
  <c r="H22" i="6306"/>
  <c r="C19" i="6306"/>
  <c r="H21" i="6306"/>
  <c r="H20" i="6306"/>
  <c r="O18" i="6302" l="1"/>
  <c r="O26" i="6302"/>
  <c r="O25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1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28" i="6298" l="1"/>
  <c r="O37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1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28" i="6287"/>
  <c r="O33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3" i="6298" l="1"/>
  <c r="O20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7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8" i="6287" l="1"/>
  <c r="O23" i="6295"/>
  <c r="O19" i="6301"/>
  <c r="O27" i="6301"/>
  <c r="O18" i="6301"/>
  <c r="C32" i="6301"/>
  <c r="B27" i="6301"/>
  <c r="C18" i="6301"/>
  <c r="B17" i="6301"/>
  <c r="C17" i="6301" s="1"/>
  <c r="H10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9" i="6301"/>
  <c r="B11" i="6301"/>
  <c r="C11" i="6301" s="1"/>
  <c r="H6" i="6301"/>
  <c r="C10" i="6301"/>
  <c r="O9" i="6301"/>
  <c r="H14" i="6301"/>
  <c r="C9" i="6301"/>
  <c r="O8" i="6301"/>
  <c r="H13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5" i="6272"/>
  <c r="B26" i="6301" l="1"/>
  <c r="C16" i="6301"/>
  <c r="C47" i="6301"/>
  <c r="C46" i="6301"/>
  <c r="C45" i="6301"/>
  <c r="C44" i="6301"/>
  <c r="C43" i="6301"/>
  <c r="H12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1" i="6301"/>
  <c r="C22" i="6301"/>
  <c r="H23" i="6301"/>
  <c r="C21" i="6301"/>
  <c r="H22" i="6301"/>
  <c r="C20" i="6301"/>
  <c r="H21" i="6301"/>
  <c r="C19" i="6301"/>
  <c r="H20" i="6301"/>
  <c r="H19" i="6301"/>
  <c r="O27" i="6298" l="1"/>
  <c r="O29" i="6277"/>
  <c r="O22" i="6295" l="1"/>
  <c r="O21" i="6295"/>
  <c r="O31" i="6295"/>
  <c r="O29" i="6298"/>
  <c r="O24" i="6298"/>
  <c r="O25" i="6299"/>
  <c r="O22" i="6299"/>
  <c r="O56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5" i="6287"/>
  <c r="O23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0" i="6272"/>
  <c r="O19" i="6298"/>
  <c r="O26" i="6298"/>
  <c r="O25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H18" i="6298"/>
  <c r="C14" i="6298"/>
  <c r="O13" i="6298"/>
  <c r="H17" i="6298"/>
  <c r="C13" i="6298"/>
  <c r="O12" i="6298"/>
  <c r="H16" i="6298"/>
  <c r="C12" i="6298"/>
  <c r="H15" i="6298"/>
  <c r="B11" i="6298"/>
  <c r="C11" i="6298" s="1"/>
  <c r="H6" i="6298"/>
  <c r="C10" i="6298"/>
  <c r="O9" i="6298"/>
  <c r="H10" i="6298"/>
  <c r="C9" i="6298"/>
  <c r="O8" i="6298"/>
  <c r="H9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36" i="6272"/>
  <c r="B26" i="6299" l="1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3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4" i="6287"/>
  <c r="O26" i="6287"/>
  <c r="O32" i="6277"/>
  <c r="O22" i="6277"/>
  <c r="O35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0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2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7" i="6287"/>
  <c r="O20" i="6291"/>
  <c r="O24" i="6291"/>
  <c r="O20" i="6289"/>
  <c r="O24" i="6289"/>
  <c r="O21" i="6280"/>
  <c r="O22" i="6289"/>
  <c r="O39" i="6287" l="1"/>
  <c r="O31" i="6284"/>
  <c r="O20" i="6273"/>
  <c r="O5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38" i="6287"/>
  <c r="O35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1" i="6287"/>
  <c r="O29" i="6287"/>
  <c r="O21" i="6273"/>
  <c r="O34" i="6287"/>
  <c r="O33" i="6287"/>
  <c r="O3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5" i="6272"/>
  <c r="C39" i="6287" l="1"/>
  <c r="H41" i="6287"/>
  <c r="H5" i="6287"/>
  <c r="H14" i="6287"/>
  <c r="H24" i="6287"/>
  <c r="H9" i="6287"/>
  <c r="C20" i="6287"/>
  <c r="H12" i="6287"/>
  <c r="H2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7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0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7" i="6272"/>
  <c r="O49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2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<sst xmlns="http://schemas.openxmlformats.org/spreadsheetml/2006/main" count="8044" uniqueCount="270">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</sst>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全体!$K$2:$K$323</c:f>
              <c:numCache>
                <c:formatCode>General</c:formatCode>
                <c:ptCount val="3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</c:numCache>
            </c:numRef>
          </c:xVal>
          <c:yVal>
            <c:numRef>
              <c:f>全体!$L$2:$L$323</c:f>
              <c:numCache>
                <c:formatCode>\+0.0;\-0.0;\±0</c:formatCode>
                <c:ptCount val="3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-77.881619937694708</c:v>
                </c:pt>
                <c:pt idx="1">
                  <c:v>0</c:v>
                </c:pt>
                <c:pt idx="2">
                  <c:v>-21.725239616613418</c:v>
                </c:pt>
                <c:pt idx="3">
                  <c:v>-72.664359861591691</c:v>
                </c:pt>
                <c:pt idx="4">
                  <c:v>-29.411764705882351</c:v>
                </c:pt>
                <c:pt idx="5">
                  <c:v>-62.5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48</c:v>
                </c:pt>
                <c:pt idx="1">
                  <c:v>94</c:v>
                </c:pt>
                <c:pt idx="2">
                  <c:v>114</c:v>
                </c:pt>
                <c:pt idx="3">
                  <c:v>106</c:v>
                </c:pt>
                <c:pt idx="4">
                  <c:v>49</c:v>
                </c:pt>
                <c:pt idx="5">
                  <c:v>55</c:v>
                </c:pt>
                <c:pt idx="6">
                  <c:v>18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柳澤颯吾!$L$2:$L$38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1294.4444444444443</c:v>
                </c:pt>
                <c:pt idx="1">
                  <c:v>775</c:v>
                </c:pt>
                <c:pt idx="2">
                  <c:v>274.28571428571428</c:v>
                </c:pt>
                <c:pt idx="3">
                  <c:v>509.67741935483872</c:v>
                </c:pt>
                <c:pt idx="4">
                  <c:v>-250</c:v>
                </c:pt>
                <c:pt idx="5">
                  <c:v>-1500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21</c:v>
                </c:pt>
                <c:pt idx="3">
                  <c:v>5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伊藤仁城!$L$2:$L$17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-733.33333333333337</c:v>
                </c:pt>
                <c:pt idx="1">
                  <c:v>-1740</c:v>
                </c:pt>
                <c:pt idx="2">
                  <c:v>-1020</c:v>
                </c:pt>
                <c:pt idx="3">
                  <c:v>186.66666666666666</c:v>
                </c:pt>
                <c:pt idx="4">
                  <c:v>-3033.3333333333335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中村花菜!$L$2:$L$11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-2888.8888888888887</c:v>
                </c:pt>
                <c:pt idx="1">
                  <c:v>-3455.5555555555557</c:v>
                </c:pt>
                <c:pt idx="2">
                  <c:v>-4088.8888888888887</c:v>
                </c:pt>
                <c:pt idx="3">
                  <c:v>-1700</c:v>
                </c:pt>
                <c:pt idx="4">
                  <c:v>185.71428571428572</c:v>
                </c:pt>
                <c:pt idx="5">
                  <c:v>3000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坂本羽弥斗!$L$2:$L$6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2675</c:v>
                </c:pt>
                <c:pt idx="1">
                  <c:v>-2475</c:v>
                </c:pt>
                <c:pt idx="2">
                  <c:v>-1525</c:v>
                </c:pt>
                <c:pt idx="3">
                  <c:v>-2325</c:v>
                </c:pt>
                <c:pt idx="4">
                  <c:v>250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湯本咲蔵!$L$2:$L$5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-333.33333333333331</c:v>
                </c:pt>
                <c:pt idx="1">
                  <c:v>0</c:v>
                </c:pt>
                <c:pt idx="2">
                  <c:v>3700</c:v>
                </c:pt>
                <c:pt idx="3">
                  <c:v>-2133.3333333333335</c:v>
                </c:pt>
                <c:pt idx="4">
                  <c:v>-1433.3333333333333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田名網新!$L$2:$L$4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350</c:v>
                </c:pt>
                <c:pt idx="1">
                  <c:v>1500</c:v>
                </c:pt>
                <c:pt idx="2">
                  <c:v>750</c:v>
                </c:pt>
                <c:pt idx="3">
                  <c:v>-6600</c:v>
                </c:pt>
                <c:pt idx="4">
                  <c:v>3950</c:v>
                </c:pt>
                <c:pt idx="5">
                  <c:v>-3000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山本悠介!$L$2:$L$4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150</c:v>
                </c:pt>
                <c:pt idx="1">
                  <c:v>-1000</c:v>
                </c:pt>
                <c:pt idx="2">
                  <c:v>-750</c:v>
                </c:pt>
                <c:pt idx="3">
                  <c:v>3250</c:v>
                </c:pt>
                <c:pt idx="4">
                  <c:v>0</c:v>
                </c:pt>
                <c:pt idx="5">
                  <c:v>-6000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石原凛人!$L$2:$L$3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-1500</c:v>
                </c:pt>
                <c:pt idx="3">
                  <c:v>12100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渡部陵瑛!$L$2:$L$3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-16000</c:v>
                </c:pt>
                <c:pt idx="3">
                  <c:v>8000</c:v>
                </c:pt>
                <c:pt idx="4">
                  <c:v>-500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68ADB1-C80A-407E-8581-702B9D6F4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45225C-2D25-42CF-90C8-2D5878200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FA333F-0291-4B4F-BFB5-621C37B59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9D5ABF-4047-42AC-BA20-02D045C44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3B3E36-D9F0-4867-8566-C9EE41CE9A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6BE4DFA-AAA4-4DA0-95D9-6AD0D8816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8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15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4</v>
      </c>
    </row>
    <row r="35" spans="1:2">
      <c r="A35" t="s">
        <v>265</v>
      </c>
      <c r="B35">
        <v>3</v>
      </c>
    </row>
    <row r="36" spans="1:2">
      <c r="A36" t="s">
        <v>262</v>
      </c>
      <c r="B36">
        <v>2</v>
      </c>
    </row>
    <row r="37" spans="1:2">
      <c r="A37" t="s">
        <v>263</v>
      </c>
      <c r="B37">
        <v>2</v>
      </c>
    </row>
    <row r="38" spans="1:2">
      <c r="A38" t="s">
        <v>264</v>
      </c>
      <c r="B38">
        <v>1</v>
      </c>
    </row>
    <row r="39" spans="1:2">
      <c r="A39" t="s">
        <v>269</v>
      </c>
      <c r="B39">
        <v>1</v>
      </c>
    </row>
    <row r="40" spans="1:2">
      <c r="A40" t="s">
        <v>268</v>
      </c>
      <c r="B40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2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0.71821309912258258</v>
      </c>
      <c r="C2" s="111"/>
      <c r="D2" s="112"/>
      <c r="E2" s="113"/>
      <c r="F2" s="112"/>
      <c r="G2" s="113"/>
      <c r="H2" s="110">
        <v>0.84426674079423658</v>
      </c>
      <c r="I2" s="111"/>
      <c r="J2" s="110">
        <v>0.66496469758025445</v>
      </c>
      <c r="K2" s="111"/>
      <c r="L2" s="110">
        <v>0.45641078194446505</v>
      </c>
      <c r="M2" s="111"/>
      <c r="N2" s="110">
        <v>0.64212313168570856</v>
      </c>
      <c r="O2" s="111"/>
      <c r="P2" s="110">
        <v>0.53912386719930383</v>
      </c>
      <c r="Q2" s="111"/>
      <c r="R2" s="110">
        <v>0.39062077361181474</v>
      </c>
      <c r="S2" s="111"/>
      <c r="T2" s="110">
        <v>-1.7746502677156349E-2</v>
      </c>
      <c r="U2" s="111"/>
      <c r="V2" s="110">
        <v>0.52868451603979638</v>
      </c>
      <c r="W2" s="111"/>
      <c r="X2" s="110">
        <v>-5.5800011457076701E-3</v>
      </c>
      <c r="Y2" s="111"/>
      <c r="Z2" s="110">
        <v>0.34004978570683075</v>
      </c>
      <c r="AA2" s="111"/>
      <c r="AB2" s="110">
        <v>0.21078872909222846</v>
      </c>
      <c r="AC2" s="111"/>
      <c r="AD2" s="110">
        <v>0.36964713420695861</v>
      </c>
      <c r="AE2" s="111"/>
      <c r="AF2" s="110">
        <v>-0.20818083938862941</v>
      </c>
      <c r="AG2" s="111"/>
      <c r="AH2" s="110">
        <v>0.55527203060802843</v>
      </c>
      <c r="AI2" s="111"/>
    </row>
    <row r="3" spans="1:35">
      <c r="A3" s="36">
        <v>1</v>
      </c>
      <c r="B3" s="37" t="s">
        <v>114</v>
      </c>
      <c r="C3" s="106">
        <v>80.25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264</v>
      </c>
      <c r="U3" s="43">
        <v>18000</v>
      </c>
      <c r="V3" s="39" t="s">
        <v>167</v>
      </c>
      <c r="W3" s="43">
        <v>0</v>
      </c>
      <c r="X3" s="39" t="s">
        <v>258</v>
      </c>
      <c r="Y3" s="42">
        <v>0.46153846153846156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264</v>
      </c>
      <c r="G4" s="59">
        <v>55.6</v>
      </c>
      <c r="H4" s="47" t="s">
        <v>264</v>
      </c>
      <c r="I4" s="48">
        <v>1</v>
      </c>
      <c r="J4" s="47" t="s">
        <v>264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228</v>
      </c>
      <c r="U4" s="51">
        <v>9027.7777777777774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265</v>
      </c>
      <c r="AC4" s="50">
        <v>1</v>
      </c>
      <c r="AD4" s="47" t="s">
        <v>258</v>
      </c>
      <c r="AE4" s="50">
        <v>1</v>
      </c>
      <c r="AF4" s="47" t="s">
        <v>269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36</v>
      </c>
      <c r="D5" s="45" t="s">
        <v>195</v>
      </c>
      <c r="E5" s="46">
        <v>175.39999999999998</v>
      </c>
      <c r="F5" s="47" t="s">
        <v>268</v>
      </c>
      <c r="G5" s="59">
        <v>52.1</v>
      </c>
      <c r="H5" s="47" t="s">
        <v>268</v>
      </c>
      <c r="I5" s="48">
        <v>1</v>
      </c>
      <c r="J5" s="47" t="s">
        <v>268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264</v>
      </c>
      <c r="S5" s="50">
        <v>0</v>
      </c>
      <c r="T5" s="47" t="s">
        <v>244</v>
      </c>
      <c r="U5" s="51">
        <v>8930</v>
      </c>
      <c r="V5" s="47" t="s">
        <v>264</v>
      </c>
      <c r="W5" s="51">
        <v>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263</v>
      </c>
      <c r="AC5" s="50">
        <v>1</v>
      </c>
      <c r="AD5" s="47" t="s">
        <v>265</v>
      </c>
      <c r="AE5" s="50">
        <v>1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205</v>
      </c>
      <c r="G6" s="59">
        <v>35.274999999999999</v>
      </c>
      <c r="H6" s="47" t="s">
        <v>205</v>
      </c>
      <c r="I6" s="48">
        <v>1.75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265</v>
      </c>
      <c r="S6" s="50">
        <v>5.2631578947368418E-2</v>
      </c>
      <c r="T6" s="47" t="s">
        <v>167</v>
      </c>
      <c r="U6" s="51">
        <v>8600</v>
      </c>
      <c r="V6" s="47" t="s">
        <v>263</v>
      </c>
      <c r="W6" s="51">
        <v>-1000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269</v>
      </c>
      <c r="AC6" s="50">
        <v>1</v>
      </c>
      <c r="AD6" s="47" t="s">
        <v>166</v>
      </c>
      <c r="AE6" s="50">
        <v>0.66666666666666663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263</v>
      </c>
      <c r="S7" s="50">
        <v>7.1428571428571425E-2</v>
      </c>
      <c r="T7" s="47" t="s">
        <v>268</v>
      </c>
      <c r="U7" s="51">
        <v>8550</v>
      </c>
      <c r="V7" s="47" t="s">
        <v>262</v>
      </c>
      <c r="W7" s="51">
        <v>-2233.3333333333335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268</v>
      </c>
      <c r="AC7" s="50">
        <v>1</v>
      </c>
      <c r="AD7" s="47" t="s">
        <v>162</v>
      </c>
      <c r="AE7" s="50">
        <v>0.55555555555555558</v>
      </c>
      <c r="AF7" s="47" t="s">
        <v>235</v>
      </c>
      <c r="AG7" s="50">
        <v>0.5714285714285714</v>
      </c>
      <c r="AH7" s="47" t="s">
        <v>168</v>
      </c>
      <c r="AI7" s="54">
        <v>65600</v>
      </c>
    </row>
    <row r="8" spans="1:35">
      <c r="A8" s="44">
        <v>6</v>
      </c>
      <c r="B8" s="45" t="s">
        <v>179</v>
      </c>
      <c r="C8" s="107">
        <v>16</v>
      </c>
      <c r="D8" s="45" t="s">
        <v>255</v>
      </c>
      <c r="E8" s="46">
        <v>127.49999999999999</v>
      </c>
      <c r="F8" s="47" t="s">
        <v>255</v>
      </c>
      <c r="G8" s="59">
        <v>21.249999999999996</v>
      </c>
      <c r="H8" s="47" t="s">
        <v>167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255</v>
      </c>
      <c r="Q8" s="50">
        <v>0.27500000000000002</v>
      </c>
      <c r="R8" s="47" t="s">
        <v>231</v>
      </c>
      <c r="S8" s="50">
        <v>7.6923076923076927E-2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175</v>
      </c>
      <c r="Y8" s="50">
        <v>0.26666666666666666</v>
      </c>
      <c r="Z8" s="47" t="s">
        <v>195</v>
      </c>
      <c r="AA8" s="50">
        <v>0.29527559055118108</v>
      </c>
      <c r="AB8" s="47" t="s">
        <v>205</v>
      </c>
      <c r="AC8" s="50">
        <v>0.8571428571428571</v>
      </c>
      <c r="AD8" s="47" t="s">
        <v>241</v>
      </c>
      <c r="AE8" s="50">
        <v>0.53846153846153844</v>
      </c>
      <c r="AF8" s="47" t="s">
        <v>255</v>
      </c>
      <c r="AG8" s="50">
        <v>0.54545454545454541</v>
      </c>
      <c r="AH8" s="47" t="s">
        <v>195</v>
      </c>
      <c r="AI8" s="54">
        <v>65500</v>
      </c>
    </row>
    <row r="9" spans="1:35">
      <c r="A9" s="44">
        <v>7</v>
      </c>
      <c r="B9" s="45" t="s">
        <v>164</v>
      </c>
      <c r="C9" s="107">
        <v>15</v>
      </c>
      <c r="D9" s="45" t="s">
        <v>231</v>
      </c>
      <c r="E9" s="46">
        <v>112.5</v>
      </c>
      <c r="F9" s="47" t="s">
        <v>169</v>
      </c>
      <c r="G9" s="59">
        <v>15.856410256410255</v>
      </c>
      <c r="H9" s="47" t="s">
        <v>255</v>
      </c>
      <c r="I9" s="48">
        <v>2</v>
      </c>
      <c r="J9" s="47" t="s">
        <v>255</v>
      </c>
      <c r="K9" s="49">
        <v>0.5</v>
      </c>
      <c r="L9" s="47" t="s">
        <v>262</v>
      </c>
      <c r="M9" s="49">
        <v>0</v>
      </c>
      <c r="N9" s="47" t="s">
        <v>162</v>
      </c>
      <c r="O9" s="49">
        <v>0.66666666666666663</v>
      </c>
      <c r="P9" s="47" t="s">
        <v>195</v>
      </c>
      <c r="Q9" s="50">
        <v>0.27165354330708663</v>
      </c>
      <c r="R9" s="47" t="s">
        <v>169</v>
      </c>
      <c r="S9" s="50">
        <v>8.191126279863481E-2</v>
      </c>
      <c r="T9" s="47" t="s">
        <v>175</v>
      </c>
      <c r="U9" s="51">
        <v>8400</v>
      </c>
      <c r="V9" s="47" t="s">
        <v>191</v>
      </c>
      <c r="W9" s="51">
        <v>-3740</v>
      </c>
      <c r="X9" s="47" t="s">
        <v>164</v>
      </c>
      <c r="Y9" s="50">
        <v>0.26446280991735538</v>
      </c>
      <c r="Z9" s="47" t="s">
        <v>180</v>
      </c>
      <c r="AA9" s="50">
        <v>0.2857142857142857</v>
      </c>
      <c r="AB9" s="47" t="s">
        <v>162</v>
      </c>
      <c r="AC9" s="50">
        <v>0.75</v>
      </c>
      <c r="AD9" s="47" t="s">
        <v>196</v>
      </c>
      <c r="AE9" s="50">
        <v>0.5</v>
      </c>
      <c r="AF9" s="47" t="s">
        <v>167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228</v>
      </c>
      <c r="C10" s="107">
        <v>15</v>
      </c>
      <c r="D10" s="45" t="s">
        <v>191</v>
      </c>
      <c r="E10" s="46">
        <v>79.299999999999983</v>
      </c>
      <c r="F10" s="47" t="s">
        <v>167</v>
      </c>
      <c r="G10" s="59">
        <v>14</v>
      </c>
      <c r="H10" s="47" t="s">
        <v>169</v>
      </c>
      <c r="I10" s="48">
        <v>2.1282051282051282</v>
      </c>
      <c r="J10" s="47" t="s">
        <v>168</v>
      </c>
      <c r="K10" s="49">
        <v>0.3888888888888889</v>
      </c>
      <c r="L10" s="47" t="s">
        <v>263</v>
      </c>
      <c r="M10" s="49">
        <v>0</v>
      </c>
      <c r="N10" s="47" t="s">
        <v>241</v>
      </c>
      <c r="O10" s="49">
        <v>0.66666666666666663</v>
      </c>
      <c r="P10" s="47" t="s">
        <v>162</v>
      </c>
      <c r="Q10" s="50">
        <v>0.26923076923076922</v>
      </c>
      <c r="R10" s="47" t="s">
        <v>164</v>
      </c>
      <c r="S10" s="50">
        <v>9.0909090909090912E-2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162</v>
      </c>
      <c r="Y10" s="50">
        <v>0.25641025641025639</v>
      </c>
      <c r="Z10" s="47" t="s">
        <v>235</v>
      </c>
      <c r="AA10" s="50">
        <v>0.26153846153846155</v>
      </c>
      <c r="AB10" s="47" t="s">
        <v>166</v>
      </c>
      <c r="AC10" s="50">
        <v>0.75</v>
      </c>
      <c r="AD10" s="47" t="s">
        <v>262</v>
      </c>
      <c r="AE10" s="50">
        <v>0.5</v>
      </c>
      <c r="AF10" s="47" t="s">
        <v>203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264</v>
      </c>
      <c r="E11" s="46">
        <v>55.6</v>
      </c>
      <c r="F11" s="47" t="s">
        <v>265</v>
      </c>
      <c r="G11" s="59">
        <v>9.1333333333333346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264</v>
      </c>
      <c r="M11" s="49">
        <v>0</v>
      </c>
      <c r="N11" s="47" t="s">
        <v>255</v>
      </c>
      <c r="O11" s="49">
        <v>0.66666666666666663</v>
      </c>
      <c r="P11" s="47" t="s">
        <v>265</v>
      </c>
      <c r="Q11" s="50">
        <v>0.26315789473684209</v>
      </c>
      <c r="R11" s="47" t="s">
        <v>255</v>
      </c>
      <c r="S11" s="50">
        <v>0.1</v>
      </c>
      <c r="T11" s="47" t="s">
        <v>269</v>
      </c>
      <c r="U11" s="51">
        <v>8000</v>
      </c>
      <c r="V11" s="47" t="s">
        <v>231</v>
      </c>
      <c r="W11" s="51">
        <v>-3900</v>
      </c>
      <c r="X11" s="47" t="s">
        <v>195</v>
      </c>
      <c r="Y11" s="50">
        <v>0.25590551181102361</v>
      </c>
      <c r="Z11" s="47" t="s">
        <v>164</v>
      </c>
      <c r="AA11" s="50">
        <v>0.256198347107438</v>
      </c>
      <c r="AB11" s="47" t="s">
        <v>175</v>
      </c>
      <c r="AC11" s="50">
        <v>0.75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268</v>
      </c>
      <c r="E12" s="46">
        <v>52.1</v>
      </c>
      <c r="F12" s="47" t="s">
        <v>168</v>
      </c>
      <c r="G12" s="59">
        <v>8.5777777777777757</v>
      </c>
      <c r="H12" s="47" t="s">
        <v>168</v>
      </c>
      <c r="I12" s="48">
        <v>2.3333333333333335</v>
      </c>
      <c r="J12" s="47" t="s">
        <v>244</v>
      </c>
      <c r="K12" s="49">
        <v>0.375</v>
      </c>
      <c r="L12" s="47" t="s">
        <v>268</v>
      </c>
      <c r="M12" s="49">
        <v>0</v>
      </c>
      <c r="N12" s="47" t="s">
        <v>265</v>
      </c>
      <c r="O12" s="49">
        <v>0.66666666666666663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231</v>
      </c>
      <c r="U12" s="51">
        <v>7975</v>
      </c>
      <c r="V12" s="47" t="s">
        <v>258</v>
      </c>
      <c r="W12" s="51">
        <v>-4325</v>
      </c>
      <c r="X12" s="47" t="s">
        <v>196</v>
      </c>
      <c r="Y12" s="50">
        <v>0.25</v>
      </c>
      <c r="Z12" s="47" t="s">
        <v>179</v>
      </c>
      <c r="AA12" s="50">
        <v>0.25190839694656486</v>
      </c>
      <c r="AB12" s="47" t="s">
        <v>177</v>
      </c>
      <c r="AC12" s="50">
        <v>0.75</v>
      </c>
      <c r="AD12" s="47" t="s">
        <v>161</v>
      </c>
      <c r="AE12" s="50">
        <v>0.3888888888888889</v>
      </c>
      <c r="AF12" s="47" t="s">
        <v>263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265</v>
      </c>
      <c r="E13" s="46">
        <v>27.400000000000002</v>
      </c>
      <c r="F13" s="47" t="s">
        <v>191</v>
      </c>
      <c r="G13" s="59">
        <v>5.6642857142857128</v>
      </c>
      <c r="H13" s="47" t="s">
        <v>265</v>
      </c>
      <c r="I13" s="48">
        <v>2.3333333333333335</v>
      </c>
      <c r="J13" s="47" t="s">
        <v>169</v>
      </c>
      <c r="K13" s="49">
        <v>0.35897435897435898</v>
      </c>
      <c r="L13" s="47" t="s">
        <v>191</v>
      </c>
      <c r="M13" s="49">
        <v>7.1428571428571425E-2</v>
      </c>
      <c r="N13" s="47" t="s">
        <v>169</v>
      </c>
      <c r="O13" s="49">
        <v>0.64102564102564108</v>
      </c>
      <c r="P13" s="47" t="s">
        <v>241</v>
      </c>
      <c r="Q13" s="50">
        <v>0.23809523809523808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205</v>
      </c>
      <c r="Y13" s="50">
        <v>0.25</v>
      </c>
      <c r="Z13" s="47" t="s">
        <v>196</v>
      </c>
      <c r="AA13" s="50">
        <v>0.25</v>
      </c>
      <c r="AB13" s="47" t="s">
        <v>168</v>
      </c>
      <c r="AC13" s="50">
        <v>0.7142857142857143</v>
      </c>
      <c r="AD13" s="47" t="s">
        <v>168</v>
      </c>
      <c r="AE13" s="50">
        <v>0.38297872340425532</v>
      </c>
      <c r="AF13" s="47" t="s">
        <v>268</v>
      </c>
      <c r="AG13" s="50">
        <v>0.5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164</v>
      </c>
      <c r="E14" s="46">
        <v>22.499999999999993</v>
      </c>
      <c r="F14" s="47" t="s">
        <v>195</v>
      </c>
      <c r="G14" s="59">
        <v>4.8722222222222218</v>
      </c>
      <c r="H14" s="47" t="s">
        <v>195</v>
      </c>
      <c r="I14" s="48">
        <v>2.3888888888888888</v>
      </c>
      <c r="J14" s="47" t="s">
        <v>265</v>
      </c>
      <c r="K14" s="49">
        <v>0.33333333333333331</v>
      </c>
      <c r="L14" s="47" t="s">
        <v>169</v>
      </c>
      <c r="M14" s="49">
        <v>0.12820512820512819</v>
      </c>
      <c r="N14" s="47" t="s">
        <v>164</v>
      </c>
      <c r="O14" s="49">
        <v>0.6</v>
      </c>
      <c r="P14" s="47" t="s">
        <v>258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7816.666666666667</v>
      </c>
      <c r="V14" s="47" t="s">
        <v>162</v>
      </c>
      <c r="W14" s="51">
        <v>-5000</v>
      </c>
      <c r="X14" s="47" t="s">
        <v>255</v>
      </c>
      <c r="Y14" s="50">
        <v>0.25</v>
      </c>
      <c r="Z14" s="47" t="s">
        <v>191</v>
      </c>
      <c r="AA14" s="50">
        <v>0.24347826086956523</v>
      </c>
      <c r="AB14" s="47" t="s">
        <v>228</v>
      </c>
      <c r="AC14" s="50">
        <v>0.65</v>
      </c>
      <c r="AD14" s="47" t="s">
        <v>255</v>
      </c>
      <c r="AE14" s="50">
        <v>0.375</v>
      </c>
      <c r="AF14" s="47" t="s">
        <v>216</v>
      </c>
      <c r="AG14" s="50">
        <v>0.44444444444444442</v>
      </c>
      <c r="AH14" s="47" t="s">
        <v>161</v>
      </c>
      <c r="AI14" s="54">
        <v>54900</v>
      </c>
    </row>
    <row r="15" spans="1:35">
      <c r="A15" s="44">
        <v>13</v>
      </c>
      <c r="B15" s="45" t="s">
        <v>213</v>
      </c>
      <c r="C15" s="107">
        <v>10</v>
      </c>
      <c r="D15" s="45" t="s">
        <v>163</v>
      </c>
      <c r="E15" s="46">
        <v>20.300000000000004</v>
      </c>
      <c r="F15" s="47" t="s">
        <v>163</v>
      </c>
      <c r="G15" s="59">
        <v>2.5375000000000005</v>
      </c>
      <c r="H15" s="47" t="s">
        <v>179</v>
      </c>
      <c r="I15" s="48">
        <v>2.4375</v>
      </c>
      <c r="J15" s="47" t="s">
        <v>161</v>
      </c>
      <c r="K15" s="49">
        <v>0.3</v>
      </c>
      <c r="L15" s="47" t="s">
        <v>195</v>
      </c>
      <c r="M15" s="49">
        <v>0.1388888888888889</v>
      </c>
      <c r="N15" s="47" t="s">
        <v>227</v>
      </c>
      <c r="O15" s="49">
        <v>0.5714285714285714</v>
      </c>
      <c r="P15" s="47" t="s">
        <v>227</v>
      </c>
      <c r="Q15" s="50">
        <v>0.22580645161290322</v>
      </c>
      <c r="R15" s="47" t="s">
        <v>213</v>
      </c>
      <c r="S15" s="50">
        <v>0.1111111111111111</v>
      </c>
      <c r="T15" s="47" t="s">
        <v>255</v>
      </c>
      <c r="U15" s="51">
        <v>7581.818181818182</v>
      </c>
      <c r="V15" s="47" t="s">
        <v>203</v>
      </c>
      <c r="W15" s="51">
        <v>-5080</v>
      </c>
      <c r="X15" s="47" t="s">
        <v>213</v>
      </c>
      <c r="Y15" s="50">
        <v>0.22222222222222221</v>
      </c>
      <c r="Z15" s="47" t="s">
        <v>161</v>
      </c>
      <c r="AA15" s="50">
        <v>0.23376623376623376</v>
      </c>
      <c r="AB15" s="47" t="s">
        <v>169</v>
      </c>
      <c r="AC15" s="50">
        <v>0.63461538461538458</v>
      </c>
      <c r="AD15" s="47" t="s">
        <v>195</v>
      </c>
      <c r="AE15" s="50">
        <v>0.37333333333333335</v>
      </c>
      <c r="AF15" s="47" t="s">
        <v>161</v>
      </c>
      <c r="AG15" s="50">
        <v>0.4375</v>
      </c>
      <c r="AH15" s="47" t="s">
        <v>179</v>
      </c>
      <c r="AI15" s="54">
        <v>53200</v>
      </c>
    </row>
    <row r="16" spans="1:35">
      <c r="A16" s="44">
        <v>14</v>
      </c>
      <c r="B16" s="45" t="s">
        <v>162</v>
      </c>
      <c r="C16" s="107">
        <v>9</v>
      </c>
      <c r="D16" s="45" t="s">
        <v>167</v>
      </c>
      <c r="E16" s="46">
        <v>14</v>
      </c>
      <c r="F16" s="47" t="s">
        <v>177</v>
      </c>
      <c r="G16" s="59">
        <v>1.9499999999999993</v>
      </c>
      <c r="H16" s="47" t="s">
        <v>164</v>
      </c>
      <c r="I16" s="48">
        <v>2.4666666666666668</v>
      </c>
      <c r="J16" s="47" t="s">
        <v>195</v>
      </c>
      <c r="K16" s="49">
        <v>0.27777777777777779</v>
      </c>
      <c r="L16" s="47" t="s">
        <v>238</v>
      </c>
      <c r="M16" s="49">
        <v>0.16666666666666666</v>
      </c>
      <c r="N16" s="47" t="s">
        <v>168</v>
      </c>
      <c r="O16" s="49">
        <v>0.55555555555555558</v>
      </c>
      <c r="P16" s="47" t="s">
        <v>169</v>
      </c>
      <c r="Q16" s="50">
        <v>0.22525597269624573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265</v>
      </c>
      <c r="W16" s="51">
        <v>-5200</v>
      </c>
      <c r="X16" s="47" t="s">
        <v>177</v>
      </c>
      <c r="Y16" s="50">
        <v>0.21052631578947367</v>
      </c>
      <c r="Z16" s="47" t="s">
        <v>244</v>
      </c>
      <c r="AA16" s="50">
        <v>0.21818181818181817</v>
      </c>
      <c r="AB16" s="47" t="s">
        <v>255</v>
      </c>
      <c r="AC16" s="50">
        <v>0.6</v>
      </c>
      <c r="AD16" s="47" t="s">
        <v>169</v>
      </c>
      <c r="AE16" s="50">
        <v>0.35849056603773582</v>
      </c>
      <c r="AF16" s="47" t="s">
        <v>162</v>
      </c>
      <c r="AG16" s="50">
        <v>0.42857142857142855</v>
      </c>
      <c r="AH16" s="47" t="s">
        <v>191</v>
      </c>
      <c r="AI16" s="54">
        <v>52500</v>
      </c>
    </row>
    <row r="17" spans="1:35">
      <c r="A17" s="44">
        <v>15</v>
      </c>
      <c r="B17" s="45" t="s">
        <v>235</v>
      </c>
      <c r="C17" s="107">
        <v>9</v>
      </c>
      <c r="D17" s="45" t="s">
        <v>244</v>
      </c>
      <c r="E17" s="46">
        <v>10.600000000000001</v>
      </c>
      <c r="F17" s="47" t="s">
        <v>164</v>
      </c>
      <c r="G17" s="59">
        <v>1.4999999999999996</v>
      </c>
      <c r="H17" s="47" t="s">
        <v>114</v>
      </c>
      <c r="I17" s="48">
        <v>2.4890965732087227</v>
      </c>
      <c r="J17" s="47" t="s">
        <v>216</v>
      </c>
      <c r="K17" s="49">
        <v>0.25925925925925924</v>
      </c>
      <c r="L17" s="47" t="s">
        <v>241</v>
      </c>
      <c r="M17" s="49">
        <v>0.16666666666666666</v>
      </c>
      <c r="N17" s="47" t="s">
        <v>114</v>
      </c>
      <c r="O17" s="49">
        <v>0.50155763239875384</v>
      </c>
      <c r="P17" s="47" t="s">
        <v>163</v>
      </c>
      <c r="Q17" s="50">
        <v>0.21739130434782608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169</v>
      </c>
      <c r="W17" s="51">
        <v>-5283.333333333333</v>
      </c>
      <c r="X17" s="47" t="s">
        <v>203</v>
      </c>
      <c r="Y17" s="50">
        <v>0.20930232558139536</v>
      </c>
      <c r="Z17" s="47" t="s">
        <v>205</v>
      </c>
      <c r="AA17" s="50">
        <v>0.21428571428571427</v>
      </c>
      <c r="AB17" s="47" t="s">
        <v>235</v>
      </c>
      <c r="AC17" s="50">
        <v>0.5714285714285714</v>
      </c>
      <c r="AD17" s="47" t="s">
        <v>191</v>
      </c>
      <c r="AE17" s="50">
        <v>0.35714285714285715</v>
      </c>
      <c r="AF17" s="47" t="s">
        <v>205</v>
      </c>
      <c r="AG17" s="50">
        <v>0.41666666666666669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177</v>
      </c>
      <c r="E18" s="46">
        <v>3.8999999999999986</v>
      </c>
      <c r="F18" s="47" t="s">
        <v>244</v>
      </c>
      <c r="G18" s="59">
        <v>1.3250000000000002</v>
      </c>
      <c r="H18" s="47" t="s">
        <v>161</v>
      </c>
      <c r="I18" s="48">
        <v>2.5</v>
      </c>
      <c r="J18" s="47" t="s">
        <v>114</v>
      </c>
      <c r="K18" s="49">
        <v>0.2554517133956386</v>
      </c>
      <c r="L18" s="47" t="s">
        <v>255</v>
      </c>
      <c r="M18" s="49">
        <v>0.16666666666666666</v>
      </c>
      <c r="N18" s="47" t="s">
        <v>161</v>
      </c>
      <c r="O18" s="49">
        <v>0.5</v>
      </c>
      <c r="P18" s="47" t="s">
        <v>177</v>
      </c>
      <c r="Q18" s="50">
        <v>0.21052631578947367</v>
      </c>
      <c r="R18" s="47" t="s">
        <v>195</v>
      </c>
      <c r="S18" s="50">
        <v>0.12598425196850394</v>
      </c>
      <c r="T18" s="47" t="s">
        <v>227</v>
      </c>
      <c r="U18" s="51">
        <v>7161.9047619047615</v>
      </c>
      <c r="V18" s="47" t="s">
        <v>223</v>
      </c>
      <c r="W18" s="51">
        <v>-5450</v>
      </c>
      <c r="X18" s="47" t="s">
        <v>163</v>
      </c>
      <c r="Y18" s="50">
        <v>0.20289855072463769</v>
      </c>
      <c r="Z18" s="47" t="s">
        <v>263</v>
      </c>
      <c r="AA18" s="50">
        <v>0.21428571428571427</v>
      </c>
      <c r="AB18" s="47" t="s">
        <v>195</v>
      </c>
      <c r="AC18" s="50">
        <v>0.55384615384615388</v>
      </c>
      <c r="AD18" s="47" t="s">
        <v>114</v>
      </c>
      <c r="AE18" s="50">
        <v>0.34826883910386963</v>
      </c>
      <c r="AF18" s="47" t="s">
        <v>241</v>
      </c>
      <c r="AG18" s="50">
        <v>0.4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161</v>
      </c>
      <c r="E19" s="46">
        <v>-0.69999999999998863</v>
      </c>
      <c r="F19" s="47" t="s">
        <v>161</v>
      </c>
      <c r="G19" s="59">
        <v>-6.9999999999998869E-2</v>
      </c>
      <c r="H19" s="47" t="s">
        <v>163</v>
      </c>
      <c r="I19" s="48">
        <v>2.5</v>
      </c>
      <c r="J19" s="47" t="s">
        <v>179</v>
      </c>
      <c r="K19" s="49">
        <v>0.25</v>
      </c>
      <c r="L19" s="47" t="s">
        <v>179</v>
      </c>
      <c r="M19" s="49">
        <v>0.1875</v>
      </c>
      <c r="N19" s="47" t="s">
        <v>179</v>
      </c>
      <c r="O19" s="49">
        <v>0.5</v>
      </c>
      <c r="P19" s="47" t="s">
        <v>114</v>
      </c>
      <c r="Q19" s="50">
        <v>0.20817369093231161</v>
      </c>
      <c r="R19" s="47" t="s">
        <v>162</v>
      </c>
      <c r="S19" s="50">
        <v>0.12820512820512819</v>
      </c>
      <c r="T19" s="47" t="s">
        <v>161</v>
      </c>
      <c r="U19" s="51">
        <v>7025</v>
      </c>
      <c r="V19" s="47" t="s">
        <v>164</v>
      </c>
      <c r="W19" s="51">
        <v>-5500</v>
      </c>
      <c r="X19" s="47" t="s">
        <v>269</v>
      </c>
      <c r="Y19" s="50">
        <v>0.2</v>
      </c>
      <c r="Z19" s="47" t="s">
        <v>114</v>
      </c>
      <c r="AA19" s="50">
        <v>0.20902511707109409</v>
      </c>
      <c r="AB19" s="47" t="s">
        <v>238</v>
      </c>
      <c r="AC19" s="50">
        <v>0.54545454545454541</v>
      </c>
      <c r="AD19" s="47" t="s">
        <v>216</v>
      </c>
      <c r="AE19" s="50">
        <v>0.34615384615384615</v>
      </c>
      <c r="AF19" s="47" t="s">
        <v>244</v>
      </c>
      <c r="AG19" s="50">
        <v>0.4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6</v>
      </c>
      <c r="D20" s="45" t="s">
        <v>175</v>
      </c>
      <c r="E20" s="46">
        <v>-2.2000000000000011</v>
      </c>
      <c r="F20" s="47" t="s">
        <v>114</v>
      </c>
      <c r="G20" s="59">
        <v>-0.24922118380062322</v>
      </c>
      <c r="H20" s="47" t="s">
        <v>175</v>
      </c>
      <c r="I20" s="48">
        <v>2.5</v>
      </c>
      <c r="J20" s="47" t="s">
        <v>258</v>
      </c>
      <c r="K20" s="49">
        <v>0.25</v>
      </c>
      <c r="L20" s="47" t="s">
        <v>213</v>
      </c>
      <c r="M20" s="49">
        <v>0.2</v>
      </c>
      <c r="N20" s="47" t="s">
        <v>213</v>
      </c>
      <c r="O20" s="49">
        <v>0.5</v>
      </c>
      <c r="P20" s="47" t="s">
        <v>161</v>
      </c>
      <c r="Q20" s="50">
        <v>0.20779220779220781</v>
      </c>
      <c r="R20" s="47" t="s">
        <v>191</v>
      </c>
      <c r="S20" s="50">
        <v>0.13043478260869565</v>
      </c>
      <c r="T20" s="47" t="s">
        <v>213</v>
      </c>
      <c r="U20" s="51">
        <v>6962.5</v>
      </c>
      <c r="V20" s="47" t="s">
        <v>168</v>
      </c>
      <c r="W20" s="51">
        <v>-5835.7142857142853</v>
      </c>
      <c r="X20" s="47" t="s">
        <v>268</v>
      </c>
      <c r="Y20" s="50">
        <v>0.2</v>
      </c>
      <c r="Z20" s="47" t="s">
        <v>255</v>
      </c>
      <c r="AA20" s="50">
        <v>0.2</v>
      </c>
      <c r="AB20" s="47" t="s">
        <v>161</v>
      </c>
      <c r="AC20" s="50">
        <v>0.53846153846153844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163</v>
      </c>
      <c r="AI20" s="54">
        <v>41700</v>
      </c>
    </row>
    <row r="21" spans="1:35">
      <c r="A21" s="44">
        <v>19</v>
      </c>
      <c r="B21" s="45" t="s">
        <v>255</v>
      </c>
      <c r="C21" s="107">
        <v>6</v>
      </c>
      <c r="D21" s="45" t="s">
        <v>263</v>
      </c>
      <c r="E21" s="46">
        <v>-11.7</v>
      </c>
      <c r="F21" s="47" t="s">
        <v>175</v>
      </c>
      <c r="G21" s="59">
        <v>-1.1000000000000005</v>
      </c>
      <c r="H21" s="47" t="s">
        <v>177</v>
      </c>
      <c r="I21" s="48">
        <v>2.5</v>
      </c>
      <c r="J21" s="47" t="s">
        <v>191</v>
      </c>
      <c r="K21" s="49">
        <v>0.21428571428571427</v>
      </c>
      <c r="L21" s="47" t="s">
        <v>162</v>
      </c>
      <c r="M21" s="49">
        <v>0.22222222222222221</v>
      </c>
      <c r="N21" s="47" t="s">
        <v>163</v>
      </c>
      <c r="O21" s="49">
        <v>0.5</v>
      </c>
      <c r="P21" s="47" t="s">
        <v>166</v>
      </c>
      <c r="Q21" s="50">
        <v>0.2</v>
      </c>
      <c r="R21" s="47" t="s">
        <v>175</v>
      </c>
      <c r="S21" s="50">
        <v>0.13333333333333333</v>
      </c>
      <c r="T21" s="47" t="s">
        <v>114</v>
      </c>
      <c r="U21" s="51">
        <v>6893.0470347648261</v>
      </c>
      <c r="V21" s="47" t="s">
        <v>177</v>
      </c>
      <c r="W21" s="51">
        <v>-5950</v>
      </c>
      <c r="X21" s="47" t="s">
        <v>114</v>
      </c>
      <c r="Y21" s="50">
        <v>0.19965942954448701</v>
      </c>
      <c r="Z21" s="47" t="s">
        <v>228</v>
      </c>
      <c r="AA21" s="50">
        <v>0.18095238095238095</v>
      </c>
      <c r="AB21" s="47" t="s">
        <v>114</v>
      </c>
      <c r="AC21" s="50">
        <v>0.53731343283582089</v>
      </c>
      <c r="AD21" s="47" t="s">
        <v>205</v>
      </c>
      <c r="AE21" s="50">
        <v>0.33333333333333331</v>
      </c>
      <c r="AF21" s="47" t="s">
        <v>195</v>
      </c>
      <c r="AG21" s="50">
        <v>0.39130434782608697</v>
      </c>
      <c r="AH21" s="47" t="s">
        <v>231</v>
      </c>
      <c r="AI21" s="54">
        <v>41300</v>
      </c>
    </row>
    <row r="22" spans="1:35">
      <c r="A22" s="44">
        <v>20</v>
      </c>
      <c r="B22" s="45" t="s">
        <v>203</v>
      </c>
      <c r="C22" s="107">
        <v>5</v>
      </c>
      <c r="D22" s="45" t="s">
        <v>262</v>
      </c>
      <c r="E22" s="46">
        <v>-12.100000000000001</v>
      </c>
      <c r="F22" s="47" t="s">
        <v>179</v>
      </c>
      <c r="G22" s="59">
        <v>-2.1625000000000001</v>
      </c>
      <c r="H22" s="47" t="s">
        <v>241</v>
      </c>
      <c r="I22" s="48">
        <v>2.5</v>
      </c>
      <c r="J22" s="47" t="s">
        <v>164</v>
      </c>
      <c r="K22" s="49">
        <v>0.2</v>
      </c>
      <c r="L22" s="47" t="s">
        <v>114</v>
      </c>
      <c r="M22" s="49">
        <v>0.24610591900311526</v>
      </c>
      <c r="N22" s="47" t="s">
        <v>175</v>
      </c>
      <c r="O22" s="49">
        <v>0.5</v>
      </c>
      <c r="P22" s="47" t="s">
        <v>175</v>
      </c>
      <c r="Q22" s="50">
        <v>0.2</v>
      </c>
      <c r="R22" s="47" t="s">
        <v>199</v>
      </c>
      <c r="S22" s="50">
        <v>0.13333333333333333</v>
      </c>
      <c r="T22" s="47" t="s">
        <v>191</v>
      </c>
      <c r="U22" s="51">
        <v>6733.333333333333</v>
      </c>
      <c r="V22" s="47" t="s">
        <v>213</v>
      </c>
      <c r="W22" s="51">
        <v>-5966.666666666667</v>
      </c>
      <c r="X22" s="47" t="s">
        <v>168</v>
      </c>
      <c r="Y22" s="50">
        <v>0.19718309859154928</v>
      </c>
      <c r="Z22" s="47" t="s">
        <v>169</v>
      </c>
      <c r="AA22" s="50">
        <v>0.18088737201365188</v>
      </c>
      <c r="AB22" s="47" t="s">
        <v>227</v>
      </c>
      <c r="AC22" s="50">
        <v>0.53125</v>
      </c>
      <c r="AD22" s="47" t="s">
        <v>244</v>
      </c>
      <c r="AE22" s="50">
        <v>0.33333333333333331</v>
      </c>
      <c r="AF22" s="47" t="s">
        <v>179</v>
      </c>
      <c r="AG22" s="50">
        <v>0.375</v>
      </c>
      <c r="AH22" s="47" t="s">
        <v>258</v>
      </c>
      <c r="AI22" s="54">
        <v>37500</v>
      </c>
    </row>
    <row r="23" spans="1:35">
      <c r="A23" s="44">
        <v>21</v>
      </c>
      <c r="B23" s="45" t="s">
        <v>166</v>
      </c>
      <c r="C23" s="107">
        <v>4</v>
      </c>
      <c r="D23" s="45" t="s">
        <v>258</v>
      </c>
      <c r="E23" s="46">
        <v>-14.099999999999994</v>
      </c>
      <c r="F23" s="47" t="s">
        <v>258</v>
      </c>
      <c r="G23" s="59">
        <v>-3.5249999999999986</v>
      </c>
      <c r="H23" s="47" t="s">
        <v>244</v>
      </c>
      <c r="I23" s="48">
        <v>2.5</v>
      </c>
      <c r="J23" s="47" t="s">
        <v>228</v>
      </c>
      <c r="K23" s="49">
        <v>0.2</v>
      </c>
      <c r="L23" s="47" t="s">
        <v>223</v>
      </c>
      <c r="M23" s="49">
        <v>0.25</v>
      </c>
      <c r="N23" s="47" t="s">
        <v>177</v>
      </c>
      <c r="O23" s="49">
        <v>0.5</v>
      </c>
      <c r="P23" s="47" t="s">
        <v>269</v>
      </c>
      <c r="Q23" s="50">
        <v>0.2</v>
      </c>
      <c r="R23" s="47" t="s">
        <v>216</v>
      </c>
      <c r="S23" s="50">
        <v>0.13407821229050279</v>
      </c>
      <c r="T23" s="47" t="s">
        <v>263</v>
      </c>
      <c r="U23" s="51">
        <v>6650</v>
      </c>
      <c r="V23" s="47" t="s">
        <v>227</v>
      </c>
      <c r="W23" s="51">
        <v>-5992.8571428571431</v>
      </c>
      <c r="X23" s="47" t="s">
        <v>179</v>
      </c>
      <c r="Y23" s="50">
        <v>0.19083969465648856</v>
      </c>
      <c r="Z23" s="47" t="s">
        <v>202</v>
      </c>
      <c r="AA23" s="50">
        <v>0.17647058823529413</v>
      </c>
      <c r="AB23" s="47" t="s">
        <v>216</v>
      </c>
      <c r="AC23" s="50">
        <v>0.51515151515151514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264</v>
      </c>
      <c r="AI23" s="54">
        <v>35600</v>
      </c>
    </row>
    <row r="24" spans="1:35">
      <c r="A24" s="44">
        <v>22</v>
      </c>
      <c r="B24" s="45" t="s">
        <v>205</v>
      </c>
      <c r="C24" s="107">
        <v>4</v>
      </c>
      <c r="D24" s="45" t="s">
        <v>215</v>
      </c>
      <c r="E24" s="46">
        <v>-14.4</v>
      </c>
      <c r="F24" s="47" t="s">
        <v>227</v>
      </c>
      <c r="G24" s="59">
        <v>-3.7071428571428582</v>
      </c>
      <c r="H24" s="47" t="s">
        <v>258</v>
      </c>
      <c r="I24" s="48">
        <v>2.5</v>
      </c>
      <c r="J24" s="47" t="s">
        <v>227</v>
      </c>
      <c r="K24" s="49">
        <v>0.14285714285714285</v>
      </c>
      <c r="L24" s="47" t="s">
        <v>244</v>
      </c>
      <c r="M24" s="49">
        <v>0.25</v>
      </c>
      <c r="N24" s="47" t="s">
        <v>223</v>
      </c>
      <c r="O24" s="49">
        <v>0.5</v>
      </c>
      <c r="P24" s="47" t="s">
        <v>191</v>
      </c>
      <c r="Q24" s="50">
        <v>0.18260869565217391</v>
      </c>
      <c r="R24" s="47" t="s">
        <v>114</v>
      </c>
      <c r="S24" s="50">
        <v>0.13452532992762878</v>
      </c>
      <c r="T24" s="47" t="s">
        <v>195</v>
      </c>
      <c r="U24" s="51">
        <v>6575.36231884058</v>
      </c>
      <c r="V24" s="47" t="s">
        <v>208</v>
      </c>
      <c r="W24" s="51">
        <v>-6340</v>
      </c>
      <c r="X24" s="47" t="s">
        <v>228</v>
      </c>
      <c r="Y24" s="50">
        <v>0.19047619047619047</v>
      </c>
      <c r="Z24" s="47" t="s">
        <v>166</v>
      </c>
      <c r="AA24" s="50">
        <v>0.17142857142857143</v>
      </c>
      <c r="AB24" s="47" t="s">
        <v>213</v>
      </c>
      <c r="AC24" s="50">
        <v>0.5</v>
      </c>
      <c r="AD24" s="47" t="s">
        <v>238</v>
      </c>
      <c r="AE24" s="50">
        <v>0.2857142857142857</v>
      </c>
      <c r="AF24" s="47" t="s">
        <v>114</v>
      </c>
      <c r="AG24" s="50">
        <v>0.35378323108384457</v>
      </c>
      <c r="AH24" s="47" t="s">
        <v>213</v>
      </c>
      <c r="AI24" s="54">
        <v>34800</v>
      </c>
    </row>
    <row r="25" spans="1:35">
      <c r="A25" s="44">
        <v>23</v>
      </c>
      <c r="B25" s="45" t="s">
        <v>223</v>
      </c>
      <c r="C25" s="107">
        <v>4</v>
      </c>
      <c r="D25" s="45" t="s">
        <v>196</v>
      </c>
      <c r="E25" s="46">
        <v>-27.1</v>
      </c>
      <c r="F25" s="47" t="s">
        <v>216</v>
      </c>
      <c r="G25" s="59">
        <v>-4.9481481481481469</v>
      </c>
      <c r="H25" s="47" t="s">
        <v>262</v>
      </c>
      <c r="I25" s="48">
        <v>2.5</v>
      </c>
      <c r="J25" s="47" t="s">
        <v>235</v>
      </c>
      <c r="K25" s="49">
        <v>0.1111111111111111</v>
      </c>
      <c r="L25" s="47" t="s">
        <v>258</v>
      </c>
      <c r="M25" s="49">
        <v>0.25</v>
      </c>
      <c r="N25" s="47" t="s">
        <v>258</v>
      </c>
      <c r="O25" s="49">
        <v>0.5</v>
      </c>
      <c r="P25" s="47" t="s">
        <v>244</v>
      </c>
      <c r="Q25" s="50">
        <v>0.18181818181818182</v>
      </c>
      <c r="R25" s="47" t="s">
        <v>238</v>
      </c>
      <c r="S25" s="50">
        <v>0.14285714285714285</v>
      </c>
      <c r="T25" s="47" t="s">
        <v>203</v>
      </c>
      <c r="U25" s="51">
        <v>6275</v>
      </c>
      <c r="V25" s="47" t="s">
        <v>114</v>
      </c>
      <c r="W25" s="51">
        <v>-6505.6962025316452</v>
      </c>
      <c r="X25" s="47" t="s">
        <v>216</v>
      </c>
      <c r="Y25" s="50">
        <v>0.18435754189944134</v>
      </c>
      <c r="Z25" s="47" t="s">
        <v>238</v>
      </c>
      <c r="AA25" s="50">
        <v>0.16666666666666666</v>
      </c>
      <c r="AB25" s="47" t="s">
        <v>163</v>
      </c>
      <c r="AC25" s="50">
        <v>0.5</v>
      </c>
      <c r="AD25" s="47" t="s">
        <v>227</v>
      </c>
      <c r="AE25" s="50">
        <v>0.23076923076923078</v>
      </c>
      <c r="AF25" s="47" t="s">
        <v>238</v>
      </c>
      <c r="AG25" s="50">
        <v>0.33333333333333331</v>
      </c>
      <c r="AH25" s="47" t="s">
        <v>167</v>
      </c>
      <c r="AI25" s="54">
        <v>34000</v>
      </c>
    </row>
    <row r="26" spans="1:35">
      <c r="A26" s="44">
        <v>24</v>
      </c>
      <c r="B26" s="45" t="s">
        <v>258</v>
      </c>
      <c r="C26" s="107">
        <v>4</v>
      </c>
      <c r="D26" s="45" t="s">
        <v>179</v>
      </c>
      <c r="E26" s="46">
        <v>-34.6</v>
      </c>
      <c r="F26" s="47" t="s">
        <v>263</v>
      </c>
      <c r="G26" s="59">
        <v>-5.85</v>
      </c>
      <c r="H26" s="47" t="s">
        <v>263</v>
      </c>
      <c r="I26" s="48">
        <v>2.5</v>
      </c>
      <c r="J26" s="47" t="s">
        <v>213</v>
      </c>
      <c r="K26" s="49">
        <v>0</v>
      </c>
      <c r="L26" s="47" t="s">
        <v>164</v>
      </c>
      <c r="M26" s="49">
        <v>0.26666666666666666</v>
      </c>
      <c r="N26" s="47" t="s">
        <v>262</v>
      </c>
      <c r="O26" s="49">
        <v>0.5</v>
      </c>
      <c r="P26" s="47" t="s">
        <v>228</v>
      </c>
      <c r="Q26" s="50">
        <v>0.17142857142857143</v>
      </c>
      <c r="R26" s="47" t="s">
        <v>241</v>
      </c>
      <c r="S26" s="50">
        <v>0.14285714285714285</v>
      </c>
      <c r="T26" s="47" t="s">
        <v>238</v>
      </c>
      <c r="U26" s="51">
        <v>6141.666666666667</v>
      </c>
      <c r="V26" s="47" t="s">
        <v>161</v>
      </c>
      <c r="W26" s="51">
        <v>-6514.2857142857147</v>
      </c>
      <c r="X26" s="47" t="s">
        <v>169</v>
      </c>
      <c r="Y26" s="50">
        <v>0.17747440273037543</v>
      </c>
      <c r="Z26" s="47" t="s">
        <v>215</v>
      </c>
      <c r="AA26" s="50">
        <v>0.16666666666666666</v>
      </c>
      <c r="AB26" s="47" t="s">
        <v>167</v>
      </c>
      <c r="AC26" s="50">
        <v>0.5</v>
      </c>
      <c r="AD26" s="47" t="s">
        <v>164</v>
      </c>
      <c r="AE26" s="50">
        <v>0.22580645161290322</v>
      </c>
      <c r="AF26" s="47" t="s">
        <v>175</v>
      </c>
      <c r="AG26" s="50">
        <v>0.33333333333333331</v>
      </c>
      <c r="AH26" s="47" t="s">
        <v>241</v>
      </c>
      <c r="AI26" s="54">
        <v>34000</v>
      </c>
    </row>
    <row r="27" spans="1:35">
      <c r="A27" s="44">
        <v>25</v>
      </c>
      <c r="B27" s="45" t="s">
        <v>208</v>
      </c>
      <c r="C27" s="107">
        <v>3</v>
      </c>
      <c r="D27" s="45" t="s">
        <v>241</v>
      </c>
      <c r="E27" s="46">
        <v>-35.700000000000003</v>
      </c>
      <c r="F27" s="47" t="s">
        <v>241</v>
      </c>
      <c r="G27" s="59">
        <v>-5.95</v>
      </c>
      <c r="H27" s="47" t="s">
        <v>227</v>
      </c>
      <c r="I27" s="48">
        <v>2.5714285714285716</v>
      </c>
      <c r="J27" s="47" t="s">
        <v>238</v>
      </c>
      <c r="K27" s="49">
        <v>0</v>
      </c>
      <c r="L27" s="47" t="s">
        <v>168</v>
      </c>
      <c r="M27" s="49">
        <v>0.27777777777777779</v>
      </c>
      <c r="N27" s="47" t="s">
        <v>263</v>
      </c>
      <c r="O27" s="49">
        <v>0.5</v>
      </c>
      <c r="P27" s="47" t="s">
        <v>215</v>
      </c>
      <c r="Q27" s="50">
        <v>0.16666666666666666</v>
      </c>
      <c r="R27" s="47" t="s">
        <v>244</v>
      </c>
      <c r="S27" s="50">
        <v>0.14545454545454545</v>
      </c>
      <c r="T27" s="47" t="s">
        <v>163</v>
      </c>
      <c r="U27" s="51">
        <v>5993.333333333333</v>
      </c>
      <c r="V27" s="47" t="s">
        <v>180</v>
      </c>
      <c r="W27" s="51">
        <v>-6600</v>
      </c>
      <c r="X27" s="47" t="s">
        <v>161</v>
      </c>
      <c r="Y27" s="50">
        <v>0.16883116883116883</v>
      </c>
      <c r="Z27" s="47" t="s">
        <v>177</v>
      </c>
      <c r="AA27" s="50">
        <v>0.15789473684210525</v>
      </c>
      <c r="AB27" s="47" t="s">
        <v>244</v>
      </c>
      <c r="AC27" s="50">
        <v>0.5</v>
      </c>
      <c r="AD27" s="47" t="s">
        <v>228</v>
      </c>
      <c r="AE27" s="50">
        <v>0.21052631578947367</v>
      </c>
      <c r="AF27" s="47" t="s">
        <v>228</v>
      </c>
      <c r="AG27" s="50">
        <v>0.27777777777777779</v>
      </c>
      <c r="AH27" s="47" t="s">
        <v>175</v>
      </c>
      <c r="AI27" s="54">
        <v>33600</v>
      </c>
    </row>
    <row r="28" spans="1:35">
      <c r="A28" s="44">
        <v>26</v>
      </c>
      <c r="B28" s="45" t="s">
        <v>265</v>
      </c>
      <c r="C28" s="107">
        <v>3</v>
      </c>
      <c r="D28" s="45" t="s">
        <v>269</v>
      </c>
      <c r="E28" s="46">
        <v>-47.4</v>
      </c>
      <c r="F28" s="47" t="s">
        <v>262</v>
      </c>
      <c r="G28" s="59">
        <v>-6.0500000000000007</v>
      </c>
      <c r="H28" s="47" t="s">
        <v>216</v>
      </c>
      <c r="I28" s="48">
        <v>2.6296296296296298</v>
      </c>
      <c r="J28" s="47" t="s">
        <v>166</v>
      </c>
      <c r="K28" s="49">
        <v>0</v>
      </c>
      <c r="L28" s="47" t="s">
        <v>227</v>
      </c>
      <c r="M28" s="49">
        <v>0.2857142857142857</v>
      </c>
      <c r="N28" s="47" t="s">
        <v>195</v>
      </c>
      <c r="O28" s="49">
        <v>0.47222222222222221</v>
      </c>
      <c r="P28" s="47" t="s">
        <v>164</v>
      </c>
      <c r="Q28" s="50">
        <v>0.16528925619834711</v>
      </c>
      <c r="R28" s="47" t="s">
        <v>227</v>
      </c>
      <c r="S28" s="50">
        <v>0.15053763440860216</v>
      </c>
      <c r="T28" s="47" t="s">
        <v>168</v>
      </c>
      <c r="U28" s="51">
        <v>5988.3720930232557</v>
      </c>
      <c r="V28" s="47" t="s">
        <v>235</v>
      </c>
      <c r="W28" s="51">
        <v>-6892.8571428571431</v>
      </c>
      <c r="X28" s="47" t="s">
        <v>231</v>
      </c>
      <c r="Y28" s="50">
        <v>0.15384615384615385</v>
      </c>
      <c r="Z28" s="47" t="s">
        <v>265</v>
      </c>
      <c r="AA28" s="50">
        <v>0.15789473684210525</v>
      </c>
      <c r="AB28" s="47" t="s">
        <v>262</v>
      </c>
      <c r="AC28" s="50">
        <v>0.5</v>
      </c>
      <c r="AD28" s="47" t="s">
        <v>231</v>
      </c>
      <c r="AE28" s="50">
        <v>0.2</v>
      </c>
      <c r="AF28" s="47" t="s">
        <v>177</v>
      </c>
      <c r="AG28" s="50">
        <v>0.25</v>
      </c>
      <c r="AH28" s="47" t="s">
        <v>238</v>
      </c>
      <c r="AI28" s="54">
        <v>32400</v>
      </c>
    </row>
    <row r="29" spans="1:35">
      <c r="A29" s="44">
        <v>27</v>
      </c>
      <c r="B29" s="45" t="s">
        <v>175</v>
      </c>
      <c r="C29" s="107">
        <v>2</v>
      </c>
      <c r="D29" s="45" t="s">
        <v>227</v>
      </c>
      <c r="E29" s="46">
        <v>-51.900000000000013</v>
      </c>
      <c r="F29" s="47" t="s">
        <v>213</v>
      </c>
      <c r="G29" s="59">
        <v>-11.670000000000002</v>
      </c>
      <c r="H29" s="47" t="s">
        <v>213</v>
      </c>
      <c r="I29" s="48">
        <v>2.7</v>
      </c>
      <c r="J29" s="47" t="s">
        <v>167</v>
      </c>
      <c r="K29" s="49">
        <v>0</v>
      </c>
      <c r="L29" s="47" t="s">
        <v>216</v>
      </c>
      <c r="M29" s="49">
        <v>0.29629629629629628</v>
      </c>
      <c r="N29" s="47" t="s">
        <v>216</v>
      </c>
      <c r="O29" s="49">
        <v>0.40740740740740738</v>
      </c>
      <c r="P29" s="47" t="s">
        <v>216</v>
      </c>
      <c r="Q29" s="50">
        <v>0.15083798882681565</v>
      </c>
      <c r="R29" s="47" t="s">
        <v>258</v>
      </c>
      <c r="S29" s="50">
        <v>0.15384615384615385</v>
      </c>
      <c r="T29" s="47" t="s">
        <v>177</v>
      </c>
      <c r="U29" s="51">
        <v>5900</v>
      </c>
      <c r="V29" s="47" t="s">
        <v>195</v>
      </c>
      <c r="W29" s="51">
        <v>-7068.75</v>
      </c>
      <c r="X29" s="47" t="s">
        <v>244</v>
      </c>
      <c r="Y29" s="50">
        <v>0.14545454545454545</v>
      </c>
      <c r="Z29" s="47" t="s">
        <v>216</v>
      </c>
      <c r="AA29" s="50">
        <v>0.14525139664804471</v>
      </c>
      <c r="AB29" s="47" t="s">
        <v>258</v>
      </c>
      <c r="AC29" s="50">
        <v>0.41666666666666669</v>
      </c>
      <c r="AD29" s="47" t="s">
        <v>235</v>
      </c>
      <c r="AE29" s="50">
        <v>0.17647058823529413</v>
      </c>
      <c r="AF29" s="47" t="s">
        <v>231</v>
      </c>
      <c r="AG29" s="50">
        <v>0.25</v>
      </c>
      <c r="AH29" s="47" t="s">
        <v>268</v>
      </c>
      <c r="AI29" s="54">
        <v>32100</v>
      </c>
    </row>
    <row r="30" spans="1:35">
      <c r="A30" s="44">
        <v>28</v>
      </c>
      <c r="B30" s="45" t="s">
        <v>177</v>
      </c>
      <c r="C30" s="107">
        <v>2</v>
      </c>
      <c r="D30" s="45" t="s">
        <v>180</v>
      </c>
      <c r="E30" s="46">
        <v>-52.6</v>
      </c>
      <c r="F30" s="47" t="s">
        <v>228</v>
      </c>
      <c r="G30" s="59">
        <v>-12.433333333333332</v>
      </c>
      <c r="H30" s="47" t="s">
        <v>223</v>
      </c>
      <c r="I30" s="48">
        <v>2.75</v>
      </c>
      <c r="J30" s="47" t="s">
        <v>175</v>
      </c>
      <c r="K30" s="49">
        <v>0</v>
      </c>
      <c r="L30" s="47" t="s">
        <v>161</v>
      </c>
      <c r="M30" s="49">
        <v>0.3</v>
      </c>
      <c r="N30" s="47" t="s">
        <v>228</v>
      </c>
      <c r="O30" s="49">
        <v>0.4</v>
      </c>
      <c r="P30" s="47" t="s">
        <v>213</v>
      </c>
      <c r="Q30" s="50">
        <v>0.14814814814814814</v>
      </c>
      <c r="R30" s="47" t="s">
        <v>215</v>
      </c>
      <c r="S30" s="50">
        <v>0.16666666666666666</v>
      </c>
      <c r="T30" s="47" t="s">
        <v>235</v>
      </c>
      <c r="U30" s="51">
        <v>5400</v>
      </c>
      <c r="V30" s="47" t="s">
        <v>244</v>
      </c>
      <c r="W30" s="51">
        <v>-7100</v>
      </c>
      <c r="X30" s="47" t="s">
        <v>180</v>
      </c>
      <c r="Y30" s="50">
        <v>0.14285714285714285</v>
      </c>
      <c r="Z30" s="47" t="s">
        <v>167</v>
      </c>
      <c r="AA30" s="50">
        <v>0.14285714285714285</v>
      </c>
      <c r="AB30" s="47" t="s">
        <v>179</v>
      </c>
      <c r="AC30" s="50">
        <v>0.4</v>
      </c>
      <c r="AD30" s="47" t="s">
        <v>203</v>
      </c>
      <c r="AE30" s="50">
        <v>0.16666666666666666</v>
      </c>
      <c r="AF30" s="47" t="s">
        <v>169</v>
      </c>
      <c r="AG30" s="50">
        <v>0.24242424242424243</v>
      </c>
      <c r="AH30" s="47" t="s">
        <v>263</v>
      </c>
      <c r="AI30" s="54">
        <v>30300</v>
      </c>
    </row>
    <row r="31" spans="1:35">
      <c r="A31" s="44">
        <v>29</v>
      </c>
      <c r="B31" s="45" t="s">
        <v>199</v>
      </c>
      <c r="C31" s="107">
        <v>2</v>
      </c>
      <c r="D31" s="45" t="s">
        <v>223</v>
      </c>
      <c r="E31" s="46">
        <v>-72.5</v>
      </c>
      <c r="F31" s="47" t="s">
        <v>215</v>
      </c>
      <c r="G31" s="59">
        <v>-14.4</v>
      </c>
      <c r="H31" s="47" t="s">
        <v>228</v>
      </c>
      <c r="I31" s="48">
        <v>2.8</v>
      </c>
      <c r="J31" s="47" t="s">
        <v>180</v>
      </c>
      <c r="K31" s="49">
        <v>0</v>
      </c>
      <c r="L31" s="47" t="s">
        <v>265</v>
      </c>
      <c r="M31" s="49">
        <v>0.33333333333333331</v>
      </c>
      <c r="N31" s="47" t="s">
        <v>244</v>
      </c>
      <c r="O31" s="49">
        <v>0.375</v>
      </c>
      <c r="P31" s="47" t="s">
        <v>238</v>
      </c>
      <c r="Q31" s="50">
        <v>0.14285714285714285</v>
      </c>
      <c r="R31" s="47" t="s">
        <v>202</v>
      </c>
      <c r="S31" s="50">
        <v>0.17647058823529413</v>
      </c>
      <c r="T31" s="47" t="s">
        <v>241</v>
      </c>
      <c r="U31" s="51">
        <v>5340</v>
      </c>
      <c r="V31" s="47" t="s">
        <v>163</v>
      </c>
      <c r="W31" s="51">
        <v>-7212.5</v>
      </c>
      <c r="X31" s="47" t="s">
        <v>241</v>
      </c>
      <c r="Y31" s="50">
        <v>0.14285714285714285</v>
      </c>
      <c r="Z31" s="47" t="s">
        <v>262</v>
      </c>
      <c r="AA31" s="50">
        <v>0.14285714285714285</v>
      </c>
      <c r="AB31" s="47" t="s">
        <v>191</v>
      </c>
      <c r="AC31" s="50">
        <v>0.33333333333333331</v>
      </c>
      <c r="AD31" s="47" t="s">
        <v>213</v>
      </c>
      <c r="AE31" s="50">
        <v>0</v>
      </c>
      <c r="AF31" s="47" t="s">
        <v>164</v>
      </c>
      <c r="AG31" s="50">
        <v>0.2</v>
      </c>
      <c r="AH31" s="47" t="s">
        <v>262</v>
      </c>
      <c r="AI31" s="54">
        <v>28000</v>
      </c>
    </row>
    <row r="32" spans="1:35">
      <c r="A32" s="44">
        <v>30</v>
      </c>
      <c r="B32" s="45" t="s">
        <v>202</v>
      </c>
      <c r="C32" s="107">
        <v>2</v>
      </c>
      <c r="D32" s="45" t="s">
        <v>114</v>
      </c>
      <c r="E32" s="46">
        <v>-80.000000000000057</v>
      </c>
      <c r="F32" s="47" t="s">
        <v>223</v>
      </c>
      <c r="G32" s="59">
        <v>-18.125</v>
      </c>
      <c r="H32" s="47" t="s">
        <v>238</v>
      </c>
      <c r="I32" s="48">
        <v>2.8333333333333335</v>
      </c>
      <c r="J32" s="47" t="s">
        <v>199</v>
      </c>
      <c r="K32" s="49">
        <v>0</v>
      </c>
      <c r="L32" s="47" t="s">
        <v>163</v>
      </c>
      <c r="M32" s="49">
        <v>0.375</v>
      </c>
      <c r="N32" s="47" t="s">
        <v>238</v>
      </c>
      <c r="O32" s="49">
        <v>0.33333333333333331</v>
      </c>
      <c r="P32" s="47" t="s">
        <v>262</v>
      </c>
      <c r="Q32" s="50">
        <v>0.14285714285714285</v>
      </c>
      <c r="R32" s="47" t="s">
        <v>161</v>
      </c>
      <c r="S32" s="50">
        <v>0.18181818181818182</v>
      </c>
      <c r="T32" s="47" t="s">
        <v>265</v>
      </c>
      <c r="U32" s="51">
        <v>5280</v>
      </c>
      <c r="V32" s="47" t="s">
        <v>216</v>
      </c>
      <c r="W32" s="51">
        <v>-7266.666666666667</v>
      </c>
      <c r="X32" s="47" t="s">
        <v>262</v>
      </c>
      <c r="Y32" s="50">
        <v>0.14285714285714285</v>
      </c>
      <c r="Z32" s="47" t="s">
        <v>227</v>
      </c>
      <c r="AA32" s="50">
        <v>0.13978494623655913</v>
      </c>
      <c r="AB32" s="47" t="s">
        <v>203</v>
      </c>
      <c r="AC32" s="50">
        <v>0.33333333333333331</v>
      </c>
      <c r="AD32" s="47" t="s">
        <v>167</v>
      </c>
      <c r="AE32" s="50">
        <v>0</v>
      </c>
      <c r="AF32" s="47" t="s">
        <v>265</v>
      </c>
      <c r="AG32" s="50">
        <v>0.2</v>
      </c>
      <c r="AH32" s="47" t="s">
        <v>235</v>
      </c>
      <c r="AI32" s="54">
        <v>26900</v>
      </c>
    </row>
    <row r="33" spans="1:35">
      <c r="A33" s="44">
        <v>31</v>
      </c>
      <c r="B33" s="45" t="s">
        <v>231</v>
      </c>
      <c r="C33" s="107">
        <v>2</v>
      </c>
      <c r="D33" s="45" t="s">
        <v>199</v>
      </c>
      <c r="E33" s="46">
        <v>-97.4</v>
      </c>
      <c r="F33" s="47" t="s">
        <v>238</v>
      </c>
      <c r="G33" s="59">
        <v>-19.824999999999999</v>
      </c>
      <c r="H33" s="47" t="s">
        <v>196</v>
      </c>
      <c r="I33" s="48">
        <v>3</v>
      </c>
      <c r="J33" s="47" t="s">
        <v>196</v>
      </c>
      <c r="K33" s="49">
        <v>0</v>
      </c>
      <c r="L33" s="47" t="s">
        <v>228</v>
      </c>
      <c r="M33" s="49">
        <v>0.4</v>
      </c>
      <c r="N33" s="47" t="s">
        <v>166</v>
      </c>
      <c r="O33" s="49">
        <v>0.25</v>
      </c>
      <c r="P33" s="47" t="s">
        <v>263</v>
      </c>
      <c r="Q33" s="50">
        <v>0.14285714285714285</v>
      </c>
      <c r="R33" s="47" t="s">
        <v>223</v>
      </c>
      <c r="S33" s="50">
        <v>0.19047619047619047</v>
      </c>
      <c r="T33" s="47" t="s">
        <v>179</v>
      </c>
      <c r="U33" s="51">
        <v>4909.375</v>
      </c>
      <c r="V33" s="47" t="s">
        <v>255</v>
      </c>
      <c r="W33" s="51">
        <v>-7425</v>
      </c>
      <c r="X33" s="47" t="s">
        <v>263</v>
      </c>
      <c r="Y33" s="50">
        <v>0.14285714285714285</v>
      </c>
      <c r="Z33" s="47" t="s">
        <v>203</v>
      </c>
      <c r="AA33" s="50">
        <v>0.13953488372093023</v>
      </c>
      <c r="AB33" s="47" t="s">
        <v>223</v>
      </c>
      <c r="AC33" s="50">
        <v>0.33333333333333331</v>
      </c>
      <c r="AD33" s="47" t="s">
        <v>175</v>
      </c>
      <c r="AE33" s="50">
        <v>0</v>
      </c>
      <c r="AF33" s="47" t="s">
        <v>227</v>
      </c>
      <c r="AG33" s="50">
        <v>0.19047619047619047</v>
      </c>
      <c r="AH33" s="47" t="s">
        <v>215</v>
      </c>
      <c r="AI33" s="54">
        <v>25600</v>
      </c>
    </row>
    <row r="34" spans="1:35">
      <c r="A34" s="44">
        <v>32</v>
      </c>
      <c r="B34" s="45" t="s">
        <v>262</v>
      </c>
      <c r="C34" s="107">
        <v>2</v>
      </c>
      <c r="D34" s="45" t="s">
        <v>202</v>
      </c>
      <c r="E34" s="46">
        <v>-105.9</v>
      </c>
      <c r="F34" s="47" t="s">
        <v>196</v>
      </c>
      <c r="G34" s="59">
        <v>-27.1</v>
      </c>
      <c r="H34" s="47" t="s">
        <v>215</v>
      </c>
      <c r="I34" s="48">
        <v>3</v>
      </c>
      <c r="J34" s="47" t="s">
        <v>203</v>
      </c>
      <c r="K34" s="49">
        <v>0</v>
      </c>
      <c r="L34" s="47" t="s">
        <v>203</v>
      </c>
      <c r="M34" s="49">
        <v>0.4</v>
      </c>
      <c r="N34" s="47" t="s">
        <v>235</v>
      </c>
      <c r="O34" s="49">
        <v>0.22222222222222221</v>
      </c>
      <c r="P34" s="47" t="s">
        <v>264</v>
      </c>
      <c r="Q34" s="50">
        <v>0.14285714285714285</v>
      </c>
      <c r="R34" s="47" t="s">
        <v>168</v>
      </c>
      <c r="S34" s="50">
        <v>0.19718309859154928</v>
      </c>
      <c r="T34" s="47" t="s">
        <v>258</v>
      </c>
      <c r="U34" s="51">
        <v>4683.333333333333</v>
      </c>
      <c r="V34" s="47" t="s">
        <v>228</v>
      </c>
      <c r="W34" s="51">
        <v>-7971.4285714285716</v>
      </c>
      <c r="X34" s="47" t="s">
        <v>238</v>
      </c>
      <c r="Y34" s="50">
        <v>0.13095238095238096</v>
      </c>
      <c r="Z34" s="47" t="s">
        <v>162</v>
      </c>
      <c r="AA34" s="50">
        <v>0.11538461538461539</v>
      </c>
      <c r="AB34" s="47" t="s">
        <v>241</v>
      </c>
      <c r="AC34" s="50">
        <v>0.33333333333333331</v>
      </c>
      <c r="AD34" s="47" t="s">
        <v>180</v>
      </c>
      <c r="AE34" s="50">
        <v>0</v>
      </c>
      <c r="AF34" s="47" t="s">
        <v>191</v>
      </c>
      <c r="AG34" s="50">
        <v>0.14285714285714285</v>
      </c>
      <c r="AH34" s="47" t="s">
        <v>203</v>
      </c>
      <c r="AI34" s="54">
        <v>25000</v>
      </c>
    </row>
    <row r="35" spans="1:35">
      <c r="A35" s="44">
        <v>33</v>
      </c>
      <c r="B35" s="45" t="s">
        <v>263</v>
      </c>
      <c r="C35" s="107">
        <v>2</v>
      </c>
      <c r="D35" s="45" t="s">
        <v>213</v>
      </c>
      <c r="E35" s="46">
        <v>-116.70000000000002</v>
      </c>
      <c r="F35" s="47" t="s">
        <v>235</v>
      </c>
      <c r="G35" s="59">
        <v>-31.766666666666669</v>
      </c>
      <c r="H35" s="47" t="s">
        <v>166</v>
      </c>
      <c r="I35" s="48">
        <v>3.25</v>
      </c>
      <c r="J35" s="47" t="s">
        <v>202</v>
      </c>
      <c r="K35" s="49">
        <v>0</v>
      </c>
      <c r="L35" s="47" t="s">
        <v>166</v>
      </c>
      <c r="M35" s="49">
        <v>0.5</v>
      </c>
      <c r="N35" s="47" t="s">
        <v>180</v>
      </c>
      <c r="O35" s="49">
        <v>0</v>
      </c>
      <c r="P35" s="47" t="s">
        <v>196</v>
      </c>
      <c r="Q35" s="50">
        <v>0.125</v>
      </c>
      <c r="R35" s="47" t="s">
        <v>228</v>
      </c>
      <c r="S35" s="50">
        <v>0.2</v>
      </c>
      <c r="T35" s="47" t="s">
        <v>262</v>
      </c>
      <c r="U35" s="51">
        <v>4550</v>
      </c>
      <c r="V35" s="47" t="s">
        <v>268</v>
      </c>
      <c r="W35" s="51">
        <v>-8000</v>
      </c>
      <c r="X35" s="47" t="s">
        <v>202</v>
      </c>
      <c r="Y35" s="50">
        <v>0.11764705882352941</v>
      </c>
      <c r="Z35" s="47" t="s">
        <v>258</v>
      </c>
      <c r="AA35" s="50">
        <v>3.8461538461538464E-2</v>
      </c>
      <c r="AB35" s="47" t="s">
        <v>164</v>
      </c>
      <c r="AC35" s="50">
        <v>0.3125</v>
      </c>
      <c r="AD35" s="47" t="s">
        <v>199</v>
      </c>
      <c r="AE35" s="50">
        <v>0</v>
      </c>
      <c r="AF35" s="47" t="s">
        <v>180</v>
      </c>
      <c r="AG35" s="50">
        <v>0</v>
      </c>
      <c r="AH35" s="47" t="s">
        <v>166</v>
      </c>
      <c r="AI35" s="54">
        <v>23700</v>
      </c>
    </row>
    <row r="36" spans="1:35">
      <c r="A36" s="44">
        <v>34</v>
      </c>
      <c r="B36" s="45" t="s">
        <v>167</v>
      </c>
      <c r="C36" s="107">
        <v>1</v>
      </c>
      <c r="D36" s="45" t="s">
        <v>166</v>
      </c>
      <c r="E36" s="46">
        <v>-127.99999999999999</v>
      </c>
      <c r="F36" s="47" t="s">
        <v>166</v>
      </c>
      <c r="G36" s="59">
        <v>-31.999999999999996</v>
      </c>
      <c r="H36" s="47" t="s">
        <v>235</v>
      </c>
      <c r="I36" s="48">
        <v>3.3333333333333335</v>
      </c>
      <c r="J36" s="47" t="s">
        <v>208</v>
      </c>
      <c r="K36" s="49">
        <v>0</v>
      </c>
      <c r="L36" s="47" t="s">
        <v>177</v>
      </c>
      <c r="M36" s="49">
        <v>0.5</v>
      </c>
      <c r="N36" s="47" t="s">
        <v>199</v>
      </c>
      <c r="O36" s="49">
        <v>0</v>
      </c>
      <c r="P36" s="47" t="s">
        <v>235</v>
      </c>
      <c r="Q36" s="50">
        <v>0.1076923076923077</v>
      </c>
      <c r="R36" s="47" t="s">
        <v>268</v>
      </c>
      <c r="S36" s="50">
        <v>0.2</v>
      </c>
      <c r="T36" s="47" t="s">
        <v>215</v>
      </c>
      <c r="U36" s="51">
        <v>3900</v>
      </c>
      <c r="V36" s="47" t="s">
        <v>179</v>
      </c>
      <c r="W36" s="51">
        <v>-8157.1428571428569</v>
      </c>
      <c r="X36" s="47" t="s">
        <v>166</v>
      </c>
      <c r="Y36" s="50">
        <v>0.11428571428571428</v>
      </c>
      <c r="Z36" s="47" t="s">
        <v>213</v>
      </c>
      <c r="AA36" s="50">
        <v>3.7037037037037035E-2</v>
      </c>
      <c r="AB36" s="47" t="s">
        <v>180</v>
      </c>
      <c r="AC36" s="50">
        <v>0</v>
      </c>
      <c r="AD36" s="47" t="s">
        <v>202</v>
      </c>
      <c r="AE36" s="50">
        <v>0</v>
      </c>
      <c r="AF36" s="47" t="s">
        <v>199</v>
      </c>
      <c r="AG36" s="50">
        <v>0</v>
      </c>
      <c r="AH36" s="47" t="s">
        <v>223</v>
      </c>
      <c r="AI36" s="54">
        <v>22100</v>
      </c>
    </row>
    <row r="37" spans="1:35">
      <c r="A37" s="44">
        <v>35</v>
      </c>
      <c r="B37" s="45" t="s">
        <v>180</v>
      </c>
      <c r="C37" s="107">
        <v>1</v>
      </c>
      <c r="D37" s="45" t="s">
        <v>208</v>
      </c>
      <c r="E37" s="46">
        <v>-132.69999999999999</v>
      </c>
      <c r="F37" s="47" t="s">
        <v>203</v>
      </c>
      <c r="G37" s="59">
        <v>-32.279999999999994</v>
      </c>
      <c r="H37" s="47" t="s">
        <v>203</v>
      </c>
      <c r="I37" s="48">
        <v>3.4</v>
      </c>
      <c r="J37" s="47" t="s">
        <v>215</v>
      </c>
      <c r="K37" s="49">
        <v>0</v>
      </c>
      <c r="L37" s="47" t="s">
        <v>208</v>
      </c>
      <c r="M37" s="49">
        <v>0.66666666666666663</v>
      </c>
      <c r="N37" s="47" t="s">
        <v>196</v>
      </c>
      <c r="O37" s="49">
        <v>0</v>
      </c>
      <c r="P37" s="47" t="s">
        <v>223</v>
      </c>
      <c r="Q37" s="50">
        <v>9.5238095238095233E-2</v>
      </c>
      <c r="R37" s="47" t="s">
        <v>262</v>
      </c>
      <c r="S37" s="50">
        <v>0.21428571428571427</v>
      </c>
      <c r="T37" s="47" t="s">
        <v>166</v>
      </c>
      <c r="U37" s="51">
        <v>2928.5714285714284</v>
      </c>
      <c r="V37" s="47" t="s">
        <v>238</v>
      </c>
      <c r="W37" s="51">
        <v>-8516.6666666666661</v>
      </c>
      <c r="X37" s="47" t="s">
        <v>235</v>
      </c>
      <c r="Y37" s="50">
        <v>0.1076923076923077</v>
      </c>
      <c r="Z37" s="47" t="s">
        <v>175</v>
      </c>
      <c r="AA37" s="50">
        <v>0</v>
      </c>
      <c r="AB37" s="47" t="s">
        <v>199</v>
      </c>
      <c r="AC37" s="50">
        <v>0</v>
      </c>
      <c r="AD37" s="47" t="s">
        <v>208</v>
      </c>
      <c r="AE37" s="50">
        <v>0</v>
      </c>
      <c r="AF37" s="47" t="s">
        <v>196</v>
      </c>
      <c r="AG37" s="50">
        <v>0</v>
      </c>
      <c r="AH37" s="47" t="s">
        <v>199</v>
      </c>
      <c r="AI37" s="54">
        <v>14100</v>
      </c>
    </row>
    <row r="38" spans="1:35">
      <c r="A38" s="44">
        <v>36</v>
      </c>
      <c r="B38" s="45" t="s">
        <v>196</v>
      </c>
      <c r="C38" s="107">
        <v>1</v>
      </c>
      <c r="D38" s="45" t="s">
        <v>216</v>
      </c>
      <c r="E38" s="46">
        <v>-133.59999999999997</v>
      </c>
      <c r="F38" s="47" t="s">
        <v>208</v>
      </c>
      <c r="G38" s="59">
        <v>-44.233333333333327</v>
      </c>
      <c r="H38" s="47" t="s">
        <v>208</v>
      </c>
      <c r="I38" s="48">
        <v>3.6666666666666665</v>
      </c>
      <c r="J38" s="47" t="s">
        <v>223</v>
      </c>
      <c r="K38" s="49">
        <v>0</v>
      </c>
      <c r="L38" s="47" t="s">
        <v>235</v>
      </c>
      <c r="M38" s="49">
        <v>0.66666666666666663</v>
      </c>
      <c r="N38" s="47" t="s">
        <v>203</v>
      </c>
      <c r="O38" s="49">
        <v>0</v>
      </c>
      <c r="P38" s="47" t="s">
        <v>203</v>
      </c>
      <c r="Q38" s="50">
        <v>9.3023255813953487E-2</v>
      </c>
      <c r="R38" s="47" t="s">
        <v>235</v>
      </c>
      <c r="S38" s="50">
        <v>0.2153846153846154</v>
      </c>
      <c r="T38" s="47" t="s">
        <v>202</v>
      </c>
      <c r="U38" s="51">
        <v>1300</v>
      </c>
      <c r="V38" s="47" t="s">
        <v>241</v>
      </c>
      <c r="W38" s="51">
        <v>-8900</v>
      </c>
      <c r="X38" s="47" t="s">
        <v>265</v>
      </c>
      <c r="Y38" s="50">
        <v>0.10526315789473684</v>
      </c>
      <c r="Z38" s="47" t="s">
        <v>208</v>
      </c>
      <c r="AA38" s="50">
        <v>0</v>
      </c>
      <c r="AB38" s="47" t="s">
        <v>196</v>
      </c>
      <c r="AC38" s="50">
        <v>0</v>
      </c>
      <c r="AD38" s="47" t="s">
        <v>223</v>
      </c>
      <c r="AE38" s="50">
        <v>0</v>
      </c>
      <c r="AF38" s="47" t="s">
        <v>202</v>
      </c>
      <c r="AG38" s="50">
        <v>0</v>
      </c>
      <c r="AH38" s="47" t="s">
        <v>202</v>
      </c>
      <c r="AI38" s="54">
        <v>13500</v>
      </c>
    </row>
    <row r="39" spans="1:35">
      <c r="A39" s="44">
        <v>37</v>
      </c>
      <c r="B39" s="45" t="s">
        <v>215</v>
      </c>
      <c r="C39" s="107">
        <v>1</v>
      </c>
      <c r="D39" s="45" t="s">
        <v>203</v>
      </c>
      <c r="E39" s="46">
        <v>-161.39999999999998</v>
      </c>
      <c r="F39" s="47" t="s">
        <v>269</v>
      </c>
      <c r="G39" s="59">
        <v>-47.4</v>
      </c>
      <c r="H39" s="47" t="s">
        <v>180</v>
      </c>
      <c r="I39" s="48">
        <v>4</v>
      </c>
      <c r="J39" s="47" t="s">
        <v>241</v>
      </c>
      <c r="K39" s="49">
        <v>0</v>
      </c>
      <c r="L39" s="47" t="s">
        <v>180</v>
      </c>
      <c r="M39" s="49">
        <v>1</v>
      </c>
      <c r="N39" s="47" t="s">
        <v>202</v>
      </c>
      <c r="O39" s="49">
        <v>0</v>
      </c>
      <c r="P39" s="47" t="s">
        <v>202</v>
      </c>
      <c r="Q39" s="50">
        <v>5.8823529411764705E-2</v>
      </c>
      <c r="R39" s="47" t="s">
        <v>208</v>
      </c>
      <c r="S39" s="50">
        <v>0.21739130434782608</v>
      </c>
      <c r="T39" s="47" t="s">
        <v>196</v>
      </c>
      <c r="U39" s="51">
        <v>1000</v>
      </c>
      <c r="V39" s="47" t="s">
        <v>205</v>
      </c>
      <c r="W39" s="51">
        <v>-9466.6666666666661</v>
      </c>
      <c r="X39" s="47" t="s">
        <v>191</v>
      </c>
      <c r="Y39" s="50">
        <v>0.10434782608695652</v>
      </c>
      <c r="Z39" s="47" t="s">
        <v>223</v>
      </c>
      <c r="AA39" s="50">
        <v>0</v>
      </c>
      <c r="AB39" s="47" t="s">
        <v>202</v>
      </c>
      <c r="AC39" s="50">
        <v>0</v>
      </c>
      <c r="AD39" s="47" t="s">
        <v>263</v>
      </c>
      <c r="AE39" s="50">
        <v>0</v>
      </c>
      <c r="AF39" s="47" t="s">
        <v>208</v>
      </c>
      <c r="AG39" s="50">
        <v>0</v>
      </c>
      <c r="AH39" s="47" t="s">
        <v>196</v>
      </c>
      <c r="AI39" s="54">
        <v>12900</v>
      </c>
    </row>
    <row r="40" spans="1:35">
      <c r="A40" s="44">
        <v>38</v>
      </c>
      <c r="B40" s="45" t="s">
        <v>264</v>
      </c>
      <c r="C40" s="107">
        <v>1</v>
      </c>
      <c r="D40" s="45" t="s">
        <v>228</v>
      </c>
      <c r="E40" s="46">
        <v>-186.49999999999997</v>
      </c>
      <c r="F40" s="47" t="s">
        <v>199</v>
      </c>
      <c r="G40" s="59">
        <v>-48.7</v>
      </c>
      <c r="H40" s="47" t="s">
        <v>199</v>
      </c>
      <c r="I40" s="48">
        <v>4</v>
      </c>
      <c r="J40" s="47" t="s">
        <v>262</v>
      </c>
      <c r="K40" s="49">
        <v>0</v>
      </c>
      <c r="L40" s="47" t="s">
        <v>199</v>
      </c>
      <c r="M40" s="49">
        <v>1</v>
      </c>
      <c r="N40" s="47" t="s">
        <v>208</v>
      </c>
      <c r="O40" s="49">
        <v>0</v>
      </c>
      <c r="P40" s="47" t="s">
        <v>180</v>
      </c>
      <c r="Q40" s="50">
        <v>0</v>
      </c>
      <c r="R40" s="47" t="s">
        <v>203</v>
      </c>
      <c r="S40" s="50">
        <v>0.23255813953488372</v>
      </c>
      <c r="T40" s="47" t="s">
        <v>180</v>
      </c>
      <c r="U40" s="51">
        <v>0</v>
      </c>
      <c r="V40" s="47" t="s">
        <v>269</v>
      </c>
      <c r="W40" s="51">
        <v>-9950</v>
      </c>
      <c r="X40" s="47" t="s">
        <v>199</v>
      </c>
      <c r="Y40" s="50">
        <v>6.6666666666666666E-2</v>
      </c>
      <c r="Z40" s="47" t="s">
        <v>264</v>
      </c>
      <c r="AA40" s="50">
        <v>0</v>
      </c>
      <c r="AB40" s="47" t="s">
        <v>208</v>
      </c>
      <c r="AC40" s="50">
        <v>0</v>
      </c>
      <c r="AD40" s="47" t="s">
        <v>264</v>
      </c>
      <c r="AE40" s="50">
        <v>0</v>
      </c>
      <c r="AF40" s="47" t="s">
        <v>215</v>
      </c>
      <c r="AG40" s="50">
        <v>0</v>
      </c>
      <c r="AH40" s="47" t="s">
        <v>269</v>
      </c>
      <c r="AI40" s="54">
        <v>12600</v>
      </c>
    </row>
    <row r="41" spans="1:35">
      <c r="A41" s="44">
        <v>39</v>
      </c>
      <c r="B41" s="45" t="s">
        <v>269</v>
      </c>
      <c r="C41" s="107">
        <v>1</v>
      </c>
      <c r="D41" s="45" t="s">
        <v>238</v>
      </c>
      <c r="E41" s="46">
        <v>-237.89999999999998</v>
      </c>
      <c r="F41" s="47" t="s">
        <v>180</v>
      </c>
      <c r="G41" s="59">
        <v>-52.6</v>
      </c>
      <c r="H41" s="47" t="s">
        <v>202</v>
      </c>
      <c r="I41" s="48">
        <v>4</v>
      </c>
      <c r="J41" s="47" t="s">
        <v>263</v>
      </c>
      <c r="K41" s="49">
        <v>0</v>
      </c>
      <c r="L41" s="47" t="s">
        <v>202</v>
      </c>
      <c r="M41" s="49">
        <v>1</v>
      </c>
      <c r="N41" s="47" t="s">
        <v>215</v>
      </c>
      <c r="O41" s="49">
        <v>0</v>
      </c>
      <c r="P41" s="47" t="s">
        <v>199</v>
      </c>
      <c r="Q41" s="50">
        <v>0</v>
      </c>
      <c r="R41" s="47" t="s">
        <v>180</v>
      </c>
      <c r="S41" s="50">
        <v>0.2857142857142857</v>
      </c>
      <c r="T41" s="47" t="s">
        <v>199</v>
      </c>
      <c r="U41" s="51">
        <v>0</v>
      </c>
      <c r="V41" s="47" t="s">
        <v>199</v>
      </c>
      <c r="W41" s="51">
        <v>-10000</v>
      </c>
      <c r="X41" s="47" t="s">
        <v>208</v>
      </c>
      <c r="Y41" s="50">
        <v>4.3478260869565216E-2</v>
      </c>
      <c r="Z41" s="47" t="s">
        <v>269</v>
      </c>
      <c r="AA41" s="50">
        <v>0</v>
      </c>
      <c r="AB41" s="47" t="s">
        <v>215</v>
      </c>
      <c r="AC41" s="50">
        <v>0</v>
      </c>
      <c r="AD41" s="47" t="s">
        <v>269</v>
      </c>
      <c r="AE41" s="50">
        <v>0</v>
      </c>
      <c r="AF41" s="47" t="s">
        <v>258</v>
      </c>
      <c r="AG41" s="50">
        <v>0</v>
      </c>
      <c r="AH41" s="47" t="s">
        <v>208</v>
      </c>
      <c r="AI41" s="54">
        <v>10700</v>
      </c>
    </row>
    <row r="42" spans="1:35">
      <c r="A42" s="44">
        <v>40</v>
      </c>
      <c r="B42" s="45" t="s">
        <v>268</v>
      </c>
      <c r="C42" s="107">
        <v>1</v>
      </c>
      <c r="D42" s="45" t="s">
        <v>235</v>
      </c>
      <c r="E42" s="46">
        <v>-285.90000000000003</v>
      </c>
      <c r="F42" s="47" t="s">
        <v>202</v>
      </c>
      <c r="G42" s="59">
        <v>-52.95</v>
      </c>
      <c r="H42" s="47" t="s">
        <v>269</v>
      </c>
      <c r="I42" s="48">
        <v>4</v>
      </c>
      <c r="J42" s="47" t="s">
        <v>269</v>
      </c>
      <c r="K42" s="49">
        <v>0</v>
      </c>
      <c r="L42" s="47" t="s">
        <v>269</v>
      </c>
      <c r="M42" s="49">
        <v>1</v>
      </c>
      <c r="N42" s="47" t="s">
        <v>269</v>
      </c>
      <c r="O42" s="49">
        <v>0</v>
      </c>
      <c r="P42" s="47" t="s">
        <v>208</v>
      </c>
      <c r="Q42" s="50">
        <v>0</v>
      </c>
      <c r="R42" s="47" t="s">
        <v>269</v>
      </c>
      <c r="S42" s="50">
        <v>0.4</v>
      </c>
      <c r="T42" s="47" t="s">
        <v>208</v>
      </c>
      <c r="U42" s="51">
        <v>0</v>
      </c>
      <c r="V42" s="47" t="s">
        <v>166</v>
      </c>
      <c r="W42" s="51">
        <v>-11400</v>
      </c>
      <c r="X42" s="47" t="s">
        <v>264</v>
      </c>
      <c r="Y42" s="50">
        <v>0</v>
      </c>
      <c r="Z42" s="47" t="s">
        <v>268</v>
      </c>
      <c r="AA42" s="50">
        <v>0</v>
      </c>
      <c r="AB42" s="47" t="s">
        <v>264</v>
      </c>
      <c r="AC42" s="50">
        <v>0</v>
      </c>
      <c r="AD42" s="47" t="s">
        <v>268</v>
      </c>
      <c r="AE42" s="50">
        <v>0</v>
      </c>
      <c r="AF42" s="47" t="s">
        <v>262</v>
      </c>
      <c r="AG42" s="50">
        <v>0</v>
      </c>
      <c r="AH42" s="47" t="s">
        <v>180</v>
      </c>
      <c r="AI42" s="54">
        <v>7400</v>
      </c>
    </row>
  </sheetData>
  <sortState xmlns:xlrd2="http://schemas.microsoft.com/office/spreadsheetml/2017/richdata2" ref="AH3:AI9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321</v>
      </c>
      <c r="C2" s="121"/>
      <c r="E2" s="32" t="s">
        <v>54</v>
      </c>
      <c r="F2" s="29" t="s">
        <v>20</v>
      </c>
      <c r="G2" s="12">
        <v>295</v>
      </c>
      <c r="H2" s="93">
        <f>IF(B$17=0,0,G2/B$17)</f>
        <v>0.60327198364008183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-77.881619937694708</v>
      </c>
      <c r="P2" s="79">
        <v>321</v>
      </c>
      <c r="Q2" s="63">
        <v>-25000</v>
      </c>
    </row>
    <row r="3" spans="1:17">
      <c r="A3" s="19" t="s">
        <v>8</v>
      </c>
      <c r="B3" s="122">
        <v>2349</v>
      </c>
      <c r="C3" s="123"/>
      <c r="E3" s="33" t="s">
        <v>181</v>
      </c>
      <c r="F3" s="30" t="s">
        <v>156</v>
      </c>
      <c r="G3" s="13">
        <v>250</v>
      </c>
      <c r="H3" s="94">
        <f>IF(B$17=0,0,G3/B$17)</f>
        <v>0.5112474437627812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321</v>
      </c>
      <c r="Q3" s="64">
        <v>0</v>
      </c>
    </row>
    <row r="4" spans="1:17">
      <c r="A4" s="19" t="s">
        <v>6</v>
      </c>
      <c r="B4" s="124">
        <v>-80.000000000000057</v>
      </c>
      <c r="C4" s="125"/>
      <c r="E4" s="33" t="s">
        <v>184</v>
      </c>
      <c r="F4" s="30" t="s">
        <v>187</v>
      </c>
      <c r="G4" s="13">
        <v>244</v>
      </c>
      <c r="H4" s="94">
        <f>IF(B$17=0,0,G4/B$17)</f>
        <v>0.49897750511247446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-21.725239616613418</v>
      </c>
      <c r="P4" s="80">
        <v>313</v>
      </c>
      <c r="Q4" s="64">
        <v>-6800</v>
      </c>
    </row>
    <row r="5" spans="1:17">
      <c r="A5" s="19" t="s">
        <v>7</v>
      </c>
      <c r="B5" s="126">
        <f>IF(B$2=0,0,B$4/B$2)</f>
        <v>-0.24922118380062322</v>
      </c>
      <c r="C5" s="127"/>
      <c r="E5" s="33" t="s">
        <v>60</v>
      </c>
      <c r="F5" s="30" t="s">
        <v>24</v>
      </c>
      <c r="G5" s="13">
        <v>200</v>
      </c>
      <c r="H5" s="94">
        <f>IF(B$17=0,0,G5/B$17)</f>
        <v>0.40899795501022496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-72.664359861591691</v>
      </c>
      <c r="P5" s="80">
        <v>289</v>
      </c>
      <c r="Q5" s="64">
        <v>-21000</v>
      </c>
    </row>
    <row r="6" spans="1:17">
      <c r="A6" s="19" t="s">
        <v>1</v>
      </c>
      <c r="B6" s="128">
        <f>IF(B$2=0,0,(B$7*1+B$8*2+B$9*3+B$10*4)/B$2)</f>
        <v>2.4890965732087227</v>
      </c>
      <c r="C6" s="129"/>
      <c r="E6" s="33" t="s">
        <v>57</v>
      </c>
      <c r="F6" s="30" t="s">
        <v>21</v>
      </c>
      <c r="G6" s="13">
        <v>124</v>
      </c>
      <c r="H6" s="94">
        <f>IF(B$17=0,0,G6/B$17)</f>
        <v>0.25357873210633947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-29.411764705882351</v>
      </c>
      <c r="P6" s="80">
        <v>204</v>
      </c>
      <c r="Q6" s="64">
        <v>-6000</v>
      </c>
    </row>
    <row r="7" spans="1:17">
      <c r="A7" s="19" t="s">
        <v>2</v>
      </c>
      <c r="B7" s="13">
        <v>82</v>
      </c>
      <c r="C7" s="6">
        <f t="shared" ref="C7:C12" si="2">IF(B$2=0,0,B7/B$2)</f>
        <v>0.2554517133956386</v>
      </c>
      <c r="E7" s="33" t="s">
        <v>55</v>
      </c>
      <c r="F7" s="30" t="s">
        <v>155</v>
      </c>
      <c r="G7" s="13">
        <v>120</v>
      </c>
      <c r="H7" s="94">
        <f>IF(B$17=0,0,G7/B$17)</f>
        <v>0.24539877300613497</v>
      </c>
      <c r="I7" s="56">
        <v>18</v>
      </c>
      <c r="K7" s="5">
        <v>5</v>
      </c>
      <c r="L7" s="61">
        <v>-14.199999999999992</v>
      </c>
      <c r="N7" s="76" t="s">
        <v>107</v>
      </c>
      <c r="O7" s="83">
        <f t="shared" si="0"/>
        <v>-62.5</v>
      </c>
      <c r="P7" s="80">
        <v>128</v>
      </c>
      <c r="Q7" s="64">
        <v>-8000</v>
      </c>
    </row>
    <row r="8" spans="1:17">
      <c r="A8" s="19" t="s">
        <v>3</v>
      </c>
      <c r="B8" s="13">
        <v>79</v>
      </c>
      <c r="C8" s="6">
        <f>IF(B$2=0,0,B8/B$2)</f>
        <v>0.24610591900311526</v>
      </c>
      <c r="E8" s="33" t="s">
        <v>56</v>
      </c>
      <c r="F8" s="30" t="s">
        <v>185</v>
      </c>
      <c r="G8" s="13">
        <v>115</v>
      </c>
      <c r="H8" s="94">
        <f>IF(B$17=0,0,G8/B$17)</f>
        <v>0.23517382413087934</v>
      </c>
      <c r="I8" s="56">
        <v>23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80</v>
      </c>
      <c r="Q8" s="64">
        <v>0</v>
      </c>
    </row>
    <row r="9" spans="1:17">
      <c r="A9" s="20" t="s">
        <v>4</v>
      </c>
      <c r="B9" s="14">
        <v>81</v>
      </c>
      <c r="C9" s="7">
        <f>IF(B$2=0,0,B9/B$2)</f>
        <v>0.25233644859813081</v>
      </c>
      <c r="E9" s="33" t="s">
        <v>59</v>
      </c>
      <c r="F9" s="30" t="s">
        <v>23</v>
      </c>
      <c r="G9" s="13">
        <v>81</v>
      </c>
      <c r="H9" s="94">
        <f>IF(B$17=0,0,G9/B$17)</f>
        <v>0.16564417177914109</v>
      </c>
      <c r="I9" s="56">
        <v>14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79</v>
      </c>
      <c r="C10" s="7">
        <f>IF(B$2=0,0,B10/B$2)</f>
        <v>0.24610591900311526</v>
      </c>
      <c r="E10" s="33" t="s">
        <v>182</v>
      </c>
      <c r="F10" s="30" t="s">
        <v>19</v>
      </c>
      <c r="G10" s="13">
        <v>55</v>
      </c>
      <c r="H10" s="94">
        <f>IF(B$17=0,0,G10/B$17)</f>
        <v>0.11247443762781185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161</v>
      </c>
      <c r="C11" s="7">
        <f>IF(B$2=0,0,B11/B$2)</f>
        <v>0.50155763239875384</v>
      </c>
      <c r="E11" s="33" t="s">
        <v>58</v>
      </c>
      <c r="F11" s="30" t="s">
        <v>22</v>
      </c>
      <c r="G11" s="13">
        <v>33</v>
      </c>
      <c r="H11" s="94">
        <f>IF(B$17=0,0,G11/B$17)</f>
        <v>6.7484662576687116E-2</v>
      </c>
      <c r="I11" s="56">
        <v>13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5.2959501557632398E-2</v>
      </c>
      <c r="E12" s="33" t="s">
        <v>77</v>
      </c>
      <c r="F12" s="30" t="s">
        <v>41</v>
      </c>
      <c r="G12" s="13">
        <v>23</v>
      </c>
      <c r="H12" s="94">
        <f>IF(B$17=0,0,G12/B$17)</f>
        <v>4.7034764826175871E-2</v>
      </c>
      <c r="I12" s="56">
        <v>11</v>
      </c>
      <c r="K12" s="5">
        <v>10</v>
      </c>
      <c r="L12" s="61">
        <v>-38.499999999999993</v>
      </c>
      <c r="N12" s="75" t="s">
        <v>126</v>
      </c>
      <c r="O12" s="85">
        <f>IF(P12=0,0,Q12/P12)</f>
        <v>-3.818518518518518</v>
      </c>
      <c r="P12" s="79">
        <v>81</v>
      </c>
      <c r="Q12" s="67">
        <v>-309.29999999999995</v>
      </c>
    </row>
    <row r="13" spans="1:17">
      <c r="A13" s="22" t="s">
        <v>97</v>
      </c>
      <c r="B13" s="15">
        <v>469</v>
      </c>
      <c r="C13" s="11">
        <f>IF(B$3=0,0,B13/B$3)</f>
        <v>0.19965942954448701</v>
      </c>
      <c r="E13" s="33" t="s">
        <v>71</v>
      </c>
      <c r="F13" s="30" t="s">
        <v>35</v>
      </c>
      <c r="G13" s="13">
        <v>19</v>
      </c>
      <c r="H13" s="94">
        <f>IF(B$17=0,0,G13/B$17)</f>
        <v>3.8854805725971372E-2</v>
      </c>
      <c r="I13" s="56">
        <v>11</v>
      </c>
      <c r="K13" s="5">
        <v>11</v>
      </c>
      <c r="L13" s="61">
        <v>18.100000000000009</v>
      </c>
      <c r="N13" s="76" t="s">
        <v>127</v>
      </c>
      <c r="O13" s="86">
        <f>IF(P13=0,0,Q13/P13)</f>
        <v>4.9864197530864178</v>
      </c>
      <c r="P13" s="80">
        <v>81</v>
      </c>
      <c r="Q13" s="68">
        <v>403.89999999999986</v>
      </c>
    </row>
    <row r="14" spans="1:17">
      <c r="A14" s="19" t="s">
        <v>94</v>
      </c>
      <c r="B14" s="13">
        <v>491</v>
      </c>
      <c r="C14" s="6">
        <f>IF(B$3=0,0,B14/B$3)</f>
        <v>0.20902511707109409</v>
      </c>
      <c r="E14" s="33" t="s">
        <v>183</v>
      </c>
      <c r="F14" s="30" t="s">
        <v>186</v>
      </c>
      <c r="G14" s="13">
        <v>17</v>
      </c>
      <c r="H14" s="94">
        <f>IF(B$17=0,0,G14/B$17)</f>
        <v>3.4764826175869123E-2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-2.0135802469135786</v>
      </c>
      <c r="P14" s="80">
        <v>81</v>
      </c>
      <c r="Q14" s="68">
        <v>-163.09999999999985</v>
      </c>
    </row>
    <row r="15" spans="1:17">
      <c r="A15" s="18" t="s">
        <v>99</v>
      </c>
      <c r="B15" s="12">
        <f>B21</f>
        <v>252</v>
      </c>
      <c r="C15" s="4">
        <f>IF(B$13=0,0,B15/B$13)</f>
        <v>0.53731343283582089</v>
      </c>
      <c r="E15" s="33" t="s">
        <v>74</v>
      </c>
      <c r="F15" s="30" t="s">
        <v>38</v>
      </c>
      <c r="G15" s="13">
        <v>11</v>
      </c>
      <c r="H15" s="94">
        <f>IF(B$17=0,0,G15/B$17)</f>
        <v>2.2494887525562373E-2</v>
      </c>
      <c r="I15" s="56">
        <v>9</v>
      </c>
      <c r="K15" s="5">
        <v>13</v>
      </c>
      <c r="L15" s="61">
        <v>62.500000000000007</v>
      </c>
      <c r="N15" s="77" t="s">
        <v>159</v>
      </c>
      <c r="O15" s="87">
        <f>IF(P15=0,0,Q15/P15)</f>
        <v>-0.14197530864197486</v>
      </c>
      <c r="P15" s="81">
        <v>81</v>
      </c>
      <c r="Q15" s="69">
        <v>-11.499999999999964</v>
      </c>
    </row>
    <row r="16" spans="1:17">
      <c r="A16" s="18" t="s">
        <v>100</v>
      </c>
      <c r="B16" s="12">
        <f>B22</f>
        <v>171</v>
      </c>
      <c r="C16" s="4">
        <f>IF(B$14=0,0,B16/B$14)</f>
        <v>0.34826883910386963</v>
      </c>
      <c r="E16" s="33" t="s">
        <v>67</v>
      </c>
      <c r="F16" s="30" t="s">
        <v>31</v>
      </c>
      <c r="G16" s="13">
        <v>7</v>
      </c>
      <c r="H16" s="94">
        <f>IF(B$17=0,0,G16/B$17)</f>
        <v>1.4314928425357873E-2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489</v>
      </c>
      <c r="C17" s="4">
        <f>IF(B$3=0,0,B17/B$3)</f>
        <v>0.20817369093231161</v>
      </c>
      <c r="E17" s="33" t="s">
        <v>66</v>
      </c>
      <c r="F17" s="30" t="s">
        <v>30</v>
      </c>
      <c r="G17" s="13">
        <v>5</v>
      </c>
      <c r="H17" s="94">
        <f>IF(B$17=0,0,G17/B$17)</f>
        <v>1.0224948875255624E-2</v>
      </c>
      <c r="I17" s="56">
        <v>6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316</v>
      </c>
      <c r="C18" s="6">
        <f>IF(B$3=0,0,B18/B$3)</f>
        <v>0.13452532992762878</v>
      </c>
      <c r="E18" s="33" t="s">
        <v>62</v>
      </c>
      <c r="F18" s="30" t="s">
        <v>26</v>
      </c>
      <c r="G18" s="13">
        <v>4</v>
      </c>
      <c r="H18" s="94">
        <f>IF(B$17=0,0,G18/B$17)</f>
        <v>8.1799591002044997E-3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173</v>
      </c>
      <c r="C19" s="6">
        <f>IF(B$17=0,0,B19/B$17)</f>
        <v>0.35378323108384457</v>
      </c>
      <c r="E19" s="33" t="s">
        <v>69</v>
      </c>
      <c r="F19" s="30" t="s">
        <v>33</v>
      </c>
      <c r="G19" s="13">
        <v>4</v>
      </c>
      <c r="H19" s="94">
        <f>IF(B$17=0,0,G19/B$17)</f>
        <v>8.1799591002044997E-3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316</v>
      </c>
      <c r="C20" s="6">
        <f>IF(B$17=0,0,B20/B$17)</f>
        <v>0.64621676891615543</v>
      </c>
      <c r="E20" s="33" t="s">
        <v>78</v>
      </c>
      <c r="F20" s="30" t="s">
        <v>42</v>
      </c>
      <c r="G20" s="13">
        <v>4</v>
      </c>
      <c r="H20" s="94">
        <f>IF(B$17=0,0,G20/B$17)</f>
        <v>8.1799591002044997E-3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252</v>
      </c>
      <c r="C21" s="6">
        <f>IF(B$17=0,0,B21/B$17)</f>
        <v>0.51533742331288346</v>
      </c>
      <c r="E21" s="33" t="s">
        <v>61</v>
      </c>
      <c r="F21" s="30" t="s">
        <v>25</v>
      </c>
      <c r="G21" s="13">
        <v>3</v>
      </c>
      <c r="H21" s="94">
        <f>IF(B$17=0,0,G21/B$17)</f>
        <v>6.1349693251533744E-3</v>
      </c>
      <c r="I21" s="56">
        <v>4</v>
      </c>
      <c r="K21" s="5">
        <v>19</v>
      </c>
      <c r="L21" s="61">
        <v>-3.6999999999999886</v>
      </c>
      <c r="N21" s="76" t="s">
        <v>269</v>
      </c>
      <c r="O21" s="86">
        <f>IF(P21=0,0,Q21/P21)</f>
        <v>59.866666666666667</v>
      </c>
      <c r="P21" s="80">
        <v>3</v>
      </c>
      <c r="Q21" s="68">
        <v>179.6</v>
      </c>
    </row>
    <row r="22" spans="1:17">
      <c r="A22" s="19" t="s">
        <v>149</v>
      </c>
      <c r="B22" s="13">
        <v>171</v>
      </c>
      <c r="C22" s="6">
        <f>IF(B$17=0,0,B22/B$17)</f>
        <v>0.34969325153374231</v>
      </c>
      <c r="E22" s="33" t="s">
        <v>72</v>
      </c>
      <c r="F22" s="30" t="s">
        <v>36</v>
      </c>
      <c r="G22" s="13">
        <v>2</v>
      </c>
      <c r="H22" s="94">
        <f>IF(B$17=0,0,G22/B$17)</f>
        <v>4.0899795501022499E-3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66</v>
      </c>
      <c r="C23" s="6">
        <f>IF(B$17=0,0,B23/B$17)</f>
        <v>0.13496932515337423</v>
      </c>
      <c r="E23" s="33" t="s">
        <v>75</v>
      </c>
      <c r="F23" s="30" t="s">
        <v>39</v>
      </c>
      <c r="G23" s="13">
        <v>2</v>
      </c>
      <c r="H23" s="94">
        <f>IF(B$17=0,0,G23/B$17)</f>
        <v>4.0899795501022499E-3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6893.0470347648261</v>
      </c>
      <c r="C24" s="8">
        <v>3370700</v>
      </c>
      <c r="E24" s="33" t="s">
        <v>76</v>
      </c>
      <c r="F24" s="30" t="s">
        <v>40</v>
      </c>
      <c r="G24" s="13">
        <v>2</v>
      </c>
      <c r="H24" s="94">
        <f>IF(B$17=0,0,G24/B$17)</f>
        <v>4.0899795501022499E-3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7802.5157232704405</v>
      </c>
      <c r="C25" s="98">
        <v>2481200</v>
      </c>
      <c r="E25" s="33" t="s">
        <v>80</v>
      </c>
      <c r="F25" s="30" t="s">
        <v>44</v>
      </c>
      <c r="G25" s="13">
        <v>1</v>
      </c>
      <c r="H25" s="94">
        <f>IF(B$17=0,0,G25/B$17)</f>
        <v>2.0449897750511249E-3</v>
      </c>
      <c r="I25" s="56">
        <v>2</v>
      </c>
      <c r="K25" s="5">
        <v>23</v>
      </c>
      <c r="L25" s="61">
        <v>-13.199999999999989</v>
      </c>
      <c r="N25" s="76" t="s">
        <v>235</v>
      </c>
      <c r="O25" s="86">
        <f>IF(P25=0,0,Q25/P25)</f>
        <v>41.244444444444447</v>
      </c>
      <c r="P25" s="80">
        <v>27</v>
      </c>
      <c r="Q25" s="68">
        <v>1113.6000000000001</v>
      </c>
    </row>
    <row r="26" spans="1:17">
      <c r="A26" s="20" t="s">
        <v>134</v>
      </c>
      <c r="B26" s="97">
        <f>IF(B$16=0,0,C26/B$16)</f>
        <v>5201.7543859649122</v>
      </c>
      <c r="C26" s="98">
        <v>889500</v>
      </c>
      <c r="E26" s="33" t="s">
        <v>82</v>
      </c>
      <c r="F26" s="30" t="s">
        <v>46</v>
      </c>
      <c r="G26" s="13">
        <v>1</v>
      </c>
      <c r="H26" s="94">
        <f>IF(B$17=0,0,G26/B$17)</f>
        <v>2.0449897750511249E-3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-6505.6962025316452</v>
      </c>
      <c r="C27" s="98">
        <v>-2055800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238</v>
      </c>
      <c r="O27" s="86">
        <f>IF(P27=0,0,Q27/P27)</f>
        <v>26.155555555555548</v>
      </c>
      <c r="P27" s="80">
        <v>36</v>
      </c>
      <c r="Q27" s="68">
        <v>941.59999999999968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13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228</v>
      </c>
      <c r="O30" s="86">
        <f>IF(P30=0,0,Q30/P30)</f>
        <v>15.911111111111113</v>
      </c>
      <c r="P30" s="80">
        <v>45</v>
      </c>
      <c r="Q30" s="68">
        <v>716.00000000000011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8</v>
      </c>
      <c r="C32" s="9">
        <f>IF(B$3=0,0,B32/B$3)</f>
        <v>3.4057045551298426E-3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262</v>
      </c>
      <c r="O32" s="86">
        <f>IF(P32=0,0,Q32/P32)</f>
        <v>8.0666666666666682</v>
      </c>
      <c r="P32" s="80">
        <v>6</v>
      </c>
      <c r="Q32" s="68">
        <v>48.400000000000006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7.9333333333333327</v>
      </c>
      <c r="P33" s="80">
        <v>18</v>
      </c>
      <c r="Q33" s="68">
        <v>142.79999999999998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263</v>
      </c>
      <c r="O34" s="86">
        <f>IF(P34=0,0,Q34/P34)</f>
        <v>7.8000000000000016</v>
      </c>
      <c r="P34" s="80">
        <v>6</v>
      </c>
      <c r="Q34" s="68">
        <v>46.800000000000011</v>
      </c>
    </row>
    <row r="35" spans="1:17">
      <c r="A35" s="52" t="s">
        <v>139</v>
      </c>
      <c r="B35" s="99">
        <v>48</v>
      </c>
      <c r="C35" s="102">
        <f t="shared" ref="C35:C47" si="3">IF(B$17=0,0,B35/B$17)</f>
        <v>9.815950920245399E-2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216</v>
      </c>
      <c r="O35" s="86">
        <f>IF(P35=0,0,Q35/P35)</f>
        <v>6.4740740740740694</v>
      </c>
      <c r="P35" s="80">
        <v>81</v>
      </c>
      <c r="Q35" s="68">
        <v>524.39999999999964</v>
      </c>
    </row>
    <row r="36" spans="1:17">
      <c r="A36" s="19" t="s">
        <v>135</v>
      </c>
      <c r="B36" s="13">
        <v>94</v>
      </c>
      <c r="C36" s="6">
        <f t="shared" si="3"/>
        <v>0.19222903885480572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227</v>
      </c>
      <c r="O36" s="86">
        <f>IF(P36=0,0,Q36/P36)</f>
        <v>4.704761904761904</v>
      </c>
      <c r="P36" s="80">
        <v>42</v>
      </c>
      <c r="Q36" s="68">
        <v>197.59999999999997</v>
      </c>
    </row>
    <row r="37" spans="1:17">
      <c r="A37" s="19" t="s">
        <v>136</v>
      </c>
      <c r="B37" s="100">
        <v>114</v>
      </c>
      <c r="C37" s="6">
        <f t="shared" si="3"/>
        <v>0.23312883435582821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179</v>
      </c>
      <c r="O37" s="86">
        <f>IF(P37=0,0,Q37/P37)</f>
        <v>2.4666666666666663</v>
      </c>
      <c r="P37" s="80">
        <v>48</v>
      </c>
      <c r="Q37" s="68">
        <v>118.39999999999998</v>
      </c>
    </row>
    <row r="38" spans="1:17">
      <c r="A38" s="19" t="s">
        <v>137</v>
      </c>
      <c r="B38" s="100">
        <v>106</v>
      </c>
      <c r="C38" s="6">
        <f t="shared" si="3"/>
        <v>0.21676891615541921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258</v>
      </c>
      <c r="O38" s="86">
        <f>IF(P38=0,0,Q38/P38)</f>
        <v>2.2000000000000028</v>
      </c>
      <c r="P38" s="80">
        <v>12</v>
      </c>
      <c r="Q38" s="68">
        <v>26.400000000000034</v>
      </c>
    </row>
    <row r="39" spans="1:17">
      <c r="A39" s="19" t="s">
        <v>138</v>
      </c>
      <c r="B39" s="100">
        <v>49</v>
      </c>
      <c r="C39" s="6">
        <f t="shared" si="3"/>
        <v>0.10020449897750511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55</v>
      </c>
      <c r="C40" s="6">
        <f t="shared" si="3"/>
        <v>0.11247443762781185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18</v>
      </c>
      <c r="C41" s="6">
        <f t="shared" si="3"/>
        <v>3.6809815950920248E-2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244</v>
      </c>
      <c r="O41" s="86">
        <f>IF(P41=0,0,Q41/P41)</f>
        <v>-2.1833333333333345</v>
      </c>
      <c r="P41" s="80">
        <v>24</v>
      </c>
      <c r="Q41" s="68">
        <v>-52.400000000000027</v>
      </c>
    </row>
    <row r="42" spans="1:17">
      <c r="A42" s="19" t="s">
        <v>142</v>
      </c>
      <c r="B42" s="100">
        <v>2</v>
      </c>
      <c r="C42" s="6">
        <f t="shared" si="3"/>
        <v>4.0899795501022499E-3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1</v>
      </c>
      <c r="C43" s="6">
        <f t="shared" si="3"/>
        <v>2.0449897750511249E-3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195</v>
      </c>
      <c r="O45" s="86">
        <f>IF(P45=0,0,Q45/P45)</f>
        <v>-6.5888888888888912</v>
      </c>
      <c r="P45" s="80">
        <v>108</v>
      </c>
      <c r="Q45" s="68">
        <v>-711.60000000000025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2</v>
      </c>
      <c r="C47" s="9">
        <f t="shared" si="3"/>
        <v>4.0899795501022499E-3</v>
      </c>
      <c r="K47" s="5">
        <v>45</v>
      </c>
      <c r="L47" s="61">
        <v>-52.099999999999987</v>
      </c>
      <c r="N47" s="76" t="s">
        <v>168</v>
      </c>
      <c r="O47" s="86">
        <f>IF(P47=0,0,Q47/P47)</f>
        <v>-11.807407407407409</v>
      </c>
      <c r="P47" s="80">
        <v>54</v>
      </c>
      <c r="Q47" s="68">
        <v>-637.6</v>
      </c>
    </row>
    <row r="48" spans="1:17">
      <c r="K48" s="5">
        <v>46</v>
      </c>
      <c r="L48" s="61">
        <v>-44.199999999999989</v>
      </c>
      <c r="N48" s="76" t="s">
        <v>265</v>
      </c>
      <c r="O48" s="86">
        <f>IF(P48=0,0,Q48/P48)</f>
        <v>-13.28888888888889</v>
      </c>
      <c r="P48" s="80">
        <v>9</v>
      </c>
      <c r="Q48" s="68">
        <v>-119.60000000000001</v>
      </c>
    </row>
    <row r="49" spans="11:17">
      <c r="K49" s="5">
        <v>47</v>
      </c>
      <c r="L49" s="61">
        <v>-76.299999999999983</v>
      </c>
      <c r="N49" s="76" t="s">
        <v>167</v>
      </c>
      <c r="O49" s="86">
        <f>IF(P49=0,0,Q49/P49)</f>
        <v>-18.666666666666664</v>
      </c>
      <c r="P49" s="80">
        <v>3</v>
      </c>
      <c r="Q49" s="68">
        <v>-55.999999999999993</v>
      </c>
    </row>
    <row r="50" spans="11:17">
      <c r="K50" s="5">
        <v>48</v>
      </c>
      <c r="L50" s="61">
        <v>-19.999999999999986</v>
      </c>
      <c r="N50" s="76" t="s">
        <v>169</v>
      </c>
      <c r="O50" s="86">
        <f>IF(P50=0,0,Q50/P50)</f>
        <v>-21.227350427350444</v>
      </c>
      <c r="P50" s="80">
        <v>117</v>
      </c>
      <c r="Q50" s="68">
        <v>-2483.6000000000022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-29.999999999999982</v>
      </c>
      <c r="P51" s="80">
        <v>18</v>
      </c>
      <c r="Q51" s="68">
        <v>-539.99999999999966</v>
      </c>
    </row>
    <row r="52" spans="11:17">
      <c r="K52" s="5">
        <v>50</v>
      </c>
      <c r="L52" s="61">
        <v>-72.8</v>
      </c>
      <c r="N52" s="76" t="s">
        <v>162</v>
      </c>
      <c r="O52" s="86">
        <f>IF(P52=0,0,Q52/P52)</f>
        <v>-39.703703703703681</v>
      </c>
      <c r="P52" s="80">
        <v>27</v>
      </c>
      <c r="Q52" s="68">
        <v>-1071.9999999999993</v>
      </c>
    </row>
    <row r="53" spans="11:17">
      <c r="K53" s="5">
        <v>51</v>
      </c>
      <c r="L53" s="61">
        <v>10</v>
      </c>
      <c r="N53" s="76" t="s">
        <v>205</v>
      </c>
      <c r="O53" s="86">
        <f>IF(P53=0,0,Q53/P53)</f>
        <v>-47.866666666666667</v>
      </c>
      <c r="P53" s="80">
        <v>12</v>
      </c>
      <c r="Q53" s="68">
        <v>-574.4</v>
      </c>
    </row>
    <row r="54" spans="11:17">
      <c r="K54" s="5">
        <v>52</v>
      </c>
      <c r="L54" s="61">
        <v>-20</v>
      </c>
      <c r="N54" s="76" t="s">
        <v>268</v>
      </c>
      <c r="O54" s="86">
        <f>IF(P54=0,0,Q54/P54)</f>
        <v>-72.8</v>
      </c>
      <c r="P54" s="80">
        <v>3</v>
      </c>
      <c r="Q54" s="68">
        <v>-218.4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-74.133333333333326</v>
      </c>
      <c r="P55" s="80">
        <v>3</v>
      </c>
      <c r="Q55" s="68">
        <v>-222.39999999999998</v>
      </c>
    </row>
    <row r="56" spans="11:17">
      <c r="K56" s="5">
        <v>54</v>
      </c>
      <c r="L56" s="61">
        <v>-30.5</v>
      </c>
      <c r="N56" s="76" t="s">
        <v>231</v>
      </c>
      <c r="O56" s="86">
        <f>IF(P56=0,0,Q56/P56)</f>
        <v>-75</v>
      </c>
      <c r="P56" s="80">
        <v>6</v>
      </c>
      <c r="Q56" s="68">
        <v>-450</v>
      </c>
    </row>
    <row r="57" spans="11:17">
      <c r="K57" s="5">
        <v>55</v>
      </c>
      <c r="L57" s="61">
        <v>20.799999999999997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</sheetData>
  <sortState xmlns:xlrd2="http://schemas.microsoft.com/office/spreadsheetml/2017/richdata2" ref="N18:Q5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19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19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19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6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28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24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16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26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17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7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15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10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28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16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7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23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25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26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3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16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23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31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19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14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23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33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10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23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181</v>
      </c>
      <c r="F2" s="29" t="s">
        <v>156</v>
      </c>
      <c r="G2" s="12">
        <v>36</v>
      </c>
      <c r="H2" s="93">
        <f>IF(B$17=0,0,G2/B$17)</f>
        <v>0.52173913043478259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1294.4444444444443</v>
      </c>
      <c r="P2" s="79">
        <v>36</v>
      </c>
      <c r="Q2" s="63">
        <v>46600</v>
      </c>
    </row>
    <row r="3" spans="1:17">
      <c r="A3" s="19" t="s">
        <v>8</v>
      </c>
      <c r="B3" s="122">
        <v>254</v>
      </c>
      <c r="C3" s="123"/>
      <c r="E3" s="33" t="s">
        <v>54</v>
      </c>
      <c r="F3" s="30" t="s">
        <v>20</v>
      </c>
      <c r="G3" s="13">
        <v>35</v>
      </c>
      <c r="H3" s="94">
        <f>IF(B$17=0,0,G3/B$17)</f>
        <v>0.50724637681159424</v>
      </c>
      <c r="I3" s="56">
        <v>18</v>
      </c>
      <c r="K3" s="5">
        <v>1</v>
      </c>
      <c r="L3" s="61">
        <v>-21.3</v>
      </c>
      <c r="N3" s="76" t="s">
        <v>104</v>
      </c>
      <c r="O3" s="83">
        <f t="shared" si="0"/>
        <v>775</v>
      </c>
      <c r="P3" s="80">
        <v>36</v>
      </c>
      <c r="Q3" s="64">
        <v>27900</v>
      </c>
    </row>
    <row r="4" spans="1:17">
      <c r="A4" s="19" t="s">
        <v>6</v>
      </c>
      <c r="B4" s="124">
        <v>175.39999999999998</v>
      </c>
      <c r="C4" s="125"/>
      <c r="E4" s="33" t="s">
        <v>184</v>
      </c>
      <c r="F4" s="30" t="s">
        <v>187</v>
      </c>
      <c r="G4" s="13">
        <v>33</v>
      </c>
      <c r="H4" s="94">
        <f>IF(B$17=0,0,G4/B$17)</f>
        <v>0.47826086956521741</v>
      </c>
      <c r="I4" s="56">
        <v>18</v>
      </c>
      <c r="K4" s="5">
        <v>2</v>
      </c>
      <c r="L4" s="61">
        <v>-12.200000000000001</v>
      </c>
      <c r="N4" s="76" t="s">
        <v>105</v>
      </c>
      <c r="O4" s="83">
        <f t="shared" si="0"/>
        <v>274.28571428571428</v>
      </c>
      <c r="P4" s="80">
        <v>35</v>
      </c>
      <c r="Q4" s="64">
        <v>9600</v>
      </c>
    </row>
    <row r="5" spans="1:17">
      <c r="A5" s="19" t="s">
        <v>7</v>
      </c>
      <c r="B5" s="126">
        <f>IF(B$2=0,0,B$4/B$2)</f>
        <v>4.8722222222222218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0.37681159420289856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509.67741935483872</v>
      </c>
      <c r="P5" s="80">
        <v>31</v>
      </c>
      <c r="Q5" s="64">
        <v>15800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0.2608695652173913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-250</v>
      </c>
      <c r="P6" s="80">
        <v>20</v>
      </c>
      <c r="Q6" s="64">
        <v>-5000</v>
      </c>
    </row>
    <row r="7" spans="1:17">
      <c r="A7" s="19" t="s">
        <v>2</v>
      </c>
      <c r="B7" s="13">
        <v>10</v>
      </c>
      <c r="C7" s="6">
        <f t="shared" ref="C7:C12" si="2">IF(B$2=0,0,B7/B$2)</f>
        <v>0.27777777777777779</v>
      </c>
      <c r="E7" s="33" t="s">
        <v>56</v>
      </c>
      <c r="F7" s="30" t="s">
        <v>185</v>
      </c>
      <c r="G7" s="13">
        <v>16</v>
      </c>
      <c r="H7" s="94">
        <f>IF(B$17=0,0,G7/B$17)</f>
        <v>0.2318840579710145</v>
      </c>
      <c r="I7" s="56">
        <v>24</v>
      </c>
      <c r="K7" s="5">
        <v>5</v>
      </c>
      <c r="L7" s="61">
        <v>-160.60000000000002</v>
      </c>
      <c r="N7" s="76" t="s">
        <v>107</v>
      </c>
      <c r="O7" s="83">
        <f t="shared" si="0"/>
        <v>-1500</v>
      </c>
      <c r="P7" s="80">
        <v>14</v>
      </c>
      <c r="Q7" s="64">
        <v>-21000</v>
      </c>
    </row>
    <row r="8" spans="1:17">
      <c r="A8" s="19" t="s">
        <v>3</v>
      </c>
      <c r="B8" s="13">
        <v>7</v>
      </c>
      <c r="C8" s="6">
        <f>IF(B$2=0,0,B8/B$2)</f>
        <v>0.19444444444444445</v>
      </c>
      <c r="E8" s="33" t="s">
        <v>59</v>
      </c>
      <c r="F8" s="30" t="s">
        <v>23</v>
      </c>
      <c r="G8" s="13">
        <v>14</v>
      </c>
      <c r="H8" s="94">
        <f>IF(B$17=0,0,G8/B$17)</f>
        <v>0.20289855072463769</v>
      </c>
      <c r="I8" s="56">
        <v>11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0.3888888888888889</v>
      </c>
      <c r="E9" s="33" t="s">
        <v>57</v>
      </c>
      <c r="F9" s="30" t="s">
        <v>21</v>
      </c>
      <c r="G9" s="13">
        <v>10</v>
      </c>
      <c r="H9" s="94">
        <f>IF(B$17=0,0,G9/B$17)</f>
        <v>0.14492753623188406</v>
      </c>
      <c r="I9" s="56">
        <v>24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0.1388888888888889</v>
      </c>
      <c r="E10" s="33" t="s">
        <v>182</v>
      </c>
      <c r="F10" s="30" t="s">
        <v>19</v>
      </c>
      <c r="G10" s="13">
        <v>8</v>
      </c>
      <c r="H10" s="94">
        <f>IF(B$17=0,0,G10/B$17)</f>
        <v>0.11594202898550725</v>
      </c>
      <c r="I10" s="56">
        <v>14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0.47222222222222221</v>
      </c>
      <c r="E11" s="33" t="s">
        <v>77</v>
      </c>
      <c r="F11" s="30" t="s">
        <v>41</v>
      </c>
      <c r="G11" s="13">
        <v>5</v>
      </c>
      <c r="H11" s="94">
        <f>IF(B$17=0,0,G11/B$17)</f>
        <v>7.2463768115942032E-2</v>
      </c>
      <c r="I11" s="56">
        <v>8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8.3333333333333329E-2</v>
      </c>
      <c r="E12" s="33" t="s">
        <v>58</v>
      </c>
      <c r="F12" s="30" t="s">
        <v>22</v>
      </c>
      <c r="G12" s="13">
        <v>4</v>
      </c>
      <c r="H12" s="94">
        <f>IF(B$17=0,0,G12/B$17)</f>
        <v>5.7971014492753624E-2</v>
      </c>
      <c r="I12" s="56">
        <v>15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65</v>
      </c>
      <c r="C13" s="11">
        <f>IF(B$3=0,0,B13/B$3)</f>
        <v>0.25590551181102361</v>
      </c>
      <c r="E13" s="33" t="s">
        <v>71</v>
      </c>
      <c r="F13" s="30" t="s">
        <v>35</v>
      </c>
      <c r="G13" s="13">
        <v>4</v>
      </c>
      <c r="H13" s="94">
        <f>IF(B$17=0,0,G13/B$17)</f>
        <v>5.7971014492753624E-2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75</v>
      </c>
      <c r="C14" s="6">
        <f>IF(B$3=0,0,B14/B$3)</f>
        <v>0.29527559055118108</v>
      </c>
      <c r="E14" s="33" t="s">
        <v>74</v>
      </c>
      <c r="F14" s="30" t="s">
        <v>38</v>
      </c>
      <c r="G14" s="13">
        <v>3</v>
      </c>
      <c r="H14" s="94">
        <f>IF(B$17=0,0,G14/B$17)</f>
        <v>4.3478260869565216E-2</v>
      </c>
      <c r="I14" s="56">
        <v>7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0.55384615384615388</v>
      </c>
      <c r="E15" s="33" t="s">
        <v>183</v>
      </c>
      <c r="F15" s="30" t="s">
        <v>186</v>
      </c>
      <c r="G15" s="13">
        <v>2</v>
      </c>
      <c r="H15" s="94">
        <f>IF(B$17=0,0,G15/B$17)</f>
        <v>2.8985507246376812E-2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28</v>
      </c>
      <c r="C16" s="4">
        <f>IF(B$14=0,0,B16/B$14)</f>
        <v>0.37333333333333335</v>
      </c>
      <c r="E16" s="33" t="s">
        <v>78</v>
      </c>
      <c r="F16" s="30" t="s">
        <v>42</v>
      </c>
      <c r="G16" s="13">
        <v>2</v>
      </c>
      <c r="H16" s="94">
        <f>IF(B$17=0,0,G16/B$17)</f>
        <v>2.8985507246376812E-2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0.27165354330708663</v>
      </c>
      <c r="E17" s="33" t="s">
        <v>62</v>
      </c>
      <c r="F17" s="30" t="s">
        <v>26</v>
      </c>
      <c r="G17" s="13">
        <v>1</v>
      </c>
      <c r="H17" s="94">
        <f>IF(B$17=0,0,G17/B$17)</f>
        <v>1.4492753623188406E-2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0.12598425196850394</v>
      </c>
      <c r="E18" s="33" t="s">
        <v>66</v>
      </c>
      <c r="F18" s="30" t="s">
        <v>30</v>
      </c>
      <c r="G18" s="13">
        <v>1</v>
      </c>
      <c r="H18" s="94">
        <f>IF(B$17=0,0,G18/B$17)</f>
        <v>1.4492753623188406E-2</v>
      </c>
      <c r="I18" s="56">
        <v>5</v>
      </c>
      <c r="K18" s="5">
        <v>16</v>
      </c>
      <c r="L18" s="61">
        <v>-275</v>
      </c>
      <c r="N18" s="75" t="s">
        <v>235</v>
      </c>
      <c r="O18" s="85">
        <f t="shared" ref="O18:O39" si="3">IF(P18=0,0,Q18/P18)</f>
        <v>102.8</v>
      </c>
      <c r="P18" s="79">
        <v>3</v>
      </c>
      <c r="Q18" s="67">
        <v>308.39999999999998</v>
      </c>
    </row>
    <row r="19" spans="1:17">
      <c r="A19" s="19" t="s">
        <v>12</v>
      </c>
      <c r="B19" s="13">
        <v>27</v>
      </c>
      <c r="C19" s="6">
        <f>IF(B$17=0,0,B19/B$17)</f>
        <v>0.39130434782608697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255</v>
      </c>
      <c r="O19" s="86">
        <f t="shared" si="3"/>
        <v>72.7</v>
      </c>
      <c r="P19" s="80">
        <v>1</v>
      </c>
      <c r="Q19" s="68">
        <v>72.7</v>
      </c>
    </row>
    <row r="20" spans="1:17">
      <c r="A20" s="19" t="s">
        <v>11</v>
      </c>
      <c r="B20" s="13">
        <v>42</v>
      </c>
      <c r="C20" s="6">
        <f>IF(B$17=0,0,B20/B$17)</f>
        <v>0.60869565217391308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36</v>
      </c>
      <c r="C21" s="6">
        <f>IF(B$17=0,0,B21/B$17)</f>
        <v>0.52173913043478259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28</v>
      </c>
      <c r="C22" s="6">
        <f>IF(B$17=0,0,B22/B$17)</f>
        <v>0.40579710144927539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208</v>
      </c>
      <c r="O22" s="86">
        <f t="shared" si="3"/>
        <v>45.5</v>
      </c>
      <c r="P22" s="80">
        <v>2</v>
      </c>
      <c r="Q22" s="68">
        <v>91</v>
      </c>
    </row>
    <row r="23" spans="1:17">
      <c r="A23" s="19" t="s">
        <v>150</v>
      </c>
      <c r="B23" s="13">
        <v>5</v>
      </c>
      <c r="C23" s="6">
        <f>IF(B$17=0,0,B23/B$17)</f>
        <v>7.2463768115942032E-2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228</v>
      </c>
      <c r="O23" s="86">
        <f t="shared" si="3"/>
        <v>35.690000000000012</v>
      </c>
      <c r="P23" s="80">
        <v>10</v>
      </c>
      <c r="Q23" s="68">
        <v>356.90000000000009</v>
      </c>
    </row>
    <row r="24" spans="1:17">
      <c r="A24" s="19" t="s">
        <v>5</v>
      </c>
      <c r="B24" s="16">
        <f>IF(B$17=0,0,C24/B$17)</f>
        <v>6575.36231884058</v>
      </c>
      <c r="C24" s="8">
        <v>453700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216</v>
      </c>
      <c r="O24" s="86">
        <f t="shared" si="3"/>
        <v>25.135294117647071</v>
      </c>
      <c r="P24" s="80">
        <v>17</v>
      </c>
      <c r="Q24" s="68">
        <v>427.30000000000018</v>
      </c>
    </row>
    <row r="25" spans="1:17">
      <c r="A25" s="20" t="s">
        <v>133</v>
      </c>
      <c r="B25" s="97">
        <f>IF($B$17-B$16=0,0,C25/($B$17-B$16))</f>
        <v>7975.6097560975613</v>
      </c>
      <c r="C25" s="98">
        <v>327000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227</v>
      </c>
      <c r="O25" s="86">
        <f t="shared" si="3"/>
        <v>24.916666666666661</v>
      </c>
      <c r="P25" s="80">
        <v>6</v>
      </c>
      <c r="Q25" s="68">
        <v>149.49999999999997</v>
      </c>
    </row>
    <row r="26" spans="1:17">
      <c r="A26" s="20" t="s">
        <v>134</v>
      </c>
      <c r="B26" s="97">
        <f>IF(B$16=0,0,C26/B$16)</f>
        <v>4525</v>
      </c>
      <c r="C26" s="98">
        <v>126700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215</v>
      </c>
      <c r="O26" s="86">
        <f t="shared" si="3"/>
        <v>24.4</v>
      </c>
      <c r="P26" s="80">
        <v>1</v>
      </c>
      <c r="Q26" s="68">
        <v>24.4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203</v>
      </c>
      <c r="O27" s="86">
        <f t="shared" si="3"/>
        <v>20.5</v>
      </c>
      <c r="P27" s="80">
        <v>1</v>
      </c>
      <c r="Q27" s="68">
        <v>20.5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14.16666666666667</v>
      </c>
      <c r="P28" s="80">
        <v>3</v>
      </c>
      <c r="Q28" s="68">
        <v>42.500000000000007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169</v>
      </c>
      <c r="O29" s="86">
        <f t="shared" si="3"/>
        <v>4.2812500000000044</v>
      </c>
      <c r="P29" s="80">
        <v>16</v>
      </c>
      <c r="Q29" s="68">
        <v>68.500000000000071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213</v>
      </c>
      <c r="O30" s="86">
        <f t="shared" si="3"/>
        <v>-8.4571428571428537</v>
      </c>
      <c r="P30" s="80">
        <v>7</v>
      </c>
      <c r="Q30" s="68">
        <v>-59.199999999999982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164</v>
      </c>
      <c r="O31" s="86">
        <f t="shared" si="3"/>
        <v>-19.399999999999999</v>
      </c>
      <c r="P31" s="80">
        <v>4</v>
      </c>
      <c r="Q31" s="68">
        <v>-77.599999999999994</v>
      </c>
    </row>
    <row r="32" spans="1:17">
      <c r="A32" s="21" t="s">
        <v>112</v>
      </c>
      <c r="B32" s="26">
        <v>1</v>
      </c>
      <c r="C32" s="9">
        <f>IF(B$3=0,0,B32/B$3)</f>
        <v>3.937007874015748E-3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161</v>
      </c>
      <c r="O32" s="86">
        <f t="shared" si="3"/>
        <v>-20.650000000000006</v>
      </c>
      <c r="P32" s="80">
        <v>2</v>
      </c>
      <c r="Q32" s="68">
        <v>-41.300000000000011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168</v>
      </c>
      <c r="O33" s="86">
        <f t="shared" si="3"/>
        <v>-25.7</v>
      </c>
      <c r="P33" s="80">
        <v>7</v>
      </c>
      <c r="Q33" s="68">
        <v>-179.9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163</v>
      </c>
      <c r="O34" s="86">
        <f t="shared" si="3"/>
        <v>-30.9</v>
      </c>
      <c r="P34" s="80">
        <v>1</v>
      </c>
      <c r="Q34" s="68">
        <v>-30.9</v>
      </c>
    </row>
    <row r="35" spans="1:17">
      <c r="A35" s="52" t="s">
        <v>139</v>
      </c>
      <c r="B35" s="99">
        <v>6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179</v>
      </c>
      <c r="O35" s="86">
        <f t="shared" si="3"/>
        <v>-34.119999999999997</v>
      </c>
      <c r="P35" s="80">
        <v>5</v>
      </c>
      <c r="Q35" s="68">
        <v>-170.6</v>
      </c>
    </row>
    <row r="36" spans="1:17">
      <c r="A36" s="19" t="s">
        <v>135</v>
      </c>
      <c r="B36" s="13">
        <v>16</v>
      </c>
      <c r="C36" s="6">
        <f t="shared" si="4"/>
        <v>0.2318840579710145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162</v>
      </c>
      <c r="O36" s="86">
        <f t="shared" si="3"/>
        <v>-43.699999999999996</v>
      </c>
      <c r="P36" s="80">
        <v>4</v>
      </c>
      <c r="Q36" s="68">
        <v>-174.79999999999998</v>
      </c>
    </row>
    <row r="37" spans="1:17">
      <c r="A37" s="19" t="s">
        <v>136</v>
      </c>
      <c r="B37" s="100">
        <v>21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244</v>
      </c>
      <c r="O37" s="86">
        <f t="shared" si="3"/>
        <v>-48.366666666666667</v>
      </c>
      <c r="P37" s="80">
        <v>3</v>
      </c>
      <c r="Q37" s="68">
        <v>-145.1</v>
      </c>
    </row>
    <row r="38" spans="1:17">
      <c r="A38" s="19" t="s">
        <v>137</v>
      </c>
      <c r="B38" s="100">
        <v>5</v>
      </c>
      <c r="C38" s="6">
        <f t="shared" si="4"/>
        <v>7.2463768115942032E-2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191</v>
      </c>
      <c r="O38" s="86">
        <f t="shared" si="3"/>
        <v>-65.966666666666669</v>
      </c>
      <c r="P38" s="80">
        <v>3</v>
      </c>
      <c r="Q38" s="68">
        <v>-197.9</v>
      </c>
    </row>
    <row r="39" spans="1:17">
      <c r="A39" s="19" t="s">
        <v>138</v>
      </c>
      <c r="B39" s="100">
        <v>10</v>
      </c>
      <c r="C39" s="6">
        <f t="shared" si="4"/>
        <v>0.14492753623188406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205</v>
      </c>
      <c r="O39" s="86">
        <f t="shared" si="3"/>
        <v>-66.05</v>
      </c>
      <c r="P39" s="80">
        <v>4</v>
      </c>
      <c r="Q39" s="68">
        <v>-264.2</v>
      </c>
    </row>
    <row r="40" spans="1:17">
      <c r="A40" s="19" t="s">
        <v>140</v>
      </c>
      <c r="B40" s="100">
        <v>7</v>
      </c>
      <c r="C40" s="6">
        <f t="shared" si="4"/>
        <v>0.10144927536231885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5.7971014492753624E-2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23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7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23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23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16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4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23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>IF(P19=0,0,Q19/P19)</f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>IF(P20=0,0,Q20/P20)</f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>IF(P21=0,0,Q21/P21)</f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>IF(P22=0,0,Q22/P22)</f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265</v>
      </c>
      <c r="O23" s="86">
        <f>IF(P23=0,0,Q23/P23)</f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>IF(P24=0,0,Q24/P24)</f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>IF(P26=0,0,Q26/P26)</f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>IF(P27=0,0,Q27/P27)</f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>IF(P28=0,0,Q28/P28)</f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23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17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18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23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0.94444444444444442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-733.33333333333337</v>
      </c>
      <c r="P2" s="79">
        <v>15</v>
      </c>
      <c r="Q2" s="63">
        <v>-11000</v>
      </c>
    </row>
    <row r="3" spans="1:17">
      <c r="A3" s="19" t="s">
        <v>8</v>
      </c>
      <c r="B3" s="122">
        <v>105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0.72222222222222221</v>
      </c>
      <c r="I3" s="56">
        <v>10</v>
      </c>
      <c r="K3" s="5">
        <v>1</v>
      </c>
      <c r="L3" s="61">
        <v>60.4</v>
      </c>
      <c r="N3" s="76" t="s">
        <v>104</v>
      </c>
      <c r="O3" s="83">
        <f t="shared" si="0"/>
        <v>-1740</v>
      </c>
      <c r="P3" s="80">
        <v>15</v>
      </c>
      <c r="Q3" s="64">
        <v>-26100</v>
      </c>
    </row>
    <row r="4" spans="1:17">
      <c r="A4" s="19" t="s">
        <v>6</v>
      </c>
      <c r="B4" s="124">
        <v>-186.49999999999997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0.33333333333333331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-1020</v>
      </c>
      <c r="P4" s="80">
        <v>15</v>
      </c>
      <c r="Q4" s="64">
        <v>-15300</v>
      </c>
    </row>
    <row r="5" spans="1:17">
      <c r="A5" s="19" t="s">
        <v>7</v>
      </c>
      <c r="B5" s="126">
        <f>IF(B$2=0,0,B$4/B$2)</f>
        <v>-12.433333333333332</v>
      </c>
      <c r="C5" s="127"/>
      <c r="E5" s="33" t="s">
        <v>55</v>
      </c>
      <c r="F5" s="30" t="s">
        <v>155</v>
      </c>
      <c r="G5" s="13">
        <v>5</v>
      </c>
      <c r="H5" s="94">
        <f>IF(B$17=0,0,G5/B$17)</f>
        <v>0.27777777777777779</v>
      </c>
      <c r="I5" s="56">
        <v>12</v>
      </c>
      <c r="K5" s="5">
        <v>3</v>
      </c>
      <c r="L5" s="61">
        <v>69.800000000000011</v>
      </c>
      <c r="N5" s="76" t="s">
        <v>157</v>
      </c>
      <c r="O5" s="83">
        <f>IF(P5=0,0,Q5/P5)</f>
        <v>186.66666666666666</v>
      </c>
      <c r="P5" s="80">
        <v>15</v>
      </c>
      <c r="Q5" s="64">
        <v>2800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28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-3033.3333333333335</v>
      </c>
      <c r="P6" s="80">
        <v>9</v>
      </c>
      <c r="Q6" s="64">
        <v>-27300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3</v>
      </c>
      <c r="H7" s="94">
        <f>IF(B$17=0,0,G7/B$17)</f>
        <v>0.16666666666666666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0.16666666666666666</v>
      </c>
      <c r="I8" s="56">
        <v>21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0.1111111111111111</v>
      </c>
      <c r="I9" s="56">
        <v>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</v>
      </c>
      <c r="E10" s="33" t="s">
        <v>59</v>
      </c>
      <c r="F10" s="30" t="s">
        <v>23</v>
      </c>
      <c r="G10" s="13">
        <v>2</v>
      </c>
      <c r="H10" s="94">
        <f>IF(B$17=0,0,G10/B$17)</f>
        <v>0.1111111111111111</v>
      </c>
      <c r="I10" s="56">
        <v>15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0.13333333333333333</v>
      </c>
      <c r="E12" s="33" t="s">
        <v>183</v>
      </c>
      <c r="F12" s="30" t="s">
        <v>186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20</v>
      </c>
      <c r="C13" s="11">
        <f>IF(B$3=0,0,B13/B$3)</f>
        <v>0.19047619047619047</v>
      </c>
      <c r="E13" s="33" t="s">
        <v>77</v>
      </c>
      <c r="F13" s="30" t="s">
        <v>41</v>
      </c>
      <c r="G13" s="13">
        <v>1</v>
      </c>
      <c r="H13" s="94">
        <f>IF(B$17=0,0,G13/B$17)</f>
        <v>5.5555555555555552E-2</v>
      </c>
      <c r="I13" s="56">
        <v>9</v>
      </c>
      <c r="K13" s="5">
        <v>11</v>
      </c>
      <c r="L13" s="61">
        <v>-198</v>
      </c>
      <c r="N13" s="76" t="s">
        <v>127</v>
      </c>
      <c r="O13" s="86">
        <f>IF(P13=0,0,Q13/P13)</f>
        <v>-5.2666666666666657</v>
      </c>
      <c r="P13" s="80">
        <v>3</v>
      </c>
      <c r="Q13" s="68">
        <v>-15.799999999999997</v>
      </c>
    </row>
    <row r="14" spans="1:17">
      <c r="A14" s="19" t="s">
        <v>94</v>
      </c>
      <c r="B14" s="13">
        <v>19</v>
      </c>
      <c r="C14" s="6">
        <f>IF(B$3=0,0,B14/B$3)</f>
        <v>0.18095238095238095</v>
      </c>
      <c r="E14" s="33" t="s">
        <v>82</v>
      </c>
      <c r="F14" s="30" t="s">
        <v>46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-20.82</v>
      </c>
      <c r="P15" s="81">
        <v>5</v>
      </c>
      <c r="Q15" s="69">
        <v>-104.1</v>
      </c>
    </row>
    <row r="16" spans="1:17">
      <c r="A16" s="18" t="s">
        <v>100</v>
      </c>
      <c r="B16" s="12">
        <f>B22</f>
        <v>4</v>
      </c>
      <c r="C16" s="4">
        <f>IF(B$14=0,0,B16/B$14)</f>
        <v>0.21052631578947367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0.17142857142857143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9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5</v>
      </c>
      <c r="C19" s="6">
        <f>IF(B$17=0,0,B19/B$17)</f>
        <v>0.27777777777777779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13</v>
      </c>
      <c r="C20" s="6">
        <f>IF(B$17=0,0,B20/B$17)</f>
        <v>0.72222222222222221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235</v>
      </c>
      <c r="O20" s="86">
        <f t="shared" si="3"/>
        <v>45.966666666666669</v>
      </c>
      <c r="P20" s="80">
        <v>3</v>
      </c>
      <c r="Q20" s="68">
        <v>137.9</v>
      </c>
    </row>
    <row r="21" spans="1:17">
      <c r="A21" s="19" t="s">
        <v>151</v>
      </c>
      <c r="B21" s="13">
        <v>13</v>
      </c>
      <c r="C21" s="6">
        <f>IF(B$17=0,0,B21/B$17)</f>
        <v>0.72222222222222221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22.466666666666665</v>
      </c>
      <c r="P21" s="80">
        <v>3</v>
      </c>
      <c r="Q21" s="68">
        <v>67.399999999999991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255</v>
      </c>
      <c r="O22" s="86">
        <f t="shared" si="3"/>
        <v>5.8999999999999995</v>
      </c>
      <c r="P22" s="80">
        <v>2</v>
      </c>
      <c r="Q22" s="68">
        <v>11.799999999999999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238</v>
      </c>
      <c r="O23" s="86">
        <f t="shared" si="3"/>
        <v>-13.174999999999999</v>
      </c>
      <c r="P23" s="80">
        <v>4</v>
      </c>
      <c r="Q23" s="68">
        <v>-52.699999999999996</v>
      </c>
    </row>
    <row r="24" spans="1:17">
      <c r="A24" s="19" t="s">
        <v>5</v>
      </c>
      <c r="B24" s="16">
        <f>IF(B$17=0,0,C24/B$17)</f>
        <v>9027.7777777777774</v>
      </c>
      <c r="C24" s="8">
        <v>162500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 t="shared" si="3"/>
        <v>-17.033333333333335</v>
      </c>
      <c r="P24" s="80">
        <v>6</v>
      </c>
      <c r="Q24" s="68">
        <v>-102.2</v>
      </c>
    </row>
    <row r="25" spans="1:17">
      <c r="A25" s="20" t="s">
        <v>133</v>
      </c>
      <c r="B25" s="97">
        <f>IF($B$17-B$16=0,0,C25/($B$17-B$16))</f>
        <v>7328.5714285714284</v>
      </c>
      <c r="C25" s="98">
        <v>102600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227</v>
      </c>
      <c r="O25" s="86">
        <f t="shared" si="3"/>
        <v>-24.074999999999999</v>
      </c>
      <c r="P25" s="80">
        <v>8</v>
      </c>
      <c r="Q25" s="68">
        <v>-192.6</v>
      </c>
    </row>
    <row r="26" spans="1:17">
      <c r="A26" s="20" t="s">
        <v>134</v>
      </c>
      <c r="B26" s="97">
        <f>IF(B$16=0,0,C26/B$16)</f>
        <v>14975</v>
      </c>
      <c r="C26" s="98">
        <v>59900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195</v>
      </c>
      <c r="O26" s="86">
        <f t="shared" si="3"/>
        <v>-35.690000000000005</v>
      </c>
      <c r="P26" s="80">
        <v>10</v>
      </c>
      <c r="Q26" s="68">
        <v>-356.90000000000003</v>
      </c>
    </row>
    <row r="27" spans="1:17">
      <c r="A27" s="20" t="s">
        <v>132</v>
      </c>
      <c r="B27" s="97">
        <f>IF(B$18=0,0,C27/B$18)</f>
        <v>-7971.4285714285716</v>
      </c>
      <c r="C27" s="98">
        <v>-167400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-38.049999999999997</v>
      </c>
      <c r="P27" s="80">
        <v>2</v>
      </c>
      <c r="Q27" s="68">
        <v>-76.099999999999994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10</v>
      </c>
      <c r="N28" s="76" t="s">
        <v>244</v>
      </c>
      <c r="O28" s="86">
        <f t="shared" si="3"/>
        <v>-98.45</v>
      </c>
      <c r="P28" s="80">
        <v>2</v>
      </c>
      <c r="Q28" s="68">
        <v>-196.9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231</v>
      </c>
      <c r="O29" s="86">
        <f t="shared" si="3"/>
        <v>-103.69999999999999</v>
      </c>
      <c r="P29" s="80">
        <v>2</v>
      </c>
      <c r="Q29" s="68">
        <v>-207.39999999999998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9.5238095238095247E-3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5.5555555555555552E-2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31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-2888.8888888888887</v>
      </c>
      <c r="P2" s="79">
        <v>9</v>
      </c>
      <c r="Q2" s="63">
        <v>-26000</v>
      </c>
    </row>
    <row r="3" spans="1:17">
      <c r="A3" s="19" t="s">
        <v>8</v>
      </c>
      <c r="B3" s="122">
        <v>65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-3455.5555555555557</v>
      </c>
      <c r="P3" s="80">
        <v>9</v>
      </c>
      <c r="Q3" s="64">
        <v>-31100</v>
      </c>
    </row>
    <row r="4" spans="1:17">
      <c r="A4" s="19" t="s">
        <v>6</v>
      </c>
      <c r="B4" s="124">
        <v>-285.90000000000003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0.2857142857142857</v>
      </c>
      <c r="I4" s="56">
        <v>4</v>
      </c>
      <c r="K4" s="5">
        <v>2</v>
      </c>
      <c r="L4" s="61">
        <v>-70.800000000000011</v>
      </c>
      <c r="N4" s="76" t="s">
        <v>105</v>
      </c>
      <c r="O4" s="83">
        <f t="shared" si="0"/>
        <v>-4088.8888888888887</v>
      </c>
      <c r="P4" s="80">
        <v>9</v>
      </c>
      <c r="Q4" s="64">
        <v>-36800</v>
      </c>
    </row>
    <row r="5" spans="1:17">
      <c r="A5" s="19" t="s">
        <v>7</v>
      </c>
      <c r="B5" s="126">
        <f>IF(B$2=0,0,B$4/B$2)</f>
        <v>-31.766666666666669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15</v>
      </c>
      <c r="K5" s="5">
        <v>3</v>
      </c>
      <c r="L5" s="61">
        <v>-67.200000000000017</v>
      </c>
      <c r="N5" s="76" t="s">
        <v>157</v>
      </c>
      <c r="O5" s="83">
        <f>IF(P5=0,0,Q5/P5)</f>
        <v>-1700</v>
      </c>
      <c r="P5" s="80">
        <v>9</v>
      </c>
      <c r="Q5" s="64">
        <v>-15300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27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185.71428571428572</v>
      </c>
      <c r="P6" s="80">
        <v>7</v>
      </c>
      <c r="Q6" s="64">
        <v>1300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55</v>
      </c>
      <c r="F7" s="30" t="s">
        <v>155</v>
      </c>
      <c r="G7" s="13">
        <v>1</v>
      </c>
      <c r="H7" s="94">
        <f>IF(B$17=0,0,G7/B$17)</f>
        <v>0.14285714285714285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3000</v>
      </c>
      <c r="P7" s="80">
        <v>3</v>
      </c>
      <c r="Q7" s="64">
        <v>9000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57</v>
      </c>
      <c r="F8" s="30" t="s">
        <v>21</v>
      </c>
      <c r="G8" s="13">
        <v>1</v>
      </c>
      <c r="H8" s="94">
        <f>IF(B$17=0,0,G8/B$17)</f>
        <v>0.14285714285714285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61</v>
      </c>
      <c r="F9" s="30" t="s">
        <v>25</v>
      </c>
      <c r="G9" s="13">
        <v>1</v>
      </c>
      <c r="H9" s="94">
        <f>IF(B$17=0,0,G9/B$17)</f>
        <v>0.14285714285714285</v>
      </c>
      <c r="I9" s="56">
        <v>1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6</v>
      </c>
      <c r="C10" s="7">
        <f>IF(B$2=0,0,B10/B$2)</f>
        <v>0.66666666666666663</v>
      </c>
      <c r="E10" s="33" t="s">
        <v>66</v>
      </c>
      <c r="F10" s="30" t="s">
        <v>30</v>
      </c>
      <c r="G10" s="13">
        <v>1</v>
      </c>
      <c r="H10" s="94">
        <f>IF(B$17=0,0,G10/B$17)</f>
        <v>0.14285714285714285</v>
      </c>
      <c r="I10" s="56">
        <v>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71</v>
      </c>
      <c r="F11" s="30" t="s">
        <v>35</v>
      </c>
      <c r="G11" s="13">
        <v>1</v>
      </c>
      <c r="H11" s="94">
        <f>IF(B$17=0,0,G11/B$17)</f>
        <v>0.14285714285714285</v>
      </c>
      <c r="I11" s="56">
        <v>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184</v>
      </c>
      <c r="F12" s="30" t="s">
        <v>187</v>
      </c>
      <c r="G12" s="13">
        <v>1</v>
      </c>
      <c r="H12" s="94">
        <f>IF(B$17=0,0,G12/B$17)</f>
        <v>0.14285714285714285</v>
      </c>
      <c r="I12" s="56">
        <v>30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7</v>
      </c>
      <c r="C13" s="11">
        <f>IF(B$3=0,0,B13/B$3)</f>
        <v>0.1076923076923077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20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17</v>
      </c>
      <c r="C14" s="6">
        <f>IF(B$3=0,0,B14/B$3)</f>
        <v>0.26153846153846155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21</v>
      </c>
      <c r="N14" s="76" t="s">
        <v>128</v>
      </c>
      <c r="O14" s="86">
        <f>IF(P14=0,0,Q14/P14)</f>
        <v>-30.1</v>
      </c>
      <c r="P14" s="80">
        <v>4</v>
      </c>
      <c r="Q14" s="68">
        <v>-120.4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0.17647058823529413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0.1076923076923077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0.2153846153846154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 t="shared" ref="O18:O28" si="3"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 t="shared" si="3"/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 t="shared" si="3"/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 t="shared" si="3"/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 t="shared" si="3"/>
        <v>-34.5</v>
      </c>
      <c r="P22" s="80">
        <v>1</v>
      </c>
      <c r="Q22" s="68">
        <v>-34.5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-35.400000000000006</v>
      </c>
      <c r="P23" s="80">
        <v>2</v>
      </c>
      <c r="Q23" s="68">
        <v>-70.800000000000011</v>
      </c>
    </row>
    <row r="24" spans="1:17">
      <c r="A24" s="19" t="s">
        <v>5</v>
      </c>
      <c r="B24" s="16">
        <f>IF(B$17=0,0,C24/B$17)</f>
        <v>5400</v>
      </c>
      <c r="C24" s="8">
        <v>37800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-45.966666666666661</v>
      </c>
      <c r="P24" s="80">
        <v>3</v>
      </c>
      <c r="Q24" s="68">
        <v>-137.89999999999998</v>
      </c>
    </row>
    <row r="25" spans="1:17">
      <c r="A25" s="20" t="s">
        <v>133</v>
      </c>
      <c r="B25" s="97">
        <f>IF($B$17-B$16=0,0,C25/($B$17-B$16))</f>
        <v>7275</v>
      </c>
      <c r="C25" s="98">
        <v>29100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 t="shared" si="3"/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262</v>
      </c>
      <c r="O26" s="86">
        <f t="shared" si="3"/>
        <v>-64.5</v>
      </c>
      <c r="P26" s="80">
        <v>1</v>
      </c>
      <c r="Q26" s="68">
        <v>-64.5</v>
      </c>
    </row>
    <row r="27" spans="1:17">
      <c r="A27" s="20" t="s">
        <v>132</v>
      </c>
      <c r="B27" s="97">
        <f>IF(B$18=0,0,C27/B$18)</f>
        <v>-6892.8571428571431</v>
      </c>
      <c r="C27" s="98">
        <v>-96500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 t="shared" si="3"/>
        <v>-102.8</v>
      </c>
      <c r="P27" s="80">
        <v>3</v>
      </c>
      <c r="Q27" s="68">
        <v>-308.39999999999998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 t="shared" si="3"/>
        <v>-127</v>
      </c>
      <c r="P28" s="80">
        <v>1</v>
      </c>
      <c r="Q28" s="68">
        <v>-127</v>
      </c>
    </row>
    <row r="29" spans="1:17">
      <c r="A29" s="19" t="s">
        <v>131</v>
      </c>
      <c r="B29" s="13">
        <v>12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1.5384615384615385E-2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3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19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32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18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27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5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 t="shared" si="3"/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 t="shared" si="3"/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28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11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22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13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11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2675</v>
      </c>
      <c r="P2" s="79">
        <v>4</v>
      </c>
      <c r="Q2" s="63">
        <v>10700</v>
      </c>
    </row>
    <row r="3" spans="1:17">
      <c r="A3" s="19" t="s">
        <v>8</v>
      </c>
      <c r="B3" s="122">
        <v>26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0.5</v>
      </c>
      <c r="I3" s="56">
        <v>13</v>
      </c>
      <c r="K3" s="5">
        <v>1</v>
      </c>
      <c r="L3" s="61">
        <v>4.5</v>
      </c>
      <c r="N3" s="76" t="s">
        <v>104</v>
      </c>
      <c r="O3" s="83">
        <f t="shared" si="0"/>
        <v>-2475</v>
      </c>
      <c r="P3" s="80">
        <v>4</v>
      </c>
      <c r="Q3" s="64">
        <v>-9900</v>
      </c>
    </row>
    <row r="4" spans="1:17">
      <c r="A4" s="19" t="s">
        <v>6</v>
      </c>
      <c r="B4" s="124">
        <v>-14.099999999999994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0.16666666666666666</v>
      </c>
      <c r="I4" s="56">
        <v>10</v>
      </c>
      <c r="K4" s="5">
        <v>2</v>
      </c>
      <c r="L4" s="61">
        <v>-19.600000000000001</v>
      </c>
      <c r="N4" s="76" t="s">
        <v>105</v>
      </c>
      <c r="O4" s="83">
        <f t="shared" si="0"/>
        <v>-1525</v>
      </c>
      <c r="P4" s="80">
        <v>4</v>
      </c>
      <c r="Q4" s="64">
        <v>-6100</v>
      </c>
    </row>
    <row r="5" spans="1:17">
      <c r="A5" s="19" t="s">
        <v>7</v>
      </c>
      <c r="B5" s="126">
        <f>IF(B$2=0,0,B$4/B$2)</f>
        <v>-3.5249999999999986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0.16666666666666666</v>
      </c>
      <c r="I5" s="56">
        <v>20</v>
      </c>
      <c r="K5" s="5">
        <v>3</v>
      </c>
      <c r="L5" s="61">
        <v>-71.599999999999994</v>
      </c>
      <c r="N5" s="76" t="s">
        <v>157</v>
      </c>
      <c r="O5" s="83">
        <f>IF(P5=0,0,Q5/P5)</f>
        <v>-2325</v>
      </c>
      <c r="P5" s="80">
        <v>4</v>
      </c>
      <c r="Q5" s="64">
        <v>-9300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250</v>
      </c>
      <c r="P6" s="80">
        <v>2</v>
      </c>
      <c r="Q6" s="64">
        <v>500</v>
      </c>
    </row>
    <row r="7" spans="1:17">
      <c r="A7" s="19" t="s">
        <v>2</v>
      </c>
      <c r="B7" s="13">
        <v>1</v>
      </c>
      <c r="C7" s="6">
        <f t="shared" ref="C7:C12" si="2">IF(B$2=0,0,B7/B$2)</f>
        <v>0.25</v>
      </c>
      <c r="E7" s="33" t="s">
        <v>58</v>
      </c>
      <c r="F7" s="30" t="s">
        <v>22</v>
      </c>
      <c r="G7" s="13">
        <v>1</v>
      </c>
      <c r="H7" s="94">
        <f>IF(B$17=0,0,G7/B$17)</f>
        <v>0.16666666666666666</v>
      </c>
      <c r="I7" s="56">
        <v>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71</v>
      </c>
      <c r="F8" s="30" t="s">
        <v>35</v>
      </c>
      <c r="G8" s="13">
        <v>1</v>
      </c>
      <c r="H8" s="94">
        <f>IF(B$17=0,0,G8/B$17)</f>
        <v>0.16666666666666666</v>
      </c>
      <c r="I8" s="56">
        <v>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74</v>
      </c>
      <c r="F9" s="30" t="s">
        <v>38</v>
      </c>
      <c r="G9" s="13">
        <v>1</v>
      </c>
      <c r="H9" s="94">
        <f>IF(B$17=0,0,G9/B$17)</f>
        <v>0.16666666666666666</v>
      </c>
      <c r="I9" s="56">
        <v>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56</v>
      </c>
      <c r="F11" s="30" t="s">
        <v>185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12</v>
      </c>
      <c r="C13" s="11">
        <f>IF(B$3=0,0,B13/B$3)</f>
        <v>0.46153846153846156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1</v>
      </c>
      <c r="C14" s="6">
        <f>IF(B$3=0,0,B14/B$3)</f>
        <v>3.8461538461538464E-2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-24.1</v>
      </c>
      <c r="P14" s="80">
        <v>1</v>
      </c>
      <c r="Q14" s="68">
        <v>-24.1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0.15384615384615385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3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244</v>
      </c>
      <c r="O19" s="86">
        <f t="shared" si="3"/>
        <v>23.699999999999996</v>
      </c>
      <c r="P19" s="80">
        <v>1</v>
      </c>
      <c r="Q19" s="68">
        <v>23.699999999999996</v>
      </c>
    </row>
    <row r="20" spans="1:17">
      <c r="A20" s="19" t="s">
        <v>11</v>
      </c>
      <c r="B20" s="13">
        <v>6</v>
      </c>
      <c r="C20" s="6">
        <f>IF(B$17=0,0,B20/B$17)</f>
        <v>1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 t="shared" si="3"/>
        <v>23.5</v>
      </c>
      <c r="P20" s="80">
        <v>3</v>
      </c>
      <c r="Q20" s="68">
        <v>70.5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255</v>
      </c>
      <c r="O21" s="86">
        <f t="shared" si="3"/>
        <v>-18.700000000000003</v>
      </c>
      <c r="P21" s="80">
        <v>3</v>
      </c>
      <c r="Q21" s="68">
        <v>-56.100000000000009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 t="shared" si="3"/>
        <v>-22.466666666666665</v>
      </c>
      <c r="P22" s="80">
        <v>3</v>
      </c>
      <c r="Q22" s="68">
        <v>-67.399999999999991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169</v>
      </c>
      <c r="O23" s="86">
        <f t="shared" si="3"/>
        <v>-36.6</v>
      </c>
      <c r="P23" s="80">
        <v>1</v>
      </c>
      <c r="Q23" s="68">
        <v>-36.6</v>
      </c>
    </row>
    <row r="24" spans="1:17">
      <c r="A24" s="19" t="s">
        <v>5</v>
      </c>
      <c r="B24" s="16">
        <f>IF(B$17=0,0,C24/B$17)</f>
        <v>4683.333333333333</v>
      </c>
      <c r="C24" s="8">
        <v>28100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4840</v>
      </c>
      <c r="C25" s="98">
        <v>24200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-4325</v>
      </c>
      <c r="C27" s="98">
        <v>-17300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3.8461538461538464E-2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-333.33333333333331</v>
      </c>
      <c r="P2" s="79">
        <v>3</v>
      </c>
      <c r="Q2" s="63">
        <v>-1000</v>
      </c>
    </row>
    <row r="3" spans="1:17">
      <c r="A3" s="19" t="s">
        <v>8</v>
      </c>
      <c r="B3" s="122">
        <v>19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0.6</v>
      </c>
      <c r="I3" s="56">
        <v>7</v>
      </c>
      <c r="K3" s="5">
        <v>1</v>
      </c>
      <c r="L3" s="61">
        <v>-45.8</v>
      </c>
      <c r="N3" s="76" t="s">
        <v>104</v>
      </c>
      <c r="O3" s="83">
        <f t="shared" si="0"/>
        <v>0</v>
      </c>
      <c r="P3" s="80">
        <v>3</v>
      </c>
      <c r="Q3" s="64">
        <v>0</v>
      </c>
    </row>
    <row r="4" spans="1:17">
      <c r="A4" s="19" t="s">
        <v>6</v>
      </c>
      <c r="B4" s="124">
        <v>27.400000000000002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0.4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3700</v>
      </c>
      <c r="P4" s="80">
        <v>3</v>
      </c>
      <c r="Q4" s="64">
        <v>11100</v>
      </c>
    </row>
    <row r="5" spans="1:17">
      <c r="A5" s="19" t="s">
        <v>7</v>
      </c>
      <c r="B5" s="126">
        <f>IF(B$2=0,0,B$4/B$2)</f>
        <v>9.1333333333333346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0.4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-2133.3333333333335</v>
      </c>
      <c r="P5" s="80">
        <v>3</v>
      </c>
      <c r="Q5" s="64">
        <v>-6400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25</v>
      </c>
      <c r="N6" s="76" t="s">
        <v>106</v>
      </c>
      <c r="O6" s="83">
        <f t="shared" ref="O6" si="1">IF(P6=0,0,Q6/P6)</f>
        <v>-1433.3333333333333</v>
      </c>
      <c r="P6" s="80">
        <v>3</v>
      </c>
      <c r="Q6" s="64">
        <v>-4300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23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12.350000000000001</v>
      </c>
      <c r="P12" s="79">
        <v>2</v>
      </c>
      <c r="Q12" s="67">
        <v>24.700000000000003</v>
      </c>
    </row>
    <row r="13" spans="1:17">
      <c r="A13" s="22" t="s">
        <v>97</v>
      </c>
      <c r="B13" s="15">
        <v>2</v>
      </c>
      <c r="C13" s="11">
        <f>IF(B$3=0,0,B13/B$3)</f>
        <v>0.10526315789473684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0.26315789473684209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5.2631578947368418E-2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>IF(P19=0,0,Q19/P19)</f>
        <v>50.1</v>
      </c>
      <c r="P19" s="80">
        <v>1</v>
      </c>
      <c r="Q19" s="68">
        <v>50.1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>IF(P20=0,0,Q20/P20)</f>
        <v>20.099999999999998</v>
      </c>
      <c r="P20" s="80">
        <v>1</v>
      </c>
      <c r="Q20" s="68">
        <v>20.099999999999998</v>
      </c>
    </row>
    <row r="21" spans="1:17">
      <c r="A21" s="19" t="s">
        <v>151</v>
      </c>
      <c r="B21" s="13">
        <v>2</v>
      </c>
      <c r="C21" s="6">
        <f>IF(B$17=0,0,B21/B$17)</f>
        <v>0.4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262</v>
      </c>
      <c r="O21" s="86">
        <f>IF(P21=0,0,Q21/P21)</f>
        <v>18.400000000000002</v>
      </c>
      <c r="P21" s="80">
        <v>2</v>
      </c>
      <c r="Q21" s="68">
        <v>36.800000000000004</v>
      </c>
    </row>
    <row r="22" spans="1:17">
      <c r="A22" s="19" t="s">
        <v>149</v>
      </c>
      <c r="B22" s="13">
        <v>3</v>
      </c>
      <c r="C22" s="6">
        <f>IF(B$17=0,0,B22/B$17)</f>
        <v>0.6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18.200000000000003</v>
      </c>
      <c r="P22" s="80">
        <v>2</v>
      </c>
      <c r="Q22" s="68">
        <v>36.400000000000006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268</v>
      </c>
      <c r="O23" s="86">
        <f>IF(P23=0,0,Q23/P23)</f>
        <v>-49.4</v>
      </c>
      <c r="P23" s="80">
        <v>1</v>
      </c>
      <c r="Q23" s="68">
        <v>-49.4</v>
      </c>
    </row>
    <row r="24" spans="1:17">
      <c r="A24" s="19" t="s">
        <v>5</v>
      </c>
      <c r="B24" s="16">
        <f>IF(B$17=0,0,C24/B$17)</f>
        <v>5280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264</v>
      </c>
      <c r="O24" s="86">
        <f>IF(P24=0,0,Q24/P24)</f>
        <v>-101.4</v>
      </c>
      <c r="P24" s="80">
        <v>1</v>
      </c>
      <c r="Q24" s="68">
        <v>-101.4</v>
      </c>
    </row>
    <row r="25" spans="1:17">
      <c r="A25" s="20" t="s">
        <v>133</v>
      </c>
      <c r="B25" s="97">
        <f>IF($B$17-B$16=0,0,C25/($B$17-B$16))</f>
        <v>10000</v>
      </c>
      <c r="C25" s="98">
        <v>20000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2133.3333333333335</v>
      </c>
      <c r="C26" s="98">
        <v>6400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350</v>
      </c>
      <c r="P2" s="79">
        <v>2</v>
      </c>
      <c r="Q2" s="63">
        <v>700</v>
      </c>
    </row>
    <row r="3" spans="1:17">
      <c r="A3" s="19" t="s">
        <v>8</v>
      </c>
      <c r="B3" s="122">
        <v>14</v>
      </c>
      <c r="C3" s="123"/>
      <c r="E3" s="33" t="s">
        <v>55</v>
      </c>
      <c r="F3" s="30" t="s">
        <v>155</v>
      </c>
      <c r="G3" s="13">
        <v>1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1500</v>
      </c>
      <c r="P3" s="80">
        <v>2</v>
      </c>
      <c r="Q3" s="64">
        <v>3000</v>
      </c>
    </row>
    <row r="4" spans="1:17">
      <c r="A4" s="19" t="s">
        <v>6</v>
      </c>
      <c r="B4" s="124">
        <v>-12.100000000000001</v>
      </c>
      <c r="C4" s="125"/>
      <c r="E4" s="33" t="s">
        <v>57</v>
      </c>
      <c r="F4" s="30" t="s">
        <v>21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-12.100000000000001</v>
      </c>
      <c r="N4" s="76" t="s">
        <v>105</v>
      </c>
      <c r="O4" s="83">
        <f t="shared" si="0"/>
        <v>750</v>
      </c>
      <c r="P4" s="80">
        <v>2</v>
      </c>
      <c r="Q4" s="64">
        <v>1500</v>
      </c>
    </row>
    <row r="5" spans="1:17">
      <c r="A5" s="19" t="s">
        <v>7</v>
      </c>
      <c r="B5" s="126">
        <f>IF(B$2=0,0,B$4/B$2)</f>
        <v>-6.0500000000000007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-6600</v>
      </c>
      <c r="P5" s="80">
        <v>2</v>
      </c>
      <c r="Q5" s="64">
        <v>-13200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71</v>
      </c>
      <c r="F6" s="30" t="s">
        <v>35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3950</v>
      </c>
      <c r="P6" s="80">
        <v>2</v>
      </c>
      <c r="Q6" s="64">
        <v>7900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23</v>
      </c>
      <c r="N7" s="76" t="s">
        <v>107</v>
      </c>
      <c r="O7" s="83">
        <f t="shared" si="0"/>
        <v>-3000</v>
      </c>
      <c r="P7" s="80">
        <v>1</v>
      </c>
      <c r="Q7" s="64">
        <v>-3000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56</v>
      </c>
      <c r="F9" s="30" t="s">
        <v>185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-20.100000000000001</v>
      </c>
      <c r="P13" s="80">
        <v>1</v>
      </c>
      <c r="Q13" s="68">
        <v>-20.100000000000001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>IF(P19=0,0,Q19/P19)</f>
        <v>-0.20000000000000107</v>
      </c>
      <c r="P19" s="80">
        <v>2</v>
      </c>
      <c r="Q19" s="68">
        <v>-0.40000000000000213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>IF(P20=0,0,Q20/P20)</f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264</v>
      </c>
      <c r="O21" s="86">
        <f>IF(P21=0,0,Q21/P21)</f>
        <v>-75.7</v>
      </c>
      <c r="P21" s="80">
        <v>1</v>
      </c>
      <c r="Q21" s="68">
        <v>-75.7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4550</v>
      </c>
      <c r="C24" s="8">
        <v>9100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-2233.3333333333335</v>
      </c>
      <c r="C27" s="98">
        <v>-6700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14</v>
      </c>
    </row>
    <row r="29" spans="1:17">
      <c r="A29" s="19" t="s">
        <v>131</v>
      </c>
      <c r="B29" s="13">
        <v>4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150</v>
      </c>
      <c r="P2" s="79">
        <v>2</v>
      </c>
      <c r="Q2" s="63">
        <v>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10.3</v>
      </c>
      <c r="N3" s="76" t="s">
        <v>104</v>
      </c>
      <c r="O3" s="83">
        <f t="shared" si="0"/>
        <v>-1000</v>
      </c>
      <c r="P3" s="80">
        <v>2</v>
      </c>
      <c r="Q3" s="64">
        <v>-2000</v>
      </c>
    </row>
    <row r="4" spans="1:17">
      <c r="A4" s="19" t="s">
        <v>6</v>
      </c>
      <c r="B4" s="124">
        <v>-11.7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-11.7</v>
      </c>
      <c r="N4" s="76" t="s">
        <v>105</v>
      </c>
      <c r="O4" s="83">
        <f t="shared" si="0"/>
        <v>-750</v>
      </c>
      <c r="P4" s="80">
        <v>2</v>
      </c>
      <c r="Q4" s="64">
        <v>-1500</v>
      </c>
    </row>
    <row r="5" spans="1:17">
      <c r="A5" s="19" t="s">
        <v>7</v>
      </c>
      <c r="B5" s="126">
        <f>IF(B$2=0,0,B$4/B$2)</f>
        <v>-5.85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3250</v>
      </c>
      <c r="P5" s="80">
        <v>2</v>
      </c>
      <c r="Q5" s="64">
        <v>6500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-6000</v>
      </c>
      <c r="P7" s="80">
        <v>1</v>
      </c>
      <c r="Q7" s="64">
        <v>-6000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55</v>
      </c>
      <c r="F8" s="30" t="s">
        <v>155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7.1428571428571425E-2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34.5</v>
      </c>
      <c r="P18" s="79">
        <v>1</v>
      </c>
      <c r="Q18" s="67">
        <v>34.5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262</v>
      </c>
      <c r="O19" s="86">
        <f>IF(P19=0,0,Q19/P19)</f>
        <v>0.20000000000000107</v>
      </c>
      <c r="P19" s="80">
        <v>2</v>
      </c>
      <c r="Q19" s="68">
        <v>0.40000000000000213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>IF(P20=0,0,Q20/P20)</f>
        <v>-18.200000000000003</v>
      </c>
      <c r="P20" s="80">
        <v>2</v>
      </c>
      <c r="Q20" s="68">
        <v>-36.400000000000006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264</v>
      </c>
      <c r="O21" s="86">
        <f>IF(P21=0,0,Q21/P21)</f>
        <v>-45.3</v>
      </c>
      <c r="P21" s="80">
        <v>1</v>
      </c>
      <c r="Q21" s="68">
        <v>-45.3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6650</v>
      </c>
      <c r="C24" s="8">
        <v>13300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6650</v>
      </c>
      <c r="C25" s="98">
        <v>13300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30300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0.5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56</v>
      </c>
      <c r="F2" s="29" t="s">
        <v>185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7</v>
      </c>
      <c r="C3" s="123"/>
      <c r="E3" s="33" t="s">
        <v>60</v>
      </c>
      <c r="F3" s="30" t="s">
        <v>24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55.6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-1500</v>
      </c>
      <c r="P4" s="80">
        <v>1</v>
      </c>
      <c r="Q4" s="64">
        <v>-1500</v>
      </c>
    </row>
    <row r="5" spans="1:17">
      <c r="A5" s="19" t="s">
        <v>7</v>
      </c>
      <c r="B5" s="126">
        <f>IF(B$2=0,0,B$4/B$2)</f>
        <v>55.6</v>
      </c>
      <c r="C5" s="127"/>
      <c r="E5" s="33" t="s">
        <v>77</v>
      </c>
      <c r="F5" s="30" t="s">
        <v>41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12100</v>
      </c>
      <c r="P5" s="80">
        <v>1</v>
      </c>
      <c r="Q5" s="64">
        <v>12100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181</v>
      </c>
      <c r="F6" s="30" t="s">
        <v>156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265</v>
      </c>
      <c r="O18" s="85">
        <f>IF(P18=0,0,Q18/P18)</f>
        <v>101.4</v>
      </c>
      <c r="P18" s="79">
        <v>1</v>
      </c>
      <c r="Q18" s="67">
        <v>101.4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262</v>
      </c>
      <c r="O19" s="86">
        <f>IF(P19=0,0,Q19/P19)</f>
        <v>75.7</v>
      </c>
      <c r="P19" s="80">
        <v>1</v>
      </c>
      <c r="Q19" s="68">
        <v>75.7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18000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-47.4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-47.4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-16000</v>
      </c>
      <c r="P4" s="80">
        <v>1</v>
      </c>
      <c r="Q4" s="64">
        <v>-16000</v>
      </c>
    </row>
    <row r="5" spans="1:17">
      <c r="A5" s="19" t="s">
        <v>7</v>
      </c>
      <c r="B5" s="126">
        <f>IF(B$2=0,0,B$4/B$2)</f>
        <v>-47.4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1</v>
      </c>
      <c r="I5" s="56">
        <v>2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23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213</v>
      </c>
      <c r="O18" s="85">
        <f>IF(P18=0,0,Q18/P18)</f>
        <v>-30</v>
      </c>
      <c r="P18" s="79">
        <v>1</v>
      </c>
      <c r="Q18" s="67">
        <v>-30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265</v>
      </c>
      <c r="O19" s="86">
        <f>IF(P19=0,0,Q19/P19)</f>
        <v>-50.1</v>
      </c>
      <c r="P19" s="80">
        <v>1</v>
      </c>
      <c r="Q19" s="68">
        <v>-50.1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268</v>
      </c>
      <c r="O20" s="86">
        <f>IF(P20=0,0,Q20/P20)</f>
        <v>-99.5</v>
      </c>
      <c r="P20" s="80">
        <v>1</v>
      </c>
      <c r="Q20" s="68">
        <v>-99.5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-9950</v>
      </c>
      <c r="C27" s="98">
        <v>-19900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12600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45</vt:i4>
      </vt:variant>
      <vt:variant>
        <vt:lpstr>名前付き一覧</vt:lpstr>
      </vt:variant>
      <vt:variant>
        <vt:i4>2394</vt:i4>
      </vt:variant>
    </vt:vector>
  </HeadingPairs>
  <TitlesOfParts>
    <vt:vector size="243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小林郁斗!アガリ数</vt:lpstr>
      <vt:lpstr>松澤亮太!アガリ数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小林郁斗!アガリ率</vt:lpstr>
      <vt:lpstr>松澤亮太!アガリ率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小林郁斗!チョンボ数</vt:lpstr>
      <vt:lpstr>松澤亮太!チョンボ数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小林郁斗!チョンボ率</vt:lpstr>
      <vt:lpstr>松澤亮太!チョンボ率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小林郁斗!ツモ数</vt:lpstr>
      <vt:lpstr>松澤亮太!ツモ数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小林郁斗!ツモ率</vt:lpstr>
      <vt:lpstr>松澤亮太!ツモ率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小林郁斗!トップ数</vt:lpstr>
      <vt:lpstr>松澤亮太!トップ数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小林郁斗!トップ率</vt:lpstr>
      <vt:lpstr>松澤亮太!トップ率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小林郁斗!ふっとび数</vt:lpstr>
      <vt:lpstr>松澤亮太!ふっとび数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小林郁斗!ふっとび率</vt:lpstr>
      <vt:lpstr>松澤亮太!ふっとび率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小林郁斗!ラス数</vt:lpstr>
      <vt:lpstr>松澤亮太!ラス数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小林郁斗!ラス率</vt:lpstr>
      <vt:lpstr>松澤亮太!ラス率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小林郁斗!リーチ数</vt:lpstr>
      <vt:lpstr>松澤亮太!リーチ数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小林郁斗!リーチ率</vt:lpstr>
      <vt:lpstr>松澤亮太!リーチ率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小林郁斗!ロン数</vt:lpstr>
      <vt:lpstr>松澤亮太!ロン数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小林郁斗!ロン率</vt:lpstr>
      <vt:lpstr>松澤亮太!ロン率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小林郁斗!最高点</vt:lpstr>
      <vt:lpstr>松澤亮太!最高点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小林郁斗!最大ドラ数</vt:lpstr>
      <vt:lpstr>松澤亮太!最大ドラ数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小林郁斗!最大点数</vt:lpstr>
      <vt:lpstr>松澤亮太!最大点数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小林郁斗!三位数</vt:lpstr>
      <vt:lpstr>松澤亮太!三位数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小林郁斗!三位率</vt:lpstr>
      <vt:lpstr>松澤亮太!三位率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小林郁斗!総局数</vt:lpstr>
      <vt:lpstr>松澤亮太!総局数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小林郁斗!対戦数</vt:lpstr>
      <vt:lpstr>松澤亮太!対戦数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小林郁斗!通算スコア</vt:lpstr>
      <vt:lpstr>松澤亮太!通算スコア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小林郁斗!通算放銃点</vt:lpstr>
      <vt:lpstr>松澤亮太!通算放銃点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小林郁斗!二位数</vt:lpstr>
      <vt:lpstr>松澤亮太!二位数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小林郁斗!二位率</vt:lpstr>
      <vt:lpstr>松澤亮太!二位率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小林郁斗!副露数</vt:lpstr>
      <vt:lpstr>松澤亮太!副露数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小林郁斗!副露成功数</vt:lpstr>
      <vt:lpstr>松澤亮太!副露成功数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小林郁斗!副露成功率</vt:lpstr>
      <vt:lpstr>松澤亮太!副露成功率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小林郁斗!副露率</vt:lpstr>
      <vt:lpstr>松澤亮太!副露率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小林郁斗!平均スコア</vt:lpstr>
      <vt:lpstr>松澤亮太!平均スコア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小林郁斗!平均順位</vt:lpstr>
      <vt:lpstr>松澤亮太!平均順位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小林郁斗!平均放銃点</vt:lpstr>
      <vt:lpstr>松澤亮太!平均放銃点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小林郁斗!放銃数</vt:lpstr>
      <vt:lpstr>松澤亮太!放銃数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小林郁斗!放銃率</vt:lpstr>
      <vt:lpstr>松澤亮太!放銃率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小林郁斗!名前</vt:lpstr>
      <vt:lpstr>松澤亮太!名前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小林郁斗!連続アガリ</vt:lpstr>
      <vt:lpstr>松澤亮太!連続アガリ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小林郁斗!連続無放銃</vt:lpstr>
      <vt:lpstr>松澤亮太!連続無放銃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小林郁斗!連対数</vt:lpstr>
      <vt:lpstr>松澤亮太!連対数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小林郁斗!連対率</vt:lpstr>
      <vt:lpstr>松澤亮太!連対率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2023-05-11T09:17:03Z</dcterms:modified>
</cp:coreProperties>
</file>