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24EA29B4-DE7B-4C3A-B0EE-4308C96E8C62}" xr6:coauthVersionLast="47" xr6:coauthVersionMax="47" xr10:uidLastSave="{00000000-0000-0000-0000-000000000000}"/>
  <bookViews>
    <workbookView xWindow="-108" yWindow="-108" windowWidth="23256" windowHeight="14616" activeTab="1" xr2:uid="{4CDB34E1-560F-4998-ABAB-D6F7F2862621}"/>
  </bookViews>
  <sheets>
    <sheet name="Sheet1" sheetId="27" r:id="rId1"/>
    <sheet name="Sheet2" sheetId="30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30" l="1"/>
  <c r="E14" i="30"/>
  <c r="E13" i="30"/>
  <c r="E12" i="30"/>
  <c r="E11" i="30"/>
  <c r="E10" i="30"/>
  <c r="E9" i="30"/>
  <c r="E8" i="30"/>
  <c r="E7" i="30"/>
  <c r="E6" i="30"/>
  <c r="E5" i="30"/>
  <c r="Y30" i="30"/>
  <c r="AC30" i="30" s="1"/>
  <c r="T30" i="30"/>
  <c r="AB30" i="30" s="1"/>
  <c r="O30" i="30"/>
  <c r="AA30" i="30" s="1"/>
  <c r="J30" i="30"/>
  <c r="Z30" i="30" s="1"/>
  <c r="D30" i="30"/>
  <c r="C30" i="30"/>
  <c r="B30" i="30"/>
  <c r="A30" i="30"/>
  <c r="Y29" i="30"/>
  <c r="AC29" i="30" s="1"/>
  <c r="T29" i="30"/>
  <c r="AB29" i="30" s="1"/>
  <c r="O29" i="30"/>
  <c r="AA29" i="30" s="1"/>
  <c r="J29" i="30"/>
  <c r="Z29" i="30" s="1"/>
  <c r="D29" i="30"/>
  <c r="C29" i="30"/>
  <c r="B29" i="30"/>
  <c r="A29" i="30"/>
  <c r="Y28" i="30"/>
  <c r="AC28" i="30" s="1"/>
  <c r="T28" i="30"/>
  <c r="AB28" i="30" s="1"/>
  <c r="O28" i="30"/>
  <c r="AA28" i="30" s="1"/>
  <c r="J28" i="30"/>
  <c r="Z28" i="30" s="1"/>
  <c r="D28" i="30"/>
  <c r="C28" i="30"/>
  <c r="B28" i="30"/>
  <c r="A28" i="30"/>
  <c r="Y27" i="30"/>
  <c r="AC27" i="30" s="1"/>
  <c r="T27" i="30"/>
  <c r="AB27" i="30" s="1"/>
  <c r="O27" i="30"/>
  <c r="AA27" i="30" s="1"/>
  <c r="J27" i="30"/>
  <c r="Z27" i="30" s="1"/>
  <c r="D27" i="30"/>
  <c r="C27" i="30"/>
  <c r="B27" i="30"/>
  <c r="A27" i="30"/>
  <c r="Y26" i="30"/>
  <c r="AC26" i="30" s="1"/>
  <c r="T26" i="30"/>
  <c r="AB26" i="30" s="1"/>
  <c r="O26" i="30"/>
  <c r="AA26" i="30" s="1"/>
  <c r="J26" i="30"/>
  <c r="Z26" i="30" s="1"/>
  <c r="D26" i="30"/>
  <c r="C26" i="30"/>
  <c r="B26" i="30"/>
  <c r="A26" i="30"/>
  <c r="Y25" i="30"/>
  <c r="AC25" i="30" s="1"/>
  <c r="T25" i="30"/>
  <c r="AB25" i="30" s="1"/>
  <c r="O25" i="30"/>
  <c r="AA25" i="30" s="1"/>
  <c r="J25" i="30"/>
  <c r="Z25" i="30" s="1"/>
  <c r="D25" i="30"/>
  <c r="C25" i="30"/>
  <c r="B25" i="30"/>
  <c r="A25" i="30"/>
  <c r="Y24" i="30"/>
  <c r="AC24" i="30" s="1"/>
  <c r="T24" i="30"/>
  <c r="AB24" i="30" s="1"/>
  <c r="O24" i="30"/>
  <c r="AA24" i="30" s="1"/>
  <c r="J24" i="30"/>
  <c r="Z24" i="30" s="1"/>
  <c r="D24" i="30"/>
  <c r="C24" i="30"/>
  <c r="B24" i="30"/>
  <c r="A24" i="30"/>
  <c r="Y23" i="30"/>
  <c r="AC23" i="30" s="1"/>
  <c r="T23" i="30"/>
  <c r="AB23" i="30" s="1"/>
  <c r="O23" i="30"/>
  <c r="AA23" i="30" s="1"/>
  <c r="J23" i="30"/>
  <c r="Z23" i="30" s="1"/>
  <c r="D23" i="30"/>
  <c r="C23" i="30"/>
  <c r="B23" i="30"/>
  <c r="A23" i="30"/>
  <c r="Y22" i="30"/>
  <c r="AC22" i="30" s="1"/>
  <c r="T22" i="30"/>
  <c r="AB22" i="30" s="1"/>
  <c r="O22" i="30"/>
  <c r="AA22" i="30" s="1"/>
  <c r="J22" i="30"/>
  <c r="Z22" i="30" s="1"/>
  <c r="D22" i="30"/>
  <c r="C22" i="30"/>
  <c r="B22" i="30"/>
  <c r="A22" i="30"/>
  <c r="Y21" i="30"/>
  <c r="AC21" i="30" s="1"/>
  <c r="T21" i="30"/>
  <c r="AB21" i="30" s="1"/>
  <c r="O21" i="30"/>
  <c r="AA21" i="30" s="1"/>
  <c r="J21" i="30"/>
  <c r="Z21" i="30" s="1"/>
  <c r="D21" i="30"/>
  <c r="C21" i="30"/>
  <c r="B21" i="30"/>
  <c r="A21" i="30"/>
  <c r="Y20" i="30"/>
  <c r="AC20" i="30" s="1"/>
  <c r="T20" i="30"/>
  <c r="AB20" i="30" s="1"/>
  <c r="O20" i="30"/>
  <c r="AA20" i="30" s="1"/>
  <c r="J20" i="30"/>
  <c r="Z20" i="30" s="1"/>
  <c r="D20" i="30"/>
  <c r="C20" i="30"/>
  <c r="B20" i="30"/>
  <c r="A20" i="30"/>
  <c r="Y19" i="30"/>
  <c r="AC19" i="30" s="1"/>
  <c r="T19" i="30"/>
  <c r="AB19" i="30" s="1"/>
  <c r="O19" i="30"/>
  <c r="AA19" i="30" s="1"/>
  <c r="J19" i="30"/>
  <c r="Z19" i="30" s="1"/>
  <c r="D19" i="30"/>
  <c r="C19" i="30"/>
  <c r="B19" i="30"/>
  <c r="A19" i="30"/>
  <c r="Y18" i="30"/>
  <c r="AC18" i="30" s="1"/>
  <c r="T18" i="30"/>
  <c r="AB18" i="30" s="1"/>
  <c r="O18" i="30"/>
  <c r="AA18" i="30" s="1"/>
  <c r="J18" i="30"/>
  <c r="Z18" i="30" s="1"/>
  <c r="D18" i="30"/>
  <c r="C18" i="30"/>
  <c r="B18" i="30"/>
  <c r="A18" i="30"/>
  <c r="Y17" i="30"/>
  <c r="AC17" i="30" s="1"/>
  <c r="T17" i="30"/>
  <c r="AB17" i="30" s="1"/>
  <c r="O17" i="30"/>
  <c r="AA17" i="30" s="1"/>
  <c r="J17" i="30"/>
  <c r="Z17" i="30" s="1"/>
  <c r="D17" i="30"/>
  <c r="C17" i="30"/>
  <c r="B17" i="30"/>
  <c r="A17" i="30"/>
  <c r="Y16" i="30"/>
  <c r="AC16" i="30" s="1"/>
  <c r="T16" i="30"/>
  <c r="AB16" i="30" s="1"/>
  <c r="O16" i="30"/>
  <c r="AA16" i="30" s="1"/>
  <c r="J16" i="30"/>
  <c r="Z16" i="30" s="1"/>
  <c r="D16" i="30"/>
  <c r="C16" i="30"/>
  <c r="B16" i="30"/>
  <c r="A16" i="30"/>
  <c r="Y15" i="30"/>
  <c r="AC15" i="30" s="1"/>
  <c r="T15" i="30"/>
  <c r="AB15" i="30" s="1"/>
  <c r="O15" i="30"/>
  <c r="AA15" i="30" s="1"/>
  <c r="J15" i="30"/>
  <c r="Z15" i="30" s="1"/>
  <c r="D15" i="30"/>
  <c r="C15" i="30"/>
  <c r="B15" i="30"/>
  <c r="A15" i="30"/>
  <c r="Y14" i="30"/>
  <c r="T14" i="30"/>
  <c r="O14" i="30"/>
  <c r="J14" i="30"/>
  <c r="Z14" i="30" s="1"/>
  <c r="D14" i="30"/>
  <c r="C14" i="30"/>
  <c r="B14" i="30"/>
  <c r="A14" i="30" s="1"/>
  <c r="D12" i="30"/>
  <c r="D11" i="30"/>
  <c r="D10" i="30"/>
  <c r="D9" i="30"/>
  <c r="D7" i="30"/>
  <c r="D8" i="30" s="1"/>
  <c r="C7" i="30"/>
  <c r="C8" i="30" s="1"/>
  <c r="Y6" i="30"/>
  <c r="D6" i="30"/>
  <c r="C6" i="30"/>
  <c r="Y5" i="30"/>
  <c r="D5" i="30"/>
  <c r="C5" i="30"/>
  <c r="B5" i="30"/>
  <c r="A5" i="30" s="1"/>
  <c r="Y4" i="30"/>
  <c r="T4" i="30"/>
  <c r="T5" i="30" s="1"/>
  <c r="O4" i="30"/>
  <c r="O5" i="30" s="1"/>
  <c r="J4" i="30"/>
  <c r="Z4" i="30" s="1"/>
  <c r="E4" i="30"/>
  <c r="AC3" i="30"/>
  <c r="AB3" i="30"/>
  <c r="AA3" i="30"/>
  <c r="Z3" i="30"/>
  <c r="AC2" i="30"/>
  <c r="AB2" i="30"/>
  <c r="AA2" i="30"/>
  <c r="Z2" i="30"/>
  <c r="CP1" i="30"/>
  <c r="BU1" i="30"/>
  <c r="AZ1" i="30"/>
  <c r="AY1" i="30"/>
  <c r="AX1" i="30"/>
  <c r="AW1" i="30"/>
  <c r="AV1" i="30"/>
  <c r="AU1" i="30"/>
  <c r="AT1" i="30"/>
  <c r="AS1" i="30"/>
  <c r="AR1" i="30"/>
  <c r="AQ1" i="30"/>
  <c r="AP1" i="30"/>
  <c r="AO1" i="30"/>
  <c r="AN1" i="30"/>
  <c r="AM1" i="30"/>
  <c r="AL1" i="30"/>
  <c r="AK1" i="30"/>
  <c r="AJ1" i="30"/>
  <c r="AI1" i="30"/>
  <c r="AH1" i="30"/>
  <c r="AG1" i="30"/>
  <c r="AF1" i="30"/>
  <c r="AE1" i="30"/>
  <c r="E13" i="27"/>
  <c r="E12" i="27"/>
  <c r="E11" i="27"/>
  <c r="E10" i="27"/>
  <c r="E9" i="27"/>
  <c r="E8" i="27"/>
  <c r="E7" i="27"/>
  <c r="E6" i="27"/>
  <c r="E5" i="27"/>
  <c r="AB14" i="30" l="1"/>
  <c r="AC14" i="30"/>
  <c r="AA14" i="30"/>
  <c r="D13" i="30"/>
  <c r="AC4" i="30"/>
  <c r="AA4" i="30"/>
  <c r="AB4" i="30"/>
  <c r="T6" i="30"/>
  <c r="O6" i="30"/>
  <c r="C11" i="30"/>
  <c r="C12" i="30" s="1"/>
  <c r="C13" i="30" s="1"/>
  <c r="Y7" i="30"/>
  <c r="B6" i="30"/>
  <c r="C9" i="30"/>
  <c r="J5" i="30"/>
  <c r="C10" i="30"/>
  <c r="E4" i="27"/>
  <c r="J6" i="30" l="1"/>
  <c r="Z5" i="30"/>
  <c r="AC5" i="30"/>
  <c r="AB5" i="30"/>
  <c r="B7" i="30"/>
  <c r="A6" i="30"/>
  <c r="A7" i="30" s="1"/>
  <c r="Y8" i="30"/>
  <c r="AA5" i="30"/>
  <c r="O7" i="30"/>
  <c r="AA6" i="30"/>
  <c r="AB6" i="30"/>
  <c r="T7" i="30"/>
  <c r="O5" i="27"/>
  <c r="AC3" i="27"/>
  <c r="AA3" i="27"/>
  <c r="AB3" i="27"/>
  <c r="Z3" i="27"/>
  <c r="Y9" i="30" l="1"/>
  <c r="T8" i="30"/>
  <c r="O8" i="30"/>
  <c r="B8" i="30"/>
  <c r="A8" i="30" s="1"/>
  <c r="Z6" i="30"/>
  <c r="J7" i="30"/>
  <c r="AC6" i="30"/>
  <c r="CP1" i="27"/>
  <c r="AC2" i="27"/>
  <c r="BU1" i="27"/>
  <c r="AB2" i="27"/>
  <c r="AZ1" i="27"/>
  <c r="AA2" i="27"/>
  <c r="AE1" i="27"/>
  <c r="Z2" i="27"/>
  <c r="J8" i="30" l="1"/>
  <c r="Z7" i="30"/>
  <c r="AC7" i="30"/>
  <c r="AA8" i="30"/>
  <c r="O9" i="30"/>
  <c r="AB7" i="30"/>
  <c r="B9" i="30"/>
  <c r="AA7" i="30"/>
  <c r="AB8" i="30"/>
  <c r="T9" i="30"/>
  <c r="Y10" i="30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10" i="30" l="1"/>
  <c r="A10" i="30" s="1"/>
  <c r="A9" i="30"/>
  <c r="T10" i="30"/>
  <c r="O10" i="30"/>
  <c r="Y11" i="30"/>
  <c r="J9" i="30"/>
  <c r="AB9" i="30" s="1"/>
  <c r="Z8" i="30"/>
  <c r="AC8" i="30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30" l="1"/>
  <c r="Z9" i="30"/>
  <c r="J10" i="30"/>
  <c r="AC9" i="30"/>
  <c r="Y12" i="30"/>
  <c r="AA10" i="30"/>
  <c r="O11" i="30"/>
  <c r="AA9" i="30"/>
  <c r="B11" i="30"/>
  <c r="Z5" i="27"/>
  <c r="AB5" i="27"/>
  <c r="AA5" i="27"/>
  <c r="AC5" i="27"/>
  <c r="Y7" i="27"/>
  <c r="O8" i="27"/>
  <c r="T6" i="27"/>
  <c r="B12" i="30" l="1"/>
  <c r="A11" i="30"/>
  <c r="O12" i="30"/>
  <c r="T12" i="30"/>
  <c r="Y13" i="30"/>
  <c r="J11" i="30"/>
  <c r="Z10" i="30"/>
  <c r="AC10" i="30"/>
  <c r="AB10" i="30"/>
  <c r="AC6" i="27"/>
  <c r="AB6" i="27"/>
  <c r="Z6" i="27"/>
  <c r="AA6" i="27"/>
  <c r="Y8" i="27"/>
  <c r="T7" i="27"/>
  <c r="A12" i="30" l="1"/>
  <c r="T13" i="30"/>
  <c r="Z11" i="30"/>
  <c r="J12" i="30"/>
  <c r="AB12" i="30" s="1"/>
  <c r="AC11" i="30"/>
  <c r="AB11" i="30"/>
  <c r="AA11" i="30"/>
  <c r="AA12" i="30"/>
  <c r="O13" i="30"/>
  <c r="B13" i="30"/>
  <c r="A13" i="30" s="1"/>
  <c r="AB7" i="27"/>
  <c r="Z7" i="27"/>
  <c r="AA7" i="27"/>
  <c r="AC7" i="27"/>
  <c r="T8" i="27"/>
  <c r="Z12" i="30" l="1"/>
  <c r="J13" i="30"/>
  <c r="AB13" i="30" s="1"/>
  <c r="AC12" i="30"/>
  <c r="AC8" i="27"/>
  <c r="AB8" i="27"/>
  <c r="Z8" i="27"/>
  <c r="AA8" i="27"/>
  <c r="Z13" i="30" l="1"/>
  <c r="AC13" i="30"/>
  <c r="AA13" i="30"/>
</calcChain>
</file>

<file path=xl/sharedStrings.xml><?xml version="1.0" encoding="utf-8"?>
<sst xmlns="http://schemas.openxmlformats.org/spreadsheetml/2006/main" count="712" uniqueCount="179">
  <si>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</si>
  <si>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</si>
  <si>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</si>
  <si>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</si>
  <si>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</si>
  <si>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</si>
  <si>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</si>
  <si>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</si>
  <si>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</si>
  <si>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</si>
  <si>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</si>
  <si>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</si>
  <si>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</si>
  <si>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</si>
  <si>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</si>
  <si>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</si>
  <si>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</si>
  <si>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</si>
  <si>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</si>
  <si>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</si>
  <si>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</si>
  <si>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</si>
  <si>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</si>
  <si>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</si>
  <si>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</si>
  <si>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</si>
  <si>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</si>
  <si>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</si>
  <si>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</si>
  <si>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</si>
  <si>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</si>
  <si>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</si>
  <si>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</si>
  <si>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</si>
  <si>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</si>
  <si>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</si>
  <si>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</si>
  <si>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</si>
  <si>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</si>
  <si>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</si>
  <si>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</si>
  <si>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</si>
  <si>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</si>
  <si>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</si>
  <si>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</si>
  <si>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</si>
  <si>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</si>
  <si>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</si>
  <si>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</si>
  <si>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</si>
  <si>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</si>
  <si>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</si>
  <si>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</si>
  <si>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</si>
  <si>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</si>
  <si>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</si>
  <si>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</si>
  <si>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</si>
  <si>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</si>
  <si>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</si>
  <si>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</si>
  <si>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</si>
  <si>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</si>
  <si>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</si>
  <si>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</si>
  <si>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</si>
  <si>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</si>
  <si>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</si>
  <si>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</si>
  <si>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</si>
  <si>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</si>
  <si>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</si>
  <si>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</si>
  <si>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</si>
  <si>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</si>
  <si>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</si>
  <si>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</si>
  <si>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</si>
  <si>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</si>
  <si>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</si>
  <si>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</si>
  <si>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</si>
  <si>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</si>
  <si>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</si>
  <si>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</si>
  <si>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</si>
  <si>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</si>
  <si>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</si>
  <si>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</si>
  <si>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</si>
  <si>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</si>
  <si>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</si>
  <si>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</si>
  <si>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</si>
  <si>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</si>
  <si>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</si>
  <si>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</si>
  <si>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</si>
  <si>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</si>
  <si>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</si>
  <si>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</si>
  <si>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</si>
  <si>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</si>
  <si>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</si>
  <si>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</si>
  <si>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</si>
  <si>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</si>
  <si>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</si>
  <si>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</si>
  <si>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</si>
  <si>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</si>
  <si>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</si>
  <si>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</si>
  <si>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</si>
  <si>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</si>
  <si>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</si>
  <si>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</si>
  <si>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</si>
  <si>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</si>
  <si>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</si>
  <si>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</si>
  <si>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</si>
  <si>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</si>
  <si>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</si>
  <si>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</si>
  <si>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</si>
  <si>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</si>
  <si>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</si>
  <si>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</si>
  <si>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</si>
  <si>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</si>
  <si>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</si>
  <si>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</si>
  <si>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</si>
  <si>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</si>
  <si>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</si>
  <si>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</si>
  <si>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</si>
  <si>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</si>
  <si>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</si>
  <si>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</si>
  <si>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</si>
  <si>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</si>
  <si>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</si>
  <si>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</si>
  <si>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</si>
  <si>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</si>
  <si>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</si>
  <si>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</si>
  <si>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</si>
  <si>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</si>
  <si>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</si>
  <si>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</si>
  <si>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</si>
  <si>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</si>
  <si>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</si>
  <si>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</si>
  <si>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</si>
  <si>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</si>
  <si>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</si>
  <si>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</si>
  <si>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</si>
  <si>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小林莉子</t>
    <rPh sb="0" eb="4">
      <t>コバヤシリコ</t>
    </rPh>
    <phoneticPr fontId="1"/>
  </si>
  <si>
    <t>笠原誠</t>
  </si>
  <si>
    <t>百瀬成空</t>
  </si>
  <si>
    <t>放銃</t>
  </si>
  <si>
    <t>ロン</t>
  </si>
  <si>
    <t>ツモ</t>
  </si>
  <si>
    <t>ツモ支払</t>
  </si>
  <si>
    <t>01</t>
  </si>
  <si>
    <t>52</t>
  </si>
  <si>
    <t>N</t>
  </si>
  <si>
    <t>T</t>
  </si>
  <si>
    <t>流局</t>
    <phoneticPr fontId="1"/>
  </si>
  <si>
    <t>*</t>
  </si>
  <si>
    <t>清水遙斗</t>
  </si>
  <si>
    <t>等々力潤</t>
    <rPh sb="0" eb="3">
      <t>トドロキ</t>
    </rPh>
    <rPh sb="3" eb="4">
      <t>ジュン</t>
    </rPh>
    <phoneticPr fontId="1"/>
  </si>
  <si>
    <t>山本悠介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</si>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</sst>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中村花菜</v>
      </c>
      <c r="AF1" s="61" t="str">
        <f t="shared" ref="AF1:AY1" si="0">$F$1</f>
        <v>中村花菜</v>
      </c>
      <c r="AG1" s="62" t="str">
        <f t="shared" si="0"/>
        <v>中村花菜</v>
      </c>
      <c r="AH1" s="62" t="str">
        <f t="shared" si="0"/>
        <v>中村花菜</v>
      </c>
      <c r="AI1" s="62" t="str">
        <f t="shared" si="0"/>
        <v>中村花菜</v>
      </c>
      <c r="AJ1" s="62" t="str">
        <f t="shared" si="0"/>
        <v>中村花菜</v>
      </c>
      <c r="AK1" s="62" t="str">
        <f t="shared" si="0"/>
        <v>中村花菜</v>
      </c>
      <c r="AL1" s="62" t="str">
        <f t="shared" si="0"/>
        <v>中村花菜</v>
      </c>
      <c r="AM1" s="62" t="str">
        <f t="shared" si="0"/>
        <v>中村花菜</v>
      </c>
      <c r="AN1" s="62" t="str">
        <f t="shared" si="0"/>
        <v>中村花菜</v>
      </c>
      <c r="AO1" s="62" t="str">
        <f t="shared" si="0"/>
        <v>中村花菜</v>
      </c>
      <c r="AP1" s="62" t="str">
        <f t="shared" si="0"/>
        <v>中村花菜</v>
      </c>
      <c r="AQ1" s="62" t="str">
        <f t="shared" si="0"/>
        <v>中村花菜</v>
      </c>
      <c r="AR1" s="62" t="str">
        <f t="shared" si="0"/>
        <v>中村花菜</v>
      </c>
      <c r="AS1" s="62" t="str">
        <f t="shared" si="0"/>
        <v>中村花菜</v>
      </c>
      <c r="AT1" s="62" t="str">
        <f t="shared" si="0"/>
        <v>中村花菜</v>
      </c>
      <c r="AU1" s="62" t="str">
        <f t="shared" si="0"/>
        <v>中村花菜</v>
      </c>
      <c r="AV1" s="62" t="str">
        <f t="shared" si="0"/>
        <v>中村花菜</v>
      </c>
      <c r="AW1" s="62" t="str">
        <f t="shared" si="0"/>
        <v>中村花菜</v>
      </c>
      <c r="AX1" s="62" t="str">
        <f t="shared" si="0"/>
        <v>中村花菜</v>
      </c>
      <c r="AY1" s="63" t="str">
        <f t="shared" si="0"/>
        <v>中村花菜</v>
      </c>
      <c r="AZ1" s="60" t="str">
        <f>IF($K$1="","",$K$1)</f>
        <v>小林莉子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笠原誠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百瀬成空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小林莉子</v>
      </c>
      <c r="AB2" s="56" t="str">
        <f>IF($P$1="","",$P$1)</f>
        <v>笠原誠</v>
      </c>
      <c r="AC2" s="13" t="str">
        <f>IF($U$1="","",$U$1)</f>
        <v>百瀬成空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-1000</v>
      </c>
      <c r="H4" s="6">
        <v>-1000</v>
      </c>
      <c r="I4" s="6">
        <v>0</v>
      </c>
      <c r="J4" s="18">
        <f>IF(COUNTA($F4,$K4,$P4,$U4)&gt;0,J3+SUM(G4:I4),"")</f>
        <v>23000</v>
      </c>
      <c r="K4" s="5" t="s">
        <v>166</v>
      </c>
      <c r="L4" s="6">
        <v>1000</v>
      </c>
      <c r="M4" s="6">
        <v>1000</v>
      </c>
      <c r="N4" s="6">
        <v>0</v>
      </c>
      <c r="O4" s="18">
        <f>IF(COUNTA($F4,$K4,$P4,$U4)&gt;0,O3+SUM(L4:N4),"")</f>
        <v>27000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-37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1</v>
      </c>
      <c r="BE4" s="27">
        <v>30</v>
      </c>
      <c r="BF4" s="36" t="s">
        <v>74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小林莉子</v>
      </c>
      <c r="F5" s="5" t="s">
        <v>167</v>
      </c>
      <c r="G5" s="6">
        <v>4000</v>
      </c>
      <c r="H5" s="6"/>
      <c r="I5" s="6">
        <v>0</v>
      </c>
      <c r="J5" s="18">
        <f t="shared" ref="J5:J30" si="2">IF(COUNTA($F5,$K5,$P5,$U5)&gt;0,J4+SUM(G5:I5),"")</f>
        <v>27000</v>
      </c>
      <c r="K5" s="5" t="s">
        <v>168</v>
      </c>
      <c r="L5" s="6">
        <v>-2000</v>
      </c>
      <c r="M5" s="6"/>
      <c r="N5" s="6">
        <v>0</v>
      </c>
      <c r="O5" s="18">
        <f>IF(COUNTA($F5,$K5,$P5,$U5)&gt;0,O4+SUM(L5:N5),"")</f>
        <v>25000</v>
      </c>
      <c r="P5" s="5" t="s">
        <v>168</v>
      </c>
      <c r="Q5" s="6">
        <v>-1000</v>
      </c>
      <c r="R5" s="6"/>
      <c r="S5" s="6">
        <v>0</v>
      </c>
      <c r="T5" s="18">
        <f t="shared" ref="T5:T30" si="3">IF(COUNTA($F5,$K5,$P5,$U5)&gt;0,T4+SUM(Q5:S5),"")</f>
        <v>24000</v>
      </c>
      <c r="U5" s="5" t="s">
        <v>168</v>
      </c>
      <c r="V5" s="6">
        <v>-1000</v>
      </c>
      <c r="W5" s="6"/>
      <c r="X5" s="6">
        <v>0</v>
      </c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47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-26</v>
      </c>
      <c r="AC5" s="47">
        <f>IF($Y5="","",ROUND(($Y5-30000)/1000,1)+(2.5-_xlfn.RANK.AVG($Y5,($J5,$O5,$T5,$Y5)))*20+IF(_xlfn.RANK.EQ($Y5,($J5,$O5,$T5,$Y5))=1,20/((_xlfn.RANK.AVG($Y5,($J5,$O5,$T5,$Y5))-1)*2+1),0))</f>
        <v>-26</v>
      </c>
      <c r="AE5" s="5"/>
      <c r="AF5" s="30"/>
      <c r="AG5" s="23">
        <v>1</v>
      </c>
      <c r="AH5" s="23"/>
      <c r="AI5" s="23">
        <v>3</v>
      </c>
      <c r="AJ5" s="27">
        <v>30</v>
      </c>
      <c r="AK5" s="36" t="s">
        <v>169</v>
      </c>
      <c r="AL5" s="37" t="s">
        <v>73</v>
      </c>
      <c r="AM5" s="37" t="s">
        <v>71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笠原誠</v>
      </c>
      <c r="F6" s="5" t="s">
        <v>167</v>
      </c>
      <c r="G6" s="6">
        <v>2000</v>
      </c>
      <c r="H6" s="6">
        <v>1000</v>
      </c>
      <c r="I6" s="6">
        <v>0</v>
      </c>
      <c r="J6" s="18">
        <f t="shared" si="2"/>
        <v>30000</v>
      </c>
      <c r="K6" s="5" t="s">
        <v>168</v>
      </c>
      <c r="L6" s="6">
        <v>-500</v>
      </c>
      <c r="M6" s="6"/>
      <c r="N6" s="6">
        <v>0</v>
      </c>
      <c r="O6" s="18">
        <f t="shared" ref="O6:O30" si="8">IF(COUNTA($F6,$K6,$P6,$U6)&gt;0,O5+SUM(L6:N6),"")</f>
        <v>24500</v>
      </c>
      <c r="P6" s="5" t="s">
        <v>168</v>
      </c>
      <c r="Q6" s="6">
        <v>-1000</v>
      </c>
      <c r="R6" s="6">
        <v>-1000</v>
      </c>
      <c r="S6" s="6">
        <v>0</v>
      </c>
      <c r="T6" s="18">
        <f t="shared" si="3"/>
        <v>22000</v>
      </c>
      <c r="U6" s="5" t="s">
        <v>168</v>
      </c>
      <c r="V6" s="6">
        <v>-500</v>
      </c>
      <c r="W6" s="6"/>
      <c r="X6" s="6">
        <v>0</v>
      </c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50</v>
      </c>
      <c r="AA6" s="46">
        <f>IF($O6="","",ROUND(($O6-30000)/1000,1)+(2.5-_xlfn.RANK.AVG($O6,($J6,$O6,$T6,$Y6)))*20+IF(_xlfn.RANK.EQ($O6,($J6,$O6,$T6,$Y6))=1,20/((_xlfn.RANK.AVG($O6,($J6,$O6,$T6,$Y6))-1)*2+1),0))</f>
        <v>4.5</v>
      </c>
      <c r="AB6" s="46">
        <f>IF($T6="","",ROUND(($T6-30000)/1000,1)+(2.5-_xlfn.RANK.AVG($T6,($J6,$O6,$T6,$Y6)))*20+IF(_xlfn.RANK.EQ($T6,($J6,$O6,$T6,$Y6))=1,20/((_xlfn.RANK.AVG($T6,($J6,$O6,$T6,$Y6))-1)*2+1),0))</f>
        <v>-38</v>
      </c>
      <c r="AC6" s="47">
        <f>IF($Y6="","",ROUND(($Y6-30000)/1000,1)+(2.5-_xlfn.RANK.AVG($Y6,($J6,$O6,$T6,$Y6)))*20+IF(_xlfn.RANK.EQ($Y6,($J6,$O6,$T6,$Y6))=1,20/((_xlfn.RANK.AVG($Y6,($J6,$O6,$T6,$Y6))-1)*2+1),0))</f>
        <v>-16.5</v>
      </c>
      <c r="AE6" s="5"/>
      <c r="AF6" s="30"/>
      <c r="AG6" s="23"/>
      <c r="AH6" s="23">
        <v>1</v>
      </c>
      <c r="AI6" s="23">
        <v>2</v>
      </c>
      <c r="AJ6" s="27">
        <v>30</v>
      </c>
      <c r="AK6" s="36" t="s">
        <v>77</v>
      </c>
      <c r="AL6" s="37" t="s">
        <v>170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百瀬成空</v>
      </c>
      <c r="F7" s="5" t="s">
        <v>173</v>
      </c>
      <c r="G7" s="6">
        <v>-1000</v>
      </c>
      <c r="H7" s="6"/>
      <c r="I7" s="6"/>
      <c r="J7" s="18">
        <f t="shared" si="2"/>
        <v>29000</v>
      </c>
      <c r="K7" s="5" t="s">
        <v>173</v>
      </c>
      <c r="L7" s="6">
        <v>-1000</v>
      </c>
      <c r="M7" s="6"/>
      <c r="N7" s="6"/>
      <c r="O7" s="18">
        <f t="shared" si="8"/>
        <v>23500</v>
      </c>
      <c r="P7" s="5" t="s">
        <v>173</v>
      </c>
      <c r="Q7" s="6">
        <v>3000</v>
      </c>
      <c r="R7" s="6"/>
      <c r="S7" s="6"/>
      <c r="T7" s="18">
        <f t="shared" si="3"/>
        <v>25000</v>
      </c>
      <c r="U7" s="5" t="s">
        <v>173</v>
      </c>
      <c r="V7" s="6">
        <v>-1000</v>
      </c>
      <c r="W7" s="6"/>
      <c r="X7" s="6"/>
      <c r="Y7" s="18">
        <f t="shared" si="4"/>
        <v>22500</v>
      </c>
      <c r="Z7" s="45">
        <f>IF($J7="","",ROUND(($J7-30000)/1000,1)+(2.5-_xlfn.RANK.AVG($J7,($J7,$O7,$T7,$Y7)))*20+IF(_xlfn.RANK.EQ($J7,($J7,$O7,$T7,$Y7))=1,20/((_xlfn.RANK.AVG($J7,($J7,$O7,$T7,$Y7))-1)*2+1),0))</f>
        <v>49</v>
      </c>
      <c r="AA7" s="46">
        <f>IF($O7="","",ROUND(($O7-30000)/1000,1)+(2.5-_xlfn.RANK.AVG($O7,($J7,$O7,$T7,$Y7)))*20+IF(_xlfn.RANK.EQ($O7,($J7,$O7,$T7,$Y7))=1,20/((_xlfn.RANK.AVG($O7,($J7,$O7,$T7,$Y7))-1)*2+1),0))</f>
        <v>-16.5</v>
      </c>
      <c r="AB7" s="46">
        <f>IF($T7="","",ROUND(($T7-30000)/1000,1)+(2.5-_xlfn.RANK.AVG($T7,($J7,$O7,$T7,$Y7)))*20+IF(_xlfn.RANK.EQ($T7,($J7,$O7,$T7,$Y7))=1,20/((_xlfn.RANK.AVG($T7,($J7,$O7,$T7,$Y7))-1)*2+1),0))</f>
        <v>5</v>
      </c>
      <c r="AC7" s="47">
        <f>IF($Y7="","",ROUND(($Y7-30000)/1000,1)+(2.5-_xlfn.RANK.AVG($Y7,($J7,$O7,$T7,$Y7)))*20+IF(_xlfn.RANK.EQ($Y7,($J7,$O7,$T7,$Y7))=1,20/((_xlfn.RANK.AVG($Y7,($J7,$O7,$T7,$Y7))-1)*2+1),0))</f>
        <v>-37.5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IF($F$1="","",$F$1)</f>
        <v>中村花菜</v>
      </c>
      <c r="F8" s="5" t="s">
        <v>173</v>
      </c>
      <c r="G8" s="6">
        <v>-3000</v>
      </c>
      <c r="H8" s="6"/>
      <c r="I8" s="6"/>
      <c r="J8" s="18">
        <f t="shared" si="2"/>
        <v>26000</v>
      </c>
      <c r="K8" s="5" t="s">
        <v>173</v>
      </c>
      <c r="L8" s="6">
        <v>1000</v>
      </c>
      <c r="M8" s="6"/>
      <c r="N8" s="6"/>
      <c r="O8" s="18">
        <f t="shared" si="8"/>
        <v>24500</v>
      </c>
      <c r="P8" s="5" t="s">
        <v>173</v>
      </c>
      <c r="Q8" s="6">
        <v>1000</v>
      </c>
      <c r="R8" s="6"/>
      <c r="S8" s="6"/>
      <c r="T8" s="18">
        <f t="shared" si="3"/>
        <v>26000</v>
      </c>
      <c r="U8" s="5" t="s">
        <v>173</v>
      </c>
      <c r="V8" s="6">
        <v>1000</v>
      </c>
      <c r="W8" s="6">
        <v>-1000</v>
      </c>
      <c r="X8" s="6"/>
      <c r="Y8" s="18">
        <f t="shared" si="4"/>
        <v>22500</v>
      </c>
      <c r="Z8" s="45">
        <f>IF($J8="","",ROUND(($J8-30000)/1000,1)+(2.5-_xlfn.RANK.AVG($J8,($J8,$O8,$T8,$Y8)))*20+IF(_xlfn.RANK.EQ($J8,($J8,$O8,$T8,$Y8))=1,20/((_xlfn.RANK.AVG($J8,($J8,$O8,$T8,$Y8))-1)*2+1),0))</f>
        <v>26</v>
      </c>
      <c r="AA8" s="46">
        <f>IF($O8="","",ROUND(($O8-30000)/1000,1)+(2.5-_xlfn.RANK.AVG($O8,($J8,$O8,$T8,$Y8)))*20+IF(_xlfn.RANK.EQ($O8,($J8,$O8,$T8,$Y8))=1,20/((_xlfn.RANK.AVG($O8,($J8,$O8,$T8,$Y8))-1)*2+1),0))</f>
        <v>-15.5</v>
      </c>
      <c r="AB8" s="46">
        <f>IF($T8="","",ROUND(($T8-30000)/1000,1)+(2.5-_xlfn.RANK.AVG($T8,($J8,$O8,$T8,$Y8)))*20+IF(_xlfn.RANK.EQ($T8,($J8,$O8,$T8,$Y8))=1,20/((_xlfn.RANK.AVG($T8,($J8,$O8,$T8,$Y8))-1)*2+1),0))</f>
        <v>26</v>
      </c>
      <c r="AC8" s="47">
        <f>IF($Y8="","",ROUND(($Y8-30000)/1000,1)+(2.5-_xlfn.RANK.AVG($Y8,($J8,$O8,$T8,$Y8)))*20+IF(_xlfn.RANK.EQ($Y8,($J8,$O8,$T8,$Y8))=1,20/((_xlfn.RANK.AVG($Y8,($J8,$O8,$T8,$Y8))-1)*2+1),0))</f>
        <v>-37.5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2</v>
      </c>
      <c r="D9" s="15">
        <f t="shared" si="7"/>
        <v>1</v>
      </c>
      <c r="E9" s="58" t="str">
        <f>IF($K$1="","",$K$1)</f>
        <v>小林莉子</v>
      </c>
      <c r="F9" s="5" t="s">
        <v>166</v>
      </c>
      <c r="G9" s="6">
        <v>1000</v>
      </c>
      <c r="H9" s="6">
        <v>1000</v>
      </c>
      <c r="I9" s="6">
        <v>600</v>
      </c>
      <c r="J9" s="18">
        <f t="shared" si="2"/>
        <v>28600</v>
      </c>
      <c r="K9" s="5" t="s">
        <v>165</v>
      </c>
      <c r="L9" s="6">
        <v>-1000</v>
      </c>
      <c r="M9" s="6"/>
      <c r="N9" s="6">
        <v>-600</v>
      </c>
      <c r="O9" s="18">
        <f t="shared" si="8"/>
        <v>22900</v>
      </c>
      <c r="P9" s="5"/>
      <c r="Q9" s="6"/>
      <c r="R9" s="6"/>
      <c r="S9" s="6"/>
      <c r="T9" s="18">
        <f t="shared" si="3"/>
        <v>26000</v>
      </c>
      <c r="U9" s="5"/>
      <c r="V9" s="6"/>
      <c r="W9" s="6"/>
      <c r="X9" s="6"/>
      <c r="Y9" s="18">
        <f t="shared" si="4"/>
        <v>22500</v>
      </c>
      <c r="Z9" s="45">
        <f>IF($J9="","",ROUND(($J9-30000)/1000,1)+(2.5-_xlfn.RANK.AVG($J9,($J9,$O9,$T9,$Y9)))*20+IF(_xlfn.RANK.EQ($J9,($J9,$O9,$T9,$Y9))=1,20/((_xlfn.RANK.AVG($J9,($J9,$O9,$T9,$Y9))-1)*2+1),0))</f>
        <v>48.6</v>
      </c>
      <c r="AA9" s="46">
        <f>IF($O9="","",ROUND(($O9-30000)/1000,1)+(2.5-_xlfn.RANK.AVG($O9,($J9,$O9,$T9,$Y9)))*20+IF(_xlfn.RANK.EQ($O9,($J9,$O9,$T9,$Y9))=1,20/((_xlfn.RANK.AVG($O9,($J9,$O9,$T9,$Y9))-1)*2+1),0))</f>
        <v>-17.100000000000001</v>
      </c>
      <c r="AB9" s="46">
        <f>IF($T9="","",ROUND(($T9-30000)/1000,1)+(2.5-_xlfn.RANK.AVG($T9,($J9,$O9,$T9,$Y9)))*20+IF(_xlfn.RANK.EQ($T9,($J9,$O9,$T9,$Y9))=1,20/((_xlfn.RANK.AVG($T9,($J9,$O9,$T9,$Y9))-1)*2+1),0))</f>
        <v>6</v>
      </c>
      <c r="AC9" s="47">
        <f>IF($Y9="","",ROUND(($Y9-30000)/1000,1)+(2.5-_xlfn.RANK.AVG($Y9,($J9,$O9,$T9,$Y9)))*20+IF(_xlfn.RANK.EQ($Y9,($J9,$O9,$T9,$Y9))=1,20/((_xlfn.RANK.AVG($Y9,($J9,$O9,$T9,$Y9))-1)*2+1),0))</f>
        <v>-37.5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笠原誠</v>
      </c>
      <c r="F10" s="5" t="s">
        <v>168</v>
      </c>
      <c r="G10" s="6">
        <v>-2000</v>
      </c>
      <c r="H10" s="6"/>
      <c r="I10" s="6">
        <v>0</v>
      </c>
      <c r="J10" s="18">
        <f t="shared" si="2"/>
        <v>26600</v>
      </c>
      <c r="K10" s="5" t="s">
        <v>168</v>
      </c>
      <c r="L10" s="6">
        <v>-2000</v>
      </c>
      <c r="M10" s="6"/>
      <c r="N10" s="6">
        <v>0</v>
      </c>
      <c r="O10" s="18">
        <f t="shared" si="8"/>
        <v>20900</v>
      </c>
      <c r="P10" s="5" t="s">
        <v>167</v>
      </c>
      <c r="Q10" s="6">
        <v>6000</v>
      </c>
      <c r="R10" s="6">
        <v>1000</v>
      </c>
      <c r="S10" s="6">
        <v>0</v>
      </c>
      <c r="T10" s="18">
        <f t="shared" si="3"/>
        <v>33000</v>
      </c>
      <c r="U10" s="5" t="s">
        <v>168</v>
      </c>
      <c r="V10" s="6">
        <v>-2000</v>
      </c>
      <c r="W10" s="6">
        <v>-1000</v>
      </c>
      <c r="X10" s="6">
        <v>0</v>
      </c>
      <c r="Y10" s="18">
        <f t="shared" si="4"/>
        <v>19500</v>
      </c>
      <c r="Z10" s="45">
        <f>IF($J10="","",ROUND(($J10-30000)/1000,1)+(2.5-_xlfn.RANK.AVG($J10,($J10,$O10,$T10,$Y10)))*20+IF(_xlfn.RANK.EQ($J10,($J10,$O10,$T10,$Y10))=1,20/((_xlfn.RANK.AVG($J10,($J10,$O10,$T10,$Y10))-1)*2+1),0))</f>
        <v>6.6</v>
      </c>
      <c r="AA10" s="46">
        <f>IF($O10="","",ROUND(($O10-30000)/1000,1)+(2.5-_xlfn.RANK.AVG($O10,($J10,$O10,$T10,$Y10)))*20+IF(_xlfn.RANK.EQ($O10,($J10,$O10,$T10,$Y10))=1,20/((_xlfn.RANK.AVG($O10,($J10,$O10,$T10,$Y10))-1)*2+1),0))</f>
        <v>-19.100000000000001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53</v>
      </c>
      <c r="AC10" s="47">
        <f>IF($Y10="","",ROUND(($Y10-30000)/1000,1)+(2.5-_xlfn.RANK.AVG($Y10,($J10,$O10,$T10,$Y10)))*20+IF(_xlfn.RANK.EQ($Y10,($J10,$O10,$T10,$Y10))=1,20/((_xlfn.RANK.AVG($Y10,($J10,$O10,$T10,$Y10))-1)*2+1),0))</f>
        <v>-40.5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3</v>
      </c>
      <c r="BZ10" s="27">
        <v>30</v>
      </c>
      <c r="CA10" s="36" t="s">
        <v>73</v>
      </c>
      <c r="CB10" s="37" t="s">
        <v>169</v>
      </c>
      <c r="CC10" s="37" t="s">
        <v>70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58" t="str">
        <f>IF($P$1="","",$P$1)</f>
        <v>笠原誠</v>
      </c>
      <c r="F11" s="5" t="s">
        <v>168</v>
      </c>
      <c r="G11" s="6">
        <v>-6000</v>
      </c>
      <c r="H11" s="6"/>
      <c r="I11" s="6">
        <v>-100</v>
      </c>
      <c r="J11" s="18">
        <f t="shared" si="2"/>
        <v>20500</v>
      </c>
      <c r="K11" s="5" t="s">
        <v>168</v>
      </c>
      <c r="L11" s="6">
        <v>-6000</v>
      </c>
      <c r="M11" s="6"/>
      <c r="N11" s="6">
        <v>-100</v>
      </c>
      <c r="O11" s="18">
        <f t="shared" si="8"/>
        <v>14800</v>
      </c>
      <c r="P11" s="5" t="s">
        <v>167</v>
      </c>
      <c r="Q11" s="6">
        <v>18000</v>
      </c>
      <c r="R11" s="6"/>
      <c r="S11" s="6">
        <v>300</v>
      </c>
      <c r="T11" s="18">
        <f t="shared" si="3"/>
        <v>51300</v>
      </c>
      <c r="U11" s="5" t="s">
        <v>168</v>
      </c>
      <c r="V11" s="6">
        <v>-6000</v>
      </c>
      <c r="W11" s="6"/>
      <c r="X11" s="6">
        <v>-100</v>
      </c>
      <c r="Y11" s="18">
        <f t="shared" si="4"/>
        <v>13400</v>
      </c>
      <c r="Z11" s="45">
        <f>IF($J11="","",ROUND(($J11-30000)/1000,1)+(2.5-_xlfn.RANK.AVG($J11,($J11,$O11,$T11,$Y11)))*20+IF(_xlfn.RANK.EQ($J11,($J11,$O11,$T11,$Y11))=1,20/((_xlfn.RANK.AVG($J11,($J11,$O11,$T11,$Y11))-1)*2+1),0))</f>
        <v>0.5</v>
      </c>
      <c r="AA11" s="46">
        <f>IF($O11="","",ROUND(($O11-30000)/1000,1)+(2.5-_xlfn.RANK.AVG($O11,($J11,$O11,$T11,$Y11)))*20+IF(_xlfn.RANK.EQ($O11,($J11,$O11,$T11,$Y11))=1,20/((_xlfn.RANK.AVG($O11,($J11,$O11,$T11,$Y11))-1)*2+1),0))</f>
        <v>-25.2</v>
      </c>
      <c r="AB11" s="46">
        <f>IF($T11="","",ROUND(($T11-30000)/1000,1)+(2.5-_xlfn.RANK.AVG($T11,($J11,$O11,$T11,$Y11)))*20+IF(_xlfn.RANK.EQ($T11,($J11,$O11,$T11,$Y11))=1,20/((_xlfn.RANK.AVG($T11,($J11,$O11,$T11,$Y11))-1)*2+1),0))</f>
        <v>71.3</v>
      </c>
      <c r="AC11" s="47">
        <f>IF($Y11="","",ROUND(($Y11-30000)/1000,1)+(2.5-_xlfn.RANK.AVG($Y11,($J11,$O11,$T11,$Y11)))*20+IF(_xlfn.RANK.EQ($Y11,($J11,$O11,$T11,$Y11))=1,20/((_xlfn.RANK.AVG($Y11,($J11,$O11,$T11,$Y11))-1)*2+1),0))</f>
        <v>-46.6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6</v>
      </c>
      <c r="BZ11" s="27" t="s">
        <v>174</v>
      </c>
      <c r="CA11" s="36" t="s">
        <v>169</v>
      </c>
      <c r="CB11" s="37" t="s">
        <v>73</v>
      </c>
      <c r="CC11" s="37" t="s">
        <v>74</v>
      </c>
      <c r="CD11" s="37" t="s">
        <v>170</v>
      </c>
      <c r="CE11" s="37" t="s">
        <v>170</v>
      </c>
      <c r="CF11" s="37" t="s">
        <v>71</v>
      </c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2</v>
      </c>
      <c r="D12" s="15">
        <f t="shared" si="7"/>
        <v>0</v>
      </c>
      <c r="E12" s="58" t="str">
        <f>IF($P$1="","",$P$1)</f>
        <v>笠原誠</v>
      </c>
      <c r="F12" s="5" t="s">
        <v>173</v>
      </c>
      <c r="G12" s="6">
        <v>3000</v>
      </c>
      <c r="H12" s="6"/>
      <c r="I12" s="6"/>
      <c r="J12" s="18">
        <f t="shared" si="2"/>
        <v>23500</v>
      </c>
      <c r="K12" s="5" t="s">
        <v>173</v>
      </c>
      <c r="L12" s="6">
        <v>-1000</v>
      </c>
      <c r="M12" s="6"/>
      <c r="N12" s="6"/>
      <c r="O12" s="18">
        <f t="shared" si="8"/>
        <v>13800</v>
      </c>
      <c r="P12" s="5" t="s">
        <v>173</v>
      </c>
      <c r="Q12" s="6">
        <v>-1000</v>
      </c>
      <c r="R12" s="6"/>
      <c r="S12" s="6"/>
      <c r="T12" s="18">
        <f t="shared" si="3"/>
        <v>50300</v>
      </c>
      <c r="U12" s="5" t="s">
        <v>173</v>
      </c>
      <c r="V12" s="6">
        <v>-1000</v>
      </c>
      <c r="W12" s="6"/>
      <c r="X12" s="6"/>
      <c r="Y12" s="18">
        <f t="shared" si="4"/>
        <v>12400</v>
      </c>
      <c r="Z12" s="45">
        <f>IF($J12="","",ROUND(($J12-30000)/1000,1)+(2.5-_xlfn.RANK.AVG($J12,($J12,$O12,$T12,$Y12)))*20+IF(_xlfn.RANK.EQ($J12,($J12,$O12,$T12,$Y12))=1,20/((_xlfn.RANK.AVG($J12,($J12,$O12,$T12,$Y12))-1)*2+1),0))</f>
        <v>3.5</v>
      </c>
      <c r="AA12" s="46">
        <f>IF($O12="","",ROUND(($O12-30000)/1000,1)+(2.5-_xlfn.RANK.AVG($O12,($J12,$O12,$T12,$Y12)))*20+IF(_xlfn.RANK.EQ($O12,($J12,$O12,$T12,$Y12))=1,20/((_xlfn.RANK.AVG($O12,($J12,$O12,$T12,$Y12))-1)*2+1),0))</f>
        <v>-26.2</v>
      </c>
      <c r="AB12" s="46">
        <f>IF($T12="","",ROUND(($T12-30000)/1000,1)+(2.5-_xlfn.RANK.AVG($T12,($J12,$O12,$T12,$Y12)))*20+IF(_xlfn.RANK.EQ($T12,($J12,$O12,$T12,$Y12))=1,20/((_xlfn.RANK.AVG($T12,($J12,$O12,$T12,$Y12))-1)*2+1),0))</f>
        <v>70.3</v>
      </c>
      <c r="AC12" s="47">
        <f>IF($Y12="","",ROUND(($Y12-30000)/1000,1)+(2.5-_xlfn.RANK.AVG($Y12,($J12,$O12,$T12,$Y12)))*20+IF(_xlfn.RANK.EQ($Y12,($J12,$O12,$T12,$Y12))=1,20/((_xlfn.RANK.AVG($Y12,($J12,$O12,$T12,$Y12))-1)*2+1),0))</f>
        <v>-47.6</v>
      </c>
      <c r="AE12" s="5" t="s">
        <v>172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171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171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171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3</v>
      </c>
      <c r="D13" s="15">
        <f t="shared" si="7"/>
        <v>0</v>
      </c>
      <c r="E13" s="58" t="str">
        <f>IF($U$1="","",$U$1)</f>
        <v>百瀬成空</v>
      </c>
      <c r="F13" s="5" t="s">
        <v>173</v>
      </c>
      <c r="G13" s="6">
        <v>3000</v>
      </c>
      <c r="H13" s="6">
        <v>-1000</v>
      </c>
      <c r="I13" s="6"/>
      <c r="J13" s="18">
        <f t="shared" si="2"/>
        <v>25500</v>
      </c>
      <c r="K13" s="5" t="s">
        <v>173</v>
      </c>
      <c r="L13" s="6">
        <v>-1000</v>
      </c>
      <c r="M13" s="6"/>
      <c r="N13" s="6"/>
      <c r="O13" s="18">
        <f t="shared" si="8"/>
        <v>12800</v>
      </c>
      <c r="P13" s="5" t="s">
        <v>173</v>
      </c>
      <c r="Q13" s="6">
        <v>-1000</v>
      </c>
      <c r="R13" s="6">
        <v>1000</v>
      </c>
      <c r="S13" s="6"/>
      <c r="T13" s="18">
        <f t="shared" si="3"/>
        <v>50300</v>
      </c>
      <c r="U13" s="5" t="s">
        <v>173</v>
      </c>
      <c r="V13" s="6">
        <v>-1000</v>
      </c>
      <c r="W13" s="6"/>
      <c r="X13" s="6"/>
      <c r="Y13" s="18">
        <f t="shared" si="4"/>
        <v>11400</v>
      </c>
      <c r="Z13" s="45">
        <f>IF($J13="","",ROUND(($J13-30000)/1000,1)+(2.5-_xlfn.RANK.AVG($J13,($J13,$O13,$T13,$Y13)))*20+IF(_xlfn.RANK.EQ($J13,($J13,$O13,$T13,$Y13))=1,20/((_xlfn.RANK.AVG($J13,($J13,$O13,$T13,$Y13))-1)*2+1),0))</f>
        <v>5.5</v>
      </c>
      <c r="AA13" s="46">
        <f>IF($O13="","",ROUND(($O13-30000)/1000,1)+(2.5-_xlfn.RANK.AVG($O13,($J13,$O13,$T13,$Y13)))*20+IF(_xlfn.RANK.EQ($O13,($J13,$O13,$T13,$Y13))=1,20/((_xlfn.RANK.AVG($O13,($J13,$O13,$T13,$Y13))-1)*2+1),0))</f>
        <v>-27.2</v>
      </c>
      <c r="AB13" s="46">
        <f>IF($T13="","",ROUND(($T13-30000)/1000,1)+(2.5-_xlfn.RANK.AVG($T13,($J13,$O13,$T13,$Y13)))*20+IF(_xlfn.RANK.EQ($T13,($J13,$O13,$T13,$Y13))=1,20/((_xlfn.RANK.AVG($T13,($J13,$O13,$T13,$Y13))-1)*2+1),0))</f>
        <v>70.3</v>
      </c>
      <c r="AC13" s="47">
        <f>IF($Y13="","",ROUND(($Y13-30000)/1000,1)+(2.5-_xlfn.RANK.AVG($Y13,($J13,$O13,$T13,$Y13)))*20+IF(_xlfn.RANK.EQ($Y13,($J13,$O13,$T13,$Y13))=1,20/((_xlfn.RANK.AVG($Y13,($J13,$O13,$T13,$Y13))-1)*2+1),0))</f>
        <v>-48.6</v>
      </c>
      <c r="AE13" s="5" t="s">
        <v>172</v>
      </c>
      <c r="AF13" s="30"/>
      <c r="AG13" s="23">
        <v>1</v>
      </c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 t="s">
        <v>171</v>
      </c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 t="s">
        <v>171</v>
      </c>
      <c r="BV13" s="30"/>
      <c r="BW13" s="23"/>
      <c r="BX13" s="23">
        <v>1</v>
      </c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 t="s">
        <v>171</v>
      </c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ECA749F-8369-400B-A90A-E6E9154FC881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2952D-AFD0-4ACC-B1BD-64F2B6FAD5F0}">
  <sheetPr codeName="Sheet10">
    <pageSetUpPr fitToPage="1"/>
  </sheetPr>
  <dimension ref="A1:DJ30"/>
  <sheetViews>
    <sheetView tabSelected="1" topLeftCell="F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175</v>
      </c>
      <c r="G1" s="62"/>
      <c r="H1" s="62"/>
      <c r="I1" s="65"/>
      <c r="J1" s="63"/>
      <c r="K1" s="60" t="s">
        <v>176</v>
      </c>
      <c r="L1" s="62"/>
      <c r="M1" s="62"/>
      <c r="N1" s="65"/>
      <c r="O1" s="63"/>
      <c r="P1" s="60" t="s">
        <v>177</v>
      </c>
      <c r="Q1" s="62"/>
      <c r="R1" s="62"/>
      <c r="S1" s="65"/>
      <c r="T1" s="63"/>
      <c r="U1" s="60" t="s">
        <v>162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清水遙斗</v>
      </c>
      <c r="AF1" s="61" t="str">
        <f t="shared" ref="AF1:AY1" si="0">$F$1</f>
        <v>清水遙斗</v>
      </c>
      <c r="AG1" s="62" t="str">
        <f t="shared" si="0"/>
        <v>清水遙斗</v>
      </c>
      <c r="AH1" s="62" t="str">
        <f t="shared" si="0"/>
        <v>清水遙斗</v>
      </c>
      <c r="AI1" s="62" t="str">
        <f t="shared" si="0"/>
        <v>清水遙斗</v>
      </c>
      <c r="AJ1" s="62" t="str">
        <f t="shared" si="0"/>
        <v>清水遙斗</v>
      </c>
      <c r="AK1" s="62" t="str">
        <f t="shared" si="0"/>
        <v>清水遙斗</v>
      </c>
      <c r="AL1" s="62" t="str">
        <f t="shared" si="0"/>
        <v>清水遙斗</v>
      </c>
      <c r="AM1" s="62" t="str">
        <f t="shared" si="0"/>
        <v>清水遙斗</v>
      </c>
      <c r="AN1" s="62" t="str">
        <f t="shared" si="0"/>
        <v>清水遙斗</v>
      </c>
      <c r="AO1" s="62" t="str">
        <f t="shared" si="0"/>
        <v>清水遙斗</v>
      </c>
      <c r="AP1" s="62" t="str">
        <f t="shared" si="0"/>
        <v>清水遙斗</v>
      </c>
      <c r="AQ1" s="62" t="str">
        <f t="shared" si="0"/>
        <v>清水遙斗</v>
      </c>
      <c r="AR1" s="62" t="str">
        <f t="shared" si="0"/>
        <v>清水遙斗</v>
      </c>
      <c r="AS1" s="62" t="str">
        <f t="shared" si="0"/>
        <v>清水遙斗</v>
      </c>
      <c r="AT1" s="62" t="str">
        <f t="shared" si="0"/>
        <v>清水遙斗</v>
      </c>
      <c r="AU1" s="62" t="str">
        <f t="shared" si="0"/>
        <v>清水遙斗</v>
      </c>
      <c r="AV1" s="62" t="str">
        <f t="shared" si="0"/>
        <v>清水遙斗</v>
      </c>
      <c r="AW1" s="62" t="str">
        <f t="shared" si="0"/>
        <v>清水遙斗</v>
      </c>
      <c r="AX1" s="62" t="str">
        <f t="shared" si="0"/>
        <v>清水遙斗</v>
      </c>
      <c r="AY1" s="63" t="str">
        <f t="shared" si="0"/>
        <v>清水遙斗</v>
      </c>
      <c r="AZ1" s="60" t="str">
        <f>IF($K$1="","",$K$1)</f>
        <v>等々力潤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山本悠介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小林莉子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等々力潤</v>
      </c>
      <c r="AB2" s="56" t="str">
        <f>IF($P$1="","",$P$1)</f>
        <v>山本悠介</v>
      </c>
      <c r="AC2" s="13" t="str">
        <f>IF($U$1="","",$U$1)</f>
        <v>小林莉子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 t="s">
        <v>168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167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168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168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30</v>
      </c>
      <c r="BF4" s="36" t="s">
        <v>169</v>
      </c>
      <c r="BG4" s="37" t="s">
        <v>73</v>
      </c>
      <c r="BH4" s="37" t="s">
        <v>170</v>
      </c>
      <c r="BI4" s="37" t="s">
        <v>76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等々力潤</v>
      </c>
      <c r="F5" s="5" t="s">
        <v>165</v>
      </c>
      <c r="G5" s="6">
        <v>-8000</v>
      </c>
      <c r="H5" s="6"/>
      <c r="I5" s="6">
        <v>0</v>
      </c>
      <c r="J5" s="18">
        <f t="shared" ref="J5:J30" si="2">IF(COUNTA($F5,$K5,$P5,$U5)&gt;0,J4+SUM(G5:I5),"")</f>
        <v>13000</v>
      </c>
      <c r="K5" s="5"/>
      <c r="L5" s="6"/>
      <c r="M5" s="6"/>
      <c r="N5" s="6"/>
      <c r="O5" s="18">
        <f>IF(COUNTA($F5,$K5,$P5,$U5)&gt;0,O4+SUM(L5:N5),"")</f>
        <v>33000</v>
      </c>
      <c r="P5" s="5" t="s">
        <v>166</v>
      </c>
      <c r="Q5" s="6">
        <v>8000</v>
      </c>
      <c r="R5" s="6"/>
      <c r="S5" s="6">
        <v>0</v>
      </c>
      <c r="T5" s="18">
        <f t="shared" ref="T5:T30" si="3">IF(COUNTA($F5,$K5,$P5,$U5)&gt;0,T4+SUM(Q5:S5),"")</f>
        <v>31000</v>
      </c>
      <c r="U5" s="5"/>
      <c r="V5" s="6"/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-47</v>
      </c>
      <c r="AA5" s="46">
        <f>IF($O5="","",ROUND(($O5-30000)/1000,1)+(2.5-_xlfn.RANK.AVG($O5,($J5,$O5,$T5,$Y5)))*20+IF(_xlfn.RANK.EQ($O5,($J5,$O5,$T5,$Y5))=1,20/((_xlfn.RANK.AVG($O5,($J5,$O5,$T5,$Y5))-1)*2+1),0))</f>
        <v>53</v>
      </c>
      <c r="AB5" s="46">
        <f>IF($T5="","",ROUND(($T5-30000)/1000,1)+(2.5-_xlfn.RANK.AVG($T5,($J5,$O5,$T5,$Y5)))*20+IF(_xlfn.RANK.EQ($T5,($J5,$O5,$T5,$Y5))=1,20/((_xlfn.RANK.AVG($T5,($J5,$O5,$T5,$Y5))-1)*2+1),0))</f>
        <v>11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5</v>
      </c>
      <c r="BZ5" s="27" t="s">
        <v>174</v>
      </c>
      <c r="CA5" s="36" t="s">
        <v>97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 t="s">
        <v>168</v>
      </c>
      <c r="G6" s="6">
        <v>-2000</v>
      </c>
      <c r="H6" s="6"/>
      <c r="I6" s="6">
        <v>0</v>
      </c>
      <c r="J6" s="18">
        <f t="shared" si="2"/>
        <v>11000</v>
      </c>
      <c r="K6" s="5" t="s">
        <v>167</v>
      </c>
      <c r="L6" s="6">
        <v>8000</v>
      </c>
      <c r="M6" s="6"/>
      <c r="N6" s="6">
        <v>0</v>
      </c>
      <c r="O6" s="18">
        <f t="shared" ref="O6:O30" si="8">IF(COUNTA($F6,$K6,$P6,$U6)&gt;0,O5+SUM(L6:N6),"")</f>
        <v>41000</v>
      </c>
      <c r="P6" s="5" t="s">
        <v>168</v>
      </c>
      <c r="Q6" s="6">
        <v>-4000</v>
      </c>
      <c r="R6" s="6"/>
      <c r="S6" s="6">
        <v>0</v>
      </c>
      <c r="T6" s="18">
        <f t="shared" si="3"/>
        <v>27000</v>
      </c>
      <c r="U6" s="5" t="s">
        <v>168</v>
      </c>
      <c r="V6" s="6">
        <v>-2000</v>
      </c>
      <c r="W6" s="6"/>
      <c r="X6" s="6">
        <v>0</v>
      </c>
      <c r="Y6" s="18">
        <f t="shared" si="4"/>
        <v>21000</v>
      </c>
      <c r="Z6" s="45">
        <f>IF($J6="","",ROUND(($J6-30000)/1000,1)+(2.5-_xlfn.RANK.AVG($J6,($J6,$O6,$T6,$Y6)))*20+IF(_xlfn.RANK.EQ($J6,($J6,$O6,$T6,$Y6))=1,20/((_xlfn.RANK.AVG($J6,($J6,$O6,$T6,$Y6))-1)*2+1),0))</f>
        <v>-49</v>
      </c>
      <c r="AA6" s="46">
        <f>IF($O6="","",ROUND(($O6-30000)/1000,1)+(2.5-_xlfn.RANK.AVG($O6,($J6,$O6,$T6,$Y6)))*20+IF(_xlfn.RANK.EQ($O6,($J6,$O6,$T6,$Y6))=1,20/((_xlfn.RANK.AVG($O6,($J6,$O6,$T6,$Y6))-1)*2+1),0))</f>
        <v>61</v>
      </c>
      <c r="AB6" s="46">
        <f>IF($T6="","",ROUND(($T6-30000)/1000,1)+(2.5-_xlfn.RANK.AVG($T6,($J6,$O6,$T6,$Y6)))*20+IF(_xlfn.RANK.EQ($T6,($J6,$O6,$T6,$Y6))=1,20/((_xlfn.RANK.AVG($T6,($J6,$O6,$T6,$Y6))-1)*2+1),0))</f>
        <v>7</v>
      </c>
      <c r="AC6" s="47">
        <f>IF($Y6="","",ROUND(($Y6-30000)/1000,1)+(2.5-_xlfn.RANK.AVG($Y6,($J6,$O6,$T6,$Y6)))*20+IF(_xlfn.RANK.EQ($Y6,($J6,$O6,$T6,$Y6))=1,20/((_xlfn.RANK.AVG($Y6,($J6,$O6,$T6,$Y6))-1)*2+1),0))</f>
        <v>-19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4</v>
      </c>
      <c r="BE6" s="27">
        <v>30</v>
      </c>
      <c r="BF6" s="36" t="s">
        <v>169</v>
      </c>
      <c r="BG6" s="37" t="s">
        <v>178</v>
      </c>
      <c r="BH6" s="37" t="s">
        <v>73</v>
      </c>
      <c r="BI6" s="37" t="s">
        <v>77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小林莉子</v>
      </c>
      <c r="F7" s="5" t="s">
        <v>166</v>
      </c>
      <c r="G7" s="6">
        <v>2000</v>
      </c>
      <c r="H7" s="6"/>
      <c r="I7" s="6">
        <v>0</v>
      </c>
      <c r="J7" s="18">
        <f t="shared" si="2"/>
        <v>13000</v>
      </c>
      <c r="K7" s="5"/>
      <c r="L7" s="6"/>
      <c r="M7" s="6"/>
      <c r="N7" s="6"/>
      <c r="O7" s="18">
        <f t="shared" si="8"/>
        <v>41000</v>
      </c>
      <c r="P7" s="5" t="s">
        <v>165</v>
      </c>
      <c r="Q7" s="6">
        <v>-2000</v>
      </c>
      <c r="R7" s="6"/>
      <c r="S7" s="6">
        <v>0</v>
      </c>
      <c r="T7" s="18">
        <f t="shared" si="3"/>
        <v>25000</v>
      </c>
      <c r="U7" s="5"/>
      <c r="V7" s="6"/>
      <c r="W7" s="6"/>
      <c r="X7" s="6"/>
      <c r="Y7" s="18">
        <f t="shared" si="4"/>
        <v>21000</v>
      </c>
      <c r="Z7" s="45">
        <f>IF($J7="","",ROUND(($J7-30000)/1000,1)+(2.5-_xlfn.RANK.AVG($J7,($J7,$O7,$T7,$Y7)))*20+IF(_xlfn.RANK.EQ($J7,($J7,$O7,$T7,$Y7))=1,20/((_xlfn.RANK.AVG($J7,($J7,$O7,$T7,$Y7))-1)*2+1),0))</f>
        <v>-47</v>
      </c>
      <c r="AA7" s="46">
        <f>IF($O7="","",ROUND(($O7-30000)/1000,1)+(2.5-_xlfn.RANK.AVG($O7,($J7,$O7,$T7,$Y7)))*20+IF(_xlfn.RANK.EQ($O7,($J7,$O7,$T7,$Y7))=1,20/((_xlfn.RANK.AVG($O7,($J7,$O7,$T7,$Y7))-1)*2+1),0))</f>
        <v>61</v>
      </c>
      <c r="AB7" s="46">
        <f>IF($T7="","",ROUND(($T7-30000)/1000,1)+(2.5-_xlfn.RANK.AVG($T7,($J7,$O7,$T7,$Y7)))*20+IF(_xlfn.RANK.EQ($T7,($J7,$O7,$T7,$Y7))=1,20/((_xlfn.RANK.AVG($T7,($J7,$O7,$T7,$Y7))-1)*2+1),0))</f>
        <v>5</v>
      </c>
      <c r="AC7" s="47">
        <f>IF($Y7="","",ROUND(($Y7-30000)/1000,1)+(2.5-_xlfn.RANK.AVG($Y7,($J7,$O7,$T7,$Y7)))*20+IF(_xlfn.RANK.EQ($Y7,($J7,$O7,$T7,$Y7))=1,20/((_xlfn.RANK.AVG($Y7,($J7,$O7,$T7,$Y7))-1)*2+1),0))</f>
        <v>-19</v>
      </c>
      <c r="AE7" s="5"/>
      <c r="AF7" s="30"/>
      <c r="AG7" s="23">
        <v>1</v>
      </c>
      <c r="AH7" s="23"/>
      <c r="AI7" s="23">
        <v>2</v>
      </c>
      <c r="AJ7" s="27">
        <v>30</v>
      </c>
      <c r="AK7" s="36" t="s">
        <v>169</v>
      </c>
      <c r="AL7" s="37" t="s">
        <v>74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清水遙斗</v>
      </c>
      <c r="F8" s="5" t="s">
        <v>173</v>
      </c>
      <c r="G8" s="6">
        <v>3000</v>
      </c>
      <c r="H8" s="6">
        <v>-1000</v>
      </c>
      <c r="I8" s="6"/>
      <c r="J8" s="18">
        <f t="shared" si="2"/>
        <v>15000</v>
      </c>
      <c r="K8" s="5" t="s">
        <v>173</v>
      </c>
      <c r="L8" s="6">
        <v>-1000</v>
      </c>
      <c r="M8" s="6"/>
      <c r="N8" s="6"/>
      <c r="O8" s="18">
        <f t="shared" si="8"/>
        <v>40000</v>
      </c>
      <c r="P8" s="5" t="s">
        <v>173</v>
      </c>
      <c r="Q8" s="6">
        <v>-1000</v>
      </c>
      <c r="R8" s="6"/>
      <c r="S8" s="6"/>
      <c r="T8" s="18">
        <f t="shared" si="3"/>
        <v>24000</v>
      </c>
      <c r="U8" s="5" t="s">
        <v>173</v>
      </c>
      <c r="V8" s="6">
        <v>-1000</v>
      </c>
      <c r="W8" s="6"/>
      <c r="X8" s="6"/>
      <c r="Y8" s="18">
        <f t="shared" si="4"/>
        <v>20000</v>
      </c>
      <c r="Z8" s="45">
        <f>IF($J8="","",ROUND(($J8-30000)/1000,1)+(2.5-_xlfn.RANK.AVG($J8,($J8,$O8,$T8,$Y8)))*20+IF(_xlfn.RANK.EQ($J8,($J8,$O8,$T8,$Y8))=1,20/((_xlfn.RANK.AVG($J8,($J8,$O8,$T8,$Y8))-1)*2+1),0))</f>
        <v>-45</v>
      </c>
      <c r="AA8" s="46">
        <f>IF($O8="","",ROUND(($O8-30000)/1000,1)+(2.5-_xlfn.RANK.AVG($O8,($J8,$O8,$T8,$Y8)))*20+IF(_xlfn.RANK.EQ($O8,($J8,$O8,$T8,$Y8))=1,20/((_xlfn.RANK.AVG($O8,($J8,$O8,$T8,$Y8))-1)*2+1),0))</f>
        <v>60</v>
      </c>
      <c r="AB8" s="46">
        <f>IF($T8="","",ROUND(($T8-30000)/1000,1)+(2.5-_xlfn.RANK.AVG($T8,($J8,$O8,$T8,$Y8)))*20+IF(_xlfn.RANK.EQ($T8,($J8,$O8,$T8,$Y8))=1,20/((_xlfn.RANK.AVG($T8,($J8,$O8,$T8,$Y8))-1)*2+1),0))</f>
        <v>4</v>
      </c>
      <c r="AC8" s="47">
        <f>IF($Y8="","",ROUND(($Y8-30000)/1000,1)+(2.5-_xlfn.RANK.AVG($Y8,($J8,$O8,$T8,$Y8)))*20+IF(_xlfn.RANK.EQ($Y8,($J8,$O8,$T8,$Y8))=1,20/((_xlfn.RANK.AVG($Y8,($J8,$O8,$T8,$Y8))-1)*2+1),0))</f>
        <v>-20</v>
      </c>
      <c r="AE8" s="5" t="s">
        <v>172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清水遙斗</v>
      </c>
      <c r="F9" s="5" t="s">
        <v>173</v>
      </c>
      <c r="G9" s="6">
        <v>1500</v>
      </c>
      <c r="H9" s="6">
        <v>-1000</v>
      </c>
      <c r="I9" s="6"/>
      <c r="J9" s="18">
        <f t="shared" si="2"/>
        <v>15500</v>
      </c>
      <c r="K9" s="5" t="s">
        <v>173</v>
      </c>
      <c r="L9" s="6">
        <v>-1500</v>
      </c>
      <c r="M9" s="6"/>
      <c r="N9" s="6"/>
      <c r="O9" s="18">
        <f t="shared" si="8"/>
        <v>38500</v>
      </c>
      <c r="P9" s="5" t="s">
        <v>173</v>
      </c>
      <c r="Q9" s="6">
        <v>1500</v>
      </c>
      <c r="R9" s="6"/>
      <c r="S9" s="6"/>
      <c r="T9" s="18">
        <f t="shared" si="3"/>
        <v>25500</v>
      </c>
      <c r="U9" s="5" t="s">
        <v>173</v>
      </c>
      <c r="V9" s="6">
        <v>-1500</v>
      </c>
      <c r="W9" s="6"/>
      <c r="X9" s="6"/>
      <c r="Y9" s="18">
        <f t="shared" si="4"/>
        <v>18500</v>
      </c>
      <c r="Z9" s="45">
        <f>IF($J9="","",ROUND(($J9-30000)/1000,1)+(2.5-_xlfn.RANK.AVG($J9,($J9,$O9,$T9,$Y9)))*20+IF(_xlfn.RANK.EQ($J9,($J9,$O9,$T9,$Y9))=1,20/((_xlfn.RANK.AVG($J9,($J9,$O9,$T9,$Y9))-1)*2+1),0))</f>
        <v>-44.5</v>
      </c>
      <c r="AA9" s="46">
        <f>IF($O9="","",ROUND(($O9-30000)/1000,1)+(2.5-_xlfn.RANK.AVG($O9,($J9,$O9,$T9,$Y9)))*20+IF(_xlfn.RANK.EQ($O9,($J9,$O9,$T9,$Y9))=1,20/((_xlfn.RANK.AVG($O9,($J9,$O9,$T9,$Y9))-1)*2+1),0))</f>
        <v>58.5</v>
      </c>
      <c r="AB9" s="46">
        <f>IF($T9="","",ROUND(($T9-30000)/1000,1)+(2.5-_xlfn.RANK.AVG($T9,($J9,$O9,$T9,$Y9)))*20+IF(_xlfn.RANK.EQ($T9,($J9,$O9,$T9,$Y9))=1,20/((_xlfn.RANK.AVG($T9,($J9,$O9,$T9,$Y9))-1)*2+1),0))</f>
        <v>5.5</v>
      </c>
      <c r="AC9" s="47">
        <f>IF($Y9="","",ROUND(($Y9-30000)/1000,1)+(2.5-_xlfn.RANK.AVG($Y9,($J9,$O9,$T9,$Y9)))*20+IF(_xlfn.RANK.EQ($Y9,($J9,$O9,$T9,$Y9))=1,20/((_xlfn.RANK.AVG($Y9,($J9,$O9,$T9,$Y9))-1)*2+1),0))</f>
        <v>-21.5</v>
      </c>
      <c r="AE9" s="5" t="s">
        <v>172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171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171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2</v>
      </c>
      <c r="E10" s="58" t="str">
        <f>IF($F$1="","",$F$1)</f>
        <v>清水遙斗</v>
      </c>
      <c r="F10" s="5" t="s">
        <v>165</v>
      </c>
      <c r="G10" s="6">
        <v>-3900</v>
      </c>
      <c r="H10" s="6"/>
      <c r="I10" s="6">
        <v>-600</v>
      </c>
      <c r="J10" s="18">
        <f t="shared" si="2"/>
        <v>11000</v>
      </c>
      <c r="K10" s="5"/>
      <c r="L10" s="6"/>
      <c r="M10" s="6"/>
      <c r="N10" s="6"/>
      <c r="O10" s="18">
        <f t="shared" si="8"/>
        <v>38500</v>
      </c>
      <c r="P10" s="5" t="s">
        <v>166</v>
      </c>
      <c r="Q10" s="6">
        <v>3900</v>
      </c>
      <c r="R10" s="6">
        <v>3000</v>
      </c>
      <c r="S10" s="6">
        <v>600</v>
      </c>
      <c r="T10" s="18">
        <f t="shared" si="3"/>
        <v>33000</v>
      </c>
      <c r="U10" s="5"/>
      <c r="V10" s="6"/>
      <c r="W10" s="6">
        <v>-1000</v>
      </c>
      <c r="X10" s="6"/>
      <c r="Y10" s="18">
        <f t="shared" si="4"/>
        <v>17500</v>
      </c>
      <c r="Z10" s="45">
        <f>IF($J10="","",ROUND(($J10-30000)/1000,1)+(2.5-_xlfn.RANK.AVG($J10,($J10,$O10,$T10,$Y10)))*20+IF(_xlfn.RANK.EQ($J10,($J10,$O10,$T10,$Y10))=1,20/((_xlfn.RANK.AVG($J10,($J10,$O10,$T10,$Y10))-1)*2+1),0))</f>
        <v>-49</v>
      </c>
      <c r="AA10" s="46">
        <f>IF($O10="","",ROUND(($O10-30000)/1000,1)+(2.5-_xlfn.RANK.AVG($O10,($J10,$O10,$T10,$Y10)))*20+IF(_xlfn.RANK.EQ($O10,($J10,$O10,$T10,$Y10))=1,20/((_xlfn.RANK.AVG($O10,($J10,$O10,$T10,$Y10))-1)*2+1),0))</f>
        <v>58.5</v>
      </c>
      <c r="AB10" s="46">
        <f>IF($T10="","",ROUND(($T10-30000)/1000,1)+(2.5-_xlfn.RANK.AVG($T10,($J10,$O10,$T10,$Y10)))*20+IF(_xlfn.RANK.EQ($T10,($J10,$O10,$T10,$Y10))=1,20/((_xlfn.RANK.AVG($T10,($J10,$O10,$T10,$Y10))-1)*2+1),0))</f>
        <v>13</v>
      </c>
      <c r="AC10" s="47">
        <f>IF($Y10="","",ROUND(($Y10-30000)/1000,1)+(2.5-_xlfn.RANK.AVG($Y10,($J10,$O10,$T10,$Y10)))*20+IF(_xlfn.RANK.EQ($Y10,($J10,$O10,$T10,$Y10))=1,20/((_xlfn.RANK.AVG($Y10,($J10,$O10,$T10,$Y10))-1)*2+1),0))</f>
        <v>-22.5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3</v>
      </c>
      <c r="BZ10" s="27">
        <v>30</v>
      </c>
      <c r="CA10" s="36" t="s">
        <v>169</v>
      </c>
      <c r="CB10" s="37" t="s">
        <v>178</v>
      </c>
      <c r="CC10" s="37" t="s">
        <v>74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等々力潤</v>
      </c>
      <c r="F11" s="5"/>
      <c r="G11" s="6"/>
      <c r="H11" s="6"/>
      <c r="I11" s="6"/>
      <c r="J11" s="18">
        <f t="shared" si="2"/>
        <v>11000</v>
      </c>
      <c r="K11" s="5"/>
      <c r="L11" s="6"/>
      <c r="M11" s="6"/>
      <c r="N11" s="6"/>
      <c r="O11" s="18">
        <f t="shared" si="8"/>
        <v>38500</v>
      </c>
      <c r="P11" s="5" t="s">
        <v>165</v>
      </c>
      <c r="Q11" s="6">
        <v>-2000</v>
      </c>
      <c r="R11" s="6"/>
      <c r="S11" s="6">
        <v>0</v>
      </c>
      <c r="T11" s="18">
        <f t="shared" si="3"/>
        <v>31000</v>
      </c>
      <c r="U11" s="5" t="s">
        <v>166</v>
      </c>
      <c r="V11" s="6">
        <v>2000</v>
      </c>
      <c r="W11" s="6"/>
      <c r="X11" s="6">
        <v>0</v>
      </c>
      <c r="Y11" s="18">
        <f t="shared" si="4"/>
        <v>19500</v>
      </c>
      <c r="Z11" s="45">
        <f>IF($J11="","",ROUND(($J11-30000)/1000,1)+(2.5-_xlfn.RANK.AVG($J11,($J11,$O11,$T11,$Y11)))*20+IF(_xlfn.RANK.EQ($J11,($J11,$O11,$T11,$Y11))=1,20/((_xlfn.RANK.AVG($J11,($J11,$O11,$T11,$Y11))-1)*2+1),0))</f>
        <v>-49</v>
      </c>
      <c r="AA11" s="46">
        <f>IF($O11="","",ROUND(($O11-30000)/1000,1)+(2.5-_xlfn.RANK.AVG($O11,($J11,$O11,$T11,$Y11)))*20+IF(_xlfn.RANK.EQ($O11,($J11,$O11,$T11,$Y11))=1,20/((_xlfn.RANK.AVG($O11,($J11,$O11,$T11,$Y11))-1)*2+1),0))</f>
        <v>58.5</v>
      </c>
      <c r="AB11" s="46">
        <f>IF($T11="","",ROUND(($T11-30000)/1000,1)+(2.5-_xlfn.RANK.AVG($T11,($J11,$O11,$T11,$Y11)))*20+IF(_xlfn.RANK.EQ($T11,($J11,$O11,$T11,$Y11))=1,20/((_xlfn.RANK.AVG($T11,($J11,$O11,$T11,$Y11))-1)*2+1),0))</f>
        <v>11</v>
      </c>
      <c r="AC11" s="47">
        <f>IF($Y11="","",ROUND(($Y11-30000)/1000,1)+(2.5-_xlfn.RANK.AVG($Y11,($J11,$O11,$T11,$Y11)))*20+IF(_xlfn.RANK.EQ($Y11,($J11,$O11,$T11,$Y11))=1,20/((_xlfn.RANK.AVG($Y11,($J11,$O11,$T11,$Y11))-1)*2+1),0))</f>
        <v>-20.5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2</v>
      </c>
      <c r="CU11" s="27">
        <v>30</v>
      </c>
      <c r="CV11" s="36" t="s">
        <v>77</v>
      </c>
      <c r="CW11" s="37" t="s">
        <v>70</v>
      </c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山本悠介</v>
      </c>
      <c r="F12" s="5" t="s">
        <v>168</v>
      </c>
      <c r="G12" s="6">
        <v>-1000</v>
      </c>
      <c r="H12" s="6"/>
      <c r="I12" s="6">
        <v>0</v>
      </c>
      <c r="J12" s="18">
        <f t="shared" si="2"/>
        <v>10000</v>
      </c>
      <c r="K12" s="5" t="s">
        <v>168</v>
      </c>
      <c r="L12" s="6">
        <v>-1000</v>
      </c>
      <c r="M12" s="6"/>
      <c r="N12" s="6">
        <v>0</v>
      </c>
      <c r="O12" s="18">
        <f t="shared" si="8"/>
        <v>37500</v>
      </c>
      <c r="P12" s="5" t="s">
        <v>167</v>
      </c>
      <c r="Q12" s="6">
        <v>3000</v>
      </c>
      <c r="R12" s="6"/>
      <c r="S12" s="6">
        <v>0</v>
      </c>
      <c r="T12" s="18">
        <f t="shared" si="3"/>
        <v>34000</v>
      </c>
      <c r="U12" s="5" t="s">
        <v>168</v>
      </c>
      <c r="V12" s="6">
        <v>-1000</v>
      </c>
      <c r="W12" s="6"/>
      <c r="X12" s="6">
        <v>0</v>
      </c>
      <c r="Y12" s="18">
        <f t="shared" si="4"/>
        <v>18500</v>
      </c>
      <c r="Z12" s="45">
        <f>IF($J12="","",ROUND(($J12-30000)/1000,1)+(2.5-_xlfn.RANK.AVG($J12,($J12,$O12,$T12,$Y12)))*20+IF(_xlfn.RANK.EQ($J12,($J12,$O12,$T12,$Y12))=1,20/((_xlfn.RANK.AVG($J12,($J12,$O12,$T12,$Y12))-1)*2+1),0))</f>
        <v>-50</v>
      </c>
      <c r="AA12" s="46">
        <f>IF($O12="","",ROUND(($O12-30000)/1000,1)+(2.5-_xlfn.RANK.AVG($O12,($J12,$O12,$T12,$Y12)))*20+IF(_xlfn.RANK.EQ($O12,($J12,$O12,$T12,$Y12))=1,20/((_xlfn.RANK.AVG($O12,($J12,$O12,$T12,$Y12))-1)*2+1),0))</f>
        <v>57.5</v>
      </c>
      <c r="AB12" s="46">
        <f>IF($T12="","",ROUND(($T12-30000)/1000,1)+(2.5-_xlfn.RANK.AVG($T12,($J12,$O12,$T12,$Y12)))*20+IF(_xlfn.RANK.EQ($T12,($J12,$O12,$T12,$Y12))=1,20/((_xlfn.RANK.AVG($T12,($J12,$O12,$T12,$Y12))-1)*2+1),0))</f>
        <v>14</v>
      </c>
      <c r="AC12" s="47">
        <f>IF($Y12="","",ROUND(($Y12-30000)/1000,1)+(2.5-_xlfn.RANK.AVG($Y12,($J12,$O12,$T12,$Y12)))*20+IF(_xlfn.RANK.EQ($Y12,($J12,$O12,$T12,$Y12))=1,20/((_xlfn.RANK.AVG($Y12,($J12,$O12,$T12,$Y12))-1)*2+1),0))</f>
        <v>-21.5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2</v>
      </c>
      <c r="BZ12" s="27">
        <v>30</v>
      </c>
      <c r="CA12" s="36" t="s">
        <v>77</v>
      </c>
      <c r="CB12" s="37" t="s">
        <v>170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1</v>
      </c>
      <c r="D13" s="15">
        <f t="shared" si="7"/>
        <v>0</v>
      </c>
      <c r="E13" s="58" t="str">
        <f>IF($P$1="","",$P$1)</f>
        <v>山本悠介</v>
      </c>
      <c r="F13" s="5"/>
      <c r="G13" s="6"/>
      <c r="H13" s="6"/>
      <c r="I13" s="6"/>
      <c r="J13" s="18">
        <f t="shared" si="2"/>
        <v>10000</v>
      </c>
      <c r="K13" s="5" t="s">
        <v>166</v>
      </c>
      <c r="L13" s="6">
        <v>2000</v>
      </c>
      <c r="M13" s="6"/>
      <c r="N13" s="6">
        <v>300</v>
      </c>
      <c r="O13" s="18">
        <f t="shared" si="8"/>
        <v>39800</v>
      </c>
      <c r="P13" s="5"/>
      <c r="Q13" s="6"/>
      <c r="R13" s="6"/>
      <c r="S13" s="6"/>
      <c r="T13" s="18">
        <f t="shared" si="3"/>
        <v>34000</v>
      </c>
      <c r="U13" s="5" t="s">
        <v>165</v>
      </c>
      <c r="V13" s="6">
        <v>-2000</v>
      </c>
      <c r="W13" s="6"/>
      <c r="X13" s="6">
        <v>-300</v>
      </c>
      <c r="Y13" s="18">
        <f t="shared" si="4"/>
        <v>16200</v>
      </c>
      <c r="Z13" s="45">
        <f>IF($J13="","",ROUND(($J13-30000)/1000,1)+(2.5-_xlfn.RANK.AVG($J13,($J13,$O13,$T13,$Y13)))*20+IF(_xlfn.RANK.EQ($J13,($J13,$O13,$T13,$Y13))=1,20/((_xlfn.RANK.AVG($J13,($J13,$O13,$T13,$Y13))-1)*2+1),0))</f>
        <v>-50</v>
      </c>
      <c r="AA13" s="46">
        <f>IF($O13="","",ROUND(($O13-30000)/1000,1)+(2.5-_xlfn.RANK.AVG($O13,($J13,$O13,$T13,$Y13)))*20+IF(_xlfn.RANK.EQ($O13,($J13,$O13,$T13,$Y13))=1,20/((_xlfn.RANK.AVG($O13,($J13,$O13,$T13,$Y13))-1)*2+1),0))</f>
        <v>59.8</v>
      </c>
      <c r="AB13" s="46">
        <f>IF($T13="","",ROUND(($T13-30000)/1000,1)+(2.5-_xlfn.RANK.AVG($T13,($J13,$O13,$T13,$Y13)))*20+IF(_xlfn.RANK.EQ($T13,($J13,$O13,$T13,$Y13))=1,20/((_xlfn.RANK.AVG($T13,($J13,$O13,$T13,$Y13))-1)*2+1),0))</f>
        <v>14</v>
      </c>
      <c r="AC13" s="47">
        <f>IF($Y13="","",ROUND(($Y13-30000)/1000,1)+(2.5-_xlfn.RANK.AVG($Y13,($J13,$O13,$T13,$Y13)))*20+IF(_xlfn.RANK.EQ($Y13,($J13,$O13,$T13,$Y13))=1,20/((_xlfn.RANK.AVG($Y13,($J13,$O13,$T13,$Y13))-1)*2+1),0))</f>
        <v>-23.8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>
        <v>2</v>
      </c>
      <c r="BE13" s="27">
        <v>30</v>
      </c>
      <c r="BF13" s="36" t="s">
        <v>76</v>
      </c>
      <c r="BG13" s="37" t="s">
        <v>170</v>
      </c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小林莉子</v>
      </c>
      <c r="F14" s="5" t="s">
        <v>173</v>
      </c>
      <c r="G14" s="6">
        <v>3000</v>
      </c>
      <c r="H14" s="6">
        <v>-1000</v>
      </c>
      <c r="I14" s="6"/>
      <c r="J14" s="18">
        <f t="shared" si="2"/>
        <v>12000</v>
      </c>
      <c r="K14" s="5" t="s">
        <v>173</v>
      </c>
      <c r="L14" s="6">
        <v>-1000</v>
      </c>
      <c r="M14" s="6"/>
      <c r="N14" s="6"/>
      <c r="O14" s="18">
        <f t="shared" si="8"/>
        <v>38800</v>
      </c>
      <c r="P14" s="5" t="s">
        <v>173</v>
      </c>
      <c r="Q14" s="6">
        <v>-1000</v>
      </c>
      <c r="R14" s="6"/>
      <c r="S14" s="6"/>
      <c r="T14" s="18">
        <f t="shared" si="3"/>
        <v>33000</v>
      </c>
      <c r="U14" s="5" t="s">
        <v>173</v>
      </c>
      <c r="V14" s="6">
        <v>-1000</v>
      </c>
      <c r="W14" s="6"/>
      <c r="X14" s="6"/>
      <c r="Y14" s="18">
        <f>IF(COUNTA($F14,$K14,$P14,$U14)&gt;0,Y13+SUM(V14:X14),"")</f>
        <v>15200</v>
      </c>
      <c r="Z14" s="45">
        <f>IF($J14="","",ROUND(($J14-30000)/1000,1)+(2.5-_xlfn.RANK.AVG($J14,($J14,$O14,$T14,$Y14)))*20+IF(_xlfn.RANK.EQ($J14,($J14,$O14,$T14,$Y14))=1,20/((_xlfn.RANK.AVG($J14,($J14,$O14,$T14,$Y14))-1)*2+1),0))</f>
        <v>-48</v>
      </c>
      <c r="AA14" s="46">
        <f>IF($O14="","",ROUND(($O14-30000)/1000,1)+(2.5-_xlfn.RANK.AVG($O14,($J14,$O14,$T14,$Y14)))*20+IF(_xlfn.RANK.EQ($O14,($J14,$O14,$T14,$Y14))=1,20/((_xlfn.RANK.AVG($O14,($J14,$O14,$T14,$Y14))-1)*2+1),0))</f>
        <v>58.8</v>
      </c>
      <c r="AB14" s="46">
        <f>IF($T14="","",ROUND(($T14-30000)/1000,1)+(2.5-_xlfn.RANK.AVG($T14,($J14,$O14,$T14,$Y14)))*20+IF(_xlfn.RANK.EQ($T14,($J14,$O14,$T14,$Y14))=1,20/((_xlfn.RANK.AVG($T14,($J14,$O14,$T14,$Y14))-1)*2+1),0))</f>
        <v>13</v>
      </c>
      <c r="AC14" s="47">
        <f>IF($Y14="","",ROUND(($Y14-30000)/1000,1)+(2.5-_xlfn.RANK.AVG($Y14,($J14,$O14,$T14,$Y14)))*20+IF(_xlfn.RANK.EQ($Y14,($J14,$O14,$T14,$Y14))=1,20/((_xlfn.RANK.AVG($Y14,($J14,$O14,$T14,$Y14))-1)*2+1),0))</f>
        <v>-24.8</v>
      </c>
      <c r="AE14" s="5" t="s">
        <v>172</v>
      </c>
      <c r="AF14" s="30"/>
      <c r="AG14" s="23">
        <v>1</v>
      </c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 t="s">
        <v>171</v>
      </c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 t="s">
        <v>171</v>
      </c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 t="s">
        <v>171</v>
      </c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>西</v>
      </c>
      <c r="B15" s="15">
        <f t="shared" si="5"/>
        <v>1</v>
      </c>
      <c r="C15" s="15">
        <f t="shared" si="6"/>
        <v>1</v>
      </c>
      <c r="D15" s="15">
        <f t="shared" si="7"/>
        <v>1</v>
      </c>
      <c r="E15" s="58" t="str">
        <f>IF($F$1="","",$F$1)</f>
        <v>清水遙斗</v>
      </c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1" priority="1"/>
  </conditionalFormatting>
  <dataValidations count="3">
    <dataValidation type="list" showInputMessage="1" showErrorMessage="1" sqref="K4:K30 P4:P30 F4:F30 U4:U30" xr:uid="{88200685-E3CF-46C2-8D78-D5FC485CF8C6}">
      <formula1>"ロン,ツモ,放銃,ツモ支払,流局,チョンボ"</formula1>
    </dataValidation>
    <dataValidation type="list" allowBlank="1" showInputMessage="1" showErrorMessage="1" sqref="E4:E30" xr:uid="{B3CBEB2E-0BDB-4474-B23F-69E46D93B6BE}">
      <formula1>$Z$2:$AC$2</formula1>
    </dataValidation>
    <dataValidation type="list" allowBlank="1" showInputMessage="1" sqref="F1:Y1" xr:uid="{87E88DF3-CB23-4ADC-A9E8-2E2F0EECA3CB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2026-07-17T09:37:31Z</dcterms:modified>
</cp:coreProperties>
</file>