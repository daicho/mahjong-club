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\MahjongClub\mahjong-club\成績管理システム\対局\"/>
    </mc:Choice>
  </mc:AlternateContent>
  <xr:revisionPtr revIDLastSave="0" documentId="13_ncr:1_{AA1D561C-6805-43EC-8F73-BD8E8F4752B1}" xr6:coauthVersionLast="47" xr6:coauthVersionMax="47" xr10:uidLastSave="{00000000-0000-0000-0000-000000000000}"/>
  <bookViews>
    <workbookView xWindow="-120" yWindow="-120" windowWidth="20730" windowHeight="1116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28" l="1"/>
  <c r="D9" i="28" s="1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AC10" i="28" s="1"/>
  <c r="T10" i="28"/>
  <c r="AB10" i="28" s="1"/>
  <c r="O10" i="28"/>
  <c r="AA10" i="28" s="1"/>
  <c r="J10" i="28"/>
  <c r="Z10" i="28" s="1"/>
  <c r="D10" i="28"/>
  <c r="C10" i="28"/>
  <c r="B10" i="28"/>
  <c r="D8" i="28"/>
  <c r="D7" i="28"/>
  <c r="D6" i="28"/>
  <c r="D5" i="28"/>
  <c r="Y4" i="28"/>
  <c r="T4" i="28"/>
  <c r="T5" i="28" s="1"/>
  <c r="O4" i="28"/>
  <c r="O5" i="28" s="1"/>
  <c r="O6" i="28" s="1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8" i="27"/>
  <c r="E7" i="27"/>
  <c r="E6" i="27"/>
  <c r="E5" i="27"/>
  <c r="C9" i="28" l="1"/>
  <c r="C5" i="28"/>
  <c r="C6" i="28" s="1"/>
  <c r="AC4" i="28"/>
  <c r="AA4" i="28"/>
  <c r="T6" i="28"/>
  <c r="O7" i="28"/>
  <c r="J6" i="28"/>
  <c r="Z4" i="28"/>
  <c r="Y5" i="28"/>
  <c r="Z5" i="28" s="1"/>
  <c r="C7" i="28"/>
  <c r="C8" i="28" s="1"/>
  <c r="B5" i="28"/>
  <c r="AB4" i="28"/>
  <c r="AA5" i="28"/>
  <c r="E4" i="27"/>
  <c r="AB5" i="28" l="1"/>
  <c r="J7" i="28"/>
  <c r="Y6" i="28"/>
  <c r="Z6" i="28" s="1"/>
  <c r="AC5" i="28"/>
  <c r="O8" i="28"/>
  <c r="O9" i="28" s="1"/>
  <c r="T7" i="28"/>
  <c r="AB6" i="28"/>
  <c r="B6" i="28"/>
  <c r="A5" i="28"/>
  <c r="AA6" i="28"/>
  <c r="AC3" i="27"/>
  <c r="AA3" i="27"/>
  <c r="AB3" i="27"/>
  <c r="Z3" i="27"/>
  <c r="A6" i="28" l="1"/>
  <c r="J8" i="28"/>
  <c r="J9" i="28" s="1"/>
  <c r="B7" i="28"/>
  <c r="T8" i="28"/>
  <c r="T9" i="28" s="1"/>
  <c r="Y7" i="28"/>
  <c r="Z7" i="28" s="1"/>
  <c r="AC6" i="28"/>
  <c r="CP1" i="27"/>
  <c r="AC2" i="27"/>
  <c r="BU1" i="27"/>
  <c r="AB2" i="27"/>
  <c r="AZ1" i="27"/>
  <c r="AA2" i="27"/>
  <c r="AE1" i="27"/>
  <c r="Z2" i="27"/>
  <c r="A7" i="28" l="1"/>
  <c r="AB7" i="28"/>
  <c r="Y8" i="28"/>
  <c r="AC7" i="28"/>
  <c r="AA7" i="28"/>
  <c r="B8" i="28"/>
  <c r="B9" i="28" s="1"/>
  <c r="Z8" i="28"/>
  <c r="AB8" i="28"/>
  <c r="AA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D8" i="27"/>
  <c r="D7" i="27"/>
  <c r="C7" i="27"/>
  <c r="C8" i="27" s="1"/>
  <c r="D6" i="27"/>
  <c r="D5" i="27"/>
  <c r="C5" i="27"/>
  <c r="C6" i="27" s="1"/>
  <c r="B5" i="27"/>
  <c r="A5" i="27" s="1"/>
  <c r="Y4" i="27"/>
  <c r="T4" i="27"/>
  <c r="O4" i="27"/>
  <c r="O5" i="27" s="1"/>
  <c r="J4" i="27"/>
  <c r="J5" i="27" s="1"/>
  <c r="J6" i="27" s="1"/>
  <c r="J7" i="27" s="1"/>
  <c r="J8" i="27" s="1"/>
  <c r="AC8" i="28" l="1"/>
  <c r="Y9" i="28"/>
  <c r="B6" i="27"/>
  <c r="B7" i="27" s="1"/>
  <c r="B8" i="27" s="1"/>
  <c r="A8" i="28"/>
  <c r="A9" i="28" s="1"/>
  <c r="A10" i="28" s="1"/>
  <c r="A6" i="27"/>
  <c r="A7" i="27" s="1"/>
  <c r="A8" i="27" s="1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9" i="28" l="1"/>
  <c r="AA9" i="28"/>
  <c r="Z9" i="28"/>
  <c r="AB9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<sst xmlns="http://schemas.openxmlformats.org/spreadsheetml/2006/main" count="649" uniqueCount="173">
  <si>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</si>
  <si>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</si>
  <si>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</si>
  <si>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</si>
  <si>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</si>
  <si>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</si>
  <si>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</si>
  <si>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</si>
  <si>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</si>
  <si>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</si>
  <si>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</si>
  <si>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</si>
  <si>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</si>
  <si>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</si>
  <si>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</si>
  <si>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</si>
  <si>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</si>
  <si>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</si>
  <si>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</si>
  <si>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</si>
  <si>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</si>
  <si>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</si>
  <si>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</si>
  <si>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</si>
  <si>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</si>
  <si>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</si>
  <si>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</si>
  <si>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</si>
  <si>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</si>
  <si>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</si>
  <si>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</si>
  <si>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</si>
  <si>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</si>
  <si>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</si>
  <si>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</si>
  <si>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</si>
  <si>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</si>
  <si>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</si>
  <si>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</si>
  <si>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</si>
  <si>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</si>
  <si>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</si>
  <si>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</si>
  <si>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</si>
  <si>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</si>
  <si>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</si>
  <si>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</si>
  <si>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</si>
  <si>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</si>
  <si>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</si>
  <si>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</si>
  <si>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</si>
  <si>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</si>
  <si>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</si>
  <si>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</si>
  <si>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</si>
  <si>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</si>
  <si>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</si>
  <si>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</si>
  <si>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</si>
  <si>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</si>
  <si>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</si>
  <si>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</si>
  <si>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</si>
  <si>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</si>
  <si>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</si>
  <si>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</si>
  <si>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</si>
  <si>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</si>
  <si>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</si>
  <si>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</si>
  <si>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</si>
  <si>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</si>
  <si>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</si>
  <si>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</si>
  <si>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</si>
  <si>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</si>
  <si>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</si>
  <si>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</si>
  <si>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</si>
  <si>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</si>
  <si>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</si>
  <si>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</si>
  <si>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</si>
  <si>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</si>
  <si>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</si>
  <si>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</si>
  <si>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</si>
  <si>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</si>
  <si>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</si>
  <si>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</si>
  <si>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</si>
  <si>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</si>
  <si>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</si>
  <si>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</si>
  <si>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</si>
  <si>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</si>
  <si>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</si>
  <si>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</si>
  <si>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</si>
  <si>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</si>
  <si>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</si>
  <si>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</si>
  <si>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</si>
  <si>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</si>
  <si>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</si>
  <si>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</si>
  <si>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</si>
  <si>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</si>
  <si>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</si>
  <si>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</si>
  <si>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</si>
  <si>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</si>
  <si>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</si>
  <si>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</si>
  <si>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</si>
  <si>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</si>
  <si>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</si>
  <si>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</si>
  <si>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</si>
  <si>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</si>
  <si>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</si>
  <si>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</si>
  <si>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</si>
  <si>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</si>
  <si>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</si>
  <si>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</si>
  <si>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</si>
  <si>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</si>
  <si>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</si>
  <si>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</si>
  <si>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</si>
  <si>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</si>
  <si>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</si>
  <si>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</si>
  <si>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</si>
  <si>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</si>
  <si>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</si>
  <si>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</si>
  <si>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</si>
  <si>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</si>
  <si>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</si>
  <si>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</si>
  <si>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</si>
  <si>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</si>
  <si>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</si>
  <si>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</si>
  <si>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</si>
  <si>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</si>
  <si>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</si>
  <si>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</si>
  <si>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</si>
  <si>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</si>
  <si>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</si>
  <si>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</si>
  <si>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</si>
  <si>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</si>
  <si>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</si>
  <si>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</si>
  <si>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</si>
  <si>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</si>
  <si>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柳澤颯吾</t>
  </si>
  <si>
    <t>佐藤成浩</t>
  </si>
  <si>
    <t>関谷洸佑</t>
  </si>
  <si>
    <t>巻島夢樹</t>
  </si>
  <si>
    <t>放銃</t>
  </si>
  <si>
    <t>ロン</t>
  </si>
  <si>
    <t>01</t>
  </si>
  <si>
    <t>52</t>
  </si>
  <si>
    <t>ツモ支払</t>
  </si>
  <si>
    <t>ツモ</t>
  </si>
  <si>
    <t>02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</si>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</sst>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K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161</v>
      </c>
      <c r="G1" s="73"/>
      <c r="H1" s="73"/>
      <c r="I1" s="74"/>
      <c r="J1" s="75"/>
      <c r="K1" s="72" t="s">
        <v>162</v>
      </c>
      <c r="L1" s="73"/>
      <c r="M1" s="73"/>
      <c r="N1" s="74"/>
      <c r="O1" s="75"/>
      <c r="P1" s="72" t="s">
        <v>163</v>
      </c>
      <c r="Q1" s="73"/>
      <c r="R1" s="73"/>
      <c r="S1" s="74"/>
      <c r="T1" s="75"/>
      <c r="U1" s="72" t="s">
        <v>164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柳澤颯吾</v>
      </c>
      <c r="AF1" s="82" t="str">
        <f t="shared" ref="AF1:AY1" si="0">$F$1</f>
        <v>柳澤颯吾</v>
      </c>
      <c r="AG1" s="73" t="str">
        <f t="shared" si="0"/>
        <v>柳澤颯吾</v>
      </c>
      <c r="AH1" s="73" t="str">
        <f t="shared" si="0"/>
        <v>柳澤颯吾</v>
      </c>
      <c r="AI1" s="73" t="str">
        <f t="shared" si="0"/>
        <v>柳澤颯吾</v>
      </c>
      <c r="AJ1" s="73" t="str">
        <f t="shared" si="0"/>
        <v>柳澤颯吾</v>
      </c>
      <c r="AK1" s="73" t="str">
        <f t="shared" si="0"/>
        <v>柳澤颯吾</v>
      </c>
      <c r="AL1" s="73" t="str">
        <f t="shared" si="0"/>
        <v>柳澤颯吾</v>
      </c>
      <c r="AM1" s="73" t="str">
        <f t="shared" si="0"/>
        <v>柳澤颯吾</v>
      </c>
      <c r="AN1" s="73" t="str">
        <f t="shared" si="0"/>
        <v>柳澤颯吾</v>
      </c>
      <c r="AO1" s="73" t="str">
        <f t="shared" si="0"/>
        <v>柳澤颯吾</v>
      </c>
      <c r="AP1" s="73" t="str">
        <f t="shared" si="0"/>
        <v>柳澤颯吾</v>
      </c>
      <c r="AQ1" s="73" t="str">
        <f t="shared" si="0"/>
        <v>柳澤颯吾</v>
      </c>
      <c r="AR1" s="73" t="str">
        <f t="shared" si="0"/>
        <v>柳澤颯吾</v>
      </c>
      <c r="AS1" s="73" t="str">
        <f t="shared" si="0"/>
        <v>柳澤颯吾</v>
      </c>
      <c r="AT1" s="73" t="str">
        <f t="shared" si="0"/>
        <v>柳澤颯吾</v>
      </c>
      <c r="AU1" s="73" t="str">
        <f t="shared" si="0"/>
        <v>柳澤颯吾</v>
      </c>
      <c r="AV1" s="73" t="str">
        <f t="shared" si="0"/>
        <v>柳澤颯吾</v>
      </c>
      <c r="AW1" s="73" t="str">
        <f t="shared" si="0"/>
        <v>柳澤颯吾</v>
      </c>
      <c r="AX1" s="73" t="str">
        <f t="shared" si="0"/>
        <v>柳澤颯吾</v>
      </c>
      <c r="AY1" s="75" t="str">
        <f t="shared" si="0"/>
        <v>柳澤颯吾</v>
      </c>
      <c r="AZ1" s="72" t="str">
        <f>IF($K$1="","",$K$1)</f>
        <v>佐藤成浩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関谷洸佑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巻島夢樹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柳澤颯吾</v>
      </c>
      <c r="AA2" s="61" t="str">
        <f>IF($K$1="","",$K$1)</f>
        <v>佐藤成浩</v>
      </c>
      <c r="AB2" s="61" t="str">
        <f>IF($P$1="","",$P$1)</f>
        <v>関谷洸佑</v>
      </c>
      <c r="AC2" s="13" t="str">
        <f>IF($U$1="","",$U$1)</f>
        <v>巻島夢樹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柳澤颯吾</v>
      </c>
      <c r="F4" s="5" t="s">
        <v>165</v>
      </c>
      <c r="G4" s="6">
        <v>-5200</v>
      </c>
      <c r="H4" s="6">
        <v>-1000</v>
      </c>
      <c r="I4" s="45">
        <v>0</v>
      </c>
      <c r="J4" s="18">
        <f>IF(COUNTA($F4,$K4,$P4,$U4)&gt;0,J3+SUM(G4:I4),"")</f>
        <v>18800</v>
      </c>
      <c r="K4" s="5"/>
      <c r="L4" s="6"/>
      <c r="M4" s="6"/>
      <c r="N4" s="45"/>
      <c r="O4" s="18">
        <f>IF(COUNTA($F4,$K4,$P4,$U4)&gt;0,O3+SUM(L4:N4),"")</f>
        <v>25000</v>
      </c>
      <c r="P4" s="5" t="s">
        <v>166</v>
      </c>
      <c r="Q4" s="6">
        <v>5200</v>
      </c>
      <c r="R4" s="6">
        <v>1000</v>
      </c>
      <c r="S4" s="45">
        <v>0</v>
      </c>
      <c r="T4" s="18">
        <f>IF(COUNTA($F4,$K4,$P4,$U4)&gt;0,T3+SUM(Q4:S4),"")</f>
        <v>31200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-41.2</v>
      </c>
      <c r="AA4" s="51">
        <f>IF($O4="","",ROUND(($O4-30000)/1000,1)+(2.5-_xlfn.RANK.AVG($O4,($J4,$O4,$T4,$Y4)))*20+IF(_xlfn.RANK.EQ($O4,($J4,$O4,$T4,$Y4))=1,20/((_xlfn.RANK.AVG($O4,($J4,$O4,$T4,$Y4))-1)*2+1),0))</f>
        <v>-5</v>
      </c>
      <c r="AB4" s="51">
        <f>IF($T4="","",ROUND(($T4-30000)/1000,1)+(2.5-_xlfn.RANK.AVG($T4,($J4,$O4,$T4,$Y4)))*20+IF(_xlfn.RANK.EQ($T4,($J4,$O4,$T4,$Y4))=1,20/((_xlfn.RANK.AVG($T4,($J4,$O4,$T4,$Y4))-1)*2+1),0))</f>
        <v>51.2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>
        <v>1</v>
      </c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>
        <v>1</v>
      </c>
      <c r="BX4" s="23"/>
      <c r="BY4" s="23">
        <v>3</v>
      </c>
      <c r="BZ4" s="27">
        <v>40</v>
      </c>
      <c r="CA4" s="37" t="s">
        <v>167</v>
      </c>
      <c r="CB4" s="38" t="s">
        <v>70</v>
      </c>
      <c r="CC4" s="38" t="s">
        <v>168</v>
      </c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佐藤成浩</v>
      </c>
      <c r="F5" s="5" t="s">
        <v>169</v>
      </c>
      <c r="G5" s="6">
        <v>-2600</v>
      </c>
      <c r="H5" s="6"/>
      <c r="I5" s="45">
        <v>0</v>
      </c>
      <c r="J5" s="18">
        <f t="shared" ref="J5:J30" si="2">IF(COUNTA($F5,$K5,$P5,$U5)&gt;0,J4+SUM(G5:I5),"")</f>
        <v>16200</v>
      </c>
      <c r="K5" s="5" t="s">
        <v>170</v>
      </c>
      <c r="L5" s="6">
        <v>7800</v>
      </c>
      <c r="M5" s="6">
        <v>1000</v>
      </c>
      <c r="N5" s="45">
        <v>0</v>
      </c>
      <c r="O5" s="18">
        <f>IF(COUNTA($F5,$K5,$P5,$U5)&gt;0,O4+SUM(L5:N5),"")</f>
        <v>33800</v>
      </c>
      <c r="P5" s="5" t="s">
        <v>169</v>
      </c>
      <c r="Q5" s="6">
        <v>-2600</v>
      </c>
      <c r="R5" s="6"/>
      <c r="S5" s="45">
        <v>0</v>
      </c>
      <c r="T5" s="18">
        <f t="shared" ref="T5:T30" si="3">IF(COUNTA($F5,$K5,$P5,$U5)&gt;0,T4+SUM(Q5:S5),"")</f>
        <v>28600</v>
      </c>
      <c r="U5" s="5" t="s">
        <v>169</v>
      </c>
      <c r="V5" s="6">
        <v>-2600</v>
      </c>
      <c r="W5" s="6">
        <v>-1000</v>
      </c>
      <c r="X5" s="45">
        <v>0</v>
      </c>
      <c r="Y5" s="18">
        <f t="shared" ref="Y5:Y30" si="4">IF(COUNTA($F5,$K5,$P5,$U5)&gt;0,Y4+SUM(V5:X5),"")</f>
        <v>21400</v>
      </c>
      <c r="Z5" s="50">
        <f>IF($J5="","",ROUND(($J5-30000)/1000,1)+(2.5-_xlfn.RANK.AVG($J5,($J5,$O5,$T5,$Y5)))*20+IF(_xlfn.RANK.EQ($J5,($J5,$O5,$T5,$Y5))=1,20/((_xlfn.RANK.AVG($J5,($J5,$O5,$T5,$Y5))-1)*2+1),0))</f>
        <v>-43.8</v>
      </c>
      <c r="AA5" s="51">
        <f>IF($O5="","",ROUND(($O5-30000)/1000,1)+(2.5-_xlfn.RANK.AVG($O5,($J5,$O5,$T5,$Y5)))*20+IF(_xlfn.RANK.EQ($O5,($J5,$O5,$T5,$Y5))=1,20/((_xlfn.RANK.AVG($O5,($J5,$O5,$T5,$Y5))-1)*2+1),0))</f>
        <v>53.8</v>
      </c>
      <c r="AB5" s="51">
        <f>IF($T5="","",ROUND(($T5-30000)/1000,1)+(2.5-_xlfn.RANK.AVG($T5,($J5,$O5,$T5,$Y5)))*20+IF(_xlfn.RANK.EQ($T5,($J5,$O5,$T5,$Y5))=1,20/((_xlfn.RANK.AVG($T5,($J5,$O5,$T5,$Y5))-1)*2+1),0))</f>
        <v>8.6</v>
      </c>
      <c r="AC5" s="52">
        <f>IF($Y5="","",ROUND(($Y5-30000)/1000,1)+(2.5-_xlfn.RANK.AVG($Y5,($J5,$O5,$T5,$Y5)))*20+IF(_xlfn.RANK.EQ($Y5,($J5,$O5,$T5,$Y5))=1,20/((_xlfn.RANK.AVG($Y5,($J5,$O5,$T5,$Y5))-1)*2+1),0))</f>
        <v>-18.600000000000001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>
        <v>4</v>
      </c>
      <c r="BE5" s="27">
        <v>20</v>
      </c>
      <c r="BF5" s="37" t="s">
        <v>167</v>
      </c>
      <c r="BG5" s="38" t="s">
        <v>73</v>
      </c>
      <c r="BH5" s="38" t="s">
        <v>74</v>
      </c>
      <c r="BI5" s="38" t="s">
        <v>171</v>
      </c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>
        <v>1</v>
      </c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tr">
        <f>IF($K$1="","",$K$1)</f>
        <v>佐藤成浩</v>
      </c>
      <c r="F6" s="5" t="s">
        <v>166</v>
      </c>
      <c r="G6" s="6">
        <v>2000</v>
      </c>
      <c r="H6" s="6"/>
      <c r="I6" s="45">
        <v>300</v>
      </c>
      <c r="J6" s="18">
        <f t="shared" si="2"/>
        <v>18500</v>
      </c>
      <c r="K6" s="5"/>
      <c r="L6" s="6"/>
      <c r="M6" s="6"/>
      <c r="N6" s="45"/>
      <c r="O6" s="18">
        <f t="shared" ref="O6:O30" si="8">IF(COUNTA($F6,$K6,$P6,$U6)&gt;0,O5+SUM(L6:N6),"")</f>
        <v>33800</v>
      </c>
      <c r="P6" s="5"/>
      <c r="Q6" s="6"/>
      <c r="R6" s="6"/>
      <c r="S6" s="45"/>
      <c r="T6" s="18">
        <f t="shared" si="3"/>
        <v>28600</v>
      </c>
      <c r="U6" s="5" t="s">
        <v>165</v>
      </c>
      <c r="V6" s="6">
        <v>-2000</v>
      </c>
      <c r="W6" s="6"/>
      <c r="X6" s="45">
        <v>-300</v>
      </c>
      <c r="Y6" s="18">
        <f t="shared" si="4"/>
        <v>19100</v>
      </c>
      <c r="Z6" s="50">
        <f>IF($J6="","",ROUND(($J6-30000)/1000,1)+(2.5-_xlfn.RANK.AVG($J6,($J6,$O6,$T6,$Y6)))*20+IF(_xlfn.RANK.EQ($J6,($J6,$O6,$T6,$Y6))=1,20/((_xlfn.RANK.AVG($J6,($J6,$O6,$T6,$Y6))-1)*2+1),0))</f>
        <v>-41.5</v>
      </c>
      <c r="AA6" s="51">
        <f>IF($O6="","",ROUND(($O6-30000)/1000,1)+(2.5-_xlfn.RANK.AVG($O6,($J6,$O6,$T6,$Y6)))*20+IF(_xlfn.RANK.EQ($O6,($J6,$O6,$T6,$Y6))=1,20/((_xlfn.RANK.AVG($O6,($J6,$O6,$T6,$Y6))-1)*2+1),0))</f>
        <v>53.8</v>
      </c>
      <c r="AB6" s="51">
        <f>IF($T6="","",ROUND(($T6-30000)/1000,1)+(2.5-_xlfn.RANK.AVG($T6,($J6,$O6,$T6,$Y6)))*20+IF(_xlfn.RANK.EQ($T6,($J6,$O6,$T6,$Y6))=1,20/((_xlfn.RANK.AVG($T6,($J6,$O6,$T6,$Y6))-1)*2+1),0))</f>
        <v>8.6</v>
      </c>
      <c r="AC6" s="52">
        <f>IF($Y6="","",ROUND(($Y6-30000)/1000,1)+(2.5-_xlfn.RANK.AVG($Y6,($J6,$O6,$T6,$Y6)))*20+IF(_xlfn.RANK.EQ($Y6,($J6,$O6,$T6,$Y6))=1,20/((_xlfn.RANK.AVG($Y6,($J6,$O6,$T6,$Y6))-1)*2+1),0))</f>
        <v>-20.9</v>
      </c>
      <c r="AE6" s="5"/>
      <c r="AF6" s="31"/>
      <c r="AG6" s="23"/>
      <c r="AH6" s="23">
        <v>1</v>
      </c>
      <c r="AI6" s="23">
        <v>2</v>
      </c>
      <c r="AJ6" s="27">
        <v>30</v>
      </c>
      <c r="AK6" s="37" t="s">
        <v>76</v>
      </c>
      <c r="AL6" s="38" t="s">
        <v>168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>
        <v>1</v>
      </c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tr">
        <f>IF($P$1="","",$P$1)</f>
        <v>関谷洸佑</v>
      </c>
      <c r="F7" s="5" t="s">
        <v>169</v>
      </c>
      <c r="G7" s="6">
        <v>-4000</v>
      </c>
      <c r="H7" s="6"/>
      <c r="I7" s="45">
        <v>0</v>
      </c>
      <c r="J7" s="18">
        <f t="shared" si="2"/>
        <v>14500</v>
      </c>
      <c r="K7" s="5" t="s">
        <v>169</v>
      </c>
      <c r="L7" s="6">
        <v>-4000</v>
      </c>
      <c r="M7" s="6"/>
      <c r="N7" s="45">
        <v>0</v>
      </c>
      <c r="O7" s="18">
        <f t="shared" si="8"/>
        <v>29800</v>
      </c>
      <c r="P7" s="5" t="s">
        <v>170</v>
      </c>
      <c r="Q7" s="6">
        <v>12000</v>
      </c>
      <c r="R7" s="6"/>
      <c r="S7" s="45">
        <v>0</v>
      </c>
      <c r="T7" s="18">
        <f t="shared" si="3"/>
        <v>40600</v>
      </c>
      <c r="U7" s="5" t="s">
        <v>169</v>
      </c>
      <c r="V7" s="6">
        <v>-4000</v>
      </c>
      <c r="W7" s="6"/>
      <c r="X7" s="45">
        <v>0</v>
      </c>
      <c r="Y7" s="18">
        <f t="shared" si="4"/>
        <v>15100</v>
      </c>
      <c r="Z7" s="50">
        <f>IF($J7="","",ROUND(($J7-30000)/1000,1)+(2.5-_xlfn.RANK.AVG($J7,($J7,$O7,$T7,$Y7)))*20+IF(_xlfn.RANK.EQ($J7,($J7,$O7,$T7,$Y7))=1,20/((_xlfn.RANK.AVG($J7,($J7,$O7,$T7,$Y7))-1)*2+1),0))</f>
        <v>-45.5</v>
      </c>
      <c r="AA7" s="51">
        <f>IF($O7="","",ROUND(($O7-30000)/1000,1)+(2.5-_xlfn.RANK.AVG($O7,($J7,$O7,$T7,$Y7)))*20+IF(_xlfn.RANK.EQ($O7,($J7,$O7,$T7,$Y7))=1,20/((_xlfn.RANK.AVG($O7,($J7,$O7,$T7,$Y7))-1)*2+1),0))</f>
        <v>9.8000000000000007</v>
      </c>
      <c r="AB7" s="51">
        <f>IF($T7="","",ROUND(($T7-30000)/1000,1)+(2.5-_xlfn.RANK.AVG($T7,($J7,$O7,$T7,$Y7)))*20+IF(_xlfn.RANK.EQ($T7,($J7,$O7,$T7,$Y7))=1,20/((_xlfn.RANK.AVG($T7,($J7,$O7,$T7,$Y7))-1)*2+1),0))</f>
        <v>60.6</v>
      </c>
      <c r="AC7" s="52">
        <f>IF($Y7="","",ROUND(($Y7-30000)/1000,1)+(2.5-_xlfn.RANK.AVG($Y7,($J7,$O7,$T7,$Y7)))*20+IF(_xlfn.RANK.EQ($Y7,($J7,$O7,$T7,$Y7))=1,20/((_xlfn.RANK.AVG($Y7,($J7,$O7,$T7,$Y7))-1)*2+1),0))</f>
        <v>-24.9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>
        <v>1</v>
      </c>
      <c r="BY7" s="23">
        <v>4</v>
      </c>
      <c r="BZ7" s="27">
        <v>30</v>
      </c>
      <c r="CA7" s="37" t="s">
        <v>77</v>
      </c>
      <c r="CB7" s="38" t="s">
        <v>168</v>
      </c>
      <c r="CC7" s="38" t="s">
        <v>70</v>
      </c>
      <c r="CD7" s="38" t="s">
        <v>70</v>
      </c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63" t="str">
        <f>IF($P$1="","",$P$1)</f>
        <v>関谷洸佑</v>
      </c>
      <c r="F8" s="5" t="s">
        <v>170</v>
      </c>
      <c r="G8" s="6">
        <v>8000</v>
      </c>
      <c r="H8" s="6"/>
      <c r="I8" s="45">
        <v>300</v>
      </c>
      <c r="J8" s="18">
        <f t="shared" si="2"/>
        <v>22800</v>
      </c>
      <c r="K8" s="5" t="s">
        <v>169</v>
      </c>
      <c r="L8" s="6">
        <v>-2000</v>
      </c>
      <c r="M8" s="6"/>
      <c r="N8" s="45">
        <v>-100</v>
      </c>
      <c r="O8" s="18">
        <f t="shared" si="8"/>
        <v>27700</v>
      </c>
      <c r="P8" s="5" t="s">
        <v>169</v>
      </c>
      <c r="Q8" s="6">
        <v>-4000</v>
      </c>
      <c r="R8" s="6">
        <v>0</v>
      </c>
      <c r="S8" s="45">
        <v>-100</v>
      </c>
      <c r="T8" s="18">
        <f t="shared" si="3"/>
        <v>36500</v>
      </c>
      <c r="U8" s="5" t="s">
        <v>169</v>
      </c>
      <c r="V8" s="6">
        <v>-2000</v>
      </c>
      <c r="W8" s="6"/>
      <c r="X8" s="45">
        <v>-100</v>
      </c>
      <c r="Y8" s="18">
        <f t="shared" si="4"/>
        <v>13000</v>
      </c>
      <c r="Z8" s="50">
        <f>IF($J8="","",ROUND(($J8-30000)/1000,1)+(2.5-_xlfn.RANK.AVG($J8,($J8,$O8,$T8,$Y8)))*20+IF(_xlfn.RANK.EQ($J8,($J8,$O8,$T8,$Y8))=1,20/((_xlfn.RANK.AVG($J8,($J8,$O8,$T8,$Y8))-1)*2+1),0))</f>
        <v>-17.2</v>
      </c>
      <c r="AA8" s="51">
        <f>IF($O8="","",ROUND(($O8-30000)/1000,1)+(2.5-_xlfn.RANK.AVG($O8,($J8,$O8,$T8,$Y8)))*20+IF(_xlfn.RANK.EQ($O8,($J8,$O8,$T8,$Y8))=1,20/((_xlfn.RANK.AVG($O8,($J8,$O8,$T8,$Y8))-1)*2+1),0))</f>
        <v>7.7</v>
      </c>
      <c r="AB8" s="51">
        <f>IF($T8="","",ROUND(($T8-30000)/1000,1)+(2.5-_xlfn.RANK.AVG($T8,($J8,$O8,$T8,$Y8)))*20+IF(_xlfn.RANK.EQ($T8,($J8,$O8,$T8,$Y8))=1,20/((_xlfn.RANK.AVG($T8,($J8,$O8,$T8,$Y8))-1)*2+1),0))</f>
        <v>56.5</v>
      </c>
      <c r="AC8" s="52">
        <f>IF($Y8="","",ROUND(($Y8-30000)/1000,1)+(2.5-_xlfn.RANK.AVG($Y8,($J8,$O8,$T8,$Y8)))*20+IF(_xlfn.RANK.EQ($Y8,($J8,$O8,$T8,$Y8))=1,20/((_xlfn.RANK.AVG($Y8,($J8,$O8,$T8,$Y8))-1)*2+1),0))</f>
        <v>-47</v>
      </c>
      <c r="AE8" s="5"/>
      <c r="AF8" s="31"/>
      <c r="AG8" s="23">
        <v>1</v>
      </c>
      <c r="AH8" s="23"/>
      <c r="AI8" s="23">
        <v>5</v>
      </c>
      <c r="AJ8" s="27" t="s">
        <v>172</v>
      </c>
      <c r="AK8" s="37" t="s">
        <v>167</v>
      </c>
      <c r="AL8" s="38" t="s">
        <v>73</v>
      </c>
      <c r="AM8" s="38" t="s">
        <v>70</v>
      </c>
      <c r="AN8" s="38" t="s">
        <v>71</v>
      </c>
      <c r="AO8" s="38" t="s">
        <v>77</v>
      </c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7570E6B-881F-4255-9AE9-7EA7929FFE65}">
      <formula1>"百瀬成空,滝沢悠人,大池陸斗,佐藤成浩,柳澤颯吾,石澤巧望,小林郁斗,川上翔大,中川弘崇,小原陸哉,近藤隼,鷲野翼,松澤大地,水澤良平,関谷洸佑,阿部圭太朗,巻島夢樹,"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F0384-F3E5-4270-A15D-33C2BC818C02}">
  <sheetPr codeName="Sheet10">
    <pageSetUpPr fitToPage="1"/>
  </sheetPr>
  <dimension ref="A1:DJ30"/>
  <sheetViews>
    <sheetView tabSelected="1" topLeftCell="H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161</v>
      </c>
      <c r="G1" s="73"/>
      <c r="H1" s="73"/>
      <c r="I1" s="74"/>
      <c r="J1" s="75"/>
      <c r="K1" s="72" t="s">
        <v>163</v>
      </c>
      <c r="L1" s="73"/>
      <c r="M1" s="73"/>
      <c r="N1" s="74"/>
      <c r="O1" s="75"/>
      <c r="P1" s="72" t="s">
        <v>164</v>
      </c>
      <c r="Q1" s="73"/>
      <c r="R1" s="73"/>
      <c r="S1" s="74"/>
      <c r="T1" s="75"/>
      <c r="U1" s="72" t="s">
        <v>162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柳澤颯吾</v>
      </c>
      <c r="AF1" s="82" t="str">
        <f t="shared" ref="AF1:AY1" si="0">$F$1</f>
        <v>柳澤颯吾</v>
      </c>
      <c r="AG1" s="73" t="str">
        <f t="shared" si="0"/>
        <v>柳澤颯吾</v>
      </c>
      <c r="AH1" s="73" t="str">
        <f t="shared" si="0"/>
        <v>柳澤颯吾</v>
      </c>
      <c r="AI1" s="73" t="str">
        <f t="shared" si="0"/>
        <v>柳澤颯吾</v>
      </c>
      <c r="AJ1" s="73" t="str">
        <f t="shared" si="0"/>
        <v>柳澤颯吾</v>
      </c>
      <c r="AK1" s="73" t="str">
        <f t="shared" si="0"/>
        <v>柳澤颯吾</v>
      </c>
      <c r="AL1" s="73" t="str">
        <f t="shared" si="0"/>
        <v>柳澤颯吾</v>
      </c>
      <c r="AM1" s="73" t="str">
        <f t="shared" si="0"/>
        <v>柳澤颯吾</v>
      </c>
      <c r="AN1" s="73" t="str">
        <f t="shared" si="0"/>
        <v>柳澤颯吾</v>
      </c>
      <c r="AO1" s="73" t="str">
        <f t="shared" si="0"/>
        <v>柳澤颯吾</v>
      </c>
      <c r="AP1" s="73" t="str">
        <f t="shared" si="0"/>
        <v>柳澤颯吾</v>
      </c>
      <c r="AQ1" s="73" t="str">
        <f t="shared" si="0"/>
        <v>柳澤颯吾</v>
      </c>
      <c r="AR1" s="73" t="str">
        <f t="shared" si="0"/>
        <v>柳澤颯吾</v>
      </c>
      <c r="AS1" s="73" t="str">
        <f t="shared" si="0"/>
        <v>柳澤颯吾</v>
      </c>
      <c r="AT1" s="73" t="str">
        <f t="shared" si="0"/>
        <v>柳澤颯吾</v>
      </c>
      <c r="AU1" s="73" t="str">
        <f t="shared" si="0"/>
        <v>柳澤颯吾</v>
      </c>
      <c r="AV1" s="73" t="str">
        <f t="shared" si="0"/>
        <v>柳澤颯吾</v>
      </c>
      <c r="AW1" s="73" t="str">
        <f t="shared" si="0"/>
        <v>柳澤颯吾</v>
      </c>
      <c r="AX1" s="73" t="str">
        <f t="shared" si="0"/>
        <v>柳澤颯吾</v>
      </c>
      <c r="AY1" s="75" t="str">
        <f t="shared" si="0"/>
        <v>柳澤颯吾</v>
      </c>
      <c r="AZ1" s="72" t="str">
        <f>IF($K$1="","",$K$1)</f>
        <v>関谷洸佑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巻島夢樹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佐藤成浩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9" t="str">
        <f>IF($F$1="","",$F$1)</f>
        <v>柳澤颯吾</v>
      </c>
      <c r="AA2" s="70" t="str">
        <f>IF($K$1="","",$K$1)</f>
        <v>関谷洸佑</v>
      </c>
      <c r="AB2" s="70" t="str">
        <f>IF($P$1="","",$P$1)</f>
        <v>巻島夢樹</v>
      </c>
      <c r="AC2" s="71" t="str">
        <f>IF($U$1="","",$U$1)</f>
        <v>佐藤成浩</v>
      </c>
      <c r="AE2" s="65" t="s">
        <v>22</v>
      </c>
      <c r="AF2" s="66" t="s">
        <v>25</v>
      </c>
      <c r="AG2" s="67" t="s">
        <v>23</v>
      </c>
      <c r="AH2" s="67" t="s">
        <v>110</v>
      </c>
      <c r="AI2" s="67" t="s">
        <v>18</v>
      </c>
      <c r="AJ2" s="6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65" t="s">
        <v>22</v>
      </c>
      <c r="BA2" s="66" t="s">
        <v>25</v>
      </c>
      <c r="BB2" s="67" t="s">
        <v>23</v>
      </c>
      <c r="BC2" s="67" t="s">
        <v>111</v>
      </c>
      <c r="BD2" s="67" t="s">
        <v>18</v>
      </c>
      <c r="BE2" s="6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65" t="s">
        <v>22</v>
      </c>
      <c r="BV2" s="66" t="s">
        <v>25</v>
      </c>
      <c r="BW2" s="67" t="s">
        <v>23</v>
      </c>
      <c r="BX2" s="67" t="s">
        <v>111</v>
      </c>
      <c r="BY2" s="67" t="s">
        <v>18</v>
      </c>
      <c r="BZ2" s="6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65" t="s">
        <v>22</v>
      </c>
      <c r="CQ2" s="66" t="s">
        <v>25</v>
      </c>
      <c r="CR2" s="67" t="s">
        <v>23</v>
      </c>
      <c r="CS2" s="67" t="s">
        <v>111</v>
      </c>
      <c r="CT2" s="67" t="s">
        <v>18</v>
      </c>
      <c r="CU2" s="6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柳澤颯吾</v>
      </c>
      <c r="F4" s="5" t="s">
        <v>169</v>
      </c>
      <c r="G4" s="6">
        <v>-4000</v>
      </c>
      <c r="H4" s="6">
        <v>-1000</v>
      </c>
      <c r="I4" s="45">
        <v>0</v>
      </c>
      <c r="J4" s="18">
        <f>IF(COUNTA($F4,$K4,$P4,$U4)&gt;0,J3+SUM(G4:I4),"")</f>
        <v>20000</v>
      </c>
      <c r="K4" s="5" t="s">
        <v>170</v>
      </c>
      <c r="L4" s="6">
        <v>8000</v>
      </c>
      <c r="M4" s="6">
        <v>1000</v>
      </c>
      <c r="N4" s="45">
        <v>0</v>
      </c>
      <c r="O4" s="18">
        <f>IF(COUNTA($F4,$K4,$P4,$U4)&gt;0,O3+SUM(L4:N4),"")</f>
        <v>34000</v>
      </c>
      <c r="P4" s="5" t="s">
        <v>169</v>
      </c>
      <c r="Q4" s="6">
        <v>-2000</v>
      </c>
      <c r="R4" s="6"/>
      <c r="S4" s="45">
        <v>0</v>
      </c>
      <c r="T4" s="18">
        <f>IF(COUNTA($F4,$K4,$P4,$U4)&gt;0,T3+SUM(Q4:S4),"")</f>
        <v>23000</v>
      </c>
      <c r="U4" s="5" t="s">
        <v>169</v>
      </c>
      <c r="V4" s="6">
        <v>-2000</v>
      </c>
      <c r="W4" s="6"/>
      <c r="X4" s="45">
        <v>0</v>
      </c>
      <c r="Y4" s="18">
        <f>IF(COUNTA($F4,$K4,$P4,$U4)&gt;0,Y3+SUM(V4:X4),"")</f>
        <v>23000</v>
      </c>
      <c r="Z4" s="50">
        <f>IF($J4="","",ROUND(($J4-30000)/1000,1)+(2.5-_xlfn.RANK.AVG($J4,($J4,$O4,$T4,$Y4)))*20+IF(_xlfn.RANK.EQ($J4,($J4,$O4,$T4,$Y4))=1,20/((_xlfn.RANK.AVG($J4,($J4,$O4,$T4,$Y4))-1)*2+1),0))</f>
        <v>-40</v>
      </c>
      <c r="AA4" s="51">
        <f>IF($O4="","",ROUND(($O4-30000)/1000,1)+(2.5-_xlfn.RANK.AVG($O4,($J4,$O4,$T4,$Y4)))*20+IF(_xlfn.RANK.EQ($O4,($J4,$O4,$T4,$Y4))=1,20/((_xlfn.RANK.AVG($O4,($J4,$O4,$T4,$Y4))-1)*2+1),0))</f>
        <v>54</v>
      </c>
      <c r="AB4" s="51">
        <f>IF($T4="","",ROUND(($T4-30000)/1000,1)+(2.5-_xlfn.RANK.AVG($T4,($J4,$O4,$T4,$Y4)))*20+IF(_xlfn.RANK.EQ($T4,($J4,$O4,$T4,$Y4))=1,20/((_xlfn.RANK.AVG($T4,($J4,$O4,$T4,$Y4))-1)*2+1),0))</f>
        <v>-7</v>
      </c>
      <c r="AC4" s="52">
        <f>IF($Y4="","",ROUND(($Y4-30000)/1000,1)+(2.5-_xlfn.RANK.AVG($Y4,($J4,$O4,$T4,$Y4)))*20+IF(_xlfn.RANK.EQ($Y4,($J4,$O4,$T4,$Y4))=1,20/((_xlfn.RANK.AVG($Y4,($J4,$O4,$T4,$Y4))-1)*2+1),0))</f>
        <v>-7</v>
      </c>
      <c r="AE4" s="5"/>
      <c r="AF4" s="31"/>
      <c r="AG4" s="23">
        <v>1</v>
      </c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>
        <v>1</v>
      </c>
      <c r="BD4" s="23">
        <v>4</v>
      </c>
      <c r="BE4" s="27">
        <v>30</v>
      </c>
      <c r="BF4" s="37" t="s">
        <v>89</v>
      </c>
      <c r="BG4" s="38" t="s">
        <v>77</v>
      </c>
      <c r="BH4" s="38" t="s">
        <v>77</v>
      </c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関谷洸佑</v>
      </c>
      <c r="F5" s="5"/>
      <c r="G5" s="6"/>
      <c r="H5" s="6">
        <v>-1000</v>
      </c>
      <c r="I5" s="45"/>
      <c r="J5" s="18">
        <f t="shared" ref="J5:J30" si="2">IF(COUNTA($F5,$K5,$P5,$U5)&gt;0,J4+SUM(G5:I5),"")</f>
        <v>19000</v>
      </c>
      <c r="K5" s="5" t="s">
        <v>165</v>
      </c>
      <c r="L5" s="6">
        <v>-8000</v>
      </c>
      <c r="M5" s="6"/>
      <c r="N5" s="45">
        <v>0</v>
      </c>
      <c r="O5" s="18">
        <f>IF(COUNTA($F5,$K5,$P5,$U5)&gt;0,O4+SUM(L5:N5),"")</f>
        <v>26000</v>
      </c>
      <c r="P5" s="5"/>
      <c r="Q5" s="6"/>
      <c r="R5" s="6"/>
      <c r="S5" s="45"/>
      <c r="T5" s="18">
        <f t="shared" ref="T5:T30" si="3">IF(COUNTA($F5,$K5,$P5,$U5)&gt;0,T4+SUM(Q5:S5),"")</f>
        <v>23000</v>
      </c>
      <c r="U5" s="5" t="s">
        <v>166</v>
      </c>
      <c r="V5" s="6">
        <v>8000</v>
      </c>
      <c r="W5" s="6">
        <v>1000</v>
      </c>
      <c r="X5" s="45">
        <v>0</v>
      </c>
      <c r="Y5" s="18">
        <f t="shared" ref="Y5:Y30" si="4">IF(COUNTA($F5,$K5,$P5,$U5)&gt;0,Y4+SUM(V5:X5),"")</f>
        <v>32000</v>
      </c>
      <c r="Z5" s="50">
        <f>IF($J5="","",ROUND(($J5-30000)/1000,1)+(2.5-_xlfn.RANK.AVG($J5,($J5,$O5,$T5,$Y5)))*20+IF(_xlfn.RANK.EQ($J5,($J5,$O5,$T5,$Y5))=1,20/((_xlfn.RANK.AVG($J5,($J5,$O5,$T5,$Y5))-1)*2+1),0))</f>
        <v>-41</v>
      </c>
      <c r="AA5" s="51">
        <f>IF($O5="","",ROUND(($O5-30000)/1000,1)+(2.5-_xlfn.RANK.AVG($O5,($J5,$O5,$T5,$Y5)))*20+IF(_xlfn.RANK.EQ($O5,($J5,$O5,$T5,$Y5))=1,20/((_xlfn.RANK.AVG($O5,($J5,$O5,$T5,$Y5))-1)*2+1),0))</f>
        <v>6</v>
      </c>
      <c r="AB5" s="51">
        <f>IF($T5="","",ROUND(($T5-30000)/1000,1)+(2.5-_xlfn.RANK.AVG($T5,($J5,$O5,$T5,$Y5)))*20+IF(_xlfn.RANK.EQ($T5,($J5,$O5,$T5,$Y5))=1,20/((_xlfn.RANK.AVG($T5,($J5,$O5,$T5,$Y5))-1)*2+1),0))</f>
        <v>-17</v>
      </c>
      <c r="AC5" s="52">
        <f>IF($Y5="","",ROUND(($Y5-30000)/1000,1)+(2.5-_xlfn.RANK.AVG($Y5,($J5,$O5,$T5,$Y5)))*20+IF(_xlfn.RANK.EQ($Y5,($J5,$O5,$T5,$Y5))=1,20/((_xlfn.RANK.AVG($Y5,($J5,$O5,$T5,$Y5))-1)*2+1),0))</f>
        <v>52</v>
      </c>
      <c r="AE5" s="5"/>
      <c r="AF5" s="31"/>
      <c r="AG5" s="23">
        <v>1</v>
      </c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>
        <v>1</v>
      </c>
      <c r="CS5" s="23"/>
      <c r="CT5" s="23">
        <v>5</v>
      </c>
      <c r="CU5" s="27" t="s">
        <v>172</v>
      </c>
      <c r="CV5" s="37" t="s">
        <v>167</v>
      </c>
      <c r="CW5" s="38" t="s">
        <v>171</v>
      </c>
      <c r="CX5" s="38" t="s">
        <v>76</v>
      </c>
      <c r="CY5" s="38" t="s">
        <v>74</v>
      </c>
      <c r="CZ5" s="38" t="s">
        <v>70</v>
      </c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巻島夢樹</v>
      </c>
      <c r="F6" s="5" t="s">
        <v>170</v>
      </c>
      <c r="G6" s="6">
        <v>5200</v>
      </c>
      <c r="H6" s="6">
        <v>1000</v>
      </c>
      <c r="I6" s="45">
        <v>0</v>
      </c>
      <c r="J6" s="18">
        <f t="shared" si="2"/>
        <v>25200</v>
      </c>
      <c r="K6" s="5" t="s">
        <v>169</v>
      </c>
      <c r="L6" s="6">
        <v>-1300</v>
      </c>
      <c r="M6" s="6">
        <v>-1000</v>
      </c>
      <c r="N6" s="45">
        <v>0</v>
      </c>
      <c r="O6" s="18">
        <f t="shared" ref="O6:O30" si="8">IF(COUNTA($F6,$K6,$P6,$U6)&gt;0,O5+SUM(L6:N6),"")</f>
        <v>23700</v>
      </c>
      <c r="P6" s="5" t="s">
        <v>169</v>
      </c>
      <c r="Q6" s="6">
        <v>-2600</v>
      </c>
      <c r="R6" s="6"/>
      <c r="S6" s="45">
        <v>0</v>
      </c>
      <c r="T6" s="18">
        <f t="shared" si="3"/>
        <v>20400</v>
      </c>
      <c r="U6" s="5" t="s">
        <v>169</v>
      </c>
      <c r="V6" s="6">
        <v>-1300</v>
      </c>
      <c r="W6" s="6"/>
      <c r="X6" s="45">
        <v>0</v>
      </c>
      <c r="Y6" s="18">
        <f t="shared" si="4"/>
        <v>30700</v>
      </c>
      <c r="Z6" s="50">
        <f>IF($J6="","",ROUND(($J6-30000)/1000,1)+(2.5-_xlfn.RANK.AVG($J6,($J6,$O6,$T6,$Y6)))*20+IF(_xlfn.RANK.EQ($J6,($J6,$O6,$T6,$Y6))=1,20/((_xlfn.RANK.AVG($J6,($J6,$O6,$T6,$Y6))-1)*2+1),0))</f>
        <v>5.2</v>
      </c>
      <c r="AA6" s="51">
        <f>IF($O6="","",ROUND(($O6-30000)/1000,1)+(2.5-_xlfn.RANK.AVG($O6,($J6,$O6,$T6,$Y6)))*20+IF(_xlfn.RANK.EQ($O6,($J6,$O6,$T6,$Y6))=1,20/((_xlfn.RANK.AVG($O6,($J6,$O6,$T6,$Y6))-1)*2+1),0))</f>
        <v>-16.3</v>
      </c>
      <c r="AB6" s="51">
        <f>IF($T6="","",ROUND(($T6-30000)/1000,1)+(2.5-_xlfn.RANK.AVG($T6,($J6,$O6,$T6,$Y6)))*20+IF(_xlfn.RANK.EQ($T6,($J6,$O6,$T6,$Y6))=1,20/((_xlfn.RANK.AVG($T6,($J6,$O6,$T6,$Y6))-1)*2+1),0))</f>
        <v>-39.6</v>
      </c>
      <c r="AC6" s="52">
        <f>IF($Y6="","",ROUND(($Y6-30000)/1000,1)+(2.5-_xlfn.RANK.AVG($Y6,($J6,$O6,$T6,$Y6)))*20+IF(_xlfn.RANK.EQ($Y6,($J6,$O6,$T6,$Y6))=1,20/((_xlfn.RANK.AVG($Y6,($J6,$O6,$T6,$Y6))-1)*2+1),0))</f>
        <v>50.7</v>
      </c>
      <c r="AE6" s="5"/>
      <c r="AF6" s="31"/>
      <c r="AG6" s="23"/>
      <c r="AH6" s="23">
        <v>1</v>
      </c>
      <c r="AI6" s="23">
        <v>3</v>
      </c>
      <c r="AJ6" s="27">
        <v>40</v>
      </c>
      <c r="AK6" s="37" t="s">
        <v>89</v>
      </c>
      <c r="AL6" s="38" t="s">
        <v>77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>
        <v>1</v>
      </c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tr">
        <f>IF($U$1="","",$U$1)</f>
        <v>佐藤成浩</v>
      </c>
      <c r="F7" s="5" t="s">
        <v>170</v>
      </c>
      <c r="G7" s="6">
        <v>4000</v>
      </c>
      <c r="H7" s="6"/>
      <c r="I7" s="45">
        <v>0</v>
      </c>
      <c r="J7" s="18">
        <f t="shared" si="2"/>
        <v>29200</v>
      </c>
      <c r="K7" s="5" t="s">
        <v>169</v>
      </c>
      <c r="L7" s="6">
        <v>-1000</v>
      </c>
      <c r="M7" s="6"/>
      <c r="N7" s="45">
        <v>0</v>
      </c>
      <c r="O7" s="18">
        <f t="shared" si="8"/>
        <v>22700</v>
      </c>
      <c r="P7" s="5" t="s">
        <v>169</v>
      </c>
      <c r="Q7" s="6">
        <v>-1000</v>
      </c>
      <c r="R7" s="6"/>
      <c r="S7" s="45">
        <v>0</v>
      </c>
      <c r="T7" s="18">
        <f t="shared" si="3"/>
        <v>19400</v>
      </c>
      <c r="U7" s="5" t="s">
        <v>169</v>
      </c>
      <c r="V7" s="6">
        <v>-2000</v>
      </c>
      <c r="W7" s="6"/>
      <c r="X7" s="45">
        <v>0</v>
      </c>
      <c r="Y7" s="18">
        <f t="shared" si="4"/>
        <v>28700</v>
      </c>
      <c r="Z7" s="50">
        <f>IF($J7="","",ROUND(($J7-30000)/1000,1)+(2.5-_xlfn.RANK.AVG($J7,($J7,$O7,$T7,$Y7)))*20+IF(_xlfn.RANK.EQ($J7,($J7,$O7,$T7,$Y7))=1,20/((_xlfn.RANK.AVG($J7,($J7,$O7,$T7,$Y7))-1)*2+1),0))</f>
        <v>49.2</v>
      </c>
      <c r="AA7" s="51">
        <f>IF($O7="","",ROUND(($O7-30000)/1000,1)+(2.5-_xlfn.RANK.AVG($O7,($J7,$O7,$T7,$Y7)))*20+IF(_xlfn.RANK.EQ($O7,($J7,$O7,$T7,$Y7))=1,20/((_xlfn.RANK.AVG($O7,($J7,$O7,$T7,$Y7))-1)*2+1),0))</f>
        <v>-17.3</v>
      </c>
      <c r="AB7" s="51">
        <f>IF($T7="","",ROUND(($T7-30000)/1000,1)+(2.5-_xlfn.RANK.AVG($T7,($J7,$O7,$T7,$Y7)))*20+IF(_xlfn.RANK.EQ($T7,($J7,$O7,$T7,$Y7))=1,20/((_xlfn.RANK.AVG($T7,($J7,$O7,$T7,$Y7))-1)*2+1),0))</f>
        <v>-40.6</v>
      </c>
      <c r="AC7" s="52">
        <f>IF($Y7="","",ROUND(($Y7-30000)/1000,1)+(2.5-_xlfn.RANK.AVG($Y7,($J7,$O7,$T7,$Y7)))*20+IF(_xlfn.RANK.EQ($Y7,($J7,$O7,$T7,$Y7))=1,20/((_xlfn.RANK.AVG($Y7,($J7,$O7,$T7,$Y7))-1)*2+1),0))</f>
        <v>8.6999999999999993</v>
      </c>
      <c r="AE7" s="5"/>
      <c r="AF7" s="31"/>
      <c r="AG7" s="23"/>
      <c r="AH7" s="23">
        <v>1</v>
      </c>
      <c r="AI7" s="23">
        <v>3</v>
      </c>
      <c r="AJ7" s="27">
        <v>30</v>
      </c>
      <c r="AK7" s="37" t="s">
        <v>77</v>
      </c>
      <c r="AL7" s="38" t="s">
        <v>70</v>
      </c>
      <c r="AM7" s="38" t="s">
        <v>70</v>
      </c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>IF($E8="","",IF(AND(B7=4,B8=1),_xlfn.SWITCH(A7,"東","南","南","西","西","北","北","東"),A7))</f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IF($F$1="","",$F$1)</f>
        <v>柳澤颯吾</v>
      </c>
      <c r="F8" s="5"/>
      <c r="G8" s="6"/>
      <c r="H8" s="6"/>
      <c r="I8" s="45"/>
      <c r="J8" s="18">
        <f t="shared" si="2"/>
        <v>29200</v>
      </c>
      <c r="K8" s="5" t="s">
        <v>165</v>
      </c>
      <c r="L8" s="6">
        <v>-1600</v>
      </c>
      <c r="M8" s="6"/>
      <c r="N8" s="45">
        <v>0</v>
      </c>
      <c r="O8" s="18">
        <f t="shared" si="8"/>
        <v>21100</v>
      </c>
      <c r="P8" s="5" t="s">
        <v>166</v>
      </c>
      <c r="Q8" s="6">
        <v>1600</v>
      </c>
      <c r="R8" s="6"/>
      <c r="S8" s="45">
        <v>0</v>
      </c>
      <c r="T8" s="18">
        <f t="shared" si="3"/>
        <v>21000</v>
      </c>
      <c r="U8" s="5"/>
      <c r="V8" s="6"/>
      <c r="W8" s="6"/>
      <c r="X8" s="45"/>
      <c r="Y8" s="18">
        <f t="shared" si="4"/>
        <v>28700</v>
      </c>
      <c r="Z8" s="50">
        <f>IF($J8="","",ROUND(($J8-30000)/1000,1)+(2.5-_xlfn.RANK.AVG($J8,($J8,$O8,$T8,$Y8)))*20+IF(_xlfn.RANK.EQ($J8,($J8,$O8,$T8,$Y8))=1,20/((_xlfn.RANK.AVG($J8,($J8,$O8,$T8,$Y8))-1)*2+1),0))</f>
        <v>49.2</v>
      </c>
      <c r="AA8" s="51">
        <f>IF($O8="","",ROUND(($O8-30000)/1000,1)+(2.5-_xlfn.RANK.AVG($O8,($J8,$O8,$T8,$Y8)))*20+IF(_xlfn.RANK.EQ($O8,($J8,$O8,$T8,$Y8))=1,20/((_xlfn.RANK.AVG($O8,($J8,$O8,$T8,$Y8))-1)*2+1),0))</f>
        <v>-18.899999999999999</v>
      </c>
      <c r="AB8" s="51">
        <f>IF($T8="","",ROUND(($T8-30000)/1000,1)+(2.5-_xlfn.RANK.AVG($T8,($J8,$O8,$T8,$Y8)))*20+IF(_xlfn.RANK.EQ($T8,($J8,$O8,$T8,$Y8))=1,20/((_xlfn.RANK.AVG($T8,($J8,$O8,$T8,$Y8))-1)*2+1),0))</f>
        <v>-39</v>
      </c>
      <c r="AC8" s="52">
        <f>IF($Y8="","",ROUND(($Y8-30000)/1000,1)+(2.5-_xlfn.RANK.AVG($Y8,($J8,$O8,$T8,$Y8)))*20+IF(_xlfn.RANK.EQ($Y8,($J8,$O8,$T8,$Y8))=1,20/((_xlfn.RANK.AVG($Y8,($J8,$O8,$T8,$Y8))-1)*2+1),0))</f>
        <v>8.6999999999999993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>
        <v>1</v>
      </c>
      <c r="BX8" s="23"/>
      <c r="BY8" s="23">
        <v>1</v>
      </c>
      <c r="BZ8" s="27">
        <v>50</v>
      </c>
      <c r="CA8" s="37" t="s">
        <v>167</v>
      </c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63" t="str">
        <f>IF($K$1="","",$K$1)</f>
        <v>関谷洸佑</v>
      </c>
      <c r="F9" s="5" t="s">
        <v>169</v>
      </c>
      <c r="G9" s="6">
        <v>-1000</v>
      </c>
      <c r="H9" s="6"/>
      <c r="I9" s="45">
        <v>0</v>
      </c>
      <c r="J9" s="18">
        <f t="shared" si="2"/>
        <v>28200</v>
      </c>
      <c r="K9" s="5" t="s">
        <v>169</v>
      </c>
      <c r="L9" s="6">
        <v>-2000</v>
      </c>
      <c r="M9" s="6"/>
      <c r="N9" s="45">
        <v>0</v>
      </c>
      <c r="O9" s="18">
        <f t="shared" si="8"/>
        <v>19100</v>
      </c>
      <c r="P9" s="5" t="s">
        <v>169</v>
      </c>
      <c r="Q9" s="6">
        <v>-1000</v>
      </c>
      <c r="R9" s="6"/>
      <c r="S9" s="45">
        <v>0</v>
      </c>
      <c r="T9" s="18">
        <f t="shared" si="3"/>
        <v>20000</v>
      </c>
      <c r="U9" s="5" t="s">
        <v>170</v>
      </c>
      <c r="V9" s="6">
        <v>4000</v>
      </c>
      <c r="W9" s="6">
        <v>0</v>
      </c>
      <c r="X9" s="45">
        <v>0</v>
      </c>
      <c r="Y9" s="18">
        <f t="shared" si="4"/>
        <v>32700</v>
      </c>
      <c r="Z9" s="50">
        <f>IF($J9="","",ROUND(($J9-30000)/1000,1)+(2.5-_xlfn.RANK.AVG($J9,($J9,$O9,$T9,$Y9)))*20+IF(_xlfn.RANK.EQ($J9,($J9,$O9,$T9,$Y9))=1,20/((_xlfn.RANK.AVG($J9,($J9,$O9,$T9,$Y9))-1)*2+1),0))</f>
        <v>8.1999999999999993</v>
      </c>
      <c r="AA9" s="51">
        <f>IF($O9="","",ROUND(($O9-30000)/1000,1)+(2.5-_xlfn.RANK.AVG($O9,($J9,$O9,$T9,$Y9)))*20+IF(_xlfn.RANK.EQ($O9,($J9,$O9,$T9,$Y9))=1,20/((_xlfn.RANK.AVG($O9,($J9,$O9,$T9,$Y9))-1)*2+1),0))</f>
        <v>-40.9</v>
      </c>
      <c r="AB9" s="51">
        <f>IF($T9="","",ROUND(($T9-30000)/1000,1)+(2.5-_xlfn.RANK.AVG($T9,($J9,$O9,$T9,$Y9)))*20+IF(_xlfn.RANK.EQ($T9,($J9,$O9,$T9,$Y9))=1,20/((_xlfn.RANK.AVG($T9,($J9,$O9,$T9,$Y9))-1)*2+1),0))</f>
        <v>-20</v>
      </c>
      <c r="AC9" s="52">
        <f>IF($Y9="","",ROUND(($Y9-30000)/1000,1)+(2.5-_xlfn.RANK.AVG($Y9,($J9,$O9,$T9,$Y9)))*20+IF(_xlfn.RANK.EQ($Y9,($J9,$O9,$T9,$Y9))=1,20/((_xlfn.RANK.AVG($Y9,($J9,$O9,$T9,$Y9))-1)*2+1),0))</f>
        <v>52.7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>
        <v>3</v>
      </c>
      <c r="CU9" s="27">
        <v>30</v>
      </c>
      <c r="CV9" s="37" t="s">
        <v>167</v>
      </c>
      <c r="CW9" s="38" t="s">
        <v>171</v>
      </c>
      <c r="CX9" s="38" t="s">
        <v>73</v>
      </c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D9D7A961-8C0D-4520-B04A-2B08D665E52F}">
      <formula1>"ロン,ツモ,放銃,ツモ支払,流局,チョンボ"</formula1>
    </dataValidation>
    <dataValidation type="list" allowBlank="1" showInputMessage="1" showErrorMessage="1" sqref="E4:E30" xr:uid="{C0A93C7B-61EF-4D71-BBD1-A08B7E6C2A1A}">
      <formula1>$Z$2:$AC$2</formula1>
    </dataValidation>
    <dataValidation type="list" allowBlank="1" showInputMessage="1" sqref="F1:Y1" xr:uid="{8BEE8DE3-0F59-49B2-B455-7EB3F8FD332D}">
      <formula1>"百瀬成空,滝沢悠人,大池陸斗,佐藤成浩,柳澤颯吾,石澤巧望,小林郁斗,川上翔大,中川弘崇,小原陸哉,近藤隼,鷲野翼,松澤大地,水澤良平,関谷洸佑,阿部圭太朗,巻島夢樹,"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cp:lastPrinted>2018-10-03T09:15:05Z</cp:lastPrinted>
  <dcterms:created xsi:type="dcterms:W3CDTF">2018-10-02T11:54:05Z</dcterms:created>
  <dcterms:modified xsi:type="dcterms:W3CDTF">2021-12-08T13:57:43Z</dcterms:modified>
</cp:coreProperties>
</file>