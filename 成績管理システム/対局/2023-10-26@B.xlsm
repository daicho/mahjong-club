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ahjongClub\mahjong-club\成績管理システム\対局\"/>
    </mc:Choice>
  </mc:AlternateContent>
  <xr:revisionPtr revIDLastSave="0" documentId="13_ncr:1_{2963099F-001B-4BB2-A537-B56D8C3958AF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<sst xmlns="http://schemas.openxmlformats.org/spreadsheetml/2006/main" count="566" uniqueCount="173">
  <si>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</si>
  <si>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</si>
  <si>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</si>
  <si>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</si>
  <si>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</si>
  <si>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</si>
  <si>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</si>
  <si>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</si>
  <si>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</si>
  <si>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</si>
  <si>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</si>
  <si>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</si>
  <si>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</si>
  <si>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</si>
  <si>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</si>
  <si>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</si>
  <si>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</si>
  <si>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</si>
  <si>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</si>
  <si>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</si>
  <si>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</si>
  <si>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</si>
  <si>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</si>
  <si>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</si>
  <si>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</si>
  <si>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</si>
  <si>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</si>
  <si>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</si>
  <si>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</si>
  <si>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</si>
  <si>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</si>
  <si>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</si>
  <si>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</si>
  <si>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</si>
  <si>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</si>
  <si>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</si>
  <si>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</si>
  <si>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</si>
  <si>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</si>
  <si>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</si>
  <si>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</si>
  <si>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</si>
  <si>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</si>
  <si>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</si>
  <si>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</si>
  <si>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</si>
  <si>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</si>
  <si>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</si>
  <si>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</si>
  <si>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</si>
  <si>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</si>
  <si>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</si>
  <si>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</si>
  <si>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</si>
  <si>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</si>
  <si>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</si>
  <si>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</si>
  <si>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</si>
  <si>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</si>
  <si>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</si>
  <si>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</si>
  <si>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</si>
  <si>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</si>
  <si>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</si>
  <si>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</si>
  <si>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</si>
  <si>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</si>
  <si>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</si>
  <si>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</si>
  <si>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</si>
  <si>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</si>
  <si>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</si>
  <si>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</si>
  <si>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</si>
  <si>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</si>
  <si>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</si>
  <si>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</si>
  <si>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</si>
  <si>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</si>
  <si>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</si>
  <si>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</si>
  <si>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</si>
  <si>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</si>
  <si>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</si>
  <si>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</si>
  <si>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</si>
  <si>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</si>
  <si>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</si>
  <si>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</si>
  <si>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</si>
  <si>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</si>
  <si>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</si>
  <si>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</si>
  <si>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</si>
  <si>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</si>
  <si>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</si>
  <si>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</si>
  <si>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</si>
  <si>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</si>
  <si>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</si>
  <si>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</si>
  <si>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</si>
  <si>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</si>
  <si>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</si>
  <si>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</si>
  <si>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</si>
  <si>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</si>
  <si>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</si>
  <si>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</si>
  <si>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</si>
  <si>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</si>
  <si>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</si>
  <si>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</si>
  <si>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</si>
  <si>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</si>
  <si>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</si>
  <si>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</si>
  <si>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</si>
  <si>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</si>
  <si>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</si>
  <si>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</si>
  <si>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</si>
  <si>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</si>
  <si>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</si>
  <si>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</si>
  <si>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</si>
  <si>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</si>
  <si>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</si>
  <si>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</si>
  <si>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</si>
  <si>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</si>
  <si>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</si>
  <si>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</si>
  <si>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</si>
  <si>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</si>
  <si>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</si>
  <si>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</si>
  <si>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</si>
  <si>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</si>
  <si>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</si>
  <si>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</si>
  <si>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</si>
  <si>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</si>
  <si>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</si>
  <si>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</si>
  <si>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</si>
  <si>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</si>
  <si>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</si>
  <si>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</si>
  <si>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</si>
  <si>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</si>
  <si>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</si>
  <si>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</si>
  <si>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</si>
  <si>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</si>
  <si>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</si>
  <si>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</si>
  <si>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</si>
  <si>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</si>
  <si>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</si>
  <si>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</si>
  <si>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井澤軌人</t>
  </si>
  <si>
    <t>渡部陵瑛</t>
  </si>
  <si>
    <t>宮澤七星</t>
  </si>
  <si>
    <t>山本悠介</t>
  </si>
  <si>
    <t>ツモ支払</t>
  </si>
  <si>
    <t>ツモ</t>
  </si>
  <si>
    <t>*</t>
  </si>
  <si>
    <t>01</t>
  </si>
  <si>
    <t>52</t>
  </si>
  <si>
    <t>ロン</t>
  </si>
  <si>
    <t>放銃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</si>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</sst>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井澤軌人</v>
      </c>
      <c r="AF1" s="70" t="str">
        <f t="shared" ref="AF1:AY1" si="0">$F$1</f>
        <v>井澤軌人</v>
      </c>
      <c r="AG1" s="61" t="str">
        <f t="shared" si="0"/>
        <v>井澤軌人</v>
      </c>
      <c r="AH1" s="61" t="str">
        <f t="shared" si="0"/>
        <v>井澤軌人</v>
      </c>
      <c r="AI1" s="61" t="str">
        <f t="shared" si="0"/>
        <v>井澤軌人</v>
      </c>
      <c r="AJ1" s="61" t="str">
        <f t="shared" si="0"/>
        <v>井澤軌人</v>
      </c>
      <c r="AK1" s="61" t="str">
        <f t="shared" si="0"/>
        <v>井澤軌人</v>
      </c>
      <c r="AL1" s="61" t="str">
        <f t="shared" si="0"/>
        <v>井澤軌人</v>
      </c>
      <c r="AM1" s="61" t="str">
        <f t="shared" si="0"/>
        <v>井澤軌人</v>
      </c>
      <c r="AN1" s="61" t="str">
        <f t="shared" si="0"/>
        <v>井澤軌人</v>
      </c>
      <c r="AO1" s="61" t="str">
        <f t="shared" si="0"/>
        <v>井澤軌人</v>
      </c>
      <c r="AP1" s="61" t="str">
        <f t="shared" si="0"/>
        <v>井澤軌人</v>
      </c>
      <c r="AQ1" s="61" t="str">
        <f t="shared" si="0"/>
        <v>井澤軌人</v>
      </c>
      <c r="AR1" s="61" t="str">
        <f t="shared" si="0"/>
        <v>井澤軌人</v>
      </c>
      <c r="AS1" s="61" t="str">
        <f t="shared" si="0"/>
        <v>井澤軌人</v>
      </c>
      <c r="AT1" s="61" t="str">
        <f t="shared" si="0"/>
        <v>井澤軌人</v>
      </c>
      <c r="AU1" s="61" t="str">
        <f t="shared" si="0"/>
        <v>井澤軌人</v>
      </c>
      <c r="AV1" s="61" t="str">
        <f t="shared" si="0"/>
        <v>井澤軌人</v>
      </c>
      <c r="AW1" s="61" t="str">
        <f t="shared" si="0"/>
        <v>井澤軌人</v>
      </c>
      <c r="AX1" s="61" t="str">
        <f t="shared" si="0"/>
        <v>井澤軌人</v>
      </c>
      <c r="AY1" s="63" t="str">
        <f t="shared" si="0"/>
        <v>井澤軌人</v>
      </c>
      <c r="AZ1" s="60" t="str">
        <f>IF($K$1="","",$K$1)</f>
        <v>渡部陵瑛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宮澤七星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井澤軌人</v>
      </c>
      <c r="AA2" s="56" t="str">
        <f>IF($K$1="","",$K$1)</f>
        <v>渡部陵瑛</v>
      </c>
      <c r="AB2" s="56" t="str">
        <f>IF($P$1="","",$P$1)</f>
        <v>宮澤七星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井澤軌人</v>
      </c>
      <c r="F4" s="5" t="s">
        <v>165</v>
      </c>
      <c r="G4" s="6">
        <v>-8000</v>
      </c>
      <c r="H4" s="6"/>
      <c r="I4" s="6">
        <v>0</v>
      </c>
      <c r="J4" s="18">
        <f>IF(COUNTA($F4,$K4,$P4,$U4)&gt;0,J3+SUM(G4:I4),"")</f>
        <v>17000</v>
      </c>
      <c r="K4" s="5" t="s">
        <v>166</v>
      </c>
      <c r="L4" s="6">
        <v>16000</v>
      </c>
      <c r="M4" s="6"/>
      <c r="N4" s="6">
        <v>0</v>
      </c>
      <c r="O4" s="18">
        <f>IF(COUNTA($F4,$K4,$P4,$U4)&gt;0,O3+SUM(L4:N4),"")</f>
        <v>41000</v>
      </c>
      <c r="P4" s="5" t="s">
        <v>165</v>
      </c>
      <c r="Q4" s="6">
        <v>-4000</v>
      </c>
      <c r="R4" s="6"/>
      <c r="S4" s="6">
        <v>0</v>
      </c>
      <c r="T4" s="18">
        <f>IF(COUNTA($F4,$K4,$P4,$U4)&gt;0,T3+SUM(Q4:S4),"")</f>
        <v>21000</v>
      </c>
      <c r="U4" s="5" t="s">
        <v>165</v>
      </c>
      <c r="V4" s="6">
        <v>-4000</v>
      </c>
      <c r="W4" s="6"/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-43</v>
      </c>
      <c r="AA4" s="46">
        <f>IF($O4="","",ROUND(($O4-30000)/1000,1)+(2.5-_xlfn.RANK.AVG($O4,($J4,$O4,$T4,$Y4)))*20+IF(_xlfn.RANK.EQ($O4,($J4,$O4,$T4,$Y4))=1,20/((_xlfn.RANK.AVG($O4,($J4,$O4,$T4,$Y4))-1)*2+1),0))</f>
        <v>61</v>
      </c>
      <c r="AB4" s="46">
        <f>IF($T4="","",ROUND(($T4-30000)/1000,1)+(2.5-_xlfn.RANK.AVG($T4,($J4,$O4,$T4,$Y4)))*20+IF(_xlfn.RANK.EQ($T4,($J4,$O4,$T4,$Y4))=1,20/((_xlfn.RANK.AVG($T4,($J4,$O4,$T4,$Y4))-1)*2+1),0))</f>
        <v>-9</v>
      </c>
      <c r="AC4" s="47">
        <f>IF($Y4="","",ROUND(($Y4-30000)/1000,1)+(2.5-_xlfn.RANK.AVG($Y4,($J4,$O4,$T4,$Y4)))*20+IF(_xlfn.RANK.EQ($Y4,($J4,$O4,$T4,$Y4))=1,20/((_xlfn.RANK.AVG($Y4,($J4,$O4,$T4,$Y4))-1)*2+1),0))</f>
        <v>-9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8</v>
      </c>
      <c r="BE4" s="27" t="s">
        <v>167</v>
      </c>
      <c r="BF4" s="36" t="s">
        <v>168</v>
      </c>
      <c r="BG4" s="37" t="s">
        <v>73</v>
      </c>
      <c r="BH4" s="37" t="s">
        <v>169</v>
      </c>
      <c r="BI4" s="37" t="s">
        <v>169</v>
      </c>
      <c r="BJ4" s="37" t="s">
        <v>74</v>
      </c>
      <c r="BK4" s="37" t="s">
        <v>70</v>
      </c>
      <c r="BL4" s="37" t="s">
        <v>70</v>
      </c>
      <c r="BM4" s="37" t="s">
        <v>71</v>
      </c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渡部陵瑛</v>
      </c>
      <c r="F5" s="5" t="s">
        <v>166</v>
      </c>
      <c r="G5" s="6">
        <v>5200</v>
      </c>
      <c r="H5" s="6">
        <v>1000</v>
      </c>
      <c r="I5" s="6">
        <v>0</v>
      </c>
      <c r="J5" s="18">
        <f t="shared" ref="J5:J30" si="2">IF(COUNTA($F5,$K5,$P5,$U5)&gt;0,J4+SUM(G5:I5),"")</f>
        <v>23200</v>
      </c>
      <c r="K5" s="5" t="s">
        <v>165</v>
      </c>
      <c r="L5" s="6">
        <v>-2600</v>
      </c>
      <c r="M5" s="6"/>
      <c r="N5" s="6">
        <v>0</v>
      </c>
      <c r="O5" s="18">
        <f>IF(COUNTA($F5,$K5,$P5,$U5)&gt;0,O4+SUM(L5:N5),"")</f>
        <v>38400</v>
      </c>
      <c r="P5" s="5" t="s">
        <v>165</v>
      </c>
      <c r="Q5" s="6">
        <v>-1300</v>
      </c>
      <c r="R5" s="6">
        <v>-1000</v>
      </c>
      <c r="S5" s="6">
        <v>0</v>
      </c>
      <c r="T5" s="18">
        <f t="shared" ref="T5:T30" si="3">IF(COUNTA($F5,$K5,$P5,$U5)&gt;0,T4+SUM(Q5:S5),"")</f>
        <v>18700</v>
      </c>
      <c r="U5" s="5" t="s">
        <v>165</v>
      </c>
      <c r="V5" s="6">
        <v>-1300</v>
      </c>
      <c r="W5" s="6"/>
      <c r="X5" s="6">
        <v>0</v>
      </c>
      <c r="Y5" s="18">
        <f t="shared" ref="Y5:Y30" si="4">IF(COUNTA($F5,$K5,$P5,$U5)&gt;0,Y4+SUM(V5:X5),"")</f>
        <v>19700</v>
      </c>
      <c r="Z5" s="45">
        <f>IF($J5="","",ROUND(($J5-30000)/1000,1)+(2.5-_xlfn.RANK.AVG($J5,($J5,$O5,$T5,$Y5)))*20+IF(_xlfn.RANK.EQ($J5,($J5,$O5,$T5,$Y5))=1,20/((_xlfn.RANK.AVG($J5,($J5,$O5,$T5,$Y5))-1)*2+1),0))</f>
        <v>3.2</v>
      </c>
      <c r="AA5" s="46">
        <f>IF($O5="","",ROUND(($O5-30000)/1000,1)+(2.5-_xlfn.RANK.AVG($O5,($J5,$O5,$T5,$Y5)))*20+IF(_xlfn.RANK.EQ($O5,($J5,$O5,$T5,$Y5))=1,20/((_xlfn.RANK.AVG($O5,($J5,$O5,$T5,$Y5))-1)*2+1),0))</f>
        <v>58.4</v>
      </c>
      <c r="AB5" s="46">
        <f>IF($T5="","",ROUND(($T5-30000)/1000,1)+(2.5-_xlfn.RANK.AVG($T5,($J5,$O5,$T5,$Y5)))*20+IF(_xlfn.RANK.EQ($T5,($J5,$O5,$T5,$Y5))=1,20/((_xlfn.RANK.AVG($T5,($J5,$O5,$T5,$Y5))-1)*2+1),0))</f>
        <v>-41.3</v>
      </c>
      <c r="AC5" s="47">
        <f>IF($Y5="","",ROUND(($Y5-30000)/1000,1)+(2.5-_xlfn.RANK.AVG($Y5,($J5,$O5,$T5,$Y5)))*20+IF(_xlfn.RANK.EQ($Y5,($J5,$O5,$T5,$Y5))=1,20/((_xlfn.RANK.AVG($Y5,($J5,$O5,$T5,$Y5))-1)*2+1),0))</f>
        <v>-20.3</v>
      </c>
      <c r="AE5" s="5"/>
      <c r="AF5" s="30"/>
      <c r="AG5" s="23">
        <v>1</v>
      </c>
      <c r="AH5" s="23"/>
      <c r="AI5" s="23">
        <v>4</v>
      </c>
      <c r="AJ5" s="27">
        <v>20</v>
      </c>
      <c r="AK5" s="36" t="s">
        <v>168</v>
      </c>
      <c r="AL5" s="37" t="s">
        <v>73</v>
      </c>
      <c r="AM5" s="37" t="s">
        <v>75</v>
      </c>
      <c r="AN5" s="37" t="s">
        <v>74</v>
      </c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宮澤七星</v>
      </c>
      <c r="F6" s="5"/>
      <c r="G6" s="6"/>
      <c r="H6" s="6"/>
      <c r="I6" s="6"/>
      <c r="J6" s="18">
        <f t="shared" si="2"/>
        <v>23200</v>
      </c>
      <c r="K6" s="5" t="s">
        <v>170</v>
      </c>
      <c r="L6" s="6">
        <v>2600</v>
      </c>
      <c r="M6" s="6">
        <v>1000</v>
      </c>
      <c r="N6" s="6">
        <v>0</v>
      </c>
      <c r="O6" s="18">
        <f t="shared" ref="O6:O30" si="8">IF(COUNTA($F6,$K6,$P6,$U6)&gt;0,O5+SUM(L6:N6),"")</f>
        <v>42000</v>
      </c>
      <c r="P6" s="5" t="s">
        <v>171</v>
      </c>
      <c r="Q6" s="6">
        <v>-2600</v>
      </c>
      <c r="R6" s="6">
        <v>-1000</v>
      </c>
      <c r="S6" s="6">
        <v>0</v>
      </c>
      <c r="T6" s="18">
        <f t="shared" si="3"/>
        <v>15100</v>
      </c>
      <c r="U6" s="5"/>
      <c r="V6" s="6"/>
      <c r="W6" s="6"/>
      <c r="X6" s="6"/>
      <c r="Y6" s="18">
        <f t="shared" si="4"/>
        <v>19700</v>
      </c>
      <c r="Z6" s="45">
        <f>IF($J6="","",ROUND(($J6-30000)/1000,1)+(2.5-_xlfn.RANK.AVG($J6,($J6,$O6,$T6,$Y6)))*20+IF(_xlfn.RANK.EQ($J6,($J6,$O6,$T6,$Y6))=1,20/((_xlfn.RANK.AVG($J6,($J6,$O6,$T6,$Y6))-1)*2+1),0))</f>
        <v>3.2</v>
      </c>
      <c r="AA6" s="46">
        <f>IF($O6="","",ROUND(($O6-30000)/1000,1)+(2.5-_xlfn.RANK.AVG($O6,($J6,$O6,$T6,$Y6)))*20+IF(_xlfn.RANK.EQ($O6,($J6,$O6,$T6,$Y6))=1,20/((_xlfn.RANK.AVG($O6,($J6,$O6,$T6,$Y6))-1)*2+1),0))</f>
        <v>62</v>
      </c>
      <c r="AB6" s="46">
        <f>IF($T6="","",ROUND(($T6-30000)/1000,1)+(2.5-_xlfn.RANK.AVG($T6,($J6,$O6,$T6,$Y6)))*20+IF(_xlfn.RANK.EQ($T6,($J6,$O6,$T6,$Y6))=1,20/((_xlfn.RANK.AVG($T6,($J6,$O6,$T6,$Y6))-1)*2+1),0))</f>
        <v>-44.9</v>
      </c>
      <c r="AC6" s="47">
        <f>IF($Y6="","",ROUND(($Y6-30000)/1000,1)+(2.5-_xlfn.RANK.AVG($Y6,($J6,$O6,$T6,$Y6)))*20+IF(_xlfn.RANK.EQ($Y6,($J6,$O6,$T6,$Y6))=1,20/((_xlfn.RANK.AVG($Y6,($J6,$O6,$T6,$Y6))-1)*2+1),0))</f>
        <v>-20.3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2</v>
      </c>
      <c r="BE6" s="27">
        <v>40</v>
      </c>
      <c r="BF6" s="36" t="s">
        <v>168</v>
      </c>
      <c r="BG6" s="37" t="s">
        <v>70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山本悠介</v>
      </c>
      <c r="F7" s="5"/>
      <c r="G7" s="6"/>
      <c r="H7" s="6"/>
      <c r="I7" s="6"/>
      <c r="J7" s="18">
        <f t="shared" si="2"/>
        <v>23200</v>
      </c>
      <c r="K7" s="5"/>
      <c r="L7" s="6"/>
      <c r="M7" s="6"/>
      <c r="N7" s="6"/>
      <c r="O7" s="18">
        <f t="shared" si="8"/>
        <v>42000</v>
      </c>
      <c r="P7" s="5" t="s">
        <v>171</v>
      </c>
      <c r="Q7" s="6">
        <v>-12000</v>
      </c>
      <c r="R7" s="6"/>
      <c r="S7" s="6">
        <v>0</v>
      </c>
      <c r="T7" s="18">
        <f t="shared" si="3"/>
        <v>3100</v>
      </c>
      <c r="U7" s="5" t="s">
        <v>170</v>
      </c>
      <c r="V7" s="6">
        <v>12000</v>
      </c>
      <c r="W7" s="6"/>
      <c r="X7" s="6">
        <v>0</v>
      </c>
      <c r="Y7" s="18">
        <f t="shared" si="4"/>
        <v>31700</v>
      </c>
      <c r="Z7" s="45">
        <f>IF($J7="","",ROUND(($J7-30000)/1000,1)+(2.5-_xlfn.RANK.AVG($J7,($J7,$O7,$T7,$Y7)))*20+IF(_xlfn.RANK.EQ($J7,($J7,$O7,$T7,$Y7))=1,20/((_xlfn.RANK.AVG($J7,($J7,$O7,$T7,$Y7))-1)*2+1),0))</f>
        <v>-16.8</v>
      </c>
      <c r="AA7" s="46">
        <f>IF($O7="","",ROUND(($O7-30000)/1000,1)+(2.5-_xlfn.RANK.AVG($O7,($J7,$O7,$T7,$Y7)))*20+IF(_xlfn.RANK.EQ($O7,($J7,$O7,$T7,$Y7))=1,20/((_xlfn.RANK.AVG($O7,($J7,$O7,$T7,$Y7))-1)*2+1),0))</f>
        <v>62</v>
      </c>
      <c r="AB7" s="46">
        <f>IF($T7="","",ROUND(($T7-30000)/1000,1)+(2.5-_xlfn.RANK.AVG($T7,($J7,$O7,$T7,$Y7)))*20+IF(_xlfn.RANK.EQ($T7,($J7,$O7,$T7,$Y7))=1,20/((_xlfn.RANK.AVG($T7,($J7,$O7,$T7,$Y7))-1)*2+1),0))</f>
        <v>-56.9</v>
      </c>
      <c r="AC7" s="47">
        <f>IF($Y7="","",ROUND(($Y7-30000)/1000,1)+(2.5-_xlfn.RANK.AVG($Y7,($J7,$O7,$T7,$Y7)))*20+IF(_xlfn.RANK.EQ($Y7,($J7,$O7,$T7,$Y7))=1,20/((_xlfn.RANK.AVG($Y7,($J7,$O7,$T7,$Y7))-1)*2+1),0))</f>
        <v>11.7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4</v>
      </c>
      <c r="CU7" s="27">
        <v>40</v>
      </c>
      <c r="CV7" s="36" t="s">
        <v>168</v>
      </c>
      <c r="CW7" s="37" t="s">
        <v>172</v>
      </c>
      <c r="CX7" s="37" t="s">
        <v>70</v>
      </c>
      <c r="CY7" s="37" t="s">
        <v>70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 t="s">
        <v>165</v>
      </c>
      <c r="G8" s="6">
        <v>-1000</v>
      </c>
      <c r="H8" s="6"/>
      <c r="I8" s="6">
        <v>-100</v>
      </c>
      <c r="J8" s="18">
        <f t="shared" si="2"/>
        <v>22100</v>
      </c>
      <c r="K8" s="5" t="s">
        <v>165</v>
      </c>
      <c r="L8" s="6">
        <v>-1000</v>
      </c>
      <c r="M8" s="6"/>
      <c r="N8" s="6">
        <v>-100</v>
      </c>
      <c r="O8" s="18">
        <f t="shared" si="8"/>
        <v>40900</v>
      </c>
      <c r="P8" s="5" t="s">
        <v>166</v>
      </c>
      <c r="Q8" s="6">
        <v>4000</v>
      </c>
      <c r="R8" s="6"/>
      <c r="S8" s="6">
        <v>300</v>
      </c>
      <c r="T8" s="18">
        <f t="shared" si="3"/>
        <v>7400</v>
      </c>
      <c r="U8" s="5" t="s">
        <v>165</v>
      </c>
      <c r="V8" s="6">
        <v>-2000</v>
      </c>
      <c r="W8" s="6"/>
      <c r="X8" s="6">
        <v>-100</v>
      </c>
      <c r="Y8" s="18">
        <f t="shared" si="4"/>
        <v>29600</v>
      </c>
      <c r="Z8" s="45">
        <f>IF($J8="","",ROUND(($J8-30000)/1000,1)+(2.5-_xlfn.RANK.AVG($J8,($J8,$O8,$T8,$Y8)))*20+IF(_xlfn.RANK.EQ($J8,($J8,$O8,$T8,$Y8))=1,20/((_xlfn.RANK.AVG($J8,($J8,$O8,$T8,$Y8))-1)*2+1),0))</f>
        <v>-17.899999999999999</v>
      </c>
      <c r="AA8" s="46">
        <f>IF($O8="","",ROUND(($O8-30000)/1000,1)+(2.5-_xlfn.RANK.AVG($O8,($J8,$O8,$T8,$Y8)))*20+IF(_xlfn.RANK.EQ($O8,($J8,$O8,$T8,$Y8))=1,20/((_xlfn.RANK.AVG($O8,($J8,$O8,$T8,$Y8))-1)*2+1),0))</f>
        <v>60.9</v>
      </c>
      <c r="AB8" s="46">
        <f>IF($T8="","",ROUND(($T8-30000)/1000,1)+(2.5-_xlfn.RANK.AVG($T8,($J8,$O8,$T8,$Y8)))*20+IF(_xlfn.RANK.EQ($T8,($J8,$O8,$T8,$Y8))=1,20/((_xlfn.RANK.AVG($T8,($J8,$O8,$T8,$Y8))-1)*2+1),0))</f>
        <v>-52.6</v>
      </c>
      <c r="AC8" s="47">
        <f>IF($Y8="","",ROUND(($Y8-30000)/1000,1)+(2.5-_xlfn.RANK.AVG($Y8,($J8,$O8,$T8,$Y8)))*20+IF(_xlfn.RANK.EQ($Y8,($J8,$O8,$T8,$Y8))=1,20/((_xlfn.RANK.AVG($Y8,($J8,$O8,$T8,$Y8))-1)*2+1),0))</f>
        <v>9.6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3</v>
      </c>
      <c r="BZ8" s="27">
        <v>30</v>
      </c>
      <c r="CA8" s="36" t="s">
        <v>168</v>
      </c>
      <c r="CB8" s="37" t="s">
        <v>73</v>
      </c>
      <c r="CC8" s="37" t="s">
        <v>70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井澤軌人</v>
      </c>
      <c r="F9" s="5"/>
      <c r="G9" s="6"/>
      <c r="H9" s="6"/>
      <c r="I9" s="6"/>
      <c r="J9" s="18">
        <f t="shared" si="2"/>
        <v>22100</v>
      </c>
      <c r="K9" s="5" t="s">
        <v>171</v>
      </c>
      <c r="L9" s="6">
        <v>-2000</v>
      </c>
      <c r="M9" s="6"/>
      <c r="N9" s="6">
        <v>0</v>
      </c>
      <c r="O9" s="18">
        <f t="shared" si="8"/>
        <v>38900</v>
      </c>
      <c r="P9" s="5" t="s">
        <v>170</v>
      </c>
      <c r="Q9" s="6">
        <v>2000</v>
      </c>
      <c r="R9" s="6"/>
      <c r="S9" s="6">
        <v>0</v>
      </c>
      <c r="T9" s="18">
        <f t="shared" si="3"/>
        <v>9400</v>
      </c>
      <c r="U9" s="5"/>
      <c r="V9" s="6"/>
      <c r="W9" s="6"/>
      <c r="X9" s="6"/>
      <c r="Y9" s="18">
        <f t="shared" si="4"/>
        <v>29600</v>
      </c>
      <c r="Z9" s="45">
        <f>IF($J9="","",ROUND(($J9-30000)/1000,1)+(2.5-_xlfn.RANK.AVG($J9,($J9,$O9,$T9,$Y9)))*20+IF(_xlfn.RANK.EQ($J9,($J9,$O9,$T9,$Y9))=1,20/((_xlfn.RANK.AVG($J9,($J9,$O9,$T9,$Y9))-1)*2+1),0))</f>
        <v>-17.899999999999999</v>
      </c>
      <c r="AA9" s="46">
        <f>IF($O9="","",ROUND(($O9-30000)/1000,1)+(2.5-_xlfn.RANK.AVG($O9,($J9,$O9,$T9,$Y9)))*20+IF(_xlfn.RANK.EQ($O9,($J9,$O9,$T9,$Y9))=1,20/((_xlfn.RANK.AVG($O9,($J9,$O9,$T9,$Y9))-1)*2+1),0))</f>
        <v>58.9</v>
      </c>
      <c r="AB9" s="46">
        <f>IF($T9="","",ROUND(($T9-30000)/1000,1)+(2.5-_xlfn.RANK.AVG($T9,($J9,$O9,$T9,$Y9)))*20+IF(_xlfn.RANK.EQ($T9,($J9,$O9,$T9,$Y9))=1,20/((_xlfn.RANK.AVG($T9,($J9,$O9,$T9,$Y9))-1)*2+1),0))</f>
        <v>-50.6</v>
      </c>
      <c r="AC9" s="47">
        <f>IF($Y9="","",ROUND(($Y9-30000)/1000,1)+(2.5-_xlfn.RANK.AVG($Y9,($J9,$O9,$T9,$Y9)))*20+IF(_xlfn.RANK.EQ($Y9,($J9,$O9,$T9,$Y9))=1,20/((_xlfn.RANK.AVG($Y9,($J9,$O9,$T9,$Y9))-1)*2+1),0))</f>
        <v>9.6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2</v>
      </c>
      <c r="BZ9" s="27">
        <v>30</v>
      </c>
      <c r="CA9" s="36" t="s">
        <v>77</v>
      </c>
      <c r="CB9" s="37" t="s">
        <v>169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渡部陵瑛</v>
      </c>
      <c r="F10" s="5" t="s">
        <v>165</v>
      </c>
      <c r="G10" s="6">
        <v>-1300</v>
      </c>
      <c r="H10" s="6"/>
      <c r="I10" s="6">
        <v>0</v>
      </c>
      <c r="J10" s="18">
        <f t="shared" si="2"/>
        <v>20800</v>
      </c>
      <c r="K10" s="5" t="s">
        <v>166</v>
      </c>
      <c r="L10" s="6">
        <v>3900</v>
      </c>
      <c r="M10" s="6">
        <v>0</v>
      </c>
      <c r="N10" s="6">
        <v>0</v>
      </c>
      <c r="O10" s="18">
        <f t="shared" si="8"/>
        <v>42800</v>
      </c>
      <c r="P10" s="5" t="s">
        <v>165</v>
      </c>
      <c r="Q10" s="6">
        <v>-1300</v>
      </c>
      <c r="R10" s="6"/>
      <c r="S10" s="6">
        <v>0</v>
      </c>
      <c r="T10" s="18">
        <f t="shared" si="3"/>
        <v>8100</v>
      </c>
      <c r="U10" s="5" t="s">
        <v>165</v>
      </c>
      <c r="V10" s="6">
        <v>-1300</v>
      </c>
      <c r="W10" s="6"/>
      <c r="X10" s="6">
        <v>0</v>
      </c>
      <c r="Y10" s="18">
        <f t="shared" si="4"/>
        <v>28300</v>
      </c>
      <c r="Z10" s="45">
        <f>IF($J10="","",ROUND(($J10-30000)/1000,1)+(2.5-_xlfn.RANK.AVG($J10,($J10,$O10,$T10,$Y10)))*20+IF(_xlfn.RANK.EQ($J10,($J10,$O10,$T10,$Y10))=1,20/((_xlfn.RANK.AVG($J10,($J10,$O10,$T10,$Y10))-1)*2+1),0))</f>
        <v>-19.2</v>
      </c>
      <c r="AA10" s="46">
        <f>IF($O10="","",ROUND(($O10-30000)/1000,1)+(2.5-_xlfn.RANK.AVG($O10,($J10,$O10,$T10,$Y10)))*20+IF(_xlfn.RANK.EQ($O10,($J10,$O10,$T10,$Y10))=1,20/((_xlfn.RANK.AVG($O10,($J10,$O10,$T10,$Y10))-1)*2+1),0))</f>
        <v>62.8</v>
      </c>
      <c r="AB10" s="46">
        <f>IF($T10="","",ROUND(($T10-30000)/1000,1)+(2.5-_xlfn.RANK.AVG($T10,($J10,$O10,$T10,$Y10)))*20+IF(_xlfn.RANK.EQ($T10,($J10,$O10,$T10,$Y10))=1,20/((_xlfn.RANK.AVG($T10,($J10,$O10,$T10,$Y10))-1)*2+1),0))</f>
        <v>-51.9</v>
      </c>
      <c r="AC10" s="47">
        <f>IF($Y10="","",ROUND(($Y10-30000)/1000,1)+(2.5-_xlfn.RANK.AVG($Y10,($J10,$O10,$T10,$Y10)))*20+IF(_xlfn.RANK.EQ($Y10,($J10,$O10,$T10,$Y10))=1,20/((_xlfn.RANK.AVG($Y10,($J10,$O10,$T10,$Y10))-1)*2+1),0))</f>
        <v>8.3000000000000007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3</v>
      </c>
      <c r="BE10" s="27">
        <v>20</v>
      </c>
      <c r="BF10" s="36" t="s">
        <v>168</v>
      </c>
      <c r="BG10" s="37" t="s">
        <v>73</v>
      </c>
      <c r="BH10" s="37" t="s">
        <v>74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D744092-B4B0-4E58-A1EB-5A50A3CB4B76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颯吾 柳澤</cp:lastModifiedBy>
  <cp:lastPrinted>2018-10-03T09:15:05Z</cp:lastPrinted>
  <dcterms:created xsi:type="dcterms:W3CDTF">2018-10-02T11:54:05Z</dcterms:created>
  <dcterms:modified xsi:type="dcterms:W3CDTF">2023-10-26T09:46:40Z</dcterms:modified>
</cp:coreProperties>
</file>