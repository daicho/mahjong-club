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対局\"/>
    </mc:Choice>
  </mc:AlternateContent>
  <xr:revisionPtr revIDLastSave="0" documentId="13_ncr:1_{B8A18655-13EC-44F0-A157-7AF902395245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<sst xmlns="http://schemas.openxmlformats.org/spreadsheetml/2006/main" count="580" uniqueCount="177">
  <si>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</si>
  <si>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</si>
  <si>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</si>
  <si>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</si>
  <si>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</si>
  <si>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</si>
  <si>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</si>
  <si>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</si>
  <si>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</si>
  <si>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</si>
  <si>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</si>
  <si>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</si>
  <si>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</si>
  <si>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</si>
  <si>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</si>
  <si>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</si>
  <si>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</si>
  <si>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</si>
  <si>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</si>
  <si>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</si>
  <si>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</si>
  <si>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</si>
  <si>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</si>
  <si>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</si>
  <si>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</si>
  <si>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</si>
  <si>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</si>
  <si>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</si>
  <si>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</si>
  <si>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</si>
  <si>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</si>
  <si>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</si>
  <si>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</si>
  <si>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</si>
  <si>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</si>
  <si>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</si>
  <si>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</si>
  <si>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</si>
  <si>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</si>
  <si>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</si>
  <si>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</si>
  <si>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</si>
  <si>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</si>
  <si>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</si>
  <si>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</si>
  <si>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</si>
  <si>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</si>
  <si>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</si>
  <si>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</si>
  <si>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</si>
  <si>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</si>
  <si>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</si>
  <si>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</si>
  <si>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</si>
  <si>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</si>
  <si>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</si>
  <si>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</si>
  <si>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</si>
  <si>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</si>
  <si>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</si>
  <si>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</si>
  <si>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</si>
  <si>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</si>
  <si>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</si>
  <si>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</si>
  <si>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</si>
  <si>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</si>
  <si>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</si>
  <si>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</si>
  <si>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</si>
  <si>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</si>
  <si>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</si>
  <si>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</si>
  <si>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</si>
  <si>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</si>
  <si>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</si>
  <si>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</si>
  <si>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</si>
  <si>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</si>
  <si>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</si>
  <si>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</si>
  <si>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</si>
  <si>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</si>
  <si>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</si>
  <si>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</si>
  <si>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</si>
  <si>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</si>
  <si>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</si>
  <si>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</si>
  <si>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</si>
  <si>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</si>
  <si>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</si>
  <si>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</si>
  <si>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</si>
  <si>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</si>
  <si>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</si>
  <si>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</si>
  <si>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</si>
  <si>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</si>
  <si>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</si>
  <si>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</si>
  <si>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</si>
  <si>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</si>
  <si>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</si>
  <si>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</si>
  <si>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</si>
  <si>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</si>
  <si>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</si>
  <si>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</si>
  <si>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</si>
  <si>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</si>
  <si>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</si>
  <si>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</si>
  <si>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</si>
  <si>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</si>
  <si>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</si>
  <si>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</si>
  <si>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</si>
  <si>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</si>
  <si>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</si>
  <si>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</si>
  <si>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</si>
  <si>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</si>
  <si>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</si>
  <si>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</si>
  <si>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</si>
  <si>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</si>
  <si>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</si>
  <si>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</si>
  <si>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</si>
  <si>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</si>
  <si>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</si>
  <si>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</si>
  <si>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</si>
  <si>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</si>
  <si>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</si>
  <si>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</si>
  <si>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</si>
  <si>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</si>
  <si>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</si>
  <si>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</si>
  <si>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</si>
  <si>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</si>
  <si>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</si>
  <si>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</si>
  <si>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</si>
  <si>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</si>
  <si>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</si>
  <si>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</si>
  <si>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</si>
  <si>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</si>
  <si>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</si>
  <si>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</si>
  <si>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</si>
  <si>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</si>
  <si>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</si>
  <si>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</si>
  <si>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</si>
  <si>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</si>
  <si>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</si>
  <si>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</si>
  <si>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高山晶</t>
  </si>
  <si>
    <t>山田夏寿希</t>
  </si>
  <si>
    <t>中村花菜</t>
  </si>
  <si>
    <t>清水遙斗</t>
  </si>
  <si>
    <t>チョンボ</t>
  </si>
  <si>
    <t>N</t>
  </si>
  <si>
    <t>T</t>
  </si>
  <si>
    <t>流局</t>
    <phoneticPr fontId="1"/>
  </si>
  <si>
    <t>ツモ支払</t>
  </si>
  <si>
    <t>ツモ</t>
  </si>
  <si>
    <t>*</t>
  </si>
  <si>
    <t>02</t>
  </si>
  <si>
    <t>01</t>
  </si>
  <si>
    <t>放銃</t>
  </si>
  <si>
    <t>ロン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</si>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</sst>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H4" sqref="H4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山田夏寿希</v>
      </c>
      <c r="AB2" s="56" t="str">
        <f>IF($P$1="","",$P$1)</f>
        <v>中村花菜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165</v>
      </c>
      <c r="G4" s="6">
        <v>-10000</v>
      </c>
      <c r="H4" s="6"/>
      <c r="I4" s="6"/>
      <c r="J4" s="18">
        <f>IF(COUNTA($F4,$K4,$P4,$U4)&gt;0,J3+SUM(G4:I4),"")</f>
        <v>15000</v>
      </c>
      <c r="K4" s="5" t="s">
        <v>165</v>
      </c>
      <c r="L4" s="6"/>
      <c r="M4" s="6"/>
      <c r="N4" s="6"/>
      <c r="O4" s="18">
        <f>IF(COUNTA($F4,$K4,$P4,$U4)&gt;0,O3+SUM(L4:N4),"")</f>
        <v>25000</v>
      </c>
      <c r="P4" s="5" t="s">
        <v>165</v>
      </c>
      <c r="Q4" s="6"/>
      <c r="R4" s="6"/>
      <c r="S4" s="6"/>
      <c r="T4" s="18">
        <f>IF(COUNTA($F4,$K4,$P4,$U4)&gt;0,T3+SUM(Q4:S4),"")</f>
        <v>25000</v>
      </c>
      <c r="U4" s="5" t="s">
        <v>165</v>
      </c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-45</v>
      </c>
      <c r="AA4" s="46">
        <f>IF($O4="","",ROUND(($O4-30000)/1000,1)+(2.5-_xlfn.RANK.AVG($O4,($J4,$O4,$T4,$Y4)))*20+IF(_xlfn.RANK.EQ($O4,($J4,$O4,$T4,$Y4))=1,20/((_xlfn.RANK.AVG($O4,($J4,$O4,$T4,$Y4))-1)*2+1),0))</f>
        <v>11.666666666666668</v>
      </c>
      <c r="AB4" s="46">
        <f>IF($T4="","",ROUND(($T4-30000)/1000,1)+(2.5-_xlfn.RANK.AVG($T4,($J4,$O4,$T4,$Y4)))*20+IF(_xlfn.RANK.EQ($T4,($J4,$O4,$T4,$Y4))=1,20/((_xlfn.RANK.AVG($T4,($J4,$O4,$T4,$Y4))-1)*2+1),0))</f>
        <v>11.666666666666668</v>
      </c>
      <c r="AC4" s="47">
        <f>IF($Y4="","",ROUND(($Y4-30000)/1000,1)+(2.5-_xlfn.RANK.AVG($Y4,($J4,$O4,$T4,$Y4)))*20+IF(_xlfn.RANK.EQ($Y4,($J4,$O4,$T4,$Y4))=1,20/((_xlfn.RANK.AVG($Y4,($J4,$O4,$T4,$Y4))-1)*2+1),0))</f>
        <v>11.666666666666668</v>
      </c>
      <c r="AE4" s="5"/>
      <c r="AF4" s="30">
        <v>1</v>
      </c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IF($F$1="","",$F$1)</f>
        <v>高山晶</v>
      </c>
      <c r="F5" s="5" t="s">
        <v>168</v>
      </c>
      <c r="G5" s="6">
        <v>-1000</v>
      </c>
      <c r="H5" s="6"/>
      <c r="I5" s="6"/>
      <c r="J5" s="18">
        <f t="shared" ref="J5:J30" si="2">IF(COUNTA($F5,$K5,$P5,$U5)&gt;0,J4+SUM(G5:I5),"")</f>
        <v>14000</v>
      </c>
      <c r="K5" s="5" t="s">
        <v>168</v>
      </c>
      <c r="L5" s="6">
        <v>3000</v>
      </c>
      <c r="M5" s="6">
        <v>-1000</v>
      </c>
      <c r="N5" s="6"/>
      <c r="O5" s="18">
        <f>IF(COUNTA($F5,$K5,$P5,$U5)&gt;0,O4+SUM(L5:N5),"")</f>
        <v>27000</v>
      </c>
      <c r="P5" s="5" t="s">
        <v>168</v>
      </c>
      <c r="Q5" s="6">
        <v>-1000</v>
      </c>
      <c r="R5" s="6"/>
      <c r="S5" s="6"/>
      <c r="T5" s="18">
        <f t="shared" ref="T5:T30" si="3">IF(COUNTA($F5,$K5,$P5,$U5)&gt;0,T4+SUM(Q5:S5),"")</f>
        <v>24000</v>
      </c>
      <c r="U5" s="5" t="s">
        <v>168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-46</v>
      </c>
      <c r="AA5" s="46">
        <f>IF($O5="","",ROUND(($O5-30000)/1000,1)+(2.5-_xlfn.RANK.AVG($O5,($J5,$O5,$T5,$Y5)))*20+IF(_xlfn.RANK.EQ($O5,($J5,$O5,$T5,$Y5))=1,20/((_xlfn.RANK.AVG($O5,($J5,$O5,$T5,$Y5))-1)*2+1),0))</f>
        <v>47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166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166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山田夏寿希</v>
      </c>
      <c r="F6" s="5" t="s">
        <v>169</v>
      </c>
      <c r="G6" s="6">
        <v>-2000</v>
      </c>
      <c r="H6" s="6"/>
      <c r="I6" s="6">
        <v>-100</v>
      </c>
      <c r="J6" s="18">
        <f t="shared" si="2"/>
        <v>11900</v>
      </c>
      <c r="K6" s="5" t="s">
        <v>169</v>
      </c>
      <c r="L6" s="6">
        <v>-4000</v>
      </c>
      <c r="M6" s="6"/>
      <c r="N6" s="6">
        <v>-100</v>
      </c>
      <c r="O6" s="18">
        <f t="shared" ref="O6:O30" si="8">IF(COUNTA($F6,$K6,$P6,$U6)&gt;0,O5+SUM(L6:N6),"")</f>
        <v>22900</v>
      </c>
      <c r="P6" s="5" t="s">
        <v>169</v>
      </c>
      <c r="Q6" s="6">
        <v>-2000</v>
      </c>
      <c r="R6" s="6"/>
      <c r="S6" s="6">
        <v>-100</v>
      </c>
      <c r="T6" s="18">
        <f t="shared" si="3"/>
        <v>21900</v>
      </c>
      <c r="U6" s="5" t="s">
        <v>170</v>
      </c>
      <c r="V6" s="6">
        <v>8000</v>
      </c>
      <c r="W6" s="6">
        <v>1000</v>
      </c>
      <c r="X6" s="6">
        <v>300</v>
      </c>
      <c r="Y6" s="18">
        <f t="shared" si="4"/>
        <v>33300</v>
      </c>
      <c r="Z6" s="45">
        <f>IF($J6="","",ROUND(($J6-30000)/1000,1)+(2.5-_xlfn.RANK.AVG($J6,($J6,$O6,$T6,$Y6)))*20+IF(_xlfn.RANK.EQ($J6,($J6,$O6,$T6,$Y6))=1,20/((_xlfn.RANK.AVG($J6,($J6,$O6,$T6,$Y6))-1)*2+1),0))</f>
        <v>-48.1</v>
      </c>
      <c r="AA6" s="46">
        <f>IF($O6="","",ROUND(($O6-30000)/1000,1)+(2.5-_xlfn.RANK.AVG($O6,($J6,$O6,$T6,$Y6)))*20+IF(_xlfn.RANK.EQ($O6,($J6,$O6,$T6,$Y6))=1,20/((_xlfn.RANK.AVG($O6,($J6,$O6,$T6,$Y6))-1)*2+1),0))</f>
        <v>2.9000000000000004</v>
      </c>
      <c r="AB6" s="46">
        <f>IF($T6="","",ROUND(($T6-30000)/1000,1)+(2.5-_xlfn.RANK.AVG($T6,($J6,$O6,$T6,$Y6)))*20+IF(_xlfn.RANK.EQ($T6,($J6,$O6,$T6,$Y6))=1,20/((_xlfn.RANK.AVG($T6,($J6,$O6,$T6,$Y6))-1)*2+1),0))</f>
        <v>-18.100000000000001</v>
      </c>
      <c r="AC6" s="47">
        <f>IF($Y6="","",ROUND(($Y6-30000)/1000,1)+(2.5-_xlfn.RANK.AVG($Y6,($J6,$O6,$T6,$Y6)))*20+IF(_xlfn.RANK.EQ($Y6,($J6,$O6,$T6,$Y6))=1,20/((_xlfn.RANK.AVG($Y6,($J6,$O6,$T6,$Y6))-1)*2+1),0))</f>
        <v>53.3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171</v>
      </c>
      <c r="CV6" s="36" t="s">
        <v>172</v>
      </c>
      <c r="CW6" s="37" t="s">
        <v>73</v>
      </c>
      <c r="CX6" s="37" t="s">
        <v>173</v>
      </c>
      <c r="CY6" s="37" t="s">
        <v>70</v>
      </c>
      <c r="CZ6" s="37" t="s">
        <v>70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 t="s">
        <v>174</v>
      </c>
      <c r="G7" s="6">
        <v>-1000</v>
      </c>
      <c r="H7" s="6"/>
      <c r="I7" s="6">
        <v>0</v>
      </c>
      <c r="J7" s="18">
        <f t="shared" si="2"/>
        <v>10900</v>
      </c>
      <c r="K7" s="5"/>
      <c r="L7" s="6"/>
      <c r="M7" s="6"/>
      <c r="N7" s="6"/>
      <c r="O7" s="18">
        <f t="shared" si="8"/>
        <v>22900</v>
      </c>
      <c r="P7" s="5"/>
      <c r="Q7" s="6"/>
      <c r="R7" s="6"/>
      <c r="S7" s="6"/>
      <c r="T7" s="18">
        <f t="shared" si="3"/>
        <v>21900</v>
      </c>
      <c r="U7" s="5" t="s">
        <v>175</v>
      </c>
      <c r="V7" s="6">
        <v>1000</v>
      </c>
      <c r="W7" s="6"/>
      <c r="X7" s="6">
        <v>0</v>
      </c>
      <c r="Y7" s="18">
        <f t="shared" si="4"/>
        <v>34300</v>
      </c>
      <c r="Z7" s="45">
        <f>IF($J7="","",ROUND(($J7-30000)/1000,1)+(2.5-_xlfn.RANK.AVG($J7,($J7,$O7,$T7,$Y7)))*20+IF(_xlfn.RANK.EQ($J7,($J7,$O7,$T7,$Y7))=1,20/((_xlfn.RANK.AVG($J7,($J7,$O7,$T7,$Y7))-1)*2+1),0))</f>
        <v>-49.1</v>
      </c>
      <c r="AA7" s="46">
        <f>IF($O7="","",ROUND(($O7-30000)/1000,1)+(2.5-_xlfn.RANK.AVG($O7,($J7,$O7,$T7,$Y7)))*20+IF(_xlfn.RANK.EQ($O7,($J7,$O7,$T7,$Y7))=1,20/((_xlfn.RANK.AVG($O7,($J7,$O7,$T7,$Y7))-1)*2+1),0))</f>
        <v>2.9000000000000004</v>
      </c>
      <c r="AB7" s="46">
        <f>IF($T7="","",ROUND(($T7-30000)/1000,1)+(2.5-_xlfn.RANK.AVG($T7,($J7,$O7,$T7,$Y7)))*20+IF(_xlfn.RANK.EQ($T7,($J7,$O7,$T7,$Y7))=1,20/((_xlfn.RANK.AVG($T7,($J7,$O7,$T7,$Y7))-1)*2+1),0))</f>
        <v>-18.100000000000001</v>
      </c>
      <c r="AC7" s="47">
        <f>IF($Y7="","",ROUND(($Y7-30000)/1000,1)+(2.5-_xlfn.RANK.AVG($Y7,($J7,$O7,$T7,$Y7)))*20+IF(_xlfn.RANK.EQ($Y7,($J7,$O7,$T7,$Y7))=1,20/((_xlfn.RANK.AVG($Y7,($J7,$O7,$T7,$Y7))-1)*2+1),0))</f>
        <v>54.3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30</v>
      </c>
      <c r="CV7" s="36" t="s">
        <v>77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清水遙斗</v>
      </c>
      <c r="F8" s="5" t="s">
        <v>170</v>
      </c>
      <c r="G8" s="6">
        <v>5200</v>
      </c>
      <c r="H8" s="6"/>
      <c r="I8" s="6">
        <v>0</v>
      </c>
      <c r="J8" s="18">
        <f t="shared" si="2"/>
        <v>16100</v>
      </c>
      <c r="K8" s="5" t="s">
        <v>169</v>
      </c>
      <c r="L8" s="6">
        <v>-1300</v>
      </c>
      <c r="M8" s="6"/>
      <c r="N8" s="6">
        <v>0</v>
      </c>
      <c r="O8" s="18">
        <f t="shared" si="8"/>
        <v>21600</v>
      </c>
      <c r="P8" s="5" t="s">
        <v>169</v>
      </c>
      <c r="Q8" s="6">
        <v>-1300</v>
      </c>
      <c r="R8" s="6"/>
      <c r="S8" s="6">
        <v>0</v>
      </c>
      <c r="T8" s="18">
        <f t="shared" si="3"/>
        <v>20600</v>
      </c>
      <c r="U8" s="5" t="s">
        <v>169</v>
      </c>
      <c r="V8" s="6">
        <v>-2600</v>
      </c>
      <c r="W8" s="6"/>
      <c r="X8" s="6">
        <v>0</v>
      </c>
      <c r="Y8" s="18">
        <f t="shared" si="4"/>
        <v>31700</v>
      </c>
      <c r="Z8" s="45">
        <f>IF($J8="","",ROUND(($J8-30000)/1000,1)+(2.5-_xlfn.RANK.AVG($J8,($J8,$O8,$T8,$Y8)))*20+IF(_xlfn.RANK.EQ($J8,($J8,$O8,$T8,$Y8))=1,20/((_xlfn.RANK.AVG($J8,($J8,$O8,$T8,$Y8))-1)*2+1),0))</f>
        <v>-43.9</v>
      </c>
      <c r="AA8" s="46">
        <f>IF($O8="","",ROUND(($O8-30000)/1000,1)+(2.5-_xlfn.RANK.AVG($O8,($J8,$O8,$T8,$Y8)))*20+IF(_xlfn.RANK.EQ($O8,($J8,$O8,$T8,$Y8))=1,20/((_xlfn.RANK.AVG($O8,($J8,$O8,$T8,$Y8))-1)*2+1),0))</f>
        <v>1.5999999999999996</v>
      </c>
      <c r="AB8" s="46">
        <f>IF($T8="","",ROUND(($T8-30000)/1000,1)+(2.5-_xlfn.RANK.AVG($T8,($J8,$O8,$T8,$Y8)))*20+IF(_xlfn.RANK.EQ($T8,($J8,$O8,$T8,$Y8))=1,20/((_xlfn.RANK.AVG($T8,($J8,$O8,$T8,$Y8))-1)*2+1),0))</f>
        <v>-19.399999999999999</v>
      </c>
      <c r="AC8" s="47">
        <f>IF($Y8="","",ROUND(($Y8-30000)/1000,1)+(2.5-_xlfn.RANK.AVG($Y8,($J8,$O8,$T8,$Y8)))*20+IF(_xlfn.RANK.EQ($Y8,($J8,$O8,$T8,$Y8))=1,20/((_xlfn.RANK.AVG($Y8,($J8,$O8,$T8,$Y8))-1)*2+1),0))</f>
        <v>51.7</v>
      </c>
      <c r="AE8" s="5"/>
      <c r="AF8" s="30"/>
      <c r="AG8" s="23">
        <v>1</v>
      </c>
      <c r="AH8" s="23"/>
      <c r="AI8" s="23">
        <v>4</v>
      </c>
      <c r="AJ8" s="27">
        <v>20</v>
      </c>
      <c r="AK8" s="36" t="s">
        <v>173</v>
      </c>
      <c r="AL8" s="37" t="s">
        <v>73</v>
      </c>
      <c r="AM8" s="37" t="s">
        <v>70</v>
      </c>
      <c r="AN8" s="37" t="s">
        <v>74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高山晶</v>
      </c>
      <c r="F9" s="5" t="s">
        <v>174</v>
      </c>
      <c r="G9" s="6">
        <v>-2000</v>
      </c>
      <c r="H9" s="6"/>
      <c r="I9" s="6">
        <v>0</v>
      </c>
      <c r="J9" s="18">
        <f t="shared" si="2"/>
        <v>14100</v>
      </c>
      <c r="K9" s="5"/>
      <c r="L9" s="6"/>
      <c r="M9" s="6"/>
      <c r="N9" s="6"/>
      <c r="O9" s="18">
        <f t="shared" si="8"/>
        <v>21600</v>
      </c>
      <c r="P9" s="5"/>
      <c r="Q9" s="6"/>
      <c r="R9" s="6">
        <v>-1000</v>
      </c>
      <c r="S9" s="6"/>
      <c r="T9" s="18">
        <f t="shared" si="3"/>
        <v>19600</v>
      </c>
      <c r="U9" s="5" t="s">
        <v>175</v>
      </c>
      <c r="V9" s="6">
        <v>2000</v>
      </c>
      <c r="W9" s="6">
        <v>1000</v>
      </c>
      <c r="X9" s="6">
        <v>0</v>
      </c>
      <c r="Y9" s="18">
        <f t="shared" si="4"/>
        <v>34700</v>
      </c>
      <c r="Z9" s="45">
        <f>IF($J9="","",ROUND(($J9-30000)/1000,1)+(2.5-_xlfn.RANK.AVG($J9,($J9,$O9,$T9,$Y9)))*20+IF(_xlfn.RANK.EQ($J9,($J9,$O9,$T9,$Y9))=1,20/((_xlfn.RANK.AVG($J9,($J9,$O9,$T9,$Y9))-1)*2+1),0))</f>
        <v>-45.9</v>
      </c>
      <c r="AA9" s="46">
        <f>IF($O9="","",ROUND(($O9-30000)/1000,1)+(2.5-_xlfn.RANK.AVG($O9,($J9,$O9,$T9,$Y9)))*20+IF(_xlfn.RANK.EQ($O9,($J9,$O9,$T9,$Y9))=1,20/((_xlfn.RANK.AVG($O9,($J9,$O9,$T9,$Y9))-1)*2+1),0))</f>
        <v>1.5999999999999996</v>
      </c>
      <c r="AB9" s="46">
        <f>IF($T9="","",ROUND(($T9-30000)/1000,1)+(2.5-_xlfn.RANK.AVG($T9,($J9,$O9,$T9,$Y9)))*20+IF(_xlfn.RANK.EQ($T9,($J9,$O9,$T9,$Y9))=1,20/((_xlfn.RANK.AVG($T9,($J9,$O9,$T9,$Y9))-1)*2+1),0))</f>
        <v>-20.399999999999999</v>
      </c>
      <c r="AC9" s="47">
        <f>IF($Y9="","",ROUND(($Y9-30000)/1000,1)+(2.5-_xlfn.RANK.AVG($Y9,($J9,$O9,$T9,$Y9)))*20+IF(_xlfn.RANK.EQ($Y9,($J9,$O9,$T9,$Y9))=1,20/((_xlfn.RANK.AVG($Y9,($J9,$O9,$T9,$Y9))-1)*2+1),0))</f>
        <v>54.7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山田夏寿希</v>
      </c>
      <c r="F10" s="5" t="s">
        <v>169</v>
      </c>
      <c r="G10" s="6">
        <v>-2000</v>
      </c>
      <c r="H10" s="6"/>
      <c r="I10" s="6">
        <v>0</v>
      </c>
      <c r="J10" s="18">
        <f t="shared" si="2"/>
        <v>12100</v>
      </c>
      <c r="K10" s="5" t="s">
        <v>169</v>
      </c>
      <c r="L10" s="6">
        <v>-4000</v>
      </c>
      <c r="M10" s="6"/>
      <c r="N10" s="6">
        <v>0</v>
      </c>
      <c r="O10" s="18">
        <f t="shared" si="8"/>
        <v>17600</v>
      </c>
      <c r="P10" s="5" t="s">
        <v>169</v>
      </c>
      <c r="Q10" s="6">
        <v>-2000</v>
      </c>
      <c r="R10" s="6"/>
      <c r="S10" s="6">
        <v>0</v>
      </c>
      <c r="T10" s="18">
        <f t="shared" si="3"/>
        <v>17600</v>
      </c>
      <c r="U10" s="5" t="s">
        <v>170</v>
      </c>
      <c r="V10" s="6">
        <v>8000</v>
      </c>
      <c r="W10" s="6"/>
      <c r="X10" s="6">
        <v>0</v>
      </c>
      <c r="Y10" s="18">
        <f t="shared" si="4"/>
        <v>42700</v>
      </c>
      <c r="Z10" s="45">
        <f>IF($J10="","",ROUND(($J10-30000)/1000,1)+(2.5-_xlfn.RANK.AVG($J10,($J10,$O10,$T10,$Y10)))*20+IF(_xlfn.RANK.EQ($J10,($J10,$O10,$T10,$Y10))=1,20/((_xlfn.RANK.AVG($J10,($J10,$O10,$T10,$Y10))-1)*2+1),0))</f>
        <v>-47.9</v>
      </c>
      <c r="AA10" s="46">
        <f>IF($O10="","",ROUND(($O10-30000)/1000,1)+(2.5-_xlfn.RANK.AVG($O10,($J10,$O10,$T10,$Y10)))*20+IF(_xlfn.RANK.EQ($O10,($J10,$O10,$T10,$Y10))=1,20/((_xlfn.RANK.AVG($O10,($J10,$O10,$T10,$Y10))-1)*2+1),0))</f>
        <v>-12.4</v>
      </c>
      <c r="AB10" s="46">
        <f>IF($T10="","",ROUND(($T10-30000)/1000,1)+(2.5-_xlfn.RANK.AVG($T10,($J10,$O10,$T10,$Y10)))*20+IF(_xlfn.RANK.EQ($T10,($J10,$O10,$T10,$Y10))=1,20/((_xlfn.RANK.AVG($T10,($J10,$O10,$T10,$Y10))-1)*2+1),0))</f>
        <v>-12.4</v>
      </c>
      <c r="AC10" s="47">
        <f>IF($Y10="","",ROUND(($Y10-30000)/1000,1)+(2.5-_xlfn.RANK.AVG($Y10,($J10,$O10,$T10,$Y10)))*20+IF(_xlfn.RANK.EQ($Y10,($J10,$O10,$T10,$Y10))=1,20/((_xlfn.RANK.AVG($Y10,($J10,$O10,$T10,$Y10))-1)*2+1),0))</f>
        <v>62.7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4</v>
      </c>
      <c r="CU10" s="27">
        <v>30</v>
      </c>
      <c r="CV10" s="36" t="s">
        <v>173</v>
      </c>
      <c r="CW10" s="37" t="s">
        <v>73</v>
      </c>
      <c r="CX10" s="37" t="s">
        <v>176</v>
      </c>
      <c r="CY10" s="37" t="s">
        <v>176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中村花菜</v>
      </c>
      <c r="F11" s="5" t="s">
        <v>174</v>
      </c>
      <c r="G11" s="6">
        <v>-12000</v>
      </c>
      <c r="H11" s="6"/>
      <c r="I11" s="6">
        <v>0</v>
      </c>
      <c r="J11" s="18">
        <f t="shared" si="2"/>
        <v>100</v>
      </c>
      <c r="K11" s="5"/>
      <c r="L11" s="6"/>
      <c r="M11" s="6"/>
      <c r="N11" s="6"/>
      <c r="O11" s="18">
        <f t="shared" si="8"/>
        <v>17600</v>
      </c>
      <c r="P11" s="5" t="s">
        <v>175</v>
      </c>
      <c r="Q11" s="6">
        <v>12000</v>
      </c>
      <c r="R11" s="6"/>
      <c r="S11" s="6">
        <v>0</v>
      </c>
      <c r="T11" s="18">
        <f t="shared" si="3"/>
        <v>29600</v>
      </c>
      <c r="U11" s="5"/>
      <c r="V11" s="6"/>
      <c r="W11" s="6"/>
      <c r="X11" s="6"/>
      <c r="Y11" s="18">
        <f t="shared" si="4"/>
        <v>42700</v>
      </c>
      <c r="Z11" s="45">
        <f>IF($J11="","",ROUND(($J11-30000)/1000,1)+(2.5-_xlfn.RANK.AVG($J11,($J11,$O11,$T11,$Y11)))*20+IF(_xlfn.RANK.EQ($J11,($J11,$O11,$T11,$Y11))=1,20/((_xlfn.RANK.AVG($J11,($J11,$O11,$T11,$Y11))-1)*2+1),0))</f>
        <v>-59.9</v>
      </c>
      <c r="AA11" s="46">
        <f>IF($O11="","",ROUND(($O11-30000)/1000,1)+(2.5-_xlfn.RANK.AVG($O11,($J11,$O11,$T11,$Y11)))*20+IF(_xlfn.RANK.EQ($O11,($J11,$O11,$T11,$Y11))=1,20/((_xlfn.RANK.AVG($O11,($J11,$O11,$T11,$Y11))-1)*2+1),0))</f>
        <v>-22.4</v>
      </c>
      <c r="AB11" s="46">
        <f>IF($T11="","",ROUND(($T11-30000)/1000,1)+(2.5-_xlfn.RANK.AVG($T11,($J11,$O11,$T11,$Y11)))*20+IF(_xlfn.RANK.EQ($T11,($J11,$O11,$T11,$Y11))=1,20/((_xlfn.RANK.AVG($T11,($J11,$O11,$T11,$Y11))-1)*2+1),0))</f>
        <v>9.6</v>
      </c>
      <c r="AC11" s="47">
        <f>IF($Y11="","",ROUND(($Y11-30000)/1000,1)+(2.5-_xlfn.RANK.AVG($Y11,($J11,$O11,$T11,$Y11)))*20+IF(_xlfn.RANK.EQ($Y11,($J11,$O11,$T11,$Y11))=1,20/((_xlfn.RANK.AVG($Y11,($J11,$O11,$T11,$Y11))-1)*2+1),0))</f>
        <v>62.7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4</v>
      </c>
      <c r="BZ11" s="27">
        <v>30</v>
      </c>
      <c r="CA11" s="36" t="s">
        <v>173</v>
      </c>
      <c r="CB11" s="37" t="s">
        <v>172</v>
      </c>
      <c r="CC11" s="37" t="s">
        <v>75</v>
      </c>
      <c r="CD11" s="37" t="s">
        <v>74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中村花菜</v>
      </c>
      <c r="F12" s="5" t="s">
        <v>165</v>
      </c>
      <c r="G12" s="6"/>
      <c r="H12" s="6"/>
      <c r="I12" s="6"/>
      <c r="J12" s="18">
        <f t="shared" si="2"/>
        <v>100</v>
      </c>
      <c r="K12" s="5" t="s">
        <v>165</v>
      </c>
      <c r="L12" s="6">
        <v>-10000</v>
      </c>
      <c r="M12" s="6"/>
      <c r="N12" s="6"/>
      <c r="O12" s="18">
        <f t="shared" si="8"/>
        <v>7600</v>
      </c>
      <c r="P12" s="5" t="s">
        <v>165</v>
      </c>
      <c r="Q12" s="6"/>
      <c r="R12" s="6"/>
      <c r="S12" s="6"/>
      <c r="T12" s="18">
        <f t="shared" si="3"/>
        <v>29600</v>
      </c>
      <c r="U12" s="5" t="s">
        <v>165</v>
      </c>
      <c r="V12" s="6"/>
      <c r="W12" s="6"/>
      <c r="X12" s="6"/>
      <c r="Y12" s="18">
        <f t="shared" si="4"/>
        <v>42700</v>
      </c>
      <c r="Z12" s="45">
        <f>IF($J12="","",ROUND(($J12-30000)/1000,1)+(2.5-_xlfn.RANK.AVG($J12,($J12,$O12,$T12,$Y12)))*20+IF(_xlfn.RANK.EQ($J12,($J12,$O12,$T12,$Y12))=1,20/((_xlfn.RANK.AVG($J12,($J12,$O12,$T12,$Y12))-1)*2+1),0))</f>
        <v>-59.9</v>
      </c>
      <c r="AA12" s="46">
        <f>IF($O12="","",ROUND(($O12-30000)/1000,1)+(2.5-_xlfn.RANK.AVG($O12,($J12,$O12,$T12,$Y12)))*20+IF(_xlfn.RANK.EQ($O12,($J12,$O12,$T12,$Y12))=1,20/((_xlfn.RANK.AVG($O12,($J12,$O12,$T12,$Y12))-1)*2+1),0))</f>
        <v>-32.4</v>
      </c>
      <c r="AB12" s="46">
        <f>IF($T12="","",ROUND(($T12-30000)/1000,1)+(2.5-_xlfn.RANK.AVG($T12,($J12,$O12,$T12,$Y12)))*20+IF(_xlfn.RANK.EQ($T12,($J12,$O12,$T12,$Y12))=1,20/((_xlfn.RANK.AVG($T12,($J12,$O12,$T12,$Y12))-1)*2+1),0))</f>
        <v>9.6</v>
      </c>
      <c r="AC12" s="47">
        <f>IF($Y12="","",ROUND(($Y12-30000)/1000,1)+(2.5-_xlfn.RANK.AVG($Y12,($J12,$O12,$T12,$Y12)))*20+IF(_xlfn.RANK.EQ($Y12,($J12,$O12,$T12,$Y12))=1,20/((_xlfn.RANK.AVG($Y12,($J12,$O12,$T12,$Y12))-1)*2+1),0))</f>
        <v>62.7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>
        <v>1</v>
      </c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0</v>
      </c>
      <c r="E13" s="58" t="str">
        <f>IF($P$1="","",$P$1)</f>
        <v>中村花菜</v>
      </c>
      <c r="F13" s="5"/>
      <c r="G13" s="6"/>
      <c r="H13" s="6"/>
      <c r="I13" s="6"/>
      <c r="J13" s="18">
        <f t="shared" si="2"/>
        <v>100</v>
      </c>
      <c r="K13" s="5"/>
      <c r="L13" s="6"/>
      <c r="M13" s="6"/>
      <c r="N13" s="6"/>
      <c r="O13" s="18">
        <f t="shared" si="8"/>
        <v>7600</v>
      </c>
      <c r="P13" s="5" t="s">
        <v>175</v>
      </c>
      <c r="Q13" s="6">
        <v>12000</v>
      </c>
      <c r="R13" s="6"/>
      <c r="S13" s="6">
        <v>300</v>
      </c>
      <c r="T13" s="18">
        <f t="shared" si="3"/>
        <v>41900</v>
      </c>
      <c r="U13" s="5" t="s">
        <v>174</v>
      </c>
      <c r="V13" s="6">
        <v>-12000</v>
      </c>
      <c r="W13" s="6"/>
      <c r="X13" s="6">
        <v>-300</v>
      </c>
      <c r="Y13" s="18">
        <f t="shared" si="4"/>
        <v>30400</v>
      </c>
      <c r="Z13" s="45">
        <f>IF($J13="","",ROUND(($J13-30000)/1000,1)+(2.5-_xlfn.RANK.AVG($J13,($J13,$O13,$T13,$Y13)))*20+IF(_xlfn.RANK.EQ($J13,($J13,$O13,$T13,$Y13))=1,20/((_xlfn.RANK.AVG($J13,($J13,$O13,$T13,$Y13))-1)*2+1),0))</f>
        <v>-59.9</v>
      </c>
      <c r="AA13" s="46">
        <f>IF($O13="","",ROUND(($O13-30000)/1000,1)+(2.5-_xlfn.RANK.AVG($O13,($J13,$O13,$T13,$Y13)))*20+IF(_xlfn.RANK.EQ($O13,($J13,$O13,$T13,$Y13))=1,20/((_xlfn.RANK.AVG($O13,($J13,$O13,$T13,$Y13))-1)*2+1),0))</f>
        <v>-32.4</v>
      </c>
      <c r="AB13" s="46">
        <f>IF($T13="","",ROUND(($T13-30000)/1000,1)+(2.5-_xlfn.RANK.AVG($T13,($J13,$O13,$T13,$Y13)))*20+IF(_xlfn.RANK.EQ($T13,($J13,$O13,$T13,$Y13))=1,20/((_xlfn.RANK.AVG($T13,($J13,$O13,$T13,$Y13))-1)*2+1),0))</f>
        <v>61.9</v>
      </c>
      <c r="AC13" s="47">
        <f>IF($Y13="","",ROUND(($Y13-30000)/1000,1)+(2.5-_xlfn.RANK.AVG($Y13,($J13,$O13,$T13,$Y13)))*20+IF(_xlfn.RANK.EQ($Y13,($J13,$O13,$T13,$Y13))=1,20/((_xlfn.RANK.AVG($Y13,($J13,$O13,$T13,$Y13))-1)*2+1),0))</f>
        <v>10.4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>
        <v>5</v>
      </c>
      <c r="BZ13" s="27" t="s">
        <v>171</v>
      </c>
      <c r="CA13" s="36" t="s">
        <v>76</v>
      </c>
      <c r="CB13" s="37" t="s">
        <v>70</v>
      </c>
      <c r="CC13" s="37" t="s">
        <v>70</v>
      </c>
      <c r="CD13" s="37" t="s">
        <v>75</v>
      </c>
      <c r="CE13" s="37" t="s">
        <v>176</v>
      </c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>南</v>
      </c>
      <c r="B14" s="15">
        <f t="shared" si="5"/>
        <v>3</v>
      </c>
      <c r="C14" s="15">
        <f t="shared" si="6"/>
        <v>2</v>
      </c>
      <c r="D14" s="15">
        <f t="shared" si="7"/>
        <v>0</v>
      </c>
      <c r="E14" s="58" t="str">
        <f>IF($P$1="","",$P$1)</f>
        <v>中村花菜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E69AEF4-ABEA-4CA4-BCF7-35E3FBD56E09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2026-06-18T09:15:51Z</dcterms:modified>
</cp:coreProperties>
</file>