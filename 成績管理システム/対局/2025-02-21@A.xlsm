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D25BABC7-F2B0-45D7-B92F-BCF1F8855192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8" l="1"/>
  <c r="E8" i="28"/>
  <c r="D8" i="28" s="1"/>
  <c r="E7" i="28"/>
  <c r="C7" i="28" s="1"/>
  <c r="E6" i="28"/>
  <c r="C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10" i="28"/>
  <c r="C10" i="28"/>
  <c r="B10" i="28"/>
  <c r="A10" i="28"/>
  <c r="D6" i="28"/>
  <c r="O5" i="28"/>
  <c r="O6" i="28" s="1"/>
  <c r="J5" i="28"/>
  <c r="J6" i="28" s="1"/>
  <c r="D5" i="28"/>
  <c r="Y4" i="28"/>
  <c r="Y5" i="28" s="1"/>
  <c r="T4" i="28"/>
  <c r="T5" i="28" s="1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C9" i="28" l="1"/>
  <c r="D7" i="28"/>
  <c r="Z4" i="28"/>
  <c r="AA4" i="28"/>
  <c r="AB4" i="28"/>
  <c r="AC5" i="28"/>
  <c r="Y6" i="28"/>
  <c r="J7" i="28"/>
  <c r="O7" i="28"/>
  <c r="T6" i="28"/>
  <c r="AB5" i="28"/>
  <c r="AC4" i="28"/>
  <c r="B5" i="28"/>
  <c r="A5" i="28" s="1"/>
  <c r="Z5" i="28"/>
  <c r="C8" i="28"/>
  <c r="C5" i="28"/>
  <c r="AA5" i="28"/>
  <c r="E4" i="27"/>
  <c r="T7" i="28" l="1"/>
  <c r="AB6" i="28"/>
  <c r="AA6" i="28"/>
  <c r="Y7" i="28"/>
  <c r="AC6" i="28"/>
  <c r="B6" i="28"/>
  <c r="A6" i="28" s="1"/>
  <c r="O8" i="28"/>
  <c r="J8" i="28"/>
  <c r="Z6" i="28"/>
  <c r="O5" i="27"/>
  <c r="AC3" i="27"/>
  <c r="AA3" i="27"/>
  <c r="AB3" i="27"/>
  <c r="Z3" i="27"/>
  <c r="AA7" i="28" l="1"/>
  <c r="B7" i="28"/>
  <c r="A7" i="28" s="1"/>
  <c r="AC7" i="28"/>
  <c r="Y8" i="28"/>
  <c r="T8" i="28"/>
  <c r="AB7" i="28"/>
  <c r="O9" i="28"/>
  <c r="Z7" i="28"/>
  <c r="J9" i="28"/>
  <c r="CP1" i="27"/>
  <c r="AC2" i="27"/>
  <c r="BU1" i="27"/>
  <c r="AB2" i="27"/>
  <c r="AZ1" i="27"/>
  <c r="AA2" i="27"/>
  <c r="AE1" i="27"/>
  <c r="Z2" i="27"/>
  <c r="AA9" i="28" l="1"/>
  <c r="T9" i="28"/>
  <c r="AB8" i="28"/>
  <c r="Z8" i="28"/>
  <c r="AA8" i="28"/>
  <c r="Y9" i="28"/>
  <c r="AC9" i="28" s="1"/>
  <c r="AC8" i="28"/>
  <c r="B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9" i="28" l="1"/>
  <c r="A9" i="28" s="1"/>
  <c r="Z9" i="28"/>
  <c r="A8" i="28"/>
  <c r="AB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<sst xmlns="http://schemas.openxmlformats.org/spreadsheetml/2006/main" count="644" uniqueCount="177">
  <si>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</si>
  <si>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</si>
  <si>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</si>
  <si>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</si>
  <si>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</si>
  <si>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</si>
  <si>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</si>
  <si>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</si>
  <si>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</si>
  <si>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</si>
  <si>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</si>
  <si>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</si>
  <si>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</si>
  <si>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</si>
  <si>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</si>
  <si>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</si>
  <si>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</si>
  <si>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</si>
  <si>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</si>
  <si>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</si>
  <si>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</si>
  <si>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</si>
  <si>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</si>
  <si>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</si>
  <si>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</si>
  <si>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</si>
  <si>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</si>
  <si>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</si>
  <si>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</si>
  <si>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</si>
  <si>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</si>
  <si>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</si>
  <si>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</si>
  <si>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</si>
  <si>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</si>
  <si>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</si>
  <si>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</si>
  <si>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</si>
  <si>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</si>
  <si>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</si>
  <si>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</si>
  <si>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</si>
  <si>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</si>
  <si>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</si>
  <si>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</si>
  <si>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</si>
  <si>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</si>
  <si>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</si>
  <si>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</si>
  <si>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</si>
  <si>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</si>
  <si>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</si>
  <si>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</si>
  <si>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</si>
  <si>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</si>
  <si>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</si>
  <si>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</si>
  <si>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</si>
  <si>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</si>
  <si>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</si>
  <si>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</si>
  <si>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</si>
  <si>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</si>
  <si>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</si>
  <si>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</si>
  <si>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</si>
  <si>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</si>
  <si>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</si>
  <si>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</si>
  <si>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</si>
  <si>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</si>
  <si>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</si>
  <si>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</si>
  <si>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</si>
  <si>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</si>
  <si>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</si>
  <si>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</si>
  <si>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</si>
  <si>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</si>
  <si>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</si>
  <si>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</si>
  <si>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</si>
  <si>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</si>
  <si>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</si>
  <si>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</si>
  <si>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</si>
  <si>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</si>
  <si>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</si>
  <si>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</si>
  <si>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</si>
  <si>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</si>
  <si>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</si>
  <si>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</si>
  <si>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</si>
  <si>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</si>
  <si>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</si>
  <si>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</si>
  <si>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</si>
  <si>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</si>
  <si>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</si>
  <si>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</si>
  <si>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</si>
  <si>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</si>
  <si>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</si>
  <si>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</si>
  <si>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</si>
  <si>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</si>
  <si>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</si>
  <si>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</si>
  <si>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</si>
  <si>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</si>
  <si>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</si>
  <si>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</si>
  <si>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</si>
  <si>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</si>
  <si>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</si>
  <si>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</si>
  <si>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</si>
  <si>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</si>
  <si>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</si>
  <si>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</si>
  <si>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</si>
  <si>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</si>
  <si>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</si>
  <si>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</si>
  <si>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</si>
  <si>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</si>
  <si>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</si>
  <si>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</si>
  <si>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</si>
  <si>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</si>
  <si>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</si>
  <si>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</si>
  <si>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</si>
  <si>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</si>
  <si>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</si>
  <si>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</si>
  <si>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</si>
  <si>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</si>
  <si>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</si>
  <si>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</si>
  <si>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</si>
  <si>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</si>
  <si>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</si>
  <si>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</si>
  <si>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</si>
  <si>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</si>
  <si>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</si>
  <si>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</si>
  <si>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</si>
  <si>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</si>
  <si>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</si>
  <si>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</si>
  <si>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</si>
  <si>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</si>
  <si>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</si>
  <si>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</si>
  <si>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</si>
  <si>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</si>
  <si>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</si>
  <si>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</si>
  <si>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</si>
  <si>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長野柊馬</t>
  </si>
  <si>
    <t>柳澤奏太</t>
  </si>
  <si>
    <t>佐藤成浩</t>
  </si>
  <si>
    <t>ツモ</t>
  </si>
  <si>
    <t>ツモ支払</t>
  </si>
  <si>
    <t>*</t>
  </si>
  <si>
    <t>01</t>
  </si>
  <si>
    <t>02</t>
  </si>
  <si>
    <t>ロン</t>
  </si>
  <si>
    <t>放銃</t>
  </si>
  <si>
    <t>52</t>
  </si>
  <si>
    <t>中村花菜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</si>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</sst>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N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柳澤奏太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長野柊馬</v>
      </c>
      <c r="AB2" s="56" t="str">
        <f>IF($P$1="","",$P$1)</f>
        <v>柳澤奏太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24000</v>
      </c>
      <c r="H4" s="6"/>
      <c r="I4" s="6">
        <v>0</v>
      </c>
      <c r="J4" s="18">
        <f>IF(COUNTA($F4,$K4,$P4,$U4)&gt;0,J3+SUM(G4:I4),"")</f>
        <v>49000</v>
      </c>
      <c r="K4" s="5" t="s">
        <v>166</v>
      </c>
      <c r="L4" s="6">
        <v>-8000</v>
      </c>
      <c r="M4" s="6"/>
      <c r="N4" s="6">
        <v>0</v>
      </c>
      <c r="O4" s="18">
        <f>IF(COUNTA($F4,$K4,$P4,$U4)&gt;0,O3+SUM(L4:N4),"")</f>
        <v>17000</v>
      </c>
      <c r="P4" s="5" t="s">
        <v>166</v>
      </c>
      <c r="Q4" s="6">
        <v>-8000</v>
      </c>
      <c r="R4" s="6"/>
      <c r="S4" s="6">
        <v>0</v>
      </c>
      <c r="T4" s="18">
        <f>IF(COUNTA($F4,$K4,$P4,$U4)&gt;0,T3+SUM(Q4:S4),"")</f>
        <v>17000</v>
      </c>
      <c r="U4" s="5" t="s">
        <v>166</v>
      </c>
      <c r="V4" s="6">
        <v>-8000</v>
      </c>
      <c r="W4" s="6"/>
      <c r="X4" s="6">
        <v>0</v>
      </c>
      <c r="Y4" s="18">
        <f>IF(COUNTA($F4,$K4,$P4,$U4)&gt;0,Y3+SUM(V4:X4),"")</f>
        <v>17000</v>
      </c>
      <c r="Z4" s="45">
        <f>IF($J4="","",ROUND(($J4-30000)/1000,1)+(2.5-_xlfn.RANK.AVG($J4,($J4,$O4,$T4,$Y4)))*20+IF(_xlfn.RANK.EQ($J4,($J4,$O4,$T4,$Y4))=1,20/((_xlfn.RANK.AVG($J4,($J4,$O4,$T4,$Y4))-1)*2+1),0))</f>
        <v>69</v>
      </c>
      <c r="AA4" s="46">
        <f>IF($O4="","",ROUND(($O4-30000)/1000,1)+(2.5-_xlfn.RANK.AVG($O4,($J4,$O4,$T4,$Y4)))*20+IF(_xlfn.RANK.EQ($O4,($J4,$O4,$T4,$Y4))=1,20/((_xlfn.RANK.AVG($O4,($J4,$O4,$T4,$Y4))-1)*2+1),0))</f>
        <v>-23</v>
      </c>
      <c r="AB4" s="46">
        <f>IF($T4="","",ROUND(($T4-30000)/1000,1)+(2.5-_xlfn.RANK.AVG($T4,($J4,$O4,$T4,$Y4)))*20+IF(_xlfn.RANK.EQ($T4,($J4,$O4,$T4,$Y4))=1,20/((_xlfn.RANK.AVG($T4,($J4,$O4,$T4,$Y4))-1)*2+1),0))</f>
        <v>-23</v>
      </c>
      <c r="AC4" s="47">
        <f>IF($Y4="","",ROUND(($Y4-30000)/1000,1)+(2.5-_xlfn.RANK.AVG($Y4,($J4,$O4,$T4,$Y4)))*20+IF(_xlfn.RANK.EQ($Y4,($J4,$O4,$T4,$Y4))=1,20/((_xlfn.RANK.AVG($Y4,($J4,$O4,$T4,$Y4))-1)*2+1),0))</f>
        <v>-23</v>
      </c>
      <c r="AE4" s="5"/>
      <c r="AF4" s="30"/>
      <c r="AG4" s="23">
        <v>1</v>
      </c>
      <c r="AH4" s="23"/>
      <c r="AI4" s="23">
        <v>8</v>
      </c>
      <c r="AJ4" s="27" t="s">
        <v>167</v>
      </c>
      <c r="AK4" s="36" t="s">
        <v>168</v>
      </c>
      <c r="AL4" s="37" t="s">
        <v>169</v>
      </c>
      <c r="AM4" s="37" t="s">
        <v>73</v>
      </c>
      <c r="AN4" s="37" t="s">
        <v>87</v>
      </c>
      <c r="AO4" s="37" t="s">
        <v>71</v>
      </c>
      <c r="AP4" s="37" t="s">
        <v>77</v>
      </c>
      <c r="AQ4" s="37" t="s">
        <v>77</v>
      </c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/>
      <c r="G5" s="6"/>
      <c r="H5" s="6"/>
      <c r="I5" s="6"/>
      <c r="J5" s="18">
        <f t="shared" ref="J5:J30" si="2">IF(COUNTA($F5,$K5,$P5,$U5)&gt;0,J4+SUM(G5:I5),"")</f>
        <v>49000</v>
      </c>
      <c r="K5" s="5" t="s">
        <v>170</v>
      </c>
      <c r="L5" s="6">
        <v>8000</v>
      </c>
      <c r="M5" s="6"/>
      <c r="N5" s="6">
        <v>300</v>
      </c>
      <c r="O5" s="18">
        <f>IF(COUNTA($F5,$K5,$P5,$U5)&gt;0,O4+SUM(L5:N5),"")</f>
        <v>25300</v>
      </c>
      <c r="P5" s="5" t="s">
        <v>171</v>
      </c>
      <c r="Q5" s="6">
        <v>-8000</v>
      </c>
      <c r="R5" s="6"/>
      <c r="S5" s="6">
        <v>-300</v>
      </c>
      <c r="T5" s="18">
        <f t="shared" ref="T5:T30" si="3">IF(COUNTA($F5,$K5,$P5,$U5)&gt;0,T4+SUM(Q5:S5),"")</f>
        <v>8700</v>
      </c>
      <c r="U5" s="5"/>
      <c r="V5" s="6"/>
      <c r="W5" s="6"/>
      <c r="X5" s="6"/>
      <c r="Y5" s="18">
        <f t="shared" ref="Y5:Y30" si="4">IF(COUNTA($F5,$K5,$P5,$U5)&gt;0,Y4+SUM(V5:X5),"")</f>
        <v>17000</v>
      </c>
      <c r="Z5" s="45">
        <f>IF($J5="","",ROUND(($J5-30000)/1000,1)+(2.5-_xlfn.RANK.AVG($J5,($J5,$O5,$T5,$Y5)))*20+IF(_xlfn.RANK.EQ($J5,($J5,$O5,$T5,$Y5))=1,20/((_xlfn.RANK.AVG($J5,($J5,$O5,$T5,$Y5))-1)*2+1),0))</f>
        <v>69</v>
      </c>
      <c r="AA5" s="46">
        <f>IF($O5="","",ROUND(($O5-30000)/1000,1)+(2.5-_xlfn.RANK.AVG($O5,($J5,$O5,$T5,$Y5)))*20+IF(_xlfn.RANK.EQ($O5,($J5,$O5,$T5,$Y5))=1,20/((_xlfn.RANK.AVG($O5,($J5,$O5,$T5,$Y5))-1)*2+1),0))</f>
        <v>5.3</v>
      </c>
      <c r="AB5" s="46">
        <f>IF($T5="","",ROUND(($T5-30000)/1000,1)+(2.5-_xlfn.RANK.AVG($T5,($J5,$O5,$T5,$Y5)))*20+IF(_xlfn.RANK.EQ($T5,($J5,$O5,$T5,$Y5))=1,20/((_xlfn.RANK.AVG($T5,($J5,$O5,$T5,$Y5))-1)*2+1),0))</f>
        <v>-51.3</v>
      </c>
      <c r="AC5" s="47">
        <f>IF($Y5="","",ROUND(($Y5-30000)/1000,1)+(2.5-_xlfn.RANK.AVG($Y5,($J5,$O5,$T5,$Y5)))*20+IF(_xlfn.RANK.EQ($Y5,($J5,$O5,$T5,$Y5))=1,20/((_xlfn.RANK.AVG($Y5,($J5,$O5,$T5,$Y5))-1)*2+1),0))</f>
        <v>-23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4</v>
      </c>
      <c r="BE5" s="27">
        <v>30</v>
      </c>
      <c r="BF5" s="36" t="s">
        <v>168</v>
      </c>
      <c r="BG5" s="37" t="s">
        <v>169</v>
      </c>
      <c r="BH5" s="37" t="s">
        <v>74</v>
      </c>
      <c r="BI5" s="37" t="s">
        <v>71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171</v>
      </c>
      <c r="G6" s="6">
        <v>-1000</v>
      </c>
      <c r="H6" s="6"/>
      <c r="I6" s="6">
        <v>0</v>
      </c>
      <c r="J6" s="18">
        <f t="shared" si="2"/>
        <v>48000</v>
      </c>
      <c r="K6" s="5"/>
      <c r="L6" s="6"/>
      <c r="M6" s="6"/>
      <c r="N6" s="6"/>
      <c r="O6" s="18">
        <f t="shared" ref="O6:O30" si="8">IF(COUNTA($F6,$K6,$P6,$U6)&gt;0,O5+SUM(L6:N6),"")</f>
        <v>25300</v>
      </c>
      <c r="P6" s="5"/>
      <c r="Q6" s="6"/>
      <c r="R6" s="6">
        <v>-1000</v>
      </c>
      <c r="S6" s="6"/>
      <c r="T6" s="18">
        <f t="shared" si="3"/>
        <v>7700</v>
      </c>
      <c r="U6" s="5" t="s">
        <v>170</v>
      </c>
      <c r="V6" s="6">
        <v>1000</v>
      </c>
      <c r="W6" s="6">
        <v>1000</v>
      </c>
      <c r="X6" s="6">
        <v>0</v>
      </c>
      <c r="Y6" s="18">
        <f t="shared" si="4"/>
        <v>19000</v>
      </c>
      <c r="Z6" s="45">
        <f>IF($J6="","",ROUND(($J6-30000)/1000,1)+(2.5-_xlfn.RANK.AVG($J6,($J6,$O6,$T6,$Y6)))*20+IF(_xlfn.RANK.EQ($J6,($J6,$O6,$T6,$Y6))=1,20/((_xlfn.RANK.AVG($J6,($J6,$O6,$T6,$Y6))-1)*2+1),0))</f>
        <v>68</v>
      </c>
      <c r="AA6" s="46">
        <f>IF($O6="","",ROUND(($O6-30000)/1000,1)+(2.5-_xlfn.RANK.AVG($O6,($J6,$O6,$T6,$Y6)))*20+IF(_xlfn.RANK.EQ($O6,($J6,$O6,$T6,$Y6))=1,20/((_xlfn.RANK.AVG($O6,($J6,$O6,$T6,$Y6))-1)*2+1),0))</f>
        <v>5.3</v>
      </c>
      <c r="AB6" s="46">
        <f>IF($T6="","",ROUND(($T6-30000)/1000,1)+(2.5-_xlfn.RANK.AVG($T6,($J6,$O6,$T6,$Y6)))*20+IF(_xlfn.RANK.EQ($T6,($J6,$O6,$T6,$Y6))=1,20/((_xlfn.RANK.AVG($T6,($J6,$O6,$T6,$Y6))-1)*2+1),0))</f>
        <v>-52.3</v>
      </c>
      <c r="AC6" s="47">
        <f>IF($Y6="","",ROUND(($Y6-30000)/1000,1)+(2.5-_xlfn.RANK.AVG($Y6,($J6,$O6,$T6,$Y6)))*20+IF(_xlfn.RANK.EQ($Y6,($J6,$O6,$T6,$Y6))=1,20/((_xlfn.RANK.AVG($Y6,($J6,$O6,$T6,$Y6))-1)*2+1),0))</f>
        <v>-21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>
        <v>1</v>
      </c>
      <c r="CU6" s="27">
        <v>30</v>
      </c>
      <c r="CV6" s="36" t="s">
        <v>74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柳澤奏太</v>
      </c>
      <c r="F7" s="5" t="s">
        <v>171</v>
      </c>
      <c r="G7" s="6">
        <v>-12000</v>
      </c>
      <c r="H7" s="6"/>
      <c r="I7" s="6">
        <v>0</v>
      </c>
      <c r="J7" s="18">
        <f t="shared" si="2"/>
        <v>36000</v>
      </c>
      <c r="K7" s="5"/>
      <c r="L7" s="6"/>
      <c r="M7" s="6"/>
      <c r="N7" s="6"/>
      <c r="O7" s="18">
        <f t="shared" si="8"/>
        <v>25300</v>
      </c>
      <c r="P7" s="5"/>
      <c r="Q7" s="6"/>
      <c r="R7" s="6"/>
      <c r="S7" s="6"/>
      <c r="T7" s="18">
        <f t="shared" si="3"/>
        <v>7700</v>
      </c>
      <c r="U7" s="5" t="s">
        <v>170</v>
      </c>
      <c r="V7" s="6">
        <v>12000</v>
      </c>
      <c r="W7" s="6"/>
      <c r="X7" s="6">
        <v>0</v>
      </c>
      <c r="Y7" s="18">
        <f t="shared" si="4"/>
        <v>31000</v>
      </c>
      <c r="Z7" s="45">
        <f>IF($J7="","",ROUND(($J7-30000)/1000,1)+(2.5-_xlfn.RANK.AVG($J7,($J7,$O7,$T7,$Y7)))*20+IF(_xlfn.RANK.EQ($J7,($J7,$O7,$T7,$Y7))=1,20/((_xlfn.RANK.AVG($J7,($J7,$O7,$T7,$Y7))-1)*2+1),0))</f>
        <v>56</v>
      </c>
      <c r="AA7" s="46">
        <f>IF($O7="","",ROUND(($O7-30000)/1000,1)+(2.5-_xlfn.RANK.AVG($O7,($J7,$O7,$T7,$Y7)))*20+IF(_xlfn.RANK.EQ($O7,($J7,$O7,$T7,$Y7))=1,20/((_xlfn.RANK.AVG($O7,($J7,$O7,$T7,$Y7))-1)*2+1),0))</f>
        <v>-14.7</v>
      </c>
      <c r="AB7" s="46">
        <f>IF($T7="","",ROUND(($T7-30000)/1000,1)+(2.5-_xlfn.RANK.AVG($T7,($J7,$O7,$T7,$Y7)))*20+IF(_xlfn.RANK.EQ($T7,($J7,$O7,$T7,$Y7))=1,20/((_xlfn.RANK.AVG($T7,($J7,$O7,$T7,$Y7))-1)*2+1),0))</f>
        <v>-52.3</v>
      </c>
      <c r="AC7" s="47">
        <f>IF($Y7="","",ROUND(($Y7-30000)/1000,1)+(2.5-_xlfn.RANK.AVG($Y7,($J7,$O7,$T7,$Y7)))*20+IF(_xlfn.RANK.EQ($Y7,($J7,$O7,$T7,$Y7))=1,20/((_xlfn.RANK.AVG($Y7,($J7,$O7,$T7,$Y7))-1)*2+1),0))</f>
        <v>11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6</v>
      </c>
      <c r="CU7" s="27" t="s">
        <v>167</v>
      </c>
      <c r="CV7" s="36" t="s">
        <v>168</v>
      </c>
      <c r="CW7" s="37" t="s">
        <v>169</v>
      </c>
      <c r="CX7" s="37" t="s">
        <v>74</v>
      </c>
      <c r="CY7" s="37" t="s">
        <v>70</v>
      </c>
      <c r="CZ7" s="37" t="s">
        <v>71</v>
      </c>
      <c r="DA7" s="37" t="s">
        <v>172</v>
      </c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佐藤成浩</v>
      </c>
      <c r="F8" s="5" t="s">
        <v>166</v>
      </c>
      <c r="G8" s="6">
        <v>-2000</v>
      </c>
      <c r="H8" s="6"/>
      <c r="I8" s="6">
        <v>0</v>
      </c>
      <c r="J8" s="18">
        <f t="shared" si="2"/>
        <v>34000</v>
      </c>
      <c r="K8" s="5" t="s">
        <v>165</v>
      </c>
      <c r="L8" s="6">
        <v>8000</v>
      </c>
      <c r="M8" s="6">
        <v>1000</v>
      </c>
      <c r="N8" s="6">
        <v>0</v>
      </c>
      <c r="O8" s="18">
        <f t="shared" si="8"/>
        <v>34300</v>
      </c>
      <c r="P8" s="5" t="s">
        <v>166</v>
      </c>
      <c r="Q8" s="6">
        <v>-2000</v>
      </c>
      <c r="R8" s="6">
        <v>-1000</v>
      </c>
      <c r="S8" s="6">
        <v>0</v>
      </c>
      <c r="T8" s="18">
        <f t="shared" si="3"/>
        <v>4700</v>
      </c>
      <c r="U8" s="5" t="s">
        <v>166</v>
      </c>
      <c r="V8" s="6">
        <v>-4000</v>
      </c>
      <c r="W8" s="6"/>
      <c r="X8" s="6">
        <v>0</v>
      </c>
      <c r="Y8" s="18">
        <f t="shared" si="4"/>
        <v>27000</v>
      </c>
      <c r="Z8" s="45">
        <f>IF($J8="","",ROUND(($J8-30000)/1000,1)+(2.5-_xlfn.RANK.AVG($J8,($J8,$O8,$T8,$Y8)))*20+IF(_xlfn.RANK.EQ($J8,($J8,$O8,$T8,$Y8))=1,20/((_xlfn.RANK.AVG($J8,($J8,$O8,$T8,$Y8))-1)*2+1),0))</f>
        <v>14</v>
      </c>
      <c r="AA8" s="46">
        <f>IF($O8="","",ROUND(($O8-30000)/1000,1)+(2.5-_xlfn.RANK.AVG($O8,($J8,$O8,$T8,$Y8)))*20+IF(_xlfn.RANK.EQ($O8,($J8,$O8,$T8,$Y8))=1,20/((_xlfn.RANK.AVG($O8,($J8,$O8,$T8,$Y8))-1)*2+1),0))</f>
        <v>54.3</v>
      </c>
      <c r="AB8" s="46">
        <f>IF($T8="","",ROUND(($T8-30000)/1000,1)+(2.5-_xlfn.RANK.AVG($T8,($J8,$O8,$T8,$Y8)))*20+IF(_xlfn.RANK.EQ($T8,($J8,$O8,$T8,$Y8))=1,20/((_xlfn.RANK.AVG($T8,($J8,$O8,$T8,$Y8))-1)*2+1),0))</f>
        <v>-55.3</v>
      </c>
      <c r="AC8" s="47">
        <f>IF($Y8="","",ROUND(($Y8-30000)/1000,1)+(2.5-_xlfn.RANK.AVG($Y8,($J8,$O8,$T8,$Y8)))*20+IF(_xlfn.RANK.EQ($Y8,($J8,$O8,$T8,$Y8))=1,20/((_xlfn.RANK.AVG($Y8,($J8,$O8,$T8,$Y8))-1)*2+1),0))</f>
        <v>-13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4</v>
      </c>
      <c r="BE8" s="27">
        <v>30</v>
      </c>
      <c r="BF8" s="36" t="s">
        <v>168</v>
      </c>
      <c r="BG8" s="37" t="s">
        <v>169</v>
      </c>
      <c r="BH8" s="37" t="s">
        <v>73</v>
      </c>
      <c r="BI8" s="37" t="s">
        <v>77</v>
      </c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山本悠介</v>
      </c>
      <c r="F9" s="5" t="s">
        <v>170</v>
      </c>
      <c r="G9" s="6">
        <v>3900</v>
      </c>
      <c r="H9" s="6">
        <v>0</v>
      </c>
      <c r="I9" s="6">
        <v>0</v>
      </c>
      <c r="J9" s="18">
        <f t="shared" si="2"/>
        <v>37900</v>
      </c>
      <c r="K9" s="5"/>
      <c r="L9" s="6"/>
      <c r="M9" s="6"/>
      <c r="N9" s="6"/>
      <c r="O9" s="18">
        <f t="shared" si="8"/>
        <v>34300</v>
      </c>
      <c r="P9" s="5" t="s">
        <v>171</v>
      </c>
      <c r="Q9" s="6">
        <v>-3900</v>
      </c>
      <c r="R9" s="6"/>
      <c r="S9" s="6">
        <v>0</v>
      </c>
      <c r="T9" s="18">
        <f t="shared" si="3"/>
        <v>800</v>
      </c>
      <c r="U9" s="5"/>
      <c r="V9" s="6"/>
      <c r="W9" s="6"/>
      <c r="X9" s="6"/>
      <c r="Y9" s="18">
        <f t="shared" si="4"/>
        <v>27000</v>
      </c>
      <c r="Z9" s="45">
        <f>IF($J9="","",ROUND(($J9-30000)/1000,1)+(2.5-_xlfn.RANK.AVG($J9,($J9,$O9,$T9,$Y9)))*20+IF(_xlfn.RANK.EQ($J9,($J9,$O9,$T9,$Y9))=1,20/((_xlfn.RANK.AVG($J9,($J9,$O9,$T9,$Y9))-1)*2+1),0))</f>
        <v>57.9</v>
      </c>
      <c r="AA9" s="46">
        <f>IF($O9="","",ROUND(($O9-30000)/1000,1)+(2.5-_xlfn.RANK.AVG($O9,($J9,$O9,$T9,$Y9)))*20+IF(_xlfn.RANK.EQ($O9,($J9,$O9,$T9,$Y9))=1,20/((_xlfn.RANK.AVG($O9,($J9,$O9,$T9,$Y9))-1)*2+1),0))</f>
        <v>14.3</v>
      </c>
      <c r="AB9" s="46">
        <f>IF($T9="","",ROUND(($T9-30000)/1000,1)+(2.5-_xlfn.RANK.AVG($T9,($J9,$O9,$T9,$Y9)))*20+IF(_xlfn.RANK.EQ($T9,($J9,$O9,$T9,$Y9))=1,20/((_xlfn.RANK.AVG($T9,($J9,$O9,$T9,$Y9))-1)*2+1),0))</f>
        <v>-59.2</v>
      </c>
      <c r="AC9" s="47">
        <f>IF($Y9="","",ROUND(($Y9-30000)/1000,1)+(2.5-_xlfn.RANK.AVG($Y9,($J9,$O9,$T9,$Y9)))*20+IF(_xlfn.RANK.EQ($Y9,($J9,$O9,$T9,$Y9))=1,20/((_xlfn.RANK.AVG($Y9,($J9,$O9,$T9,$Y9))-1)*2+1),0))</f>
        <v>-13</v>
      </c>
      <c r="AE9" s="5"/>
      <c r="AF9" s="30"/>
      <c r="AG9" s="23">
        <v>1</v>
      </c>
      <c r="AH9" s="23"/>
      <c r="AI9" s="23">
        <v>2</v>
      </c>
      <c r="AJ9" s="27">
        <v>40</v>
      </c>
      <c r="AK9" s="36" t="s">
        <v>168</v>
      </c>
      <c r="AL9" s="37" t="s">
        <v>75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E655C944-FDBC-44ED-8E0F-EC6E3D7A3131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42E0-DEFE-48C0-A1DD-D49E659A24FD}">
  <sheetPr codeName="Sheet10">
    <pageSetUpPr fitToPage="1"/>
  </sheetPr>
  <dimension ref="A1:DJ30"/>
  <sheetViews>
    <sheetView tabSelected="1"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173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柳澤奏太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長野柊馬</v>
      </c>
      <c r="AB2" s="56" t="str">
        <f>IF($P$1="","",$P$1)</f>
        <v>佐藤成浩</v>
      </c>
      <c r="AC2" s="13" t="str">
        <f>IF($U$1="","",$U$1)</f>
        <v>柳澤奏太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176</v>
      </c>
      <c r="G4" s="6">
        <v>1000</v>
      </c>
      <c r="H4" s="6"/>
      <c r="I4" s="6"/>
      <c r="J4" s="18">
        <f>IF(COUNTA($F4,$K4,$P4,$U4)&gt;0,J3+SUM(G4:I4),"")</f>
        <v>26000</v>
      </c>
      <c r="K4" s="5" t="s">
        <v>176</v>
      </c>
      <c r="L4" s="6">
        <v>1000</v>
      </c>
      <c r="M4" s="6"/>
      <c r="N4" s="6"/>
      <c r="O4" s="18">
        <f>IF(COUNTA($F4,$K4,$P4,$U4)&gt;0,O3+SUM(L4:N4),"")</f>
        <v>26000</v>
      </c>
      <c r="P4" s="5" t="s">
        <v>176</v>
      </c>
      <c r="Q4" s="6">
        <v>-3000</v>
      </c>
      <c r="R4" s="6"/>
      <c r="S4" s="6"/>
      <c r="T4" s="18">
        <f>IF(COUNTA($F4,$K4,$P4,$U4)&gt;0,T3+SUM(Q4:S4),"")</f>
        <v>22000</v>
      </c>
      <c r="U4" s="5" t="s">
        <v>176</v>
      </c>
      <c r="V4" s="6">
        <v>1000</v>
      </c>
      <c r="W4" s="6">
        <v>-1000</v>
      </c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26</v>
      </c>
      <c r="AA4" s="46">
        <f>IF($O4="","",ROUND(($O4-30000)/1000,1)+(2.5-_xlfn.RANK.AVG($O4,($J4,$O4,$T4,$Y4)))*20+IF(_xlfn.RANK.EQ($O4,($J4,$O4,$T4,$Y4))=1,20/((_xlfn.RANK.AVG($O4,($J4,$O4,$T4,$Y4))-1)*2+1),0))</f>
        <v>26</v>
      </c>
      <c r="AB4" s="46">
        <f>IF($T4="","",ROUND(($T4-30000)/1000,1)+(2.5-_xlfn.RANK.AVG($T4,($J4,$O4,$T4,$Y4)))*20+IF(_xlfn.RANK.EQ($T4,($J4,$O4,$T4,$Y4))=1,20/((_xlfn.RANK.AVG($T4,($J4,$O4,$T4,$Y4))-1)*2+1),0))</f>
        <v>-38</v>
      </c>
      <c r="AC4" s="47">
        <f>IF($Y4="","",ROUND(($Y4-30000)/1000,1)+(2.5-_xlfn.RANK.AVG($Y4,($J4,$O4,$T4,$Y4)))*20+IF(_xlfn.RANK.EQ($Y4,($J4,$O4,$T4,$Y4))=1,20/((_xlfn.RANK.AVG($Y4,($J4,$O4,$T4,$Y4))-1)*2+1),0))</f>
        <v>-15</v>
      </c>
      <c r="AE4" s="5" t="s">
        <v>174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174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175</v>
      </c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174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中村花菜</v>
      </c>
      <c r="F5" s="5"/>
      <c r="G5" s="6"/>
      <c r="H5" s="6"/>
      <c r="I5" s="6"/>
      <c r="J5" s="18">
        <f t="shared" ref="J5:J30" si="2">IF(COUNTA($F5,$K5,$P5,$U5)&gt;0,J4+SUM(G5:I5),"")</f>
        <v>26000</v>
      </c>
      <c r="K5" s="5" t="s">
        <v>170</v>
      </c>
      <c r="L5" s="6">
        <v>2000</v>
      </c>
      <c r="M5" s="6">
        <v>1000</v>
      </c>
      <c r="N5" s="6">
        <v>300</v>
      </c>
      <c r="O5" s="18">
        <f>IF(COUNTA($F5,$K5,$P5,$U5)&gt;0,O4+SUM(L5:N5),"")</f>
        <v>29300</v>
      </c>
      <c r="P5" s="5"/>
      <c r="Q5" s="6"/>
      <c r="R5" s="6"/>
      <c r="S5" s="6"/>
      <c r="T5" s="18">
        <f t="shared" ref="T5:T30" si="3">IF(COUNTA($F5,$K5,$P5,$U5)&gt;0,T4+SUM(Q5:S5),"")</f>
        <v>22000</v>
      </c>
      <c r="U5" s="5" t="s">
        <v>171</v>
      </c>
      <c r="V5" s="6">
        <v>-2000</v>
      </c>
      <c r="W5" s="6"/>
      <c r="X5" s="6">
        <v>-300</v>
      </c>
      <c r="Y5" s="18">
        <f t="shared" ref="Y5:Y30" si="4">IF(COUNTA($F5,$K5,$P5,$U5)&gt;0,Y4+SUM(V5:X5),"")</f>
        <v>22700</v>
      </c>
      <c r="Z5" s="45">
        <f>IF($J5="","",ROUND(($J5-30000)/1000,1)+(2.5-_xlfn.RANK.AVG($J5,($J5,$O5,$T5,$Y5)))*20+IF(_xlfn.RANK.EQ($J5,($J5,$O5,$T5,$Y5))=1,20/((_xlfn.RANK.AVG($J5,($J5,$O5,$T5,$Y5))-1)*2+1),0))</f>
        <v>6</v>
      </c>
      <c r="AA5" s="46">
        <f>IF($O5="","",ROUND(($O5-30000)/1000,1)+(2.5-_xlfn.RANK.AVG($O5,($J5,$O5,$T5,$Y5)))*20+IF(_xlfn.RANK.EQ($O5,($J5,$O5,$T5,$Y5))=1,20/((_xlfn.RANK.AVG($O5,($J5,$O5,$T5,$Y5))-1)*2+1),0))</f>
        <v>49.3</v>
      </c>
      <c r="AB5" s="46">
        <f>IF($T5="","",ROUND(($T5-30000)/1000,1)+(2.5-_xlfn.RANK.AVG($T5,($J5,$O5,$T5,$Y5)))*20+IF(_xlfn.RANK.EQ($T5,($J5,$O5,$T5,$Y5))=1,20/((_xlfn.RANK.AVG($T5,($J5,$O5,$T5,$Y5))-1)*2+1),0))</f>
        <v>-38</v>
      </c>
      <c r="AC5" s="47">
        <f>IF($Y5="","",ROUND(($Y5-30000)/1000,1)+(2.5-_xlfn.RANK.AVG($Y5,($J5,$O5,$T5,$Y5)))*20+IF(_xlfn.RANK.EQ($Y5,($J5,$O5,$T5,$Y5))=1,20/((_xlfn.RANK.AVG($Y5,($J5,$O5,$T5,$Y5))-1)*2+1),0))</f>
        <v>-17.3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2</v>
      </c>
      <c r="BE5" s="27">
        <v>30</v>
      </c>
      <c r="BF5" s="36" t="s">
        <v>77</v>
      </c>
      <c r="BG5" s="37" t="s">
        <v>70</v>
      </c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170</v>
      </c>
      <c r="G6" s="6">
        <v>3900</v>
      </c>
      <c r="H6" s="6">
        <v>1000</v>
      </c>
      <c r="I6" s="6">
        <v>0</v>
      </c>
      <c r="J6" s="18">
        <f t="shared" si="2"/>
        <v>30900</v>
      </c>
      <c r="K6" s="5" t="s">
        <v>171</v>
      </c>
      <c r="L6" s="6">
        <v>-3900</v>
      </c>
      <c r="M6" s="6">
        <v>-1000</v>
      </c>
      <c r="N6" s="6">
        <v>0</v>
      </c>
      <c r="O6" s="18">
        <f t="shared" ref="O6:O30" si="8">IF(COUNTA($F6,$K6,$P6,$U6)&gt;0,O5+SUM(L6:N6),"")</f>
        <v>24400</v>
      </c>
      <c r="P6" s="5"/>
      <c r="Q6" s="6"/>
      <c r="R6" s="6"/>
      <c r="S6" s="6"/>
      <c r="T6" s="18">
        <f t="shared" si="3"/>
        <v>22000</v>
      </c>
      <c r="U6" s="5"/>
      <c r="V6" s="6"/>
      <c r="W6" s="6"/>
      <c r="X6" s="6"/>
      <c r="Y6" s="18">
        <f t="shared" si="4"/>
        <v>22700</v>
      </c>
      <c r="Z6" s="45">
        <f>IF($J6="","",ROUND(($J6-30000)/1000,1)+(2.5-_xlfn.RANK.AVG($J6,($J6,$O6,$T6,$Y6)))*20+IF(_xlfn.RANK.EQ($J6,($J6,$O6,$T6,$Y6))=1,20/((_xlfn.RANK.AVG($J6,($J6,$O6,$T6,$Y6))-1)*2+1),0))</f>
        <v>50.9</v>
      </c>
      <c r="AA6" s="46">
        <f>IF($O6="","",ROUND(($O6-30000)/1000,1)+(2.5-_xlfn.RANK.AVG($O6,($J6,$O6,$T6,$Y6)))*20+IF(_xlfn.RANK.EQ($O6,($J6,$O6,$T6,$Y6))=1,20/((_xlfn.RANK.AVG($O6,($J6,$O6,$T6,$Y6))-1)*2+1),0))</f>
        <v>4.4000000000000004</v>
      </c>
      <c r="AB6" s="46">
        <f>IF($T6="","",ROUND(($T6-30000)/1000,1)+(2.5-_xlfn.RANK.AVG($T6,($J6,$O6,$T6,$Y6)))*20+IF(_xlfn.RANK.EQ($T6,($J6,$O6,$T6,$Y6))=1,20/((_xlfn.RANK.AVG($T6,($J6,$O6,$T6,$Y6))-1)*2+1),0))</f>
        <v>-38</v>
      </c>
      <c r="AC6" s="47">
        <f>IF($Y6="","",ROUND(($Y6-30000)/1000,1)+(2.5-_xlfn.RANK.AVG($Y6,($J6,$O6,$T6,$Y6)))*20+IF(_xlfn.RANK.EQ($Y6,($J6,$O6,$T6,$Y6))=1,20/((_xlfn.RANK.AVG($Y6,($J6,$O6,$T6,$Y6))-1)*2+1),0))</f>
        <v>-17.3</v>
      </c>
      <c r="AE6" s="5"/>
      <c r="AF6" s="30"/>
      <c r="AG6" s="23"/>
      <c r="AH6" s="23">
        <v>1</v>
      </c>
      <c r="AI6" s="23">
        <v>3</v>
      </c>
      <c r="AJ6" s="27">
        <v>30</v>
      </c>
      <c r="AK6" s="36" t="s">
        <v>76</v>
      </c>
      <c r="AL6" s="37" t="s">
        <v>70</v>
      </c>
      <c r="AM6" s="37" t="s">
        <v>172</v>
      </c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佐藤成浩</v>
      </c>
      <c r="F7" s="5" t="s">
        <v>170</v>
      </c>
      <c r="G7" s="6">
        <v>2000</v>
      </c>
      <c r="H7" s="6"/>
      <c r="I7" s="6">
        <v>0</v>
      </c>
      <c r="J7" s="18">
        <f t="shared" si="2"/>
        <v>32900</v>
      </c>
      <c r="K7" s="5" t="s">
        <v>171</v>
      </c>
      <c r="L7" s="6">
        <v>-2000</v>
      </c>
      <c r="M7" s="6"/>
      <c r="N7" s="6">
        <v>0</v>
      </c>
      <c r="O7" s="18">
        <f t="shared" si="8"/>
        <v>22400</v>
      </c>
      <c r="P7" s="5"/>
      <c r="Q7" s="6"/>
      <c r="R7" s="6"/>
      <c r="S7" s="6"/>
      <c r="T7" s="18">
        <f t="shared" si="3"/>
        <v>22000</v>
      </c>
      <c r="U7" s="5"/>
      <c r="V7" s="6"/>
      <c r="W7" s="6"/>
      <c r="X7" s="6"/>
      <c r="Y7" s="18">
        <f t="shared" si="4"/>
        <v>22700</v>
      </c>
      <c r="Z7" s="45">
        <f>IF($J7="","",ROUND(($J7-30000)/1000,1)+(2.5-_xlfn.RANK.AVG($J7,($J7,$O7,$T7,$Y7)))*20+IF(_xlfn.RANK.EQ($J7,($J7,$O7,$T7,$Y7))=1,20/((_xlfn.RANK.AVG($J7,($J7,$O7,$T7,$Y7))-1)*2+1),0))</f>
        <v>52.9</v>
      </c>
      <c r="AA7" s="46">
        <f>IF($O7="","",ROUND(($O7-30000)/1000,1)+(2.5-_xlfn.RANK.AVG($O7,($J7,$O7,$T7,$Y7)))*20+IF(_xlfn.RANK.EQ($O7,($J7,$O7,$T7,$Y7))=1,20/((_xlfn.RANK.AVG($O7,($J7,$O7,$T7,$Y7))-1)*2+1),0))</f>
        <v>-17.600000000000001</v>
      </c>
      <c r="AB7" s="46">
        <f>IF($T7="","",ROUND(($T7-30000)/1000,1)+(2.5-_xlfn.RANK.AVG($T7,($J7,$O7,$T7,$Y7)))*20+IF(_xlfn.RANK.EQ($T7,($J7,$O7,$T7,$Y7))=1,20/((_xlfn.RANK.AVG($T7,($J7,$O7,$T7,$Y7))-1)*2+1),0))</f>
        <v>-38</v>
      </c>
      <c r="AC7" s="47">
        <f>IF($Y7="","",ROUND(($Y7-30000)/1000,1)+(2.5-_xlfn.RANK.AVG($Y7,($J7,$O7,$T7,$Y7)))*20+IF(_xlfn.RANK.EQ($Y7,($J7,$O7,$T7,$Y7))=1,20/((_xlfn.RANK.AVG($Y7,($J7,$O7,$T7,$Y7))-1)*2+1),0))</f>
        <v>2.7</v>
      </c>
      <c r="AE7" s="5"/>
      <c r="AF7" s="30"/>
      <c r="AG7" s="23"/>
      <c r="AH7" s="23">
        <v>1</v>
      </c>
      <c r="AI7" s="23">
        <v>2</v>
      </c>
      <c r="AJ7" s="27">
        <v>30</v>
      </c>
      <c r="AK7" s="36" t="s">
        <v>77</v>
      </c>
      <c r="AL7" s="37" t="s">
        <v>172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柳澤奏太</v>
      </c>
      <c r="F8" s="5" t="s">
        <v>170</v>
      </c>
      <c r="G8" s="6">
        <v>5200</v>
      </c>
      <c r="H8" s="6">
        <v>0</v>
      </c>
      <c r="I8" s="6">
        <v>0</v>
      </c>
      <c r="J8" s="18">
        <f t="shared" si="2"/>
        <v>38100</v>
      </c>
      <c r="K8" s="5" t="s">
        <v>171</v>
      </c>
      <c r="L8" s="6">
        <v>-5200</v>
      </c>
      <c r="M8" s="6"/>
      <c r="N8" s="6">
        <v>0</v>
      </c>
      <c r="O8" s="18">
        <f t="shared" si="8"/>
        <v>17200</v>
      </c>
      <c r="P8" s="5"/>
      <c r="Q8" s="6"/>
      <c r="R8" s="6"/>
      <c r="S8" s="6"/>
      <c r="T8" s="18">
        <f t="shared" si="3"/>
        <v>22000</v>
      </c>
      <c r="U8" s="5"/>
      <c r="V8" s="6"/>
      <c r="W8" s="6"/>
      <c r="X8" s="6"/>
      <c r="Y8" s="18">
        <f t="shared" si="4"/>
        <v>22700</v>
      </c>
      <c r="Z8" s="45">
        <f>IF($J8="","",ROUND(($J8-30000)/1000,1)+(2.5-_xlfn.RANK.AVG($J8,($J8,$O8,$T8,$Y8)))*20+IF(_xlfn.RANK.EQ($J8,($J8,$O8,$T8,$Y8))=1,20/((_xlfn.RANK.AVG($J8,($J8,$O8,$T8,$Y8))-1)*2+1),0))</f>
        <v>58.1</v>
      </c>
      <c r="AA8" s="46">
        <f>IF($O8="","",ROUND(($O8-30000)/1000,1)+(2.5-_xlfn.RANK.AVG($O8,($J8,$O8,$T8,$Y8)))*20+IF(_xlfn.RANK.EQ($O8,($J8,$O8,$T8,$Y8))=1,20/((_xlfn.RANK.AVG($O8,($J8,$O8,$T8,$Y8))-1)*2+1),0))</f>
        <v>-42.8</v>
      </c>
      <c r="AB8" s="46">
        <f>IF($T8="","",ROUND(($T8-30000)/1000,1)+(2.5-_xlfn.RANK.AVG($T8,($J8,$O8,$T8,$Y8)))*20+IF(_xlfn.RANK.EQ($T8,($J8,$O8,$T8,$Y8))=1,20/((_xlfn.RANK.AVG($T8,($J8,$O8,$T8,$Y8))-1)*2+1),0))</f>
        <v>-18</v>
      </c>
      <c r="AC8" s="47">
        <f>IF($Y8="","",ROUND(($Y8-30000)/1000,1)+(2.5-_xlfn.RANK.AVG($Y8,($J8,$O8,$T8,$Y8)))*20+IF(_xlfn.RANK.EQ($Y8,($J8,$O8,$T8,$Y8))=1,20/((_xlfn.RANK.AVG($Y8,($J8,$O8,$T8,$Y8))-1)*2+1),0))</f>
        <v>2.7</v>
      </c>
      <c r="AE8" s="5"/>
      <c r="AF8" s="30"/>
      <c r="AG8" s="23">
        <v>1</v>
      </c>
      <c r="AH8" s="23"/>
      <c r="AI8" s="23">
        <v>3</v>
      </c>
      <c r="AJ8" s="27">
        <v>40</v>
      </c>
      <c r="AK8" s="36" t="s">
        <v>168</v>
      </c>
      <c r="AL8" s="37" t="s">
        <v>76</v>
      </c>
      <c r="AM8" s="37" t="s">
        <v>75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58"/>
      <c r="F9" s="5"/>
      <c r="G9" s="6"/>
      <c r="H9" s="6"/>
      <c r="I9" s="6"/>
      <c r="J9" s="18" t="str">
        <f t="shared" si="2"/>
        <v/>
      </c>
      <c r="K9" s="5"/>
      <c r="L9" s="6"/>
      <c r="M9" s="6"/>
      <c r="N9" s="6"/>
      <c r="O9" s="18" t="str">
        <f t="shared" si="8"/>
        <v/>
      </c>
      <c r="P9" s="5"/>
      <c r="Q9" s="6"/>
      <c r="R9" s="6"/>
      <c r="S9" s="6"/>
      <c r="T9" s="18" t="str">
        <f t="shared" si="3"/>
        <v/>
      </c>
      <c r="U9" s="5"/>
      <c r="V9" s="6"/>
      <c r="W9" s="6"/>
      <c r="X9" s="6"/>
      <c r="Y9" s="18" t="str">
        <f t="shared" si="4"/>
        <v/>
      </c>
      <c r="Z9" s="45" t="str">
        <f>IF($J9="","",ROUND(($J9-30000)/1000,1)+(2.5-_xlfn.RANK.AVG($J9,($J9,$O9,$T9,$Y9)))*20+IF(_xlfn.RANK.EQ($J9,($J9,$O9,$T9,$Y9))=1,20/((_xlfn.RANK.AVG($J9,($J9,$O9,$T9,$Y9))-1)*2+1),0))</f>
        <v/>
      </c>
      <c r="AA9" s="46" t="str">
        <f>IF($O9="","",ROUND(($O9-30000)/1000,1)+(2.5-_xlfn.RANK.AVG($O9,($J9,$O9,$T9,$Y9)))*20+IF(_xlfn.RANK.EQ($O9,($J9,$O9,$T9,$Y9))=1,20/((_xlfn.RANK.AVG($O9,($J9,$O9,$T9,$Y9))-1)*2+1),0))</f>
        <v/>
      </c>
      <c r="AB9" s="46" t="str">
        <f>IF($T9="","",ROUND(($T9-30000)/1000,1)+(2.5-_xlfn.RANK.AVG($T9,($J9,$O9,$T9,$Y9)))*20+IF(_xlfn.RANK.EQ($T9,($J9,$O9,$T9,$Y9))=1,20/((_xlfn.RANK.AVG($T9,($J9,$O9,$T9,$Y9))-1)*2+1),0))</f>
        <v/>
      </c>
      <c r="AC9" s="47" t="str">
        <f>IF($Y9="","",ROUND(($Y9-30000)/1000,1)+(2.5-_xlfn.RANK.AVG($Y9,($J9,$O9,$T9,$Y9)))*20+IF(_xlfn.RANK.EQ($Y9,($J9,$O9,$T9,$Y9))=1,20/((_xlfn.RANK.AVG($Y9,($J9,$O9,$T9,$Y9))-1)*2+1),0))</f>
        <v/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9507BBF7-C179-410C-AB3C-CD5E73741F9A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A2BC91A1-604F-494C-B9A9-8F25292A9FEA}">
      <formula1>"ロン,ツモ,放銃,ツモ支払,流局,チョンボ"</formula1>
    </dataValidation>
    <dataValidation type="list" allowBlank="1" showInputMessage="1" showErrorMessage="1" sqref="E4:E30" xr:uid="{F781BA3B-90E7-49A6-803D-480EC0D876F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2025-02-21T09:32:00Z</dcterms:modified>
</cp:coreProperties>
</file>