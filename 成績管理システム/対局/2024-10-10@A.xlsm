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 codeName="{372AB895-14C1-FC20-EB20-F1B4BCFD95A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山本悠介\Desktop\麻雀\mahjong-club\成績管理システム\対局\"/>
    </mc:Choice>
  </mc:AlternateContent>
  <xr:revisionPtr revIDLastSave="0" documentId="13_ncr:1_{3352859A-B28C-45BC-8C94-52CF4EF70E50}" xr6:coauthVersionLast="47" xr6:coauthVersionMax="47" xr10:uidLastSave="{00000000-0000-0000-0000-000000000000}"/>
  <bookViews>
    <workbookView xWindow="-110" yWindow="-110" windowWidth="19420" windowHeight="10300" activeTab="1" xr2:uid="{4CDB34E1-560F-4998-ABAB-D6F7F2862621}"/>
  </bookViews>
  <sheets>
    <sheet name="Sheet1" sheetId="27" r:id="rId1"/>
    <sheet name="Sheet2" sheetId="28" r:id="rId2"/>
    <sheet name="役一覧" sheetId="15" state="hidden" r:id="rId3"/>
    <sheet name="点数表(親ロン)" sheetId="20" state="hidden" r:id="rId4"/>
    <sheet name="点数表(親ツモ)" sheetId="21" state="hidden" r:id="rId5"/>
    <sheet name="点数表(子→親)" sheetId="22" state="hidden" r:id="rId6"/>
    <sheet name="点数表(子ロン)" sheetId="23" state="hidden" r:id="rId7"/>
    <sheet name="点数表(子ツモ)" sheetId="24" state="hidden" r:id="rId8"/>
    <sheet name="点数表(子→子)" sheetId="25" state="hidden" r:id="rId9"/>
    <sheet name="点数表(親→子)" sheetId="26" state="hidden" r:id="rId10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1" i="28" l="1"/>
  <c r="E10" i="28"/>
  <c r="D10" i="28" s="1"/>
  <c r="E9" i="28"/>
  <c r="E8" i="28"/>
  <c r="D8" i="28" s="1"/>
  <c r="E7" i="28"/>
  <c r="D7" i="28" s="1"/>
  <c r="E6" i="28"/>
  <c r="C6" i="28" s="1"/>
  <c r="C7" i="28" s="1"/>
  <c r="E5" i="28"/>
  <c r="Y30" i="28"/>
  <c r="AC30" i="28" s="1"/>
  <c r="T30" i="28"/>
  <c r="AB30" i="28" s="1"/>
  <c r="O30" i="28"/>
  <c r="AA30" i="28" s="1"/>
  <c r="J30" i="28"/>
  <c r="Z30" i="28" s="1"/>
  <c r="D30" i="28"/>
  <c r="C30" i="28"/>
  <c r="B30" i="28"/>
  <c r="A30" i="28"/>
  <c r="Y29" i="28"/>
  <c r="AC29" i="28" s="1"/>
  <c r="T29" i="28"/>
  <c r="AB29" i="28" s="1"/>
  <c r="O29" i="28"/>
  <c r="AA29" i="28" s="1"/>
  <c r="J29" i="28"/>
  <c r="Z29" i="28" s="1"/>
  <c r="D29" i="28"/>
  <c r="C29" i="28"/>
  <c r="B29" i="28"/>
  <c r="A29" i="28"/>
  <c r="Y28" i="28"/>
  <c r="AC28" i="28" s="1"/>
  <c r="T28" i="28"/>
  <c r="AB28" i="28" s="1"/>
  <c r="O28" i="28"/>
  <c r="AA28" i="28" s="1"/>
  <c r="J28" i="28"/>
  <c r="Z28" i="28" s="1"/>
  <c r="D28" i="28"/>
  <c r="C28" i="28"/>
  <c r="B28" i="28"/>
  <c r="A28" i="28"/>
  <c r="Y27" i="28"/>
  <c r="AC27" i="28" s="1"/>
  <c r="T27" i="28"/>
  <c r="AB27" i="28" s="1"/>
  <c r="O27" i="28"/>
  <c r="AA27" i="28" s="1"/>
  <c r="J27" i="28"/>
  <c r="Z27" i="28" s="1"/>
  <c r="D27" i="28"/>
  <c r="C27" i="28"/>
  <c r="B27" i="28"/>
  <c r="A27" i="28"/>
  <c r="Y26" i="28"/>
  <c r="AC26" i="28" s="1"/>
  <c r="T26" i="28"/>
  <c r="AB26" i="28" s="1"/>
  <c r="O26" i="28"/>
  <c r="AA26" i="28" s="1"/>
  <c r="J26" i="28"/>
  <c r="Z26" i="28" s="1"/>
  <c r="D26" i="28"/>
  <c r="C26" i="28"/>
  <c r="B26" i="28"/>
  <c r="A26" i="28"/>
  <c r="Y25" i="28"/>
  <c r="AC25" i="28" s="1"/>
  <c r="T25" i="28"/>
  <c r="AB25" i="28" s="1"/>
  <c r="O25" i="28"/>
  <c r="AA25" i="28" s="1"/>
  <c r="J25" i="28"/>
  <c r="Z25" i="28" s="1"/>
  <c r="D25" i="28"/>
  <c r="C25" i="28"/>
  <c r="B25" i="28"/>
  <c r="A25" i="28"/>
  <c r="Y24" i="28"/>
  <c r="AC24" i="28" s="1"/>
  <c r="T24" i="28"/>
  <c r="AB24" i="28" s="1"/>
  <c r="O24" i="28"/>
  <c r="AA24" i="28" s="1"/>
  <c r="J24" i="28"/>
  <c r="Z24" i="28" s="1"/>
  <c r="D24" i="28"/>
  <c r="C24" i="28"/>
  <c r="B24" i="28"/>
  <c r="A24" i="28"/>
  <c r="Y23" i="28"/>
  <c r="AC23" i="28" s="1"/>
  <c r="T23" i="28"/>
  <c r="AB23" i="28" s="1"/>
  <c r="O23" i="28"/>
  <c r="AA23" i="28" s="1"/>
  <c r="J23" i="28"/>
  <c r="Z23" i="28" s="1"/>
  <c r="D23" i="28"/>
  <c r="C23" i="28"/>
  <c r="B23" i="28"/>
  <c r="A23" i="28"/>
  <c r="Y22" i="28"/>
  <c r="AC22" i="28" s="1"/>
  <c r="T22" i="28"/>
  <c r="AB22" i="28" s="1"/>
  <c r="O22" i="28"/>
  <c r="AA22" i="28" s="1"/>
  <c r="J22" i="28"/>
  <c r="Z22" i="28" s="1"/>
  <c r="D22" i="28"/>
  <c r="C22" i="28"/>
  <c r="B22" i="28"/>
  <c r="A22" i="28"/>
  <c r="Y21" i="28"/>
  <c r="AC21" i="28" s="1"/>
  <c r="T21" i="28"/>
  <c r="AB21" i="28" s="1"/>
  <c r="O21" i="28"/>
  <c r="AA21" i="28" s="1"/>
  <c r="J21" i="28"/>
  <c r="Z21" i="28" s="1"/>
  <c r="D21" i="28"/>
  <c r="C21" i="28"/>
  <c r="B21" i="28"/>
  <c r="A21" i="28"/>
  <c r="Y20" i="28"/>
  <c r="AC20" i="28" s="1"/>
  <c r="T20" i="28"/>
  <c r="AB20" i="28" s="1"/>
  <c r="O20" i="28"/>
  <c r="AA20" i="28" s="1"/>
  <c r="J20" i="28"/>
  <c r="Z20" i="28" s="1"/>
  <c r="D20" i="28"/>
  <c r="C20" i="28"/>
  <c r="B20" i="28"/>
  <c r="A20" i="28"/>
  <c r="Y19" i="28"/>
  <c r="AC19" i="28" s="1"/>
  <c r="T19" i="28"/>
  <c r="AB19" i="28" s="1"/>
  <c r="O19" i="28"/>
  <c r="AA19" i="28" s="1"/>
  <c r="J19" i="28"/>
  <c r="Z19" i="28" s="1"/>
  <c r="D19" i="28"/>
  <c r="C19" i="28"/>
  <c r="B19" i="28"/>
  <c r="A19" i="28"/>
  <c r="Y18" i="28"/>
  <c r="AC18" i="28" s="1"/>
  <c r="T18" i="28"/>
  <c r="AB18" i="28" s="1"/>
  <c r="O18" i="28"/>
  <c r="AA18" i="28" s="1"/>
  <c r="J18" i="28"/>
  <c r="Z18" i="28" s="1"/>
  <c r="D18" i="28"/>
  <c r="C18" i="28"/>
  <c r="B18" i="28"/>
  <c r="A18" i="28"/>
  <c r="Y17" i="28"/>
  <c r="AC17" i="28" s="1"/>
  <c r="T17" i="28"/>
  <c r="AB17" i="28" s="1"/>
  <c r="O17" i="28"/>
  <c r="AA17" i="28" s="1"/>
  <c r="J17" i="28"/>
  <c r="Z17" i="28" s="1"/>
  <c r="D17" i="28"/>
  <c r="C17" i="28"/>
  <c r="B17" i="28"/>
  <c r="A17" i="28"/>
  <c r="Y16" i="28"/>
  <c r="AC16" i="28" s="1"/>
  <c r="T16" i="28"/>
  <c r="AB16" i="28" s="1"/>
  <c r="O16" i="28"/>
  <c r="AA16" i="28" s="1"/>
  <c r="J16" i="28"/>
  <c r="Z16" i="28" s="1"/>
  <c r="D16" i="28"/>
  <c r="C16" i="28"/>
  <c r="B16" i="28"/>
  <c r="A16" i="28"/>
  <c r="Y15" i="28"/>
  <c r="AC15" i="28" s="1"/>
  <c r="T15" i="28"/>
  <c r="AB15" i="28" s="1"/>
  <c r="O15" i="28"/>
  <c r="AA15" i="28" s="1"/>
  <c r="J15" i="28"/>
  <c r="Z15" i="28" s="1"/>
  <c r="D15" i="28"/>
  <c r="C15" i="28"/>
  <c r="B15" i="28"/>
  <c r="A15" i="28"/>
  <c r="Y14" i="28"/>
  <c r="AC14" i="28" s="1"/>
  <c r="T14" i="28"/>
  <c r="AB14" i="28" s="1"/>
  <c r="O14" i="28"/>
  <c r="AA14" i="28" s="1"/>
  <c r="J14" i="28"/>
  <c r="Z14" i="28" s="1"/>
  <c r="D14" i="28"/>
  <c r="C14" i="28"/>
  <c r="B14" i="28"/>
  <c r="A14" i="28"/>
  <c r="Y13" i="28"/>
  <c r="AC13" i="28" s="1"/>
  <c r="T13" i="28"/>
  <c r="AB13" i="28" s="1"/>
  <c r="O13" i="28"/>
  <c r="AA13" i="28" s="1"/>
  <c r="J13" i="28"/>
  <c r="Z13" i="28" s="1"/>
  <c r="D13" i="28"/>
  <c r="C13" i="28"/>
  <c r="B13" i="28"/>
  <c r="A13" i="28"/>
  <c r="Y12" i="28"/>
  <c r="AC12" i="28" s="1"/>
  <c r="T12" i="28"/>
  <c r="AB12" i="28" s="1"/>
  <c r="O12" i="28"/>
  <c r="AA12" i="28" s="1"/>
  <c r="J12" i="28"/>
  <c r="Z12" i="28" s="1"/>
  <c r="D12" i="28"/>
  <c r="C12" i="28"/>
  <c r="B12" i="28"/>
  <c r="A12" i="28"/>
  <c r="Y11" i="28"/>
  <c r="AC11" i="28" s="1"/>
  <c r="T11" i="28"/>
  <c r="AB11" i="28" s="1"/>
  <c r="O11" i="28"/>
  <c r="AA11" i="28" s="1"/>
  <c r="J11" i="28"/>
  <c r="Z11" i="28" s="1"/>
  <c r="Y10" i="28"/>
  <c r="T10" i="28"/>
  <c r="O10" i="28"/>
  <c r="J10" i="28"/>
  <c r="J5" i="28"/>
  <c r="J6" i="28" s="1"/>
  <c r="C5" i="28"/>
  <c r="D5" i="28"/>
  <c r="Y4" i="28"/>
  <c r="Y5" i="28" s="1"/>
  <c r="T4" i="28"/>
  <c r="T5" i="28" s="1"/>
  <c r="O4" i="28"/>
  <c r="O5" i="28" s="1"/>
  <c r="J4" i="28"/>
  <c r="E4" i="28"/>
  <c r="AC3" i="28"/>
  <c r="AB3" i="28"/>
  <c r="AA3" i="28"/>
  <c r="Z3" i="28"/>
  <c r="AC2" i="28"/>
  <c r="AB2" i="28"/>
  <c r="AA2" i="28"/>
  <c r="Z2" i="28"/>
  <c r="CP1" i="28"/>
  <c r="BU1" i="28"/>
  <c r="AZ1" i="28"/>
  <c r="AY1" i="28"/>
  <c r="AX1" i="28"/>
  <c r="AW1" i="28"/>
  <c r="AV1" i="28"/>
  <c r="AU1" i="28"/>
  <c r="AT1" i="28"/>
  <c r="AS1" i="28"/>
  <c r="AR1" i="28"/>
  <c r="AQ1" i="28"/>
  <c r="AP1" i="28"/>
  <c r="AO1" i="28"/>
  <c r="AN1" i="28"/>
  <c r="AM1" i="28"/>
  <c r="AL1" i="28"/>
  <c r="AK1" i="28"/>
  <c r="AJ1" i="28"/>
  <c r="AI1" i="28"/>
  <c r="AH1" i="28"/>
  <c r="AG1" i="28"/>
  <c r="AF1" i="28"/>
  <c r="AE1" i="28"/>
  <c r="E9" i="27"/>
  <c r="E8" i="27"/>
  <c r="E7" i="27"/>
  <c r="E6" i="27"/>
  <c r="E5" i="27"/>
  <c r="B11" i="28" l="1"/>
  <c r="A11" i="28" s="1"/>
  <c r="C11" i="28"/>
  <c r="AB10" i="28"/>
  <c r="AC10" i="28"/>
  <c r="Z10" i="28"/>
  <c r="AA10" i="28"/>
  <c r="A10" i="28"/>
  <c r="B10" i="28"/>
  <c r="C10" i="28"/>
  <c r="D6" i="28"/>
  <c r="Z4" i="28"/>
  <c r="AA5" i="28"/>
  <c r="O6" i="28"/>
  <c r="T6" i="28"/>
  <c r="AB5" i="28"/>
  <c r="AC5" i="28"/>
  <c r="Y6" i="28"/>
  <c r="J7" i="28"/>
  <c r="AB4" i="28"/>
  <c r="AC4" i="28"/>
  <c r="D9" i="28"/>
  <c r="B5" i="28"/>
  <c r="Z5" i="28"/>
  <c r="C8" i="28"/>
  <c r="C9" i="28" s="1"/>
  <c r="AA4" i="28"/>
  <c r="E4" i="27"/>
  <c r="A5" i="28" l="1"/>
  <c r="J8" i="28"/>
  <c r="B6" i="28"/>
  <c r="T7" i="28"/>
  <c r="AB6" i="28"/>
  <c r="Y7" i="28"/>
  <c r="AC6" i="28"/>
  <c r="O7" i="28"/>
  <c r="AA6" i="28"/>
  <c r="Z6" i="28"/>
  <c r="O5" i="27"/>
  <c r="AC3" i="27"/>
  <c r="AA3" i="27"/>
  <c r="AB3" i="27"/>
  <c r="Z3" i="27"/>
  <c r="Z7" i="28" l="1"/>
  <c r="B7" i="28"/>
  <c r="Y8" i="28"/>
  <c r="AC7" i="28"/>
  <c r="AB7" i="28"/>
  <c r="T8" i="28"/>
  <c r="J9" i="28"/>
  <c r="Z8" i="28"/>
  <c r="AA7" i="28"/>
  <c r="O8" i="28"/>
  <c r="A6" i="28"/>
  <c r="CP1" i="27"/>
  <c r="AC2" i="27"/>
  <c r="BU1" i="27"/>
  <c r="AB2" i="27"/>
  <c r="AZ1" i="27"/>
  <c r="AA2" i="27"/>
  <c r="AE1" i="27"/>
  <c r="Z2" i="27"/>
  <c r="Y9" i="28" l="1"/>
  <c r="AC8" i="28"/>
  <c r="O9" i="28"/>
  <c r="AA8" i="28"/>
  <c r="B8" i="28"/>
  <c r="A8" i="28" s="1"/>
  <c r="AB8" i="28"/>
  <c r="T9" i="28"/>
  <c r="A7" i="28"/>
  <c r="AY1" i="27"/>
  <c r="AX1" i="27"/>
  <c r="AW1" i="27"/>
  <c r="AV1" i="27"/>
  <c r="AU1" i="27"/>
  <c r="AT1" i="27"/>
  <c r="AS1" i="27"/>
  <c r="AR1" i="27"/>
  <c r="AQ1" i="27"/>
  <c r="AP1" i="27"/>
  <c r="AO1" i="27"/>
  <c r="AN1" i="27"/>
  <c r="AM1" i="27"/>
  <c r="AL1" i="27"/>
  <c r="AK1" i="27"/>
  <c r="AJ1" i="27"/>
  <c r="AI1" i="27"/>
  <c r="AH1" i="27"/>
  <c r="AG1" i="27"/>
  <c r="AF1" i="27"/>
  <c r="Y30" i="27"/>
  <c r="AC30" i="27" s="1"/>
  <c r="T30" i="27"/>
  <c r="AB30" i="27" s="1"/>
  <c r="O30" i="27"/>
  <c r="AA30" i="27" s="1"/>
  <c r="J30" i="27"/>
  <c r="Z30" i="27" s="1"/>
  <c r="D30" i="27"/>
  <c r="C30" i="27"/>
  <c r="B30" i="27"/>
  <c r="A30" i="27"/>
  <c r="Y29" i="27"/>
  <c r="AC29" i="27" s="1"/>
  <c r="T29" i="27"/>
  <c r="AB29" i="27" s="1"/>
  <c r="O29" i="27"/>
  <c r="AA29" i="27" s="1"/>
  <c r="J29" i="27"/>
  <c r="Z29" i="27" s="1"/>
  <c r="D29" i="27"/>
  <c r="C29" i="27"/>
  <c r="B29" i="27"/>
  <c r="A29" i="27"/>
  <c r="Y28" i="27"/>
  <c r="AC28" i="27" s="1"/>
  <c r="T28" i="27"/>
  <c r="AB28" i="27" s="1"/>
  <c r="O28" i="27"/>
  <c r="AA28" i="27" s="1"/>
  <c r="J28" i="27"/>
  <c r="Z28" i="27" s="1"/>
  <c r="D28" i="27"/>
  <c r="C28" i="27"/>
  <c r="B28" i="27"/>
  <c r="A28" i="27"/>
  <c r="Y27" i="27"/>
  <c r="AC27" i="27" s="1"/>
  <c r="T27" i="27"/>
  <c r="AB27" i="27" s="1"/>
  <c r="O27" i="27"/>
  <c r="AA27" i="27" s="1"/>
  <c r="J27" i="27"/>
  <c r="Z27" i="27" s="1"/>
  <c r="D27" i="27"/>
  <c r="C27" i="27"/>
  <c r="B27" i="27"/>
  <c r="A27" i="27"/>
  <c r="Y26" i="27"/>
  <c r="AC26" i="27" s="1"/>
  <c r="T26" i="27"/>
  <c r="AB26" i="27" s="1"/>
  <c r="O26" i="27"/>
  <c r="AA26" i="27" s="1"/>
  <c r="J26" i="27"/>
  <c r="Z26" i="27" s="1"/>
  <c r="D26" i="27"/>
  <c r="C26" i="27"/>
  <c r="B26" i="27"/>
  <c r="A26" i="27"/>
  <c r="Y25" i="27"/>
  <c r="AC25" i="27" s="1"/>
  <c r="T25" i="27"/>
  <c r="AB25" i="27" s="1"/>
  <c r="O25" i="27"/>
  <c r="AA25" i="27" s="1"/>
  <c r="J25" i="27"/>
  <c r="Z25" i="27" s="1"/>
  <c r="D25" i="27"/>
  <c r="C25" i="27"/>
  <c r="B25" i="27"/>
  <c r="A25" i="27"/>
  <c r="Y24" i="27"/>
  <c r="AC24" i="27" s="1"/>
  <c r="T24" i="27"/>
  <c r="AB24" i="27" s="1"/>
  <c r="O24" i="27"/>
  <c r="AA24" i="27" s="1"/>
  <c r="J24" i="27"/>
  <c r="Z24" i="27" s="1"/>
  <c r="D24" i="27"/>
  <c r="C24" i="27"/>
  <c r="B24" i="27"/>
  <c r="A24" i="27"/>
  <c r="Y23" i="27"/>
  <c r="AC23" i="27" s="1"/>
  <c r="T23" i="27"/>
  <c r="AB23" i="27" s="1"/>
  <c r="O23" i="27"/>
  <c r="AA23" i="27" s="1"/>
  <c r="J23" i="27"/>
  <c r="Z23" i="27" s="1"/>
  <c r="D23" i="27"/>
  <c r="C23" i="27"/>
  <c r="B23" i="27"/>
  <c r="A23" i="27"/>
  <c r="Y22" i="27"/>
  <c r="AC22" i="27" s="1"/>
  <c r="T22" i="27"/>
  <c r="AB22" i="27" s="1"/>
  <c r="O22" i="27"/>
  <c r="AA22" i="27" s="1"/>
  <c r="J22" i="27"/>
  <c r="Z22" i="27" s="1"/>
  <c r="D22" i="27"/>
  <c r="C22" i="27"/>
  <c r="B22" i="27"/>
  <c r="A22" i="27"/>
  <c r="Y21" i="27"/>
  <c r="AC21" i="27" s="1"/>
  <c r="T21" i="27"/>
  <c r="AB21" i="27" s="1"/>
  <c r="O21" i="27"/>
  <c r="AA21" i="27" s="1"/>
  <c r="J21" i="27"/>
  <c r="Z21" i="27" s="1"/>
  <c r="D21" i="27"/>
  <c r="C21" i="27"/>
  <c r="B21" i="27"/>
  <c r="A21" i="27"/>
  <c r="Y20" i="27"/>
  <c r="AC20" i="27" s="1"/>
  <c r="T20" i="27"/>
  <c r="AB20" i="27" s="1"/>
  <c r="O20" i="27"/>
  <c r="AA20" i="27" s="1"/>
  <c r="J20" i="27"/>
  <c r="Z20" i="27" s="1"/>
  <c r="D20" i="27"/>
  <c r="C20" i="27"/>
  <c r="B20" i="27"/>
  <c r="A20" i="27"/>
  <c r="Y19" i="27"/>
  <c r="AC19" i="27" s="1"/>
  <c r="T19" i="27"/>
  <c r="AB19" i="27" s="1"/>
  <c r="O19" i="27"/>
  <c r="AA19" i="27" s="1"/>
  <c r="J19" i="27"/>
  <c r="Z19" i="27" s="1"/>
  <c r="D19" i="27"/>
  <c r="C19" i="27"/>
  <c r="B19" i="27"/>
  <c r="A19" i="27"/>
  <c r="Y18" i="27"/>
  <c r="AC18" i="27" s="1"/>
  <c r="T18" i="27"/>
  <c r="AB18" i="27" s="1"/>
  <c r="O18" i="27"/>
  <c r="AA18" i="27" s="1"/>
  <c r="J18" i="27"/>
  <c r="Z18" i="27" s="1"/>
  <c r="D18" i="27"/>
  <c r="C18" i="27"/>
  <c r="B18" i="27"/>
  <c r="A18" i="27"/>
  <c r="Y17" i="27"/>
  <c r="AC17" i="27" s="1"/>
  <c r="T17" i="27"/>
  <c r="AB17" i="27" s="1"/>
  <c r="O17" i="27"/>
  <c r="AA17" i="27" s="1"/>
  <c r="J17" i="27"/>
  <c r="Z17" i="27" s="1"/>
  <c r="D17" i="27"/>
  <c r="C17" i="27"/>
  <c r="B17" i="27"/>
  <c r="A17" i="27"/>
  <c r="Y16" i="27"/>
  <c r="AC16" i="27" s="1"/>
  <c r="T16" i="27"/>
  <c r="AB16" i="27" s="1"/>
  <c r="O16" i="27"/>
  <c r="AA16" i="27" s="1"/>
  <c r="J16" i="27"/>
  <c r="Z16" i="27" s="1"/>
  <c r="D16" i="27"/>
  <c r="C16" i="27"/>
  <c r="B16" i="27"/>
  <c r="A16" i="27"/>
  <c r="Y15" i="27"/>
  <c r="AC15" i="27" s="1"/>
  <c r="T15" i="27"/>
  <c r="AB15" i="27" s="1"/>
  <c r="O15" i="27"/>
  <c r="AA15" i="27" s="1"/>
  <c r="J15" i="27"/>
  <c r="Z15" i="27" s="1"/>
  <c r="D15" i="27"/>
  <c r="C15" i="27"/>
  <c r="B15" i="27"/>
  <c r="A15" i="27" s="1"/>
  <c r="Y14" i="27"/>
  <c r="T14" i="27"/>
  <c r="O14" i="27"/>
  <c r="J14" i="27"/>
  <c r="D14" i="27"/>
  <c r="C14" i="27"/>
  <c r="B14" i="27"/>
  <c r="A14" i="27" s="1"/>
  <c r="Y13" i="27"/>
  <c r="T13" i="27"/>
  <c r="O13" i="27"/>
  <c r="J13" i="27"/>
  <c r="D13" i="27"/>
  <c r="C13" i="27"/>
  <c r="B13" i="27"/>
  <c r="A13" i="27" s="1"/>
  <c r="Y12" i="27"/>
  <c r="T12" i="27"/>
  <c r="O12" i="27"/>
  <c r="J12" i="27"/>
  <c r="D12" i="27"/>
  <c r="C12" i="27"/>
  <c r="B12" i="27"/>
  <c r="A12" i="27" s="1"/>
  <c r="Y11" i="27"/>
  <c r="T11" i="27"/>
  <c r="O11" i="27"/>
  <c r="J11" i="27"/>
  <c r="D11" i="27"/>
  <c r="C11" i="27"/>
  <c r="B11" i="27"/>
  <c r="A11" i="27" s="1"/>
  <c r="Y10" i="27"/>
  <c r="T10" i="27"/>
  <c r="O10" i="27"/>
  <c r="J10" i="27"/>
  <c r="D10" i="27"/>
  <c r="C10" i="27"/>
  <c r="B10" i="27"/>
  <c r="A10" i="27" s="1"/>
  <c r="Y9" i="27"/>
  <c r="T9" i="27"/>
  <c r="O9" i="27"/>
  <c r="J9" i="27"/>
  <c r="D9" i="27"/>
  <c r="C9" i="27"/>
  <c r="B9" i="27"/>
  <c r="A9" i="27" s="1"/>
  <c r="J8" i="27"/>
  <c r="D8" i="27"/>
  <c r="C8" i="27"/>
  <c r="B8" i="27"/>
  <c r="A8" i="27" s="1"/>
  <c r="J7" i="27"/>
  <c r="D7" i="27"/>
  <c r="C7" i="27"/>
  <c r="B7" i="27"/>
  <c r="A7" i="27" s="1"/>
  <c r="J6" i="27"/>
  <c r="D6" i="27"/>
  <c r="C6" i="27"/>
  <c r="B6" i="27"/>
  <c r="A6" i="27" s="1"/>
  <c r="J5" i="27"/>
  <c r="D5" i="27"/>
  <c r="C5" i="27"/>
  <c r="B5" i="27"/>
  <c r="A5" i="27" s="1"/>
  <c r="Y4" i="27"/>
  <c r="T4" i="27"/>
  <c r="O4" i="27"/>
  <c r="J4" i="27"/>
  <c r="AB9" i="28" l="1"/>
  <c r="B9" i="28"/>
  <c r="A9" i="28" s="1"/>
  <c r="AA9" i="28"/>
  <c r="AC9" i="28"/>
  <c r="Z9" i="28"/>
  <c r="Z14" i="27"/>
  <c r="AA14" i="27"/>
  <c r="AC14" i="27"/>
  <c r="AB14" i="27"/>
  <c r="AC13" i="27"/>
  <c r="Z13" i="27"/>
  <c r="AA13" i="27"/>
  <c r="AB13" i="27"/>
  <c r="AA12" i="27"/>
  <c r="AB12" i="27"/>
  <c r="Z12" i="27"/>
  <c r="AC12" i="27"/>
  <c r="AA11" i="27"/>
  <c r="AB11" i="27"/>
  <c r="AC11" i="27"/>
  <c r="Z11" i="27"/>
  <c r="AA10" i="27"/>
  <c r="Z10" i="27"/>
  <c r="AB10" i="27"/>
  <c r="AC10" i="27"/>
  <c r="AA9" i="27"/>
  <c r="AB9" i="27"/>
  <c r="Z9" i="27"/>
  <c r="AC9" i="27"/>
  <c r="AB4" i="27"/>
  <c r="Y5" i="27"/>
  <c r="AC4" i="27"/>
  <c r="O6" i="27"/>
  <c r="AA4" i="27"/>
  <c r="Z4" i="27"/>
  <c r="Y6" i="27"/>
  <c r="O7" i="27"/>
  <c r="T5" i="27"/>
  <c r="Z5" i="27" l="1"/>
  <c r="AB5" i="27"/>
  <c r="AA5" i="27"/>
  <c r="AC5" i="27"/>
  <c r="Y7" i="27"/>
  <c r="O8" i="27"/>
  <c r="T6" i="27"/>
  <c r="AC6" i="27" l="1"/>
  <c r="AB6" i="27"/>
  <c r="Z6" i="27"/>
  <c r="AA6" i="27"/>
  <c r="Y8" i="27"/>
  <c r="T7" i="27"/>
  <c r="AB7" i="27" l="1"/>
  <c r="Z7" i="27"/>
  <c r="AA7" i="27"/>
  <c r="AC7" i="27"/>
  <c r="T8" i="27"/>
  <c r="AC8" i="27" l="1"/>
  <c r="AB8" i="27"/>
  <c r="Z8" i="27"/>
  <c r="AA8" i="27"/>
</calcChain>
</file>

<file path=xl/sharedStrings.xml><?xml version="1.0" encoding="utf-8"?>
<sst xmlns="http://schemas.openxmlformats.org/spreadsheetml/2006/main" count="680" uniqueCount="177">
  <si>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</si>
  <si>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</si>
  <si>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</si>
  <si>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</si>
  <si>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点数</t>
    <rPh sb="0" eb="2">
      <t>テンスウ</t>
    </rPh>
    <phoneticPr fontId="1"/>
  </si>
  <si>
    <t>種類</t>
    <rPh sb="0" eb="2">
      <t>シュルイ</t>
    </rPh>
    <phoneticPr fontId="1"/>
  </si>
  <si>
    <t>スコア</t>
    <phoneticPr fontId="1"/>
  </si>
  <si>
    <t>本場</t>
    <phoneticPr fontId="1"/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</si>
  <si>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</si>
  <si>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</si>
  <si>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</si>
  <si>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</si>
  <si>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</si>
  <si>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</si>
  <si>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</si>
  <si>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</si>
  <si>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</si>
  <si>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</si>
  <si>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翻</t>
    <rPh sb="0" eb="1">
      <t>ファン</t>
    </rPh>
    <phoneticPr fontId="1"/>
  </si>
  <si>
    <t>符</t>
    <rPh sb="0" eb="1">
      <t>フ</t>
    </rPh>
    <phoneticPr fontId="1"/>
  </si>
  <si>
    <t>役コード</t>
    <rPh sb="0" eb="1">
      <t>ヤク</t>
    </rPh>
    <phoneticPr fontId="1"/>
  </si>
  <si>
    <t>供託</t>
    <rPh sb="0" eb="2">
      <t>キョウタク</t>
    </rPh>
    <phoneticPr fontId="1"/>
  </si>
  <si>
    <t>流</t>
    <rPh sb="0" eb="1">
      <t>リュウ</t>
    </rPh>
    <phoneticPr fontId="1"/>
  </si>
  <si>
    <t>R</t>
    <phoneticPr fontId="1"/>
  </si>
  <si>
    <t>*</t>
    <phoneticPr fontId="1"/>
  </si>
  <si>
    <t>チ</t>
    <phoneticPr fontId="1"/>
  </si>
  <si>
    <t>コード</t>
    <phoneticPr fontId="1"/>
  </si>
  <si>
    <t>役名</t>
    <rPh sb="0" eb="2">
      <t>ヤクメイ</t>
    </rPh>
    <phoneticPr fontId="1"/>
  </si>
  <si>
    <t>門前</t>
    <rPh sb="0" eb="2">
      <t>メンゼン</t>
    </rPh>
    <phoneticPr fontId="1"/>
  </si>
  <si>
    <t>副露</t>
    <rPh sb="0" eb="2">
      <t>フーロ</t>
    </rPh>
    <phoneticPr fontId="1"/>
  </si>
  <si>
    <t>一発</t>
    <phoneticPr fontId="1"/>
  </si>
  <si>
    <t>ドラ</t>
    <phoneticPr fontId="1"/>
  </si>
  <si>
    <t>裏ドラ</t>
    <rPh sb="0" eb="1">
      <t>ウラ</t>
    </rPh>
    <phoneticPr fontId="1"/>
  </si>
  <si>
    <t>ガリ</t>
    <phoneticPr fontId="1"/>
  </si>
  <si>
    <t>門前清自摸和</t>
    <phoneticPr fontId="1"/>
  </si>
  <si>
    <t>平和</t>
    <phoneticPr fontId="1"/>
  </si>
  <si>
    <t>一盃口</t>
    <phoneticPr fontId="1"/>
  </si>
  <si>
    <t>役牌</t>
    <phoneticPr fontId="1"/>
  </si>
  <si>
    <t>海底摸月</t>
    <phoneticPr fontId="1"/>
  </si>
  <si>
    <t>河底撈魚</t>
    <phoneticPr fontId="1"/>
  </si>
  <si>
    <t>嶺上開花</t>
    <phoneticPr fontId="1"/>
  </si>
  <si>
    <t>槍槓</t>
    <phoneticPr fontId="1"/>
  </si>
  <si>
    <t>ダブル立直</t>
    <phoneticPr fontId="1"/>
  </si>
  <si>
    <t>一気通貫</t>
    <phoneticPr fontId="1"/>
  </si>
  <si>
    <t>三色同順</t>
    <phoneticPr fontId="1"/>
  </si>
  <si>
    <t>三色同刻</t>
    <phoneticPr fontId="1"/>
  </si>
  <si>
    <t>三暗刻</t>
    <phoneticPr fontId="1"/>
  </si>
  <si>
    <t>三槓子</t>
    <phoneticPr fontId="1"/>
  </si>
  <si>
    <t>対々和</t>
    <phoneticPr fontId="1"/>
  </si>
  <si>
    <t>小三元</t>
    <phoneticPr fontId="1"/>
  </si>
  <si>
    <t>混老頭</t>
    <phoneticPr fontId="1"/>
  </si>
  <si>
    <t>七対子</t>
    <phoneticPr fontId="1"/>
  </si>
  <si>
    <t>二盃口</t>
    <phoneticPr fontId="1"/>
  </si>
  <si>
    <t>混一色</t>
    <phoneticPr fontId="1"/>
  </si>
  <si>
    <t>流し満貫</t>
    <rPh sb="0" eb="1">
      <t>ナガ</t>
    </rPh>
    <rPh sb="2" eb="4">
      <t>マンガン</t>
    </rPh>
    <phoneticPr fontId="1"/>
  </si>
  <si>
    <t>清一色</t>
    <phoneticPr fontId="1"/>
  </si>
  <si>
    <t>国士無双</t>
    <phoneticPr fontId="1"/>
  </si>
  <si>
    <t>四暗刻</t>
    <phoneticPr fontId="1"/>
  </si>
  <si>
    <t>字一色</t>
    <phoneticPr fontId="1"/>
  </si>
  <si>
    <t>大三元</t>
    <phoneticPr fontId="1"/>
  </si>
  <si>
    <t>大四喜</t>
    <phoneticPr fontId="1"/>
  </si>
  <si>
    <t>小四喜</t>
    <phoneticPr fontId="1"/>
  </si>
  <si>
    <t>緑一色</t>
    <phoneticPr fontId="1"/>
  </si>
  <si>
    <t>清老頭</t>
    <phoneticPr fontId="1"/>
  </si>
  <si>
    <t>四槓子</t>
    <phoneticPr fontId="1"/>
  </si>
  <si>
    <t>九蓮宝燈</t>
    <phoneticPr fontId="1"/>
  </si>
  <si>
    <t>天和</t>
    <phoneticPr fontId="1"/>
  </si>
  <si>
    <t>地和</t>
    <phoneticPr fontId="1"/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</si>
  <si>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</si>
  <si>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</si>
  <si>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</si>
  <si>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</si>
  <si>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</si>
  <si>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</si>
  <si>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</si>
  <si>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</si>
  <si>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</si>
  <si>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</si>
  <si>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</si>
  <si>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</si>
  <si>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</si>
  <si>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</si>
  <si>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</si>
  <si>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</si>
  <si>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</si>
  <si>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</si>
  <si>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</si>
  <si>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</si>
  <si>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</si>
  <si>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</si>
  <si>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</si>
  <si>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</si>
  <si>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</si>
  <si>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</si>
  <si>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</si>
  <si>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</si>
  <si>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</si>
  <si>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</si>
  <si>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</si>
  <si>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</si>
  <si>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</si>
  <si>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</si>
  <si>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</si>
  <si>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</si>
  <si>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</si>
  <si>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</si>
  <si>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</si>
  <si>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</si>
  <si>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</si>
  <si>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</si>
  <si>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鳴</t>
    <rPh sb="0" eb="1">
      <t>ナ</t>
    </rPh>
    <phoneticPr fontId="1"/>
  </si>
  <si>
    <t>鳴</t>
    <phoneticPr fontId="1"/>
  </si>
  <si>
    <t>タンヤオ</t>
    <phoneticPr fontId="1"/>
  </si>
  <si>
    <t>純チャン</t>
    <phoneticPr fontId="1"/>
  </si>
  <si>
    <t>チャンタ</t>
    <phoneticPr fontId="1"/>
  </si>
  <si>
    <t>立直</t>
    <rPh sb="0" eb="2">
      <t>リーチ</t>
    </rPh>
    <phoneticPr fontId="1"/>
  </si>
  <si>
    <t>東</t>
    <rPh sb="0" eb="1">
      <t>ヒガシ</t>
    </rPh>
    <phoneticPr fontId="1"/>
  </si>
  <si>
    <t>52</t>
    <phoneticPr fontId="1"/>
  </si>
  <si>
    <t>赤ドラ</t>
    <rPh sb="0" eb="1">
      <t>アカ</t>
    </rPh>
    <phoneticPr fontId="1"/>
  </si>
  <si>
    <t>文字</t>
    <rPh sb="0" eb="2">
      <t>モジ</t>
    </rPh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</si>
  <si>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</si>
  <si>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</si>
  <si>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</si>
  <si>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</si>
  <si>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</si>
  <si>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</si>
  <si>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</si>
  <si>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</si>
  <si>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</si>
  <si>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</si>
  <si>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</si>
  <si>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</si>
  <si>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</si>
  <si>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</si>
  <si>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</si>
  <si>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</si>
  <si>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</si>
  <si>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</si>
  <si>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p</t>
    <phoneticPr fontId="1"/>
  </si>
  <si>
    <t>h</t>
    <phoneticPr fontId="1"/>
  </si>
  <si>
    <t>j</t>
    <phoneticPr fontId="1"/>
  </si>
  <si>
    <t>k</t>
    <phoneticPr fontId="1"/>
  </si>
  <si>
    <t>l</t>
    <phoneticPr fontId="1"/>
  </si>
  <si>
    <t>;</t>
    <phoneticPr fontId="1"/>
  </si>
  <si>
    <t>n</t>
    <phoneticPr fontId="1"/>
  </si>
  <si>
    <t>m</t>
    <phoneticPr fontId="1"/>
  </si>
  <si>
    <t>,</t>
    <phoneticPr fontId="1"/>
  </si>
  <si>
    <t>.</t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</si>
  <si>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</si>
  <si>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</si>
  <si>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</si>
  <si>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</si>
  <si>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</si>
  <si>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</si>
  <si>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</si>
  <si>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</si>
  <si>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</si>
  <si>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</si>
  <si>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</si>
  <si>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</si>
  <si>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o</t>
    <phoneticPr fontId="1"/>
  </si>
  <si>
    <t>高橋英将</t>
  </si>
  <si>
    <t>長野柊馬</t>
  </si>
  <si>
    <t>所附快和</t>
  </si>
  <si>
    <t>清水常緑</t>
  </si>
  <si>
    <t>ツモ</t>
  </si>
  <si>
    <t>ツモ支払</t>
  </si>
  <si>
    <t>*</t>
  </si>
  <si>
    <t>01</t>
  </si>
  <si>
    <t>52</t>
  </si>
  <si>
    <t>ロン</t>
  </si>
  <si>
    <t>放銃</t>
  </si>
  <si>
    <t>N</t>
  </si>
  <si>
    <t>T</t>
  </si>
  <si>
    <t>流局</t>
    <phoneticPr fontId="1"/>
  </si>
  <si>
    <t>佐藤成</t>
  </si>
  <si>
    <t>02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</si>
</sst>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.0;\-0.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72">
    <xf numFmtId="0" fontId="0" fillId="0" borderId="0" xfId="0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2" xfId="0" applyFill="1" applyBorder="1" applyAlignment="1">
      <alignment horizontal="center"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0" fontId="0" fillId="0" borderId="0" xfId="0" applyAlignment="1">
      <alignment vertical="center" shrinkToFit="1"/>
    </xf>
    <xf numFmtId="0" fontId="0" fillId="0" borderId="0" xfId="0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6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49" fontId="0" fillId="0" borderId="0" xfId="0" applyNumberFormat="1" applyAlignment="1">
      <alignment horizontal="center" vertical="center"/>
    </xf>
    <xf numFmtId="49" fontId="0" fillId="0" borderId="8" xfId="0" applyNumberFormat="1" applyBorder="1" applyAlignment="1">
      <alignment horizontal="center" vertical="center" shrinkToFit="1"/>
    </xf>
    <xf numFmtId="49" fontId="0" fillId="0" borderId="2" xfId="0" applyNumberFormat="1" applyBorder="1" applyAlignment="1">
      <alignment horizontal="center" vertical="center" shrinkToFit="1"/>
    </xf>
    <xf numFmtId="49" fontId="0" fillId="0" borderId="9" xfId="0" applyNumberFormat="1" applyBorder="1" applyAlignment="1">
      <alignment horizontal="center" vertical="center" shrinkToFit="1"/>
    </xf>
    <xf numFmtId="49" fontId="0" fillId="0" borderId="4" xfId="0" applyNumberFormat="1" applyBorder="1" applyAlignment="1">
      <alignment horizontal="center" vertical="center" shrinkToFit="1"/>
    </xf>
    <xf numFmtId="49" fontId="0" fillId="0" borderId="1" xfId="0" applyNumberFormat="1" applyBorder="1" applyAlignment="1">
      <alignment horizontal="center" vertical="center" shrinkToFit="1"/>
    </xf>
    <xf numFmtId="49" fontId="0" fillId="0" borderId="5" xfId="0" applyNumberFormat="1" applyBorder="1" applyAlignment="1">
      <alignment horizontal="center" vertical="center" shrinkToFit="1"/>
    </xf>
    <xf numFmtId="49" fontId="0" fillId="0" borderId="6" xfId="0" applyNumberFormat="1" applyBorder="1" applyAlignment="1">
      <alignment horizontal="center" vertical="center" shrinkToFit="1"/>
    </xf>
    <xf numFmtId="49" fontId="0" fillId="0" borderId="3" xfId="0" applyNumberFormat="1" applyBorder="1" applyAlignment="1">
      <alignment horizontal="center" vertical="center" shrinkToFit="1"/>
    </xf>
    <xf numFmtId="49" fontId="0" fillId="0" borderId="7" xfId="0" applyNumberFormat="1" applyBorder="1" applyAlignment="1">
      <alignment horizontal="center" vertical="center" shrinkToFit="1"/>
    </xf>
    <xf numFmtId="177" fontId="0" fillId="3" borderId="8" xfId="0" applyNumberFormat="1" applyFill="1" applyBorder="1" applyAlignment="1">
      <alignment vertical="center" shrinkToFit="1"/>
    </xf>
    <xf numFmtId="177" fontId="0" fillId="3" borderId="2" xfId="0" applyNumberFormat="1" applyFill="1" applyBorder="1" applyAlignment="1">
      <alignment vertical="center" shrinkToFit="1"/>
    </xf>
    <xf numFmtId="177" fontId="0" fillId="3" borderId="9" xfId="0" applyNumberFormat="1" applyFill="1" applyBorder="1" applyAlignment="1">
      <alignment vertical="center" shrinkToFit="1"/>
    </xf>
    <xf numFmtId="177" fontId="0" fillId="3" borderId="4" xfId="0" applyNumberFormat="1" applyFill="1" applyBorder="1" applyAlignment="1">
      <alignment vertical="center" shrinkToFit="1"/>
    </xf>
    <xf numFmtId="177" fontId="0" fillId="3" borderId="1" xfId="0" applyNumberFormat="1" applyFill="1" applyBorder="1" applyAlignment="1">
      <alignment vertical="center" shrinkToFit="1"/>
    </xf>
    <xf numFmtId="177" fontId="0" fillId="3" borderId="5" xfId="0" applyNumberFormat="1" applyFill="1" applyBorder="1" applyAlignment="1">
      <alignment vertical="center" shrinkToFit="1"/>
    </xf>
    <xf numFmtId="177" fontId="0" fillId="3" borderId="6" xfId="0" applyNumberFormat="1" applyFill="1" applyBorder="1" applyAlignment="1">
      <alignment vertical="center" shrinkToFit="1"/>
    </xf>
    <xf numFmtId="177" fontId="0" fillId="3" borderId="3" xfId="0" applyNumberFormat="1" applyFill="1" applyBorder="1" applyAlignment="1">
      <alignment vertical="center" shrinkToFit="1"/>
    </xf>
    <xf numFmtId="177" fontId="0" fillId="3" borderId="7" xfId="0" applyNumberFormat="1" applyFill="1" applyBorder="1" applyAlignment="1">
      <alignment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3" borderId="9" xfId="0" applyFill="1" applyBorder="1" applyAlignment="1">
      <alignment horizontal="center" vertical="center" shrinkToFit="1"/>
    </xf>
    <xf numFmtId="0" fontId="0" fillId="3" borderId="5" xfId="0" applyFill="1" applyBorder="1" applyAlignment="1">
      <alignment horizontal="center" vertical="center" shrinkToFit="1"/>
    </xf>
    <xf numFmtId="0" fontId="0" fillId="3" borderId="7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3" borderId="18" xfId="0" applyFill="1" applyBorder="1" applyAlignment="1">
      <alignment horizontal="center" vertical="center" shrinkToFit="1"/>
    </xf>
    <xf numFmtId="0" fontId="0" fillId="3" borderId="12" xfId="0" applyFill="1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</cellXfs>
  <cellStyles count="1">
    <cellStyle name="標準" xfId="0" builtinId="0"/>
  </cellStyles>
  <dxfs count="2">
    <dxf>
      <fill>
        <patternFill>
          <bgColor rgb="FFFF3F3F"/>
        </patternFill>
      </fill>
    </dxf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2013 - 2022 テーマ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E2A3E6-6320-48BB-8A63-D7BF1F84B412}">
  <sheetPr codeName="Sheet1">
    <pageSetUpPr fitToPage="1"/>
  </sheetPr>
  <dimension ref="A1:DJ30"/>
  <sheetViews>
    <sheetView zoomScaleNormal="100" workbookViewId="0">
      <selection sqref="A1:A2"/>
    </sheetView>
  </sheetViews>
  <sheetFormatPr defaultColWidth="3.5" defaultRowHeight="18" x14ac:dyDescent="0.55000000000000004"/>
  <cols>
    <col min="1" max="4" width="5.1640625" style="21" customWidth="1"/>
    <col min="5" max="29" width="9" style="21" customWidth="1"/>
    <col min="30" max="30" width="3.5" style="21"/>
    <col min="31" max="114" width="3.5" style="22"/>
    <col min="115" max="16384" width="3.5" style="21"/>
  </cols>
  <sheetData>
    <row r="1" spans="1:114" x14ac:dyDescent="0.55000000000000004">
      <c r="A1" s="64" t="s">
        <v>0</v>
      </c>
      <c r="B1" s="66" t="s">
        <v>2</v>
      </c>
      <c r="C1" s="66" t="s">
        <v>1</v>
      </c>
      <c r="D1" s="66" t="s">
        <v>21</v>
      </c>
      <c r="E1" s="68" t="s">
        <v>3</v>
      </c>
      <c r="F1" s="60" t="s">
        <v>161</v>
      </c>
      <c r="G1" s="61"/>
      <c r="H1" s="61"/>
      <c r="I1" s="62"/>
      <c r="J1" s="63"/>
      <c r="K1" s="60" t="s">
        <v>162</v>
      </c>
      <c r="L1" s="61"/>
      <c r="M1" s="61"/>
      <c r="N1" s="62"/>
      <c r="O1" s="63"/>
      <c r="P1" s="60" t="s">
        <v>163</v>
      </c>
      <c r="Q1" s="61"/>
      <c r="R1" s="61"/>
      <c r="S1" s="62"/>
      <c r="T1" s="63"/>
      <c r="U1" s="60" t="s">
        <v>164</v>
      </c>
      <c r="V1" s="61"/>
      <c r="W1" s="61"/>
      <c r="X1" s="62"/>
      <c r="Y1" s="63"/>
      <c r="Z1" s="60" t="s">
        <v>6</v>
      </c>
      <c r="AA1" s="70"/>
      <c r="AB1" s="61"/>
      <c r="AC1" s="63"/>
      <c r="AE1" s="60" t="str">
        <f>IF($F$1="","",$F$1)</f>
        <v>高橋英将</v>
      </c>
      <c r="AF1" s="70" t="str">
        <f t="shared" ref="AF1:AY1" si="0">$F$1</f>
        <v>高橋英将</v>
      </c>
      <c r="AG1" s="61" t="str">
        <f t="shared" si="0"/>
        <v>高橋英将</v>
      </c>
      <c r="AH1" s="61" t="str">
        <f t="shared" si="0"/>
        <v>高橋英将</v>
      </c>
      <c r="AI1" s="61" t="str">
        <f t="shared" si="0"/>
        <v>高橋英将</v>
      </c>
      <c r="AJ1" s="61" t="str">
        <f t="shared" si="0"/>
        <v>高橋英将</v>
      </c>
      <c r="AK1" s="61" t="str">
        <f t="shared" si="0"/>
        <v>高橋英将</v>
      </c>
      <c r="AL1" s="61" t="str">
        <f t="shared" si="0"/>
        <v>高橋英将</v>
      </c>
      <c r="AM1" s="61" t="str">
        <f t="shared" si="0"/>
        <v>高橋英将</v>
      </c>
      <c r="AN1" s="61" t="str">
        <f t="shared" si="0"/>
        <v>高橋英将</v>
      </c>
      <c r="AO1" s="61" t="str">
        <f t="shared" si="0"/>
        <v>高橋英将</v>
      </c>
      <c r="AP1" s="61" t="str">
        <f t="shared" si="0"/>
        <v>高橋英将</v>
      </c>
      <c r="AQ1" s="61" t="str">
        <f t="shared" si="0"/>
        <v>高橋英将</v>
      </c>
      <c r="AR1" s="61" t="str">
        <f t="shared" si="0"/>
        <v>高橋英将</v>
      </c>
      <c r="AS1" s="61" t="str">
        <f t="shared" si="0"/>
        <v>高橋英将</v>
      </c>
      <c r="AT1" s="61" t="str">
        <f t="shared" si="0"/>
        <v>高橋英将</v>
      </c>
      <c r="AU1" s="61" t="str">
        <f t="shared" si="0"/>
        <v>高橋英将</v>
      </c>
      <c r="AV1" s="61" t="str">
        <f t="shared" si="0"/>
        <v>高橋英将</v>
      </c>
      <c r="AW1" s="61" t="str">
        <f t="shared" si="0"/>
        <v>高橋英将</v>
      </c>
      <c r="AX1" s="61" t="str">
        <f t="shared" si="0"/>
        <v>高橋英将</v>
      </c>
      <c r="AY1" s="63" t="str">
        <f t="shared" si="0"/>
        <v>高橋英将</v>
      </c>
      <c r="AZ1" s="60" t="str">
        <f>IF($K$1="","",$K$1)</f>
        <v>長野柊馬</v>
      </c>
      <c r="BA1" s="70"/>
      <c r="BB1" s="61"/>
      <c r="BC1" s="61"/>
      <c r="BD1" s="61"/>
      <c r="BE1" s="61"/>
      <c r="BF1" s="61"/>
      <c r="BG1" s="61"/>
      <c r="BH1" s="61"/>
      <c r="BI1" s="61"/>
      <c r="BJ1" s="61"/>
      <c r="BK1" s="61"/>
      <c r="BL1" s="61"/>
      <c r="BM1" s="61"/>
      <c r="BN1" s="61"/>
      <c r="BO1" s="61"/>
      <c r="BP1" s="61"/>
      <c r="BQ1" s="61"/>
      <c r="BR1" s="61"/>
      <c r="BS1" s="61"/>
      <c r="BT1" s="63"/>
      <c r="BU1" s="60" t="str">
        <f>IF($P$1="","",$P$1)</f>
        <v>所附快和</v>
      </c>
      <c r="BV1" s="70"/>
      <c r="BW1" s="61"/>
      <c r="BX1" s="61"/>
      <c r="BY1" s="61"/>
      <c r="BZ1" s="61"/>
      <c r="CA1" s="61"/>
      <c r="CB1" s="61"/>
      <c r="CC1" s="61"/>
      <c r="CD1" s="61"/>
      <c r="CE1" s="61"/>
      <c r="CF1" s="61"/>
      <c r="CG1" s="61"/>
      <c r="CH1" s="61"/>
      <c r="CI1" s="61"/>
      <c r="CJ1" s="61"/>
      <c r="CK1" s="61"/>
      <c r="CL1" s="61"/>
      <c r="CM1" s="61"/>
      <c r="CN1" s="61"/>
      <c r="CO1" s="63"/>
      <c r="CP1" s="60" t="str">
        <f>IF($U$1="","",$U$1)</f>
        <v>清水常緑</v>
      </c>
      <c r="CQ1" s="70"/>
      <c r="CR1" s="61"/>
      <c r="CS1" s="61"/>
      <c r="CT1" s="61"/>
      <c r="CU1" s="61"/>
      <c r="CV1" s="61"/>
      <c r="CW1" s="61"/>
      <c r="CX1" s="61"/>
      <c r="CY1" s="61"/>
      <c r="CZ1" s="61"/>
      <c r="DA1" s="61"/>
      <c r="DB1" s="61"/>
      <c r="DC1" s="61"/>
      <c r="DD1" s="61"/>
      <c r="DE1" s="61"/>
      <c r="DF1" s="61"/>
      <c r="DG1" s="61"/>
      <c r="DH1" s="61"/>
      <c r="DI1" s="61"/>
      <c r="DJ1" s="63"/>
    </row>
    <row r="2" spans="1:114" x14ac:dyDescent="0.55000000000000004">
      <c r="A2" s="65"/>
      <c r="B2" s="67"/>
      <c r="C2" s="67"/>
      <c r="D2" s="67"/>
      <c r="E2" s="69"/>
      <c r="F2" s="1" t="s">
        <v>5</v>
      </c>
      <c r="G2" s="2" t="s">
        <v>8</v>
      </c>
      <c r="H2" s="2" t="s">
        <v>21</v>
      </c>
      <c r="I2" s="2" t="s">
        <v>1</v>
      </c>
      <c r="J2" s="3" t="s">
        <v>4</v>
      </c>
      <c r="K2" s="1" t="s">
        <v>5</v>
      </c>
      <c r="L2" s="2" t="s">
        <v>9</v>
      </c>
      <c r="M2" s="2" t="s">
        <v>21</v>
      </c>
      <c r="N2" s="2" t="s">
        <v>7</v>
      </c>
      <c r="O2" s="3" t="s">
        <v>4</v>
      </c>
      <c r="P2" s="1" t="s">
        <v>5</v>
      </c>
      <c r="Q2" s="2" t="s">
        <v>9</v>
      </c>
      <c r="R2" s="2" t="s">
        <v>21</v>
      </c>
      <c r="S2" s="2" t="s">
        <v>7</v>
      </c>
      <c r="T2" s="3" t="s">
        <v>4</v>
      </c>
      <c r="U2" s="1" t="s">
        <v>5</v>
      </c>
      <c r="V2" s="2" t="s">
        <v>9</v>
      </c>
      <c r="W2" s="2" t="s">
        <v>21</v>
      </c>
      <c r="X2" s="2" t="s">
        <v>7</v>
      </c>
      <c r="Y2" s="3" t="s">
        <v>4</v>
      </c>
      <c r="Z2" s="55" t="str">
        <f>IF($F$1="","",$F$1)</f>
        <v>高橋英将</v>
      </c>
      <c r="AA2" s="56" t="str">
        <f>IF($K$1="","",$K$1)</f>
        <v>長野柊馬</v>
      </c>
      <c r="AB2" s="56" t="str">
        <f>IF($P$1="","",$P$1)</f>
        <v>所附快和</v>
      </c>
      <c r="AC2" s="13" t="str">
        <f>IF($U$1="","",$U$1)</f>
        <v>清水常緑</v>
      </c>
      <c r="AE2" s="51" t="s">
        <v>22</v>
      </c>
      <c r="AF2" s="54" t="s">
        <v>25</v>
      </c>
      <c r="AG2" s="52" t="s">
        <v>23</v>
      </c>
      <c r="AH2" s="52" t="s">
        <v>110</v>
      </c>
      <c r="AI2" s="52" t="s">
        <v>18</v>
      </c>
      <c r="AJ2" s="53" t="s">
        <v>19</v>
      </c>
      <c r="AK2" s="71" t="s">
        <v>20</v>
      </c>
      <c r="AL2" s="71"/>
      <c r="AM2" s="71"/>
      <c r="AN2" s="71"/>
      <c r="AO2" s="71"/>
      <c r="AP2" s="71"/>
      <c r="AQ2" s="71"/>
      <c r="AR2" s="71"/>
      <c r="AS2" s="71"/>
      <c r="AT2" s="71"/>
      <c r="AU2" s="71"/>
      <c r="AV2" s="71"/>
      <c r="AW2" s="71"/>
      <c r="AX2" s="71"/>
      <c r="AY2" s="71"/>
      <c r="AZ2" s="51" t="s">
        <v>22</v>
      </c>
      <c r="BA2" s="54" t="s">
        <v>25</v>
      </c>
      <c r="BB2" s="52" t="s">
        <v>23</v>
      </c>
      <c r="BC2" s="52" t="s">
        <v>111</v>
      </c>
      <c r="BD2" s="52" t="s">
        <v>18</v>
      </c>
      <c r="BE2" s="53" t="s">
        <v>19</v>
      </c>
      <c r="BF2" s="71" t="s">
        <v>20</v>
      </c>
      <c r="BG2" s="71"/>
      <c r="BH2" s="71"/>
      <c r="BI2" s="71"/>
      <c r="BJ2" s="71"/>
      <c r="BK2" s="71"/>
      <c r="BL2" s="71"/>
      <c r="BM2" s="71"/>
      <c r="BN2" s="71"/>
      <c r="BO2" s="71"/>
      <c r="BP2" s="71"/>
      <c r="BQ2" s="71"/>
      <c r="BR2" s="71"/>
      <c r="BS2" s="71"/>
      <c r="BT2" s="71"/>
      <c r="BU2" s="51" t="s">
        <v>22</v>
      </c>
      <c r="BV2" s="54" t="s">
        <v>25</v>
      </c>
      <c r="BW2" s="52" t="s">
        <v>23</v>
      </c>
      <c r="BX2" s="52" t="s">
        <v>111</v>
      </c>
      <c r="BY2" s="52" t="s">
        <v>18</v>
      </c>
      <c r="BZ2" s="53" t="s">
        <v>19</v>
      </c>
      <c r="CA2" s="71" t="s">
        <v>20</v>
      </c>
      <c r="CB2" s="71"/>
      <c r="CC2" s="71"/>
      <c r="CD2" s="71"/>
      <c r="CE2" s="71"/>
      <c r="CF2" s="71"/>
      <c r="CG2" s="71"/>
      <c r="CH2" s="71"/>
      <c r="CI2" s="71"/>
      <c r="CJ2" s="71"/>
      <c r="CK2" s="71"/>
      <c r="CL2" s="71"/>
      <c r="CM2" s="71"/>
      <c r="CN2" s="71"/>
      <c r="CO2" s="71"/>
      <c r="CP2" s="51" t="s">
        <v>22</v>
      </c>
      <c r="CQ2" s="54" t="s">
        <v>25</v>
      </c>
      <c r="CR2" s="52" t="s">
        <v>23</v>
      </c>
      <c r="CS2" s="52" t="s">
        <v>111</v>
      </c>
      <c r="CT2" s="52" t="s">
        <v>18</v>
      </c>
      <c r="CU2" s="53" t="s">
        <v>19</v>
      </c>
      <c r="CV2" s="71" t="s">
        <v>20</v>
      </c>
      <c r="CW2" s="71"/>
      <c r="CX2" s="71"/>
      <c r="CY2" s="71"/>
      <c r="CZ2" s="71"/>
      <c r="DA2" s="71"/>
      <c r="DB2" s="71"/>
      <c r="DC2" s="71"/>
      <c r="DD2" s="71"/>
      <c r="DE2" s="71"/>
      <c r="DF2" s="71"/>
      <c r="DG2" s="71"/>
      <c r="DH2" s="71"/>
      <c r="DI2" s="71"/>
      <c r="DJ2" s="71"/>
    </row>
    <row r="3" spans="1:114" x14ac:dyDescent="0.55000000000000004">
      <c r="A3" s="9"/>
      <c r="B3" s="14"/>
      <c r="C3" s="14"/>
      <c r="D3" s="14"/>
      <c r="E3" s="57"/>
      <c r="F3" s="4"/>
      <c r="G3" s="20"/>
      <c r="H3" s="20"/>
      <c r="I3" s="20"/>
      <c r="J3" s="17">
        <v>25000</v>
      </c>
      <c r="K3" s="4"/>
      <c r="L3" s="20"/>
      <c r="M3" s="20"/>
      <c r="N3" s="20"/>
      <c r="O3" s="17">
        <v>25000</v>
      </c>
      <c r="P3" s="4"/>
      <c r="Q3" s="20"/>
      <c r="R3" s="20"/>
      <c r="S3" s="20"/>
      <c r="T3" s="17">
        <v>25000</v>
      </c>
      <c r="U3" s="4"/>
      <c r="V3" s="20"/>
      <c r="W3" s="20"/>
      <c r="X3" s="20"/>
      <c r="Y3" s="17">
        <v>25000</v>
      </c>
      <c r="Z3" s="42">
        <f>IF($J3="","",ROUND(($J3-30000)/1000,1)+(2.5-_xlfn.RANK.AVG($J3,($J3,$O3,$T3,$Y3)))*20+IF(_xlfn.RANK.EQ($J3,($J3,$O3,$T3,$Y3))=1,20/((_xlfn.RANK.AVG($J3,($J3,$O3,$T3,$Y3))-1)*2+1),0))</f>
        <v>0</v>
      </c>
      <c r="AA3" s="43">
        <f>IF($O3="","",ROUND(($O3-30000)/1000,1)+(2.5-_xlfn.RANK.AVG($O3,($J3,$O3,$T3,$Y3)))*20+IF(_xlfn.RANK.EQ($O3,($J3,$O3,$T3,$Y3))=1,20/((_xlfn.RANK.AVG($O3,($J3,$O3,$T3,$Y3))-1)*2+1),0))</f>
        <v>0</v>
      </c>
      <c r="AB3" s="43">
        <f>IF($T3="","",ROUND(($T3-30000)/1000,1)+(2.5-_xlfn.RANK.AVG($T3,($J3,$O3,$T3,$Y3)))*20+IF(_xlfn.RANK.EQ($T3,($J3,$O3,$T3,$Y3))=1,20/((_xlfn.RANK.AVG($T3,($J3,$O3,$T3,$Y3))-1)*2+1),0))</f>
        <v>0</v>
      </c>
      <c r="AC3" s="44">
        <f>IF($Y3="","",ROUND(($Y3-30000)/1000,1)+(2.5-_xlfn.RANK.AVG($Y3,($J3,$O3,$T3,$Y3)))*20+IF(_xlfn.RANK.EQ($Y3,($J3,$O3,$T3,$Y3))=1,20/((_xlfn.RANK.AVG($Y3,($J3,$O3,$T3,$Y3))-1)*2+1),0))</f>
        <v>0</v>
      </c>
      <c r="AE3" s="4"/>
      <c r="AF3" s="29"/>
      <c r="AG3" s="25"/>
      <c r="AH3" s="25"/>
      <c r="AI3" s="25"/>
      <c r="AJ3" s="26"/>
      <c r="AK3" s="33"/>
      <c r="AL3" s="34"/>
      <c r="AM3" s="34"/>
      <c r="AN3" s="34"/>
      <c r="AO3" s="34"/>
      <c r="AP3" s="34"/>
      <c r="AQ3" s="34"/>
      <c r="AR3" s="34"/>
      <c r="AS3" s="34"/>
      <c r="AT3" s="34"/>
      <c r="AU3" s="34"/>
      <c r="AV3" s="34"/>
      <c r="AW3" s="34"/>
      <c r="AX3" s="34"/>
      <c r="AY3" s="35"/>
      <c r="AZ3" s="4"/>
      <c r="BA3" s="29"/>
      <c r="BB3" s="25"/>
      <c r="BC3" s="25"/>
      <c r="BD3" s="25"/>
      <c r="BE3" s="26"/>
      <c r="BF3" s="33"/>
      <c r="BG3" s="34"/>
      <c r="BH3" s="34"/>
      <c r="BI3" s="34"/>
      <c r="BJ3" s="34"/>
      <c r="BK3" s="34"/>
      <c r="BL3" s="34"/>
      <c r="BM3" s="34"/>
      <c r="BN3" s="34"/>
      <c r="BO3" s="34"/>
      <c r="BP3" s="34"/>
      <c r="BQ3" s="34"/>
      <c r="BR3" s="34"/>
      <c r="BS3" s="34"/>
      <c r="BT3" s="35"/>
      <c r="BU3" s="4"/>
      <c r="BV3" s="29"/>
      <c r="BW3" s="25"/>
      <c r="BX3" s="25"/>
      <c r="BY3" s="25"/>
      <c r="BZ3" s="26"/>
      <c r="CA3" s="33"/>
      <c r="CB3" s="34"/>
      <c r="CC3" s="34"/>
      <c r="CD3" s="34"/>
      <c r="CE3" s="34"/>
      <c r="CF3" s="34"/>
      <c r="CG3" s="34"/>
      <c r="CH3" s="34"/>
      <c r="CI3" s="34"/>
      <c r="CJ3" s="34"/>
      <c r="CK3" s="34"/>
      <c r="CL3" s="34"/>
      <c r="CM3" s="34"/>
      <c r="CN3" s="34"/>
      <c r="CO3" s="35"/>
      <c r="CP3" s="4"/>
      <c r="CQ3" s="29"/>
      <c r="CR3" s="25"/>
      <c r="CS3" s="25"/>
      <c r="CT3" s="25"/>
      <c r="CU3" s="26"/>
      <c r="CV3" s="33"/>
      <c r="CW3" s="34"/>
      <c r="CX3" s="34"/>
      <c r="CY3" s="34"/>
      <c r="CZ3" s="34"/>
      <c r="DA3" s="34"/>
      <c r="DB3" s="34"/>
      <c r="DC3" s="34"/>
      <c r="DD3" s="34"/>
      <c r="DE3" s="34"/>
      <c r="DF3" s="34"/>
      <c r="DG3" s="34"/>
      <c r="DH3" s="34"/>
      <c r="DI3" s="34"/>
      <c r="DJ3" s="35"/>
    </row>
    <row r="4" spans="1:114" x14ac:dyDescent="0.55000000000000004">
      <c r="A4" s="10" t="s">
        <v>116</v>
      </c>
      <c r="B4" s="15">
        <v>1</v>
      </c>
      <c r="C4" s="15">
        <v>0</v>
      </c>
      <c r="D4" s="15">
        <v>0</v>
      </c>
      <c r="E4" s="58" t="str">
        <f>IF($F$1="","",$F$1)</f>
        <v>高橋英将</v>
      </c>
      <c r="F4" s="5" t="s">
        <v>165</v>
      </c>
      <c r="G4" s="6">
        <v>18000</v>
      </c>
      <c r="H4" s="6"/>
      <c r="I4" s="6">
        <v>0</v>
      </c>
      <c r="J4" s="18">
        <f>IF(COUNTA($F4,$K4,$P4,$U4)&gt;0,J3+SUM(G4:I4),"")</f>
        <v>43000</v>
      </c>
      <c r="K4" s="5" t="s">
        <v>166</v>
      </c>
      <c r="L4" s="6">
        <v>-6000</v>
      </c>
      <c r="M4" s="6"/>
      <c r="N4" s="6">
        <v>0</v>
      </c>
      <c r="O4" s="18">
        <f>IF(COUNTA($F4,$K4,$P4,$U4)&gt;0,O3+SUM(L4:N4),"")</f>
        <v>19000</v>
      </c>
      <c r="P4" s="5" t="s">
        <v>166</v>
      </c>
      <c r="Q4" s="6">
        <v>-6000</v>
      </c>
      <c r="R4" s="6"/>
      <c r="S4" s="6">
        <v>0</v>
      </c>
      <c r="T4" s="18">
        <f>IF(COUNTA($F4,$K4,$P4,$U4)&gt;0,T3+SUM(Q4:S4),"")</f>
        <v>19000</v>
      </c>
      <c r="U4" s="5" t="s">
        <v>166</v>
      </c>
      <c r="V4" s="6">
        <v>-6000</v>
      </c>
      <c r="W4" s="6"/>
      <c r="X4" s="6">
        <v>0</v>
      </c>
      <c r="Y4" s="18">
        <f>IF(COUNTA($F4,$K4,$P4,$U4)&gt;0,Y3+SUM(V4:X4),"")</f>
        <v>19000</v>
      </c>
      <c r="Z4" s="45">
        <f>IF($J4="","",ROUND(($J4-30000)/1000,1)+(2.5-_xlfn.RANK.AVG($J4,($J4,$O4,$T4,$Y4)))*20+IF(_xlfn.RANK.EQ($J4,($J4,$O4,$T4,$Y4))=1,20/((_xlfn.RANK.AVG($J4,($J4,$O4,$T4,$Y4))-1)*2+1),0))</f>
        <v>63</v>
      </c>
      <c r="AA4" s="46">
        <f>IF($O4="","",ROUND(($O4-30000)/1000,1)+(2.5-_xlfn.RANK.AVG($O4,($J4,$O4,$T4,$Y4)))*20+IF(_xlfn.RANK.EQ($O4,($J4,$O4,$T4,$Y4))=1,20/((_xlfn.RANK.AVG($O4,($J4,$O4,$T4,$Y4))-1)*2+1),0))</f>
        <v>-21</v>
      </c>
      <c r="AB4" s="46">
        <f>IF($T4="","",ROUND(($T4-30000)/1000,1)+(2.5-_xlfn.RANK.AVG($T4,($J4,$O4,$T4,$Y4)))*20+IF(_xlfn.RANK.EQ($T4,($J4,$O4,$T4,$Y4))=1,20/((_xlfn.RANK.AVG($T4,($J4,$O4,$T4,$Y4))-1)*2+1),0))</f>
        <v>-21</v>
      </c>
      <c r="AC4" s="47">
        <f>IF($Y4="","",ROUND(($Y4-30000)/1000,1)+(2.5-_xlfn.RANK.AVG($Y4,($J4,$O4,$T4,$Y4)))*20+IF(_xlfn.RANK.EQ($Y4,($J4,$O4,$T4,$Y4))=1,20/((_xlfn.RANK.AVG($Y4,($J4,$O4,$T4,$Y4))-1)*2+1),0))</f>
        <v>-21</v>
      </c>
      <c r="AE4" s="5"/>
      <c r="AF4" s="30"/>
      <c r="AG4" s="23">
        <v>1</v>
      </c>
      <c r="AH4" s="23"/>
      <c r="AI4" s="23">
        <v>6</v>
      </c>
      <c r="AJ4" s="27" t="s">
        <v>167</v>
      </c>
      <c r="AK4" s="36" t="s">
        <v>168</v>
      </c>
      <c r="AL4" s="37" t="s">
        <v>73</v>
      </c>
      <c r="AM4" s="37" t="s">
        <v>74</v>
      </c>
      <c r="AN4" s="37" t="s">
        <v>169</v>
      </c>
      <c r="AO4" s="37" t="s">
        <v>71</v>
      </c>
      <c r="AP4" s="37" t="s">
        <v>71</v>
      </c>
      <c r="AQ4" s="37"/>
      <c r="AR4" s="37"/>
      <c r="AS4" s="37"/>
      <c r="AT4" s="37"/>
      <c r="AU4" s="37"/>
      <c r="AV4" s="37"/>
      <c r="AW4" s="37"/>
      <c r="AX4" s="37"/>
      <c r="AY4" s="38"/>
      <c r="AZ4" s="5"/>
      <c r="BA4" s="30"/>
      <c r="BB4" s="23"/>
      <c r="BC4" s="23">
        <v>1</v>
      </c>
      <c r="BD4" s="23"/>
      <c r="BE4" s="27"/>
      <c r="BF4" s="36"/>
      <c r="BG4" s="37"/>
      <c r="BH4" s="37"/>
      <c r="BI4" s="37"/>
      <c r="BJ4" s="37"/>
      <c r="BK4" s="37"/>
      <c r="BL4" s="37"/>
      <c r="BM4" s="37"/>
      <c r="BN4" s="37"/>
      <c r="BO4" s="37"/>
      <c r="BP4" s="37"/>
      <c r="BQ4" s="37"/>
      <c r="BR4" s="37"/>
      <c r="BS4" s="37"/>
      <c r="BT4" s="38"/>
      <c r="BU4" s="5"/>
      <c r="BV4" s="30"/>
      <c r="BW4" s="23"/>
      <c r="BX4" s="23"/>
      <c r="BY4" s="23"/>
      <c r="BZ4" s="27"/>
      <c r="CA4" s="36"/>
      <c r="CB4" s="37"/>
      <c r="CC4" s="37"/>
      <c r="CD4" s="37"/>
      <c r="CE4" s="37"/>
      <c r="CF4" s="37"/>
      <c r="CG4" s="37"/>
      <c r="CH4" s="37"/>
      <c r="CI4" s="37"/>
      <c r="CJ4" s="37"/>
      <c r="CK4" s="37"/>
      <c r="CL4" s="37"/>
      <c r="CM4" s="37"/>
      <c r="CN4" s="37"/>
      <c r="CO4" s="38"/>
      <c r="CP4" s="5"/>
      <c r="CQ4" s="30"/>
      <c r="CR4" s="23"/>
      <c r="CS4" s="23">
        <v>1</v>
      </c>
      <c r="CT4" s="23"/>
      <c r="CU4" s="27"/>
      <c r="CV4" s="36"/>
      <c r="CW4" s="37"/>
      <c r="CX4" s="37"/>
      <c r="CY4" s="37"/>
      <c r="CZ4" s="37"/>
      <c r="DA4" s="37"/>
      <c r="DB4" s="37"/>
      <c r="DC4" s="37"/>
      <c r="DD4" s="37"/>
      <c r="DE4" s="37"/>
      <c r="DF4" s="37"/>
      <c r="DG4" s="37"/>
      <c r="DH4" s="37"/>
      <c r="DI4" s="37"/>
      <c r="DJ4" s="38"/>
    </row>
    <row r="5" spans="1:114" x14ac:dyDescent="0.55000000000000004">
      <c r="A5" s="10" t="str">
        <f t="shared" ref="A5:A9" si="1">IF($E5="","",IF(AND(B4=4,B5=1),_xlfn.SWITCH(A4,"東","南","南","西","西","北","北","東"),A4))</f>
        <v>東</v>
      </c>
      <c r="B5" s="15">
        <f>IF($E5="","",IF($E4=$E5,B4,IF(B4=4,1,B4+1)))</f>
        <v>1</v>
      </c>
      <c r="C5" s="15">
        <f>IF($E5="","",IF($F4="チョンボ",C4,IF(OR($E4=$E5,$F4="流局"),C4+1,0)))</f>
        <v>1</v>
      </c>
      <c r="D5" s="15">
        <f>IF($E5="","",IF(OR($F4="流局",$F4="チョンボ"),D4+($H4+$M4+$R4+$W4)/-1000,0))</f>
        <v>0</v>
      </c>
      <c r="E5" s="58" t="str">
        <f>IF($F$1="","",$F$1)</f>
        <v>高橋英将</v>
      </c>
      <c r="F5" s="5"/>
      <c r="G5" s="6"/>
      <c r="H5" s="6"/>
      <c r="I5" s="6"/>
      <c r="J5" s="18">
        <f t="shared" ref="J5:J30" si="2">IF(COUNTA($F5,$K5,$P5,$U5)&gt;0,J4+SUM(G5:I5),"")</f>
        <v>43000</v>
      </c>
      <c r="K5" s="5" t="s">
        <v>170</v>
      </c>
      <c r="L5" s="6">
        <v>3900</v>
      </c>
      <c r="M5" s="6">
        <v>2000</v>
      </c>
      <c r="N5" s="6">
        <v>300</v>
      </c>
      <c r="O5" s="18">
        <f>IF(COUNTA($F5,$K5,$P5,$U5)&gt;0,O4+SUM(L5:N5),"")</f>
        <v>25200</v>
      </c>
      <c r="P5" s="5" t="s">
        <v>171</v>
      </c>
      <c r="Q5" s="6">
        <v>-3900</v>
      </c>
      <c r="R5" s="6">
        <v>-1000</v>
      </c>
      <c r="S5" s="6">
        <v>-300</v>
      </c>
      <c r="T5" s="18">
        <f t="shared" ref="T5:T30" si="3">IF(COUNTA($F5,$K5,$P5,$U5)&gt;0,T4+SUM(Q5:S5),"")</f>
        <v>13800</v>
      </c>
      <c r="U5" s="5"/>
      <c r="V5" s="6"/>
      <c r="W5" s="6">
        <v>-1000</v>
      </c>
      <c r="X5" s="6"/>
      <c r="Y5" s="18">
        <f t="shared" ref="Y5:Y30" si="4">IF(COUNTA($F5,$K5,$P5,$U5)&gt;0,Y4+SUM(V5:X5),"")</f>
        <v>18000</v>
      </c>
      <c r="Z5" s="45">
        <f>IF($J5="","",ROUND(($J5-30000)/1000,1)+(2.5-_xlfn.RANK.AVG($J5,($J5,$O5,$T5,$Y5)))*20+IF(_xlfn.RANK.EQ($J5,($J5,$O5,$T5,$Y5))=1,20/((_xlfn.RANK.AVG($J5,($J5,$O5,$T5,$Y5))-1)*2+1),0))</f>
        <v>63</v>
      </c>
      <c r="AA5" s="46">
        <f>IF($O5="","",ROUND(($O5-30000)/1000,1)+(2.5-_xlfn.RANK.AVG($O5,($J5,$O5,$T5,$Y5)))*20+IF(_xlfn.RANK.EQ($O5,($J5,$O5,$T5,$Y5))=1,20/((_xlfn.RANK.AVG($O5,($J5,$O5,$T5,$Y5))-1)*2+1),0))</f>
        <v>5.2</v>
      </c>
      <c r="AB5" s="46">
        <f>IF($T5="","",ROUND(($T5-30000)/1000,1)+(2.5-_xlfn.RANK.AVG($T5,($J5,$O5,$T5,$Y5)))*20+IF(_xlfn.RANK.EQ($T5,($J5,$O5,$T5,$Y5))=1,20/((_xlfn.RANK.AVG($T5,($J5,$O5,$T5,$Y5))-1)*2+1),0))</f>
        <v>-46.2</v>
      </c>
      <c r="AC5" s="47">
        <f>IF($Y5="","",ROUND(($Y5-30000)/1000,1)+(2.5-_xlfn.RANK.AVG($Y5,($J5,$O5,$T5,$Y5)))*20+IF(_xlfn.RANK.EQ($Y5,($J5,$O5,$T5,$Y5))=1,20/((_xlfn.RANK.AVG($Y5,($J5,$O5,$T5,$Y5))-1)*2+1),0))</f>
        <v>-22</v>
      </c>
      <c r="AE5" s="5"/>
      <c r="AF5" s="30"/>
      <c r="AG5" s="23"/>
      <c r="AH5" s="23"/>
      <c r="AI5" s="23"/>
      <c r="AJ5" s="27"/>
      <c r="AK5" s="36"/>
      <c r="AL5" s="37"/>
      <c r="AM5" s="37"/>
      <c r="AN5" s="37"/>
      <c r="AO5" s="37"/>
      <c r="AP5" s="37"/>
      <c r="AQ5" s="37"/>
      <c r="AR5" s="37"/>
      <c r="AS5" s="37"/>
      <c r="AT5" s="37"/>
      <c r="AU5" s="37"/>
      <c r="AV5" s="37"/>
      <c r="AW5" s="37"/>
      <c r="AX5" s="37"/>
      <c r="AY5" s="38"/>
      <c r="AZ5" s="5"/>
      <c r="BA5" s="30"/>
      <c r="BB5" s="23"/>
      <c r="BC5" s="23">
        <v>1</v>
      </c>
      <c r="BD5" s="23">
        <v>3</v>
      </c>
      <c r="BE5" s="27">
        <v>30</v>
      </c>
      <c r="BF5" s="36" t="s">
        <v>77</v>
      </c>
      <c r="BG5" s="37" t="s">
        <v>169</v>
      </c>
      <c r="BH5" s="37" t="s">
        <v>70</v>
      </c>
      <c r="BI5" s="37"/>
      <c r="BJ5" s="37"/>
      <c r="BK5" s="37"/>
      <c r="BL5" s="37"/>
      <c r="BM5" s="37"/>
      <c r="BN5" s="37"/>
      <c r="BO5" s="37"/>
      <c r="BP5" s="37"/>
      <c r="BQ5" s="37"/>
      <c r="BR5" s="37"/>
      <c r="BS5" s="37"/>
      <c r="BT5" s="38"/>
      <c r="BU5" s="5"/>
      <c r="BV5" s="30"/>
      <c r="BW5" s="23">
        <v>1</v>
      </c>
      <c r="BX5" s="23"/>
      <c r="BY5" s="23"/>
      <c r="BZ5" s="27"/>
      <c r="CA5" s="36"/>
      <c r="CB5" s="37"/>
      <c r="CC5" s="37"/>
      <c r="CD5" s="37"/>
      <c r="CE5" s="37"/>
      <c r="CF5" s="37"/>
      <c r="CG5" s="37"/>
      <c r="CH5" s="37"/>
      <c r="CI5" s="37"/>
      <c r="CJ5" s="37"/>
      <c r="CK5" s="37"/>
      <c r="CL5" s="37"/>
      <c r="CM5" s="37"/>
      <c r="CN5" s="37"/>
      <c r="CO5" s="38"/>
      <c r="CP5" s="5"/>
      <c r="CQ5" s="30"/>
      <c r="CR5" s="23">
        <v>1</v>
      </c>
      <c r="CS5" s="23"/>
      <c r="CT5" s="23"/>
      <c r="CU5" s="27"/>
      <c r="CV5" s="36"/>
      <c r="CW5" s="37"/>
      <c r="CX5" s="37"/>
      <c r="CY5" s="37"/>
      <c r="CZ5" s="37"/>
      <c r="DA5" s="37"/>
      <c r="DB5" s="37"/>
      <c r="DC5" s="37"/>
      <c r="DD5" s="37"/>
      <c r="DE5" s="37"/>
      <c r="DF5" s="37"/>
      <c r="DG5" s="37"/>
      <c r="DH5" s="37"/>
      <c r="DI5" s="37"/>
      <c r="DJ5" s="38"/>
    </row>
    <row r="6" spans="1:114" x14ac:dyDescent="0.55000000000000004">
      <c r="A6" s="10" t="str">
        <f t="shared" si="1"/>
        <v>東</v>
      </c>
      <c r="B6" s="15">
        <f t="shared" ref="B6:B30" si="5">IF($E6="","",IF($E5=$E6,B5,IF(B5=4,1,B5+1)))</f>
        <v>2</v>
      </c>
      <c r="C6" s="15">
        <f t="shared" ref="C6:C30" si="6">IF($E6="","",IF($F5="チョンボ",C5,IF(OR($E5=$E6,$F5="流局"),C5+1,0)))</f>
        <v>0</v>
      </c>
      <c r="D6" s="15">
        <f t="shared" ref="D6:D30" si="7">IF($E6="","",IF(OR($F5="流局",$F5="チョンボ"),D5+($H5+$M5+$R5+$W5)/-1000,0))</f>
        <v>0</v>
      </c>
      <c r="E6" s="58" t="str">
        <f>IF($K$1="","",$K$1)</f>
        <v>長野柊馬</v>
      </c>
      <c r="F6" s="5" t="s">
        <v>166</v>
      </c>
      <c r="G6" s="6">
        <v>-6000</v>
      </c>
      <c r="H6" s="6"/>
      <c r="I6" s="6">
        <v>0</v>
      </c>
      <c r="J6" s="18">
        <f t="shared" si="2"/>
        <v>37000</v>
      </c>
      <c r="K6" s="5" t="s">
        <v>165</v>
      </c>
      <c r="L6" s="6">
        <v>18000</v>
      </c>
      <c r="M6" s="6"/>
      <c r="N6" s="6">
        <v>0</v>
      </c>
      <c r="O6" s="18">
        <f t="shared" ref="O6:O30" si="8">IF(COUNTA($F6,$K6,$P6,$U6)&gt;0,O5+SUM(L6:N6),"")</f>
        <v>43200</v>
      </c>
      <c r="P6" s="5" t="s">
        <v>166</v>
      </c>
      <c r="Q6" s="6">
        <v>-6000</v>
      </c>
      <c r="R6" s="6"/>
      <c r="S6" s="6">
        <v>0</v>
      </c>
      <c r="T6" s="18">
        <f t="shared" si="3"/>
        <v>7800</v>
      </c>
      <c r="U6" s="5" t="s">
        <v>166</v>
      </c>
      <c r="V6" s="6">
        <v>-6000</v>
      </c>
      <c r="W6" s="6"/>
      <c r="X6" s="6">
        <v>0</v>
      </c>
      <c r="Y6" s="18">
        <f t="shared" si="4"/>
        <v>12000</v>
      </c>
      <c r="Z6" s="45">
        <f>IF($J6="","",ROUND(($J6-30000)/1000,1)+(2.5-_xlfn.RANK.AVG($J6,($J6,$O6,$T6,$Y6)))*20+IF(_xlfn.RANK.EQ($J6,($J6,$O6,$T6,$Y6))=1,20/((_xlfn.RANK.AVG($J6,($J6,$O6,$T6,$Y6))-1)*2+1),0))</f>
        <v>17</v>
      </c>
      <c r="AA6" s="46">
        <f>IF($O6="","",ROUND(($O6-30000)/1000,1)+(2.5-_xlfn.RANK.AVG($O6,($J6,$O6,$T6,$Y6)))*20+IF(_xlfn.RANK.EQ($O6,($J6,$O6,$T6,$Y6))=1,20/((_xlfn.RANK.AVG($O6,($J6,$O6,$T6,$Y6))-1)*2+1),0))</f>
        <v>63.2</v>
      </c>
      <c r="AB6" s="46">
        <f>IF($T6="","",ROUND(($T6-30000)/1000,1)+(2.5-_xlfn.RANK.AVG($T6,($J6,$O6,$T6,$Y6)))*20+IF(_xlfn.RANK.EQ($T6,($J6,$O6,$T6,$Y6))=1,20/((_xlfn.RANK.AVG($T6,($J6,$O6,$T6,$Y6))-1)*2+1),0))</f>
        <v>-52.2</v>
      </c>
      <c r="AC6" s="47">
        <f>IF($Y6="","",ROUND(($Y6-30000)/1000,1)+(2.5-_xlfn.RANK.AVG($Y6,($J6,$O6,$T6,$Y6)))*20+IF(_xlfn.RANK.EQ($Y6,($J6,$O6,$T6,$Y6))=1,20/((_xlfn.RANK.AVG($Y6,($J6,$O6,$T6,$Y6))-1)*2+1),0))</f>
        <v>-28</v>
      </c>
      <c r="AE6" s="5"/>
      <c r="AF6" s="30"/>
      <c r="AG6" s="23"/>
      <c r="AH6" s="23"/>
      <c r="AI6" s="23"/>
      <c r="AJ6" s="27"/>
      <c r="AK6" s="36"/>
      <c r="AL6" s="37"/>
      <c r="AM6" s="37"/>
      <c r="AN6" s="37"/>
      <c r="AO6" s="37"/>
      <c r="AP6" s="37"/>
      <c r="AQ6" s="37"/>
      <c r="AR6" s="37"/>
      <c r="AS6" s="37"/>
      <c r="AT6" s="37"/>
      <c r="AU6" s="37"/>
      <c r="AV6" s="37"/>
      <c r="AW6" s="37"/>
      <c r="AX6" s="37"/>
      <c r="AY6" s="38"/>
      <c r="AZ6" s="5"/>
      <c r="BA6" s="30"/>
      <c r="BB6" s="23">
        <v>1</v>
      </c>
      <c r="BC6" s="23"/>
      <c r="BD6" s="23">
        <v>7</v>
      </c>
      <c r="BE6" s="27" t="s">
        <v>167</v>
      </c>
      <c r="BF6" s="36" t="s">
        <v>168</v>
      </c>
      <c r="BG6" s="37" t="s">
        <v>73</v>
      </c>
      <c r="BH6" s="37" t="s">
        <v>76</v>
      </c>
      <c r="BI6" s="37" t="s">
        <v>169</v>
      </c>
      <c r="BJ6" s="37" t="s">
        <v>169</v>
      </c>
      <c r="BK6" s="37" t="s">
        <v>71</v>
      </c>
      <c r="BL6" s="37" t="s">
        <v>71</v>
      </c>
      <c r="BM6" s="37"/>
      <c r="BN6" s="37"/>
      <c r="BO6" s="37"/>
      <c r="BP6" s="37"/>
      <c r="BQ6" s="37"/>
      <c r="BR6" s="37"/>
      <c r="BS6" s="37"/>
      <c r="BT6" s="38"/>
      <c r="BU6" s="5"/>
      <c r="BV6" s="30"/>
      <c r="BW6" s="23"/>
      <c r="BX6" s="23"/>
      <c r="BY6" s="23"/>
      <c r="BZ6" s="27"/>
      <c r="CA6" s="36"/>
      <c r="CB6" s="37"/>
      <c r="CC6" s="37"/>
      <c r="CD6" s="37"/>
      <c r="CE6" s="37"/>
      <c r="CF6" s="37"/>
      <c r="CG6" s="37"/>
      <c r="CH6" s="37"/>
      <c r="CI6" s="37"/>
      <c r="CJ6" s="37"/>
      <c r="CK6" s="37"/>
      <c r="CL6" s="37"/>
      <c r="CM6" s="37"/>
      <c r="CN6" s="37"/>
      <c r="CO6" s="38"/>
      <c r="CP6" s="5"/>
      <c r="CQ6" s="30"/>
      <c r="CR6" s="23"/>
      <c r="CS6" s="23">
        <v>1</v>
      </c>
      <c r="CT6" s="23"/>
      <c r="CU6" s="27"/>
      <c r="CV6" s="36"/>
      <c r="CW6" s="37"/>
      <c r="CX6" s="37"/>
      <c r="CY6" s="37"/>
      <c r="CZ6" s="37"/>
      <c r="DA6" s="37"/>
      <c r="DB6" s="37"/>
      <c r="DC6" s="37"/>
      <c r="DD6" s="37"/>
      <c r="DE6" s="37"/>
      <c r="DF6" s="37"/>
      <c r="DG6" s="37"/>
      <c r="DH6" s="37"/>
      <c r="DI6" s="37"/>
      <c r="DJ6" s="38"/>
    </row>
    <row r="7" spans="1:114" x14ac:dyDescent="0.55000000000000004">
      <c r="A7" s="10" t="str">
        <f t="shared" si="1"/>
        <v>東</v>
      </c>
      <c r="B7" s="15">
        <f t="shared" si="5"/>
        <v>2</v>
      </c>
      <c r="C7" s="15">
        <f t="shared" si="6"/>
        <v>1</v>
      </c>
      <c r="D7" s="15">
        <f t="shared" si="7"/>
        <v>0</v>
      </c>
      <c r="E7" s="58" t="str">
        <f>IF($K$1="","",$K$1)</f>
        <v>長野柊馬</v>
      </c>
      <c r="F7" s="5" t="s">
        <v>170</v>
      </c>
      <c r="G7" s="6">
        <v>8000</v>
      </c>
      <c r="H7" s="6"/>
      <c r="I7" s="6">
        <v>300</v>
      </c>
      <c r="J7" s="18">
        <f t="shared" si="2"/>
        <v>45300</v>
      </c>
      <c r="K7" s="5"/>
      <c r="L7" s="6"/>
      <c r="M7" s="6"/>
      <c r="N7" s="6"/>
      <c r="O7" s="18">
        <f t="shared" si="8"/>
        <v>43200</v>
      </c>
      <c r="P7" s="5"/>
      <c r="Q7" s="6"/>
      <c r="R7" s="6"/>
      <c r="S7" s="6"/>
      <c r="T7" s="18">
        <f t="shared" si="3"/>
        <v>7800</v>
      </c>
      <c r="U7" s="5" t="s">
        <v>171</v>
      </c>
      <c r="V7" s="6">
        <v>-8000</v>
      </c>
      <c r="W7" s="6"/>
      <c r="X7" s="6">
        <v>-300</v>
      </c>
      <c r="Y7" s="18">
        <f t="shared" si="4"/>
        <v>3700</v>
      </c>
      <c r="Z7" s="45">
        <f>IF($J7="","",ROUND(($J7-30000)/1000,1)+(2.5-_xlfn.RANK.AVG($J7,($J7,$O7,$T7,$Y7)))*20+IF(_xlfn.RANK.EQ($J7,($J7,$O7,$T7,$Y7))=1,20/((_xlfn.RANK.AVG($J7,($J7,$O7,$T7,$Y7))-1)*2+1),0))</f>
        <v>65.3</v>
      </c>
      <c r="AA7" s="46">
        <f>IF($O7="","",ROUND(($O7-30000)/1000,1)+(2.5-_xlfn.RANK.AVG($O7,($J7,$O7,$T7,$Y7)))*20+IF(_xlfn.RANK.EQ($O7,($J7,$O7,$T7,$Y7))=1,20/((_xlfn.RANK.AVG($O7,($J7,$O7,$T7,$Y7))-1)*2+1),0))</f>
        <v>23.2</v>
      </c>
      <c r="AB7" s="46">
        <f>IF($T7="","",ROUND(($T7-30000)/1000,1)+(2.5-_xlfn.RANK.AVG($T7,($J7,$O7,$T7,$Y7)))*20+IF(_xlfn.RANK.EQ($T7,($J7,$O7,$T7,$Y7))=1,20/((_xlfn.RANK.AVG($T7,($J7,$O7,$T7,$Y7))-1)*2+1),0))</f>
        <v>-32.200000000000003</v>
      </c>
      <c r="AC7" s="47">
        <f>IF($Y7="","",ROUND(($Y7-30000)/1000,1)+(2.5-_xlfn.RANK.AVG($Y7,($J7,$O7,$T7,$Y7)))*20+IF(_xlfn.RANK.EQ($Y7,($J7,$O7,$T7,$Y7))=1,20/((_xlfn.RANK.AVG($Y7,($J7,$O7,$T7,$Y7))-1)*2+1),0))</f>
        <v>-56.3</v>
      </c>
      <c r="AE7" s="5"/>
      <c r="AF7" s="30"/>
      <c r="AG7" s="23">
        <v>1</v>
      </c>
      <c r="AH7" s="23"/>
      <c r="AI7" s="23">
        <v>5</v>
      </c>
      <c r="AJ7" s="27" t="s">
        <v>167</v>
      </c>
      <c r="AK7" s="36" t="s">
        <v>168</v>
      </c>
      <c r="AL7" s="37" t="s">
        <v>74</v>
      </c>
      <c r="AM7" s="37" t="s">
        <v>76</v>
      </c>
      <c r="AN7" s="37" t="s">
        <v>75</v>
      </c>
      <c r="AO7" s="37" t="s">
        <v>70</v>
      </c>
      <c r="AP7" s="37"/>
      <c r="AQ7" s="37"/>
      <c r="AR7" s="37"/>
      <c r="AS7" s="37"/>
      <c r="AT7" s="37"/>
      <c r="AU7" s="37"/>
      <c r="AV7" s="37"/>
      <c r="AW7" s="37"/>
      <c r="AX7" s="37"/>
      <c r="AY7" s="38"/>
      <c r="AZ7" s="5"/>
      <c r="BA7" s="30"/>
      <c r="BB7" s="23"/>
      <c r="BC7" s="23"/>
      <c r="BD7" s="23"/>
      <c r="BE7" s="27"/>
      <c r="BF7" s="36"/>
      <c r="BG7" s="37"/>
      <c r="BH7" s="37"/>
      <c r="BI7" s="37"/>
      <c r="BJ7" s="37"/>
      <c r="BK7" s="37"/>
      <c r="BL7" s="37"/>
      <c r="BM7" s="37"/>
      <c r="BN7" s="37"/>
      <c r="BO7" s="37"/>
      <c r="BP7" s="37"/>
      <c r="BQ7" s="37"/>
      <c r="BR7" s="37"/>
      <c r="BS7" s="37"/>
      <c r="BT7" s="38"/>
      <c r="BU7" s="5"/>
      <c r="BV7" s="30"/>
      <c r="BW7" s="23"/>
      <c r="BX7" s="23"/>
      <c r="BY7" s="23"/>
      <c r="BZ7" s="27"/>
      <c r="CA7" s="36"/>
      <c r="CB7" s="37"/>
      <c r="CC7" s="37"/>
      <c r="CD7" s="37"/>
      <c r="CE7" s="37"/>
      <c r="CF7" s="37"/>
      <c r="CG7" s="37"/>
      <c r="CH7" s="37"/>
      <c r="CI7" s="37"/>
      <c r="CJ7" s="37"/>
      <c r="CK7" s="37"/>
      <c r="CL7" s="37"/>
      <c r="CM7" s="37"/>
      <c r="CN7" s="37"/>
      <c r="CO7" s="38"/>
      <c r="CP7" s="5"/>
      <c r="CQ7" s="30"/>
      <c r="CR7" s="23"/>
      <c r="CS7" s="23"/>
      <c r="CT7" s="23"/>
      <c r="CU7" s="27"/>
      <c r="CV7" s="36"/>
      <c r="CW7" s="37"/>
      <c r="CX7" s="37"/>
      <c r="CY7" s="37"/>
      <c r="CZ7" s="37"/>
      <c r="DA7" s="37"/>
      <c r="DB7" s="37"/>
      <c r="DC7" s="37"/>
      <c r="DD7" s="37"/>
      <c r="DE7" s="37"/>
      <c r="DF7" s="37"/>
      <c r="DG7" s="37"/>
      <c r="DH7" s="37"/>
      <c r="DI7" s="37"/>
      <c r="DJ7" s="38"/>
    </row>
    <row r="8" spans="1:114" x14ac:dyDescent="0.55000000000000004">
      <c r="A8" s="10" t="str">
        <f t="shared" si="1"/>
        <v>東</v>
      </c>
      <c r="B8" s="15">
        <f t="shared" si="5"/>
        <v>3</v>
      </c>
      <c r="C8" s="15">
        <f t="shared" si="6"/>
        <v>0</v>
      </c>
      <c r="D8" s="15">
        <f>IF($E8="","",IF(OR($F7="流局",$F7="チョンボ"),D7+($H7+$M7+$R7+$W7)/-1000,0))</f>
        <v>0</v>
      </c>
      <c r="E8" s="58" t="str">
        <f>IF($P$1="","",$P$1)</f>
        <v>所附快和</v>
      </c>
      <c r="F8" s="5" t="s">
        <v>174</v>
      </c>
      <c r="G8" s="6">
        <v>-1500</v>
      </c>
      <c r="H8" s="6"/>
      <c r="I8" s="6"/>
      <c r="J8" s="18">
        <f t="shared" si="2"/>
        <v>43800</v>
      </c>
      <c r="K8" s="5" t="s">
        <v>174</v>
      </c>
      <c r="L8" s="6">
        <v>1500</v>
      </c>
      <c r="M8" s="6"/>
      <c r="N8" s="6"/>
      <c r="O8" s="18">
        <f t="shared" si="8"/>
        <v>44700</v>
      </c>
      <c r="P8" s="5" t="s">
        <v>174</v>
      </c>
      <c r="Q8" s="6">
        <v>1500</v>
      </c>
      <c r="R8" s="6">
        <v>-1000</v>
      </c>
      <c r="S8" s="6"/>
      <c r="T8" s="18">
        <f t="shared" si="3"/>
        <v>8300</v>
      </c>
      <c r="U8" s="5" t="s">
        <v>174</v>
      </c>
      <c r="V8" s="6">
        <v>-1500</v>
      </c>
      <c r="W8" s="6"/>
      <c r="X8" s="6"/>
      <c r="Y8" s="18">
        <f t="shared" si="4"/>
        <v>2200</v>
      </c>
      <c r="Z8" s="45">
        <f>IF($J8="","",ROUND(($J8-30000)/1000,1)+(2.5-_xlfn.RANK.AVG($J8,($J8,$O8,$T8,$Y8)))*20+IF(_xlfn.RANK.EQ($J8,($J8,$O8,$T8,$Y8))=1,20/((_xlfn.RANK.AVG($J8,($J8,$O8,$T8,$Y8))-1)*2+1),0))</f>
        <v>23.8</v>
      </c>
      <c r="AA8" s="46">
        <f>IF($O8="","",ROUND(($O8-30000)/1000,1)+(2.5-_xlfn.RANK.AVG($O8,($J8,$O8,$T8,$Y8)))*20+IF(_xlfn.RANK.EQ($O8,($J8,$O8,$T8,$Y8))=1,20/((_xlfn.RANK.AVG($O8,($J8,$O8,$T8,$Y8))-1)*2+1),0))</f>
        <v>64.7</v>
      </c>
      <c r="AB8" s="46">
        <f>IF($T8="","",ROUND(($T8-30000)/1000,1)+(2.5-_xlfn.RANK.AVG($T8,($J8,$O8,$T8,$Y8)))*20+IF(_xlfn.RANK.EQ($T8,($J8,$O8,$T8,$Y8))=1,20/((_xlfn.RANK.AVG($T8,($J8,$O8,$T8,$Y8))-1)*2+1),0))</f>
        <v>-31.7</v>
      </c>
      <c r="AC8" s="47">
        <f>IF($Y8="","",ROUND(($Y8-30000)/1000,1)+(2.5-_xlfn.RANK.AVG($Y8,($J8,$O8,$T8,$Y8)))*20+IF(_xlfn.RANK.EQ($Y8,($J8,$O8,$T8,$Y8))=1,20/((_xlfn.RANK.AVG($Y8,($J8,$O8,$T8,$Y8))-1)*2+1),0))</f>
        <v>-57.8</v>
      </c>
      <c r="AE8" s="5" t="s">
        <v>172</v>
      </c>
      <c r="AF8" s="30"/>
      <c r="AG8" s="23"/>
      <c r="AH8" s="23"/>
      <c r="AI8" s="23"/>
      <c r="AJ8" s="27"/>
      <c r="AK8" s="36"/>
      <c r="AL8" s="37"/>
      <c r="AM8" s="37"/>
      <c r="AN8" s="37"/>
      <c r="AO8" s="37"/>
      <c r="AP8" s="37"/>
      <c r="AQ8" s="37"/>
      <c r="AR8" s="37"/>
      <c r="AS8" s="37"/>
      <c r="AT8" s="37"/>
      <c r="AU8" s="37"/>
      <c r="AV8" s="37"/>
      <c r="AW8" s="37"/>
      <c r="AX8" s="37"/>
      <c r="AY8" s="38"/>
      <c r="AZ8" s="5" t="s">
        <v>173</v>
      </c>
      <c r="BA8" s="30"/>
      <c r="BB8" s="23"/>
      <c r="BC8" s="23">
        <v>1</v>
      </c>
      <c r="BD8" s="23"/>
      <c r="BE8" s="27"/>
      <c r="BF8" s="36"/>
      <c r="BG8" s="37"/>
      <c r="BH8" s="37"/>
      <c r="BI8" s="37"/>
      <c r="BJ8" s="37"/>
      <c r="BK8" s="37"/>
      <c r="BL8" s="37"/>
      <c r="BM8" s="37"/>
      <c r="BN8" s="37"/>
      <c r="BO8" s="37"/>
      <c r="BP8" s="37"/>
      <c r="BQ8" s="37"/>
      <c r="BR8" s="37"/>
      <c r="BS8" s="37"/>
      <c r="BT8" s="38"/>
      <c r="BU8" s="5" t="s">
        <v>173</v>
      </c>
      <c r="BV8" s="30"/>
      <c r="BW8" s="23">
        <v>1</v>
      </c>
      <c r="BX8" s="23"/>
      <c r="BY8" s="23"/>
      <c r="BZ8" s="27"/>
      <c r="CA8" s="36"/>
      <c r="CB8" s="37"/>
      <c r="CC8" s="37"/>
      <c r="CD8" s="37"/>
      <c r="CE8" s="37"/>
      <c r="CF8" s="37"/>
      <c r="CG8" s="37"/>
      <c r="CH8" s="37"/>
      <c r="CI8" s="37"/>
      <c r="CJ8" s="37"/>
      <c r="CK8" s="37"/>
      <c r="CL8" s="37"/>
      <c r="CM8" s="37"/>
      <c r="CN8" s="37"/>
      <c r="CO8" s="38"/>
      <c r="CP8" s="5" t="s">
        <v>172</v>
      </c>
      <c r="CQ8" s="30"/>
      <c r="CR8" s="23"/>
      <c r="CS8" s="23"/>
      <c r="CT8" s="23"/>
      <c r="CU8" s="27"/>
      <c r="CV8" s="36"/>
      <c r="CW8" s="37"/>
      <c r="CX8" s="37"/>
      <c r="CY8" s="37"/>
      <c r="CZ8" s="37"/>
      <c r="DA8" s="37"/>
      <c r="DB8" s="37"/>
      <c r="DC8" s="37"/>
      <c r="DD8" s="37"/>
      <c r="DE8" s="37"/>
      <c r="DF8" s="37"/>
      <c r="DG8" s="37"/>
      <c r="DH8" s="37"/>
      <c r="DI8" s="37"/>
      <c r="DJ8" s="38"/>
    </row>
    <row r="9" spans="1:114" x14ac:dyDescent="0.55000000000000004">
      <c r="A9" s="10" t="str">
        <f t="shared" si="1"/>
        <v>東</v>
      </c>
      <c r="B9" s="15">
        <f t="shared" si="5"/>
        <v>3</v>
      </c>
      <c r="C9" s="15">
        <f t="shared" si="6"/>
        <v>1</v>
      </c>
      <c r="D9" s="15">
        <f t="shared" si="7"/>
        <v>1</v>
      </c>
      <c r="E9" s="58" t="str">
        <f>IF($P$1="","",$P$1)</f>
        <v>所附快和</v>
      </c>
      <c r="F9" s="5" t="s">
        <v>174</v>
      </c>
      <c r="G9" s="6">
        <v>3000</v>
      </c>
      <c r="H9" s="6">
        <v>1000</v>
      </c>
      <c r="I9" s="6"/>
      <c r="J9" s="18">
        <f t="shared" si="2"/>
        <v>47800</v>
      </c>
      <c r="K9" s="5" t="s">
        <v>174</v>
      </c>
      <c r="L9" s="6">
        <v>-1000</v>
      </c>
      <c r="M9" s="6"/>
      <c r="N9" s="6"/>
      <c r="O9" s="18">
        <f t="shared" si="8"/>
        <v>43700</v>
      </c>
      <c r="P9" s="5" t="s">
        <v>174</v>
      </c>
      <c r="Q9" s="6">
        <v>-1000</v>
      </c>
      <c r="R9" s="6"/>
      <c r="S9" s="6"/>
      <c r="T9" s="18">
        <f t="shared" si="3"/>
        <v>7300</v>
      </c>
      <c r="U9" s="5" t="s">
        <v>174</v>
      </c>
      <c r="V9" s="6">
        <v>-1000</v>
      </c>
      <c r="W9" s="6"/>
      <c r="X9" s="6"/>
      <c r="Y9" s="18">
        <f t="shared" si="4"/>
        <v>1200</v>
      </c>
      <c r="Z9" s="45">
        <f>IF($J9="","",ROUND(($J9-30000)/1000,1)+(2.5-_xlfn.RANK.AVG($J9,($J9,$O9,$T9,$Y9)))*20+IF(_xlfn.RANK.EQ($J9,($J9,$O9,$T9,$Y9))=1,20/((_xlfn.RANK.AVG($J9,($J9,$O9,$T9,$Y9))-1)*2+1),0))</f>
        <v>67.8</v>
      </c>
      <c r="AA9" s="46">
        <f>IF($O9="","",ROUND(($O9-30000)/1000,1)+(2.5-_xlfn.RANK.AVG($O9,($J9,$O9,$T9,$Y9)))*20+IF(_xlfn.RANK.EQ($O9,($J9,$O9,$T9,$Y9))=1,20/((_xlfn.RANK.AVG($O9,($J9,$O9,$T9,$Y9))-1)*2+1),0))</f>
        <v>23.7</v>
      </c>
      <c r="AB9" s="46">
        <f>IF($T9="","",ROUND(($T9-30000)/1000,1)+(2.5-_xlfn.RANK.AVG($T9,($J9,$O9,$T9,$Y9)))*20+IF(_xlfn.RANK.EQ($T9,($J9,$O9,$T9,$Y9))=1,20/((_xlfn.RANK.AVG($T9,($J9,$O9,$T9,$Y9))-1)*2+1),0))</f>
        <v>-32.700000000000003</v>
      </c>
      <c r="AC9" s="47">
        <f>IF($Y9="","",ROUND(($Y9-30000)/1000,1)+(2.5-_xlfn.RANK.AVG($Y9,($J9,$O9,$T9,$Y9)))*20+IF(_xlfn.RANK.EQ($Y9,($J9,$O9,$T9,$Y9))=1,20/((_xlfn.RANK.AVG($Y9,($J9,$O9,$T9,$Y9))-1)*2+1),0))</f>
        <v>-58.8</v>
      </c>
      <c r="AE9" s="5" t="s">
        <v>173</v>
      </c>
      <c r="AF9" s="30"/>
      <c r="AG9" s="23">
        <v>1</v>
      </c>
      <c r="AH9" s="23"/>
      <c r="AI9" s="23"/>
      <c r="AJ9" s="27"/>
      <c r="AK9" s="36"/>
      <c r="AL9" s="37"/>
      <c r="AM9" s="37"/>
      <c r="AN9" s="37"/>
      <c r="AO9" s="37"/>
      <c r="AP9" s="37"/>
      <c r="AQ9" s="37"/>
      <c r="AR9" s="37"/>
      <c r="AS9" s="37"/>
      <c r="AT9" s="37"/>
      <c r="AU9" s="37"/>
      <c r="AV9" s="37"/>
      <c r="AW9" s="37"/>
      <c r="AX9" s="37"/>
      <c r="AY9" s="38"/>
      <c r="AZ9" s="5" t="s">
        <v>172</v>
      </c>
      <c r="BA9" s="30"/>
      <c r="BB9" s="23"/>
      <c r="BC9" s="23"/>
      <c r="BD9" s="23"/>
      <c r="BE9" s="27"/>
      <c r="BF9" s="36"/>
      <c r="BG9" s="37"/>
      <c r="BH9" s="37"/>
      <c r="BI9" s="37"/>
      <c r="BJ9" s="37"/>
      <c r="BK9" s="37"/>
      <c r="BL9" s="37"/>
      <c r="BM9" s="37"/>
      <c r="BN9" s="37"/>
      <c r="BO9" s="37"/>
      <c r="BP9" s="37"/>
      <c r="BQ9" s="37"/>
      <c r="BR9" s="37"/>
      <c r="BS9" s="37"/>
      <c r="BT9" s="38"/>
      <c r="BU9" s="5" t="s">
        <v>172</v>
      </c>
      <c r="BV9" s="30"/>
      <c r="BW9" s="23"/>
      <c r="BX9" s="23">
        <v>1</v>
      </c>
      <c r="BY9" s="23"/>
      <c r="BZ9" s="27"/>
      <c r="CA9" s="36"/>
      <c r="CB9" s="37"/>
      <c r="CC9" s="37"/>
      <c r="CD9" s="37"/>
      <c r="CE9" s="37"/>
      <c r="CF9" s="37"/>
      <c r="CG9" s="37"/>
      <c r="CH9" s="37"/>
      <c r="CI9" s="37"/>
      <c r="CJ9" s="37"/>
      <c r="CK9" s="37"/>
      <c r="CL9" s="37"/>
      <c r="CM9" s="37"/>
      <c r="CN9" s="37"/>
      <c r="CO9" s="38"/>
      <c r="CP9" s="5" t="s">
        <v>172</v>
      </c>
      <c r="CQ9" s="30"/>
      <c r="CR9" s="23"/>
      <c r="CS9" s="23"/>
      <c r="CT9" s="23"/>
      <c r="CU9" s="27"/>
      <c r="CV9" s="36"/>
      <c r="CW9" s="37"/>
      <c r="CX9" s="37"/>
      <c r="CY9" s="37"/>
      <c r="CZ9" s="37"/>
      <c r="DA9" s="37"/>
      <c r="DB9" s="37"/>
      <c r="DC9" s="37"/>
      <c r="DD9" s="37"/>
      <c r="DE9" s="37"/>
      <c r="DF9" s="37"/>
      <c r="DG9" s="37"/>
      <c r="DH9" s="37"/>
      <c r="DI9" s="37"/>
      <c r="DJ9" s="38"/>
    </row>
    <row r="10" spans="1:114" x14ac:dyDescent="0.55000000000000004">
      <c r="A10" s="10" t="str">
        <f>IF($E10="","",IF(AND(B9=4,B10=1),_xlfn.SWITCH(A9,"東","南","南","西","西","北","北","東"),A9))</f>
        <v/>
      </c>
      <c r="B10" s="15" t="str">
        <f t="shared" si="5"/>
        <v/>
      </c>
      <c r="C10" s="15" t="str">
        <f t="shared" si="6"/>
        <v/>
      </c>
      <c r="D10" s="15" t="str">
        <f t="shared" si="7"/>
        <v/>
      </c>
      <c r="E10" s="58"/>
      <c r="F10" s="5"/>
      <c r="G10" s="6"/>
      <c r="H10" s="6"/>
      <c r="I10" s="6"/>
      <c r="J10" s="18" t="str">
        <f t="shared" si="2"/>
        <v/>
      </c>
      <c r="K10" s="5"/>
      <c r="L10" s="6"/>
      <c r="M10" s="6"/>
      <c r="N10" s="6"/>
      <c r="O10" s="18" t="str">
        <f t="shared" si="8"/>
        <v/>
      </c>
      <c r="P10" s="5"/>
      <c r="Q10" s="6"/>
      <c r="R10" s="6"/>
      <c r="S10" s="6"/>
      <c r="T10" s="18" t="str">
        <f t="shared" si="3"/>
        <v/>
      </c>
      <c r="U10" s="5"/>
      <c r="V10" s="6"/>
      <c r="W10" s="6"/>
      <c r="X10" s="6"/>
      <c r="Y10" s="18" t="str">
        <f t="shared" si="4"/>
        <v/>
      </c>
      <c r="Z10" s="45" t="str">
        <f>IF($J10="","",ROUND(($J10-30000)/1000,1)+(2.5-_xlfn.RANK.AVG($J10,($J10,$O10,$T10,$Y10)))*20+IF(_xlfn.RANK.EQ($J10,($J10,$O10,$T10,$Y10))=1,20/((_xlfn.RANK.AVG($J10,($J10,$O10,$T10,$Y10))-1)*2+1),0))</f>
        <v/>
      </c>
      <c r="AA10" s="46" t="str">
        <f>IF($O10="","",ROUND(($O10-30000)/1000,1)+(2.5-_xlfn.RANK.AVG($O10,($J10,$O10,$T10,$Y10)))*20+IF(_xlfn.RANK.EQ($O10,($J10,$O10,$T10,$Y10))=1,20/((_xlfn.RANK.AVG($O10,($J10,$O10,$T10,$Y10))-1)*2+1),0))</f>
        <v/>
      </c>
      <c r="AB10" s="46" t="str">
        <f>IF($T10="","",ROUND(($T10-30000)/1000,1)+(2.5-_xlfn.RANK.AVG($T10,($J10,$O10,$T10,$Y10)))*20+IF(_xlfn.RANK.EQ($T10,($J10,$O10,$T10,$Y10))=1,20/((_xlfn.RANK.AVG($T10,($J10,$O10,$T10,$Y10))-1)*2+1),0))</f>
        <v/>
      </c>
      <c r="AC10" s="47" t="str">
        <f>IF($Y10="","",ROUND(($Y10-30000)/1000,1)+(2.5-_xlfn.RANK.AVG($Y10,($J10,$O10,$T10,$Y10)))*20+IF(_xlfn.RANK.EQ($Y10,($J10,$O10,$T10,$Y10))=1,20/((_xlfn.RANK.AVG($Y10,($J10,$O10,$T10,$Y10))-1)*2+1),0))</f>
        <v/>
      </c>
      <c r="AE10" s="5"/>
      <c r="AF10" s="30"/>
      <c r="AG10" s="23"/>
      <c r="AH10" s="23"/>
      <c r="AI10" s="23"/>
      <c r="AJ10" s="27"/>
      <c r="AK10" s="36"/>
      <c r="AL10" s="37"/>
      <c r="AM10" s="37"/>
      <c r="AN10" s="37"/>
      <c r="AO10" s="37"/>
      <c r="AP10" s="37"/>
      <c r="AQ10" s="37"/>
      <c r="AR10" s="37"/>
      <c r="AS10" s="37"/>
      <c r="AT10" s="37"/>
      <c r="AU10" s="37"/>
      <c r="AV10" s="37"/>
      <c r="AW10" s="37"/>
      <c r="AX10" s="37"/>
      <c r="AY10" s="38"/>
      <c r="AZ10" s="5"/>
      <c r="BA10" s="30"/>
      <c r="BB10" s="23"/>
      <c r="BC10" s="23"/>
      <c r="BD10" s="23"/>
      <c r="BE10" s="27"/>
      <c r="BF10" s="36"/>
      <c r="BG10" s="37"/>
      <c r="BH10" s="37"/>
      <c r="BI10" s="37"/>
      <c r="BJ10" s="37"/>
      <c r="BK10" s="37"/>
      <c r="BL10" s="37"/>
      <c r="BM10" s="37"/>
      <c r="BN10" s="37"/>
      <c r="BO10" s="37"/>
      <c r="BP10" s="37"/>
      <c r="BQ10" s="37"/>
      <c r="BR10" s="37"/>
      <c r="BS10" s="37"/>
      <c r="BT10" s="38"/>
      <c r="BU10" s="5"/>
      <c r="BV10" s="30"/>
      <c r="BW10" s="23"/>
      <c r="BX10" s="23"/>
      <c r="BY10" s="23"/>
      <c r="BZ10" s="27"/>
      <c r="CA10" s="36"/>
      <c r="CB10" s="37"/>
      <c r="CC10" s="37"/>
      <c r="CD10" s="37"/>
      <c r="CE10" s="37"/>
      <c r="CF10" s="37"/>
      <c r="CG10" s="37"/>
      <c r="CH10" s="37"/>
      <c r="CI10" s="37"/>
      <c r="CJ10" s="37"/>
      <c r="CK10" s="37"/>
      <c r="CL10" s="37"/>
      <c r="CM10" s="37"/>
      <c r="CN10" s="37"/>
      <c r="CO10" s="38"/>
      <c r="CP10" s="5"/>
      <c r="CQ10" s="30"/>
      <c r="CR10" s="23"/>
      <c r="CS10" s="23"/>
      <c r="CT10" s="23"/>
      <c r="CU10" s="27"/>
      <c r="CV10" s="36"/>
      <c r="CW10" s="37"/>
      <c r="CX10" s="37"/>
      <c r="CY10" s="37"/>
      <c r="CZ10" s="37"/>
      <c r="DA10" s="37"/>
      <c r="DB10" s="37"/>
      <c r="DC10" s="37"/>
      <c r="DD10" s="37"/>
      <c r="DE10" s="37"/>
      <c r="DF10" s="37"/>
      <c r="DG10" s="37"/>
      <c r="DH10" s="37"/>
      <c r="DI10" s="37"/>
      <c r="DJ10" s="38"/>
    </row>
    <row r="11" spans="1:114" x14ac:dyDescent="0.55000000000000004">
      <c r="A11" s="10" t="str">
        <f t="shared" ref="A11:A30" si="9">IF($E11="","",IF(AND(B10=4,B11=1),_xlfn.SWITCH(A10,"東","南","南","西","西","北","北","東"),A10))</f>
        <v/>
      </c>
      <c r="B11" s="15" t="str">
        <f t="shared" si="5"/>
        <v/>
      </c>
      <c r="C11" s="15" t="str">
        <f t="shared" si="6"/>
        <v/>
      </c>
      <c r="D11" s="15" t="str">
        <f t="shared" si="7"/>
        <v/>
      </c>
      <c r="E11" s="58"/>
      <c r="F11" s="5"/>
      <c r="G11" s="6"/>
      <c r="H11" s="6"/>
      <c r="I11" s="6"/>
      <c r="J11" s="18" t="str">
        <f t="shared" si="2"/>
        <v/>
      </c>
      <c r="K11" s="5"/>
      <c r="L11" s="6"/>
      <c r="M11" s="6"/>
      <c r="N11" s="6"/>
      <c r="O11" s="18" t="str">
        <f t="shared" si="8"/>
        <v/>
      </c>
      <c r="P11" s="5"/>
      <c r="Q11" s="6"/>
      <c r="R11" s="6"/>
      <c r="S11" s="6"/>
      <c r="T11" s="18" t="str">
        <f t="shared" si="3"/>
        <v/>
      </c>
      <c r="U11" s="5"/>
      <c r="V11" s="6"/>
      <c r="W11" s="6"/>
      <c r="X11" s="6"/>
      <c r="Y11" s="18" t="str">
        <f t="shared" si="4"/>
        <v/>
      </c>
      <c r="Z11" s="45" t="str">
        <f>IF($J11="","",ROUND(($J11-30000)/1000,1)+(2.5-_xlfn.RANK.AVG($J11,($J11,$O11,$T11,$Y11)))*20+IF(_xlfn.RANK.EQ($J11,($J11,$O11,$T11,$Y11))=1,20/((_xlfn.RANK.AVG($J11,($J11,$O11,$T11,$Y11))-1)*2+1),0))</f>
        <v/>
      </c>
      <c r="AA11" s="46" t="str">
        <f>IF($O11="","",ROUND(($O11-30000)/1000,1)+(2.5-_xlfn.RANK.AVG($O11,($J11,$O11,$T11,$Y11)))*20+IF(_xlfn.RANK.EQ($O11,($J11,$O11,$T11,$Y11))=1,20/((_xlfn.RANK.AVG($O11,($J11,$O11,$T11,$Y11))-1)*2+1),0))</f>
        <v/>
      </c>
      <c r="AB11" s="46" t="str">
        <f>IF($T11="","",ROUND(($T11-30000)/1000,1)+(2.5-_xlfn.RANK.AVG($T11,($J11,$O11,$T11,$Y11)))*20+IF(_xlfn.RANK.EQ($T11,($J11,$O11,$T11,$Y11))=1,20/((_xlfn.RANK.AVG($T11,($J11,$O11,$T11,$Y11))-1)*2+1),0))</f>
        <v/>
      </c>
      <c r="AC11" s="47" t="str">
        <f>IF($Y11="","",ROUND(($Y11-30000)/1000,1)+(2.5-_xlfn.RANK.AVG($Y11,($J11,$O11,$T11,$Y11)))*20+IF(_xlfn.RANK.EQ($Y11,($J11,$O11,$T11,$Y11))=1,20/((_xlfn.RANK.AVG($Y11,($J11,$O11,$T11,$Y11))-1)*2+1),0))</f>
        <v/>
      </c>
      <c r="AE11" s="5"/>
      <c r="AF11" s="30"/>
      <c r="AG11" s="23"/>
      <c r="AH11" s="23"/>
      <c r="AI11" s="23"/>
      <c r="AJ11" s="27"/>
      <c r="AK11" s="36"/>
      <c r="AL11" s="37"/>
      <c r="AM11" s="37"/>
      <c r="AN11" s="37"/>
      <c r="AO11" s="37"/>
      <c r="AP11" s="37"/>
      <c r="AQ11" s="37"/>
      <c r="AR11" s="37"/>
      <c r="AS11" s="37"/>
      <c r="AT11" s="37"/>
      <c r="AU11" s="37"/>
      <c r="AV11" s="37"/>
      <c r="AW11" s="37"/>
      <c r="AX11" s="37"/>
      <c r="AY11" s="38"/>
      <c r="AZ11" s="5"/>
      <c r="BA11" s="30"/>
      <c r="BB11" s="23"/>
      <c r="BC11" s="23"/>
      <c r="BD11" s="23"/>
      <c r="BE11" s="27"/>
      <c r="BF11" s="36"/>
      <c r="BG11" s="37"/>
      <c r="BH11" s="37"/>
      <c r="BI11" s="37"/>
      <c r="BJ11" s="37"/>
      <c r="BK11" s="37"/>
      <c r="BL11" s="37"/>
      <c r="BM11" s="37"/>
      <c r="BN11" s="37"/>
      <c r="BO11" s="37"/>
      <c r="BP11" s="37"/>
      <c r="BQ11" s="37"/>
      <c r="BR11" s="37"/>
      <c r="BS11" s="37"/>
      <c r="BT11" s="38"/>
      <c r="BU11" s="5"/>
      <c r="BV11" s="30"/>
      <c r="BW11" s="23"/>
      <c r="BX11" s="23"/>
      <c r="BY11" s="23"/>
      <c r="BZ11" s="27"/>
      <c r="CA11" s="36"/>
      <c r="CB11" s="37"/>
      <c r="CC11" s="37"/>
      <c r="CD11" s="37"/>
      <c r="CE11" s="37"/>
      <c r="CF11" s="37"/>
      <c r="CG11" s="37"/>
      <c r="CH11" s="37"/>
      <c r="CI11" s="37"/>
      <c r="CJ11" s="37"/>
      <c r="CK11" s="37"/>
      <c r="CL11" s="37"/>
      <c r="CM11" s="37"/>
      <c r="CN11" s="37"/>
      <c r="CO11" s="38"/>
      <c r="CP11" s="5"/>
      <c r="CQ11" s="30"/>
      <c r="CR11" s="23"/>
      <c r="CS11" s="23"/>
      <c r="CT11" s="23"/>
      <c r="CU11" s="27"/>
      <c r="CV11" s="36"/>
      <c r="CW11" s="37"/>
      <c r="CX11" s="37"/>
      <c r="CY11" s="37"/>
      <c r="CZ11" s="37"/>
      <c r="DA11" s="37"/>
      <c r="DB11" s="37"/>
      <c r="DC11" s="37"/>
      <c r="DD11" s="37"/>
      <c r="DE11" s="37"/>
      <c r="DF11" s="37"/>
      <c r="DG11" s="37"/>
      <c r="DH11" s="37"/>
      <c r="DI11" s="37"/>
      <c r="DJ11" s="38"/>
    </row>
    <row r="12" spans="1:114" x14ac:dyDescent="0.55000000000000004">
      <c r="A12" s="10" t="str">
        <f t="shared" si="9"/>
        <v/>
      </c>
      <c r="B12" s="15" t="str">
        <f t="shared" si="5"/>
        <v/>
      </c>
      <c r="C12" s="15" t="str">
        <f t="shared" si="6"/>
        <v/>
      </c>
      <c r="D12" s="15" t="str">
        <f t="shared" si="7"/>
        <v/>
      </c>
      <c r="E12" s="58"/>
      <c r="F12" s="5"/>
      <c r="G12" s="6"/>
      <c r="H12" s="6"/>
      <c r="I12" s="6"/>
      <c r="J12" s="18" t="str">
        <f t="shared" si="2"/>
        <v/>
      </c>
      <c r="K12" s="5"/>
      <c r="L12" s="6"/>
      <c r="M12" s="6"/>
      <c r="N12" s="6"/>
      <c r="O12" s="18" t="str">
        <f t="shared" si="8"/>
        <v/>
      </c>
      <c r="P12" s="5"/>
      <c r="Q12" s="6"/>
      <c r="R12" s="6"/>
      <c r="S12" s="6"/>
      <c r="T12" s="18" t="str">
        <f t="shared" si="3"/>
        <v/>
      </c>
      <c r="U12" s="5"/>
      <c r="V12" s="6"/>
      <c r="W12" s="6"/>
      <c r="X12" s="6"/>
      <c r="Y12" s="18" t="str">
        <f t="shared" si="4"/>
        <v/>
      </c>
      <c r="Z12" s="45" t="str">
        <f>IF($J12="","",ROUND(($J12-30000)/1000,1)+(2.5-_xlfn.RANK.AVG($J12,($J12,$O12,$T12,$Y12)))*20+IF(_xlfn.RANK.EQ($J12,($J12,$O12,$T12,$Y12))=1,20/((_xlfn.RANK.AVG($J12,($J12,$O12,$T12,$Y12))-1)*2+1),0))</f>
        <v/>
      </c>
      <c r="AA12" s="46" t="str">
        <f>IF($O12="","",ROUND(($O12-30000)/1000,1)+(2.5-_xlfn.RANK.AVG($O12,($J12,$O12,$T12,$Y12)))*20+IF(_xlfn.RANK.EQ($O12,($J12,$O12,$T12,$Y12))=1,20/((_xlfn.RANK.AVG($O12,($J12,$O12,$T12,$Y12))-1)*2+1),0))</f>
        <v/>
      </c>
      <c r="AB12" s="46" t="str">
        <f>IF($T12="","",ROUND(($T12-30000)/1000,1)+(2.5-_xlfn.RANK.AVG($T12,($J12,$O12,$T12,$Y12)))*20+IF(_xlfn.RANK.EQ($T12,($J12,$O12,$T12,$Y12))=1,20/((_xlfn.RANK.AVG($T12,($J12,$O12,$T12,$Y12))-1)*2+1),0))</f>
        <v/>
      </c>
      <c r="AC12" s="47" t="str">
        <f>IF($Y12="","",ROUND(($Y12-30000)/1000,1)+(2.5-_xlfn.RANK.AVG($Y12,($J12,$O12,$T12,$Y12)))*20+IF(_xlfn.RANK.EQ($Y12,($J12,$O12,$T12,$Y12))=1,20/((_xlfn.RANK.AVG($Y12,($J12,$O12,$T12,$Y12))-1)*2+1),0))</f>
        <v/>
      </c>
      <c r="AE12" s="5"/>
      <c r="AF12" s="30"/>
      <c r="AG12" s="23"/>
      <c r="AH12" s="23"/>
      <c r="AI12" s="23"/>
      <c r="AJ12" s="27"/>
      <c r="AK12" s="36"/>
      <c r="AL12" s="37"/>
      <c r="AM12" s="37"/>
      <c r="AN12" s="37"/>
      <c r="AO12" s="37"/>
      <c r="AP12" s="37"/>
      <c r="AQ12" s="37"/>
      <c r="AR12" s="37"/>
      <c r="AS12" s="37"/>
      <c r="AT12" s="37"/>
      <c r="AU12" s="37"/>
      <c r="AV12" s="37"/>
      <c r="AW12" s="37"/>
      <c r="AX12" s="37"/>
      <c r="AY12" s="38"/>
      <c r="AZ12" s="5"/>
      <c r="BA12" s="30"/>
      <c r="BB12" s="23"/>
      <c r="BC12" s="23"/>
      <c r="BD12" s="23"/>
      <c r="BE12" s="27"/>
      <c r="BF12" s="36"/>
      <c r="BG12" s="37"/>
      <c r="BH12" s="37"/>
      <c r="BI12" s="37"/>
      <c r="BJ12" s="37"/>
      <c r="BK12" s="37"/>
      <c r="BL12" s="37"/>
      <c r="BM12" s="37"/>
      <c r="BN12" s="37"/>
      <c r="BO12" s="37"/>
      <c r="BP12" s="37"/>
      <c r="BQ12" s="37"/>
      <c r="BR12" s="37"/>
      <c r="BS12" s="37"/>
      <c r="BT12" s="38"/>
      <c r="BU12" s="5"/>
      <c r="BV12" s="30"/>
      <c r="BW12" s="23"/>
      <c r="BX12" s="23"/>
      <c r="BY12" s="23"/>
      <c r="BZ12" s="27"/>
      <c r="CA12" s="36"/>
      <c r="CB12" s="37"/>
      <c r="CC12" s="37"/>
      <c r="CD12" s="37"/>
      <c r="CE12" s="37"/>
      <c r="CF12" s="37"/>
      <c r="CG12" s="37"/>
      <c r="CH12" s="37"/>
      <c r="CI12" s="37"/>
      <c r="CJ12" s="37"/>
      <c r="CK12" s="37"/>
      <c r="CL12" s="37"/>
      <c r="CM12" s="37"/>
      <c r="CN12" s="37"/>
      <c r="CO12" s="38"/>
      <c r="CP12" s="5"/>
      <c r="CQ12" s="30"/>
      <c r="CR12" s="23"/>
      <c r="CS12" s="23"/>
      <c r="CT12" s="23"/>
      <c r="CU12" s="27"/>
      <c r="CV12" s="36"/>
      <c r="CW12" s="37"/>
      <c r="CX12" s="37"/>
      <c r="CY12" s="37"/>
      <c r="CZ12" s="37"/>
      <c r="DA12" s="37"/>
      <c r="DB12" s="37"/>
      <c r="DC12" s="37"/>
      <c r="DD12" s="37"/>
      <c r="DE12" s="37"/>
      <c r="DF12" s="37"/>
      <c r="DG12" s="37"/>
      <c r="DH12" s="37"/>
      <c r="DI12" s="37"/>
      <c r="DJ12" s="38"/>
    </row>
    <row r="13" spans="1:114" x14ac:dyDescent="0.55000000000000004">
      <c r="A13" s="10" t="str">
        <f t="shared" si="9"/>
        <v/>
      </c>
      <c r="B13" s="15" t="str">
        <f t="shared" si="5"/>
        <v/>
      </c>
      <c r="C13" s="15" t="str">
        <f t="shared" si="6"/>
        <v/>
      </c>
      <c r="D13" s="15" t="str">
        <f t="shared" si="7"/>
        <v/>
      </c>
      <c r="E13" s="58"/>
      <c r="F13" s="5"/>
      <c r="G13" s="6"/>
      <c r="H13" s="6"/>
      <c r="I13" s="6"/>
      <c r="J13" s="18" t="str">
        <f t="shared" si="2"/>
        <v/>
      </c>
      <c r="K13" s="5"/>
      <c r="L13" s="6"/>
      <c r="M13" s="6"/>
      <c r="N13" s="6"/>
      <c r="O13" s="18" t="str">
        <f t="shared" si="8"/>
        <v/>
      </c>
      <c r="P13" s="5"/>
      <c r="Q13" s="6"/>
      <c r="R13" s="6"/>
      <c r="S13" s="6"/>
      <c r="T13" s="18" t="str">
        <f t="shared" si="3"/>
        <v/>
      </c>
      <c r="U13" s="5"/>
      <c r="V13" s="6"/>
      <c r="W13" s="6"/>
      <c r="X13" s="6"/>
      <c r="Y13" s="18" t="str">
        <f t="shared" si="4"/>
        <v/>
      </c>
      <c r="Z13" s="45" t="str">
        <f>IF($J13="","",ROUND(($J13-30000)/1000,1)+(2.5-_xlfn.RANK.AVG($J13,($J13,$O13,$T13,$Y13)))*20+IF(_xlfn.RANK.EQ($J13,($J13,$O13,$T13,$Y13))=1,20/((_xlfn.RANK.AVG($J13,($J13,$O13,$T13,$Y13))-1)*2+1),0))</f>
        <v/>
      </c>
      <c r="AA13" s="46" t="str">
        <f>IF($O13="","",ROUND(($O13-30000)/1000,1)+(2.5-_xlfn.RANK.AVG($O13,($J13,$O13,$T13,$Y13)))*20+IF(_xlfn.RANK.EQ($O13,($J13,$O13,$T13,$Y13))=1,20/((_xlfn.RANK.AVG($O13,($J13,$O13,$T13,$Y13))-1)*2+1),0))</f>
        <v/>
      </c>
      <c r="AB13" s="46" t="str">
        <f>IF($T13="","",ROUND(($T13-30000)/1000,1)+(2.5-_xlfn.RANK.AVG($T13,($J13,$O13,$T13,$Y13)))*20+IF(_xlfn.RANK.EQ($T13,($J13,$O13,$T13,$Y13))=1,20/((_xlfn.RANK.AVG($T13,($J13,$O13,$T13,$Y13))-1)*2+1),0))</f>
        <v/>
      </c>
      <c r="AC13" s="47" t="str">
        <f>IF($Y13="","",ROUND(($Y13-30000)/1000,1)+(2.5-_xlfn.RANK.AVG($Y13,($J13,$O13,$T13,$Y13)))*20+IF(_xlfn.RANK.EQ($Y13,($J13,$O13,$T13,$Y13))=1,20/((_xlfn.RANK.AVG($Y13,($J13,$O13,$T13,$Y13))-1)*2+1),0))</f>
        <v/>
      </c>
      <c r="AE13" s="5"/>
      <c r="AF13" s="30"/>
      <c r="AG13" s="23"/>
      <c r="AH13" s="23"/>
      <c r="AI13" s="23"/>
      <c r="AJ13" s="27"/>
      <c r="AK13" s="36"/>
      <c r="AL13" s="37"/>
      <c r="AM13" s="37"/>
      <c r="AN13" s="37"/>
      <c r="AO13" s="37"/>
      <c r="AP13" s="37"/>
      <c r="AQ13" s="37"/>
      <c r="AR13" s="37"/>
      <c r="AS13" s="37"/>
      <c r="AT13" s="37"/>
      <c r="AU13" s="37"/>
      <c r="AV13" s="37"/>
      <c r="AW13" s="37"/>
      <c r="AX13" s="37"/>
      <c r="AY13" s="38"/>
      <c r="AZ13" s="5"/>
      <c r="BA13" s="30"/>
      <c r="BB13" s="23"/>
      <c r="BC13" s="23"/>
      <c r="BD13" s="23"/>
      <c r="BE13" s="27"/>
      <c r="BF13" s="36"/>
      <c r="BG13" s="37"/>
      <c r="BH13" s="37"/>
      <c r="BI13" s="37"/>
      <c r="BJ13" s="37"/>
      <c r="BK13" s="37"/>
      <c r="BL13" s="37"/>
      <c r="BM13" s="37"/>
      <c r="BN13" s="37"/>
      <c r="BO13" s="37"/>
      <c r="BP13" s="37"/>
      <c r="BQ13" s="37"/>
      <c r="BR13" s="37"/>
      <c r="BS13" s="37"/>
      <c r="BT13" s="38"/>
      <c r="BU13" s="5"/>
      <c r="BV13" s="30"/>
      <c r="BW13" s="23"/>
      <c r="BX13" s="23"/>
      <c r="BY13" s="23"/>
      <c r="BZ13" s="27"/>
      <c r="CA13" s="36"/>
      <c r="CB13" s="37"/>
      <c r="CC13" s="37"/>
      <c r="CD13" s="37"/>
      <c r="CE13" s="37"/>
      <c r="CF13" s="37"/>
      <c r="CG13" s="37"/>
      <c r="CH13" s="37"/>
      <c r="CI13" s="37"/>
      <c r="CJ13" s="37"/>
      <c r="CK13" s="37"/>
      <c r="CL13" s="37"/>
      <c r="CM13" s="37"/>
      <c r="CN13" s="37"/>
      <c r="CO13" s="38"/>
      <c r="CP13" s="5"/>
      <c r="CQ13" s="30"/>
      <c r="CR13" s="23"/>
      <c r="CS13" s="23"/>
      <c r="CT13" s="23"/>
      <c r="CU13" s="27"/>
      <c r="CV13" s="36"/>
      <c r="CW13" s="37"/>
      <c r="CX13" s="37"/>
      <c r="CY13" s="37"/>
      <c r="CZ13" s="37"/>
      <c r="DA13" s="37"/>
      <c r="DB13" s="37"/>
      <c r="DC13" s="37"/>
      <c r="DD13" s="37"/>
      <c r="DE13" s="37"/>
      <c r="DF13" s="37"/>
      <c r="DG13" s="37"/>
      <c r="DH13" s="37"/>
      <c r="DI13" s="37"/>
      <c r="DJ13" s="38"/>
    </row>
    <row r="14" spans="1:114" x14ac:dyDescent="0.55000000000000004">
      <c r="A14" s="10" t="str">
        <f t="shared" si="9"/>
        <v/>
      </c>
      <c r="B14" s="15" t="str">
        <f t="shared" si="5"/>
        <v/>
      </c>
      <c r="C14" s="15" t="str">
        <f t="shared" si="6"/>
        <v/>
      </c>
      <c r="D14" s="15" t="str">
        <f t="shared" si="7"/>
        <v/>
      </c>
      <c r="E14" s="58"/>
      <c r="F14" s="5"/>
      <c r="G14" s="6"/>
      <c r="H14" s="6"/>
      <c r="I14" s="6"/>
      <c r="J14" s="18" t="str">
        <f t="shared" si="2"/>
        <v/>
      </c>
      <c r="K14" s="5"/>
      <c r="L14" s="6"/>
      <c r="M14" s="6"/>
      <c r="N14" s="6"/>
      <c r="O14" s="18" t="str">
        <f t="shared" si="8"/>
        <v/>
      </c>
      <c r="P14" s="5"/>
      <c r="Q14" s="6"/>
      <c r="R14" s="6"/>
      <c r="S14" s="6"/>
      <c r="T14" s="18" t="str">
        <f t="shared" si="3"/>
        <v/>
      </c>
      <c r="U14" s="5"/>
      <c r="V14" s="6"/>
      <c r="W14" s="6"/>
      <c r="X14" s="6"/>
      <c r="Y14" s="18" t="str">
        <f>IF(COUNTA($F14,$K14,$P14,$U14)&gt;0,Y13+SUM(V14:X14),"")</f>
        <v/>
      </c>
      <c r="Z14" s="45" t="str">
        <f>IF($J14="","",ROUND(($J14-30000)/1000,1)+(2.5-_xlfn.RANK.AVG($J14,($J14,$O14,$T14,$Y14)))*20+IF(_xlfn.RANK.EQ($J14,($J14,$O14,$T14,$Y14))=1,20/((_xlfn.RANK.AVG($J14,($J14,$O14,$T14,$Y14))-1)*2+1),0))</f>
        <v/>
      </c>
      <c r="AA14" s="46" t="str">
        <f>IF($O14="","",ROUND(($O14-30000)/1000,1)+(2.5-_xlfn.RANK.AVG($O14,($J14,$O14,$T14,$Y14)))*20+IF(_xlfn.RANK.EQ($O14,($J14,$O14,$T14,$Y14))=1,20/((_xlfn.RANK.AVG($O14,($J14,$O14,$T14,$Y14))-1)*2+1),0))</f>
        <v/>
      </c>
      <c r="AB14" s="46" t="str">
        <f>IF($T14="","",ROUND(($T14-30000)/1000,1)+(2.5-_xlfn.RANK.AVG($T14,($J14,$O14,$T14,$Y14)))*20+IF(_xlfn.RANK.EQ($T14,($J14,$O14,$T14,$Y14))=1,20/((_xlfn.RANK.AVG($T14,($J14,$O14,$T14,$Y14))-1)*2+1),0))</f>
        <v/>
      </c>
      <c r="AC14" s="47" t="str">
        <f>IF($Y14="","",ROUND(($Y14-30000)/1000,1)+(2.5-_xlfn.RANK.AVG($Y14,($J14,$O14,$T14,$Y14)))*20+IF(_xlfn.RANK.EQ($Y14,($J14,$O14,$T14,$Y14))=1,20/((_xlfn.RANK.AVG($Y14,($J14,$O14,$T14,$Y14))-1)*2+1),0))</f>
        <v/>
      </c>
      <c r="AE14" s="5"/>
      <c r="AF14" s="30"/>
      <c r="AG14" s="23"/>
      <c r="AH14" s="23"/>
      <c r="AI14" s="23"/>
      <c r="AJ14" s="27"/>
      <c r="AK14" s="36"/>
      <c r="AL14" s="37"/>
      <c r="AM14" s="37"/>
      <c r="AN14" s="37"/>
      <c r="AO14" s="37"/>
      <c r="AP14" s="37"/>
      <c r="AQ14" s="37"/>
      <c r="AR14" s="37"/>
      <c r="AS14" s="37"/>
      <c r="AT14" s="37"/>
      <c r="AU14" s="37"/>
      <c r="AV14" s="37"/>
      <c r="AW14" s="37"/>
      <c r="AX14" s="37"/>
      <c r="AY14" s="38"/>
      <c r="AZ14" s="5"/>
      <c r="BA14" s="30"/>
      <c r="BB14" s="23"/>
      <c r="BC14" s="23"/>
      <c r="BD14" s="23"/>
      <c r="BE14" s="27"/>
      <c r="BF14" s="36"/>
      <c r="BG14" s="37"/>
      <c r="BH14" s="37"/>
      <c r="BI14" s="37"/>
      <c r="BJ14" s="37"/>
      <c r="BK14" s="37"/>
      <c r="BL14" s="37"/>
      <c r="BM14" s="37"/>
      <c r="BN14" s="37"/>
      <c r="BO14" s="37"/>
      <c r="BP14" s="37"/>
      <c r="BQ14" s="37"/>
      <c r="BR14" s="37"/>
      <c r="BS14" s="37"/>
      <c r="BT14" s="38"/>
      <c r="BU14" s="5"/>
      <c r="BV14" s="30"/>
      <c r="BW14" s="23"/>
      <c r="BX14" s="23"/>
      <c r="BY14" s="23"/>
      <c r="BZ14" s="27"/>
      <c r="CA14" s="36"/>
      <c r="CB14" s="37"/>
      <c r="CC14" s="37"/>
      <c r="CD14" s="37"/>
      <c r="CE14" s="37"/>
      <c r="CF14" s="37"/>
      <c r="CG14" s="37"/>
      <c r="CH14" s="37"/>
      <c r="CI14" s="37"/>
      <c r="CJ14" s="37"/>
      <c r="CK14" s="37"/>
      <c r="CL14" s="37"/>
      <c r="CM14" s="37"/>
      <c r="CN14" s="37"/>
      <c r="CO14" s="38"/>
      <c r="CP14" s="5"/>
      <c r="CQ14" s="30"/>
      <c r="CR14" s="23"/>
      <c r="CS14" s="23"/>
      <c r="CT14" s="23"/>
      <c r="CU14" s="27"/>
      <c r="CV14" s="36"/>
      <c r="CW14" s="37"/>
      <c r="CX14" s="37"/>
      <c r="CY14" s="37"/>
      <c r="CZ14" s="37"/>
      <c r="DA14" s="37"/>
      <c r="DB14" s="37"/>
      <c r="DC14" s="37"/>
      <c r="DD14" s="37"/>
      <c r="DE14" s="37"/>
      <c r="DF14" s="37"/>
      <c r="DG14" s="37"/>
      <c r="DH14" s="37"/>
      <c r="DI14" s="37"/>
      <c r="DJ14" s="38"/>
    </row>
    <row r="15" spans="1:114" x14ac:dyDescent="0.55000000000000004">
      <c r="A15" s="10" t="str">
        <f t="shared" si="9"/>
        <v/>
      </c>
      <c r="B15" s="15" t="str">
        <f t="shared" si="5"/>
        <v/>
      </c>
      <c r="C15" s="15" t="str">
        <f t="shared" si="6"/>
        <v/>
      </c>
      <c r="D15" s="15" t="str">
        <f t="shared" si="7"/>
        <v/>
      </c>
      <c r="E15" s="58"/>
      <c r="F15" s="5"/>
      <c r="G15" s="6"/>
      <c r="H15" s="6"/>
      <c r="I15" s="6"/>
      <c r="J15" s="18" t="str">
        <f t="shared" si="2"/>
        <v/>
      </c>
      <c r="K15" s="5"/>
      <c r="L15" s="6"/>
      <c r="M15" s="6"/>
      <c r="N15" s="6"/>
      <c r="O15" s="18" t="str">
        <f t="shared" si="8"/>
        <v/>
      </c>
      <c r="P15" s="5"/>
      <c r="Q15" s="6"/>
      <c r="R15" s="6"/>
      <c r="S15" s="6"/>
      <c r="T15" s="18" t="str">
        <f t="shared" si="3"/>
        <v/>
      </c>
      <c r="U15" s="5"/>
      <c r="V15" s="6"/>
      <c r="W15" s="6"/>
      <c r="X15" s="6"/>
      <c r="Y15" s="18" t="str">
        <f t="shared" si="4"/>
        <v/>
      </c>
      <c r="Z15" s="45" t="str">
        <f>IF($J15="","",ROUND(($J15-30000)/1000,1)+(2.5-_xlfn.RANK.AVG($J15,($J15,$O15,$T15,$Y15)))*20+IF(_xlfn.RANK.EQ($J15,($J15,$O15,$T15,$Y15))=1,20/((_xlfn.RANK.AVG($J15,($J15,$O15,$T15,$Y15))-1)*2+1),0))</f>
        <v/>
      </c>
      <c r="AA15" s="46" t="str">
        <f>IF($O15="","",ROUND(($O15-30000)/1000,1)+(2.5-_xlfn.RANK.AVG($O15,($J15,$O15,$T15,$Y15)))*20+IF(_xlfn.RANK.EQ($O15,($J15,$O15,$T15,$Y15))=1,20/((_xlfn.RANK.AVG($O15,($J15,$O15,$T15,$Y15))-1)*2+1),0))</f>
        <v/>
      </c>
      <c r="AB15" s="46" t="str">
        <f>IF($T15="","",ROUND(($T15-30000)/1000,1)+(2.5-_xlfn.RANK.AVG($T15,($J15,$O15,$T15,$Y15)))*20+IF(_xlfn.RANK.EQ($T15,($J15,$O15,$T15,$Y15))=1,20/((_xlfn.RANK.AVG($T15,($J15,$O15,$T15,$Y15))-1)*2+1),0))</f>
        <v/>
      </c>
      <c r="AC15" s="47" t="str">
        <f>IF($Y15="","",ROUND(($Y15-30000)/1000,1)+(2.5-_xlfn.RANK.AVG($Y15,($J15,$O15,$T15,$Y15)))*20+IF(_xlfn.RANK.EQ($Y15,($J15,$O15,$T15,$Y15))=1,20/((_xlfn.RANK.AVG($Y15,($J15,$O15,$T15,$Y15))-1)*2+1),0))</f>
        <v/>
      </c>
      <c r="AE15" s="5"/>
      <c r="AF15" s="30"/>
      <c r="AG15" s="23"/>
      <c r="AH15" s="23"/>
      <c r="AI15" s="23"/>
      <c r="AJ15" s="27"/>
      <c r="AK15" s="36"/>
      <c r="AL15" s="37"/>
      <c r="AM15" s="37"/>
      <c r="AN15" s="37"/>
      <c r="AO15" s="37"/>
      <c r="AP15" s="37"/>
      <c r="AQ15" s="37"/>
      <c r="AR15" s="37"/>
      <c r="AS15" s="37"/>
      <c r="AT15" s="37"/>
      <c r="AU15" s="37"/>
      <c r="AV15" s="37"/>
      <c r="AW15" s="37"/>
      <c r="AX15" s="37"/>
      <c r="AY15" s="38"/>
      <c r="AZ15" s="5"/>
      <c r="BA15" s="30"/>
      <c r="BB15" s="23"/>
      <c r="BC15" s="23"/>
      <c r="BD15" s="23"/>
      <c r="BE15" s="27"/>
      <c r="BF15" s="36"/>
      <c r="BG15" s="37"/>
      <c r="BH15" s="37"/>
      <c r="BI15" s="37"/>
      <c r="BJ15" s="37"/>
      <c r="BK15" s="37"/>
      <c r="BL15" s="37"/>
      <c r="BM15" s="37"/>
      <c r="BN15" s="37"/>
      <c r="BO15" s="37"/>
      <c r="BP15" s="37"/>
      <c r="BQ15" s="37"/>
      <c r="BR15" s="37"/>
      <c r="BS15" s="37"/>
      <c r="BT15" s="38"/>
      <c r="BU15" s="5"/>
      <c r="BV15" s="30"/>
      <c r="BW15" s="23"/>
      <c r="BX15" s="23"/>
      <c r="BY15" s="23"/>
      <c r="BZ15" s="27"/>
      <c r="CA15" s="36"/>
      <c r="CB15" s="37"/>
      <c r="CC15" s="37"/>
      <c r="CD15" s="37"/>
      <c r="CE15" s="37"/>
      <c r="CF15" s="37"/>
      <c r="CG15" s="37"/>
      <c r="CH15" s="37"/>
      <c r="CI15" s="37"/>
      <c r="CJ15" s="37"/>
      <c r="CK15" s="37"/>
      <c r="CL15" s="37"/>
      <c r="CM15" s="37"/>
      <c r="CN15" s="37"/>
      <c r="CO15" s="38"/>
      <c r="CP15" s="5"/>
      <c r="CQ15" s="30"/>
      <c r="CR15" s="23"/>
      <c r="CS15" s="23"/>
      <c r="CT15" s="23"/>
      <c r="CU15" s="27"/>
      <c r="CV15" s="36"/>
      <c r="CW15" s="37"/>
      <c r="CX15" s="37"/>
      <c r="CY15" s="37"/>
      <c r="CZ15" s="37"/>
      <c r="DA15" s="37"/>
      <c r="DB15" s="37"/>
      <c r="DC15" s="37"/>
      <c r="DD15" s="37"/>
      <c r="DE15" s="37"/>
      <c r="DF15" s="37"/>
      <c r="DG15" s="37"/>
      <c r="DH15" s="37"/>
      <c r="DI15" s="37"/>
      <c r="DJ15" s="38"/>
    </row>
    <row r="16" spans="1:114" x14ac:dyDescent="0.55000000000000004">
      <c r="A16" s="10" t="str">
        <f t="shared" si="9"/>
        <v/>
      </c>
      <c r="B16" s="15" t="str">
        <f t="shared" si="5"/>
        <v/>
      </c>
      <c r="C16" s="15" t="str">
        <f t="shared" si="6"/>
        <v/>
      </c>
      <c r="D16" s="15" t="str">
        <f t="shared" si="7"/>
        <v/>
      </c>
      <c r="E16" s="58"/>
      <c r="F16" s="5"/>
      <c r="G16" s="6"/>
      <c r="H16" s="6"/>
      <c r="I16" s="6"/>
      <c r="J16" s="18" t="str">
        <f t="shared" si="2"/>
        <v/>
      </c>
      <c r="K16" s="5"/>
      <c r="L16" s="6"/>
      <c r="M16" s="6"/>
      <c r="N16" s="6"/>
      <c r="O16" s="18" t="str">
        <f t="shared" si="8"/>
        <v/>
      </c>
      <c r="P16" s="5"/>
      <c r="Q16" s="6"/>
      <c r="R16" s="6"/>
      <c r="S16" s="6"/>
      <c r="T16" s="18" t="str">
        <f t="shared" si="3"/>
        <v/>
      </c>
      <c r="U16" s="5"/>
      <c r="V16" s="6"/>
      <c r="W16" s="6"/>
      <c r="X16" s="6"/>
      <c r="Y16" s="18" t="str">
        <f t="shared" si="4"/>
        <v/>
      </c>
      <c r="Z16" s="45" t="str">
        <f>IF($J16="","",ROUND(($J16-30000)/1000,1)+(2.5-_xlfn.RANK.AVG($J16,($J16,$O16,$T16,$Y16)))*20+IF(_xlfn.RANK.EQ($J16,($J16,$O16,$T16,$Y16))=1,20/((_xlfn.RANK.AVG($J16,($J16,$O16,$T16,$Y16))-1)*2+1),0))</f>
        <v/>
      </c>
      <c r="AA16" s="46" t="str">
        <f>IF($O16="","",ROUND(($O16-30000)/1000,1)+(2.5-_xlfn.RANK.AVG($O16,($J16,$O16,$T16,$Y16)))*20+IF(_xlfn.RANK.EQ($O16,($J16,$O16,$T16,$Y16))=1,20/((_xlfn.RANK.AVG($O16,($J16,$O16,$T16,$Y16))-1)*2+1),0))</f>
        <v/>
      </c>
      <c r="AB16" s="46" t="str">
        <f>IF($T16="","",ROUND(($T16-30000)/1000,1)+(2.5-_xlfn.RANK.AVG($T16,($J16,$O16,$T16,$Y16)))*20+IF(_xlfn.RANK.EQ($T16,($J16,$O16,$T16,$Y16))=1,20/((_xlfn.RANK.AVG($T16,($J16,$O16,$T16,$Y16))-1)*2+1),0))</f>
        <v/>
      </c>
      <c r="AC16" s="47" t="str">
        <f>IF($Y16="","",ROUND(($Y16-30000)/1000,1)+(2.5-_xlfn.RANK.AVG($Y16,($J16,$O16,$T16,$Y16)))*20+IF(_xlfn.RANK.EQ($Y16,($J16,$O16,$T16,$Y16))=1,20/((_xlfn.RANK.AVG($Y16,($J16,$O16,$T16,$Y16))-1)*2+1),0))</f>
        <v/>
      </c>
      <c r="AE16" s="5"/>
      <c r="AF16" s="30"/>
      <c r="AG16" s="23"/>
      <c r="AH16" s="23"/>
      <c r="AI16" s="23"/>
      <c r="AJ16" s="27"/>
      <c r="AK16" s="36"/>
      <c r="AL16" s="37"/>
      <c r="AM16" s="37"/>
      <c r="AN16" s="37"/>
      <c r="AO16" s="37"/>
      <c r="AP16" s="37"/>
      <c r="AQ16" s="37"/>
      <c r="AR16" s="37"/>
      <c r="AS16" s="37"/>
      <c r="AT16" s="37"/>
      <c r="AU16" s="37"/>
      <c r="AV16" s="37"/>
      <c r="AW16" s="37"/>
      <c r="AX16" s="37"/>
      <c r="AY16" s="38"/>
      <c r="AZ16" s="5"/>
      <c r="BA16" s="30"/>
      <c r="BB16" s="23"/>
      <c r="BC16" s="23"/>
      <c r="BD16" s="23"/>
      <c r="BE16" s="27"/>
      <c r="BF16" s="36"/>
      <c r="BG16" s="37"/>
      <c r="BH16" s="37"/>
      <c r="BI16" s="37"/>
      <c r="BJ16" s="37"/>
      <c r="BK16" s="37"/>
      <c r="BL16" s="37"/>
      <c r="BM16" s="37"/>
      <c r="BN16" s="37"/>
      <c r="BO16" s="37"/>
      <c r="BP16" s="37"/>
      <c r="BQ16" s="37"/>
      <c r="BR16" s="37"/>
      <c r="BS16" s="37"/>
      <c r="BT16" s="38"/>
      <c r="BU16" s="5"/>
      <c r="BV16" s="30"/>
      <c r="BW16" s="23"/>
      <c r="BX16" s="23"/>
      <c r="BY16" s="23"/>
      <c r="BZ16" s="27"/>
      <c r="CA16" s="36"/>
      <c r="CB16" s="37"/>
      <c r="CC16" s="37"/>
      <c r="CD16" s="37"/>
      <c r="CE16" s="37"/>
      <c r="CF16" s="37"/>
      <c r="CG16" s="37"/>
      <c r="CH16" s="37"/>
      <c r="CI16" s="37"/>
      <c r="CJ16" s="37"/>
      <c r="CK16" s="37"/>
      <c r="CL16" s="37"/>
      <c r="CM16" s="37"/>
      <c r="CN16" s="37"/>
      <c r="CO16" s="38"/>
      <c r="CP16" s="5"/>
      <c r="CQ16" s="30"/>
      <c r="CR16" s="23"/>
      <c r="CS16" s="23"/>
      <c r="CT16" s="23"/>
      <c r="CU16" s="27"/>
      <c r="CV16" s="36"/>
      <c r="CW16" s="37"/>
      <c r="CX16" s="37"/>
      <c r="CY16" s="37"/>
      <c r="CZ16" s="37"/>
      <c r="DA16" s="37"/>
      <c r="DB16" s="37"/>
      <c r="DC16" s="37"/>
      <c r="DD16" s="37"/>
      <c r="DE16" s="37"/>
      <c r="DF16" s="37"/>
      <c r="DG16" s="37"/>
      <c r="DH16" s="37"/>
      <c r="DI16" s="37"/>
      <c r="DJ16" s="38"/>
    </row>
    <row r="17" spans="1:114" x14ac:dyDescent="0.55000000000000004">
      <c r="A17" s="10" t="str">
        <f t="shared" si="9"/>
        <v/>
      </c>
      <c r="B17" s="15" t="str">
        <f t="shared" si="5"/>
        <v/>
      </c>
      <c r="C17" s="15" t="str">
        <f t="shared" si="6"/>
        <v/>
      </c>
      <c r="D17" s="15" t="str">
        <f t="shared" si="7"/>
        <v/>
      </c>
      <c r="E17" s="58"/>
      <c r="F17" s="5"/>
      <c r="G17" s="6"/>
      <c r="H17" s="6"/>
      <c r="I17" s="6"/>
      <c r="J17" s="18" t="str">
        <f t="shared" si="2"/>
        <v/>
      </c>
      <c r="K17" s="5"/>
      <c r="L17" s="6"/>
      <c r="M17" s="6"/>
      <c r="N17" s="6"/>
      <c r="O17" s="18" t="str">
        <f t="shared" si="8"/>
        <v/>
      </c>
      <c r="P17" s="5"/>
      <c r="Q17" s="6"/>
      <c r="R17" s="6"/>
      <c r="S17" s="6"/>
      <c r="T17" s="18" t="str">
        <f t="shared" si="3"/>
        <v/>
      </c>
      <c r="U17" s="5"/>
      <c r="V17" s="6"/>
      <c r="W17" s="6"/>
      <c r="X17" s="6"/>
      <c r="Y17" s="18" t="str">
        <f t="shared" si="4"/>
        <v/>
      </c>
      <c r="Z17" s="45" t="str">
        <f>IF($J17="","",ROUND(($J17-30000)/1000,1)+(2.5-_xlfn.RANK.AVG($J17,($J17,$O17,$T17,$Y17)))*20+IF(_xlfn.RANK.EQ($J17,($J17,$O17,$T17,$Y17))=1,20/((_xlfn.RANK.AVG($J17,($J17,$O17,$T17,$Y17))-1)*2+1),0))</f>
        <v/>
      </c>
      <c r="AA17" s="46" t="str">
        <f>IF($O17="","",ROUND(($O17-30000)/1000,1)+(2.5-_xlfn.RANK.AVG($O17,($J17,$O17,$T17,$Y17)))*20+IF(_xlfn.RANK.EQ($O17,($J17,$O17,$T17,$Y17))=1,20/((_xlfn.RANK.AVG($O17,($J17,$O17,$T17,$Y17))-1)*2+1),0))</f>
        <v/>
      </c>
      <c r="AB17" s="46" t="str">
        <f>IF($T17="","",ROUND(($T17-30000)/1000,1)+(2.5-_xlfn.RANK.AVG($T17,($J17,$O17,$T17,$Y17)))*20+IF(_xlfn.RANK.EQ($T17,($J17,$O17,$T17,$Y17))=1,20/((_xlfn.RANK.AVG($T17,($J17,$O17,$T17,$Y17))-1)*2+1),0))</f>
        <v/>
      </c>
      <c r="AC17" s="47" t="str">
        <f>IF($Y17="","",ROUND(($Y17-30000)/1000,1)+(2.5-_xlfn.RANK.AVG($Y17,($J17,$O17,$T17,$Y17)))*20+IF(_xlfn.RANK.EQ($Y17,($J17,$O17,$T17,$Y17))=1,20/((_xlfn.RANK.AVG($Y17,($J17,$O17,$T17,$Y17))-1)*2+1),0))</f>
        <v/>
      </c>
      <c r="AE17" s="5"/>
      <c r="AF17" s="30"/>
      <c r="AG17" s="23"/>
      <c r="AH17" s="23"/>
      <c r="AI17" s="23"/>
      <c r="AJ17" s="27"/>
      <c r="AK17" s="36"/>
      <c r="AL17" s="37"/>
      <c r="AM17" s="37"/>
      <c r="AN17" s="37"/>
      <c r="AO17" s="37"/>
      <c r="AP17" s="37"/>
      <c r="AQ17" s="37"/>
      <c r="AR17" s="37"/>
      <c r="AS17" s="37"/>
      <c r="AT17" s="37"/>
      <c r="AU17" s="37"/>
      <c r="AV17" s="37"/>
      <c r="AW17" s="37"/>
      <c r="AX17" s="37"/>
      <c r="AY17" s="38"/>
      <c r="AZ17" s="5"/>
      <c r="BA17" s="30"/>
      <c r="BB17" s="23"/>
      <c r="BC17" s="23"/>
      <c r="BD17" s="23"/>
      <c r="BE17" s="27"/>
      <c r="BF17" s="36"/>
      <c r="BG17" s="37"/>
      <c r="BH17" s="37"/>
      <c r="BI17" s="37"/>
      <c r="BJ17" s="37"/>
      <c r="BK17" s="37"/>
      <c r="BL17" s="37"/>
      <c r="BM17" s="37"/>
      <c r="BN17" s="37"/>
      <c r="BO17" s="37"/>
      <c r="BP17" s="37"/>
      <c r="BQ17" s="37"/>
      <c r="BR17" s="37"/>
      <c r="BS17" s="37"/>
      <c r="BT17" s="38"/>
      <c r="BU17" s="5"/>
      <c r="BV17" s="30"/>
      <c r="BW17" s="23"/>
      <c r="BX17" s="23"/>
      <c r="BY17" s="23"/>
      <c r="BZ17" s="27"/>
      <c r="CA17" s="36"/>
      <c r="CB17" s="37"/>
      <c r="CC17" s="37"/>
      <c r="CD17" s="37"/>
      <c r="CE17" s="37"/>
      <c r="CF17" s="37"/>
      <c r="CG17" s="37"/>
      <c r="CH17" s="37"/>
      <c r="CI17" s="37"/>
      <c r="CJ17" s="37"/>
      <c r="CK17" s="37"/>
      <c r="CL17" s="37"/>
      <c r="CM17" s="37"/>
      <c r="CN17" s="37"/>
      <c r="CO17" s="38"/>
      <c r="CP17" s="5"/>
      <c r="CQ17" s="30"/>
      <c r="CR17" s="23"/>
      <c r="CS17" s="23"/>
      <c r="CT17" s="23"/>
      <c r="CU17" s="27"/>
      <c r="CV17" s="36"/>
      <c r="CW17" s="37"/>
      <c r="CX17" s="37"/>
      <c r="CY17" s="37"/>
      <c r="CZ17" s="37"/>
      <c r="DA17" s="37"/>
      <c r="DB17" s="37"/>
      <c r="DC17" s="37"/>
      <c r="DD17" s="37"/>
      <c r="DE17" s="37"/>
      <c r="DF17" s="37"/>
      <c r="DG17" s="37"/>
      <c r="DH17" s="37"/>
      <c r="DI17" s="37"/>
      <c r="DJ17" s="38"/>
    </row>
    <row r="18" spans="1:114" x14ac:dyDescent="0.55000000000000004">
      <c r="A18" s="10" t="str">
        <f t="shared" si="9"/>
        <v/>
      </c>
      <c r="B18" s="15" t="str">
        <f t="shared" si="5"/>
        <v/>
      </c>
      <c r="C18" s="15" t="str">
        <f t="shared" si="6"/>
        <v/>
      </c>
      <c r="D18" s="15" t="str">
        <f t="shared" si="7"/>
        <v/>
      </c>
      <c r="E18" s="58"/>
      <c r="F18" s="5"/>
      <c r="G18" s="6"/>
      <c r="H18" s="6"/>
      <c r="I18" s="6"/>
      <c r="J18" s="18" t="str">
        <f t="shared" si="2"/>
        <v/>
      </c>
      <c r="K18" s="5"/>
      <c r="L18" s="6"/>
      <c r="M18" s="6"/>
      <c r="N18" s="6"/>
      <c r="O18" s="18" t="str">
        <f t="shared" si="8"/>
        <v/>
      </c>
      <c r="P18" s="5"/>
      <c r="Q18" s="6"/>
      <c r="R18" s="6"/>
      <c r="S18" s="6"/>
      <c r="T18" s="18" t="str">
        <f t="shared" si="3"/>
        <v/>
      </c>
      <c r="U18" s="5"/>
      <c r="V18" s="6"/>
      <c r="W18" s="6"/>
      <c r="X18" s="6"/>
      <c r="Y18" s="18" t="str">
        <f t="shared" si="4"/>
        <v/>
      </c>
      <c r="Z18" s="45" t="str">
        <f>IF($J18="","",ROUND(($J18-30000)/1000,1)+(2.5-_xlfn.RANK.AVG($J18,($J18,$O18,$T18,$Y18)))*20+IF(_xlfn.RANK.EQ($J18,($J18,$O18,$T18,$Y18))=1,20/((_xlfn.RANK.AVG($J18,($J18,$O18,$T18,$Y18))-1)*2+1),0))</f>
        <v/>
      </c>
      <c r="AA18" s="46" t="str">
        <f>IF($O18="","",ROUND(($O18-30000)/1000,1)+(2.5-_xlfn.RANK.AVG($O18,($J18,$O18,$T18,$Y18)))*20+IF(_xlfn.RANK.EQ($O18,($J18,$O18,$T18,$Y18))=1,20/((_xlfn.RANK.AVG($O18,($J18,$O18,$T18,$Y18))-1)*2+1),0))</f>
        <v/>
      </c>
      <c r="AB18" s="46" t="str">
        <f>IF($T18="","",ROUND(($T18-30000)/1000,1)+(2.5-_xlfn.RANK.AVG($T18,($J18,$O18,$T18,$Y18)))*20+IF(_xlfn.RANK.EQ($T18,($J18,$O18,$T18,$Y18))=1,20/((_xlfn.RANK.AVG($T18,($J18,$O18,$T18,$Y18))-1)*2+1),0))</f>
        <v/>
      </c>
      <c r="AC18" s="47" t="str">
        <f>IF($Y18="","",ROUND(($Y18-30000)/1000,1)+(2.5-_xlfn.RANK.AVG($Y18,($J18,$O18,$T18,$Y18)))*20+IF(_xlfn.RANK.EQ($Y18,($J18,$O18,$T18,$Y18))=1,20/((_xlfn.RANK.AVG($Y18,($J18,$O18,$T18,$Y18))-1)*2+1),0))</f>
        <v/>
      </c>
      <c r="AE18" s="5"/>
      <c r="AF18" s="30"/>
      <c r="AG18" s="23"/>
      <c r="AH18" s="23"/>
      <c r="AI18" s="23"/>
      <c r="AJ18" s="27"/>
      <c r="AK18" s="36"/>
      <c r="AL18" s="37"/>
      <c r="AM18" s="37"/>
      <c r="AN18" s="37"/>
      <c r="AO18" s="37"/>
      <c r="AP18" s="37"/>
      <c r="AQ18" s="37"/>
      <c r="AR18" s="37"/>
      <c r="AS18" s="37"/>
      <c r="AT18" s="37"/>
      <c r="AU18" s="37"/>
      <c r="AV18" s="37"/>
      <c r="AW18" s="37"/>
      <c r="AX18" s="37"/>
      <c r="AY18" s="38"/>
      <c r="AZ18" s="5"/>
      <c r="BA18" s="30"/>
      <c r="BB18" s="23"/>
      <c r="BC18" s="23"/>
      <c r="BD18" s="23"/>
      <c r="BE18" s="27"/>
      <c r="BF18" s="36"/>
      <c r="BG18" s="37"/>
      <c r="BH18" s="37"/>
      <c r="BI18" s="37"/>
      <c r="BJ18" s="37"/>
      <c r="BK18" s="37"/>
      <c r="BL18" s="37"/>
      <c r="BM18" s="37"/>
      <c r="BN18" s="37"/>
      <c r="BO18" s="37"/>
      <c r="BP18" s="37"/>
      <c r="BQ18" s="37"/>
      <c r="BR18" s="37"/>
      <c r="BS18" s="37"/>
      <c r="BT18" s="38"/>
      <c r="BU18" s="5"/>
      <c r="BV18" s="30"/>
      <c r="BW18" s="23"/>
      <c r="BX18" s="23"/>
      <c r="BY18" s="23"/>
      <c r="BZ18" s="27"/>
      <c r="CA18" s="36"/>
      <c r="CB18" s="37"/>
      <c r="CC18" s="37"/>
      <c r="CD18" s="37"/>
      <c r="CE18" s="37"/>
      <c r="CF18" s="37"/>
      <c r="CG18" s="37"/>
      <c r="CH18" s="37"/>
      <c r="CI18" s="37"/>
      <c r="CJ18" s="37"/>
      <c r="CK18" s="37"/>
      <c r="CL18" s="37"/>
      <c r="CM18" s="37"/>
      <c r="CN18" s="37"/>
      <c r="CO18" s="38"/>
      <c r="CP18" s="5"/>
      <c r="CQ18" s="30"/>
      <c r="CR18" s="23"/>
      <c r="CS18" s="23"/>
      <c r="CT18" s="23"/>
      <c r="CU18" s="27"/>
      <c r="CV18" s="36"/>
      <c r="CW18" s="37"/>
      <c r="CX18" s="37"/>
      <c r="CY18" s="37"/>
      <c r="CZ18" s="37"/>
      <c r="DA18" s="37"/>
      <c r="DB18" s="37"/>
      <c r="DC18" s="37"/>
      <c r="DD18" s="37"/>
      <c r="DE18" s="37"/>
      <c r="DF18" s="37"/>
      <c r="DG18" s="37"/>
      <c r="DH18" s="37"/>
      <c r="DI18" s="37"/>
      <c r="DJ18" s="38"/>
    </row>
    <row r="19" spans="1:114" x14ac:dyDescent="0.55000000000000004">
      <c r="A19" s="10" t="str">
        <f t="shared" si="9"/>
        <v/>
      </c>
      <c r="B19" s="15" t="str">
        <f t="shared" si="5"/>
        <v/>
      </c>
      <c r="C19" s="15" t="str">
        <f t="shared" si="6"/>
        <v/>
      </c>
      <c r="D19" s="15" t="str">
        <f t="shared" si="7"/>
        <v/>
      </c>
      <c r="E19" s="58"/>
      <c r="F19" s="5"/>
      <c r="G19" s="6"/>
      <c r="H19" s="6"/>
      <c r="I19" s="6"/>
      <c r="J19" s="18" t="str">
        <f t="shared" si="2"/>
        <v/>
      </c>
      <c r="K19" s="5"/>
      <c r="L19" s="6"/>
      <c r="M19" s="6"/>
      <c r="N19" s="6"/>
      <c r="O19" s="18" t="str">
        <f t="shared" si="8"/>
        <v/>
      </c>
      <c r="P19" s="5"/>
      <c r="Q19" s="6"/>
      <c r="R19" s="6"/>
      <c r="S19" s="6"/>
      <c r="T19" s="18" t="str">
        <f t="shared" si="3"/>
        <v/>
      </c>
      <c r="U19" s="5"/>
      <c r="V19" s="6"/>
      <c r="W19" s="6"/>
      <c r="X19" s="6"/>
      <c r="Y19" s="18" t="str">
        <f t="shared" si="4"/>
        <v/>
      </c>
      <c r="Z19" s="45" t="str">
        <f>IF($J19="","",ROUND(($J19-30000)/1000,1)+(2.5-_xlfn.RANK.AVG($J19,($J19,$O19,$T19,$Y19)))*20+IF(_xlfn.RANK.EQ($J19,($J19,$O19,$T19,$Y19))=1,20/((_xlfn.RANK.AVG($J19,($J19,$O19,$T19,$Y19))-1)*2+1),0))</f>
        <v/>
      </c>
      <c r="AA19" s="46" t="str">
        <f>IF($O19="","",ROUND(($O19-30000)/1000,1)+(2.5-_xlfn.RANK.AVG($O19,($J19,$O19,$T19,$Y19)))*20+IF(_xlfn.RANK.EQ($O19,($J19,$O19,$T19,$Y19))=1,20/((_xlfn.RANK.AVG($O19,($J19,$O19,$T19,$Y19))-1)*2+1),0))</f>
        <v/>
      </c>
      <c r="AB19" s="46" t="str">
        <f>IF($T19="","",ROUND(($T19-30000)/1000,1)+(2.5-_xlfn.RANK.AVG($T19,($J19,$O19,$T19,$Y19)))*20+IF(_xlfn.RANK.EQ($T19,($J19,$O19,$T19,$Y19))=1,20/((_xlfn.RANK.AVG($T19,($J19,$O19,$T19,$Y19))-1)*2+1),0))</f>
        <v/>
      </c>
      <c r="AC19" s="47" t="str">
        <f>IF($Y19="","",ROUND(($Y19-30000)/1000,1)+(2.5-_xlfn.RANK.AVG($Y19,($J19,$O19,$T19,$Y19)))*20+IF(_xlfn.RANK.EQ($Y19,($J19,$O19,$T19,$Y19))=1,20/((_xlfn.RANK.AVG($Y19,($J19,$O19,$T19,$Y19))-1)*2+1),0))</f>
        <v/>
      </c>
      <c r="AE19" s="5"/>
      <c r="AF19" s="30"/>
      <c r="AG19" s="23"/>
      <c r="AH19" s="23"/>
      <c r="AI19" s="23"/>
      <c r="AJ19" s="27"/>
      <c r="AK19" s="36"/>
      <c r="AL19" s="37"/>
      <c r="AM19" s="37"/>
      <c r="AN19" s="37"/>
      <c r="AO19" s="37"/>
      <c r="AP19" s="37"/>
      <c r="AQ19" s="37"/>
      <c r="AR19" s="37"/>
      <c r="AS19" s="37"/>
      <c r="AT19" s="37"/>
      <c r="AU19" s="37"/>
      <c r="AV19" s="37"/>
      <c r="AW19" s="37"/>
      <c r="AX19" s="37"/>
      <c r="AY19" s="38"/>
      <c r="AZ19" s="5"/>
      <c r="BA19" s="30"/>
      <c r="BB19" s="23"/>
      <c r="BC19" s="23"/>
      <c r="BD19" s="23"/>
      <c r="BE19" s="27"/>
      <c r="BF19" s="36"/>
      <c r="BG19" s="37"/>
      <c r="BH19" s="37"/>
      <c r="BI19" s="37"/>
      <c r="BJ19" s="37"/>
      <c r="BK19" s="37"/>
      <c r="BL19" s="37"/>
      <c r="BM19" s="37"/>
      <c r="BN19" s="37"/>
      <c r="BO19" s="37"/>
      <c r="BP19" s="37"/>
      <c r="BQ19" s="37"/>
      <c r="BR19" s="37"/>
      <c r="BS19" s="37"/>
      <c r="BT19" s="38"/>
      <c r="BU19" s="5"/>
      <c r="BV19" s="30"/>
      <c r="BW19" s="23"/>
      <c r="BX19" s="23"/>
      <c r="BY19" s="23"/>
      <c r="BZ19" s="27"/>
      <c r="CA19" s="36"/>
      <c r="CB19" s="37"/>
      <c r="CC19" s="37"/>
      <c r="CD19" s="37"/>
      <c r="CE19" s="37"/>
      <c r="CF19" s="37"/>
      <c r="CG19" s="37"/>
      <c r="CH19" s="37"/>
      <c r="CI19" s="37"/>
      <c r="CJ19" s="37"/>
      <c r="CK19" s="37"/>
      <c r="CL19" s="37"/>
      <c r="CM19" s="37"/>
      <c r="CN19" s="37"/>
      <c r="CO19" s="38"/>
      <c r="CP19" s="5"/>
      <c r="CQ19" s="30"/>
      <c r="CR19" s="23"/>
      <c r="CS19" s="23"/>
      <c r="CT19" s="23"/>
      <c r="CU19" s="27"/>
      <c r="CV19" s="36"/>
      <c r="CW19" s="37"/>
      <c r="CX19" s="37"/>
      <c r="CY19" s="37"/>
      <c r="CZ19" s="37"/>
      <c r="DA19" s="37"/>
      <c r="DB19" s="37"/>
      <c r="DC19" s="37"/>
      <c r="DD19" s="37"/>
      <c r="DE19" s="37"/>
      <c r="DF19" s="37"/>
      <c r="DG19" s="37"/>
      <c r="DH19" s="37"/>
      <c r="DI19" s="37"/>
      <c r="DJ19" s="38"/>
    </row>
    <row r="20" spans="1:114" x14ac:dyDescent="0.55000000000000004">
      <c r="A20" s="10" t="str">
        <f t="shared" si="9"/>
        <v/>
      </c>
      <c r="B20" s="15" t="str">
        <f t="shared" si="5"/>
        <v/>
      </c>
      <c r="C20" s="15" t="str">
        <f t="shared" si="6"/>
        <v/>
      </c>
      <c r="D20" s="15" t="str">
        <f t="shared" si="7"/>
        <v/>
      </c>
      <c r="E20" s="58"/>
      <c r="F20" s="5"/>
      <c r="G20" s="6"/>
      <c r="H20" s="6"/>
      <c r="I20" s="6"/>
      <c r="J20" s="18" t="str">
        <f t="shared" si="2"/>
        <v/>
      </c>
      <c r="K20" s="5"/>
      <c r="L20" s="6"/>
      <c r="M20" s="6"/>
      <c r="N20" s="6"/>
      <c r="O20" s="18" t="str">
        <f t="shared" si="8"/>
        <v/>
      </c>
      <c r="P20" s="5"/>
      <c r="Q20" s="6"/>
      <c r="R20" s="6"/>
      <c r="S20" s="6"/>
      <c r="T20" s="18" t="str">
        <f t="shared" si="3"/>
        <v/>
      </c>
      <c r="U20" s="5"/>
      <c r="V20" s="6"/>
      <c r="W20" s="6"/>
      <c r="X20" s="6"/>
      <c r="Y20" s="18" t="str">
        <f t="shared" si="4"/>
        <v/>
      </c>
      <c r="Z20" s="45" t="str">
        <f>IF($J20="","",ROUND(($J20-30000)/1000,1)+(2.5-_xlfn.RANK.AVG($J20,($J20,$O20,$T20,$Y20)))*20+IF(_xlfn.RANK.EQ($J20,($J20,$O20,$T20,$Y20))=1,20/((_xlfn.RANK.AVG($J20,($J20,$O20,$T20,$Y20))-1)*2+1),0))</f>
        <v/>
      </c>
      <c r="AA20" s="46" t="str">
        <f>IF($O20="","",ROUND(($O20-30000)/1000,1)+(2.5-_xlfn.RANK.AVG($O20,($J20,$O20,$T20,$Y20)))*20+IF(_xlfn.RANK.EQ($O20,($J20,$O20,$T20,$Y20))=1,20/((_xlfn.RANK.AVG($O20,($J20,$O20,$T20,$Y20))-1)*2+1),0))</f>
        <v/>
      </c>
      <c r="AB20" s="46" t="str">
        <f>IF($T20="","",ROUND(($T20-30000)/1000,1)+(2.5-_xlfn.RANK.AVG($T20,($J20,$O20,$T20,$Y20)))*20+IF(_xlfn.RANK.EQ($T20,($J20,$O20,$T20,$Y20))=1,20/((_xlfn.RANK.AVG($T20,($J20,$O20,$T20,$Y20))-1)*2+1),0))</f>
        <v/>
      </c>
      <c r="AC20" s="47" t="str">
        <f>IF($Y20="","",ROUND(($Y20-30000)/1000,1)+(2.5-_xlfn.RANK.AVG($Y20,($J20,$O20,$T20,$Y20)))*20+IF(_xlfn.RANK.EQ($Y20,($J20,$O20,$T20,$Y20))=1,20/((_xlfn.RANK.AVG($Y20,($J20,$O20,$T20,$Y20))-1)*2+1),0))</f>
        <v/>
      </c>
      <c r="AE20" s="5"/>
      <c r="AF20" s="30"/>
      <c r="AG20" s="23"/>
      <c r="AH20" s="23"/>
      <c r="AI20" s="23"/>
      <c r="AJ20" s="27"/>
      <c r="AK20" s="36"/>
      <c r="AL20" s="37"/>
      <c r="AM20" s="37"/>
      <c r="AN20" s="37"/>
      <c r="AO20" s="37"/>
      <c r="AP20" s="37"/>
      <c r="AQ20" s="37"/>
      <c r="AR20" s="37"/>
      <c r="AS20" s="37"/>
      <c r="AT20" s="37"/>
      <c r="AU20" s="37"/>
      <c r="AV20" s="37"/>
      <c r="AW20" s="37"/>
      <c r="AX20" s="37"/>
      <c r="AY20" s="38"/>
      <c r="AZ20" s="5"/>
      <c r="BA20" s="30"/>
      <c r="BB20" s="23"/>
      <c r="BC20" s="23"/>
      <c r="BD20" s="23"/>
      <c r="BE20" s="27"/>
      <c r="BF20" s="36"/>
      <c r="BG20" s="37"/>
      <c r="BH20" s="37"/>
      <c r="BI20" s="37"/>
      <c r="BJ20" s="37"/>
      <c r="BK20" s="37"/>
      <c r="BL20" s="37"/>
      <c r="BM20" s="37"/>
      <c r="BN20" s="37"/>
      <c r="BO20" s="37"/>
      <c r="BP20" s="37"/>
      <c r="BQ20" s="37"/>
      <c r="BR20" s="37"/>
      <c r="BS20" s="37"/>
      <c r="BT20" s="38"/>
      <c r="BU20" s="5"/>
      <c r="BV20" s="30"/>
      <c r="BW20" s="23"/>
      <c r="BX20" s="23"/>
      <c r="BY20" s="23"/>
      <c r="BZ20" s="27"/>
      <c r="CA20" s="36"/>
      <c r="CB20" s="37"/>
      <c r="CC20" s="37"/>
      <c r="CD20" s="37"/>
      <c r="CE20" s="37"/>
      <c r="CF20" s="37"/>
      <c r="CG20" s="37"/>
      <c r="CH20" s="37"/>
      <c r="CI20" s="37"/>
      <c r="CJ20" s="37"/>
      <c r="CK20" s="37"/>
      <c r="CL20" s="37"/>
      <c r="CM20" s="37"/>
      <c r="CN20" s="37"/>
      <c r="CO20" s="38"/>
      <c r="CP20" s="5"/>
      <c r="CQ20" s="30"/>
      <c r="CR20" s="23"/>
      <c r="CS20" s="23"/>
      <c r="CT20" s="23"/>
      <c r="CU20" s="27"/>
      <c r="CV20" s="36"/>
      <c r="CW20" s="37"/>
      <c r="CX20" s="37"/>
      <c r="CY20" s="37"/>
      <c r="CZ20" s="37"/>
      <c r="DA20" s="37"/>
      <c r="DB20" s="37"/>
      <c r="DC20" s="37"/>
      <c r="DD20" s="37"/>
      <c r="DE20" s="37"/>
      <c r="DF20" s="37"/>
      <c r="DG20" s="37"/>
      <c r="DH20" s="37"/>
      <c r="DI20" s="37"/>
      <c r="DJ20" s="38"/>
    </row>
    <row r="21" spans="1:114" x14ac:dyDescent="0.55000000000000004">
      <c r="A21" s="10" t="str">
        <f t="shared" si="9"/>
        <v/>
      </c>
      <c r="B21" s="15" t="str">
        <f t="shared" si="5"/>
        <v/>
      </c>
      <c r="C21" s="15" t="str">
        <f t="shared" si="6"/>
        <v/>
      </c>
      <c r="D21" s="15" t="str">
        <f t="shared" si="7"/>
        <v/>
      </c>
      <c r="E21" s="58"/>
      <c r="F21" s="5"/>
      <c r="G21" s="6"/>
      <c r="H21" s="6"/>
      <c r="I21" s="6"/>
      <c r="J21" s="18" t="str">
        <f t="shared" si="2"/>
        <v/>
      </c>
      <c r="K21" s="5"/>
      <c r="L21" s="6"/>
      <c r="M21" s="6"/>
      <c r="N21" s="6"/>
      <c r="O21" s="18" t="str">
        <f t="shared" si="8"/>
        <v/>
      </c>
      <c r="P21" s="5"/>
      <c r="Q21" s="6"/>
      <c r="R21" s="6"/>
      <c r="S21" s="6"/>
      <c r="T21" s="18" t="str">
        <f t="shared" si="3"/>
        <v/>
      </c>
      <c r="U21" s="5"/>
      <c r="V21" s="6"/>
      <c r="W21" s="6"/>
      <c r="X21" s="6"/>
      <c r="Y21" s="18" t="str">
        <f t="shared" si="4"/>
        <v/>
      </c>
      <c r="Z21" s="45" t="str">
        <f>IF($J21="","",ROUND(($J21-30000)/1000,1)+(2.5-_xlfn.RANK.AVG($J21,($J21,$O21,$T21,$Y21)))*20+IF(_xlfn.RANK.EQ($J21,($J21,$O21,$T21,$Y21))=1,20/((_xlfn.RANK.AVG($J21,($J21,$O21,$T21,$Y21))-1)*2+1),0))</f>
        <v/>
      </c>
      <c r="AA21" s="46" t="str">
        <f>IF($O21="","",ROUND(($O21-30000)/1000,1)+(2.5-_xlfn.RANK.AVG($O21,($J21,$O21,$T21,$Y21)))*20+IF(_xlfn.RANK.EQ($O21,($J21,$O21,$T21,$Y21))=1,20/((_xlfn.RANK.AVG($O21,($J21,$O21,$T21,$Y21))-1)*2+1),0))</f>
        <v/>
      </c>
      <c r="AB21" s="46" t="str">
        <f>IF($T21="","",ROUND(($T21-30000)/1000,1)+(2.5-_xlfn.RANK.AVG($T21,($J21,$O21,$T21,$Y21)))*20+IF(_xlfn.RANK.EQ($T21,($J21,$O21,$T21,$Y21))=1,20/((_xlfn.RANK.AVG($T21,($J21,$O21,$T21,$Y21))-1)*2+1),0))</f>
        <v/>
      </c>
      <c r="AC21" s="47" t="str">
        <f>IF($Y21="","",ROUND(($Y21-30000)/1000,1)+(2.5-_xlfn.RANK.AVG($Y21,($J21,$O21,$T21,$Y21)))*20+IF(_xlfn.RANK.EQ($Y21,($J21,$O21,$T21,$Y21))=1,20/((_xlfn.RANK.AVG($Y21,($J21,$O21,$T21,$Y21))-1)*2+1),0))</f>
        <v/>
      </c>
      <c r="AE21" s="5"/>
      <c r="AF21" s="30"/>
      <c r="AG21" s="23"/>
      <c r="AH21" s="23"/>
      <c r="AI21" s="23"/>
      <c r="AJ21" s="27"/>
      <c r="AK21" s="36"/>
      <c r="AL21" s="37"/>
      <c r="AM21" s="37"/>
      <c r="AN21" s="37"/>
      <c r="AO21" s="37"/>
      <c r="AP21" s="37"/>
      <c r="AQ21" s="37"/>
      <c r="AR21" s="37"/>
      <c r="AS21" s="37"/>
      <c r="AT21" s="37"/>
      <c r="AU21" s="37"/>
      <c r="AV21" s="37"/>
      <c r="AW21" s="37"/>
      <c r="AX21" s="37"/>
      <c r="AY21" s="38"/>
      <c r="AZ21" s="5"/>
      <c r="BA21" s="30"/>
      <c r="BB21" s="23"/>
      <c r="BC21" s="23"/>
      <c r="BD21" s="23"/>
      <c r="BE21" s="27"/>
      <c r="BF21" s="36"/>
      <c r="BG21" s="37"/>
      <c r="BH21" s="37"/>
      <c r="BI21" s="37"/>
      <c r="BJ21" s="37"/>
      <c r="BK21" s="37"/>
      <c r="BL21" s="37"/>
      <c r="BM21" s="37"/>
      <c r="BN21" s="37"/>
      <c r="BO21" s="37"/>
      <c r="BP21" s="37"/>
      <c r="BQ21" s="37"/>
      <c r="BR21" s="37"/>
      <c r="BS21" s="37"/>
      <c r="BT21" s="38"/>
      <c r="BU21" s="5"/>
      <c r="BV21" s="30"/>
      <c r="BW21" s="23"/>
      <c r="BX21" s="23"/>
      <c r="BY21" s="23"/>
      <c r="BZ21" s="27"/>
      <c r="CA21" s="36"/>
      <c r="CB21" s="37"/>
      <c r="CC21" s="37"/>
      <c r="CD21" s="37"/>
      <c r="CE21" s="37"/>
      <c r="CF21" s="37"/>
      <c r="CG21" s="37"/>
      <c r="CH21" s="37"/>
      <c r="CI21" s="37"/>
      <c r="CJ21" s="37"/>
      <c r="CK21" s="37"/>
      <c r="CL21" s="37"/>
      <c r="CM21" s="37"/>
      <c r="CN21" s="37"/>
      <c r="CO21" s="38"/>
      <c r="CP21" s="5"/>
      <c r="CQ21" s="30"/>
      <c r="CR21" s="23"/>
      <c r="CS21" s="23"/>
      <c r="CT21" s="23"/>
      <c r="CU21" s="27"/>
      <c r="CV21" s="36"/>
      <c r="CW21" s="37"/>
      <c r="CX21" s="37"/>
      <c r="CY21" s="37"/>
      <c r="CZ21" s="37"/>
      <c r="DA21" s="37"/>
      <c r="DB21" s="37"/>
      <c r="DC21" s="37"/>
      <c r="DD21" s="37"/>
      <c r="DE21" s="37"/>
      <c r="DF21" s="37"/>
      <c r="DG21" s="37"/>
      <c r="DH21" s="37"/>
      <c r="DI21" s="37"/>
      <c r="DJ21" s="38"/>
    </row>
    <row r="22" spans="1:114" x14ac:dyDescent="0.55000000000000004">
      <c r="A22" s="10" t="str">
        <f t="shared" si="9"/>
        <v/>
      </c>
      <c r="B22" s="15" t="str">
        <f t="shared" si="5"/>
        <v/>
      </c>
      <c r="C22" s="15" t="str">
        <f t="shared" si="6"/>
        <v/>
      </c>
      <c r="D22" s="15" t="str">
        <f t="shared" si="7"/>
        <v/>
      </c>
      <c r="E22" s="58"/>
      <c r="F22" s="5"/>
      <c r="G22" s="6"/>
      <c r="H22" s="6"/>
      <c r="I22" s="6"/>
      <c r="J22" s="18" t="str">
        <f t="shared" si="2"/>
        <v/>
      </c>
      <c r="K22" s="5"/>
      <c r="L22" s="6"/>
      <c r="M22" s="6"/>
      <c r="N22" s="6"/>
      <c r="O22" s="18" t="str">
        <f t="shared" si="8"/>
        <v/>
      </c>
      <c r="P22" s="5"/>
      <c r="Q22" s="6"/>
      <c r="R22" s="6"/>
      <c r="S22" s="6"/>
      <c r="T22" s="18" t="str">
        <f t="shared" si="3"/>
        <v/>
      </c>
      <c r="U22" s="5"/>
      <c r="V22" s="6"/>
      <c r="W22" s="6"/>
      <c r="X22" s="6"/>
      <c r="Y22" s="18" t="str">
        <f t="shared" si="4"/>
        <v/>
      </c>
      <c r="Z22" s="45" t="str">
        <f>IF($J22="","",ROUND(($J22-30000)/1000,1)+(2.5-_xlfn.RANK.AVG($J22,($J22,$O22,$T22,$Y22)))*20+IF(_xlfn.RANK.EQ($J22,($J22,$O22,$T22,$Y22))=1,20/((_xlfn.RANK.AVG($J22,($J22,$O22,$T22,$Y22))-1)*2+1),0))</f>
        <v/>
      </c>
      <c r="AA22" s="46" t="str">
        <f>IF($O22="","",ROUND(($O22-30000)/1000,1)+(2.5-_xlfn.RANK.AVG($O22,($J22,$O22,$T22,$Y22)))*20+IF(_xlfn.RANK.EQ($O22,($J22,$O22,$T22,$Y22))=1,20/((_xlfn.RANK.AVG($O22,($J22,$O22,$T22,$Y22))-1)*2+1),0))</f>
        <v/>
      </c>
      <c r="AB22" s="46" t="str">
        <f>IF($T22="","",ROUND(($T22-30000)/1000,1)+(2.5-_xlfn.RANK.AVG($T22,($J22,$O22,$T22,$Y22)))*20+IF(_xlfn.RANK.EQ($T22,($J22,$O22,$T22,$Y22))=1,20/((_xlfn.RANK.AVG($T22,($J22,$O22,$T22,$Y22))-1)*2+1),0))</f>
        <v/>
      </c>
      <c r="AC22" s="47" t="str">
        <f>IF($Y22="","",ROUND(($Y22-30000)/1000,1)+(2.5-_xlfn.RANK.AVG($Y22,($J22,$O22,$T22,$Y22)))*20+IF(_xlfn.RANK.EQ($Y22,($J22,$O22,$T22,$Y22))=1,20/((_xlfn.RANK.AVG($Y22,($J22,$O22,$T22,$Y22))-1)*2+1),0))</f>
        <v/>
      </c>
      <c r="AE22" s="5"/>
      <c r="AF22" s="30"/>
      <c r="AG22" s="23"/>
      <c r="AH22" s="23"/>
      <c r="AI22" s="23"/>
      <c r="AJ22" s="27"/>
      <c r="AK22" s="36"/>
      <c r="AL22" s="37"/>
      <c r="AM22" s="37"/>
      <c r="AN22" s="37"/>
      <c r="AO22" s="37"/>
      <c r="AP22" s="37"/>
      <c r="AQ22" s="37"/>
      <c r="AR22" s="37"/>
      <c r="AS22" s="37"/>
      <c r="AT22" s="37"/>
      <c r="AU22" s="37"/>
      <c r="AV22" s="37"/>
      <c r="AW22" s="37"/>
      <c r="AX22" s="37"/>
      <c r="AY22" s="38"/>
      <c r="AZ22" s="5"/>
      <c r="BA22" s="30"/>
      <c r="BB22" s="23"/>
      <c r="BC22" s="23"/>
      <c r="BD22" s="23"/>
      <c r="BE22" s="27"/>
      <c r="BF22" s="36"/>
      <c r="BG22" s="37"/>
      <c r="BH22" s="37"/>
      <c r="BI22" s="37"/>
      <c r="BJ22" s="37"/>
      <c r="BK22" s="37"/>
      <c r="BL22" s="37"/>
      <c r="BM22" s="37"/>
      <c r="BN22" s="37"/>
      <c r="BO22" s="37"/>
      <c r="BP22" s="37"/>
      <c r="BQ22" s="37"/>
      <c r="BR22" s="37"/>
      <c r="BS22" s="37"/>
      <c r="BT22" s="38"/>
      <c r="BU22" s="5"/>
      <c r="BV22" s="30"/>
      <c r="BW22" s="23"/>
      <c r="BX22" s="23"/>
      <c r="BY22" s="23"/>
      <c r="BZ22" s="27"/>
      <c r="CA22" s="36"/>
      <c r="CB22" s="37"/>
      <c r="CC22" s="37"/>
      <c r="CD22" s="37"/>
      <c r="CE22" s="37"/>
      <c r="CF22" s="37"/>
      <c r="CG22" s="37"/>
      <c r="CH22" s="37"/>
      <c r="CI22" s="37"/>
      <c r="CJ22" s="37"/>
      <c r="CK22" s="37"/>
      <c r="CL22" s="37"/>
      <c r="CM22" s="37"/>
      <c r="CN22" s="37"/>
      <c r="CO22" s="38"/>
      <c r="CP22" s="5"/>
      <c r="CQ22" s="30"/>
      <c r="CR22" s="23"/>
      <c r="CS22" s="23"/>
      <c r="CT22" s="23"/>
      <c r="CU22" s="27"/>
      <c r="CV22" s="36"/>
      <c r="CW22" s="37"/>
      <c r="CX22" s="37"/>
      <c r="CY22" s="37"/>
      <c r="CZ22" s="37"/>
      <c r="DA22" s="37"/>
      <c r="DB22" s="37"/>
      <c r="DC22" s="37"/>
      <c r="DD22" s="37"/>
      <c r="DE22" s="37"/>
      <c r="DF22" s="37"/>
      <c r="DG22" s="37"/>
      <c r="DH22" s="37"/>
      <c r="DI22" s="37"/>
      <c r="DJ22" s="38"/>
    </row>
    <row r="23" spans="1:114" x14ac:dyDescent="0.55000000000000004">
      <c r="A23" s="10" t="str">
        <f t="shared" si="9"/>
        <v/>
      </c>
      <c r="B23" s="15" t="str">
        <f t="shared" si="5"/>
        <v/>
      </c>
      <c r="C23" s="15" t="str">
        <f t="shared" si="6"/>
        <v/>
      </c>
      <c r="D23" s="15" t="str">
        <f t="shared" si="7"/>
        <v/>
      </c>
      <c r="E23" s="58"/>
      <c r="F23" s="5"/>
      <c r="G23" s="6"/>
      <c r="H23" s="6"/>
      <c r="I23" s="6"/>
      <c r="J23" s="18" t="str">
        <f t="shared" si="2"/>
        <v/>
      </c>
      <c r="K23" s="5"/>
      <c r="L23" s="6"/>
      <c r="M23" s="6"/>
      <c r="N23" s="6"/>
      <c r="O23" s="18" t="str">
        <f t="shared" si="8"/>
        <v/>
      </c>
      <c r="P23" s="5"/>
      <c r="Q23" s="6"/>
      <c r="R23" s="6"/>
      <c r="S23" s="6"/>
      <c r="T23" s="18" t="str">
        <f t="shared" si="3"/>
        <v/>
      </c>
      <c r="U23" s="5"/>
      <c r="V23" s="6"/>
      <c r="W23" s="6"/>
      <c r="X23" s="6"/>
      <c r="Y23" s="18" t="str">
        <f t="shared" si="4"/>
        <v/>
      </c>
      <c r="Z23" s="45" t="str">
        <f>IF($J23="","",ROUND(($J23-30000)/1000,1)+(2.5-_xlfn.RANK.AVG($J23,($J23,$O23,$T23,$Y23)))*20+IF(_xlfn.RANK.EQ($J23,($J23,$O23,$T23,$Y23))=1,20/((_xlfn.RANK.AVG($J23,($J23,$O23,$T23,$Y23))-1)*2+1),0))</f>
        <v/>
      </c>
      <c r="AA23" s="46" t="str">
        <f>IF($O23="","",ROUND(($O23-30000)/1000,1)+(2.5-_xlfn.RANK.AVG($O23,($J23,$O23,$T23,$Y23)))*20+IF(_xlfn.RANK.EQ($O23,($J23,$O23,$T23,$Y23))=1,20/((_xlfn.RANK.AVG($O23,($J23,$O23,$T23,$Y23))-1)*2+1),0))</f>
        <v/>
      </c>
      <c r="AB23" s="46" t="str">
        <f>IF($T23="","",ROUND(($T23-30000)/1000,1)+(2.5-_xlfn.RANK.AVG($T23,($J23,$O23,$T23,$Y23)))*20+IF(_xlfn.RANK.EQ($T23,($J23,$O23,$T23,$Y23))=1,20/((_xlfn.RANK.AVG($T23,($J23,$O23,$T23,$Y23))-1)*2+1),0))</f>
        <v/>
      </c>
      <c r="AC23" s="47" t="str">
        <f>IF($Y23="","",ROUND(($Y23-30000)/1000,1)+(2.5-_xlfn.RANK.AVG($Y23,($J23,$O23,$T23,$Y23)))*20+IF(_xlfn.RANK.EQ($Y23,($J23,$O23,$T23,$Y23))=1,20/((_xlfn.RANK.AVG($Y23,($J23,$O23,$T23,$Y23))-1)*2+1),0))</f>
        <v/>
      </c>
      <c r="AE23" s="5"/>
      <c r="AF23" s="30"/>
      <c r="AG23" s="23"/>
      <c r="AH23" s="23"/>
      <c r="AI23" s="23"/>
      <c r="AJ23" s="27"/>
      <c r="AK23" s="36"/>
      <c r="AL23" s="37"/>
      <c r="AM23" s="37"/>
      <c r="AN23" s="37"/>
      <c r="AO23" s="37"/>
      <c r="AP23" s="37"/>
      <c r="AQ23" s="37"/>
      <c r="AR23" s="37"/>
      <c r="AS23" s="37"/>
      <c r="AT23" s="37"/>
      <c r="AU23" s="37"/>
      <c r="AV23" s="37"/>
      <c r="AW23" s="37"/>
      <c r="AX23" s="37"/>
      <c r="AY23" s="38"/>
      <c r="AZ23" s="5"/>
      <c r="BA23" s="30"/>
      <c r="BB23" s="23"/>
      <c r="BC23" s="23"/>
      <c r="BD23" s="23"/>
      <c r="BE23" s="27"/>
      <c r="BF23" s="36"/>
      <c r="BG23" s="37"/>
      <c r="BH23" s="37"/>
      <c r="BI23" s="37"/>
      <c r="BJ23" s="37"/>
      <c r="BK23" s="37"/>
      <c r="BL23" s="37"/>
      <c r="BM23" s="37"/>
      <c r="BN23" s="37"/>
      <c r="BO23" s="37"/>
      <c r="BP23" s="37"/>
      <c r="BQ23" s="37"/>
      <c r="BR23" s="37"/>
      <c r="BS23" s="37"/>
      <c r="BT23" s="38"/>
      <c r="BU23" s="5"/>
      <c r="BV23" s="30"/>
      <c r="BW23" s="23"/>
      <c r="BX23" s="23"/>
      <c r="BY23" s="23"/>
      <c r="BZ23" s="27"/>
      <c r="CA23" s="36"/>
      <c r="CB23" s="37"/>
      <c r="CC23" s="37"/>
      <c r="CD23" s="37"/>
      <c r="CE23" s="37"/>
      <c r="CF23" s="37"/>
      <c r="CG23" s="37"/>
      <c r="CH23" s="37"/>
      <c r="CI23" s="37"/>
      <c r="CJ23" s="37"/>
      <c r="CK23" s="37"/>
      <c r="CL23" s="37"/>
      <c r="CM23" s="37"/>
      <c r="CN23" s="37"/>
      <c r="CO23" s="38"/>
      <c r="CP23" s="5"/>
      <c r="CQ23" s="30"/>
      <c r="CR23" s="23"/>
      <c r="CS23" s="23"/>
      <c r="CT23" s="23"/>
      <c r="CU23" s="27"/>
      <c r="CV23" s="36"/>
      <c r="CW23" s="37"/>
      <c r="CX23" s="37"/>
      <c r="CY23" s="37"/>
      <c r="CZ23" s="37"/>
      <c r="DA23" s="37"/>
      <c r="DB23" s="37"/>
      <c r="DC23" s="37"/>
      <c r="DD23" s="37"/>
      <c r="DE23" s="37"/>
      <c r="DF23" s="37"/>
      <c r="DG23" s="37"/>
      <c r="DH23" s="37"/>
      <c r="DI23" s="37"/>
      <c r="DJ23" s="38"/>
    </row>
    <row r="24" spans="1:114" x14ac:dyDescent="0.55000000000000004">
      <c r="A24" s="10" t="str">
        <f t="shared" si="9"/>
        <v/>
      </c>
      <c r="B24" s="15" t="str">
        <f t="shared" si="5"/>
        <v/>
      </c>
      <c r="C24" s="15" t="str">
        <f t="shared" si="6"/>
        <v/>
      </c>
      <c r="D24" s="15" t="str">
        <f t="shared" si="7"/>
        <v/>
      </c>
      <c r="E24" s="58"/>
      <c r="F24" s="5"/>
      <c r="G24" s="6"/>
      <c r="H24" s="6"/>
      <c r="I24" s="6"/>
      <c r="J24" s="18" t="str">
        <f t="shared" si="2"/>
        <v/>
      </c>
      <c r="K24" s="5"/>
      <c r="L24" s="6"/>
      <c r="M24" s="6"/>
      <c r="N24" s="6"/>
      <c r="O24" s="18" t="str">
        <f t="shared" si="8"/>
        <v/>
      </c>
      <c r="P24" s="5"/>
      <c r="Q24" s="6"/>
      <c r="R24" s="6"/>
      <c r="S24" s="6"/>
      <c r="T24" s="18" t="str">
        <f t="shared" si="3"/>
        <v/>
      </c>
      <c r="U24" s="5"/>
      <c r="V24" s="6"/>
      <c r="W24" s="6"/>
      <c r="X24" s="6"/>
      <c r="Y24" s="18" t="str">
        <f t="shared" si="4"/>
        <v/>
      </c>
      <c r="Z24" s="45" t="str">
        <f>IF($J24="","",ROUND(($J24-30000)/1000,1)+(2.5-_xlfn.RANK.AVG($J24,($J24,$O24,$T24,$Y24)))*20+IF(_xlfn.RANK.EQ($J24,($J24,$O24,$T24,$Y24))=1,20/((_xlfn.RANK.AVG($J24,($J24,$O24,$T24,$Y24))-1)*2+1),0))</f>
        <v/>
      </c>
      <c r="AA24" s="46" t="str">
        <f>IF($O24="","",ROUND(($O24-30000)/1000,1)+(2.5-_xlfn.RANK.AVG($O24,($J24,$O24,$T24,$Y24)))*20+IF(_xlfn.RANK.EQ($O24,($J24,$O24,$T24,$Y24))=1,20/((_xlfn.RANK.AVG($O24,($J24,$O24,$T24,$Y24))-1)*2+1),0))</f>
        <v/>
      </c>
      <c r="AB24" s="46" t="str">
        <f>IF($T24="","",ROUND(($T24-30000)/1000,1)+(2.5-_xlfn.RANK.AVG($T24,($J24,$O24,$T24,$Y24)))*20+IF(_xlfn.RANK.EQ($T24,($J24,$O24,$T24,$Y24))=1,20/((_xlfn.RANK.AVG($T24,($J24,$O24,$T24,$Y24))-1)*2+1),0))</f>
        <v/>
      </c>
      <c r="AC24" s="47" t="str">
        <f>IF($Y24="","",ROUND(($Y24-30000)/1000,1)+(2.5-_xlfn.RANK.AVG($Y24,($J24,$O24,$T24,$Y24)))*20+IF(_xlfn.RANK.EQ($Y24,($J24,$O24,$T24,$Y24))=1,20/((_xlfn.RANK.AVG($Y24,($J24,$O24,$T24,$Y24))-1)*2+1),0))</f>
        <v/>
      </c>
      <c r="AE24" s="5"/>
      <c r="AF24" s="30"/>
      <c r="AG24" s="23"/>
      <c r="AH24" s="23"/>
      <c r="AI24" s="23"/>
      <c r="AJ24" s="27"/>
      <c r="AK24" s="36"/>
      <c r="AL24" s="37"/>
      <c r="AM24" s="37"/>
      <c r="AN24" s="37"/>
      <c r="AO24" s="37"/>
      <c r="AP24" s="37"/>
      <c r="AQ24" s="37"/>
      <c r="AR24" s="37"/>
      <c r="AS24" s="37"/>
      <c r="AT24" s="37"/>
      <c r="AU24" s="37"/>
      <c r="AV24" s="37"/>
      <c r="AW24" s="37"/>
      <c r="AX24" s="37"/>
      <c r="AY24" s="38"/>
      <c r="AZ24" s="5"/>
      <c r="BA24" s="30"/>
      <c r="BB24" s="23"/>
      <c r="BC24" s="23"/>
      <c r="BD24" s="23"/>
      <c r="BE24" s="27"/>
      <c r="BF24" s="36"/>
      <c r="BG24" s="37"/>
      <c r="BH24" s="37"/>
      <c r="BI24" s="37"/>
      <c r="BJ24" s="37"/>
      <c r="BK24" s="37"/>
      <c r="BL24" s="37"/>
      <c r="BM24" s="37"/>
      <c r="BN24" s="37"/>
      <c r="BO24" s="37"/>
      <c r="BP24" s="37"/>
      <c r="BQ24" s="37"/>
      <c r="BR24" s="37"/>
      <c r="BS24" s="37"/>
      <c r="BT24" s="38"/>
      <c r="BU24" s="5"/>
      <c r="BV24" s="30"/>
      <c r="BW24" s="23"/>
      <c r="BX24" s="23"/>
      <c r="BY24" s="23"/>
      <c r="BZ24" s="27"/>
      <c r="CA24" s="36"/>
      <c r="CB24" s="37"/>
      <c r="CC24" s="37"/>
      <c r="CD24" s="37"/>
      <c r="CE24" s="37"/>
      <c r="CF24" s="37"/>
      <c r="CG24" s="37"/>
      <c r="CH24" s="37"/>
      <c r="CI24" s="37"/>
      <c r="CJ24" s="37"/>
      <c r="CK24" s="37"/>
      <c r="CL24" s="37"/>
      <c r="CM24" s="37"/>
      <c r="CN24" s="37"/>
      <c r="CO24" s="38"/>
      <c r="CP24" s="5"/>
      <c r="CQ24" s="30"/>
      <c r="CR24" s="23"/>
      <c r="CS24" s="23"/>
      <c r="CT24" s="23"/>
      <c r="CU24" s="27"/>
      <c r="CV24" s="36"/>
      <c r="CW24" s="37"/>
      <c r="CX24" s="37"/>
      <c r="CY24" s="37"/>
      <c r="CZ24" s="37"/>
      <c r="DA24" s="37"/>
      <c r="DB24" s="37"/>
      <c r="DC24" s="37"/>
      <c r="DD24" s="37"/>
      <c r="DE24" s="37"/>
      <c r="DF24" s="37"/>
      <c r="DG24" s="37"/>
      <c r="DH24" s="37"/>
      <c r="DI24" s="37"/>
      <c r="DJ24" s="38"/>
    </row>
    <row r="25" spans="1:114" x14ac:dyDescent="0.55000000000000004">
      <c r="A25" s="10" t="str">
        <f t="shared" si="9"/>
        <v/>
      </c>
      <c r="B25" s="15" t="str">
        <f t="shared" si="5"/>
        <v/>
      </c>
      <c r="C25" s="15" t="str">
        <f t="shared" si="6"/>
        <v/>
      </c>
      <c r="D25" s="15" t="str">
        <f t="shared" si="7"/>
        <v/>
      </c>
      <c r="E25" s="58"/>
      <c r="F25" s="5"/>
      <c r="G25" s="6"/>
      <c r="H25" s="6"/>
      <c r="I25" s="6"/>
      <c r="J25" s="18" t="str">
        <f t="shared" si="2"/>
        <v/>
      </c>
      <c r="K25" s="5"/>
      <c r="L25" s="6"/>
      <c r="M25" s="6"/>
      <c r="N25" s="6"/>
      <c r="O25" s="18" t="str">
        <f t="shared" si="8"/>
        <v/>
      </c>
      <c r="P25" s="5"/>
      <c r="Q25" s="6"/>
      <c r="R25" s="6"/>
      <c r="S25" s="6"/>
      <c r="T25" s="18" t="str">
        <f t="shared" si="3"/>
        <v/>
      </c>
      <c r="U25" s="5"/>
      <c r="V25" s="6"/>
      <c r="W25" s="6"/>
      <c r="X25" s="6"/>
      <c r="Y25" s="18" t="str">
        <f t="shared" si="4"/>
        <v/>
      </c>
      <c r="Z25" s="45" t="str">
        <f>IF($J25="","",ROUND(($J25-30000)/1000,1)+(2.5-_xlfn.RANK.AVG($J25,($J25,$O25,$T25,$Y25)))*20+IF(_xlfn.RANK.EQ($J25,($J25,$O25,$T25,$Y25))=1,20/((_xlfn.RANK.AVG($J25,($J25,$O25,$T25,$Y25))-1)*2+1),0))</f>
        <v/>
      </c>
      <c r="AA25" s="46" t="str">
        <f>IF($O25="","",ROUND(($O25-30000)/1000,1)+(2.5-_xlfn.RANK.AVG($O25,($J25,$O25,$T25,$Y25)))*20+IF(_xlfn.RANK.EQ($O25,($J25,$O25,$T25,$Y25))=1,20/((_xlfn.RANK.AVG($O25,($J25,$O25,$T25,$Y25))-1)*2+1),0))</f>
        <v/>
      </c>
      <c r="AB25" s="46" t="str">
        <f>IF($T25="","",ROUND(($T25-30000)/1000,1)+(2.5-_xlfn.RANK.AVG($T25,($J25,$O25,$T25,$Y25)))*20+IF(_xlfn.RANK.EQ($T25,($J25,$O25,$T25,$Y25))=1,20/((_xlfn.RANK.AVG($T25,($J25,$O25,$T25,$Y25))-1)*2+1),0))</f>
        <v/>
      </c>
      <c r="AC25" s="47" t="str">
        <f>IF($Y25="","",ROUND(($Y25-30000)/1000,1)+(2.5-_xlfn.RANK.AVG($Y25,($J25,$O25,$T25,$Y25)))*20+IF(_xlfn.RANK.EQ($Y25,($J25,$O25,$T25,$Y25))=1,20/((_xlfn.RANK.AVG($Y25,($J25,$O25,$T25,$Y25))-1)*2+1),0))</f>
        <v/>
      </c>
      <c r="AE25" s="5"/>
      <c r="AF25" s="30"/>
      <c r="AG25" s="23"/>
      <c r="AH25" s="23"/>
      <c r="AI25" s="23"/>
      <c r="AJ25" s="27"/>
      <c r="AK25" s="36"/>
      <c r="AL25" s="37"/>
      <c r="AM25" s="37"/>
      <c r="AN25" s="37"/>
      <c r="AO25" s="37"/>
      <c r="AP25" s="37"/>
      <c r="AQ25" s="37"/>
      <c r="AR25" s="37"/>
      <c r="AS25" s="37"/>
      <c r="AT25" s="37"/>
      <c r="AU25" s="37"/>
      <c r="AV25" s="37"/>
      <c r="AW25" s="37"/>
      <c r="AX25" s="37"/>
      <c r="AY25" s="38"/>
      <c r="AZ25" s="5"/>
      <c r="BA25" s="30"/>
      <c r="BB25" s="23"/>
      <c r="BC25" s="23"/>
      <c r="BD25" s="23"/>
      <c r="BE25" s="27"/>
      <c r="BF25" s="36"/>
      <c r="BG25" s="37"/>
      <c r="BH25" s="37"/>
      <c r="BI25" s="37"/>
      <c r="BJ25" s="37"/>
      <c r="BK25" s="37"/>
      <c r="BL25" s="37"/>
      <c r="BM25" s="37"/>
      <c r="BN25" s="37"/>
      <c r="BO25" s="37"/>
      <c r="BP25" s="37"/>
      <c r="BQ25" s="37"/>
      <c r="BR25" s="37"/>
      <c r="BS25" s="37"/>
      <c r="BT25" s="38"/>
      <c r="BU25" s="5"/>
      <c r="BV25" s="30"/>
      <c r="BW25" s="23"/>
      <c r="BX25" s="23"/>
      <c r="BY25" s="23"/>
      <c r="BZ25" s="27"/>
      <c r="CA25" s="36"/>
      <c r="CB25" s="37"/>
      <c r="CC25" s="37"/>
      <c r="CD25" s="37"/>
      <c r="CE25" s="37"/>
      <c r="CF25" s="37"/>
      <c r="CG25" s="37"/>
      <c r="CH25" s="37"/>
      <c r="CI25" s="37"/>
      <c r="CJ25" s="37"/>
      <c r="CK25" s="37"/>
      <c r="CL25" s="37"/>
      <c r="CM25" s="37"/>
      <c r="CN25" s="37"/>
      <c r="CO25" s="38"/>
      <c r="CP25" s="5"/>
      <c r="CQ25" s="30"/>
      <c r="CR25" s="23"/>
      <c r="CS25" s="23"/>
      <c r="CT25" s="23"/>
      <c r="CU25" s="27"/>
      <c r="CV25" s="36"/>
      <c r="CW25" s="37"/>
      <c r="CX25" s="37"/>
      <c r="CY25" s="37"/>
      <c r="CZ25" s="37"/>
      <c r="DA25" s="37"/>
      <c r="DB25" s="37"/>
      <c r="DC25" s="37"/>
      <c r="DD25" s="37"/>
      <c r="DE25" s="37"/>
      <c r="DF25" s="37"/>
      <c r="DG25" s="37"/>
      <c r="DH25" s="37"/>
      <c r="DI25" s="37"/>
      <c r="DJ25" s="38"/>
    </row>
    <row r="26" spans="1:114" x14ac:dyDescent="0.55000000000000004">
      <c r="A26" s="10" t="str">
        <f t="shared" si="9"/>
        <v/>
      </c>
      <c r="B26" s="15" t="str">
        <f t="shared" si="5"/>
        <v/>
      </c>
      <c r="C26" s="15" t="str">
        <f t="shared" si="6"/>
        <v/>
      </c>
      <c r="D26" s="15" t="str">
        <f t="shared" si="7"/>
        <v/>
      </c>
      <c r="E26" s="58"/>
      <c r="F26" s="5"/>
      <c r="G26" s="6"/>
      <c r="H26" s="6"/>
      <c r="I26" s="6"/>
      <c r="J26" s="18" t="str">
        <f t="shared" si="2"/>
        <v/>
      </c>
      <c r="K26" s="5"/>
      <c r="L26" s="6"/>
      <c r="M26" s="6"/>
      <c r="N26" s="6"/>
      <c r="O26" s="18" t="str">
        <f t="shared" si="8"/>
        <v/>
      </c>
      <c r="P26" s="5"/>
      <c r="Q26" s="6"/>
      <c r="R26" s="6"/>
      <c r="S26" s="6"/>
      <c r="T26" s="18" t="str">
        <f t="shared" si="3"/>
        <v/>
      </c>
      <c r="U26" s="5"/>
      <c r="V26" s="6"/>
      <c r="W26" s="6"/>
      <c r="X26" s="6"/>
      <c r="Y26" s="18" t="str">
        <f t="shared" si="4"/>
        <v/>
      </c>
      <c r="Z26" s="45" t="str">
        <f>IF($J26="","",ROUND(($J26-30000)/1000,1)+(2.5-_xlfn.RANK.AVG($J26,($J26,$O26,$T26,$Y26)))*20+IF(_xlfn.RANK.EQ($J26,($J26,$O26,$T26,$Y26))=1,20/((_xlfn.RANK.AVG($J26,($J26,$O26,$T26,$Y26))-1)*2+1),0))</f>
        <v/>
      </c>
      <c r="AA26" s="46" t="str">
        <f>IF($O26="","",ROUND(($O26-30000)/1000,1)+(2.5-_xlfn.RANK.AVG($O26,($J26,$O26,$T26,$Y26)))*20+IF(_xlfn.RANK.EQ($O26,($J26,$O26,$T26,$Y26))=1,20/((_xlfn.RANK.AVG($O26,($J26,$O26,$T26,$Y26))-1)*2+1),0))</f>
        <v/>
      </c>
      <c r="AB26" s="46" t="str">
        <f>IF($T26="","",ROUND(($T26-30000)/1000,1)+(2.5-_xlfn.RANK.AVG($T26,($J26,$O26,$T26,$Y26)))*20+IF(_xlfn.RANK.EQ($T26,($J26,$O26,$T26,$Y26))=1,20/((_xlfn.RANK.AVG($T26,($J26,$O26,$T26,$Y26))-1)*2+1),0))</f>
        <v/>
      </c>
      <c r="AC26" s="47" t="str">
        <f>IF($Y26="","",ROUND(($Y26-30000)/1000,1)+(2.5-_xlfn.RANK.AVG($Y26,($J26,$O26,$T26,$Y26)))*20+IF(_xlfn.RANK.EQ($Y26,($J26,$O26,$T26,$Y26))=1,20/((_xlfn.RANK.AVG($Y26,($J26,$O26,$T26,$Y26))-1)*2+1),0))</f>
        <v/>
      </c>
      <c r="AE26" s="5"/>
      <c r="AF26" s="30"/>
      <c r="AG26" s="23"/>
      <c r="AH26" s="23"/>
      <c r="AI26" s="23"/>
      <c r="AJ26" s="27"/>
      <c r="AK26" s="36"/>
      <c r="AL26" s="37"/>
      <c r="AM26" s="37"/>
      <c r="AN26" s="37"/>
      <c r="AO26" s="37"/>
      <c r="AP26" s="37"/>
      <c r="AQ26" s="37"/>
      <c r="AR26" s="37"/>
      <c r="AS26" s="37"/>
      <c r="AT26" s="37"/>
      <c r="AU26" s="37"/>
      <c r="AV26" s="37"/>
      <c r="AW26" s="37"/>
      <c r="AX26" s="37"/>
      <c r="AY26" s="38"/>
      <c r="AZ26" s="5"/>
      <c r="BA26" s="30"/>
      <c r="BB26" s="23"/>
      <c r="BC26" s="23"/>
      <c r="BD26" s="23"/>
      <c r="BE26" s="27"/>
      <c r="BF26" s="36"/>
      <c r="BG26" s="37"/>
      <c r="BH26" s="37"/>
      <c r="BI26" s="37"/>
      <c r="BJ26" s="37"/>
      <c r="BK26" s="37"/>
      <c r="BL26" s="37"/>
      <c r="BM26" s="37"/>
      <c r="BN26" s="37"/>
      <c r="BO26" s="37"/>
      <c r="BP26" s="37"/>
      <c r="BQ26" s="37"/>
      <c r="BR26" s="37"/>
      <c r="BS26" s="37"/>
      <c r="BT26" s="38"/>
      <c r="BU26" s="5"/>
      <c r="BV26" s="30"/>
      <c r="BW26" s="23"/>
      <c r="BX26" s="23"/>
      <c r="BY26" s="23"/>
      <c r="BZ26" s="27"/>
      <c r="CA26" s="36"/>
      <c r="CB26" s="37"/>
      <c r="CC26" s="37"/>
      <c r="CD26" s="37"/>
      <c r="CE26" s="37"/>
      <c r="CF26" s="37"/>
      <c r="CG26" s="37"/>
      <c r="CH26" s="37"/>
      <c r="CI26" s="37"/>
      <c r="CJ26" s="37"/>
      <c r="CK26" s="37"/>
      <c r="CL26" s="37"/>
      <c r="CM26" s="37"/>
      <c r="CN26" s="37"/>
      <c r="CO26" s="38"/>
      <c r="CP26" s="5"/>
      <c r="CQ26" s="30"/>
      <c r="CR26" s="23"/>
      <c r="CS26" s="23"/>
      <c r="CT26" s="23"/>
      <c r="CU26" s="27"/>
      <c r="CV26" s="36"/>
      <c r="CW26" s="37"/>
      <c r="CX26" s="37"/>
      <c r="CY26" s="37"/>
      <c r="CZ26" s="37"/>
      <c r="DA26" s="37"/>
      <c r="DB26" s="37"/>
      <c r="DC26" s="37"/>
      <c r="DD26" s="37"/>
      <c r="DE26" s="37"/>
      <c r="DF26" s="37"/>
      <c r="DG26" s="37"/>
      <c r="DH26" s="37"/>
      <c r="DI26" s="37"/>
      <c r="DJ26" s="38"/>
    </row>
    <row r="27" spans="1:114" x14ac:dyDescent="0.55000000000000004">
      <c r="A27" s="10" t="str">
        <f t="shared" si="9"/>
        <v/>
      </c>
      <c r="B27" s="15" t="str">
        <f t="shared" si="5"/>
        <v/>
      </c>
      <c r="C27" s="15" t="str">
        <f t="shared" si="6"/>
        <v/>
      </c>
      <c r="D27" s="15" t="str">
        <f t="shared" si="7"/>
        <v/>
      </c>
      <c r="E27" s="58"/>
      <c r="F27" s="5"/>
      <c r="G27" s="6"/>
      <c r="H27" s="6"/>
      <c r="I27" s="6"/>
      <c r="J27" s="18" t="str">
        <f t="shared" si="2"/>
        <v/>
      </c>
      <c r="K27" s="5"/>
      <c r="L27" s="6"/>
      <c r="M27" s="6"/>
      <c r="N27" s="6"/>
      <c r="O27" s="18" t="str">
        <f t="shared" si="8"/>
        <v/>
      </c>
      <c r="P27" s="5"/>
      <c r="Q27" s="6"/>
      <c r="R27" s="6"/>
      <c r="S27" s="6"/>
      <c r="T27" s="18" t="str">
        <f t="shared" si="3"/>
        <v/>
      </c>
      <c r="U27" s="5"/>
      <c r="V27" s="6"/>
      <c r="W27" s="6"/>
      <c r="X27" s="6"/>
      <c r="Y27" s="18" t="str">
        <f t="shared" si="4"/>
        <v/>
      </c>
      <c r="Z27" s="45" t="str">
        <f>IF($J27="","",ROUND(($J27-30000)/1000,1)+(2.5-_xlfn.RANK.AVG($J27,($J27,$O27,$T27,$Y27)))*20+IF(_xlfn.RANK.EQ($J27,($J27,$O27,$T27,$Y27))=1,20/((_xlfn.RANK.AVG($J27,($J27,$O27,$T27,$Y27))-1)*2+1),0))</f>
        <v/>
      </c>
      <c r="AA27" s="46" t="str">
        <f>IF($O27="","",ROUND(($O27-30000)/1000,1)+(2.5-_xlfn.RANK.AVG($O27,($J27,$O27,$T27,$Y27)))*20+IF(_xlfn.RANK.EQ($O27,($J27,$O27,$T27,$Y27))=1,20/((_xlfn.RANK.AVG($O27,($J27,$O27,$T27,$Y27))-1)*2+1),0))</f>
        <v/>
      </c>
      <c r="AB27" s="46" t="str">
        <f>IF($T27="","",ROUND(($T27-30000)/1000,1)+(2.5-_xlfn.RANK.AVG($T27,($J27,$O27,$T27,$Y27)))*20+IF(_xlfn.RANK.EQ($T27,($J27,$O27,$T27,$Y27))=1,20/((_xlfn.RANK.AVG($T27,($J27,$O27,$T27,$Y27))-1)*2+1),0))</f>
        <v/>
      </c>
      <c r="AC27" s="47" t="str">
        <f>IF($Y27="","",ROUND(($Y27-30000)/1000,1)+(2.5-_xlfn.RANK.AVG($Y27,($J27,$O27,$T27,$Y27)))*20+IF(_xlfn.RANK.EQ($Y27,($J27,$O27,$T27,$Y27))=1,20/((_xlfn.RANK.AVG($Y27,($J27,$O27,$T27,$Y27))-1)*2+1),0))</f>
        <v/>
      </c>
      <c r="AE27" s="5"/>
      <c r="AF27" s="30"/>
      <c r="AG27" s="23"/>
      <c r="AH27" s="23"/>
      <c r="AI27" s="23"/>
      <c r="AJ27" s="27"/>
      <c r="AK27" s="36"/>
      <c r="AL27" s="37"/>
      <c r="AM27" s="37"/>
      <c r="AN27" s="37"/>
      <c r="AO27" s="37"/>
      <c r="AP27" s="37"/>
      <c r="AQ27" s="37"/>
      <c r="AR27" s="37"/>
      <c r="AS27" s="37"/>
      <c r="AT27" s="37"/>
      <c r="AU27" s="37"/>
      <c r="AV27" s="37"/>
      <c r="AW27" s="37"/>
      <c r="AX27" s="37"/>
      <c r="AY27" s="38"/>
      <c r="AZ27" s="5"/>
      <c r="BA27" s="30"/>
      <c r="BB27" s="23"/>
      <c r="BC27" s="23"/>
      <c r="BD27" s="23"/>
      <c r="BE27" s="27"/>
      <c r="BF27" s="36"/>
      <c r="BG27" s="37"/>
      <c r="BH27" s="37"/>
      <c r="BI27" s="37"/>
      <c r="BJ27" s="37"/>
      <c r="BK27" s="37"/>
      <c r="BL27" s="37"/>
      <c r="BM27" s="37"/>
      <c r="BN27" s="37"/>
      <c r="BO27" s="37"/>
      <c r="BP27" s="37"/>
      <c r="BQ27" s="37"/>
      <c r="BR27" s="37"/>
      <c r="BS27" s="37"/>
      <c r="BT27" s="38"/>
      <c r="BU27" s="5"/>
      <c r="BV27" s="30"/>
      <c r="BW27" s="23"/>
      <c r="BX27" s="23"/>
      <c r="BY27" s="23"/>
      <c r="BZ27" s="27"/>
      <c r="CA27" s="36"/>
      <c r="CB27" s="37"/>
      <c r="CC27" s="37"/>
      <c r="CD27" s="37"/>
      <c r="CE27" s="37"/>
      <c r="CF27" s="37"/>
      <c r="CG27" s="37"/>
      <c r="CH27" s="37"/>
      <c r="CI27" s="37"/>
      <c r="CJ27" s="37"/>
      <c r="CK27" s="37"/>
      <c r="CL27" s="37"/>
      <c r="CM27" s="37"/>
      <c r="CN27" s="37"/>
      <c r="CO27" s="38"/>
      <c r="CP27" s="5"/>
      <c r="CQ27" s="30"/>
      <c r="CR27" s="23"/>
      <c r="CS27" s="23"/>
      <c r="CT27" s="23"/>
      <c r="CU27" s="27"/>
      <c r="CV27" s="36"/>
      <c r="CW27" s="37"/>
      <c r="CX27" s="37"/>
      <c r="CY27" s="37"/>
      <c r="CZ27" s="37"/>
      <c r="DA27" s="37"/>
      <c r="DB27" s="37"/>
      <c r="DC27" s="37"/>
      <c r="DD27" s="37"/>
      <c r="DE27" s="37"/>
      <c r="DF27" s="37"/>
      <c r="DG27" s="37"/>
      <c r="DH27" s="37"/>
      <c r="DI27" s="37"/>
      <c r="DJ27" s="38"/>
    </row>
    <row r="28" spans="1:114" x14ac:dyDescent="0.55000000000000004">
      <c r="A28" s="10" t="str">
        <f t="shared" si="9"/>
        <v/>
      </c>
      <c r="B28" s="15" t="str">
        <f t="shared" si="5"/>
        <v/>
      </c>
      <c r="C28" s="15" t="str">
        <f t="shared" si="6"/>
        <v/>
      </c>
      <c r="D28" s="15" t="str">
        <f t="shared" si="7"/>
        <v/>
      </c>
      <c r="E28" s="58"/>
      <c r="F28" s="5"/>
      <c r="G28" s="6"/>
      <c r="H28" s="6"/>
      <c r="I28" s="6"/>
      <c r="J28" s="18" t="str">
        <f t="shared" si="2"/>
        <v/>
      </c>
      <c r="K28" s="5"/>
      <c r="L28" s="6"/>
      <c r="M28" s="6"/>
      <c r="N28" s="6"/>
      <c r="O28" s="18" t="str">
        <f t="shared" si="8"/>
        <v/>
      </c>
      <c r="P28" s="5"/>
      <c r="Q28" s="6"/>
      <c r="R28" s="6"/>
      <c r="S28" s="6"/>
      <c r="T28" s="18" t="str">
        <f t="shared" si="3"/>
        <v/>
      </c>
      <c r="U28" s="5"/>
      <c r="V28" s="6"/>
      <c r="W28" s="6"/>
      <c r="X28" s="6"/>
      <c r="Y28" s="18" t="str">
        <f t="shared" si="4"/>
        <v/>
      </c>
      <c r="Z28" s="45" t="str">
        <f>IF($J28="","",ROUND(($J28-30000)/1000,1)+(2.5-_xlfn.RANK.AVG($J28,($J28,$O28,$T28,$Y28)))*20+IF(_xlfn.RANK.EQ($J28,($J28,$O28,$T28,$Y28))=1,20/((_xlfn.RANK.AVG($J28,($J28,$O28,$T28,$Y28))-1)*2+1),0))</f>
        <v/>
      </c>
      <c r="AA28" s="46" t="str">
        <f>IF($O28="","",ROUND(($O28-30000)/1000,1)+(2.5-_xlfn.RANK.AVG($O28,($J28,$O28,$T28,$Y28)))*20+IF(_xlfn.RANK.EQ($O28,($J28,$O28,$T28,$Y28))=1,20/((_xlfn.RANK.AVG($O28,($J28,$O28,$T28,$Y28))-1)*2+1),0))</f>
        <v/>
      </c>
      <c r="AB28" s="46" t="str">
        <f>IF($T28="","",ROUND(($T28-30000)/1000,1)+(2.5-_xlfn.RANK.AVG($T28,($J28,$O28,$T28,$Y28)))*20+IF(_xlfn.RANK.EQ($T28,($J28,$O28,$T28,$Y28))=1,20/((_xlfn.RANK.AVG($T28,($J28,$O28,$T28,$Y28))-1)*2+1),0))</f>
        <v/>
      </c>
      <c r="AC28" s="47" t="str">
        <f>IF($Y28="","",ROUND(($Y28-30000)/1000,1)+(2.5-_xlfn.RANK.AVG($Y28,($J28,$O28,$T28,$Y28)))*20+IF(_xlfn.RANK.EQ($Y28,($J28,$O28,$T28,$Y28))=1,20/((_xlfn.RANK.AVG($Y28,($J28,$O28,$T28,$Y28))-1)*2+1),0))</f>
        <v/>
      </c>
      <c r="AE28" s="5"/>
      <c r="AF28" s="30"/>
      <c r="AG28" s="23"/>
      <c r="AH28" s="23"/>
      <c r="AI28" s="23"/>
      <c r="AJ28" s="27"/>
      <c r="AK28" s="36"/>
      <c r="AL28" s="37"/>
      <c r="AM28" s="37"/>
      <c r="AN28" s="37"/>
      <c r="AO28" s="37"/>
      <c r="AP28" s="37"/>
      <c r="AQ28" s="37"/>
      <c r="AR28" s="37"/>
      <c r="AS28" s="37"/>
      <c r="AT28" s="37"/>
      <c r="AU28" s="37"/>
      <c r="AV28" s="37"/>
      <c r="AW28" s="37"/>
      <c r="AX28" s="37"/>
      <c r="AY28" s="38"/>
      <c r="AZ28" s="5"/>
      <c r="BA28" s="30"/>
      <c r="BB28" s="23"/>
      <c r="BC28" s="23"/>
      <c r="BD28" s="23"/>
      <c r="BE28" s="27"/>
      <c r="BF28" s="36"/>
      <c r="BG28" s="37"/>
      <c r="BH28" s="37"/>
      <c r="BI28" s="37"/>
      <c r="BJ28" s="37"/>
      <c r="BK28" s="37"/>
      <c r="BL28" s="37"/>
      <c r="BM28" s="37"/>
      <c r="BN28" s="37"/>
      <c r="BO28" s="37"/>
      <c r="BP28" s="37"/>
      <c r="BQ28" s="37"/>
      <c r="BR28" s="37"/>
      <c r="BS28" s="37"/>
      <c r="BT28" s="38"/>
      <c r="BU28" s="5"/>
      <c r="BV28" s="30"/>
      <c r="BW28" s="23"/>
      <c r="BX28" s="23"/>
      <c r="BY28" s="23"/>
      <c r="BZ28" s="27"/>
      <c r="CA28" s="36"/>
      <c r="CB28" s="37"/>
      <c r="CC28" s="37"/>
      <c r="CD28" s="37"/>
      <c r="CE28" s="37"/>
      <c r="CF28" s="37"/>
      <c r="CG28" s="37"/>
      <c r="CH28" s="37"/>
      <c r="CI28" s="37"/>
      <c r="CJ28" s="37"/>
      <c r="CK28" s="37"/>
      <c r="CL28" s="37"/>
      <c r="CM28" s="37"/>
      <c r="CN28" s="37"/>
      <c r="CO28" s="38"/>
      <c r="CP28" s="5"/>
      <c r="CQ28" s="30"/>
      <c r="CR28" s="23"/>
      <c r="CS28" s="23"/>
      <c r="CT28" s="23"/>
      <c r="CU28" s="27"/>
      <c r="CV28" s="36"/>
      <c r="CW28" s="37"/>
      <c r="CX28" s="37"/>
      <c r="CY28" s="37"/>
      <c r="CZ28" s="37"/>
      <c r="DA28" s="37"/>
      <c r="DB28" s="37"/>
      <c r="DC28" s="37"/>
      <c r="DD28" s="37"/>
      <c r="DE28" s="37"/>
      <c r="DF28" s="37"/>
      <c r="DG28" s="37"/>
      <c r="DH28" s="37"/>
      <c r="DI28" s="37"/>
      <c r="DJ28" s="38"/>
    </row>
    <row r="29" spans="1:114" x14ac:dyDescent="0.55000000000000004">
      <c r="A29" s="10" t="str">
        <f t="shared" si="9"/>
        <v/>
      </c>
      <c r="B29" s="15" t="str">
        <f t="shared" si="5"/>
        <v/>
      </c>
      <c r="C29" s="15" t="str">
        <f t="shared" si="6"/>
        <v/>
      </c>
      <c r="D29" s="15" t="str">
        <f t="shared" si="7"/>
        <v/>
      </c>
      <c r="E29" s="58"/>
      <c r="F29" s="5"/>
      <c r="G29" s="6"/>
      <c r="H29" s="6"/>
      <c r="I29" s="6"/>
      <c r="J29" s="18" t="str">
        <f t="shared" si="2"/>
        <v/>
      </c>
      <c r="K29" s="5"/>
      <c r="L29" s="6"/>
      <c r="M29" s="6"/>
      <c r="N29" s="6"/>
      <c r="O29" s="18" t="str">
        <f t="shared" si="8"/>
        <v/>
      </c>
      <c r="P29" s="5"/>
      <c r="Q29" s="6"/>
      <c r="R29" s="6"/>
      <c r="S29" s="6"/>
      <c r="T29" s="18" t="str">
        <f t="shared" si="3"/>
        <v/>
      </c>
      <c r="U29" s="5"/>
      <c r="V29" s="6"/>
      <c r="W29" s="6"/>
      <c r="X29" s="6"/>
      <c r="Y29" s="18" t="str">
        <f t="shared" si="4"/>
        <v/>
      </c>
      <c r="Z29" s="45" t="str">
        <f>IF($J29="","",ROUND(($J29-30000)/1000,1)+(2.5-_xlfn.RANK.AVG($J29,($J29,$O29,$T29,$Y29)))*20+IF(_xlfn.RANK.EQ($J29,($J29,$O29,$T29,$Y29))=1,20/((_xlfn.RANK.AVG($J29,($J29,$O29,$T29,$Y29))-1)*2+1),0))</f>
        <v/>
      </c>
      <c r="AA29" s="46" t="str">
        <f>IF($O29="","",ROUND(($O29-30000)/1000,1)+(2.5-_xlfn.RANK.AVG($O29,($J29,$O29,$T29,$Y29)))*20+IF(_xlfn.RANK.EQ($O29,($J29,$O29,$T29,$Y29))=1,20/((_xlfn.RANK.AVG($O29,($J29,$O29,$T29,$Y29))-1)*2+1),0))</f>
        <v/>
      </c>
      <c r="AB29" s="46" t="str">
        <f>IF($T29="","",ROUND(($T29-30000)/1000,1)+(2.5-_xlfn.RANK.AVG($T29,($J29,$O29,$T29,$Y29)))*20+IF(_xlfn.RANK.EQ($T29,($J29,$O29,$T29,$Y29))=1,20/((_xlfn.RANK.AVG($T29,($J29,$O29,$T29,$Y29))-1)*2+1),0))</f>
        <v/>
      </c>
      <c r="AC29" s="47" t="str">
        <f>IF($Y29="","",ROUND(($Y29-30000)/1000,1)+(2.5-_xlfn.RANK.AVG($Y29,($J29,$O29,$T29,$Y29)))*20+IF(_xlfn.RANK.EQ($Y29,($J29,$O29,$T29,$Y29))=1,20/((_xlfn.RANK.AVG($Y29,($J29,$O29,$T29,$Y29))-1)*2+1),0))</f>
        <v/>
      </c>
      <c r="AE29" s="5"/>
      <c r="AF29" s="30"/>
      <c r="AG29" s="23"/>
      <c r="AH29" s="23"/>
      <c r="AI29" s="23"/>
      <c r="AJ29" s="27"/>
      <c r="AK29" s="36"/>
      <c r="AL29" s="37"/>
      <c r="AM29" s="37"/>
      <c r="AN29" s="37"/>
      <c r="AO29" s="37"/>
      <c r="AP29" s="37"/>
      <c r="AQ29" s="37"/>
      <c r="AR29" s="37"/>
      <c r="AS29" s="37"/>
      <c r="AT29" s="37"/>
      <c r="AU29" s="37"/>
      <c r="AV29" s="37"/>
      <c r="AW29" s="37"/>
      <c r="AX29" s="37"/>
      <c r="AY29" s="38"/>
      <c r="AZ29" s="5"/>
      <c r="BA29" s="30"/>
      <c r="BB29" s="23"/>
      <c r="BC29" s="23"/>
      <c r="BD29" s="23"/>
      <c r="BE29" s="27"/>
      <c r="BF29" s="36"/>
      <c r="BG29" s="37"/>
      <c r="BH29" s="37"/>
      <c r="BI29" s="37"/>
      <c r="BJ29" s="37"/>
      <c r="BK29" s="37"/>
      <c r="BL29" s="37"/>
      <c r="BM29" s="37"/>
      <c r="BN29" s="37"/>
      <c r="BO29" s="37"/>
      <c r="BP29" s="37"/>
      <c r="BQ29" s="37"/>
      <c r="BR29" s="37"/>
      <c r="BS29" s="37"/>
      <c r="BT29" s="38"/>
      <c r="BU29" s="5"/>
      <c r="BV29" s="30"/>
      <c r="BW29" s="23"/>
      <c r="BX29" s="23"/>
      <c r="BY29" s="23"/>
      <c r="BZ29" s="27"/>
      <c r="CA29" s="36"/>
      <c r="CB29" s="37"/>
      <c r="CC29" s="37"/>
      <c r="CD29" s="37"/>
      <c r="CE29" s="37"/>
      <c r="CF29" s="37"/>
      <c r="CG29" s="37"/>
      <c r="CH29" s="37"/>
      <c r="CI29" s="37"/>
      <c r="CJ29" s="37"/>
      <c r="CK29" s="37"/>
      <c r="CL29" s="37"/>
      <c r="CM29" s="37"/>
      <c r="CN29" s="37"/>
      <c r="CO29" s="38"/>
      <c r="CP29" s="5"/>
      <c r="CQ29" s="30"/>
      <c r="CR29" s="23"/>
      <c r="CS29" s="23"/>
      <c r="CT29" s="23"/>
      <c r="CU29" s="27"/>
      <c r="CV29" s="36"/>
      <c r="CW29" s="37"/>
      <c r="CX29" s="37"/>
      <c r="CY29" s="37"/>
      <c r="CZ29" s="37"/>
      <c r="DA29" s="37"/>
      <c r="DB29" s="37"/>
      <c r="DC29" s="37"/>
      <c r="DD29" s="37"/>
      <c r="DE29" s="37"/>
      <c r="DF29" s="37"/>
      <c r="DG29" s="37"/>
      <c r="DH29" s="37"/>
      <c r="DI29" s="37"/>
      <c r="DJ29" s="38"/>
    </row>
    <row r="30" spans="1:114" x14ac:dyDescent="0.55000000000000004">
      <c r="A30" s="11" t="str">
        <f t="shared" si="9"/>
        <v/>
      </c>
      <c r="B30" s="16" t="str">
        <f t="shared" si="5"/>
        <v/>
      </c>
      <c r="C30" s="16" t="str">
        <f t="shared" si="6"/>
        <v/>
      </c>
      <c r="D30" s="16" t="str">
        <f t="shared" si="7"/>
        <v/>
      </c>
      <c r="E30" s="59"/>
      <c r="F30" s="7"/>
      <c r="G30" s="8"/>
      <c r="H30" s="8"/>
      <c r="I30" s="8"/>
      <c r="J30" s="19" t="str">
        <f t="shared" si="2"/>
        <v/>
      </c>
      <c r="K30" s="7"/>
      <c r="L30" s="8"/>
      <c r="M30" s="8"/>
      <c r="N30" s="8"/>
      <c r="O30" s="19" t="str">
        <f t="shared" si="8"/>
        <v/>
      </c>
      <c r="P30" s="7"/>
      <c r="Q30" s="8"/>
      <c r="R30" s="8"/>
      <c r="S30" s="8"/>
      <c r="T30" s="19" t="str">
        <f t="shared" si="3"/>
        <v/>
      </c>
      <c r="U30" s="7"/>
      <c r="V30" s="8"/>
      <c r="W30" s="8"/>
      <c r="X30" s="8"/>
      <c r="Y30" s="19" t="str">
        <f t="shared" si="4"/>
        <v/>
      </c>
      <c r="Z30" s="48" t="str">
        <f>IF($J30="","",ROUND(($J30-30000)/1000,1)+(2.5-_xlfn.RANK.AVG($J30,($J30,$O30,$T30,$Y30)))*20+IF(_xlfn.RANK.EQ($J30,($J30,$O30,$T30,$Y30))=1,20/((_xlfn.RANK.AVG($J30,($J30,$O30,$T30,$Y30))-1)*2+1),0))</f>
        <v/>
      </c>
      <c r="AA30" s="49" t="str">
        <f>IF($O30="","",ROUND(($O30-30000)/1000,1)+(2.5-_xlfn.RANK.AVG($O30,($J30,$O30,$T30,$Y30)))*20+IF(_xlfn.RANK.EQ($O30,($J30,$O30,$T30,$Y30))=1,20/((_xlfn.RANK.AVG($O30,($J30,$O30,$T30,$Y30))-1)*2+1),0))</f>
        <v/>
      </c>
      <c r="AB30" s="49" t="str">
        <f>IF($T30="","",ROUND(($T30-30000)/1000,1)+(2.5-_xlfn.RANK.AVG($T30,($J30,$O30,$T30,$Y30)))*20+IF(_xlfn.RANK.EQ($T30,($J30,$O30,$T30,$Y30))=1,20/((_xlfn.RANK.AVG($T30,($J30,$O30,$T30,$Y30))-1)*2+1),0))</f>
        <v/>
      </c>
      <c r="AC30" s="50" t="str">
        <f>IF($Y30="","",ROUND(($Y30-30000)/1000,1)+(2.5-_xlfn.RANK.AVG($Y30,($J30,$O30,$T30,$Y30)))*20+IF(_xlfn.RANK.EQ($Y30,($J30,$O30,$T30,$Y30))=1,20/((_xlfn.RANK.AVG($Y30,($J30,$O30,$T30,$Y30))-1)*2+1),0))</f>
        <v/>
      </c>
      <c r="AE30" s="7"/>
      <c r="AF30" s="31"/>
      <c r="AG30" s="24"/>
      <c r="AH30" s="24"/>
      <c r="AI30" s="24"/>
      <c r="AJ30" s="28"/>
      <c r="AK30" s="39"/>
      <c r="AL30" s="40"/>
      <c r="AM30" s="40"/>
      <c r="AN30" s="40"/>
      <c r="AO30" s="40"/>
      <c r="AP30" s="40"/>
      <c r="AQ30" s="40"/>
      <c r="AR30" s="40"/>
      <c r="AS30" s="40"/>
      <c r="AT30" s="40"/>
      <c r="AU30" s="40"/>
      <c r="AV30" s="40"/>
      <c r="AW30" s="40"/>
      <c r="AX30" s="40"/>
      <c r="AY30" s="41"/>
      <c r="AZ30" s="7"/>
      <c r="BA30" s="31"/>
      <c r="BB30" s="24"/>
      <c r="BC30" s="24"/>
      <c r="BD30" s="24"/>
      <c r="BE30" s="28"/>
      <c r="BF30" s="39"/>
      <c r="BG30" s="40"/>
      <c r="BH30" s="40"/>
      <c r="BI30" s="40"/>
      <c r="BJ30" s="40"/>
      <c r="BK30" s="40"/>
      <c r="BL30" s="40"/>
      <c r="BM30" s="40"/>
      <c r="BN30" s="40"/>
      <c r="BO30" s="40"/>
      <c r="BP30" s="40"/>
      <c r="BQ30" s="40"/>
      <c r="BR30" s="40"/>
      <c r="BS30" s="40"/>
      <c r="BT30" s="41"/>
      <c r="BU30" s="7"/>
      <c r="BV30" s="31"/>
      <c r="BW30" s="24"/>
      <c r="BX30" s="24"/>
      <c r="BY30" s="24"/>
      <c r="BZ30" s="28"/>
      <c r="CA30" s="39"/>
      <c r="CB30" s="40"/>
      <c r="CC30" s="40"/>
      <c r="CD30" s="40"/>
      <c r="CE30" s="40"/>
      <c r="CF30" s="40"/>
      <c r="CG30" s="40"/>
      <c r="CH30" s="40"/>
      <c r="CI30" s="40"/>
      <c r="CJ30" s="40"/>
      <c r="CK30" s="40"/>
      <c r="CL30" s="40"/>
      <c r="CM30" s="40"/>
      <c r="CN30" s="40"/>
      <c r="CO30" s="41"/>
      <c r="CP30" s="7"/>
      <c r="CQ30" s="31"/>
      <c r="CR30" s="24"/>
      <c r="CS30" s="24"/>
      <c r="CT30" s="24"/>
      <c r="CU30" s="28"/>
      <c r="CV30" s="39"/>
      <c r="CW30" s="40"/>
      <c r="CX30" s="40"/>
      <c r="CY30" s="40"/>
      <c r="CZ30" s="40"/>
      <c r="DA30" s="40"/>
      <c r="DB30" s="40"/>
      <c r="DC30" s="40"/>
      <c r="DD30" s="40"/>
      <c r="DE30" s="40"/>
      <c r="DF30" s="40"/>
      <c r="DG30" s="40"/>
      <c r="DH30" s="40"/>
      <c r="DI30" s="40"/>
      <c r="DJ30" s="41"/>
    </row>
  </sheetData>
  <mergeCells count="18">
    <mergeCell ref="BU1:CO1"/>
    <mergeCell ref="AK2:AY2"/>
    <mergeCell ref="BF2:BT2"/>
    <mergeCell ref="CA2:CO2"/>
    <mergeCell ref="CP1:DJ1"/>
    <mergeCell ref="CV2:DJ2"/>
    <mergeCell ref="AZ1:BT1"/>
    <mergeCell ref="K1:O1"/>
    <mergeCell ref="P1:T1"/>
    <mergeCell ref="U1:Y1"/>
    <mergeCell ref="Z1:AC1"/>
    <mergeCell ref="AE1:AY1"/>
    <mergeCell ref="F1:J1"/>
    <mergeCell ref="A1:A2"/>
    <mergeCell ref="B1:B2"/>
    <mergeCell ref="C1:C2"/>
    <mergeCell ref="D1:D2"/>
    <mergeCell ref="E1:E2"/>
  </mergeCells>
  <phoneticPr fontId="1"/>
  <conditionalFormatting sqref="F1:Y1">
    <cfRule type="duplicateValues" dxfId="1" priority="2"/>
  </conditionalFormatting>
  <dataValidations count="3">
    <dataValidation type="list" allowBlank="1" showInputMessage="1" showErrorMessage="1" sqref="E4:E30" xr:uid="{C6D8E678-0CEF-48C6-936A-0092F3815AE7}">
      <formula1>$Z$2:$AC$2</formula1>
    </dataValidation>
    <dataValidation type="list" showInputMessage="1" showErrorMessage="1" sqref="K4:K30 P4:P30 F4:F30 U4:U30" xr:uid="{723420DD-8438-448C-B428-B3284B5CB670}">
      <formula1>"ロン,ツモ,放銃,ツモ支払,流局,チョンボ"</formula1>
    </dataValidation>
    <dataValidation type="list" allowBlank="1" showInputMessage="1" sqref="F1:Y1" xr:uid="{03CCCE41-E01A-4264-B0F7-532049B32FD0}">
      <formula1>"百瀬成空,佐藤成浩,川上翔大,中川弘崇,宮澤七星,中村花菜,山本瑛人,春日爽,伊藤仁城,坂本羽弥斗,塩入悠,中村季暉,渡部陵瑛,湯本咲蔵,山本悠介,田名網新,石原凛人,唐澤聖矢,清水常緑,所附快和,長野柊馬,西野修世,高橋英将,佐藤成,有馬藍,柳澤奏太,宮坂晴海,手塚心優寧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E3E998-29EB-41E7-A357-307E9BA5074A}">
  <sheetPr codeName="Sheet10">
    <pageSetUpPr fitToPage="1"/>
  </sheetPr>
  <dimension ref="A1:DJ30"/>
  <sheetViews>
    <sheetView tabSelected="1" topLeftCell="K1" zoomScaleNormal="100" workbookViewId="0">
      <selection sqref="A1:A2"/>
    </sheetView>
  </sheetViews>
  <sheetFormatPr defaultColWidth="3.5" defaultRowHeight="18" x14ac:dyDescent="0.55000000000000004"/>
  <cols>
    <col min="1" max="4" width="5.1640625" style="21" customWidth="1"/>
    <col min="5" max="29" width="9" style="21" customWidth="1"/>
    <col min="30" max="30" width="3.5" style="21"/>
    <col min="31" max="114" width="3.5" style="22"/>
    <col min="115" max="16384" width="3.5" style="21"/>
  </cols>
  <sheetData>
    <row r="1" spans="1:114" x14ac:dyDescent="0.55000000000000004">
      <c r="A1" s="64" t="s">
        <v>0</v>
      </c>
      <c r="B1" s="66" t="s">
        <v>2</v>
      </c>
      <c r="C1" s="66" t="s">
        <v>1</v>
      </c>
      <c r="D1" s="66" t="s">
        <v>21</v>
      </c>
      <c r="E1" s="68" t="s">
        <v>3</v>
      </c>
      <c r="F1" s="60" t="s">
        <v>164</v>
      </c>
      <c r="G1" s="61"/>
      <c r="H1" s="61"/>
      <c r="I1" s="62"/>
      <c r="J1" s="63"/>
      <c r="K1" s="60" t="s">
        <v>175</v>
      </c>
      <c r="L1" s="61"/>
      <c r="M1" s="61"/>
      <c r="N1" s="62"/>
      <c r="O1" s="63"/>
      <c r="P1" s="60" t="s">
        <v>162</v>
      </c>
      <c r="Q1" s="61"/>
      <c r="R1" s="61"/>
      <c r="S1" s="62"/>
      <c r="T1" s="63"/>
      <c r="U1" s="60" t="s">
        <v>163</v>
      </c>
      <c r="V1" s="61"/>
      <c r="W1" s="61"/>
      <c r="X1" s="62"/>
      <c r="Y1" s="63"/>
      <c r="Z1" s="60" t="s">
        <v>6</v>
      </c>
      <c r="AA1" s="70"/>
      <c r="AB1" s="61"/>
      <c r="AC1" s="63"/>
      <c r="AE1" s="60" t="str">
        <f>IF($F$1="","",$F$1)</f>
        <v>清水常緑</v>
      </c>
      <c r="AF1" s="70" t="str">
        <f t="shared" ref="AF1:AY1" si="0">$F$1</f>
        <v>清水常緑</v>
      </c>
      <c r="AG1" s="61" t="str">
        <f t="shared" si="0"/>
        <v>清水常緑</v>
      </c>
      <c r="AH1" s="61" t="str">
        <f t="shared" si="0"/>
        <v>清水常緑</v>
      </c>
      <c r="AI1" s="61" t="str">
        <f t="shared" si="0"/>
        <v>清水常緑</v>
      </c>
      <c r="AJ1" s="61" t="str">
        <f t="shared" si="0"/>
        <v>清水常緑</v>
      </c>
      <c r="AK1" s="61" t="str">
        <f t="shared" si="0"/>
        <v>清水常緑</v>
      </c>
      <c r="AL1" s="61" t="str">
        <f t="shared" si="0"/>
        <v>清水常緑</v>
      </c>
      <c r="AM1" s="61" t="str">
        <f t="shared" si="0"/>
        <v>清水常緑</v>
      </c>
      <c r="AN1" s="61" t="str">
        <f t="shared" si="0"/>
        <v>清水常緑</v>
      </c>
      <c r="AO1" s="61" t="str">
        <f t="shared" si="0"/>
        <v>清水常緑</v>
      </c>
      <c r="AP1" s="61" t="str">
        <f t="shared" si="0"/>
        <v>清水常緑</v>
      </c>
      <c r="AQ1" s="61" t="str">
        <f t="shared" si="0"/>
        <v>清水常緑</v>
      </c>
      <c r="AR1" s="61" t="str">
        <f t="shared" si="0"/>
        <v>清水常緑</v>
      </c>
      <c r="AS1" s="61" t="str">
        <f t="shared" si="0"/>
        <v>清水常緑</v>
      </c>
      <c r="AT1" s="61" t="str">
        <f t="shared" si="0"/>
        <v>清水常緑</v>
      </c>
      <c r="AU1" s="61" t="str">
        <f t="shared" si="0"/>
        <v>清水常緑</v>
      </c>
      <c r="AV1" s="61" t="str">
        <f t="shared" si="0"/>
        <v>清水常緑</v>
      </c>
      <c r="AW1" s="61" t="str">
        <f t="shared" si="0"/>
        <v>清水常緑</v>
      </c>
      <c r="AX1" s="61" t="str">
        <f t="shared" si="0"/>
        <v>清水常緑</v>
      </c>
      <c r="AY1" s="63" t="str">
        <f t="shared" si="0"/>
        <v>清水常緑</v>
      </c>
      <c r="AZ1" s="60" t="str">
        <f>IF($K$1="","",$K$1)</f>
        <v>佐藤成</v>
      </c>
      <c r="BA1" s="70"/>
      <c r="BB1" s="61"/>
      <c r="BC1" s="61"/>
      <c r="BD1" s="61"/>
      <c r="BE1" s="61"/>
      <c r="BF1" s="61"/>
      <c r="BG1" s="61"/>
      <c r="BH1" s="61"/>
      <c r="BI1" s="61"/>
      <c r="BJ1" s="61"/>
      <c r="BK1" s="61"/>
      <c r="BL1" s="61"/>
      <c r="BM1" s="61"/>
      <c r="BN1" s="61"/>
      <c r="BO1" s="61"/>
      <c r="BP1" s="61"/>
      <c r="BQ1" s="61"/>
      <c r="BR1" s="61"/>
      <c r="BS1" s="61"/>
      <c r="BT1" s="63"/>
      <c r="BU1" s="60" t="str">
        <f>IF($P$1="","",$P$1)</f>
        <v>長野柊馬</v>
      </c>
      <c r="BV1" s="70"/>
      <c r="BW1" s="61"/>
      <c r="BX1" s="61"/>
      <c r="BY1" s="61"/>
      <c r="BZ1" s="61"/>
      <c r="CA1" s="61"/>
      <c r="CB1" s="61"/>
      <c r="CC1" s="61"/>
      <c r="CD1" s="61"/>
      <c r="CE1" s="61"/>
      <c r="CF1" s="61"/>
      <c r="CG1" s="61"/>
      <c r="CH1" s="61"/>
      <c r="CI1" s="61"/>
      <c r="CJ1" s="61"/>
      <c r="CK1" s="61"/>
      <c r="CL1" s="61"/>
      <c r="CM1" s="61"/>
      <c r="CN1" s="61"/>
      <c r="CO1" s="63"/>
      <c r="CP1" s="60" t="str">
        <f>IF($U$1="","",$U$1)</f>
        <v>所附快和</v>
      </c>
      <c r="CQ1" s="70"/>
      <c r="CR1" s="61"/>
      <c r="CS1" s="61"/>
      <c r="CT1" s="61"/>
      <c r="CU1" s="61"/>
      <c r="CV1" s="61"/>
      <c r="CW1" s="61"/>
      <c r="CX1" s="61"/>
      <c r="CY1" s="61"/>
      <c r="CZ1" s="61"/>
      <c r="DA1" s="61"/>
      <c r="DB1" s="61"/>
      <c r="DC1" s="61"/>
      <c r="DD1" s="61"/>
      <c r="DE1" s="61"/>
      <c r="DF1" s="61"/>
      <c r="DG1" s="61"/>
      <c r="DH1" s="61"/>
      <c r="DI1" s="61"/>
      <c r="DJ1" s="63"/>
    </row>
    <row r="2" spans="1:114" x14ac:dyDescent="0.55000000000000004">
      <c r="A2" s="65"/>
      <c r="B2" s="67"/>
      <c r="C2" s="67"/>
      <c r="D2" s="67"/>
      <c r="E2" s="69"/>
      <c r="F2" s="1" t="s">
        <v>5</v>
      </c>
      <c r="G2" s="2" t="s">
        <v>8</v>
      </c>
      <c r="H2" s="2" t="s">
        <v>21</v>
      </c>
      <c r="I2" s="2" t="s">
        <v>1</v>
      </c>
      <c r="J2" s="3" t="s">
        <v>4</v>
      </c>
      <c r="K2" s="1" t="s">
        <v>5</v>
      </c>
      <c r="L2" s="2" t="s">
        <v>9</v>
      </c>
      <c r="M2" s="2" t="s">
        <v>21</v>
      </c>
      <c r="N2" s="2" t="s">
        <v>7</v>
      </c>
      <c r="O2" s="3" t="s">
        <v>4</v>
      </c>
      <c r="P2" s="1" t="s">
        <v>5</v>
      </c>
      <c r="Q2" s="2" t="s">
        <v>9</v>
      </c>
      <c r="R2" s="2" t="s">
        <v>21</v>
      </c>
      <c r="S2" s="2" t="s">
        <v>7</v>
      </c>
      <c r="T2" s="3" t="s">
        <v>4</v>
      </c>
      <c r="U2" s="1" t="s">
        <v>5</v>
      </c>
      <c r="V2" s="2" t="s">
        <v>9</v>
      </c>
      <c r="W2" s="2" t="s">
        <v>21</v>
      </c>
      <c r="X2" s="2" t="s">
        <v>7</v>
      </c>
      <c r="Y2" s="3" t="s">
        <v>4</v>
      </c>
      <c r="Z2" s="55" t="str">
        <f>IF($F$1="","",$F$1)</f>
        <v>清水常緑</v>
      </c>
      <c r="AA2" s="56" t="str">
        <f>IF($K$1="","",$K$1)</f>
        <v>佐藤成</v>
      </c>
      <c r="AB2" s="56" t="str">
        <f>IF($P$1="","",$P$1)</f>
        <v>長野柊馬</v>
      </c>
      <c r="AC2" s="13" t="str">
        <f>IF($U$1="","",$U$1)</f>
        <v>所附快和</v>
      </c>
      <c r="AE2" s="51" t="s">
        <v>22</v>
      </c>
      <c r="AF2" s="54" t="s">
        <v>25</v>
      </c>
      <c r="AG2" s="52" t="s">
        <v>23</v>
      </c>
      <c r="AH2" s="52" t="s">
        <v>110</v>
      </c>
      <c r="AI2" s="52" t="s">
        <v>18</v>
      </c>
      <c r="AJ2" s="53" t="s">
        <v>19</v>
      </c>
      <c r="AK2" s="71" t="s">
        <v>20</v>
      </c>
      <c r="AL2" s="71"/>
      <c r="AM2" s="71"/>
      <c r="AN2" s="71"/>
      <c r="AO2" s="71"/>
      <c r="AP2" s="71"/>
      <c r="AQ2" s="71"/>
      <c r="AR2" s="71"/>
      <c r="AS2" s="71"/>
      <c r="AT2" s="71"/>
      <c r="AU2" s="71"/>
      <c r="AV2" s="71"/>
      <c r="AW2" s="71"/>
      <c r="AX2" s="71"/>
      <c r="AY2" s="71"/>
      <c r="AZ2" s="51" t="s">
        <v>22</v>
      </c>
      <c r="BA2" s="54" t="s">
        <v>25</v>
      </c>
      <c r="BB2" s="52" t="s">
        <v>23</v>
      </c>
      <c r="BC2" s="52" t="s">
        <v>111</v>
      </c>
      <c r="BD2" s="52" t="s">
        <v>18</v>
      </c>
      <c r="BE2" s="53" t="s">
        <v>19</v>
      </c>
      <c r="BF2" s="71" t="s">
        <v>20</v>
      </c>
      <c r="BG2" s="71"/>
      <c r="BH2" s="71"/>
      <c r="BI2" s="71"/>
      <c r="BJ2" s="71"/>
      <c r="BK2" s="71"/>
      <c r="BL2" s="71"/>
      <c r="BM2" s="71"/>
      <c r="BN2" s="71"/>
      <c r="BO2" s="71"/>
      <c r="BP2" s="71"/>
      <c r="BQ2" s="71"/>
      <c r="BR2" s="71"/>
      <c r="BS2" s="71"/>
      <c r="BT2" s="71"/>
      <c r="BU2" s="51" t="s">
        <v>22</v>
      </c>
      <c r="BV2" s="54" t="s">
        <v>25</v>
      </c>
      <c r="BW2" s="52" t="s">
        <v>23</v>
      </c>
      <c r="BX2" s="52" t="s">
        <v>111</v>
      </c>
      <c r="BY2" s="52" t="s">
        <v>18</v>
      </c>
      <c r="BZ2" s="53" t="s">
        <v>19</v>
      </c>
      <c r="CA2" s="71" t="s">
        <v>20</v>
      </c>
      <c r="CB2" s="71"/>
      <c r="CC2" s="71"/>
      <c r="CD2" s="71"/>
      <c r="CE2" s="71"/>
      <c r="CF2" s="71"/>
      <c r="CG2" s="71"/>
      <c r="CH2" s="71"/>
      <c r="CI2" s="71"/>
      <c r="CJ2" s="71"/>
      <c r="CK2" s="71"/>
      <c r="CL2" s="71"/>
      <c r="CM2" s="71"/>
      <c r="CN2" s="71"/>
      <c r="CO2" s="71"/>
      <c r="CP2" s="51" t="s">
        <v>22</v>
      </c>
      <c r="CQ2" s="54" t="s">
        <v>25</v>
      </c>
      <c r="CR2" s="52" t="s">
        <v>23</v>
      </c>
      <c r="CS2" s="52" t="s">
        <v>111</v>
      </c>
      <c r="CT2" s="52" t="s">
        <v>18</v>
      </c>
      <c r="CU2" s="53" t="s">
        <v>19</v>
      </c>
      <c r="CV2" s="71" t="s">
        <v>20</v>
      </c>
      <c r="CW2" s="71"/>
      <c r="CX2" s="71"/>
      <c r="CY2" s="71"/>
      <c r="CZ2" s="71"/>
      <c r="DA2" s="71"/>
      <c r="DB2" s="71"/>
      <c r="DC2" s="71"/>
      <c r="DD2" s="71"/>
      <c r="DE2" s="71"/>
      <c r="DF2" s="71"/>
      <c r="DG2" s="71"/>
      <c r="DH2" s="71"/>
      <c r="DI2" s="71"/>
      <c r="DJ2" s="71"/>
    </row>
    <row r="3" spans="1:114" x14ac:dyDescent="0.55000000000000004">
      <c r="A3" s="9"/>
      <c r="B3" s="14"/>
      <c r="C3" s="14"/>
      <c r="D3" s="14"/>
      <c r="E3" s="57"/>
      <c r="F3" s="4"/>
      <c r="G3" s="20"/>
      <c r="H3" s="20"/>
      <c r="I3" s="20"/>
      <c r="J3" s="17">
        <v>25000</v>
      </c>
      <c r="K3" s="4"/>
      <c r="L3" s="20"/>
      <c r="M3" s="20"/>
      <c r="N3" s="20"/>
      <c r="O3" s="17">
        <v>25000</v>
      </c>
      <c r="P3" s="4"/>
      <c r="Q3" s="20"/>
      <c r="R3" s="20"/>
      <c r="S3" s="20"/>
      <c r="T3" s="17">
        <v>25000</v>
      </c>
      <c r="U3" s="4"/>
      <c r="V3" s="20"/>
      <c r="W3" s="20"/>
      <c r="X3" s="20"/>
      <c r="Y3" s="17">
        <v>25000</v>
      </c>
      <c r="Z3" s="42">
        <f>IF($J3="","",ROUND(($J3-30000)/1000,1)+(2.5-_xlfn.RANK.AVG($J3,($J3,$O3,$T3,$Y3)))*20+IF(_xlfn.RANK.EQ($J3,($J3,$O3,$T3,$Y3))=1,20/((_xlfn.RANK.AVG($J3,($J3,$O3,$T3,$Y3))-1)*2+1),0))</f>
        <v>0</v>
      </c>
      <c r="AA3" s="43">
        <f>IF($O3="","",ROUND(($O3-30000)/1000,1)+(2.5-_xlfn.RANK.AVG($O3,($J3,$O3,$T3,$Y3)))*20+IF(_xlfn.RANK.EQ($O3,($J3,$O3,$T3,$Y3))=1,20/((_xlfn.RANK.AVG($O3,($J3,$O3,$T3,$Y3))-1)*2+1),0))</f>
        <v>0</v>
      </c>
      <c r="AB3" s="43">
        <f>IF($T3="","",ROUND(($T3-30000)/1000,1)+(2.5-_xlfn.RANK.AVG($T3,($J3,$O3,$T3,$Y3)))*20+IF(_xlfn.RANK.EQ($T3,($J3,$O3,$T3,$Y3))=1,20/((_xlfn.RANK.AVG($T3,($J3,$O3,$T3,$Y3))-1)*2+1),0))</f>
        <v>0</v>
      </c>
      <c r="AC3" s="44">
        <f>IF($Y3="","",ROUND(($Y3-30000)/1000,1)+(2.5-_xlfn.RANK.AVG($Y3,($J3,$O3,$T3,$Y3)))*20+IF(_xlfn.RANK.EQ($Y3,($J3,$O3,$T3,$Y3))=1,20/((_xlfn.RANK.AVG($Y3,($J3,$O3,$T3,$Y3))-1)*2+1),0))</f>
        <v>0</v>
      </c>
      <c r="AE3" s="4"/>
      <c r="AF3" s="29"/>
      <c r="AG3" s="25"/>
      <c r="AH3" s="25"/>
      <c r="AI3" s="25"/>
      <c r="AJ3" s="26"/>
      <c r="AK3" s="33"/>
      <c r="AL3" s="34"/>
      <c r="AM3" s="34"/>
      <c r="AN3" s="34"/>
      <c r="AO3" s="34"/>
      <c r="AP3" s="34"/>
      <c r="AQ3" s="34"/>
      <c r="AR3" s="34"/>
      <c r="AS3" s="34"/>
      <c r="AT3" s="34"/>
      <c r="AU3" s="34"/>
      <c r="AV3" s="34"/>
      <c r="AW3" s="34"/>
      <c r="AX3" s="34"/>
      <c r="AY3" s="35"/>
      <c r="AZ3" s="4"/>
      <c r="BA3" s="29"/>
      <c r="BB3" s="25"/>
      <c r="BC3" s="25"/>
      <c r="BD3" s="25"/>
      <c r="BE3" s="26"/>
      <c r="BF3" s="33"/>
      <c r="BG3" s="34"/>
      <c r="BH3" s="34"/>
      <c r="BI3" s="34"/>
      <c r="BJ3" s="34"/>
      <c r="BK3" s="34"/>
      <c r="BL3" s="34"/>
      <c r="BM3" s="34"/>
      <c r="BN3" s="34"/>
      <c r="BO3" s="34"/>
      <c r="BP3" s="34"/>
      <c r="BQ3" s="34"/>
      <c r="BR3" s="34"/>
      <c r="BS3" s="34"/>
      <c r="BT3" s="35"/>
      <c r="BU3" s="4"/>
      <c r="BV3" s="29"/>
      <c r="BW3" s="25"/>
      <c r="BX3" s="25"/>
      <c r="BY3" s="25"/>
      <c r="BZ3" s="26"/>
      <c r="CA3" s="33"/>
      <c r="CB3" s="34"/>
      <c r="CC3" s="34"/>
      <c r="CD3" s="34"/>
      <c r="CE3" s="34"/>
      <c r="CF3" s="34"/>
      <c r="CG3" s="34"/>
      <c r="CH3" s="34"/>
      <c r="CI3" s="34"/>
      <c r="CJ3" s="34"/>
      <c r="CK3" s="34"/>
      <c r="CL3" s="34"/>
      <c r="CM3" s="34"/>
      <c r="CN3" s="34"/>
      <c r="CO3" s="35"/>
      <c r="CP3" s="4"/>
      <c r="CQ3" s="29"/>
      <c r="CR3" s="25"/>
      <c r="CS3" s="25"/>
      <c r="CT3" s="25"/>
      <c r="CU3" s="26"/>
      <c r="CV3" s="33"/>
      <c r="CW3" s="34"/>
      <c r="CX3" s="34"/>
      <c r="CY3" s="34"/>
      <c r="CZ3" s="34"/>
      <c r="DA3" s="34"/>
      <c r="DB3" s="34"/>
      <c r="DC3" s="34"/>
      <c r="DD3" s="34"/>
      <c r="DE3" s="34"/>
      <c r="DF3" s="34"/>
      <c r="DG3" s="34"/>
      <c r="DH3" s="34"/>
      <c r="DI3" s="34"/>
      <c r="DJ3" s="35"/>
    </row>
    <row r="4" spans="1:114" x14ac:dyDescent="0.55000000000000004">
      <c r="A4" s="10" t="s">
        <v>116</v>
      </c>
      <c r="B4" s="15">
        <v>1</v>
      </c>
      <c r="C4" s="15">
        <v>0</v>
      </c>
      <c r="D4" s="15">
        <v>0</v>
      </c>
      <c r="E4" s="58" t="str">
        <f>IF($F$1="","",$F$1)</f>
        <v>清水常緑</v>
      </c>
      <c r="F4" s="5" t="s">
        <v>166</v>
      </c>
      <c r="G4" s="6">
        <v>-1000</v>
      </c>
      <c r="H4" s="6"/>
      <c r="I4" s="6">
        <v>0</v>
      </c>
      <c r="J4" s="18">
        <f>IF(COUNTA($F4,$K4,$P4,$U4)&gt;0,J3+SUM(G4:I4),"")</f>
        <v>24000</v>
      </c>
      <c r="K4" s="5" t="s">
        <v>166</v>
      </c>
      <c r="L4" s="6">
        <v>-500</v>
      </c>
      <c r="M4" s="6">
        <v>-1000</v>
      </c>
      <c r="N4" s="6">
        <v>0</v>
      </c>
      <c r="O4" s="18">
        <f>IF(COUNTA($F4,$K4,$P4,$U4)&gt;0,O3+SUM(L4:N4),"")</f>
        <v>23500</v>
      </c>
      <c r="P4" s="5" t="s">
        <v>166</v>
      </c>
      <c r="Q4" s="6">
        <v>-500</v>
      </c>
      <c r="R4" s="6">
        <v>-1000</v>
      </c>
      <c r="S4" s="6">
        <v>0</v>
      </c>
      <c r="T4" s="18">
        <f>IF(COUNTA($F4,$K4,$P4,$U4)&gt;0,T3+SUM(Q4:S4),"")</f>
        <v>23500</v>
      </c>
      <c r="U4" s="5" t="s">
        <v>165</v>
      </c>
      <c r="V4" s="6">
        <v>2000</v>
      </c>
      <c r="W4" s="6">
        <v>2000</v>
      </c>
      <c r="X4" s="6">
        <v>0</v>
      </c>
      <c r="Y4" s="18">
        <f>IF(COUNTA($F4,$K4,$P4,$U4)&gt;0,Y3+SUM(V4:X4),"")</f>
        <v>29000</v>
      </c>
      <c r="Z4" s="45">
        <f>IF($J4="","",ROUND(($J4-30000)/1000,1)+(2.5-_xlfn.RANK.AVG($J4,($J4,$O4,$T4,$Y4)))*20+IF(_xlfn.RANK.EQ($J4,($J4,$O4,$T4,$Y4))=1,20/((_xlfn.RANK.AVG($J4,($J4,$O4,$T4,$Y4))-1)*2+1),0))</f>
        <v>4</v>
      </c>
      <c r="AA4" s="46">
        <f>IF($O4="","",ROUND(($O4-30000)/1000,1)+(2.5-_xlfn.RANK.AVG($O4,($J4,$O4,$T4,$Y4)))*20+IF(_xlfn.RANK.EQ($O4,($J4,$O4,$T4,$Y4))=1,20/((_xlfn.RANK.AVG($O4,($J4,$O4,$T4,$Y4))-1)*2+1),0))</f>
        <v>-26.5</v>
      </c>
      <c r="AB4" s="46">
        <f>IF($T4="","",ROUND(($T4-30000)/1000,1)+(2.5-_xlfn.RANK.AVG($T4,($J4,$O4,$T4,$Y4)))*20+IF(_xlfn.RANK.EQ($T4,($J4,$O4,$T4,$Y4))=1,20/((_xlfn.RANK.AVG($T4,($J4,$O4,$T4,$Y4))-1)*2+1),0))</f>
        <v>-26.5</v>
      </c>
      <c r="AC4" s="47">
        <f>IF($Y4="","",ROUND(($Y4-30000)/1000,1)+(2.5-_xlfn.RANK.AVG($Y4,($J4,$O4,$T4,$Y4)))*20+IF(_xlfn.RANK.EQ($Y4,($J4,$O4,$T4,$Y4))=1,20/((_xlfn.RANK.AVG($Y4,($J4,$O4,$T4,$Y4))-1)*2+1),0))</f>
        <v>49</v>
      </c>
      <c r="AE4" s="5"/>
      <c r="AF4" s="30"/>
      <c r="AG4" s="23"/>
      <c r="AH4" s="23"/>
      <c r="AI4" s="23"/>
      <c r="AJ4" s="27"/>
      <c r="AK4" s="36"/>
      <c r="AL4" s="37"/>
      <c r="AM4" s="37"/>
      <c r="AN4" s="37"/>
      <c r="AO4" s="37"/>
      <c r="AP4" s="37"/>
      <c r="AQ4" s="37"/>
      <c r="AR4" s="37"/>
      <c r="AS4" s="37"/>
      <c r="AT4" s="37"/>
      <c r="AU4" s="37"/>
      <c r="AV4" s="37"/>
      <c r="AW4" s="37"/>
      <c r="AX4" s="37"/>
      <c r="AY4" s="38"/>
      <c r="AZ4" s="5"/>
      <c r="BA4" s="30"/>
      <c r="BB4" s="23">
        <v>1</v>
      </c>
      <c r="BC4" s="23"/>
      <c r="BD4" s="23"/>
      <c r="BE4" s="27"/>
      <c r="BF4" s="36"/>
      <c r="BG4" s="37"/>
      <c r="BH4" s="37"/>
      <c r="BI4" s="37"/>
      <c r="BJ4" s="37"/>
      <c r="BK4" s="37"/>
      <c r="BL4" s="37"/>
      <c r="BM4" s="37"/>
      <c r="BN4" s="37"/>
      <c r="BO4" s="37"/>
      <c r="BP4" s="37"/>
      <c r="BQ4" s="37"/>
      <c r="BR4" s="37"/>
      <c r="BS4" s="37"/>
      <c r="BT4" s="38"/>
      <c r="BU4" s="5"/>
      <c r="BV4" s="30"/>
      <c r="BW4" s="23">
        <v>1</v>
      </c>
      <c r="BX4" s="23"/>
      <c r="BY4" s="23"/>
      <c r="BZ4" s="27"/>
      <c r="CA4" s="36"/>
      <c r="CB4" s="37"/>
      <c r="CC4" s="37"/>
      <c r="CD4" s="37"/>
      <c r="CE4" s="37"/>
      <c r="CF4" s="37"/>
      <c r="CG4" s="37"/>
      <c r="CH4" s="37"/>
      <c r="CI4" s="37"/>
      <c r="CJ4" s="37"/>
      <c r="CK4" s="37"/>
      <c r="CL4" s="37"/>
      <c r="CM4" s="37"/>
      <c r="CN4" s="37"/>
      <c r="CO4" s="38"/>
      <c r="CP4" s="5"/>
      <c r="CQ4" s="30"/>
      <c r="CR4" s="23"/>
      <c r="CS4" s="23">
        <v>1</v>
      </c>
      <c r="CT4" s="23">
        <v>2</v>
      </c>
      <c r="CU4" s="27">
        <v>30</v>
      </c>
      <c r="CV4" s="36" t="s">
        <v>76</v>
      </c>
      <c r="CW4" s="37" t="s">
        <v>169</v>
      </c>
      <c r="CX4" s="37"/>
      <c r="CY4" s="37"/>
      <c r="CZ4" s="37"/>
      <c r="DA4" s="37"/>
      <c r="DB4" s="37"/>
      <c r="DC4" s="37"/>
      <c r="DD4" s="37"/>
      <c r="DE4" s="37"/>
      <c r="DF4" s="37"/>
      <c r="DG4" s="37"/>
      <c r="DH4" s="37"/>
      <c r="DI4" s="37"/>
      <c r="DJ4" s="38"/>
    </row>
    <row r="5" spans="1:114" x14ac:dyDescent="0.55000000000000004">
      <c r="A5" s="10" t="str">
        <f t="shared" ref="A5:A9" si="1">IF($E5="","",IF(AND(B4=4,B5=1),_xlfn.SWITCH(A4,"東","南","南","西","西","北","北","東"),A4))</f>
        <v>東</v>
      </c>
      <c r="B5" s="15">
        <f>IF($E5="","",IF($E4=$E5,B4,IF(B4=4,1,B4+1)))</f>
        <v>2</v>
      </c>
      <c r="C5" s="15">
        <f>IF($E5="","",IF($F4="チョンボ",C4,IF(OR($E4=$E5,$F4="流局"),C4+1,0)))</f>
        <v>0</v>
      </c>
      <c r="D5" s="15">
        <f>IF($E5="","",IF(OR($F4="流局",$F4="チョンボ"),D4+($H4+$M4+$R4+$W4)/-1000,0))</f>
        <v>0</v>
      </c>
      <c r="E5" s="58" t="str">
        <f>IF($K$1="","",$K$1)</f>
        <v>佐藤成</v>
      </c>
      <c r="F5" s="5" t="s">
        <v>170</v>
      </c>
      <c r="G5" s="6">
        <v>3900</v>
      </c>
      <c r="H5" s="6">
        <v>1000</v>
      </c>
      <c r="I5" s="6">
        <v>0</v>
      </c>
      <c r="J5" s="18">
        <f t="shared" ref="J5:J30" si="2">IF(COUNTA($F5,$K5,$P5,$U5)&gt;0,J4+SUM(G5:I5),"")</f>
        <v>28900</v>
      </c>
      <c r="K5" s="5" t="s">
        <v>171</v>
      </c>
      <c r="L5" s="6">
        <v>-3900</v>
      </c>
      <c r="M5" s="6"/>
      <c r="N5" s="6">
        <v>0</v>
      </c>
      <c r="O5" s="18">
        <f>IF(COUNTA($F5,$K5,$P5,$U5)&gt;0,O4+SUM(L5:N5),"")</f>
        <v>19600</v>
      </c>
      <c r="P5" s="5"/>
      <c r="Q5" s="6"/>
      <c r="R5" s="6">
        <v>-1000</v>
      </c>
      <c r="S5" s="6"/>
      <c r="T5" s="18">
        <f t="shared" ref="T5:T30" si="3">IF(COUNTA($F5,$K5,$P5,$U5)&gt;0,T4+SUM(Q5:S5),"")</f>
        <v>22500</v>
      </c>
      <c r="U5" s="5"/>
      <c r="V5" s="6"/>
      <c r="W5" s="6"/>
      <c r="X5" s="6"/>
      <c r="Y5" s="18">
        <f t="shared" ref="Y5:Y30" si="4">IF(COUNTA($F5,$K5,$P5,$U5)&gt;0,Y4+SUM(V5:X5),"")</f>
        <v>29000</v>
      </c>
      <c r="Z5" s="45">
        <f>IF($J5="","",ROUND(($J5-30000)/1000,1)+(2.5-_xlfn.RANK.AVG($J5,($J5,$O5,$T5,$Y5)))*20+IF(_xlfn.RANK.EQ($J5,($J5,$O5,$T5,$Y5))=1,20/((_xlfn.RANK.AVG($J5,($J5,$O5,$T5,$Y5))-1)*2+1),0))</f>
        <v>8.9</v>
      </c>
      <c r="AA5" s="46">
        <f>IF($O5="","",ROUND(($O5-30000)/1000,1)+(2.5-_xlfn.RANK.AVG($O5,($J5,$O5,$T5,$Y5)))*20+IF(_xlfn.RANK.EQ($O5,($J5,$O5,$T5,$Y5))=1,20/((_xlfn.RANK.AVG($O5,($J5,$O5,$T5,$Y5))-1)*2+1),0))</f>
        <v>-40.4</v>
      </c>
      <c r="AB5" s="46">
        <f>IF($T5="","",ROUND(($T5-30000)/1000,1)+(2.5-_xlfn.RANK.AVG($T5,($J5,$O5,$T5,$Y5)))*20+IF(_xlfn.RANK.EQ($T5,($J5,$O5,$T5,$Y5))=1,20/((_xlfn.RANK.AVG($T5,($J5,$O5,$T5,$Y5))-1)*2+1),0))</f>
        <v>-17.5</v>
      </c>
      <c r="AC5" s="47">
        <f>IF($Y5="","",ROUND(($Y5-30000)/1000,1)+(2.5-_xlfn.RANK.AVG($Y5,($J5,$O5,$T5,$Y5)))*20+IF(_xlfn.RANK.EQ($Y5,($J5,$O5,$T5,$Y5))=1,20/((_xlfn.RANK.AVG($Y5,($J5,$O5,$T5,$Y5))-1)*2+1),0))</f>
        <v>49</v>
      </c>
      <c r="AE5" s="5"/>
      <c r="AF5" s="30"/>
      <c r="AG5" s="23"/>
      <c r="AH5" s="23">
        <v>1</v>
      </c>
      <c r="AI5" s="23">
        <v>3</v>
      </c>
      <c r="AJ5" s="27">
        <v>30</v>
      </c>
      <c r="AK5" s="36" t="s">
        <v>76</v>
      </c>
      <c r="AL5" s="37" t="s">
        <v>70</v>
      </c>
      <c r="AM5" s="37" t="s">
        <v>169</v>
      </c>
      <c r="AN5" s="37"/>
      <c r="AO5" s="37"/>
      <c r="AP5" s="37"/>
      <c r="AQ5" s="37"/>
      <c r="AR5" s="37"/>
      <c r="AS5" s="37"/>
      <c r="AT5" s="37"/>
      <c r="AU5" s="37"/>
      <c r="AV5" s="37"/>
      <c r="AW5" s="37"/>
      <c r="AX5" s="37"/>
      <c r="AY5" s="38"/>
      <c r="AZ5" s="5"/>
      <c r="BA5" s="30"/>
      <c r="BB5" s="23"/>
      <c r="BC5" s="23"/>
      <c r="BD5" s="23"/>
      <c r="BE5" s="27"/>
      <c r="BF5" s="36"/>
      <c r="BG5" s="37"/>
      <c r="BH5" s="37"/>
      <c r="BI5" s="37"/>
      <c r="BJ5" s="37"/>
      <c r="BK5" s="37"/>
      <c r="BL5" s="37"/>
      <c r="BM5" s="37"/>
      <c r="BN5" s="37"/>
      <c r="BO5" s="37"/>
      <c r="BP5" s="37"/>
      <c r="BQ5" s="37"/>
      <c r="BR5" s="37"/>
      <c r="BS5" s="37"/>
      <c r="BT5" s="38"/>
      <c r="BU5" s="5"/>
      <c r="BV5" s="30"/>
      <c r="BW5" s="23">
        <v>1</v>
      </c>
      <c r="BX5" s="23"/>
      <c r="BY5" s="23"/>
      <c r="BZ5" s="27"/>
      <c r="CA5" s="36"/>
      <c r="CB5" s="37"/>
      <c r="CC5" s="37"/>
      <c r="CD5" s="37"/>
      <c r="CE5" s="37"/>
      <c r="CF5" s="37"/>
      <c r="CG5" s="37"/>
      <c r="CH5" s="37"/>
      <c r="CI5" s="37"/>
      <c r="CJ5" s="37"/>
      <c r="CK5" s="37"/>
      <c r="CL5" s="37"/>
      <c r="CM5" s="37"/>
      <c r="CN5" s="37"/>
      <c r="CO5" s="38"/>
      <c r="CP5" s="5"/>
      <c r="CQ5" s="30"/>
      <c r="CR5" s="23"/>
      <c r="CS5" s="23"/>
      <c r="CT5" s="23"/>
      <c r="CU5" s="27"/>
      <c r="CV5" s="36"/>
      <c r="CW5" s="37"/>
      <c r="CX5" s="37"/>
      <c r="CY5" s="37"/>
      <c r="CZ5" s="37"/>
      <c r="DA5" s="37"/>
      <c r="DB5" s="37"/>
      <c r="DC5" s="37"/>
      <c r="DD5" s="37"/>
      <c r="DE5" s="37"/>
      <c r="DF5" s="37"/>
      <c r="DG5" s="37"/>
      <c r="DH5" s="37"/>
      <c r="DI5" s="37"/>
      <c r="DJ5" s="38"/>
    </row>
    <row r="6" spans="1:114" x14ac:dyDescent="0.55000000000000004">
      <c r="A6" s="10" t="str">
        <f t="shared" si="1"/>
        <v>東</v>
      </c>
      <c r="B6" s="15">
        <f t="shared" ref="B6:B30" si="5">IF($E6="","",IF($E5=$E6,B5,IF(B5=4,1,B5+1)))</f>
        <v>3</v>
      </c>
      <c r="C6" s="15">
        <f t="shared" ref="C6:C30" si="6">IF($E6="","",IF($F5="チョンボ",C5,IF(OR($E5=$E6,$F5="流局"),C5+1,0)))</f>
        <v>0</v>
      </c>
      <c r="D6" s="15">
        <f t="shared" ref="D6:D30" si="7">IF($E6="","",IF(OR($F5="流局",$F5="チョンボ"),D5+($H5+$M5+$R5+$W5)/-1000,0))</f>
        <v>0</v>
      </c>
      <c r="E6" s="58" t="str">
        <f>IF($P$1="","",$P$1)</f>
        <v>長野柊馬</v>
      </c>
      <c r="F6" s="5" t="s">
        <v>166</v>
      </c>
      <c r="G6" s="6">
        <v>-6000</v>
      </c>
      <c r="H6" s="6"/>
      <c r="I6" s="6">
        <v>0</v>
      </c>
      <c r="J6" s="18">
        <f t="shared" si="2"/>
        <v>22900</v>
      </c>
      <c r="K6" s="5" t="s">
        <v>166</v>
      </c>
      <c r="L6" s="6">
        <v>-6000</v>
      </c>
      <c r="M6" s="6"/>
      <c r="N6" s="6">
        <v>0</v>
      </c>
      <c r="O6" s="18">
        <f t="shared" ref="O6:O30" si="8">IF(COUNTA($F6,$K6,$P6,$U6)&gt;0,O5+SUM(L6:N6),"")</f>
        <v>13600</v>
      </c>
      <c r="P6" s="5" t="s">
        <v>165</v>
      </c>
      <c r="Q6" s="6">
        <v>18000</v>
      </c>
      <c r="R6" s="6"/>
      <c r="S6" s="6">
        <v>0</v>
      </c>
      <c r="T6" s="18">
        <f t="shared" si="3"/>
        <v>40500</v>
      </c>
      <c r="U6" s="5" t="s">
        <v>166</v>
      </c>
      <c r="V6" s="6">
        <v>-6000</v>
      </c>
      <c r="W6" s="6"/>
      <c r="X6" s="6">
        <v>0</v>
      </c>
      <c r="Y6" s="18">
        <f t="shared" si="4"/>
        <v>23000</v>
      </c>
      <c r="Z6" s="45">
        <f>IF($J6="","",ROUND(($J6-30000)/1000,1)+(2.5-_xlfn.RANK.AVG($J6,($J6,$O6,$T6,$Y6)))*20+IF(_xlfn.RANK.EQ($J6,($J6,$O6,$T6,$Y6))=1,20/((_xlfn.RANK.AVG($J6,($J6,$O6,$T6,$Y6))-1)*2+1),0))</f>
        <v>-17.100000000000001</v>
      </c>
      <c r="AA6" s="46">
        <f>IF($O6="","",ROUND(($O6-30000)/1000,1)+(2.5-_xlfn.RANK.AVG($O6,($J6,$O6,$T6,$Y6)))*20+IF(_xlfn.RANK.EQ($O6,($J6,$O6,$T6,$Y6))=1,20/((_xlfn.RANK.AVG($O6,($J6,$O6,$T6,$Y6))-1)*2+1),0))</f>
        <v>-46.4</v>
      </c>
      <c r="AB6" s="46">
        <f>IF($T6="","",ROUND(($T6-30000)/1000,1)+(2.5-_xlfn.RANK.AVG($T6,($J6,$O6,$T6,$Y6)))*20+IF(_xlfn.RANK.EQ($T6,($J6,$O6,$T6,$Y6))=1,20/((_xlfn.RANK.AVG($T6,($J6,$O6,$T6,$Y6))-1)*2+1),0))</f>
        <v>60.5</v>
      </c>
      <c r="AC6" s="47">
        <f>IF($Y6="","",ROUND(($Y6-30000)/1000,1)+(2.5-_xlfn.RANK.AVG($Y6,($J6,$O6,$T6,$Y6)))*20+IF(_xlfn.RANK.EQ($Y6,($J6,$O6,$T6,$Y6))=1,20/((_xlfn.RANK.AVG($Y6,($J6,$O6,$T6,$Y6))-1)*2+1),0))</f>
        <v>3</v>
      </c>
      <c r="AE6" s="5"/>
      <c r="AF6" s="30"/>
      <c r="AG6" s="23"/>
      <c r="AH6" s="23">
        <v>1</v>
      </c>
      <c r="AI6" s="23"/>
      <c r="AJ6" s="27"/>
      <c r="AK6" s="36"/>
      <c r="AL6" s="37"/>
      <c r="AM6" s="37"/>
      <c r="AN6" s="37"/>
      <c r="AO6" s="37"/>
      <c r="AP6" s="37"/>
      <c r="AQ6" s="37"/>
      <c r="AR6" s="37"/>
      <c r="AS6" s="37"/>
      <c r="AT6" s="37"/>
      <c r="AU6" s="37"/>
      <c r="AV6" s="37"/>
      <c r="AW6" s="37"/>
      <c r="AX6" s="37"/>
      <c r="AY6" s="38"/>
      <c r="AZ6" s="5"/>
      <c r="BA6" s="30"/>
      <c r="BB6" s="23"/>
      <c r="BC6" s="23"/>
      <c r="BD6" s="23"/>
      <c r="BE6" s="27"/>
      <c r="BF6" s="36"/>
      <c r="BG6" s="37"/>
      <c r="BH6" s="37"/>
      <c r="BI6" s="37"/>
      <c r="BJ6" s="37"/>
      <c r="BK6" s="37"/>
      <c r="BL6" s="37"/>
      <c r="BM6" s="37"/>
      <c r="BN6" s="37"/>
      <c r="BO6" s="37"/>
      <c r="BP6" s="37"/>
      <c r="BQ6" s="37"/>
      <c r="BR6" s="37"/>
      <c r="BS6" s="37"/>
      <c r="BT6" s="38"/>
      <c r="BU6" s="5"/>
      <c r="BV6" s="30"/>
      <c r="BW6" s="23">
        <v>1</v>
      </c>
      <c r="BX6" s="23"/>
      <c r="BY6" s="23">
        <v>6</v>
      </c>
      <c r="BZ6" s="27" t="s">
        <v>167</v>
      </c>
      <c r="CA6" s="36" t="s">
        <v>168</v>
      </c>
      <c r="CB6" s="37" t="s">
        <v>73</v>
      </c>
      <c r="CC6" s="37" t="s">
        <v>74</v>
      </c>
      <c r="CD6" s="37" t="s">
        <v>169</v>
      </c>
      <c r="CE6" s="37" t="s">
        <v>70</v>
      </c>
      <c r="CF6" s="37" t="s">
        <v>70</v>
      </c>
      <c r="CG6" s="37"/>
      <c r="CH6" s="37"/>
      <c r="CI6" s="37"/>
      <c r="CJ6" s="37"/>
      <c r="CK6" s="37"/>
      <c r="CL6" s="37"/>
      <c r="CM6" s="37"/>
      <c r="CN6" s="37"/>
      <c r="CO6" s="38"/>
      <c r="CP6" s="5"/>
      <c r="CQ6" s="30"/>
      <c r="CR6" s="23"/>
      <c r="CS6" s="23"/>
      <c r="CT6" s="23"/>
      <c r="CU6" s="27"/>
      <c r="CV6" s="36"/>
      <c r="CW6" s="37"/>
      <c r="CX6" s="37"/>
      <c r="CY6" s="37"/>
      <c r="CZ6" s="37"/>
      <c r="DA6" s="37"/>
      <c r="DB6" s="37"/>
      <c r="DC6" s="37"/>
      <c r="DD6" s="37"/>
      <c r="DE6" s="37"/>
      <c r="DF6" s="37"/>
      <c r="DG6" s="37"/>
      <c r="DH6" s="37"/>
      <c r="DI6" s="37"/>
      <c r="DJ6" s="38"/>
    </row>
    <row r="7" spans="1:114" x14ac:dyDescent="0.55000000000000004">
      <c r="A7" s="10" t="str">
        <f t="shared" si="1"/>
        <v>東</v>
      </c>
      <c r="B7" s="15">
        <f t="shared" si="5"/>
        <v>3</v>
      </c>
      <c r="C7" s="15">
        <f t="shared" si="6"/>
        <v>1</v>
      </c>
      <c r="D7" s="15">
        <f t="shared" si="7"/>
        <v>0</v>
      </c>
      <c r="E7" s="58" t="str">
        <f>IF($P$1="","",$P$1)</f>
        <v>長野柊馬</v>
      </c>
      <c r="F7" s="5" t="s">
        <v>165</v>
      </c>
      <c r="G7" s="6">
        <v>12000</v>
      </c>
      <c r="H7" s="6"/>
      <c r="I7" s="6">
        <v>300</v>
      </c>
      <c r="J7" s="18">
        <f t="shared" si="2"/>
        <v>35200</v>
      </c>
      <c r="K7" s="5" t="s">
        <v>166</v>
      </c>
      <c r="L7" s="6">
        <v>-3000</v>
      </c>
      <c r="M7" s="6"/>
      <c r="N7" s="6">
        <v>-100</v>
      </c>
      <c r="O7" s="18">
        <f t="shared" si="8"/>
        <v>10500</v>
      </c>
      <c r="P7" s="5" t="s">
        <v>166</v>
      </c>
      <c r="Q7" s="6">
        <v>-6000</v>
      </c>
      <c r="R7" s="6"/>
      <c r="S7" s="6">
        <v>-100</v>
      </c>
      <c r="T7" s="18">
        <f t="shared" si="3"/>
        <v>34400</v>
      </c>
      <c r="U7" s="5" t="s">
        <v>166</v>
      </c>
      <c r="V7" s="6">
        <v>-3000</v>
      </c>
      <c r="W7" s="6"/>
      <c r="X7" s="6">
        <v>-100</v>
      </c>
      <c r="Y7" s="18">
        <f t="shared" si="4"/>
        <v>19900</v>
      </c>
      <c r="Z7" s="45">
        <f>IF($J7="","",ROUND(($J7-30000)/1000,1)+(2.5-_xlfn.RANK.AVG($J7,($J7,$O7,$T7,$Y7)))*20+IF(_xlfn.RANK.EQ($J7,($J7,$O7,$T7,$Y7))=1,20/((_xlfn.RANK.AVG($J7,($J7,$O7,$T7,$Y7))-1)*2+1),0))</f>
        <v>55.2</v>
      </c>
      <c r="AA7" s="46">
        <f>IF($O7="","",ROUND(($O7-30000)/1000,1)+(2.5-_xlfn.RANK.AVG($O7,($J7,$O7,$T7,$Y7)))*20+IF(_xlfn.RANK.EQ($O7,($J7,$O7,$T7,$Y7))=1,20/((_xlfn.RANK.AVG($O7,($J7,$O7,$T7,$Y7))-1)*2+1),0))</f>
        <v>-49.5</v>
      </c>
      <c r="AB7" s="46">
        <f>IF($T7="","",ROUND(($T7-30000)/1000,1)+(2.5-_xlfn.RANK.AVG($T7,($J7,$O7,$T7,$Y7)))*20+IF(_xlfn.RANK.EQ($T7,($J7,$O7,$T7,$Y7))=1,20/((_xlfn.RANK.AVG($T7,($J7,$O7,$T7,$Y7))-1)*2+1),0))</f>
        <v>14.4</v>
      </c>
      <c r="AC7" s="47">
        <f>IF($Y7="","",ROUND(($Y7-30000)/1000,1)+(2.5-_xlfn.RANK.AVG($Y7,($J7,$O7,$T7,$Y7)))*20+IF(_xlfn.RANK.EQ($Y7,($J7,$O7,$T7,$Y7))=1,20/((_xlfn.RANK.AVG($Y7,($J7,$O7,$T7,$Y7))-1)*2+1),0))</f>
        <v>-20.100000000000001</v>
      </c>
      <c r="AE7" s="5"/>
      <c r="AF7" s="30"/>
      <c r="AG7" s="23">
        <v>1</v>
      </c>
      <c r="AH7" s="23"/>
      <c r="AI7" s="23">
        <v>6</v>
      </c>
      <c r="AJ7" s="27" t="s">
        <v>167</v>
      </c>
      <c r="AK7" s="36" t="s">
        <v>168</v>
      </c>
      <c r="AL7" s="37" t="s">
        <v>73</v>
      </c>
      <c r="AM7" s="37" t="s">
        <v>77</v>
      </c>
      <c r="AN7" s="37" t="s">
        <v>71</v>
      </c>
      <c r="AO7" s="37" t="s">
        <v>71</v>
      </c>
      <c r="AP7" s="37" t="s">
        <v>71</v>
      </c>
      <c r="AQ7" s="37"/>
      <c r="AR7" s="37"/>
      <c r="AS7" s="37"/>
      <c r="AT7" s="37"/>
      <c r="AU7" s="37"/>
      <c r="AV7" s="37"/>
      <c r="AW7" s="37"/>
      <c r="AX7" s="37"/>
      <c r="AY7" s="38"/>
      <c r="AZ7" s="5"/>
      <c r="BA7" s="30"/>
      <c r="BB7" s="23"/>
      <c r="BC7" s="23"/>
      <c r="BD7" s="23"/>
      <c r="BE7" s="27"/>
      <c r="BF7" s="36"/>
      <c r="BG7" s="37"/>
      <c r="BH7" s="37"/>
      <c r="BI7" s="37"/>
      <c r="BJ7" s="37"/>
      <c r="BK7" s="37"/>
      <c r="BL7" s="37"/>
      <c r="BM7" s="37"/>
      <c r="BN7" s="37"/>
      <c r="BO7" s="37"/>
      <c r="BP7" s="37"/>
      <c r="BQ7" s="37"/>
      <c r="BR7" s="37"/>
      <c r="BS7" s="37"/>
      <c r="BT7" s="38"/>
      <c r="BU7" s="5"/>
      <c r="BV7" s="30"/>
      <c r="BW7" s="23"/>
      <c r="BX7" s="23"/>
      <c r="BY7" s="23"/>
      <c r="BZ7" s="27"/>
      <c r="CA7" s="36"/>
      <c r="CB7" s="37"/>
      <c r="CC7" s="37"/>
      <c r="CD7" s="37"/>
      <c r="CE7" s="37"/>
      <c r="CF7" s="37"/>
      <c r="CG7" s="37"/>
      <c r="CH7" s="37"/>
      <c r="CI7" s="37"/>
      <c r="CJ7" s="37"/>
      <c r="CK7" s="37"/>
      <c r="CL7" s="37"/>
      <c r="CM7" s="37"/>
      <c r="CN7" s="37"/>
      <c r="CO7" s="38"/>
      <c r="CP7" s="5"/>
      <c r="CQ7" s="30"/>
      <c r="CR7" s="23"/>
      <c r="CS7" s="23"/>
      <c r="CT7" s="23"/>
      <c r="CU7" s="27"/>
      <c r="CV7" s="36"/>
      <c r="CW7" s="37"/>
      <c r="CX7" s="37"/>
      <c r="CY7" s="37"/>
      <c r="CZ7" s="37"/>
      <c r="DA7" s="37"/>
      <c r="DB7" s="37"/>
      <c r="DC7" s="37"/>
      <c r="DD7" s="37"/>
      <c r="DE7" s="37"/>
      <c r="DF7" s="37"/>
      <c r="DG7" s="37"/>
      <c r="DH7" s="37"/>
      <c r="DI7" s="37"/>
      <c r="DJ7" s="38"/>
    </row>
    <row r="8" spans="1:114" x14ac:dyDescent="0.55000000000000004">
      <c r="A8" s="10" t="str">
        <f t="shared" si="1"/>
        <v>東</v>
      </c>
      <c r="B8" s="15">
        <f t="shared" si="5"/>
        <v>4</v>
      </c>
      <c r="C8" s="15">
        <f t="shared" si="6"/>
        <v>0</v>
      </c>
      <c r="D8" s="15">
        <f>IF($E8="","",IF(OR($F7="流局",$F7="チョンボ"),D7+($H7+$M7+$R7+$W7)/-1000,0))</f>
        <v>0</v>
      </c>
      <c r="E8" s="58" t="str">
        <f>IF($U$1="","",$U$1)</f>
        <v>所附快和</v>
      </c>
      <c r="F8" s="5"/>
      <c r="G8" s="6"/>
      <c r="H8" s="6"/>
      <c r="I8" s="6"/>
      <c r="J8" s="18">
        <f t="shared" si="2"/>
        <v>35200</v>
      </c>
      <c r="K8" s="5"/>
      <c r="L8" s="6"/>
      <c r="M8" s="6"/>
      <c r="N8" s="6"/>
      <c r="O8" s="18">
        <f t="shared" si="8"/>
        <v>10500</v>
      </c>
      <c r="P8" s="5" t="s">
        <v>170</v>
      </c>
      <c r="Q8" s="6">
        <v>3900</v>
      </c>
      <c r="R8" s="6">
        <v>1000</v>
      </c>
      <c r="S8" s="6">
        <v>0</v>
      </c>
      <c r="T8" s="18">
        <f t="shared" si="3"/>
        <v>39300</v>
      </c>
      <c r="U8" s="5" t="s">
        <v>171</v>
      </c>
      <c r="V8" s="6">
        <v>-3900</v>
      </c>
      <c r="W8" s="6">
        <v>-1000</v>
      </c>
      <c r="X8" s="6">
        <v>0</v>
      </c>
      <c r="Y8" s="18">
        <f t="shared" si="4"/>
        <v>15000</v>
      </c>
      <c r="Z8" s="45">
        <f>IF($J8="","",ROUND(($J8-30000)/1000,1)+(2.5-_xlfn.RANK.AVG($J8,($J8,$O8,$T8,$Y8)))*20+IF(_xlfn.RANK.EQ($J8,($J8,$O8,$T8,$Y8))=1,20/((_xlfn.RANK.AVG($J8,($J8,$O8,$T8,$Y8))-1)*2+1),0))</f>
        <v>15.2</v>
      </c>
      <c r="AA8" s="46">
        <f>IF($O8="","",ROUND(($O8-30000)/1000,1)+(2.5-_xlfn.RANK.AVG($O8,($J8,$O8,$T8,$Y8)))*20+IF(_xlfn.RANK.EQ($O8,($J8,$O8,$T8,$Y8))=1,20/((_xlfn.RANK.AVG($O8,($J8,$O8,$T8,$Y8))-1)*2+1),0))</f>
        <v>-49.5</v>
      </c>
      <c r="AB8" s="46">
        <f>IF($T8="","",ROUND(($T8-30000)/1000,1)+(2.5-_xlfn.RANK.AVG($T8,($J8,$O8,$T8,$Y8)))*20+IF(_xlfn.RANK.EQ($T8,($J8,$O8,$T8,$Y8))=1,20/((_xlfn.RANK.AVG($T8,($J8,$O8,$T8,$Y8))-1)*2+1),0))</f>
        <v>59.3</v>
      </c>
      <c r="AC8" s="47">
        <f>IF($Y8="","",ROUND(($Y8-30000)/1000,1)+(2.5-_xlfn.RANK.AVG($Y8,($J8,$O8,$T8,$Y8)))*20+IF(_xlfn.RANK.EQ($Y8,($J8,$O8,$T8,$Y8))=1,20/((_xlfn.RANK.AVG($Y8,($J8,$O8,$T8,$Y8))-1)*2+1),0))</f>
        <v>-25</v>
      </c>
      <c r="AE8" s="5"/>
      <c r="AF8" s="30"/>
      <c r="AG8" s="23"/>
      <c r="AH8" s="23">
        <v>1</v>
      </c>
      <c r="AI8" s="23"/>
      <c r="AJ8" s="27"/>
      <c r="AK8" s="36"/>
      <c r="AL8" s="37"/>
      <c r="AM8" s="37"/>
      <c r="AN8" s="37"/>
      <c r="AO8" s="37"/>
      <c r="AP8" s="37"/>
      <c r="AQ8" s="37"/>
      <c r="AR8" s="37"/>
      <c r="AS8" s="37"/>
      <c r="AT8" s="37"/>
      <c r="AU8" s="37"/>
      <c r="AV8" s="37"/>
      <c r="AW8" s="37"/>
      <c r="AX8" s="37"/>
      <c r="AY8" s="38"/>
      <c r="AZ8" s="5"/>
      <c r="BA8" s="30"/>
      <c r="BB8" s="23"/>
      <c r="BC8" s="23"/>
      <c r="BD8" s="23"/>
      <c r="BE8" s="27"/>
      <c r="BF8" s="36"/>
      <c r="BG8" s="37"/>
      <c r="BH8" s="37"/>
      <c r="BI8" s="37"/>
      <c r="BJ8" s="37"/>
      <c r="BK8" s="37"/>
      <c r="BL8" s="37"/>
      <c r="BM8" s="37"/>
      <c r="BN8" s="37"/>
      <c r="BO8" s="37"/>
      <c r="BP8" s="37"/>
      <c r="BQ8" s="37"/>
      <c r="BR8" s="37"/>
      <c r="BS8" s="37"/>
      <c r="BT8" s="38"/>
      <c r="BU8" s="5"/>
      <c r="BV8" s="30"/>
      <c r="BW8" s="23"/>
      <c r="BX8" s="23">
        <v>1</v>
      </c>
      <c r="BY8" s="23">
        <v>3</v>
      </c>
      <c r="BZ8" s="27">
        <v>30</v>
      </c>
      <c r="CA8" s="36" t="s">
        <v>76</v>
      </c>
      <c r="CB8" s="37" t="s">
        <v>70</v>
      </c>
      <c r="CC8" s="37" t="s">
        <v>169</v>
      </c>
      <c r="CD8" s="37"/>
      <c r="CE8" s="37"/>
      <c r="CF8" s="37"/>
      <c r="CG8" s="37"/>
      <c r="CH8" s="37"/>
      <c r="CI8" s="37"/>
      <c r="CJ8" s="37"/>
      <c r="CK8" s="37"/>
      <c r="CL8" s="37"/>
      <c r="CM8" s="37"/>
      <c r="CN8" s="37"/>
      <c r="CO8" s="38"/>
      <c r="CP8" s="5"/>
      <c r="CQ8" s="30"/>
      <c r="CR8" s="23">
        <v>1</v>
      </c>
      <c r="CS8" s="23"/>
      <c r="CT8" s="23"/>
      <c r="CU8" s="27"/>
      <c r="CV8" s="36"/>
      <c r="CW8" s="37"/>
      <c r="CX8" s="37"/>
      <c r="CY8" s="37"/>
      <c r="CZ8" s="37"/>
      <c r="DA8" s="37"/>
      <c r="DB8" s="37"/>
      <c r="DC8" s="37"/>
      <c r="DD8" s="37"/>
      <c r="DE8" s="37"/>
      <c r="DF8" s="37"/>
      <c r="DG8" s="37"/>
      <c r="DH8" s="37"/>
      <c r="DI8" s="37"/>
      <c r="DJ8" s="38"/>
    </row>
    <row r="9" spans="1:114" x14ac:dyDescent="0.55000000000000004">
      <c r="A9" s="10" t="str">
        <f t="shared" si="1"/>
        <v>南</v>
      </c>
      <c r="B9" s="15">
        <f t="shared" si="5"/>
        <v>1</v>
      </c>
      <c r="C9" s="15">
        <f t="shared" si="6"/>
        <v>0</v>
      </c>
      <c r="D9" s="15">
        <f t="shared" si="7"/>
        <v>0</v>
      </c>
      <c r="E9" s="58" t="str">
        <f>IF($F$1="","",$F$1)</f>
        <v>清水常緑</v>
      </c>
      <c r="F9" s="5" t="s">
        <v>166</v>
      </c>
      <c r="G9" s="6">
        <v>-4000</v>
      </c>
      <c r="H9" s="6"/>
      <c r="I9" s="6">
        <v>0</v>
      </c>
      <c r="J9" s="18">
        <f t="shared" si="2"/>
        <v>31200</v>
      </c>
      <c r="K9" s="5" t="s">
        <v>166</v>
      </c>
      <c r="L9" s="6">
        <v>-2000</v>
      </c>
      <c r="M9" s="6"/>
      <c r="N9" s="6">
        <v>0</v>
      </c>
      <c r="O9" s="18">
        <f t="shared" si="8"/>
        <v>8500</v>
      </c>
      <c r="P9" s="5" t="s">
        <v>166</v>
      </c>
      <c r="Q9" s="6">
        <v>-2000</v>
      </c>
      <c r="R9" s="6"/>
      <c r="S9" s="6">
        <v>0</v>
      </c>
      <c r="T9" s="18">
        <f t="shared" si="3"/>
        <v>37300</v>
      </c>
      <c r="U9" s="5" t="s">
        <v>165</v>
      </c>
      <c r="V9" s="6">
        <v>8000</v>
      </c>
      <c r="W9" s="6"/>
      <c r="X9" s="6">
        <v>0</v>
      </c>
      <c r="Y9" s="18">
        <f t="shared" si="4"/>
        <v>23000</v>
      </c>
      <c r="Z9" s="45">
        <f>IF($J9="","",ROUND(($J9-30000)/1000,1)+(2.5-_xlfn.RANK.AVG($J9,($J9,$O9,$T9,$Y9)))*20+IF(_xlfn.RANK.EQ($J9,($J9,$O9,$T9,$Y9))=1,20/((_xlfn.RANK.AVG($J9,($J9,$O9,$T9,$Y9))-1)*2+1),0))</f>
        <v>11.2</v>
      </c>
      <c r="AA9" s="46">
        <f>IF($O9="","",ROUND(($O9-30000)/1000,1)+(2.5-_xlfn.RANK.AVG($O9,($J9,$O9,$T9,$Y9)))*20+IF(_xlfn.RANK.EQ($O9,($J9,$O9,$T9,$Y9))=1,20/((_xlfn.RANK.AVG($O9,($J9,$O9,$T9,$Y9))-1)*2+1),0))</f>
        <v>-51.5</v>
      </c>
      <c r="AB9" s="46">
        <f>IF($T9="","",ROUND(($T9-30000)/1000,1)+(2.5-_xlfn.RANK.AVG($T9,($J9,$O9,$T9,$Y9)))*20+IF(_xlfn.RANK.EQ($T9,($J9,$O9,$T9,$Y9))=1,20/((_xlfn.RANK.AVG($T9,($J9,$O9,$T9,$Y9))-1)*2+1),0))</f>
        <v>57.3</v>
      </c>
      <c r="AC9" s="47">
        <f>IF($Y9="","",ROUND(($Y9-30000)/1000,1)+(2.5-_xlfn.RANK.AVG($Y9,($J9,$O9,$T9,$Y9)))*20+IF(_xlfn.RANK.EQ($Y9,($J9,$O9,$T9,$Y9))=1,20/((_xlfn.RANK.AVG($Y9,($J9,$O9,$T9,$Y9))-1)*2+1),0))</f>
        <v>-17</v>
      </c>
      <c r="AE9" s="5"/>
      <c r="AF9" s="30"/>
      <c r="AG9" s="23"/>
      <c r="AH9" s="23">
        <v>1</v>
      </c>
      <c r="AI9" s="23"/>
      <c r="AJ9" s="27"/>
      <c r="AK9" s="36"/>
      <c r="AL9" s="37"/>
      <c r="AM9" s="37"/>
      <c r="AN9" s="37"/>
      <c r="AO9" s="37"/>
      <c r="AP9" s="37"/>
      <c r="AQ9" s="37"/>
      <c r="AR9" s="37"/>
      <c r="AS9" s="37"/>
      <c r="AT9" s="37"/>
      <c r="AU9" s="37"/>
      <c r="AV9" s="37"/>
      <c r="AW9" s="37"/>
      <c r="AX9" s="37"/>
      <c r="AY9" s="38"/>
      <c r="AZ9" s="5"/>
      <c r="BA9" s="30"/>
      <c r="BB9" s="23"/>
      <c r="BC9" s="23"/>
      <c r="BD9" s="23"/>
      <c r="BE9" s="27"/>
      <c r="BF9" s="36"/>
      <c r="BG9" s="37"/>
      <c r="BH9" s="37"/>
      <c r="BI9" s="37"/>
      <c r="BJ9" s="37"/>
      <c r="BK9" s="37"/>
      <c r="BL9" s="37"/>
      <c r="BM9" s="37"/>
      <c r="BN9" s="37"/>
      <c r="BO9" s="37"/>
      <c r="BP9" s="37"/>
      <c r="BQ9" s="37"/>
      <c r="BR9" s="37"/>
      <c r="BS9" s="37"/>
      <c r="BT9" s="38"/>
      <c r="BU9" s="5"/>
      <c r="BV9" s="30"/>
      <c r="BW9" s="23"/>
      <c r="BX9" s="23">
        <v>1</v>
      </c>
      <c r="BY9" s="23"/>
      <c r="BZ9" s="27"/>
      <c r="CA9" s="36"/>
      <c r="CB9" s="37"/>
      <c r="CC9" s="37"/>
      <c r="CD9" s="37"/>
      <c r="CE9" s="37"/>
      <c r="CF9" s="37"/>
      <c r="CG9" s="37"/>
      <c r="CH9" s="37"/>
      <c r="CI9" s="37"/>
      <c r="CJ9" s="37"/>
      <c r="CK9" s="37"/>
      <c r="CL9" s="37"/>
      <c r="CM9" s="37"/>
      <c r="CN9" s="37"/>
      <c r="CO9" s="38"/>
      <c r="CP9" s="5"/>
      <c r="CQ9" s="30"/>
      <c r="CR9" s="23">
        <v>1</v>
      </c>
      <c r="CS9" s="23"/>
      <c r="CT9" s="23">
        <v>5</v>
      </c>
      <c r="CU9" s="27" t="s">
        <v>167</v>
      </c>
      <c r="CV9" s="36" t="s">
        <v>168</v>
      </c>
      <c r="CW9" s="37" t="s">
        <v>73</v>
      </c>
      <c r="CX9" s="37" t="s">
        <v>176</v>
      </c>
      <c r="CY9" s="37" t="s">
        <v>76</v>
      </c>
      <c r="CZ9" s="37" t="s">
        <v>169</v>
      </c>
      <c r="DA9" s="37"/>
      <c r="DB9" s="37"/>
      <c r="DC9" s="37"/>
      <c r="DD9" s="37"/>
      <c r="DE9" s="37"/>
      <c r="DF9" s="37"/>
      <c r="DG9" s="37"/>
      <c r="DH9" s="37"/>
      <c r="DI9" s="37"/>
      <c r="DJ9" s="38"/>
    </row>
    <row r="10" spans="1:114" x14ac:dyDescent="0.55000000000000004">
      <c r="A10" s="10" t="str">
        <f>IF($E10="","",IF(AND(B9=4,B10=1),_xlfn.SWITCH(A9,"東","南","南","西","西","北","北","東"),A9))</f>
        <v>南</v>
      </c>
      <c r="B10" s="15">
        <f t="shared" si="5"/>
        <v>2</v>
      </c>
      <c r="C10" s="15">
        <f t="shared" si="6"/>
        <v>0</v>
      </c>
      <c r="D10" s="15">
        <f t="shared" si="7"/>
        <v>0</v>
      </c>
      <c r="E10" s="58" t="str">
        <f>IF($K$1="","",$K$1)</f>
        <v>佐藤成</v>
      </c>
      <c r="F10" s="5"/>
      <c r="G10" s="6"/>
      <c r="H10" s="6"/>
      <c r="I10" s="6"/>
      <c r="J10" s="18">
        <f t="shared" si="2"/>
        <v>31200</v>
      </c>
      <c r="K10" s="5" t="s">
        <v>171</v>
      </c>
      <c r="L10" s="6">
        <v>-2000</v>
      </c>
      <c r="M10" s="6"/>
      <c r="N10" s="6">
        <v>0</v>
      </c>
      <c r="O10" s="18">
        <f t="shared" si="8"/>
        <v>6500</v>
      </c>
      <c r="P10" s="5" t="s">
        <v>170</v>
      </c>
      <c r="Q10" s="6">
        <v>2000</v>
      </c>
      <c r="R10" s="6">
        <v>0</v>
      </c>
      <c r="S10" s="6">
        <v>0</v>
      </c>
      <c r="T10" s="18">
        <f t="shared" si="3"/>
        <v>39300</v>
      </c>
      <c r="U10" s="5"/>
      <c r="V10" s="6"/>
      <c r="W10" s="6"/>
      <c r="X10" s="6"/>
      <c r="Y10" s="18">
        <f t="shared" si="4"/>
        <v>23000</v>
      </c>
      <c r="Z10" s="45">
        <f>IF($J10="","",ROUND(($J10-30000)/1000,1)+(2.5-_xlfn.RANK.AVG($J10,($J10,$O10,$T10,$Y10)))*20+IF(_xlfn.RANK.EQ($J10,($J10,$O10,$T10,$Y10))=1,20/((_xlfn.RANK.AVG($J10,($J10,$O10,$T10,$Y10))-1)*2+1),0))</f>
        <v>11.2</v>
      </c>
      <c r="AA10" s="46">
        <f>IF($O10="","",ROUND(($O10-30000)/1000,1)+(2.5-_xlfn.RANK.AVG($O10,($J10,$O10,$T10,$Y10)))*20+IF(_xlfn.RANK.EQ($O10,($J10,$O10,$T10,$Y10))=1,20/((_xlfn.RANK.AVG($O10,($J10,$O10,$T10,$Y10))-1)*2+1),0))</f>
        <v>-53.5</v>
      </c>
      <c r="AB10" s="46">
        <f>IF($T10="","",ROUND(($T10-30000)/1000,1)+(2.5-_xlfn.RANK.AVG($T10,($J10,$O10,$T10,$Y10)))*20+IF(_xlfn.RANK.EQ($T10,($J10,$O10,$T10,$Y10))=1,20/((_xlfn.RANK.AVG($T10,($J10,$O10,$T10,$Y10))-1)*2+1),0))</f>
        <v>59.3</v>
      </c>
      <c r="AC10" s="47">
        <f>IF($Y10="","",ROUND(($Y10-30000)/1000,1)+(2.5-_xlfn.RANK.AVG($Y10,($J10,$O10,$T10,$Y10)))*20+IF(_xlfn.RANK.EQ($Y10,($J10,$O10,$T10,$Y10))=1,20/((_xlfn.RANK.AVG($Y10,($J10,$O10,$T10,$Y10))-1)*2+1),0))</f>
        <v>-17</v>
      </c>
      <c r="AE10" s="5"/>
      <c r="AF10" s="30"/>
      <c r="AG10" s="23"/>
      <c r="AH10" s="23"/>
      <c r="AI10" s="23"/>
      <c r="AJ10" s="27"/>
      <c r="AK10" s="36"/>
      <c r="AL10" s="37"/>
      <c r="AM10" s="37"/>
      <c r="AN10" s="37"/>
      <c r="AO10" s="37"/>
      <c r="AP10" s="37"/>
      <c r="AQ10" s="37"/>
      <c r="AR10" s="37"/>
      <c r="AS10" s="37"/>
      <c r="AT10" s="37"/>
      <c r="AU10" s="37"/>
      <c r="AV10" s="37"/>
      <c r="AW10" s="37"/>
      <c r="AX10" s="37"/>
      <c r="AY10" s="38"/>
      <c r="AZ10" s="5"/>
      <c r="BA10" s="30"/>
      <c r="BB10" s="23"/>
      <c r="BC10" s="23"/>
      <c r="BD10" s="23"/>
      <c r="BE10" s="27"/>
      <c r="BF10" s="36"/>
      <c r="BG10" s="37"/>
      <c r="BH10" s="37"/>
      <c r="BI10" s="37"/>
      <c r="BJ10" s="37"/>
      <c r="BK10" s="37"/>
      <c r="BL10" s="37"/>
      <c r="BM10" s="37"/>
      <c r="BN10" s="37"/>
      <c r="BO10" s="37"/>
      <c r="BP10" s="37"/>
      <c r="BQ10" s="37"/>
      <c r="BR10" s="37"/>
      <c r="BS10" s="37"/>
      <c r="BT10" s="38"/>
      <c r="BU10" s="5"/>
      <c r="BV10" s="30"/>
      <c r="BW10" s="23"/>
      <c r="BX10" s="23">
        <v>1</v>
      </c>
      <c r="BY10" s="23">
        <v>2</v>
      </c>
      <c r="BZ10" s="27">
        <v>30</v>
      </c>
      <c r="CA10" s="36" t="s">
        <v>76</v>
      </c>
      <c r="CB10" s="37" t="s">
        <v>70</v>
      </c>
      <c r="CC10" s="37"/>
      <c r="CD10" s="37"/>
      <c r="CE10" s="37"/>
      <c r="CF10" s="37"/>
      <c r="CG10" s="37"/>
      <c r="CH10" s="37"/>
      <c r="CI10" s="37"/>
      <c r="CJ10" s="37"/>
      <c r="CK10" s="37"/>
      <c r="CL10" s="37"/>
      <c r="CM10" s="37"/>
      <c r="CN10" s="37"/>
      <c r="CO10" s="38"/>
      <c r="CP10" s="5"/>
      <c r="CQ10" s="30"/>
      <c r="CR10" s="23"/>
      <c r="CS10" s="23"/>
      <c r="CT10" s="23"/>
      <c r="CU10" s="27"/>
      <c r="CV10" s="36"/>
      <c r="CW10" s="37"/>
      <c r="CX10" s="37"/>
      <c r="CY10" s="37"/>
      <c r="CZ10" s="37"/>
      <c r="DA10" s="37"/>
      <c r="DB10" s="37"/>
      <c r="DC10" s="37"/>
      <c r="DD10" s="37"/>
      <c r="DE10" s="37"/>
      <c r="DF10" s="37"/>
      <c r="DG10" s="37"/>
      <c r="DH10" s="37"/>
      <c r="DI10" s="37"/>
      <c r="DJ10" s="38"/>
    </row>
    <row r="11" spans="1:114" x14ac:dyDescent="0.55000000000000004">
      <c r="A11" s="10" t="str">
        <f t="shared" ref="A11:A30" si="9">IF($E11="","",IF(AND(B10=4,B11=1),_xlfn.SWITCH(A10,"東","南","南","西","西","北","北","東"),A10))</f>
        <v/>
      </c>
      <c r="B11" s="15" t="str">
        <f t="shared" si="5"/>
        <v/>
      </c>
      <c r="C11" s="15" t="str">
        <f t="shared" si="6"/>
        <v/>
      </c>
      <c r="D11" s="15" t="str">
        <f t="shared" si="7"/>
        <v/>
      </c>
      <c r="E11" s="58"/>
      <c r="F11" s="5"/>
      <c r="G11" s="6"/>
      <c r="H11" s="6"/>
      <c r="I11" s="6"/>
      <c r="J11" s="18" t="str">
        <f t="shared" si="2"/>
        <v/>
      </c>
      <c r="K11" s="5"/>
      <c r="L11" s="6"/>
      <c r="M11" s="6"/>
      <c r="N11" s="6"/>
      <c r="O11" s="18" t="str">
        <f t="shared" si="8"/>
        <v/>
      </c>
      <c r="P11" s="5"/>
      <c r="Q11" s="6"/>
      <c r="R11" s="6"/>
      <c r="S11" s="6"/>
      <c r="T11" s="18" t="str">
        <f t="shared" si="3"/>
        <v/>
      </c>
      <c r="U11" s="5"/>
      <c r="V11" s="6"/>
      <c r="W11" s="6"/>
      <c r="X11" s="6"/>
      <c r="Y11" s="18" t="str">
        <f t="shared" si="4"/>
        <v/>
      </c>
      <c r="Z11" s="45" t="str">
        <f>IF($J11="","",ROUND(($J11-30000)/1000,1)+(2.5-_xlfn.RANK.AVG($J11,($J11,$O11,$T11,$Y11)))*20+IF(_xlfn.RANK.EQ($J11,($J11,$O11,$T11,$Y11))=1,20/((_xlfn.RANK.AVG($J11,($J11,$O11,$T11,$Y11))-1)*2+1),0))</f>
        <v/>
      </c>
      <c r="AA11" s="46" t="str">
        <f>IF($O11="","",ROUND(($O11-30000)/1000,1)+(2.5-_xlfn.RANK.AVG($O11,($J11,$O11,$T11,$Y11)))*20+IF(_xlfn.RANK.EQ($O11,($J11,$O11,$T11,$Y11))=1,20/((_xlfn.RANK.AVG($O11,($J11,$O11,$T11,$Y11))-1)*2+1),0))</f>
        <v/>
      </c>
      <c r="AB11" s="46" t="str">
        <f>IF($T11="","",ROUND(($T11-30000)/1000,1)+(2.5-_xlfn.RANK.AVG($T11,($J11,$O11,$T11,$Y11)))*20+IF(_xlfn.RANK.EQ($T11,($J11,$O11,$T11,$Y11))=1,20/((_xlfn.RANK.AVG($T11,($J11,$O11,$T11,$Y11))-1)*2+1),0))</f>
        <v/>
      </c>
      <c r="AC11" s="47" t="str">
        <f>IF($Y11="","",ROUND(($Y11-30000)/1000,1)+(2.5-_xlfn.RANK.AVG($Y11,($J11,$O11,$T11,$Y11)))*20+IF(_xlfn.RANK.EQ($Y11,($J11,$O11,$T11,$Y11))=1,20/((_xlfn.RANK.AVG($Y11,($J11,$O11,$T11,$Y11))-1)*2+1),0))</f>
        <v/>
      </c>
      <c r="AE11" s="5"/>
      <c r="AF11" s="30"/>
      <c r="AG11" s="23"/>
      <c r="AH11" s="23"/>
      <c r="AI11" s="23"/>
      <c r="AJ11" s="27"/>
      <c r="AK11" s="36"/>
      <c r="AL11" s="37"/>
      <c r="AM11" s="37"/>
      <c r="AN11" s="37"/>
      <c r="AO11" s="37"/>
      <c r="AP11" s="37"/>
      <c r="AQ11" s="37"/>
      <c r="AR11" s="37"/>
      <c r="AS11" s="37"/>
      <c r="AT11" s="37"/>
      <c r="AU11" s="37"/>
      <c r="AV11" s="37"/>
      <c r="AW11" s="37"/>
      <c r="AX11" s="37"/>
      <c r="AY11" s="38"/>
      <c r="AZ11" s="5"/>
      <c r="BA11" s="30"/>
      <c r="BB11" s="23"/>
      <c r="BC11" s="23"/>
      <c r="BD11" s="23"/>
      <c r="BE11" s="27"/>
      <c r="BF11" s="36"/>
      <c r="BG11" s="37"/>
      <c r="BH11" s="37"/>
      <c r="BI11" s="37"/>
      <c r="BJ11" s="37"/>
      <c r="BK11" s="37"/>
      <c r="BL11" s="37"/>
      <c r="BM11" s="37"/>
      <c r="BN11" s="37"/>
      <c r="BO11" s="37"/>
      <c r="BP11" s="37"/>
      <c r="BQ11" s="37"/>
      <c r="BR11" s="37"/>
      <c r="BS11" s="37"/>
      <c r="BT11" s="38"/>
      <c r="BU11" s="5"/>
      <c r="BV11" s="30"/>
      <c r="BW11" s="23"/>
      <c r="BX11" s="23"/>
      <c r="BY11" s="23"/>
      <c r="BZ11" s="27"/>
      <c r="CA11" s="36"/>
      <c r="CB11" s="37"/>
      <c r="CC11" s="37"/>
      <c r="CD11" s="37"/>
      <c r="CE11" s="37"/>
      <c r="CF11" s="37"/>
      <c r="CG11" s="37"/>
      <c r="CH11" s="37"/>
      <c r="CI11" s="37"/>
      <c r="CJ11" s="37"/>
      <c r="CK11" s="37"/>
      <c r="CL11" s="37"/>
      <c r="CM11" s="37"/>
      <c r="CN11" s="37"/>
      <c r="CO11" s="38"/>
      <c r="CP11" s="5"/>
      <c r="CQ11" s="30"/>
      <c r="CR11" s="23"/>
      <c r="CS11" s="23"/>
      <c r="CT11" s="23"/>
      <c r="CU11" s="27"/>
      <c r="CV11" s="36"/>
      <c r="CW11" s="37"/>
      <c r="CX11" s="37"/>
      <c r="CY11" s="37"/>
      <c r="CZ11" s="37"/>
      <c r="DA11" s="37"/>
      <c r="DB11" s="37"/>
      <c r="DC11" s="37"/>
      <c r="DD11" s="37"/>
      <c r="DE11" s="37"/>
      <c r="DF11" s="37"/>
      <c r="DG11" s="37"/>
      <c r="DH11" s="37"/>
      <c r="DI11" s="37"/>
      <c r="DJ11" s="38"/>
    </row>
    <row r="12" spans="1:114" x14ac:dyDescent="0.55000000000000004">
      <c r="A12" s="10" t="str">
        <f t="shared" si="9"/>
        <v/>
      </c>
      <c r="B12" s="15" t="str">
        <f t="shared" si="5"/>
        <v/>
      </c>
      <c r="C12" s="15" t="str">
        <f t="shared" si="6"/>
        <v/>
      </c>
      <c r="D12" s="15" t="str">
        <f t="shared" si="7"/>
        <v/>
      </c>
      <c r="E12" s="58"/>
      <c r="F12" s="5"/>
      <c r="G12" s="6"/>
      <c r="H12" s="6"/>
      <c r="I12" s="6"/>
      <c r="J12" s="18" t="str">
        <f t="shared" si="2"/>
        <v/>
      </c>
      <c r="K12" s="5"/>
      <c r="L12" s="6"/>
      <c r="M12" s="6"/>
      <c r="N12" s="6"/>
      <c r="O12" s="18" t="str">
        <f t="shared" si="8"/>
        <v/>
      </c>
      <c r="P12" s="5"/>
      <c r="Q12" s="6"/>
      <c r="R12" s="6"/>
      <c r="S12" s="6"/>
      <c r="T12" s="18" t="str">
        <f t="shared" si="3"/>
        <v/>
      </c>
      <c r="U12" s="5"/>
      <c r="V12" s="6"/>
      <c r="W12" s="6"/>
      <c r="X12" s="6"/>
      <c r="Y12" s="18" t="str">
        <f t="shared" si="4"/>
        <v/>
      </c>
      <c r="Z12" s="45" t="str">
        <f>IF($J12="","",ROUND(($J12-30000)/1000,1)+(2.5-_xlfn.RANK.AVG($J12,($J12,$O12,$T12,$Y12)))*20+IF(_xlfn.RANK.EQ($J12,($J12,$O12,$T12,$Y12))=1,20/((_xlfn.RANK.AVG($J12,($J12,$O12,$T12,$Y12))-1)*2+1),0))</f>
        <v/>
      </c>
      <c r="AA12" s="46" t="str">
        <f>IF($O12="","",ROUND(($O12-30000)/1000,1)+(2.5-_xlfn.RANK.AVG($O12,($J12,$O12,$T12,$Y12)))*20+IF(_xlfn.RANK.EQ($O12,($J12,$O12,$T12,$Y12))=1,20/((_xlfn.RANK.AVG($O12,($J12,$O12,$T12,$Y12))-1)*2+1),0))</f>
        <v/>
      </c>
      <c r="AB12" s="46" t="str">
        <f>IF($T12="","",ROUND(($T12-30000)/1000,1)+(2.5-_xlfn.RANK.AVG($T12,($J12,$O12,$T12,$Y12)))*20+IF(_xlfn.RANK.EQ($T12,($J12,$O12,$T12,$Y12))=1,20/((_xlfn.RANK.AVG($T12,($J12,$O12,$T12,$Y12))-1)*2+1),0))</f>
        <v/>
      </c>
      <c r="AC12" s="47" t="str">
        <f>IF($Y12="","",ROUND(($Y12-30000)/1000,1)+(2.5-_xlfn.RANK.AVG($Y12,($J12,$O12,$T12,$Y12)))*20+IF(_xlfn.RANK.EQ($Y12,($J12,$O12,$T12,$Y12))=1,20/((_xlfn.RANK.AVG($Y12,($J12,$O12,$T12,$Y12))-1)*2+1),0))</f>
        <v/>
      </c>
      <c r="AE12" s="5"/>
      <c r="AF12" s="30"/>
      <c r="AG12" s="23"/>
      <c r="AH12" s="23"/>
      <c r="AI12" s="23"/>
      <c r="AJ12" s="27"/>
      <c r="AK12" s="36"/>
      <c r="AL12" s="37"/>
      <c r="AM12" s="37"/>
      <c r="AN12" s="37"/>
      <c r="AO12" s="37"/>
      <c r="AP12" s="37"/>
      <c r="AQ12" s="37"/>
      <c r="AR12" s="37"/>
      <c r="AS12" s="37"/>
      <c r="AT12" s="37"/>
      <c r="AU12" s="37"/>
      <c r="AV12" s="37"/>
      <c r="AW12" s="37"/>
      <c r="AX12" s="37"/>
      <c r="AY12" s="38"/>
      <c r="AZ12" s="5"/>
      <c r="BA12" s="30"/>
      <c r="BB12" s="23"/>
      <c r="BC12" s="23"/>
      <c r="BD12" s="23"/>
      <c r="BE12" s="27"/>
      <c r="BF12" s="36"/>
      <c r="BG12" s="37"/>
      <c r="BH12" s="37"/>
      <c r="BI12" s="37"/>
      <c r="BJ12" s="37"/>
      <c r="BK12" s="37"/>
      <c r="BL12" s="37"/>
      <c r="BM12" s="37"/>
      <c r="BN12" s="37"/>
      <c r="BO12" s="37"/>
      <c r="BP12" s="37"/>
      <c r="BQ12" s="37"/>
      <c r="BR12" s="37"/>
      <c r="BS12" s="37"/>
      <c r="BT12" s="38"/>
      <c r="BU12" s="5"/>
      <c r="BV12" s="30"/>
      <c r="BW12" s="23"/>
      <c r="BX12" s="23"/>
      <c r="BY12" s="23"/>
      <c r="BZ12" s="27"/>
      <c r="CA12" s="36"/>
      <c r="CB12" s="37"/>
      <c r="CC12" s="37"/>
      <c r="CD12" s="37"/>
      <c r="CE12" s="37"/>
      <c r="CF12" s="37"/>
      <c r="CG12" s="37"/>
      <c r="CH12" s="37"/>
      <c r="CI12" s="37"/>
      <c r="CJ12" s="37"/>
      <c r="CK12" s="37"/>
      <c r="CL12" s="37"/>
      <c r="CM12" s="37"/>
      <c r="CN12" s="37"/>
      <c r="CO12" s="38"/>
      <c r="CP12" s="5"/>
      <c r="CQ12" s="30"/>
      <c r="CR12" s="23"/>
      <c r="CS12" s="23"/>
      <c r="CT12" s="23"/>
      <c r="CU12" s="27"/>
      <c r="CV12" s="36"/>
      <c r="CW12" s="37"/>
      <c r="CX12" s="37"/>
      <c r="CY12" s="37"/>
      <c r="CZ12" s="37"/>
      <c r="DA12" s="37"/>
      <c r="DB12" s="37"/>
      <c r="DC12" s="37"/>
      <c r="DD12" s="37"/>
      <c r="DE12" s="37"/>
      <c r="DF12" s="37"/>
      <c r="DG12" s="37"/>
      <c r="DH12" s="37"/>
      <c r="DI12" s="37"/>
      <c r="DJ12" s="38"/>
    </row>
    <row r="13" spans="1:114" x14ac:dyDescent="0.55000000000000004">
      <c r="A13" s="10" t="str">
        <f t="shared" si="9"/>
        <v/>
      </c>
      <c r="B13" s="15" t="str">
        <f t="shared" si="5"/>
        <v/>
      </c>
      <c r="C13" s="15" t="str">
        <f t="shared" si="6"/>
        <v/>
      </c>
      <c r="D13" s="15" t="str">
        <f t="shared" si="7"/>
        <v/>
      </c>
      <c r="E13" s="58"/>
      <c r="F13" s="5"/>
      <c r="G13" s="6"/>
      <c r="H13" s="6"/>
      <c r="I13" s="6"/>
      <c r="J13" s="18" t="str">
        <f t="shared" si="2"/>
        <v/>
      </c>
      <c r="K13" s="5"/>
      <c r="L13" s="6"/>
      <c r="M13" s="6"/>
      <c r="N13" s="6"/>
      <c r="O13" s="18" t="str">
        <f t="shared" si="8"/>
        <v/>
      </c>
      <c r="P13" s="5"/>
      <c r="Q13" s="6"/>
      <c r="R13" s="6"/>
      <c r="S13" s="6"/>
      <c r="T13" s="18" t="str">
        <f t="shared" si="3"/>
        <v/>
      </c>
      <c r="U13" s="5"/>
      <c r="V13" s="6"/>
      <c r="W13" s="6"/>
      <c r="X13" s="6"/>
      <c r="Y13" s="18" t="str">
        <f t="shared" si="4"/>
        <v/>
      </c>
      <c r="Z13" s="45" t="str">
        <f>IF($J13="","",ROUND(($J13-30000)/1000,1)+(2.5-_xlfn.RANK.AVG($J13,($J13,$O13,$T13,$Y13)))*20+IF(_xlfn.RANK.EQ($J13,($J13,$O13,$T13,$Y13))=1,20/((_xlfn.RANK.AVG($J13,($J13,$O13,$T13,$Y13))-1)*2+1),0))</f>
        <v/>
      </c>
      <c r="AA13" s="46" t="str">
        <f>IF($O13="","",ROUND(($O13-30000)/1000,1)+(2.5-_xlfn.RANK.AVG($O13,($J13,$O13,$T13,$Y13)))*20+IF(_xlfn.RANK.EQ($O13,($J13,$O13,$T13,$Y13))=1,20/((_xlfn.RANK.AVG($O13,($J13,$O13,$T13,$Y13))-1)*2+1),0))</f>
        <v/>
      </c>
      <c r="AB13" s="46" t="str">
        <f>IF($T13="","",ROUND(($T13-30000)/1000,1)+(2.5-_xlfn.RANK.AVG($T13,($J13,$O13,$T13,$Y13)))*20+IF(_xlfn.RANK.EQ($T13,($J13,$O13,$T13,$Y13))=1,20/((_xlfn.RANK.AVG($T13,($J13,$O13,$T13,$Y13))-1)*2+1),0))</f>
        <v/>
      </c>
      <c r="AC13" s="47" t="str">
        <f>IF($Y13="","",ROUND(($Y13-30000)/1000,1)+(2.5-_xlfn.RANK.AVG($Y13,($J13,$O13,$T13,$Y13)))*20+IF(_xlfn.RANK.EQ($Y13,($J13,$O13,$T13,$Y13))=1,20/((_xlfn.RANK.AVG($Y13,($J13,$O13,$T13,$Y13))-1)*2+1),0))</f>
        <v/>
      </c>
      <c r="AE13" s="5"/>
      <c r="AF13" s="30"/>
      <c r="AG13" s="23"/>
      <c r="AH13" s="23"/>
      <c r="AI13" s="23"/>
      <c r="AJ13" s="27"/>
      <c r="AK13" s="36"/>
      <c r="AL13" s="37"/>
      <c r="AM13" s="37"/>
      <c r="AN13" s="37"/>
      <c r="AO13" s="37"/>
      <c r="AP13" s="37"/>
      <c r="AQ13" s="37"/>
      <c r="AR13" s="37"/>
      <c r="AS13" s="37"/>
      <c r="AT13" s="37"/>
      <c r="AU13" s="37"/>
      <c r="AV13" s="37"/>
      <c r="AW13" s="37"/>
      <c r="AX13" s="37"/>
      <c r="AY13" s="38"/>
      <c r="AZ13" s="5"/>
      <c r="BA13" s="30"/>
      <c r="BB13" s="23"/>
      <c r="BC13" s="23"/>
      <c r="BD13" s="23"/>
      <c r="BE13" s="27"/>
      <c r="BF13" s="36"/>
      <c r="BG13" s="37"/>
      <c r="BH13" s="37"/>
      <c r="BI13" s="37"/>
      <c r="BJ13" s="37"/>
      <c r="BK13" s="37"/>
      <c r="BL13" s="37"/>
      <c r="BM13" s="37"/>
      <c r="BN13" s="37"/>
      <c r="BO13" s="37"/>
      <c r="BP13" s="37"/>
      <c r="BQ13" s="37"/>
      <c r="BR13" s="37"/>
      <c r="BS13" s="37"/>
      <c r="BT13" s="38"/>
      <c r="BU13" s="5"/>
      <c r="BV13" s="30"/>
      <c r="BW13" s="23"/>
      <c r="BX13" s="23"/>
      <c r="BY13" s="23"/>
      <c r="BZ13" s="27"/>
      <c r="CA13" s="36"/>
      <c r="CB13" s="37"/>
      <c r="CC13" s="37"/>
      <c r="CD13" s="37"/>
      <c r="CE13" s="37"/>
      <c r="CF13" s="37"/>
      <c r="CG13" s="37"/>
      <c r="CH13" s="37"/>
      <c r="CI13" s="37"/>
      <c r="CJ13" s="37"/>
      <c r="CK13" s="37"/>
      <c r="CL13" s="37"/>
      <c r="CM13" s="37"/>
      <c r="CN13" s="37"/>
      <c r="CO13" s="38"/>
      <c r="CP13" s="5"/>
      <c r="CQ13" s="30"/>
      <c r="CR13" s="23"/>
      <c r="CS13" s="23"/>
      <c r="CT13" s="23"/>
      <c r="CU13" s="27"/>
      <c r="CV13" s="36"/>
      <c r="CW13" s="37"/>
      <c r="CX13" s="37"/>
      <c r="CY13" s="37"/>
      <c r="CZ13" s="37"/>
      <c r="DA13" s="37"/>
      <c r="DB13" s="37"/>
      <c r="DC13" s="37"/>
      <c r="DD13" s="37"/>
      <c r="DE13" s="37"/>
      <c r="DF13" s="37"/>
      <c r="DG13" s="37"/>
      <c r="DH13" s="37"/>
      <c r="DI13" s="37"/>
      <c r="DJ13" s="38"/>
    </row>
    <row r="14" spans="1:114" x14ac:dyDescent="0.55000000000000004">
      <c r="A14" s="10" t="str">
        <f t="shared" si="9"/>
        <v/>
      </c>
      <c r="B14" s="15" t="str">
        <f t="shared" si="5"/>
        <v/>
      </c>
      <c r="C14" s="15" t="str">
        <f t="shared" si="6"/>
        <v/>
      </c>
      <c r="D14" s="15" t="str">
        <f t="shared" si="7"/>
        <v/>
      </c>
      <c r="E14" s="58"/>
      <c r="F14" s="5"/>
      <c r="G14" s="6"/>
      <c r="H14" s="6"/>
      <c r="I14" s="6"/>
      <c r="J14" s="18" t="str">
        <f t="shared" si="2"/>
        <v/>
      </c>
      <c r="K14" s="5"/>
      <c r="L14" s="6"/>
      <c r="M14" s="6"/>
      <c r="N14" s="6"/>
      <c r="O14" s="18" t="str">
        <f t="shared" si="8"/>
        <v/>
      </c>
      <c r="P14" s="5"/>
      <c r="Q14" s="6"/>
      <c r="R14" s="6"/>
      <c r="S14" s="6"/>
      <c r="T14" s="18" t="str">
        <f t="shared" si="3"/>
        <v/>
      </c>
      <c r="U14" s="5"/>
      <c r="V14" s="6"/>
      <c r="W14" s="6"/>
      <c r="X14" s="6"/>
      <c r="Y14" s="18" t="str">
        <f>IF(COUNTA($F14,$K14,$P14,$U14)&gt;0,Y13+SUM(V14:X14),"")</f>
        <v/>
      </c>
      <c r="Z14" s="45" t="str">
        <f>IF($J14="","",ROUND(($J14-30000)/1000,1)+(2.5-_xlfn.RANK.AVG($J14,($J14,$O14,$T14,$Y14)))*20+IF(_xlfn.RANK.EQ($J14,($J14,$O14,$T14,$Y14))=1,20/((_xlfn.RANK.AVG($J14,($J14,$O14,$T14,$Y14))-1)*2+1),0))</f>
        <v/>
      </c>
      <c r="AA14" s="46" t="str">
        <f>IF($O14="","",ROUND(($O14-30000)/1000,1)+(2.5-_xlfn.RANK.AVG($O14,($J14,$O14,$T14,$Y14)))*20+IF(_xlfn.RANK.EQ($O14,($J14,$O14,$T14,$Y14))=1,20/((_xlfn.RANK.AVG($O14,($J14,$O14,$T14,$Y14))-1)*2+1),0))</f>
        <v/>
      </c>
      <c r="AB14" s="46" t="str">
        <f>IF($T14="","",ROUND(($T14-30000)/1000,1)+(2.5-_xlfn.RANK.AVG($T14,($J14,$O14,$T14,$Y14)))*20+IF(_xlfn.RANK.EQ($T14,($J14,$O14,$T14,$Y14))=1,20/((_xlfn.RANK.AVG($T14,($J14,$O14,$T14,$Y14))-1)*2+1),0))</f>
        <v/>
      </c>
      <c r="AC14" s="47" t="str">
        <f>IF($Y14="","",ROUND(($Y14-30000)/1000,1)+(2.5-_xlfn.RANK.AVG($Y14,($J14,$O14,$T14,$Y14)))*20+IF(_xlfn.RANK.EQ($Y14,($J14,$O14,$T14,$Y14))=1,20/((_xlfn.RANK.AVG($Y14,($J14,$O14,$T14,$Y14))-1)*2+1),0))</f>
        <v/>
      </c>
      <c r="AE14" s="5"/>
      <c r="AF14" s="30"/>
      <c r="AG14" s="23"/>
      <c r="AH14" s="23"/>
      <c r="AI14" s="23"/>
      <c r="AJ14" s="27"/>
      <c r="AK14" s="36"/>
      <c r="AL14" s="37"/>
      <c r="AM14" s="37"/>
      <c r="AN14" s="37"/>
      <c r="AO14" s="37"/>
      <c r="AP14" s="37"/>
      <c r="AQ14" s="37"/>
      <c r="AR14" s="37"/>
      <c r="AS14" s="37"/>
      <c r="AT14" s="37"/>
      <c r="AU14" s="37"/>
      <c r="AV14" s="37"/>
      <c r="AW14" s="37"/>
      <c r="AX14" s="37"/>
      <c r="AY14" s="38"/>
      <c r="AZ14" s="5"/>
      <c r="BA14" s="30"/>
      <c r="BB14" s="23"/>
      <c r="BC14" s="23"/>
      <c r="BD14" s="23"/>
      <c r="BE14" s="27"/>
      <c r="BF14" s="36"/>
      <c r="BG14" s="37"/>
      <c r="BH14" s="37"/>
      <c r="BI14" s="37"/>
      <c r="BJ14" s="37"/>
      <c r="BK14" s="37"/>
      <c r="BL14" s="37"/>
      <c r="BM14" s="37"/>
      <c r="BN14" s="37"/>
      <c r="BO14" s="37"/>
      <c r="BP14" s="37"/>
      <c r="BQ14" s="37"/>
      <c r="BR14" s="37"/>
      <c r="BS14" s="37"/>
      <c r="BT14" s="38"/>
      <c r="BU14" s="5"/>
      <c r="BV14" s="30"/>
      <c r="BW14" s="23"/>
      <c r="BX14" s="23"/>
      <c r="BY14" s="23"/>
      <c r="BZ14" s="27"/>
      <c r="CA14" s="36"/>
      <c r="CB14" s="37"/>
      <c r="CC14" s="37"/>
      <c r="CD14" s="37"/>
      <c r="CE14" s="37"/>
      <c r="CF14" s="37"/>
      <c r="CG14" s="37"/>
      <c r="CH14" s="37"/>
      <c r="CI14" s="37"/>
      <c r="CJ14" s="37"/>
      <c r="CK14" s="37"/>
      <c r="CL14" s="37"/>
      <c r="CM14" s="37"/>
      <c r="CN14" s="37"/>
      <c r="CO14" s="38"/>
      <c r="CP14" s="5"/>
      <c r="CQ14" s="30"/>
      <c r="CR14" s="23"/>
      <c r="CS14" s="23"/>
      <c r="CT14" s="23"/>
      <c r="CU14" s="27"/>
      <c r="CV14" s="36"/>
      <c r="CW14" s="37"/>
      <c r="CX14" s="37"/>
      <c r="CY14" s="37"/>
      <c r="CZ14" s="37"/>
      <c r="DA14" s="37"/>
      <c r="DB14" s="37"/>
      <c r="DC14" s="37"/>
      <c r="DD14" s="37"/>
      <c r="DE14" s="37"/>
      <c r="DF14" s="37"/>
      <c r="DG14" s="37"/>
      <c r="DH14" s="37"/>
      <c r="DI14" s="37"/>
      <c r="DJ14" s="38"/>
    </row>
    <row r="15" spans="1:114" x14ac:dyDescent="0.55000000000000004">
      <c r="A15" s="10" t="str">
        <f t="shared" si="9"/>
        <v/>
      </c>
      <c r="B15" s="15" t="str">
        <f t="shared" si="5"/>
        <v/>
      </c>
      <c r="C15" s="15" t="str">
        <f t="shared" si="6"/>
        <v/>
      </c>
      <c r="D15" s="15" t="str">
        <f t="shared" si="7"/>
        <v/>
      </c>
      <c r="E15" s="58"/>
      <c r="F15" s="5"/>
      <c r="G15" s="6"/>
      <c r="H15" s="6"/>
      <c r="I15" s="6"/>
      <c r="J15" s="18" t="str">
        <f t="shared" si="2"/>
        <v/>
      </c>
      <c r="K15" s="5"/>
      <c r="L15" s="6"/>
      <c r="M15" s="6"/>
      <c r="N15" s="6"/>
      <c r="O15" s="18" t="str">
        <f t="shared" si="8"/>
        <v/>
      </c>
      <c r="P15" s="5"/>
      <c r="Q15" s="6"/>
      <c r="R15" s="6"/>
      <c r="S15" s="6"/>
      <c r="T15" s="18" t="str">
        <f t="shared" si="3"/>
        <v/>
      </c>
      <c r="U15" s="5"/>
      <c r="V15" s="6"/>
      <c r="W15" s="6"/>
      <c r="X15" s="6"/>
      <c r="Y15" s="18" t="str">
        <f t="shared" si="4"/>
        <v/>
      </c>
      <c r="Z15" s="45" t="str">
        <f>IF($J15="","",ROUND(($J15-30000)/1000,1)+(2.5-_xlfn.RANK.AVG($J15,($J15,$O15,$T15,$Y15)))*20+IF(_xlfn.RANK.EQ($J15,($J15,$O15,$T15,$Y15))=1,20/((_xlfn.RANK.AVG($J15,($J15,$O15,$T15,$Y15))-1)*2+1),0))</f>
        <v/>
      </c>
      <c r="AA15" s="46" t="str">
        <f>IF($O15="","",ROUND(($O15-30000)/1000,1)+(2.5-_xlfn.RANK.AVG($O15,($J15,$O15,$T15,$Y15)))*20+IF(_xlfn.RANK.EQ($O15,($J15,$O15,$T15,$Y15))=1,20/((_xlfn.RANK.AVG($O15,($J15,$O15,$T15,$Y15))-1)*2+1),0))</f>
        <v/>
      </c>
      <c r="AB15" s="46" t="str">
        <f>IF($T15="","",ROUND(($T15-30000)/1000,1)+(2.5-_xlfn.RANK.AVG($T15,($J15,$O15,$T15,$Y15)))*20+IF(_xlfn.RANK.EQ($T15,($J15,$O15,$T15,$Y15))=1,20/((_xlfn.RANK.AVG($T15,($J15,$O15,$T15,$Y15))-1)*2+1),0))</f>
        <v/>
      </c>
      <c r="AC15" s="47" t="str">
        <f>IF($Y15="","",ROUND(($Y15-30000)/1000,1)+(2.5-_xlfn.RANK.AVG($Y15,($J15,$O15,$T15,$Y15)))*20+IF(_xlfn.RANK.EQ($Y15,($J15,$O15,$T15,$Y15))=1,20/((_xlfn.RANK.AVG($Y15,($J15,$O15,$T15,$Y15))-1)*2+1),0))</f>
        <v/>
      </c>
      <c r="AE15" s="5"/>
      <c r="AF15" s="30"/>
      <c r="AG15" s="23"/>
      <c r="AH15" s="23"/>
      <c r="AI15" s="23"/>
      <c r="AJ15" s="27"/>
      <c r="AK15" s="36"/>
      <c r="AL15" s="37"/>
      <c r="AM15" s="37"/>
      <c r="AN15" s="37"/>
      <c r="AO15" s="37"/>
      <c r="AP15" s="37"/>
      <c r="AQ15" s="37"/>
      <c r="AR15" s="37"/>
      <c r="AS15" s="37"/>
      <c r="AT15" s="37"/>
      <c r="AU15" s="37"/>
      <c r="AV15" s="37"/>
      <c r="AW15" s="37"/>
      <c r="AX15" s="37"/>
      <c r="AY15" s="38"/>
      <c r="AZ15" s="5"/>
      <c r="BA15" s="30"/>
      <c r="BB15" s="23"/>
      <c r="BC15" s="23"/>
      <c r="BD15" s="23"/>
      <c r="BE15" s="27"/>
      <c r="BF15" s="36"/>
      <c r="BG15" s="37"/>
      <c r="BH15" s="37"/>
      <c r="BI15" s="37"/>
      <c r="BJ15" s="37"/>
      <c r="BK15" s="37"/>
      <c r="BL15" s="37"/>
      <c r="BM15" s="37"/>
      <c r="BN15" s="37"/>
      <c r="BO15" s="37"/>
      <c r="BP15" s="37"/>
      <c r="BQ15" s="37"/>
      <c r="BR15" s="37"/>
      <c r="BS15" s="37"/>
      <c r="BT15" s="38"/>
      <c r="BU15" s="5"/>
      <c r="BV15" s="30"/>
      <c r="BW15" s="23"/>
      <c r="BX15" s="23"/>
      <c r="BY15" s="23"/>
      <c r="BZ15" s="27"/>
      <c r="CA15" s="36"/>
      <c r="CB15" s="37"/>
      <c r="CC15" s="37"/>
      <c r="CD15" s="37"/>
      <c r="CE15" s="37"/>
      <c r="CF15" s="37"/>
      <c r="CG15" s="37"/>
      <c r="CH15" s="37"/>
      <c r="CI15" s="37"/>
      <c r="CJ15" s="37"/>
      <c r="CK15" s="37"/>
      <c r="CL15" s="37"/>
      <c r="CM15" s="37"/>
      <c r="CN15" s="37"/>
      <c r="CO15" s="38"/>
      <c r="CP15" s="5"/>
      <c r="CQ15" s="30"/>
      <c r="CR15" s="23"/>
      <c r="CS15" s="23"/>
      <c r="CT15" s="23"/>
      <c r="CU15" s="27"/>
      <c r="CV15" s="36"/>
      <c r="CW15" s="37"/>
      <c r="CX15" s="37"/>
      <c r="CY15" s="37"/>
      <c r="CZ15" s="37"/>
      <c r="DA15" s="37"/>
      <c r="DB15" s="37"/>
      <c r="DC15" s="37"/>
      <c r="DD15" s="37"/>
      <c r="DE15" s="37"/>
      <c r="DF15" s="37"/>
      <c r="DG15" s="37"/>
      <c r="DH15" s="37"/>
      <c r="DI15" s="37"/>
      <c r="DJ15" s="38"/>
    </row>
    <row r="16" spans="1:114" x14ac:dyDescent="0.55000000000000004">
      <c r="A16" s="10" t="str">
        <f t="shared" si="9"/>
        <v/>
      </c>
      <c r="B16" s="15" t="str">
        <f t="shared" si="5"/>
        <v/>
      </c>
      <c r="C16" s="15" t="str">
        <f t="shared" si="6"/>
        <v/>
      </c>
      <c r="D16" s="15" t="str">
        <f t="shared" si="7"/>
        <v/>
      </c>
      <c r="E16" s="58"/>
      <c r="F16" s="5"/>
      <c r="G16" s="6"/>
      <c r="H16" s="6"/>
      <c r="I16" s="6"/>
      <c r="J16" s="18" t="str">
        <f t="shared" si="2"/>
        <v/>
      </c>
      <c r="K16" s="5"/>
      <c r="L16" s="6"/>
      <c r="M16" s="6"/>
      <c r="N16" s="6"/>
      <c r="O16" s="18" t="str">
        <f t="shared" si="8"/>
        <v/>
      </c>
      <c r="P16" s="5"/>
      <c r="Q16" s="6"/>
      <c r="R16" s="6"/>
      <c r="S16" s="6"/>
      <c r="T16" s="18" t="str">
        <f t="shared" si="3"/>
        <v/>
      </c>
      <c r="U16" s="5"/>
      <c r="V16" s="6"/>
      <c r="W16" s="6"/>
      <c r="X16" s="6"/>
      <c r="Y16" s="18" t="str">
        <f t="shared" si="4"/>
        <v/>
      </c>
      <c r="Z16" s="45" t="str">
        <f>IF($J16="","",ROUND(($J16-30000)/1000,1)+(2.5-_xlfn.RANK.AVG($J16,($J16,$O16,$T16,$Y16)))*20+IF(_xlfn.RANK.EQ($J16,($J16,$O16,$T16,$Y16))=1,20/((_xlfn.RANK.AVG($J16,($J16,$O16,$T16,$Y16))-1)*2+1),0))</f>
        <v/>
      </c>
      <c r="AA16" s="46" t="str">
        <f>IF($O16="","",ROUND(($O16-30000)/1000,1)+(2.5-_xlfn.RANK.AVG($O16,($J16,$O16,$T16,$Y16)))*20+IF(_xlfn.RANK.EQ($O16,($J16,$O16,$T16,$Y16))=1,20/((_xlfn.RANK.AVG($O16,($J16,$O16,$T16,$Y16))-1)*2+1),0))</f>
        <v/>
      </c>
      <c r="AB16" s="46" t="str">
        <f>IF($T16="","",ROUND(($T16-30000)/1000,1)+(2.5-_xlfn.RANK.AVG($T16,($J16,$O16,$T16,$Y16)))*20+IF(_xlfn.RANK.EQ($T16,($J16,$O16,$T16,$Y16))=1,20/((_xlfn.RANK.AVG($T16,($J16,$O16,$T16,$Y16))-1)*2+1),0))</f>
        <v/>
      </c>
      <c r="AC16" s="47" t="str">
        <f>IF($Y16="","",ROUND(($Y16-30000)/1000,1)+(2.5-_xlfn.RANK.AVG($Y16,($J16,$O16,$T16,$Y16)))*20+IF(_xlfn.RANK.EQ($Y16,($J16,$O16,$T16,$Y16))=1,20/((_xlfn.RANK.AVG($Y16,($J16,$O16,$T16,$Y16))-1)*2+1),0))</f>
        <v/>
      </c>
      <c r="AE16" s="5"/>
      <c r="AF16" s="30"/>
      <c r="AG16" s="23"/>
      <c r="AH16" s="23"/>
      <c r="AI16" s="23"/>
      <c r="AJ16" s="27"/>
      <c r="AK16" s="36"/>
      <c r="AL16" s="37"/>
      <c r="AM16" s="37"/>
      <c r="AN16" s="37"/>
      <c r="AO16" s="37"/>
      <c r="AP16" s="37"/>
      <c r="AQ16" s="37"/>
      <c r="AR16" s="37"/>
      <c r="AS16" s="37"/>
      <c r="AT16" s="37"/>
      <c r="AU16" s="37"/>
      <c r="AV16" s="37"/>
      <c r="AW16" s="37"/>
      <c r="AX16" s="37"/>
      <c r="AY16" s="38"/>
      <c r="AZ16" s="5"/>
      <c r="BA16" s="30"/>
      <c r="BB16" s="23"/>
      <c r="BC16" s="23"/>
      <c r="BD16" s="23"/>
      <c r="BE16" s="27"/>
      <c r="BF16" s="36"/>
      <c r="BG16" s="37"/>
      <c r="BH16" s="37"/>
      <c r="BI16" s="37"/>
      <c r="BJ16" s="37"/>
      <c r="BK16" s="37"/>
      <c r="BL16" s="37"/>
      <c r="BM16" s="37"/>
      <c r="BN16" s="37"/>
      <c r="BO16" s="37"/>
      <c r="BP16" s="37"/>
      <c r="BQ16" s="37"/>
      <c r="BR16" s="37"/>
      <c r="BS16" s="37"/>
      <c r="BT16" s="38"/>
      <c r="BU16" s="5"/>
      <c r="BV16" s="30"/>
      <c r="BW16" s="23"/>
      <c r="BX16" s="23"/>
      <c r="BY16" s="23"/>
      <c r="BZ16" s="27"/>
      <c r="CA16" s="36"/>
      <c r="CB16" s="37"/>
      <c r="CC16" s="37"/>
      <c r="CD16" s="37"/>
      <c r="CE16" s="37"/>
      <c r="CF16" s="37"/>
      <c r="CG16" s="37"/>
      <c r="CH16" s="37"/>
      <c r="CI16" s="37"/>
      <c r="CJ16" s="37"/>
      <c r="CK16" s="37"/>
      <c r="CL16" s="37"/>
      <c r="CM16" s="37"/>
      <c r="CN16" s="37"/>
      <c r="CO16" s="38"/>
      <c r="CP16" s="5"/>
      <c r="CQ16" s="30"/>
      <c r="CR16" s="23"/>
      <c r="CS16" s="23"/>
      <c r="CT16" s="23"/>
      <c r="CU16" s="27"/>
      <c r="CV16" s="36"/>
      <c r="CW16" s="37"/>
      <c r="CX16" s="37"/>
      <c r="CY16" s="37"/>
      <c r="CZ16" s="37"/>
      <c r="DA16" s="37"/>
      <c r="DB16" s="37"/>
      <c r="DC16" s="37"/>
      <c r="DD16" s="37"/>
      <c r="DE16" s="37"/>
      <c r="DF16" s="37"/>
      <c r="DG16" s="37"/>
      <c r="DH16" s="37"/>
      <c r="DI16" s="37"/>
      <c r="DJ16" s="38"/>
    </row>
    <row r="17" spans="1:114" x14ac:dyDescent="0.55000000000000004">
      <c r="A17" s="10" t="str">
        <f t="shared" si="9"/>
        <v/>
      </c>
      <c r="B17" s="15" t="str">
        <f t="shared" si="5"/>
        <v/>
      </c>
      <c r="C17" s="15" t="str">
        <f t="shared" si="6"/>
        <v/>
      </c>
      <c r="D17" s="15" t="str">
        <f t="shared" si="7"/>
        <v/>
      </c>
      <c r="E17" s="58"/>
      <c r="F17" s="5"/>
      <c r="G17" s="6"/>
      <c r="H17" s="6"/>
      <c r="I17" s="6"/>
      <c r="J17" s="18" t="str">
        <f t="shared" si="2"/>
        <v/>
      </c>
      <c r="K17" s="5"/>
      <c r="L17" s="6"/>
      <c r="M17" s="6"/>
      <c r="N17" s="6"/>
      <c r="O17" s="18" t="str">
        <f t="shared" si="8"/>
        <v/>
      </c>
      <c r="P17" s="5"/>
      <c r="Q17" s="6"/>
      <c r="R17" s="6"/>
      <c r="S17" s="6"/>
      <c r="T17" s="18" t="str">
        <f t="shared" si="3"/>
        <v/>
      </c>
      <c r="U17" s="5"/>
      <c r="V17" s="6"/>
      <c r="W17" s="6"/>
      <c r="X17" s="6"/>
      <c r="Y17" s="18" t="str">
        <f t="shared" si="4"/>
        <v/>
      </c>
      <c r="Z17" s="45" t="str">
        <f>IF($J17="","",ROUND(($J17-30000)/1000,1)+(2.5-_xlfn.RANK.AVG($J17,($J17,$O17,$T17,$Y17)))*20+IF(_xlfn.RANK.EQ($J17,($J17,$O17,$T17,$Y17))=1,20/((_xlfn.RANK.AVG($J17,($J17,$O17,$T17,$Y17))-1)*2+1),0))</f>
        <v/>
      </c>
      <c r="AA17" s="46" t="str">
        <f>IF($O17="","",ROUND(($O17-30000)/1000,1)+(2.5-_xlfn.RANK.AVG($O17,($J17,$O17,$T17,$Y17)))*20+IF(_xlfn.RANK.EQ($O17,($J17,$O17,$T17,$Y17))=1,20/((_xlfn.RANK.AVG($O17,($J17,$O17,$T17,$Y17))-1)*2+1),0))</f>
        <v/>
      </c>
      <c r="AB17" s="46" t="str">
        <f>IF($T17="","",ROUND(($T17-30000)/1000,1)+(2.5-_xlfn.RANK.AVG($T17,($J17,$O17,$T17,$Y17)))*20+IF(_xlfn.RANK.EQ($T17,($J17,$O17,$T17,$Y17))=1,20/((_xlfn.RANK.AVG($T17,($J17,$O17,$T17,$Y17))-1)*2+1),0))</f>
        <v/>
      </c>
      <c r="AC17" s="47" t="str">
        <f>IF($Y17="","",ROUND(($Y17-30000)/1000,1)+(2.5-_xlfn.RANK.AVG($Y17,($J17,$O17,$T17,$Y17)))*20+IF(_xlfn.RANK.EQ($Y17,($J17,$O17,$T17,$Y17))=1,20/((_xlfn.RANK.AVG($Y17,($J17,$O17,$T17,$Y17))-1)*2+1),0))</f>
        <v/>
      </c>
      <c r="AE17" s="5"/>
      <c r="AF17" s="30"/>
      <c r="AG17" s="23"/>
      <c r="AH17" s="23"/>
      <c r="AI17" s="23"/>
      <c r="AJ17" s="27"/>
      <c r="AK17" s="36"/>
      <c r="AL17" s="37"/>
      <c r="AM17" s="37"/>
      <c r="AN17" s="37"/>
      <c r="AO17" s="37"/>
      <c r="AP17" s="37"/>
      <c r="AQ17" s="37"/>
      <c r="AR17" s="37"/>
      <c r="AS17" s="37"/>
      <c r="AT17" s="37"/>
      <c r="AU17" s="37"/>
      <c r="AV17" s="37"/>
      <c r="AW17" s="37"/>
      <c r="AX17" s="37"/>
      <c r="AY17" s="38"/>
      <c r="AZ17" s="5"/>
      <c r="BA17" s="30"/>
      <c r="BB17" s="23"/>
      <c r="BC17" s="23"/>
      <c r="BD17" s="23"/>
      <c r="BE17" s="27"/>
      <c r="BF17" s="36"/>
      <c r="BG17" s="37"/>
      <c r="BH17" s="37"/>
      <c r="BI17" s="37"/>
      <c r="BJ17" s="37"/>
      <c r="BK17" s="37"/>
      <c r="BL17" s="37"/>
      <c r="BM17" s="37"/>
      <c r="BN17" s="37"/>
      <c r="BO17" s="37"/>
      <c r="BP17" s="37"/>
      <c r="BQ17" s="37"/>
      <c r="BR17" s="37"/>
      <c r="BS17" s="37"/>
      <c r="BT17" s="38"/>
      <c r="BU17" s="5"/>
      <c r="BV17" s="30"/>
      <c r="BW17" s="23"/>
      <c r="BX17" s="23"/>
      <c r="BY17" s="23"/>
      <c r="BZ17" s="27"/>
      <c r="CA17" s="36"/>
      <c r="CB17" s="37"/>
      <c r="CC17" s="37"/>
      <c r="CD17" s="37"/>
      <c r="CE17" s="37"/>
      <c r="CF17" s="37"/>
      <c r="CG17" s="37"/>
      <c r="CH17" s="37"/>
      <c r="CI17" s="37"/>
      <c r="CJ17" s="37"/>
      <c r="CK17" s="37"/>
      <c r="CL17" s="37"/>
      <c r="CM17" s="37"/>
      <c r="CN17" s="37"/>
      <c r="CO17" s="38"/>
      <c r="CP17" s="5"/>
      <c r="CQ17" s="30"/>
      <c r="CR17" s="23"/>
      <c r="CS17" s="23"/>
      <c r="CT17" s="23"/>
      <c r="CU17" s="27"/>
      <c r="CV17" s="36"/>
      <c r="CW17" s="37"/>
      <c r="CX17" s="37"/>
      <c r="CY17" s="37"/>
      <c r="CZ17" s="37"/>
      <c r="DA17" s="37"/>
      <c r="DB17" s="37"/>
      <c r="DC17" s="37"/>
      <c r="DD17" s="37"/>
      <c r="DE17" s="37"/>
      <c r="DF17" s="37"/>
      <c r="DG17" s="37"/>
      <c r="DH17" s="37"/>
      <c r="DI17" s="37"/>
      <c r="DJ17" s="38"/>
    </row>
    <row r="18" spans="1:114" x14ac:dyDescent="0.55000000000000004">
      <c r="A18" s="10" t="str">
        <f t="shared" si="9"/>
        <v/>
      </c>
      <c r="B18" s="15" t="str">
        <f t="shared" si="5"/>
        <v/>
      </c>
      <c r="C18" s="15" t="str">
        <f t="shared" si="6"/>
        <v/>
      </c>
      <c r="D18" s="15" t="str">
        <f t="shared" si="7"/>
        <v/>
      </c>
      <c r="E18" s="58"/>
      <c r="F18" s="5"/>
      <c r="G18" s="6"/>
      <c r="H18" s="6"/>
      <c r="I18" s="6"/>
      <c r="J18" s="18" t="str">
        <f t="shared" si="2"/>
        <v/>
      </c>
      <c r="K18" s="5"/>
      <c r="L18" s="6"/>
      <c r="M18" s="6"/>
      <c r="N18" s="6"/>
      <c r="O18" s="18" t="str">
        <f t="shared" si="8"/>
        <v/>
      </c>
      <c r="P18" s="5"/>
      <c r="Q18" s="6"/>
      <c r="R18" s="6"/>
      <c r="S18" s="6"/>
      <c r="T18" s="18" t="str">
        <f t="shared" si="3"/>
        <v/>
      </c>
      <c r="U18" s="5"/>
      <c r="V18" s="6"/>
      <c r="W18" s="6"/>
      <c r="X18" s="6"/>
      <c r="Y18" s="18" t="str">
        <f t="shared" si="4"/>
        <v/>
      </c>
      <c r="Z18" s="45" t="str">
        <f>IF($J18="","",ROUND(($J18-30000)/1000,1)+(2.5-_xlfn.RANK.AVG($J18,($J18,$O18,$T18,$Y18)))*20+IF(_xlfn.RANK.EQ($J18,($J18,$O18,$T18,$Y18))=1,20/((_xlfn.RANK.AVG($J18,($J18,$O18,$T18,$Y18))-1)*2+1),0))</f>
        <v/>
      </c>
      <c r="AA18" s="46" t="str">
        <f>IF($O18="","",ROUND(($O18-30000)/1000,1)+(2.5-_xlfn.RANK.AVG($O18,($J18,$O18,$T18,$Y18)))*20+IF(_xlfn.RANK.EQ($O18,($J18,$O18,$T18,$Y18))=1,20/((_xlfn.RANK.AVG($O18,($J18,$O18,$T18,$Y18))-1)*2+1),0))</f>
        <v/>
      </c>
      <c r="AB18" s="46" t="str">
        <f>IF($T18="","",ROUND(($T18-30000)/1000,1)+(2.5-_xlfn.RANK.AVG($T18,($J18,$O18,$T18,$Y18)))*20+IF(_xlfn.RANK.EQ($T18,($J18,$O18,$T18,$Y18))=1,20/((_xlfn.RANK.AVG($T18,($J18,$O18,$T18,$Y18))-1)*2+1),0))</f>
        <v/>
      </c>
      <c r="AC18" s="47" t="str">
        <f>IF($Y18="","",ROUND(($Y18-30000)/1000,1)+(2.5-_xlfn.RANK.AVG($Y18,($J18,$O18,$T18,$Y18)))*20+IF(_xlfn.RANK.EQ($Y18,($J18,$O18,$T18,$Y18))=1,20/((_xlfn.RANK.AVG($Y18,($J18,$O18,$T18,$Y18))-1)*2+1),0))</f>
        <v/>
      </c>
      <c r="AE18" s="5"/>
      <c r="AF18" s="30"/>
      <c r="AG18" s="23"/>
      <c r="AH18" s="23"/>
      <c r="AI18" s="23"/>
      <c r="AJ18" s="27"/>
      <c r="AK18" s="36"/>
      <c r="AL18" s="37"/>
      <c r="AM18" s="37"/>
      <c r="AN18" s="37"/>
      <c r="AO18" s="37"/>
      <c r="AP18" s="37"/>
      <c r="AQ18" s="37"/>
      <c r="AR18" s="37"/>
      <c r="AS18" s="37"/>
      <c r="AT18" s="37"/>
      <c r="AU18" s="37"/>
      <c r="AV18" s="37"/>
      <c r="AW18" s="37"/>
      <c r="AX18" s="37"/>
      <c r="AY18" s="38"/>
      <c r="AZ18" s="5"/>
      <c r="BA18" s="30"/>
      <c r="BB18" s="23"/>
      <c r="BC18" s="23"/>
      <c r="BD18" s="23"/>
      <c r="BE18" s="27"/>
      <c r="BF18" s="36"/>
      <c r="BG18" s="37"/>
      <c r="BH18" s="37"/>
      <c r="BI18" s="37"/>
      <c r="BJ18" s="37"/>
      <c r="BK18" s="37"/>
      <c r="BL18" s="37"/>
      <c r="BM18" s="37"/>
      <c r="BN18" s="37"/>
      <c r="BO18" s="37"/>
      <c r="BP18" s="37"/>
      <c r="BQ18" s="37"/>
      <c r="BR18" s="37"/>
      <c r="BS18" s="37"/>
      <c r="BT18" s="38"/>
      <c r="BU18" s="5"/>
      <c r="BV18" s="30"/>
      <c r="BW18" s="23"/>
      <c r="BX18" s="23"/>
      <c r="BY18" s="23"/>
      <c r="BZ18" s="27"/>
      <c r="CA18" s="36"/>
      <c r="CB18" s="37"/>
      <c r="CC18" s="37"/>
      <c r="CD18" s="37"/>
      <c r="CE18" s="37"/>
      <c r="CF18" s="37"/>
      <c r="CG18" s="37"/>
      <c r="CH18" s="37"/>
      <c r="CI18" s="37"/>
      <c r="CJ18" s="37"/>
      <c r="CK18" s="37"/>
      <c r="CL18" s="37"/>
      <c r="CM18" s="37"/>
      <c r="CN18" s="37"/>
      <c r="CO18" s="38"/>
      <c r="CP18" s="5"/>
      <c r="CQ18" s="30"/>
      <c r="CR18" s="23"/>
      <c r="CS18" s="23"/>
      <c r="CT18" s="23"/>
      <c r="CU18" s="27"/>
      <c r="CV18" s="36"/>
      <c r="CW18" s="37"/>
      <c r="CX18" s="37"/>
      <c r="CY18" s="37"/>
      <c r="CZ18" s="37"/>
      <c r="DA18" s="37"/>
      <c r="DB18" s="37"/>
      <c r="DC18" s="37"/>
      <c r="DD18" s="37"/>
      <c r="DE18" s="37"/>
      <c r="DF18" s="37"/>
      <c r="DG18" s="37"/>
      <c r="DH18" s="37"/>
      <c r="DI18" s="37"/>
      <c r="DJ18" s="38"/>
    </row>
    <row r="19" spans="1:114" x14ac:dyDescent="0.55000000000000004">
      <c r="A19" s="10" t="str">
        <f t="shared" si="9"/>
        <v/>
      </c>
      <c r="B19" s="15" t="str">
        <f t="shared" si="5"/>
        <v/>
      </c>
      <c r="C19" s="15" t="str">
        <f t="shared" si="6"/>
        <v/>
      </c>
      <c r="D19" s="15" t="str">
        <f t="shared" si="7"/>
        <v/>
      </c>
      <c r="E19" s="58"/>
      <c r="F19" s="5"/>
      <c r="G19" s="6"/>
      <c r="H19" s="6"/>
      <c r="I19" s="6"/>
      <c r="J19" s="18" t="str">
        <f t="shared" si="2"/>
        <v/>
      </c>
      <c r="K19" s="5"/>
      <c r="L19" s="6"/>
      <c r="M19" s="6"/>
      <c r="N19" s="6"/>
      <c r="O19" s="18" t="str">
        <f t="shared" si="8"/>
        <v/>
      </c>
      <c r="P19" s="5"/>
      <c r="Q19" s="6"/>
      <c r="R19" s="6"/>
      <c r="S19" s="6"/>
      <c r="T19" s="18" t="str">
        <f t="shared" si="3"/>
        <v/>
      </c>
      <c r="U19" s="5"/>
      <c r="V19" s="6"/>
      <c r="W19" s="6"/>
      <c r="X19" s="6"/>
      <c r="Y19" s="18" t="str">
        <f t="shared" si="4"/>
        <v/>
      </c>
      <c r="Z19" s="45" t="str">
        <f>IF($J19="","",ROUND(($J19-30000)/1000,1)+(2.5-_xlfn.RANK.AVG($J19,($J19,$O19,$T19,$Y19)))*20+IF(_xlfn.RANK.EQ($J19,($J19,$O19,$T19,$Y19))=1,20/((_xlfn.RANK.AVG($J19,($J19,$O19,$T19,$Y19))-1)*2+1),0))</f>
        <v/>
      </c>
      <c r="AA19" s="46" t="str">
        <f>IF($O19="","",ROUND(($O19-30000)/1000,1)+(2.5-_xlfn.RANK.AVG($O19,($J19,$O19,$T19,$Y19)))*20+IF(_xlfn.RANK.EQ($O19,($J19,$O19,$T19,$Y19))=1,20/((_xlfn.RANK.AVG($O19,($J19,$O19,$T19,$Y19))-1)*2+1),0))</f>
        <v/>
      </c>
      <c r="AB19" s="46" t="str">
        <f>IF($T19="","",ROUND(($T19-30000)/1000,1)+(2.5-_xlfn.RANK.AVG($T19,($J19,$O19,$T19,$Y19)))*20+IF(_xlfn.RANK.EQ($T19,($J19,$O19,$T19,$Y19))=1,20/((_xlfn.RANK.AVG($T19,($J19,$O19,$T19,$Y19))-1)*2+1),0))</f>
        <v/>
      </c>
      <c r="AC19" s="47" t="str">
        <f>IF($Y19="","",ROUND(($Y19-30000)/1000,1)+(2.5-_xlfn.RANK.AVG($Y19,($J19,$O19,$T19,$Y19)))*20+IF(_xlfn.RANK.EQ($Y19,($J19,$O19,$T19,$Y19))=1,20/((_xlfn.RANK.AVG($Y19,($J19,$O19,$T19,$Y19))-1)*2+1),0))</f>
        <v/>
      </c>
      <c r="AE19" s="5"/>
      <c r="AF19" s="30"/>
      <c r="AG19" s="23"/>
      <c r="AH19" s="23"/>
      <c r="AI19" s="23"/>
      <c r="AJ19" s="27"/>
      <c r="AK19" s="36"/>
      <c r="AL19" s="37"/>
      <c r="AM19" s="37"/>
      <c r="AN19" s="37"/>
      <c r="AO19" s="37"/>
      <c r="AP19" s="37"/>
      <c r="AQ19" s="37"/>
      <c r="AR19" s="37"/>
      <c r="AS19" s="37"/>
      <c r="AT19" s="37"/>
      <c r="AU19" s="37"/>
      <c r="AV19" s="37"/>
      <c r="AW19" s="37"/>
      <c r="AX19" s="37"/>
      <c r="AY19" s="38"/>
      <c r="AZ19" s="5"/>
      <c r="BA19" s="30"/>
      <c r="BB19" s="23"/>
      <c r="BC19" s="23"/>
      <c r="BD19" s="23"/>
      <c r="BE19" s="27"/>
      <c r="BF19" s="36"/>
      <c r="BG19" s="37"/>
      <c r="BH19" s="37"/>
      <c r="BI19" s="37"/>
      <c r="BJ19" s="37"/>
      <c r="BK19" s="37"/>
      <c r="BL19" s="37"/>
      <c r="BM19" s="37"/>
      <c r="BN19" s="37"/>
      <c r="BO19" s="37"/>
      <c r="BP19" s="37"/>
      <c r="BQ19" s="37"/>
      <c r="BR19" s="37"/>
      <c r="BS19" s="37"/>
      <c r="BT19" s="38"/>
      <c r="BU19" s="5"/>
      <c r="BV19" s="30"/>
      <c r="BW19" s="23"/>
      <c r="BX19" s="23"/>
      <c r="BY19" s="23"/>
      <c r="BZ19" s="27"/>
      <c r="CA19" s="36"/>
      <c r="CB19" s="37"/>
      <c r="CC19" s="37"/>
      <c r="CD19" s="37"/>
      <c r="CE19" s="37"/>
      <c r="CF19" s="37"/>
      <c r="CG19" s="37"/>
      <c r="CH19" s="37"/>
      <c r="CI19" s="37"/>
      <c r="CJ19" s="37"/>
      <c r="CK19" s="37"/>
      <c r="CL19" s="37"/>
      <c r="CM19" s="37"/>
      <c r="CN19" s="37"/>
      <c r="CO19" s="38"/>
      <c r="CP19" s="5"/>
      <c r="CQ19" s="30"/>
      <c r="CR19" s="23"/>
      <c r="CS19" s="23"/>
      <c r="CT19" s="23"/>
      <c r="CU19" s="27"/>
      <c r="CV19" s="36"/>
      <c r="CW19" s="37"/>
      <c r="CX19" s="37"/>
      <c r="CY19" s="37"/>
      <c r="CZ19" s="37"/>
      <c r="DA19" s="37"/>
      <c r="DB19" s="37"/>
      <c r="DC19" s="37"/>
      <c r="DD19" s="37"/>
      <c r="DE19" s="37"/>
      <c r="DF19" s="37"/>
      <c r="DG19" s="37"/>
      <c r="DH19" s="37"/>
      <c r="DI19" s="37"/>
      <c r="DJ19" s="38"/>
    </row>
    <row r="20" spans="1:114" x14ac:dyDescent="0.55000000000000004">
      <c r="A20" s="10" t="str">
        <f t="shared" si="9"/>
        <v/>
      </c>
      <c r="B20" s="15" t="str">
        <f t="shared" si="5"/>
        <v/>
      </c>
      <c r="C20" s="15" t="str">
        <f t="shared" si="6"/>
        <v/>
      </c>
      <c r="D20" s="15" t="str">
        <f t="shared" si="7"/>
        <v/>
      </c>
      <c r="E20" s="58"/>
      <c r="F20" s="5"/>
      <c r="G20" s="6"/>
      <c r="H20" s="6"/>
      <c r="I20" s="6"/>
      <c r="J20" s="18" t="str">
        <f t="shared" si="2"/>
        <v/>
      </c>
      <c r="K20" s="5"/>
      <c r="L20" s="6"/>
      <c r="M20" s="6"/>
      <c r="N20" s="6"/>
      <c r="O20" s="18" t="str">
        <f t="shared" si="8"/>
        <v/>
      </c>
      <c r="P20" s="5"/>
      <c r="Q20" s="6"/>
      <c r="R20" s="6"/>
      <c r="S20" s="6"/>
      <c r="T20" s="18" t="str">
        <f t="shared" si="3"/>
        <v/>
      </c>
      <c r="U20" s="5"/>
      <c r="V20" s="6"/>
      <c r="W20" s="6"/>
      <c r="X20" s="6"/>
      <c r="Y20" s="18" t="str">
        <f t="shared" si="4"/>
        <v/>
      </c>
      <c r="Z20" s="45" t="str">
        <f>IF($J20="","",ROUND(($J20-30000)/1000,1)+(2.5-_xlfn.RANK.AVG($J20,($J20,$O20,$T20,$Y20)))*20+IF(_xlfn.RANK.EQ($J20,($J20,$O20,$T20,$Y20))=1,20/((_xlfn.RANK.AVG($J20,($J20,$O20,$T20,$Y20))-1)*2+1),0))</f>
        <v/>
      </c>
      <c r="AA20" s="46" t="str">
        <f>IF($O20="","",ROUND(($O20-30000)/1000,1)+(2.5-_xlfn.RANK.AVG($O20,($J20,$O20,$T20,$Y20)))*20+IF(_xlfn.RANK.EQ($O20,($J20,$O20,$T20,$Y20))=1,20/((_xlfn.RANK.AVG($O20,($J20,$O20,$T20,$Y20))-1)*2+1),0))</f>
        <v/>
      </c>
      <c r="AB20" s="46" t="str">
        <f>IF($T20="","",ROUND(($T20-30000)/1000,1)+(2.5-_xlfn.RANK.AVG($T20,($J20,$O20,$T20,$Y20)))*20+IF(_xlfn.RANK.EQ($T20,($J20,$O20,$T20,$Y20))=1,20/((_xlfn.RANK.AVG($T20,($J20,$O20,$T20,$Y20))-1)*2+1),0))</f>
        <v/>
      </c>
      <c r="AC20" s="47" t="str">
        <f>IF($Y20="","",ROUND(($Y20-30000)/1000,1)+(2.5-_xlfn.RANK.AVG($Y20,($J20,$O20,$T20,$Y20)))*20+IF(_xlfn.RANK.EQ($Y20,($J20,$O20,$T20,$Y20))=1,20/((_xlfn.RANK.AVG($Y20,($J20,$O20,$T20,$Y20))-1)*2+1),0))</f>
        <v/>
      </c>
      <c r="AE20" s="5"/>
      <c r="AF20" s="30"/>
      <c r="AG20" s="23"/>
      <c r="AH20" s="23"/>
      <c r="AI20" s="23"/>
      <c r="AJ20" s="27"/>
      <c r="AK20" s="36"/>
      <c r="AL20" s="37"/>
      <c r="AM20" s="37"/>
      <c r="AN20" s="37"/>
      <c r="AO20" s="37"/>
      <c r="AP20" s="37"/>
      <c r="AQ20" s="37"/>
      <c r="AR20" s="37"/>
      <c r="AS20" s="37"/>
      <c r="AT20" s="37"/>
      <c r="AU20" s="37"/>
      <c r="AV20" s="37"/>
      <c r="AW20" s="37"/>
      <c r="AX20" s="37"/>
      <c r="AY20" s="38"/>
      <c r="AZ20" s="5"/>
      <c r="BA20" s="30"/>
      <c r="BB20" s="23"/>
      <c r="BC20" s="23"/>
      <c r="BD20" s="23"/>
      <c r="BE20" s="27"/>
      <c r="BF20" s="36"/>
      <c r="BG20" s="37"/>
      <c r="BH20" s="37"/>
      <c r="BI20" s="37"/>
      <c r="BJ20" s="37"/>
      <c r="BK20" s="37"/>
      <c r="BL20" s="37"/>
      <c r="BM20" s="37"/>
      <c r="BN20" s="37"/>
      <c r="BO20" s="37"/>
      <c r="BP20" s="37"/>
      <c r="BQ20" s="37"/>
      <c r="BR20" s="37"/>
      <c r="BS20" s="37"/>
      <c r="BT20" s="38"/>
      <c r="BU20" s="5"/>
      <c r="BV20" s="30"/>
      <c r="BW20" s="23"/>
      <c r="BX20" s="23"/>
      <c r="BY20" s="23"/>
      <c r="BZ20" s="27"/>
      <c r="CA20" s="36"/>
      <c r="CB20" s="37"/>
      <c r="CC20" s="37"/>
      <c r="CD20" s="37"/>
      <c r="CE20" s="37"/>
      <c r="CF20" s="37"/>
      <c r="CG20" s="37"/>
      <c r="CH20" s="37"/>
      <c r="CI20" s="37"/>
      <c r="CJ20" s="37"/>
      <c r="CK20" s="37"/>
      <c r="CL20" s="37"/>
      <c r="CM20" s="37"/>
      <c r="CN20" s="37"/>
      <c r="CO20" s="38"/>
      <c r="CP20" s="5"/>
      <c r="CQ20" s="30"/>
      <c r="CR20" s="23"/>
      <c r="CS20" s="23"/>
      <c r="CT20" s="23"/>
      <c r="CU20" s="27"/>
      <c r="CV20" s="36"/>
      <c r="CW20" s="37"/>
      <c r="CX20" s="37"/>
      <c r="CY20" s="37"/>
      <c r="CZ20" s="37"/>
      <c r="DA20" s="37"/>
      <c r="DB20" s="37"/>
      <c r="DC20" s="37"/>
      <c r="DD20" s="37"/>
      <c r="DE20" s="37"/>
      <c r="DF20" s="37"/>
      <c r="DG20" s="37"/>
      <c r="DH20" s="37"/>
      <c r="DI20" s="37"/>
      <c r="DJ20" s="38"/>
    </row>
    <row r="21" spans="1:114" x14ac:dyDescent="0.55000000000000004">
      <c r="A21" s="10" t="str">
        <f t="shared" si="9"/>
        <v/>
      </c>
      <c r="B21" s="15" t="str">
        <f t="shared" si="5"/>
        <v/>
      </c>
      <c r="C21" s="15" t="str">
        <f t="shared" si="6"/>
        <v/>
      </c>
      <c r="D21" s="15" t="str">
        <f t="shared" si="7"/>
        <v/>
      </c>
      <c r="E21" s="58"/>
      <c r="F21" s="5"/>
      <c r="G21" s="6"/>
      <c r="H21" s="6"/>
      <c r="I21" s="6"/>
      <c r="J21" s="18" t="str">
        <f t="shared" si="2"/>
        <v/>
      </c>
      <c r="K21" s="5"/>
      <c r="L21" s="6"/>
      <c r="M21" s="6"/>
      <c r="N21" s="6"/>
      <c r="O21" s="18" t="str">
        <f t="shared" si="8"/>
        <v/>
      </c>
      <c r="P21" s="5"/>
      <c r="Q21" s="6"/>
      <c r="R21" s="6"/>
      <c r="S21" s="6"/>
      <c r="T21" s="18" t="str">
        <f t="shared" si="3"/>
        <v/>
      </c>
      <c r="U21" s="5"/>
      <c r="V21" s="6"/>
      <c r="W21" s="6"/>
      <c r="X21" s="6"/>
      <c r="Y21" s="18" t="str">
        <f t="shared" si="4"/>
        <v/>
      </c>
      <c r="Z21" s="45" t="str">
        <f>IF($J21="","",ROUND(($J21-30000)/1000,1)+(2.5-_xlfn.RANK.AVG($J21,($J21,$O21,$T21,$Y21)))*20+IF(_xlfn.RANK.EQ($J21,($J21,$O21,$T21,$Y21))=1,20/((_xlfn.RANK.AVG($J21,($J21,$O21,$T21,$Y21))-1)*2+1),0))</f>
        <v/>
      </c>
      <c r="AA21" s="46" t="str">
        <f>IF($O21="","",ROUND(($O21-30000)/1000,1)+(2.5-_xlfn.RANK.AVG($O21,($J21,$O21,$T21,$Y21)))*20+IF(_xlfn.RANK.EQ($O21,($J21,$O21,$T21,$Y21))=1,20/((_xlfn.RANK.AVG($O21,($J21,$O21,$T21,$Y21))-1)*2+1),0))</f>
        <v/>
      </c>
      <c r="AB21" s="46" t="str">
        <f>IF($T21="","",ROUND(($T21-30000)/1000,1)+(2.5-_xlfn.RANK.AVG($T21,($J21,$O21,$T21,$Y21)))*20+IF(_xlfn.RANK.EQ($T21,($J21,$O21,$T21,$Y21))=1,20/((_xlfn.RANK.AVG($T21,($J21,$O21,$T21,$Y21))-1)*2+1),0))</f>
        <v/>
      </c>
      <c r="AC21" s="47" t="str">
        <f>IF($Y21="","",ROUND(($Y21-30000)/1000,1)+(2.5-_xlfn.RANK.AVG($Y21,($J21,$O21,$T21,$Y21)))*20+IF(_xlfn.RANK.EQ($Y21,($J21,$O21,$T21,$Y21))=1,20/((_xlfn.RANK.AVG($Y21,($J21,$O21,$T21,$Y21))-1)*2+1),0))</f>
        <v/>
      </c>
      <c r="AE21" s="5"/>
      <c r="AF21" s="30"/>
      <c r="AG21" s="23"/>
      <c r="AH21" s="23"/>
      <c r="AI21" s="23"/>
      <c r="AJ21" s="27"/>
      <c r="AK21" s="36"/>
      <c r="AL21" s="37"/>
      <c r="AM21" s="37"/>
      <c r="AN21" s="37"/>
      <c r="AO21" s="37"/>
      <c r="AP21" s="37"/>
      <c r="AQ21" s="37"/>
      <c r="AR21" s="37"/>
      <c r="AS21" s="37"/>
      <c r="AT21" s="37"/>
      <c r="AU21" s="37"/>
      <c r="AV21" s="37"/>
      <c r="AW21" s="37"/>
      <c r="AX21" s="37"/>
      <c r="AY21" s="38"/>
      <c r="AZ21" s="5"/>
      <c r="BA21" s="30"/>
      <c r="BB21" s="23"/>
      <c r="BC21" s="23"/>
      <c r="BD21" s="23"/>
      <c r="BE21" s="27"/>
      <c r="BF21" s="36"/>
      <c r="BG21" s="37"/>
      <c r="BH21" s="37"/>
      <c r="BI21" s="37"/>
      <c r="BJ21" s="37"/>
      <c r="BK21" s="37"/>
      <c r="BL21" s="37"/>
      <c r="BM21" s="37"/>
      <c r="BN21" s="37"/>
      <c r="BO21" s="37"/>
      <c r="BP21" s="37"/>
      <c r="BQ21" s="37"/>
      <c r="BR21" s="37"/>
      <c r="BS21" s="37"/>
      <c r="BT21" s="38"/>
      <c r="BU21" s="5"/>
      <c r="BV21" s="30"/>
      <c r="BW21" s="23"/>
      <c r="BX21" s="23"/>
      <c r="BY21" s="23"/>
      <c r="BZ21" s="27"/>
      <c r="CA21" s="36"/>
      <c r="CB21" s="37"/>
      <c r="CC21" s="37"/>
      <c r="CD21" s="37"/>
      <c r="CE21" s="37"/>
      <c r="CF21" s="37"/>
      <c r="CG21" s="37"/>
      <c r="CH21" s="37"/>
      <c r="CI21" s="37"/>
      <c r="CJ21" s="37"/>
      <c r="CK21" s="37"/>
      <c r="CL21" s="37"/>
      <c r="CM21" s="37"/>
      <c r="CN21" s="37"/>
      <c r="CO21" s="38"/>
      <c r="CP21" s="5"/>
      <c r="CQ21" s="30"/>
      <c r="CR21" s="23"/>
      <c r="CS21" s="23"/>
      <c r="CT21" s="23"/>
      <c r="CU21" s="27"/>
      <c r="CV21" s="36"/>
      <c r="CW21" s="37"/>
      <c r="CX21" s="37"/>
      <c r="CY21" s="37"/>
      <c r="CZ21" s="37"/>
      <c r="DA21" s="37"/>
      <c r="DB21" s="37"/>
      <c r="DC21" s="37"/>
      <c r="DD21" s="37"/>
      <c r="DE21" s="37"/>
      <c r="DF21" s="37"/>
      <c r="DG21" s="37"/>
      <c r="DH21" s="37"/>
      <c r="DI21" s="37"/>
      <c r="DJ21" s="38"/>
    </row>
    <row r="22" spans="1:114" x14ac:dyDescent="0.55000000000000004">
      <c r="A22" s="10" t="str">
        <f t="shared" si="9"/>
        <v/>
      </c>
      <c r="B22" s="15" t="str">
        <f t="shared" si="5"/>
        <v/>
      </c>
      <c r="C22" s="15" t="str">
        <f t="shared" si="6"/>
        <v/>
      </c>
      <c r="D22" s="15" t="str">
        <f t="shared" si="7"/>
        <v/>
      </c>
      <c r="E22" s="58"/>
      <c r="F22" s="5"/>
      <c r="G22" s="6"/>
      <c r="H22" s="6"/>
      <c r="I22" s="6"/>
      <c r="J22" s="18" t="str">
        <f t="shared" si="2"/>
        <v/>
      </c>
      <c r="K22" s="5"/>
      <c r="L22" s="6"/>
      <c r="M22" s="6"/>
      <c r="N22" s="6"/>
      <c r="O22" s="18" t="str">
        <f t="shared" si="8"/>
        <v/>
      </c>
      <c r="P22" s="5"/>
      <c r="Q22" s="6"/>
      <c r="R22" s="6"/>
      <c r="S22" s="6"/>
      <c r="T22" s="18" t="str">
        <f t="shared" si="3"/>
        <v/>
      </c>
      <c r="U22" s="5"/>
      <c r="V22" s="6"/>
      <c r="W22" s="6"/>
      <c r="X22" s="6"/>
      <c r="Y22" s="18" t="str">
        <f t="shared" si="4"/>
        <v/>
      </c>
      <c r="Z22" s="45" t="str">
        <f>IF($J22="","",ROUND(($J22-30000)/1000,1)+(2.5-_xlfn.RANK.AVG($J22,($J22,$O22,$T22,$Y22)))*20+IF(_xlfn.RANK.EQ($J22,($J22,$O22,$T22,$Y22))=1,20/((_xlfn.RANK.AVG($J22,($J22,$O22,$T22,$Y22))-1)*2+1),0))</f>
        <v/>
      </c>
      <c r="AA22" s="46" t="str">
        <f>IF($O22="","",ROUND(($O22-30000)/1000,1)+(2.5-_xlfn.RANK.AVG($O22,($J22,$O22,$T22,$Y22)))*20+IF(_xlfn.RANK.EQ($O22,($J22,$O22,$T22,$Y22))=1,20/((_xlfn.RANK.AVG($O22,($J22,$O22,$T22,$Y22))-1)*2+1),0))</f>
        <v/>
      </c>
      <c r="AB22" s="46" t="str">
        <f>IF($T22="","",ROUND(($T22-30000)/1000,1)+(2.5-_xlfn.RANK.AVG($T22,($J22,$O22,$T22,$Y22)))*20+IF(_xlfn.RANK.EQ($T22,($J22,$O22,$T22,$Y22))=1,20/((_xlfn.RANK.AVG($T22,($J22,$O22,$T22,$Y22))-1)*2+1),0))</f>
        <v/>
      </c>
      <c r="AC22" s="47" t="str">
        <f>IF($Y22="","",ROUND(($Y22-30000)/1000,1)+(2.5-_xlfn.RANK.AVG($Y22,($J22,$O22,$T22,$Y22)))*20+IF(_xlfn.RANK.EQ($Y22,($J22,$O22,$T22,$Y22))=1,20/((_xlfn.RANK.AVG($Y22,($J22,$O22,$T22,$Y22))-1)*2+1),0))</f>
        <v/>
      </c>
      <c r="AE22" s="5"/>
      <c r="AF22" s="30"/>
      <c r="AG22" s="23"/>
      <c r="AH22" s="23"/>
      <c r="AI22" s="23"/>
      <c r="AJ22" s="27"/>
      <c r="AK22" s="36"/>
      <c r="AL22" s="37"/>
      <c r="AM22" s="37"/>
      <c r="AN22" s="37"/>
      <c r="AO22" s="37"/>
      <c r="AP22" s="37"/>
      <c r="AQ22" s="37"/>
      <c r="AR22" s="37"/>
      <c r="AS22" s="37"/>
      <c r="AT22" s="37"/>
      <c r="AU22" s="37"/>
      <c r="AV22" s="37"/>
      <c r="AW22" s="37"/>
      <c r="AX22" s="37"/>
      <c r="AY22" s="38"/>
      <c r="AZ22" s="5"/>
      <c r="BA22" s="30"/>
      <c r="BB22" s="23"/>
      <c r="BC22" s="23"/>
      <c r="BD22" s="23"/>
      <c r="BE22" s="27"/>
      <c r="BF22" s="36"/>
      <c r="BG22" s="37"/>
      <c r="BH22" s="37"/>
      <c r="BI22" s="37"/>
      <c r="BJ22" s="37"/>
      <c r="BK22" s="37"/>
      <c r="BL22" s="37"/>
      <c r="BM22" s="37"/>
      <c r="BN22" s="37"/>
      <c r="BO22" s="37"/>
      <c r="BP22" s="37"/>
      <c r="BQ22" s="37"/>
      <c r="BR22" s="37"/>
      <c r="BS22" s="37"/>
      <c r="BT22" s="38"/>
      <c r="BU22" s="5"/>
      <c r="BV22" s="30"/>
      <c r="BW22" s="23"/>
      <c r="BX22" s="23"/>
      <c r="BY22" s="23"/>
      <c r="BZ22" s="27"/>
      <c r="CA22" s="36"/>
      <c r="CB22" s="37"/>
      <c r="CC22" s="37"/>
      <c r="CD22" s="37"/>
      <c r="CE22" s="37"/>
      <c r="CF22" s="37"/>
      <c r="CG22" s="37"/>
      <c r="CH22" s="37"/>
      <c r="CI22" s="37"/>
      <c r="CJ22" s="37"/>
      <c r="CK22" s="37"/>
      <c r="CL22" s="37"/>
      <c r="CM22" s="37"/>
      <c r="CN22" s="37"/>
      <c r="CO22" s="38"/>
      <c r="CP22" s="5"/>
      <c r="CQ22" s="30"/>
      <c r="CR22" s="23"/>
      <c r="CS22" s="23"/>
      <c r="CT22" s="23"/>
      <c r="CU22" s="27"/>
      <c r="CV22" s="36"/>
      <c r="CW22" s="37"/>
      <c r="CX22" s="37"/>
      <c r="CY22" s="37"/>
      <c r="CZ22" s="37"/>
      <c r="DA22" s="37"/>
      <c r="DB22" s="37"/>
      <c r="DC22" s="37"/>
      <c r="DD22" s="37"/>
      <c r="DE22" s="37"/>
      <c r="DF22" s="37"/>
      <c r="DG22" s="37"/>
      <c r="DH22" s="37"/>
      <c r="DI22" s="37"/>
      <c r="DJ22" s="38"/>
    </row>
    <row r="23" spans="1:114" x14ac:dyDescent="0.55000000000000004">
      <c r="A23" s="10" t="str">
        <f t="shared" si="9"/>
        <v/>
      </c>
      <c r="B23" s="15" t="str">
        <f t="shared" si="5"/>
        <v/>
      </c>
      <c r="C23" s="15" t="str">
        <f t="shared" si="6"/>
        <v/>
      </c>
      <c r="D23" s="15" t="str">
        <f t="shared" si="7"/>
        <v/>
      </c>
      <c r="E23" s="58"/>
      <c r="F23" s="5"/>
      <c r="G23" s="6"/>
      <c r="H23" s="6"/>
      <c r="I23" s="6"/>
      <c r="J23" s="18" t="str">
        <f t="shared" si="2"/>
        <v/>
      </c>
      <c r="K23" s="5"/>
      <c r="L23" s="6"/>
      <c r="M23" s="6"/>
      <c r="N23" s="6"/>
      <c r="O23" s="18" t="str">
        <f t="shared" si="8"/>
        <v/>
      </c>
      <c r="P23" s="5"/>
      <c r="Q23" s="6"/>
      <c r="R23" s="6"/>
      <c r="S23" s="6"/>
      <c r="T23" s="18" t="str">
        <f t="shared" si="3"/>
        <v/>
      </c>
      <c r="U23" s="5"/>
      <c r="V23" s="6"/>
      <c r="W23" s="6"/>
      <c r="X23" s="6"/>
      <c r="Y23" s="18" t="str">
        <f t="shared" si="4"/>
        <v/>
      </c>
      <c r="Z23" s="45" t="str">
        <f>IF($J23="","",ROUND(($J23-30000)/1000,1)+(2.5-_xlfn.RANK.AVG($J23,($J23,$O23,$T23,$Y23)))*20+IF(_xlfn.RANK.EQ($J23,($J23,$O23,$T23,$Y23))=1,20/((_xlfn.RANK.AVG($J23,($J23,$O23,$T23,$Y23))-1)*2+1),0))</f>
        <v/>
      </c>
      <c r="AA23" s="46" t="str">
        <f>IF($O23="","",ROUND(($O23-30000)/1000,1)+(2.5-_xlfn.RANK.AVG($O23,($J23,$O23,$T23,$Y23)))*20+IF(_xlfn.RANK.EQ($O23,($J23,$O23,$T23,$Y23))=1,20/((_xlfn.RANK.AVG($O23,($J23,$O23,$T23,$Y23))-1)*2+1),0))</f>
        <v/>
      </c>
      <c r="AB23" s="46" t="str">
        <f>IF($T23="","",ROUND(($T23-30000)/1000,1)+(2.5-_xlfn.RANK.AVG($T23,($J23,$O23,$T23,$Y23)))*20+IF(_xlfn.RANK.EQ($T23,($J23,$O23,$T23,$Y23))=1,20/((_xlfn.RANK.AVG($T23,($J23,$O23,$T23,$Y23))-1)*2+1),0))</f>
        <v/>
      </c>
      <c r="AC23" s="47" t="str">
        <f>IF($Y23="","",ROUND(($Y23-30000)/1000,1)+(2.5-_xlfn.RANK.AVG($Y23,($J23,$O23,$T23,$Y23)))*20+IF(_xlfn.RANK.EQ($Y23,($J23,$O23,$T23,$Y23))=1,20/((_xlfn.RANK.AVG($Y23,($J23,$O23,$T23,$Y23))-1)*2+1),0))</f>
        <v/>
      </c>
      <c r="AE23" s="5"/>
      <c r="AF23" s="30"/>
      <c r="AG23" s="23"/>
      <c r="AH23" s="23"/>
      <c r="AI23" s="23"/>
      <c r="AJ23" s="27"/>
      <c r="AK23" s="36"/>
      <c r="AL23" s="37"/>
      <c r="AM23" s="37"/>
      <c r="AN23" s="37"/>
      <c r="AO23" s="37"/>
      <c r="AP23" s="37"/>
      <c r="AQ23" s="37"/>
      <c r="AR23" s="37"/>
      <c r="AS23" s="37"/>
      <c r="AT23" s="37"/>
      <c r="AU23" s="37"/>
      <c r="AV23" s="37"/>
      <c r="AW23" s="37"/>
      <c r="AX23" s="37"/>
      <c r="AY23" s="38"/>
      <c r="AZ23" s="5"/>
      <c r="BA23" s="30"/>
      <c r="BB23" s="23"/>
      <c r="BC23" s="23"/>
      <c r="BD23" s="23"/>
      <c r="BE23" s="27"/>
      <c r="BF23" s="36"/>
      <c r="BG23" s="37"/>
      <c r="BH23" s="37"/>
      <c r="BI23" s="37"/>
      <c r="BJ23" s="37"/>
      <c r="BK23" s="37"/>
      <c r="BL23" s="37"/>
      <c r="BM23" s="37"/>
      <c r="BN23" s="37"/>
      <c r="BO23" s="37"/>
      <c r="BP23" s="37"/>
      <c r="BQ23" s="37"/>
      <c r="BR23" s="37"/>
      <c r="BS23" s="37"/>
      <c r="BT23" s="38"/>
      <c r="BU23" s="5"/>
      <c r="BV23" s="30"/>
      <c r="BW23" s="23"/>
      <c r="BX23" s="23"/>
      <c r="BY23" s="23"/>
      <c r="BZ23" s="27"/>
      <c r="CA23" s="36"/>
      <c r="CB23" s="37"/>
      <c r="CC23" s="37"/>
      <c r="CD23" s="37"/>
      <c r="CE23" s="37"/>
      <c r="CF23" s="37"/>
      <c r="CG23" s="37"/>
      <c r="CH23" s="37"/>
      <c r="CI23" s="37"/>
      <c r="CJ23" s="37"/>
      <c r="CK23" s="37"/>
      <c r="CL23" s="37"/>
      <c r="CM23" s="37"/>
      <c r="CN23" s="37"/>
      <c r="CO23" s="38"/>
      <c r="CP23" s="5"/>
      <c r="CQ23" s="30"/>
      <c r="CR23" s="23"/>
      <c r="CS23" s="23"/>
      <c r="CT23" s="23"/>
      <c r="CU23" s="27"/>
      <c r="CV23" s="36"/>
      <c r="CW23" s="37"/>
      <c r="CX23" s="37"/>
      <c r="CY23" s="37"/>
      <c r="CZ23" s="37"/>
      <c r="DA23" s="37"/>
      <c r="DB23" s="37"/>
      <c r="DC23" s="37"/>
      <c r="DD23" s="37"/>
      <c r="DE23" s="37"/>
      <c r="DF23" s="37"/>
      <c r="DG23" s="37"/>
      <c r="DH23" s="37"/>
      <c r="DI23" s="37"/>
      <c r="DJ23" s="38"/>
    </row>
    <row r="24" spans="1:114" x14ac:dyDescent="0.55000000000000004">
      <c r="A24" s="10" t="str">
        <f t="shared" si="9"/>
        <v/>
      </c>
      <c r="B24" s="15" t="str">
        <f t="shared" si="5"/>
        <v/>
      </c>
      <c r="C24" s="15" t="str">
        <f t="shared" si="6"/>
        <v/>
      </c>
      <c r="D24" s="15" t="str">
        <f t="shared" si="7"/>
        <v/>
      </c>
      <c r="E24" s="58"/>
      <c r="F24" s="5"/>
      <c r="G24" s="6"/>
      <c r="H24" s="6"/>
      <c r="I24" s="6"/>
      <c r="J24" s="18" t="str">
        <f t="shared" si="2"/>
        <v/>
      </c>
      <c r="K24" s="5"/>
      <c r="L24" s="6"/>
      <c r="M24" s="6"/>
      <c r="N24" s="6"/>
      <c r="O24" s="18" t="str">
        <f t="shared" si="8"/>
        <v/>
      </c>
      <c r="P24" s="5"/>
      <c r="Q24" s="6"/>
      <c r="R24" s="6"/>
      <c r="S24" s="6"/>
      <c r="T24" s="18" t="str">
        <f t="shared" si="3"/>
        <v/>
      </c>
      <c r="U24" s="5"/>
      <c r="V24" s="6"/>
      <c r="W24" s="6"/>
      <c r="X24" s="6"/>
      <c r="Y24" s="18" t="str">
        <f t="shared" si="4"/>
        <v/>
      </c>
      <c r="Z24" s="45" t="str">
        <f>IF($J24="","",ROUND(($J24-30000)/1000,1)+(2.5-_xlfn.RANK.AVG($J24,($J24,$O24,$T24,$Y24)))*20+IF(_xlfn.RANK.EQ($J24,($J24,$O24,$T24,$Y24))=1,20/((_xlfn.RANK.AVG($J24,($J24,$O24,$T24,$Y24))-1)*2+1),0))</f>
        <v/>
      </c>
      <c r="AA24" s="46" t="str">
        <f>IF($O24="","",ROUND(($O24-30000)/1000,1)+(2.5-_xlfn.RANK.AVG($O24,($J24,$O24,$T24,$Y24)))*20+IF(_xlfn.RANK.EQ($O24,($J24,$O24,$T24,$Y24))=1,20/((_xlfn.RANK.AVG($O24,($J24,$O24,$T24,$Y24))-1)*2+1),0))</f>
        <v/>
      </c>
      <c r="AB24" s="46" t="str">
        <f>IF($T24="","",ROUND(($T24-30000)/1000,1)+(2.5-_xlfn.RANK.AVG($T24,($J24,$O24,$T24,$Y24)))*20+IF(_xlfn.RANK.EQ($T24,($J24,$O24,$T24,$Y24))=1,20/((_xlfn.RANK.AVG($T24,($J24,$O24,$T24,$Y24))-1)*2+1),0))</f>
        <v/>
      </c>
      <c r="AC24" s="47" t="str">
        <f>IF($Y24="","",ROUND(($Y24-30000)/1000,1)+(2.5-_xlfn.RANK.AVG($Y24,($J24,$O24,$T24,$Y24)))*20+IF(_xlfn.RANK.EQ($Y24,($J24,$O24,$T24,$Y24))=1,20/((_xlfn.RANK.AVG($Y24,($J24,$O24,$T24,$Y24))-1)*2+1),0))</f>
        <v/>
      </c>
      <c r="AE24" s="5"/>
      <c r="AF24" s="30"/>
      <c r="AG24" s="23"/>
      <c r="AH24" s="23"/>
      <c r="AI24" s="23"/>
      <c r="AJ24" s="27"/>
      <c r="AK24" s="36"/>
      <c r="AL24" s="37"/>
      <c r="AM24" s="37"/>
      <c r="AN24" s="37"/>
      <c r="AO24" s="37"/>
      <c r="AP24" s="37"/>
      <c r="AQ24" s="37"/>
      <c r="AR24" s="37"/>
      <c r="AS24" s="37"/>
      <c r="AT24" s="37"/>
      <c r="AU24" s="37"/>
      <c r="AV24" s="37"/>
      <c r="AW24" s="37"/>
      <c r="AX24" s="37"/>
      <c r="AY24" s="38"/>
      <c r="AZ24" s="5"/>
      <c r="BA24" s="30"/>
      <c r="BB24" s="23"/>
      <c r="BC24" s="23"/>
      <c r="BD24" s="23"/>
      <c r="BE24" s="27"/>
      <c r="BF24" s="36"/>
      <c r="BG24" s="37"/>
      <c r="BH24" s="37"/>
      <c r="BI24" s="37"/>
      <c r="BJ24" s="37"/>
      <c r="BK24" s="37"/>
      <c r="BL24" s="37"/>
      <c r="BM24" s="37"/>
      <c r="BN24" s="37"/>
      <c r="BO24" s="37"/>
      <c r="BP24" s="37"/>
      <c r="BQ24" s="37"/>
      <c r="BR24" s="37"/>
      <c r="BS24" s="37"/>
      <c r="BT24" s="38"/>
      <c r="BU24" s="5"/>
      <c r="BV24" s="30"/>
      <c r="BW24" s="23"/>
      <c r="BX24" s="23"/>
      <c r="BY24" s="23"/>
      <c r="BZ24" s="27"/>
      <c r="CA24" s="36"/>
      <c r="CB24" s="37"/>
      <c r="CC24" s="37"/>
      <c r="CD24" s="37"/>
      <c r="CE24" s="37"/>
      <c r="CF24" s="37"/>
      <c r="CG24" s="37"/>
      <c r="CH24" s="37"/>
      <c r="CI24" s="37"/>
      <c r="CJ24" s="37"/>
      <c r="CK24" s="37"/>
      <c r="CL24" s="37"/>
      <c r="CM24" s="37"/>
      <c r="CN24" s="37"/>
      <c r="CO24" s="38"/>
      <c r="CP24" s="5"/>
      <c r="CQ24" s="30"/>
      <c r="CR24" s="23"/>
      <c r="CS24" s="23"/>
      <c r="CT24" s="23"/>
      <c r="CU24" s="27"/>
      <c r="CV24" s="36"/>
      <c r="CW24" s="37"/>
      <c r="CX24" s="37"/>
      <c r="CY24" s="37"/>
      <c r="CZ24" s="37"/>
      <c r="DA24" s="37"/>
      <c r="DB24" s="37"/>
      <c r="DC24" s="37"/>
      <c r="DD24" s="37"/>
      <c r="DE24" s="37"/>
      <c r="DF24" s="37"/>
      <c r="DG24" s="37"/>
      <c r="DH24" s="37"/>
      <c r="DI24" s="37"/>
      <c r="DJ24" s="38"/>
    </row>
    <row r="25" spans="1:114" x14ac:dyDescent="0.55000000000000004">
      <c r="A25" s="10" t="str">
        <f t="shared" si="9"/>
        <v/>
      </c>
      <c r="B25" s="15" t="str">
        <f t="shared" si="5"/>
        <v/>
      </c>
      <c r="C25" s="15" t="str">
        <f t="shared" si="6"/>
        <v/>
      </c>
      <c r="D25" s="15" t="str">
        <f t="shared" si="7"/>
        <v/>
      </c>
      <c r="E25" s="58"/>
      <c r="F25" s="5"/>
      <c r="G25" s="6"/>
      <c r="H25" s="6"/>
      <c r="I25" s="6"/>
      <c r="J25" s="18" t="str">
        <f t="shared" si="2"/>
        <v/>
      </c>
      <c r="K25" s="5"/>
      <c r="L25" s="6"/>
      <c r="M25" s="6"/>
      <c r="N25" s="6"/>
      <c r="O25" s="18" t="str">
        <f t="shared" si="8"/>
        <v/>
      </c>
      <c r="P25" s="5"/>
      <c r="Q25" s="6"/>
      <c r="R25" s="6"/>
      <c r="S25" s="6"/>
      <c r="T25" s="18" t="str">
        <f t="shared" si="3"/>
        <v/>
      </c>
      <c r="U25" s="5"/>
      <c r="V25" s="6"/>
      <c r="W25" s="6"/>
      <c r="X25" s="6"/>
      <c r="Y25" s="18" t="str">
        <f t="shared" si="4"/>
        <v/>
      </c>
      <c r="Z25" s="45" t="str">
        <f>IF($J25="","",ROUND(($J25-30000)/1000,1)+(2.5-_xlfn.RANK.AVG($J25,($J25,$O25,$T25,$Y25)))*20+IF(_xlfn.RANK.EQ($J25,($J25,$O25,$T25,$Y25))=1,20/((_xlfn.RANK.AVG($J25,($J25,$O25,$T25,$Y25))-1)*2+1),0))</f>
        <v/>
      </c>
      <c r="AA25" s="46" t="str">
        <f>IF($O25="","",ROUND(($O25-30000)/1000,1)+(2.5-_xlfn.RANK.AVG($O25,($J25,$O25,$T25,$Y25)))*20+IF(_xlfn.RANK.EQ($O25,($J25,$O25,$T25,$Y25))=1,20/((_xlfn.RANK.AVG($O25,($J25,$O25,$T25,$Y25))-1)*2+1),0))</f>
        <v/>
      </c>
      <c r="AB25" s="46" t="str">
        <f>IF($T25="","",ROUND(($T25-30000)/1000,1)+(2.5-_xlfn.RANK.AVG($T25,($J25,$O25,$T25,$Y25)))*20+IF(_xlfn.RANK.EQ($T25,($J25,$O25,$T25,$Y25))=1,20/((_xlfn.RANK.AVG($T25,($J25,$O25,$T25,$Y25))-1)*2+1),0))</f>
        <v/>
      </c>
      <c r="AC25" s="47" t="str">
        <f>IF($Y25="","",ROUND(($Y25-30000)/1000,1)+(2.5-_xlfn.RANK.AVG($Y25,($J25,$O25,$T25,$Y25)))*20+IF(_xlfn.RANK.EQ($Y25,($J25,$O25,$T25,$Y25))=1,20/((_xlfn.RANK.AVG($Y25,($J25,$O25,$T25,$Y25))-1)*2+1),0))</f>
        <v/>
      </c>
      <c r="AE25" s="5"/>
      <c r="AF25" s="30"/>
      <c r="AG25" s="23"/>
      <c r="AH25" s="23"/>
      <c r="AI25" s="23"/>
      <c r="AJ25" s="27"/>
      <c r="AK25" s="36"/>
      <c r="AL25" s="37"/>
      <c r="AM25" s="37"/>
      <c r="AN25" s="37"/>
      <c r="AO25" s="37"/>
      <c r="AP25" s="37"/>
      <c r="AQ25" s="37"/>
      <c r="AR25" s="37"/>
      <c r="AS25" s="37"/>
      <c r="AT25" s="37"/>
      <c r="AU25" s="37"/>
      <c r="AV25" s="37"/>
      <c r="AW25" s="37"/>
      <c r="AX25" s="37"/>
      <c r="AY25" s="38"/>
      <c r="AZ25" s="5"/>
      <c r="BA25" s="30"/>
      <c r="BB25" s="23"/>
      <c r="BC25" s="23"/>
      <c r="BD25" s="23"/>
      <c r="BE25" s="27"/>
      <c r="BF25" s="36"/>
      <c r="BG25" s="37"/>
      <c r="BH25" s="37"/>
      <c r="BI25" s="37"/>
      <c r="BJ25" s="37"/>
      <c r="BK25" s="37"/>
      <c r="BL25" s="37"/>
      <c r="BM25" s="37"/>
      <c r="BN25" s="37"/>
      <c r="BO25" s="37"/>
      <c r="BP25" s="37"/>
      <c r="BQ25" s="37"/>
      <c r="BR25" s="37"/>
      <c r="BS25" s="37"/>
      <c r="BT25" s="38"/>
      <c r="BU25" s="5"/>
      <c r="BV25" s="30"/>
      <c r="BW25" s="23"/>
      <c r="BX25" s="23"/>
      <c r="BY25" s="23"/>
      <c r="BZ25" s="27"/>
      <c r="CA25" s="36"/>
      <c r="CB25" s="37"/>
      <c r="CC25" s="37"/>
      <c r="CD25" s="37"/>
      <c r="CE25" s="37"/>
      <c r="CF25" s="37"/>
      <c r="CG25" s="37"/>
      <c r="CH25" s="37"/>
      <c r="CI25" s="37"/>
      <c r="CJ25" s="37"/>
      <c r="CK25" s="37"/>
      <c r="CL25" s="37"/>
      <c r="CM25" s="37"/>
      <c r="CN25" s="37"/>
      <c r="CO25" s="38"/>
      <c r="CP25" s="5"/>
      <c r="CQ25" s="30"/>
      <c r="CR25" s="23"/>
      <c r="CS25" s="23"/>
      <c r="CT25" s="23"/>
      <c r="CU25" s="27"/>
      <c r="CV25" s="36"/>
      <c r="CW25" s="37"/>
      <c r="CX25" s="37"/>
      <c r="CY25" s="37"/>
      <c r="CZ25" s="37"/>
      <c r="DA25" s="37"/>
      <c r="DB25" s="37"/>
      <c r="DC25" s="37"/>
      <c r="DD25" s="37"/>
      <c r="DE25" s="37"/>
      <c r="DF25" s="37"/>
      <c r="DG25" s="37"/>
      <c r="DH25" s="37"/>
      <c r="DI25" s="37"/>
      <c r="DJ25" s="38"/>
    </row>
    <row r="26" spans="1:114" x14ac:dyDescent="0.55000000000000004">
      <c r="A26" s="10" t="str">
        <f t="shared" si="9"/>
        <v/>
      </c>
      <c r="B26" s="15" t="str">
        <f t="shared" si="5"/>
        <v/>
      </c>
      <c r="C26" s="15" t="str">
        <f t="shared" si="6"/>
        <v/>
      </c>
      <c r="D26" s="15" t="str">
        <f t="shared" si="7"/>
        <v/>
      </c>
      <c r="E26" s="58"/>
      <c r="F26" s="5"/>
      <c r="G26" s="6"/>
      <c r="H26" s="6"/>
      <c r="I26" s="6"/>
      <c r="J26" s="18" t="str">
        <f t="shared" si="2"/>
        <v/>
      </c>
      <c r="K26" s="5"/>
      <c r="L26" s="6"/>
      <c r="M26" s="6"/>
      <c r="N26" s="6"/>
      <c r="O26" s="18" t="str">
        <f t="shared" si="8"/>
        <v/>
      </c>
      <c r="P26" s="5"/>
      <c r="Q26" s="6"/>
      <c r="R26" s="6"/>
      <c r="S26" s="6"/>
      <c r="T26" s="18" t="str">
        <f t="shared" si="3"/>
        <v/>
      </c>
      <c r="U26" s="5"/>
      <c r="V26" s="6"/>
      <c r="W26" s="6"/>
      <c r="X26" s="6"/>
      <c r="Y26" s="18" t="str">
        <f t="shared" si="4"/>
        <v/>
      </c>
      <c r="Z26" s="45" t="str">
        <f>IF($J26="","",ROUND(($J26-30000)/1000,1)+(2.5-_xlfn.RANK.AVG($J26,($J26,$O26,$T26,$Y26)))*20+IF(_xlfn.RANK.EQ($J26,($J26,$O26,$T26,$Y26))=1,20/((_xlfn.RANK.AVG($J26,($J26,$O26,$T26,$Y26))-1)*2+1),0))</f>
        <v/>
      </c>
      <c r="AA26" s="46" t="str">
        <f>IF($O26="","",ROUND(($O26-30000)/1000,1)+(2.5-_xlfn.RANK.AVG($O26,($J26,$O26,$T26,$Y26)))*20+IF(_xlfn.RANK.EQ($O26,($J26,$O26,$T26,$Y26))=1,20/((_xlfn.RANK.AVG($O26,($J26,$O26,$T26,$Y26))-1)*2+1),0))</f>
        <v/>
      </c>
      <c r="AB26" s="46" t="str">
        <f>IF($T26="","",ROUND(($T26-30000)/1000,1)+(2.5-_xlfn.RANK.AVG($T26,($J26,$O26,$T26,$Y26)))*20+IF(_xlfn.RANK.EQ($T26,($J26,$O26,$T26,$Y26))=1,20/((_xlfn.RANK.AVG($T26,($J26,$O26,$T26,$Y26))-1)*2+1),0))</f>
        <v/>
      </c>
      <c r="AC26" s="47" t="str">
        <f>IF($Y26="","",ROUND(($Y26-30000)/1000,1)+(2.5-_xlfn.RANK.AVG($Y26,($J26,$O26,$T26,$Y26)))*20+IF(_xlfn.RANK.EQ($Y26,($J26,$O26,$T26,$Y26))=1,20/((_xlfn.RANK.AVG($Y26,($J26,$O26,$T26,$Y26))-1)*2+1),0))</f>
        <v/>
      </c>
      <c r="AE26" s="5"/>
      <c r="AF26" s="30"/>
      <c r="AG26" s="23"/>
      <c r="AH26" s="23"/>
      <c r="AI26" s="23"/>
      <c r="AJ26" s="27"/>
      <c r="AK26" s="36"/>
      <c r="AL26" s="37"/>
      <c r="AM26" s="37"/>
      <c r="AN26" s="37"/>
      <c r="AO26" s="37"/>
      <c r="AP26" s="37"/>
      <c r="AQ26" s="37"/>
      <c r="AR26" s="37"/>
      <c r="AS26" s="37"/>
      <c r="AT26" s="37"/>
      <c r="AU26" s="37"/>
      <c r="AV26" s="37"/>
      <c r="AW26" s="37"/>
      <c r="AX26" s="37"/>
      <c r="AY26" s="38"/>
      <c r="AZ26" s="5"/>
      <c r="BA26" s="30"/>
      <c r="BB26" s="23"/>
      <c r="BC26" s="23"/>
      <c r="BD26" s="23"/>
      <c r="BE26" s="27"/>
      <c r="BF26" s="36"/>
      <c r="BG26" s="37"/>
      <c r="BH26" s="37"/>
      <c r="BI26" s="37"/>
      <c r="BJ26" s="37"/>
      <c r="BK26" s="37"/>
      <c r="BL26" s="37"/>
      <c r="BM26" s="37"/>
      <c r="BN26" s="37"/>
      <c r="BO26" s="37"/>
      <c r="BP26" s="37"/>
      <c r="BQ26" s="37"/>
      <c r="BR26" s="37"/>
      <c r="BS26" s="37"/>
      <c r="BT26" s="38"/>
      <c r="BU26" s="5"/>
      <c r="BV26" s="30"/>
      <c r="BW26" s="23"/>
      <c r="BX26" s="23"/>
      <c r="BY26" s="23"/>
      <c r="BZ26" s="27"/>
      <c r="CA26" s="36"/>
      <c r="CB26" s="37"/>
      <c r="CC26" s="37"/>
      <c r="CD26" s="37"/>
      <c r="CE26" s="37"/>
      <c r="CF26" s="37"/>
      <c r="CG26" s="37"/>
      <c r="CH26" s="37"/>
      <c r="CI26" s="37"/>
      <c r="CJ26" s="37"/>
      <c r="CK26" s="37"/>
      <c r="CL26" s="37"/>
      <c r="CM26" s="37"/>
      <c r="CN26" s="37"/>
      <c r="CO26" s="38"/>
      <c r="CP26" s="5"/>
      <c r="CQ26" s="30"/>
      <c r="CR26" s="23"/>
      <c r="CS26" s="23"/>
      <c r="CT26" s="23"/>
      <c r="CU26" s="27"/>
      <c r="CV26" s="36"/>
      <c r="CW26" s="37"/>
      <c r="CX26" s="37"/>
      <c r="CY26" s="37"/>
      <c r="CZ26" s="37"/>
      <c r="DA26" s="37"/>
      <c r="DB26" s="37"/>
      <c r="DC26" s="37"/>
      <c r="DD26" s="37"/>
      <c r="DE26" s="37"/>
      <c r="DF26" s="37"/>
      <c r="DG26" s="37"/>
      <c r="DH26" s="37"/>
      <c r="DI26" s="37"/>
      <c r="DJ26" s="38"/>
    </row>
    <row r="27" spans="1:114" x14ac:dyDescent="0.55000000000000004">
      <c r="A27" s="10" t="str">
        <f t="shared" si="9"/>
        <v/>
      </c>
      <c r="B27" s="15" t="str">
        <f t="shared" si="5"/>
        <v/>
      </c>
      <c r="C27" s="15" t="str">
        <f t="shared" si="6"/>
        <v/>
      </c>
      <c r="D27" s="15" t="str">
        <f t="shared" si="7"/>
        <v/>
      </c>
      <c r="E27" s="58"/>
      <c r="F27" s="5"/>
      <c r="G27" s="6"/>
      <c r="H27" s="6"/>
      <c r="I27" s="6"/>
      <c r="J27" s="18" t="str">
        <f t="shared" si="2"/>
        <v/>
      </c>
      <c r="K27" s="5"/>
      <c r="L27" s="6"/>
      <c r="M27" s="6"/>
      <c r="N27" s="6"/>
      <c r="O27" s="18" t="str">
        <f t="shared" si="8"/>
        <v/>
      </c>
      <c r="P27" s="5"/>
      <c r="Q27" s="6"/>
      <c r="R27" s="6"/>
      <c r="S27" s="6"/>
      <c r="T27" s="18" t="str">
        <f t="shared" si="3"/>
        <v/>
      </c>
      <c r="U27" s="5"/>
      <c r="V27" s="6"/>
      <c r="W27" s="6"/>
      <c r="X27" s="6"/>
      <c r="Y27" s="18" t="str">
        <f t="shared" si="4"/>
        <v/>
      </c>
      <c r="Z27" s="45" t="str">
        <f>IF($J27="","",ROUND(($J27-30000)/1000,1)+(2.5-_xlfn.RANK.AVG($J27,($J27,$O27,$T27,$Y27)))*20+IF(_xlfn.RANK.EQ($J27,($J27,$O27,$T27,$Y27))=1,20/((_xlfn.RANK.AVG($J27,($J27,$O27,$T27,$Y27))-1)*2+1),0))</f>
        <v/>
      </c>
      <c r="AA27" s="46" t="str">
        <f>IF($O27="","",ROUND(($O27-30000)/1000,1)+(2.5-_xlfn.RANK.AVG($O27,($J27,$O27,$T27,$Y27)))*20+IF(_xlfn.RANK.EQ($O27,($J27,$O27,$T27,$Y27))=1,20/((_xlfn.RANK.AVG($O27,($J27,$O27,$T27,$Y27))-1)*2+1),0))</f>
        <v/>
      </c>
      <c r="AB27" s="46" t="str">
        <f>IF($T27="","",ROUND(($T27-30000)/1000,1)+(2.5-_xlfn.RANK.AVG($T27,($J27,$O27,$T27,$Y27)))*20+IF(_xlfn.RANK.EQ($T27,($J27,$O27,$T27,$Y27))=1,20/((_xlfn.RANK.AVG($T27,($J27,$O27,$T27,$Y27))-1)*2+1),0))</f>
        <v/>
      </c>
      <c r="AC27" s="47" t="str">
        <f>IF($Y27="","",ROUND(($Y27-30000)/1000,1)+(2.5-_xlfn.RANK.AVG($Y27,($J27,$O27,$T27,$Y27)))*20+IF(_xlfn.RANK.EQ($Y27,($J27,$O27,$T27,$Y27))=1,20/((_xlfn.RANK.AVG($Y27,($J27,$O27,$T27,$Y27))-1)*2+1),0))</f>
        <v/>
      </c>
      <c r="AE27" s="5"/>
      <c r="AF27" s="30"/>
      <c r="AG27" s="23"/>
      <c r="AH27" s="23"/>
      <c r="AI27" s="23"/>
      <c r="AJ27" s="27"/>
      <c r="AK27" s="36"/>
      <c r="AL27" s="37"/>
      <c r="AM27" s="37"/>
      <c r="AN27" s="37"/>
      <c r="AO27" s="37"/>
      <c r="AP27" s="37"/>
      <c r="AQ27" s="37"/>
      <c r="AR27" s="37"/>
      <c r="AS27" s="37"/>
      <c r="AT27" s="37"/>
      <c r="AU27" s="37"/>
      <c r="AV27" s="37"/>
      <c r="AW27" s="37"/>
      <c r="AX27" s="37"/>
      <c r="AY27" s="38"/>
      <c r="AZ27" s="5"/>
      <c r="BA27" s="30"/>
      <c r="BB27" s="23"/>
      <c r="BC27" s="23"/>
      <c r="BD27" s="23"/>
      <c r="BE27" s="27"/>
      <c r="BF27" s="36"/>
      <c r="BG27" s="37"/>
      <c r="BH27" s="37"/>
      <c r="BI27" s="37"/>
      <c r="BJ27" s="37"/>
      <c r="BK27" s="37"/>
      <c r="BL27" s="37"/>
      <c r="BM27" s="37"/>
      <c r="BN27" s="37"/>
      <c r="BO27" s="37"/>
      <c r="BP27" s="37"/>
      <c r="BQ27" s="37"/>
      <c r="BR27" s="37"/>
      <c r="BS27" s="37"/>
      <c r="BT27" s="38"/>
      <c r="BU27" s="5"/>
      <c r="BV27" s="30"/>
      <c r="BW27" s="23"/>
      <c r="BX27" s="23"/>
      <c r="BY27" s="23"/>
      <c r="BZ27" s="27"/>
      <c r="CA27" s="36"/>
      <c r="CB27" s="37"/>
      <c r="CC27" s="37"/>
      <c r="CD27" s="37"/>
      <c r="CE27" s="37"/>
      <c r="CF27" s="37"/>
      <c r="CG27" s="37"/>
      <c r="CH27" s="37"/>
      <c r="CI27" s="37"/>
      <c r="CJ27" s="37"/>
      <c r="CK27" s="37"/>
      <c r="CL27" s="37"/>
      <c r="CM27" s="37"/>
      <c r="CN27" s="37"/>
      <c r="CO27" s="38"/>
      <c r="CP27" s="5"/>
      <c r="CQ27" s="30"/>
      <c r="CR27" s="23"/>
      <c r="CS27" s="23"/>
      <c r="CT27" s="23"/>
      <c r="CU27" s="27"/>
      <c r="CV27" s="36"/>
      <c r="CW27" s="37"/>
      <c r="CX27" s="37"/>
      <c r="CY27" s="37"/>
      <c r="CZ27" s="37"/>
      <c r="DA27" s="37"/>
      <c r="DB27" s="37"/>
      <c r="DC27" s="37"/>
      <c r="DD27" s="37"/>
      <c r="DE27" s="37"/>
      <c r="DF27" s="37"/>
      <c r="DG27" s="37"/>
      <c r="DH27" s="37"/>
      <c r="DI27" s="37"/>
      <c r="DJ27" s="38"/>
    </row>
    <row r="28" spans="1:114" x14ac:dyDescent="0.55000000000000004">
      <c r="A28" s="10" t="str">
        <f t="shared" si="9"/>
        <v/>
      </c>
      <c r="B28" s="15" t="str">
        <f t="shared" si="5"/>
        <v/>
      </c>
      <c r="C28" s="15" t="str">
        <f t="shared" si="6"/>
        <v/>
      </c>
      <c r="D28" s="15" t="str">
        <f t="shared" si="7"/>
        <v/>
      </c>
      <c r="E28" s="58"/>
      <c r="F28" s="5"/>
      <c r="G28" s="6"/>
      <c r="H28" s="6"/>
      <c r="I28" s="6"/>
      <c r="J28" s="18" t="str">
        <f t="shared" si="2"/>
        <v/>
      </c>
      <c r="K28" s="5"/>
      <c r="L28" s="6"/>
      <c r="M28" s="6"/>
      <c r="N28" s="6"/>
      <c r="O28" s="18" t="str">
        <f t="shared" si="8"/>
        <v/>
      </c>
      <c r="P28" s="5"/>
      <c r="Q28" s="6"/>
      <c r="R28" s="6"/>
      <c r="S28" s="6"/>
      <c r="T28" s="18" t="str">
        <f t="shared" si="3"/>
        <v/>
      </c>
      <c r="U28" s="5"/>
      <c r="V28" s="6"/>
      <c r="W28" s="6"/>
      <c r="X28" s="6"/>
      <c r="Y28" s="18" t="str">
        <f t="shared" si="4"/>
        <v/>
      </c>
      <c r="Z28" s="45" t="str">
        <f>IF($J28="","",ROUND(($J28-30000)/1000,1)+(2.5-_xlfn.RANK.AVG($J28,($J28,$O28,$T28,$Y28)))*20+IF(_xlfn.RANK.EQ($J28,($J28,$O28,$T28,$Y28))=1,20/((_xlfn.RANK.AVG($J28,($J28,$O28,$T28,$Y28))-1)*2+1),0))</f>
        <v/>
      </c>
      <c r="AA28" s="46" t="str">
        <f>IF($O28="","",ROUND(($O28-30000)/1000,1)+(2.5-_xlfn.RANK.AVG($O28,($J28,$O28,$T28,$Y28)))*20+IF(_xlfn.RANK.EQ($O28,($J28,$O28,$T28,$Y28))=1,20/((_xlfn.RANK.AVG($O28,($J28,$O28,$T28,$Y28))-1)*2+1),0))</f>
        <v/>
      </c>
      <c r="AB28" s="46" t="str">
        <f>IF($T28="","",ROUND(($T28-30000)/1000,1)+(2.5-_xlfn.RANK.AVG($T28,($J28,$O28,$T28,$Y28)))*20+IF(_xlfn.RANK.EQ($T28,($J28,$O28,$T28,$Y28))=1,20/((_xlfn.RANK.AVG($T28,($J28,$O28,$T28,$Y28))-1)*2+1),0))</f>
        <v/>
      </c>
      <c r="AC28" s="47" t="str">
        <f>IF($Y28="","",ROUND(($Y28-30000)/1000,1)+(2.5-_xlfn.RANK.AVG($Y28,($J28,$O28,$T28,$Y28)))*20+IF(_xlfn.RANK.EQ($Y28,($J28,$O28,$T28,$Y28))=1,20/((_xlfn.RANK.AVG($Y28,($J28,$O28,$T28,$Y28))-1)*2+1),0))</f>
        <v/>
      </c>
      <c r="AE28" s="5"/>
      <c r="AF28" s="30"/>
      <c r="AG28" s="23"/>
      <c r="AH28" s="23"/>
      <c r="AI28" s="23"/>
      <c r="AJ28" s="27"/>
      <c r="AK28" s="36"/>
      <c r="AL28" s="37"/>
      <c r="AM28" s="37"/>
      <c r="AN28" s="37"/>
      <c r="AO28" s="37"/>
      <c r="AP28" s="37"/>
      <c r="AQ28" s="37"/>
      <c r="AR28" s="37"/>
      <c r="AS28" s="37"/>
      <c r="AT28" s="37"/>
      <c r="AU28" s="37"/>
      <c r="AV28" s="37"/>
      <c r="AW28" s="37"/>
      <c r="AX28" s="37"/>
      <c r="AY28" s="38"/>
      <c r="AZ28" s="5"/>
      <c r="BA28" s="30"/>
      <c r="BB28" s="23"/>
      <c r="BC28" s="23"/>
      <c r="BD28" s="23"/>
      <c r="BE28" s="27"/>
      <c r="BF28" s="36"/>
      <c r="BG28" s="37"/>
      <c r="BH28" s="37"/>
      <c r="BI28" s="37"/>
      <c r="BJ28" s="37"/>
      <c r="BK28" s="37"/>
      <c r="BL28" s="37"/>
      <c r="BM28" s="37"/>
      <c r="BN28" s="37"/>
      <c r="BO28" s="37"/>
      <c r="BP28" s="37"/>
      <c r="BQ28" s="37"/>
      <c r="BR28" s="37"/>
      <c r="BS28" s="37"/>
      <c r="BT28" s="38"/>
      <c r="BU28" s="5"/>
      <c r="BV28" s="30"/>
      <c r="BW28" s="23"/>
      <c r="BX28" s="23"/>
      <c r="BY28" s="23"/>
      <c r="BZ28" s="27"/>
      <c r="CA28" s="36"/>
      <c r="CB28" s="37"/>
      <c r="CC28" s="37"/>
      <c r="CD28" s="37"/>
      <c r="CE28" s="37"/>
      <c r="CF28" s="37"/>
      <c r="CG28" s="37"/>
      <c r="CH28" s="37"/>
      <c r="CI28" s="37"/>
      <c r="CJ28" s="37"/>
      <c r="CK28" s="37"/>
      <c r="CL28" s="37"/>
      <c r="CM28" s="37"/>
      <c r="CN28" s="37"/>
      <c r="CO28" s="38"/>
      <c r="CP28" s="5"/>
      <c r="CQ28" s="30"/>
      <c r="CR28" s="23"/>
      <c r="CS28" s="23"/>
      <c r="CT28" s="23"/>
      <c r="CU28" s="27"/>
      <c r="CV28" s="36"/>
      <c r="CW28" s="37"/>
      <c r="CX28" s="37"/>
      <c r="CY28" s="37"/>
      <c r="CZ28" s="37"/>
      <c r="DA28" s="37"/>
      <c r="DB28" s="37"/>
      <c r="DC28" s="37"/>
      <c r="DD28" s="37"/>
      <c r="DE28" s="37"/>
      <c r="DF28" s="37"/>
      <c r="DG28" s="37"/>
      <c r="DH28" s="37"/>
      <c r="DI28" s="37"/>
      <c r="DJ28" s="38"/>
    </row>
    <row r="29" spans="1:114" x14ac:dyDescent="0.55000000000000004">
      <c r="A29" s="10" t="str">
        <f t="shared" si="9"/>
        <v/>
      </c>
      <c r="B29" s="15" t="str">
        <f t="shared" si="5"/>
        <v/>
      </c>
      <c r="C29" s="15" t="str">
        <f t="shared" si="6"/>
        <v/>
      </c>
      <c r="D29" s="15" t="str">
        <f t="shared" si="7"/>
        <v/>
      </c>
      <c r="E29" s="58"/>
      <c r="F29" s="5"/>
      <c r="G29" s="6"/>
      <c r="H29" s="6"/>
      <c r="I29" s="6"/>
      <c r="J29" s="18" t="str">
        <f t="shared" si="2"/>
        <v/>
      </c>
      <c r="K29" s="5"/>
      <c r="L29" s="6"/>
      <c r="M29" s="6"/>
      <c r="N29" s="6"/>
      <c r="O29" s="18" t="str">
        <f t="shared" si="8"/>
        <v/>
      </c>
      <c r="P29" s="5"/>
      <c r="Q29" s="6"/>
      <c r="R29" s="6"/>
      <c r="S29" s="6"/>
      <c r="T29" s="18" t="str">
        <f t="shared" si="3"/>
        <v/>
      </c>
      <c r="U29" s="5"/>
      <c r="V29" s="6"/>
      <c r="W29" s="6"/>
      <c r="X29" s="6"/>
      <c r="Y29" s="18" t="str">
        <f t="shared" si="4"/>
        <v/>
      </c>
      <c r="Z29" s="45" t="str">
        <f>IF($J29="","",ROUND(($J29-30000)/1000,1)+(2.5-_xlfn.RANK.AVG($J29,($J29,$O29,$T29,$Y29)))*20+IF(_xlfn.RANK.EQ($J29,($J29,$O29,$T29,$Y29))=1,20/((_xlfn.RANK.AVG($J29,($J29,$O29,$T29,$Y29))-1)*2+1),0))</f>
        <v/>
      </c>
      <c r="AA29" s="46" t="str">
        <f>IF($O29="","",ROUND(($O29-30000)/1000,1)+(2.5-_xlfn.RANK.AVG($O29,($J29,$O29,$T29,$Y29)))*20+IF(_xlfn.RANK.EQ($O29,($J29,$O29,$T29,$Y29))=1,20/((_xlfn.RANK.AVG($O29,($J29,$O29,$T29,$Y29))-1)*2+1),0))</f>
        <v/>
      </c>
      <c r="AB29" s="46" t="str">
        <f>IF($T29="","",ROUND(($T29-30000)/1000,1)+(2.5-_xlfn.RANK.AVG($T29,($J29,$O29,$T29,$Y29)))*20+IF(_xlfn.RANK.EQ($T29,($J29,$O29,$T29,$Y29))=1,20/((_xlfn.RANK.AVG($T29,($J29,$O29,$T29,$Y29))-1)*2+1),0))</f>
        <v/>
      </c>
      <c r="AC29" s="47" t="str">
        <f>IF($Y29="","",ROUND(($Y29-30000)/1000,1)+(2.5-_xlfn.RANK.AVG($Y29,($J29,$O29,$T29,$Y29)))*20+IF(_xlfn.RANK.EQ($Y29,($J29,$O29,$T29,$Y29))=1,20/((_xlfn.RANK.AVG($Y29,($J29,$O29,$T29,$Y29))-1)*2+1),0))</f>
        <v/>
      </c>
      <c r="AE29" s="5"/>
      <c r="AF29" s="30"/>
      <c r="AG29" s="23"/>
      <c r="AH29" s="23"/>
      <c r="AI29" s="23"/>
      <c r="AJ29" s="27"/>
      <c r="AK29" s="36"/>
      <c r="AL29" s="37"/>
      <c r="AM29" s="37"/>
      <c r="AN29" s="37"/>
      <c r="AO29" s="37"/>
      <c r="AP29" s="37"/>
      <c r="AQ29" s="37"/>
      <c r="AR29" s="37"/>
      <c r="AS29" s="37"/>
      <c r="AT29" s="37"/>
      <c r="AU29" s="37"/>
      <c r="AV29" s="37"/>
      <c r="AW29" s="37"/>
      <c r="AX29" s="37"/>
      <c r="AY29" s="38"/>
      <c r="AZ29" s="5"/>
      <c r="BA29" s="30"/>
      <c r="BB29" s="23"/>
      <c r="BC29" s="23"/>
      <c r="BD29" s="23"/>
      <c r="BE29" s="27"/>
      <c r="BF29" s="36"/>
      <c r="BG29" s="37"/>
      <c r="BH29" s="37"/>
      <c r="BI29" s="37"/>
      <c r="BJ29" s="37"/>
      <c r="BK29" s="37"/>
      <c r="BL29" s="37"/>
      <c r="BM29" s="37"/>
      <c r="BN29" s="37"/>
      <c r="BO29" s="37"/>
      <c r="BP29" s="37"/>
      <c r="BQ29" s="37"/>
      <c r="BR29" s="37"/>
      <c r="BS29" s="37"/>
      <c r="BT29" s="38"/>
      <c r="BU29" s="5"/>
      <c r="BV29" s="30"/>
      <c r="BW29" s="23"/>
      <c r="BX29" s="23"/>
      <c r="BY29" s="23"/>
      <c r="BZ29" s="27"/>
      <c r="CA29" s="36"/>
      <c r="CB29" s="37"/>
      <c r="CC29" s="37"/>
      <c r="CD29" s="37"/>
      <c r="CE29" s="37"/>
      <c r="CF29" s="37"/>
      <c r="CG29" s="37"/>
      <c r="CH29" s="37"/>
      <c r="CI29" s="37"/>
      <c r="CJ29" s="37"/>
      <c r="CK29" s="37"/>
      <c r="CL29" s="37"/>
      <c r="CM29" s="37"/>
      <c r="CN29" s="37"/>
      <c r="CO29" s="38"/>
      <c r="CP29" s="5"/>
      <c r="CQ29" s="30"/>
      <c r="CR29" s="23"/>
      <c r="CS29" s="23"/>
      <c r="CT29" s="23"/>
      <c r="CU29" s="27"/>
      <c r="CV29" s="36"/>
      <c r="CW29" s="37"/>
      <c r="CX29" s="37"/>
      <c r="CY29" s="37"/>
      <c r="CZ29" s="37"/>
      <c r="DA29" s="37"/>
      <c r="DB29" s="37"/>
      <c r="DC29" s="37"/>
      <c r="DD29" s="37"/>
      <c r="DE29" s="37"/>
      <c r="DF29" s="37"/>
      <c r="DG29" s="37"/>
      <c r="DH29" s="37"/>
      <c r="DI29" s="37"/>
      <c r="DJ29" s="38"/>
    </row>
    <row r="30" spans="1:114" x14ac:dyDescent="0.55000000000000004">
      <c r="A30" s="11" t="str">
        <f t="shared" si="9"/>
        <v/>
      </c>
      <c r="B30" s="16" t="str">
        <f t="shared" si="5"/>
        <v/>
      </c>
      <c r="C30" s="16" t="str">
        <f t="shared" si="6"/>
        <v/>
      </c>
      <c r="D30" s="16" t="str">
        <f t="shared" si="7"/>
        <v/>
      </c>
      <c r="E30" s="59"/>
      <c r="F30" s="7"/>
      <c r="G30" s="8"/>
      <c r="H30" s="8"/>
      <c r="I30" s="8"/>
      <c r="J30" s="19" t="str">
        <f t="shared" si="2"/>
        <v/>
      </c>
      <c r="K30" s="7"/>
      <c r="L30" s="8"/>
      <c r="M30" s="8"/>
      <c r="N30" s="8"/>
      <c r="O30" s="19" t="str">
        <f t="shared" si="8"/>
        <v/>
      </c>
      <c r="P30" s="7"/>
      <c r="Q30" s="8"/>
      <c r="R30" s="8"/>
      <c r="S30" s="8"/>
      <c r="T30" s="19" t="str">
        <f t="shared" si="3"/>
        <v/>
      </c>
      <c r="U30" s="7"/>
      <c r="V30" s="8"/>
      <c r="W30" s="8"/>
      <c r="X30" s="8"/>
      <c r="Y30" s="19" t="str">
        <f t="shared" si="4"/>
        <v/>
      </c>
      <c r="Z30" s="48" t="str">
        <f>IF($J30="","",ROUND(($J30-30000)/1000,1)+(2.5-_xlfn.RANK.AVG($J30,($J30,$O30,$T30,$Y30)))*20+IF(_xlfn.RANK.EQ($J30,($J30,$O30,$T30,$Y30))=1,20/((_xlfn.RANK.AVG($J30,($J30,$O30,$T30,$Y30))-1)*2+1),0))</f>
        <v/>
      </c>
      <c r="AA30" s="49" t="str">
        <f>IF($O30="","",ROUND(($O30-30000)/1000,1)+(2.5-_xlfn.RANK.AVG($O30,($J30,$O30,$T30,$Y30)))*20+IF(_xlfn.RANK.EQ($O30,($J30,$O30,$T30,$Y30))=1,20/((_xlfn.RANK.AVG($O30,($J30,$O30,$T30,$Y30))-1)*2+1),0))</f>
        <v/>
      </c>
      <c r="AB30" s="49" t="str">
        <f>IF($T30="","",ROUND(($T30-30000)/1000,1)+(2.5-_xlfn.RANK.AVG($T30,($J30,$O30,$T30,$Y30)))*20+IF(_xlfn.RANK.EQ($T30,($J30,$O30,$T30,$Y30))=1,20/((_xlfn.RANK.AVG($T30,($J30,$O30,$T30,$Y30))-1)*2+1),0))</f>
        <v/>
      </c>
      <c r="AC30" s="50" t="str">
        <f>IF($Y30="","",ROUND(($Y30-30000)/1000,1)+(2.5-_xlfn.RANK.AVG($Y30,($J30,$O30,$T30,$Y30)))*20+IF(_xlfn.RANK.EQ($Y30,($J30,$O30,$T30,$Y30))=1,20/((_xlfn.RANK.AVG($Y30,($J30,$O30,$T30,$Y30))-1)*2+1),0))</f>
        <v/>
      </c>
      <c r="AE30" s="7"/>
      <c r="AF30" s="31"/>
      <c r="AG30" s="24"/>
      <c r="AH30" s="24"/>
      <c r="AI30" s="24"/>
      <c r="AJ30" s="28"/>
      <c r="AK30" s="39"/>
      <c r="AL30" s="40"/>
      <c r="AM30" s="40"/>
      <c r="AN30" s="40"/>
      <c r="AO30" s="40"/>
      <c r="AP30" s="40"/>
      <c r="AQ30" s="40"/>
      <c r="AR30" s="40"/>
      <c r="AS30" s="40"/>
      <c r="AT30" s="40"/>
      <c r="AU30" s="40"/>
      <c r="AV30" s="40"/>
      <c r="AW30" s="40"/>
      <c r="AX30" s="40"/>
      <c r="AY30" s="41"/>
      <c r="AZ30" s="7"/>
      <c r="BA30" s="31"/>
      <c r="BB30" s="24"/>
      <c r="BC30" s="24"/>
      <c r="BD30" s="24"/>
      <c r="BE30" s="28"/>
      <c r="BF30" s="39"/>
      <c r="BG30" s="40"/>
      <c r="BH30" s="40"/>
      <c r="BI30" s="40"/>
      <c r="BJ30" s="40"/>
      <c r="BK30" s="40"/>
      <c r="BL30" s="40"/>
      <c r="BM30" s="40"/>
      <c r="BN30" s="40"/>
      <c r="BO30" s="40"/>
      <c r="BP30" s="40"/>
      <c r="BQ30" s="40"/>
      <c r="BR30" s="40"/>
      <c r="BS30" s="40"/>
      <c r="BT30" s="41"/>
      <c r="BU30" s="7"/>
      <c r="BV30" s="31"/>
      <c r="BW30" s="24"/>
      <c r="BX30" s="24"/>
      <c r="BY30" s="24"/>
      <c r="BZ30" s="28"/>
      <c r="CA30" s="39"/>
      <c r="CB30" s="40"/>
      <c r="CC30" s="40"/>
      <c r="CD30" s="40"/>
      <c r="CE30" s="40"/>
      <c r="CF30" s="40"/>
      <c r="CG30" s="40"/>
      <c r="CH30" s="40"/>
      <c r="CI30" s="40"/>
      <c r="CJ30" s="40"/>
      <c r="CK30" s="40"/>
      <c r="CL30" s="40"/>
      <c r="CM30" s="40"/>
      <c r="CN30" s="40"/>
      <c r="CO30" s="41"/>
      <c r="CP30" s="7"/>
      <c r="CQ30" s="31"/>
      <c r="CR30" s="24"/>
      <c r="CS30" s="24"/>
      <c r="CT30" s="24"/>
      <c r="CU30" s="28"/>
      <c r="CV30" s="39"/>
      <c r="CW30" s="40"/>
      <c r="CX30" s="40"/>
      <c r="CY30" s="40"/>
      <c r="CZ30" s="40"/>
      <c r="DA30" s="40"/>
      <c r="DB30" s="40"/>
      <c r="DC30" s="40"/>
      <c r="DD30" s="40"/>
      <c r="DE30" s="40"/>
      <c r="DF30" s="40"/>
      <c r="DG30" s="40"/>
      <c r="DH30" s="40"/>
      <c r="DI30" s="40"/>
      <c r="DJ30" s="41"/>
    </row>
  </sheetData>
  <mergeCells count="18">
    <mergeCell ref="BU1:CO1"/>
    <mergeCell ref="CP1:DJ1"/>
    <mergeCell ref="AK2:AY2"/>
    <mergeCell ref="BF2:BT2"/>
    <mergeCell ref="CA2:CO2"/>
    <mergeCell ref="CV2:DJ2"/>
    <mergeCell ref="K1:O1"/>
    <mergeCell ref="P1:T1"/>
    <mergeCell ref="U1:Y1"/>
    <mergeCell ref="Z1:AC1"/>
    <mergeCell ref="AE1:AY1"/>
    <mergeCell ref="AZ1:BT1"/>
    <mergeCell ref="A1:A2"/>
    <mergeCell ref="B1:B2"/>
    <mergeCell ref="C1:C2"/>
    <mergeCell ref="D1:D2"/>
    <mergeCell ref="E1:E2"/>
    <mergeCell ref="F1:J1"/>
  </mergeCells>
  <phoneticPr fontId="1"/>
  <conditionalFormatting sqref="F1:Y1">
    <cfRule type="duplicateValues" dxfId="0" priority="1"/>
  </conditionalFormatting>
  <dataValidations count="3">
    <dataValidation type="list" allowBlank="1" showInputMessage="1" sqref="F1:Y1" xr:uid="{C995D9F3-D881-4BF6-977A-071DFD9F6746}">
      <formula1>"百瀬成空,佐藤成浩,川上翔大,中川弘崇,宮澤七星,中村花菜,山本瑛人,春日爽,伊藤仁城,坂本羽弥斗,塩入悠,中村季暉,渡部陵瑛,湯本咲蔵,山本悠介,田名網新,石原凛人,唐澤聖矢,清水常緑,所附快和,長野柊馬,西野修世,高橋英将,佐藤成,有馬藍,柳澤奏太,宮坂晴海,手塚心優寧,"</formula1>
    </dataValidation>
    <dataValidation type="list" showInputMessage="1" showErrorMessage="1" sqref="K4:K30 P4:P30 F4:F30 U4:U30" xr:uid="{0F00709D-B455-4D07-8277-511EE88898AF}">
      <formula1>"ロン,ツモ,放銃,ツモ支払,流局,チョンボ"</formula1>
    </dataValidation>
    <dataValidation type="list" allowBlank="1" showInputMessage="1" showErrorMessage="1" sqref="E4:E30" xr:uid="{988D4BF5-CF77-4FD5-991F-416F90772FB6}">
      <formula1>$Z$2:$AC$2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F2D5E-405C-4DEF-A8A7-9881A820A645}">
  <sheetPr codeName="Sheet2"/>
  <dimension ref="A1:E44"/>
  <sheetViews>
    <sheetView workbookViewId="0"/>
  </sheetViews>
  <sheetFormatPr defaultRowHeight="18" x14ac:dyDescent="0.55000000000000004"/>
  <cols>
    <col min="1" max="1" width="9" style="32" customWidth="1"/>
    <col min="2" max="2" width="6.5" style="32" customWidth="1"/>
    <col min="3" max="3" width="19.1640625" style="12" bestFit="1" customWidth="1"/>
    <col min="4" max="5" width="6.5" style="12" customWidth="1"/>
  </cols>
  <sheetData>
    <row r="1" spans="1:5" x14ac:dyDescent="0.55000000000000004">
      <c r="A1" s="32" t="s">
        <v>26</v>
      </c>
      <c r="B1" s="32" t="s">
        <v>119</v>
      </c>
      <c r="C1" s="12" t="s">
        <v>27</v>
      </c>
      <c r="D1" s="12" t="s">
        <v>28</v>
      </c>
      <c r="E1" s="12" t="s">
        <v>29</v>
      </c>
    </row>
    <row r="2" spans="1:5" x14ac:dyDescent="0.55000000000000004">
      <c r="A2" s="32" t="s">
        <v>68</v>
      </c>
      <c r="B2" s="32" t="s">
        <v>120</v>
      </c>
      <c r="C2" s="12" t="s">
        <v>115</v>
      </c>
      <c r="D2" s="12">
        <v>1</v>
      </c>
    </row>
    <row r="3" spans="1:5" x14ac:dyDescent="0.55000000000000004">
      <c r="A3" s="32" t="s">
        <v>69</v>
      </c>
      <c r="B3" s="32" t="s">
        <v>129</v>
      </c>
      <c r="C3" s="12" t="s">
        <v>30</v>
      </c>
      <c r="D3" s="12">
        <v>1</v>
      </c>
    </row>
    <row r="4" spans="1:5" x14ac:dyDescent="0.55000000000000004">
      <c r="A4" s="32" t="s">
        <v>70</v>
      </c>
      <c r="B4" s="32" t="s">
        <v>122</v>
      </c>
      <c r="C4" s="12" t="s">
        <v>31</v>
      </c>
      <c r="D4" s="12">
        <v>1</v>
      </c>
      <c r="E4" s="12">
        <v>1</v>
      </c>
    </row>
    <row r="5" spans="1:5" x14ac:dyDescent="0.55000000000000004">
      <c r="A5" s="32" t="s">
        <v>71</v>
      </c>
      <c r="B5" s="32" t="s">
        <v>123</v>
      </c>
      <c r="C5" s="12" t="s">
        <v>32</v>
      </c>
      <c r="D5" s="12">
        <v>1</v>
      </c>
    </row>
    <row r="6" spans="1:5" x14ac:dyDescent="0.55000000000000004">
      <c r="A6" s="32" t="s">
        <v>72</v>
      </c>
      <c r="C6" s="12" t="s">
        <v>33</v>
      </c>
      <c r="D6" s="12">
        <v>1</v>
      </c>
      <c r="E6" s="12">
        <v>1</v>
      </c>
    </row>
    <row r="7" spans="1:5" x14ac:dyDescent="0.55000000000000004">
      <c r="A7" s="32" t="s">
        <v>73</v>
      </c>
      <c r="B7" s="32" t="s">
        <v>121</v>
      </c>
      <c r="C7" s="12" t="s">
        <v>34</v>
      </c>
      <c r="D7" s="12">
        <v>1</v>
      </c>
    </row>
    <row r="8" spans="1:5" x14ac:dyDescent="0.55000000000000004">
      <c r="A8" s="32" t="s">
        <v>74</v>
      </c>
      <c r="B8" s="32" t="s">
        <v>125</v>
      </c>
      <c r="C8" s="12" t="s">
        <v>35</v>
      </c>
      <c r="D8" s="12">
        <v>1</v>
      </c>
    </row>
    <row r="9" spans="1:5" x14ac:dyDescent="0.55000000000000004">
      <c r="A9" s="32" t="s">
        <v>75</v>
      </c>
      <c r="B9" s="32" t="s">
        <v>127</v>
      </c>
      <c r="C9" s="12" t="s">
        <v>36</v>
      </c>
      <c r="D9" s="12">
        <v>1</v>
      </c>
    </row>
    <row r="10" spans="1:5" x14ac:dyDescent="0.55000000000000004">
      <c r="A10" s="32" t="s">
        <v>76</v>
      </c>
      <c r="B10" s="32" t="s">
        <v>126</v>
      </c>
      <c r="C10" s="12" t="s">
        <v>112</v>
      </c>
      <c r="D10" s="12">
        <v>1</v>
      </c>
      <c r="E10" s="12">
        <v>1</v>
      </c>
    </row>
    <row r="11" spans="1:5" x14ac:dyDescent="0.55000000000000004">
      <c r="A11" s="32" t="s">
        <v>77</v>
      </c>
      <c r="B11" s="32" t="s">
        <v>128</v>
      </c>
      <c r="C11" s="12" t="s">
        <v>37</v>
      </c>
      <c r="D11" s="12">
        <v>1</v>
      </c>
      <c r="E11" s="12">
        <v>1</v>
      </c>
    </row>
    <row r="12" spans="1:5" x14ac:dyDescent="0.55000000000000004">
      <c r="A12" s="32" t="s">
        <v>78</v>
      </c>
      <c r="B12" s="32" t="s">
        <v>139</v>
      </c>
      <c r="C12" s="12" t="s">
        <v>38</v>
      </c>
      <c r="D12" s="12">
        <v>1</v>
      </c>
      <c r="E12" s="12">
        <v>1</v>
      </c>
    </row>
    <row r="13" spans="1:5" x14ac:dyDescent="0.55000000000000004">
      <c r="A13" s="32" t="s">
        <v>79</v>
      </c>
      <c r="B13" s="32" t="s">
        <v>140</v>
      </c>
      <c r="C13" s="12" t="s">
        <v>39</v>
      </c>
      <c r="D13" s="12">
        <v>1</v>
      </c>
      <c r="E13" s="12">
        <v>1</v>
      </c>
    </row>
    <row r="14" spans="1:5" x14ac:dyDescent="0.55000000000000004">
      <c r="A14" s="32" t="s">
        <v>80</v>
      </c>
      <c r="B14" s="32" t="s">
        <v>141</v>
      </c>
      <c r="C14" s="12" t="s">
        <v>40</v>
      </c>
      <c r="D14" s="12">
        <v>1</v>
      </c>
      <c r="E14" s="12">
        <v>1</v>
      </c>
    </row>
    <row r="15" spans="1:5" x14ac:dyDescent="0.55000000000000004">
      <c r="A15" s="32" t="s">
        <v>81</v>
      </c>
      <c r="B15" s="32" t="s">
        <v>142</v>
      </c>
      <c r="C15" s="12" t="s">
        <v>41</v>
      </c>
      <c r="D15" s="12">
        <v>1</v>
      </c>
      <c r="E15" s="12">
        <v>1</v>
      </c>
    </row>
    <row r="16" spans="1:5" x14ac:dyDescent="0.55000000000000004">
      <c r="A16" s="32" t="s">
        <v>82</v>
      </c>
      <c r="B16" s="32" t="s">
        <v>143</v>
      </c>
      <c r="C16" s="12" t="s">
        <v>42</v>
      </c>
      <c r="D16" s="12">
        <v>2</v>
      </c>
    </row>
    <row r="17" spans="1:5" x14ac:dyDescent="0.55000000000000004">
      <c r="A17" s="32" t="s">
        <v>83</v>
      </c>
      <c r="B17" s="32" t="s">
        <v>130</v>
      </c>
      <c r="C17" s="12" t="s">
        <v>43</v>
      </c>
      <c r="D17" s="12">
        <v>2</v>
      </c>
      <c r="E17" s="12">
        <v>1</v>
      </c>
    </row>
    <row r="18" spans="1:5" x14ac:dyDescent="0.55000000000000004">
      <c r="A18" s="32" t="s">
        <v>84</v>
      </c>
      <c r="B18" s="32" t="s">
        <v>136</v>
      </c>
      <c r="C18" s="12" t="s">
        <v>114</v>
      </c>
      <c r="D18" s="12">
        <v>2</v>
      </c>
      <c r="E18" s="12">
        <v>1</v>
      </c>
    </row>
    <row r="19" spans="1:5" x14ac:dyDescent="0.55000000000000004">
      <c r="A19" s="32" t="s">
        <v>85</v>
      </c>
      <c r="B19" s="32" t="s">
        <v>160</v>
      </c>
      <c r="C19" s="12" t="s">
        <v>44</v>
      </c>
      <c r="D19" s="12">
        <v>2</v>
      </c>
      <c r="E19" s="12">
        <v>1</v>
      </c>
    </row>
    <row r="20" spans="1:5" x14ac:dyDescent="0.55000000000000004">
      <c r="A20" s="32" t="s">
        <v>86</v>
      </c>
      <c r="B20" s="32" t="s">
        <v>138</v>
      </c>
      <c r="C20" s="12" t="s">
        <v>45</v>
      </c>
      <c r="D20" s="12">
        <v>2</v>
      </c>
      <c r="E20" s="12">
        <v>2</v>
      </c>
    </row>
    <row r="21" spans="1:5" x14ac:dyDescent="0.55000000000000004">
      <c r="A21" s="32" t="s">
        <v>87</v>
      </c>
      <c r="B21" s="32" t="s">
        <v>132</v>
      </c>
      <c r="C21" s="12" t="s">
        <v>46</v>
      </c>
      <c r="D21" s="12">
        <v>2</v>
      </c>
      <c r="E21" s="12">
        <v>2</v>
      </c>
    </row>
    <row r="22" spans="1:5" x14ac:dyDescent="0.55000000000000004">
      <c r="A22" s="32" t="s">
        <v>88</v>
      </c>
      <c r="B22" s="32" t="s">
        <v>145</v>
      </c>
      <c r="C22" s="12" t="s">
        <v>47</v>
      </c>
      <c r="D22" s="12">
        <v>2</v>
      </c>
      <c r="E22" s="12">
        <v>2</v>
      </c>
    </row>
    <row r="23" spans="1:5" x14ac:dyDescent="0.55000000000000004">
      <c r="A23" s="32" t="s">
        <v>89</v>
      </c>
      <c r="B23" s="32" t="s">
        <v>131</v>
      </c>
      <c r="C23" s="12" t="s">
        <v>48</v>
      </c>
      <c r="D23" s="12">
        <v>2</v>
      </c>
      <c r="E23" s="12">
        <v>2</v>
      </c>
    </row>
    <row r="24" spans="1:5" x14ac:dyDescent="0.55000000000000004">
      <c r="A24" s="32" t="s">
        <v>90</v>
      </c>
      <c r="B24" s="32" t="s">
        <v>146</v>
      </c>
      <c r="C24" s="12" t="s">
        <v>49</v>
      </c>
      <c r="D24" s="12">
        <v>2</v>
      </c>
      <c r="E24" s="12">
        <v>2</v>
      </c>
    </row>
    <row r="25" spans="1:5" x14ac:dyDescent="0.55000000000000004">
      <c r="A25" s="32" t="s">
        <v>91</v>
      </c>
      <c r="B25" s="32" t="s">
        <v>147</v>
      </c>
      <c r="C25" s="12" t="s">
        <v>50</v>
      </c>
      <c r="D25" s="12">
        <v>2</v>
      </c>
      <c r="E25" s="12">
        <v>2</v>
      </c>
    </row>
    <row r="26" spans="1:5" x14ac:dyDescent="0.55000000000000004">
      <c r="A26" s="32" t="s">
        <v>92</v>
      </c>
      <c r="B26" s="32" t="s">
        <v>135</v>
      </c>
      <c r="C26" s="12" t="s">
        <v>51</v>
      </c>
      <c r="D26" s="12">
        <v>2</v>
      </c>
    </row>
    <row r="27" spans="1:5" x14ac:dyDescent="0.55000000000000004">
      <c r="A27" s="32" t="s">
        <v>93</v>
      </c>
      <c r="B27" s="32" t="s">
        <v>144</v>
      </c>
      <c r="C27" s="12" t="s">
        <v>52</v>
      </c>
      <c r="D27" s="12">
        <v>3</v>
      </c>
    </row>
    <row r="28" spans="1:5" x14ac:dyDescent="0.55000000000000004">
      <c r="A28" s="32" t="s">
        <v>94</v>
      </c>
      <c r="B28" s="32" t="s">
        <v>137</v>
      </c>
      <c r="C28" s="12" t="s">
        <v>113</v>
      </c>
      <c r="D28" s="12">
        <v>3</v>
      </c>
      <c r="E28" s="12">
        <v>2</v>
      </c>
    </row>
    <row r="29" spans="1:5" x14ac:dyDescent="0.55000000000000004">
      <c r="A29" s="32" t="s">
        <v>95</v>
      </c>
      <c r="B29" s="32" t="s">
        <v>133</v>
      </c>
      <c r="C29" s="12" t="s">
        <v>53</v>
      </c>
      <c r="D29" s="12">
        <v>3</v>
      </c>
      <c r="E29" s="12">
        <v>2</v>
      </c>
    </row>
    <row r="30" spans="1:5" x14ac:dyDescent="0.55000000000000004">
      <c r="A30" s="32" t="s">
        <v>96</v>
      </c>
      <c r="C30" s="12" t="s">
        <v>54</v>
      </c>
      <c r="D30" s="12">
        <v>5</v>
      </c>
      <c r="E30" s="12">
        <v>5</v>
      </c>
    </row>
    <row r="31" spans="1:5" x14ac:dyDescent="0.55000000000000004">
      <c r="A31" s="32" t="s">
        <v>97</v>
      </c>
      <c r="B31" s="32" t="s">
        <v>134</v>
      </c>
      <c r="C31" s="12" t="s">
        <v>55</v>
      </c>
      <c r="D31" s="12">
        <v>6</v>
      </c>
      <c r="E31" s="12">
        <v>5</v>
      </c>
    </row>
    <row r="32" spans="1:5" x14ac:dyDescent="0.55000000000000004">
      <c r="A32" s="32" t="s">
        <v>98</v>
      </c>
      <c r="B32" s="32" t="s">
        <v>148</v>
      </c>
      <c r="C32" s="12" t="s">
        <v>56</v>
      </c>
      <c r="D32" s="12">
        <v>13</v>
      </c>
    </row>
    <row r="33" spans="1:5" x14ac:dyDescent="0.55000000000000004">
      <c r="A33" s="32" t="s">
        <v>99</v>
      </c>
      <c r="B33" s="32" t="s">
        <v>149</v>
      </c>
      <c r="C33" s="12" t="s">
        <v>57</v>
      </c>
      <c r="D33" s="12">
        <v>13</v>
      </c>
    </row>
    <row r="34" spans="1:5" x14ac:dyDescent="0.55000000000000004">
      <c r="A34" s="32" t="s">
        <v>100</v>
      </c>
      <c r="B34" s="32" t="s">
        <v>150</v>
      </c>
      <c r="C34" s="12" t="s">
        <v>58</v>
      </c>
      <c r="D34" s="12">
        <v>13</v>
      </c>
      <c r="E34" s="12">
        <v>13</v>
      </c>
    </row>
    <row r="35" spans="1:5" x14ac:dyDescent="0.55000000000000004">
      <c r="A35" s="32" t="s">
        <v>101</v>
      </c>
      <c r="B35" s="32" t="s">
        <v>151</v>
      </c>
      <c r="C35" s="12" t="s">
        <v>59</v>
      </c>
      <c r="D35" s="12">
        <v>13</v>
      </c>
      <c r="E35" s="12">
        <v>13</v>
      </c>
    </row>
    <row r="36" spans="1:5" x14ac:dyDescent="0.55000000000000004">
      <c r="A36" s="32" t="s">
        <v>102</v>
      </c>
      <c r="B36" s="32" t="s">
        <v>152</v>
      </c>
      <c r="C36" s="12" t="s">
        <v>60</v>
      </c>
      <c r="D36" s="12">
        <v>26</v>
      </c>
      <c r="E36" s="12">
        <v>26</v>
      </c>
    </row>
    <row r="37" spans="1:5" x14ac:dyDescent="0.55000000000000004">
      <c r="A37" s="32" t="s">
        <v>103</v>
      </c>
      <c r="B37" s="32" t="s">
        <v>153</v>
      </c>
      <c r="C37" s="12" t="s">
        <v>61</v>
      </c>
      <c r="D37" s="12">
        <v>13</v>
      </c>
      <c r="E37" s="12">
        <v>13</v>
      </c>
    </row>
    <row r="38" spans="1:5" x14ac:dyDescent="0.55000000000000004">
      <c r="A38" s="32" t="s">
        <v>104</v>
      </c>
      <c r="B38" s="32" t="s">
        <v>154</v>
      </c>
      <c r="C38" s="12" t="s">
        <v>62</v>
      </c>
      <c r="D38" s="12">
        <v>13</v>
      </c>
      <c r="E38" s="12">
        <v>13</v>
      </c>
    </row>
    <row r="39" spans="1:5" x14ac:dyDescent="0.55000000000000004">
      <c r="A39" s="32" t="s">
        <v>105</v>
      </c>
      <c r="B39" s="32" t="s">
        <v>155</v>
      </c>
      <c r="C39" s="12" t="s">
        <v>63</v>
      </c>
      <c r="D39" s="12">
        <v>13</v>
      </c>
      <c r="E39" s="12">
        <v>13</v>
      </c>
    </row>
    <row r="40" spans="1:5" x14ac:dyDescent="0.55000000000000004">
      <c r="A40" s="32" t="s">
        <v>106</v>
      </c>
      <c r="B40" s="32" t="s">
        <v>156</v>
      </c>
      <c r="C40" s="12" t="s">
        <v>64</v>
      </c>
      <c r="D40" s="12">
        <v>13</v>
      </c>
      <c r="E40" s="12">
        <v>13</v>
      </c>
    </row>
    <row r="41" spans="1:5" x14ac:dyDescent="0.55000000000000004">
      <c r="A41" s="32" t="s">
        <v>107</v>
      </c>
      <c r="B41" s="32" t="s">
        <v>157</v>
      </c>
      <c r="C41" s="12" t="s">
        <v>65</v>
      </c>
      <c r="D41" s="12">
        <v>13</v>
      </c>
    </row>
    <row r="42" spans="1:5" x14ac:dyDescent="0.55000000000000004">
      <c r="A42" s="32" t="s">
        <v>108</v>
      </c>
      <c r="B42" s="32" t="s">
        <v>158</v>
      </c>
      <c r="C42" s="12" t="s">
        <v>66</v>
      </c>
      <c r="D42" s="12">
        <v>13</v>
      </c>
    </row>
    <row r="43" spans="1:5" x14ac:dyDescent="0.55000000000000004">
      <c r="A43" s="32" t="s">
        <v>109</v>
      </c>
      <c r="B43" s="32" t="s">
        <v>159</v>
      </c>
      <c r="C43" s="12" t="s">
        <v>67</v>
      </c>
      <c r="D43" s="12">
        <v>13</v>
      </c>
    </row>
    <row r="44" spans="1:5" x14ac:dyDescent="0.55000000000000004">
      <c r="A44" s="32" t="s">
        <v>117</v>
      </c>
      <c r="B44" s="32" t="s">
        <v>124</v>
      </c>
      <c r="C44" s="12" t="s">
        <v>118</v>
      </c>
      <c r="D44" s="12">
        <v>1</v>
      </c>
      <c r="E44" s="12">
        <v>1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BE3C1C-6EFD-4AFF-AE19-70CA70261350}">
  <sheetPr codeName="Sheet3"/>
  <dimension ref="A1:M13"/>
  <sheetViews>
    <sheetView workbookViewId="0">
      <selection sqref="A1:A2"/>
    </sheetView>
  </sheetViews>
  <sheetFormatPr defaultColWidth="9" defaultRowHeight="18" x14ac:dyDescent="0.55000000000000004"/>
  <cols>
    <col min="13" max="13" width="9" customWidth="1"/>
  </cols>
  <sheetData>
    <row r="1" spans="1:13" x14ac:dyDescent="0.55000000000000004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55000000000000004">
      <c r="A2" s="12" t="s">
        <v>24</v>
      </c>
      <c r="B2">
        <v>0</v>
      </c>
      <c r="G2">
        <v>12000</v>
      </c>
      <c r="H2">
        <v>18000</v>
      </c>
      <c r="I2">
        <v>24000</v>
      </c>
      <c r="J2">
        <v>36000</v>
      </c>
      <c r="K2">
        <v>48000</v>
      </c>
      <c r="L2">
        <v>96000</v>
      </c>
      <c r="M2">
        <v>144000</v>
      </c>
    </row>
    <row r="3" spans="1:13" x14ac:dyDescent="0.55000000000000004">
      <c r="A3" s="12">
        <v>20</v>
      </c>
      <c r="E3">
        <v>3900</v>
      </c>
      <c r="F3">
        <v>7700</v>
      </c>
    </row>
    <row r="4" spans="1:13" x14ac:dyDescent="0.55000000000000004">
      <c r="A4" s="12">
        <v>25</v>
      </c>
      <c r="D4">
        <v>2400</v>
      </c>
      <c r="E4">
        <v>4800</v>
      </c>
      <c r="F4">
        <v>9600</v>
      </c>
    </row>
    <row r="5" spans="1:13" x14ac:dyDescent="0.55000000000000004">
      <c r="A5" s="12">
        <v>30</v>
      </c>
      <c r="C5">
        <v>1500</v>
      </c>
      <c r="D5">
        <v>2900</v>
      </c>
      <c r="E5">
        <v>5800</v>
      </c>
      <c r="F5">
        <v>12000</v>
      </c>
    </row>
    <row r="6" spans="1:13" x14ac:dyDescent="0.55000000000000004">
      <c r="A6" s="12">
        <v>40</v>
      </c>
      <c r="C6">
        <v>2000</v>
      </c>
      <c r="D6">
        <v>3900</v>
      </c>
      <c r="E6">
        <v>7700</v>
      </c>
      <c r="F6">
        <v>12000</v>
      </c>
    </row>
    <row r="7" spans="1:13" x14ac:dyDescent="0.55000000000000004">
      <c r="A7" s="12">
        <v>50</v>
      </c>
      <c r="C7">
        <v>2400</v>
      </c>
      <c r="D7">
        <v>4800</v>
      </c>
      <c r="E7">
        <v>9600</v>
      </c>
      <c r="F7">
        <v>12000</v>
      </c>
    </row>
    <row r="8" spans="1:13" x14ac:dyDescent="0.55000000000000004">
      <c r="A8" s="12">
        <v>60</v>
      </c>
      <c r="C8">
        <v>2900</v>
      </c>
      <c r="D8">
        <v>5800</v>
      </c>
      <c r="E8">
        <v>12000</v>
      </c>
      <c r="F8">
        <v>12000</v>
      </c>
    </row>
    <row r="9" spans="1:13" x14ac:dyDescent="0.55000000000000004">
      <c r="A9" s="12">
        <v>70</v>
      </c>
      <c r="C9">
        <v>3400</v>
      </c>
      <c r="D9">
        <v>6800</v>
      </c>
      <c r="E9">
        <v>12000</v>
      </c>
      <c r="F9">
        <v>12000</v>
      </c>
    </row>
    <row r="10" spans="1:13" x14ac:dyDescent="0.55000000000000004">
      <c r="A10" s="12">
        <v>80</v>
      </c>
      <c r="C10">
        <v>3900</v>
      </c>
      <c r="D10">
        <v>7700</v>
      </c>
      <c r="E10">
        <v>12000</v>
      </c>
      <c r="F10">
        <v>12000</v>
      </c>
    </row>
    <row r="11" spans="1:13" x14ac:dyDescent="0.55000000000000004">
      <c r="A11" s="12">
        <v>90</v>
      </c>
      <c r="C11">
        <v>4400</v>
      </c>
      <c r="D11">
        <v>8700</v>
      </c>
      <c r="E11">
        <v>12000</v>
      </c>
      <c r="F11">
        <v>12000</v>
      </c>
    </row>
    <row r="12" spans="1:13" x14ac:dyDescent="0.55000000000000004">
      <c r="A12" s="12">
        <v>100</v>
      </c>
      <c r="C12">
        <v>4800</v>
      </c>
      <c r="D12">
        <v>9600</v>
      </c>
      <c r="E12">
        <v>12000</v>
      </c>
      <c r="F12">
        <v>12000</v>
      </c>
    </row>
    <row r="13" spans="1:13" x14ac:dyDescent="0.55000000000000004">
      <c r="A13" s="12">
        <v>110</v>
      </c>
      <c r="D13">
        <v>10600</v>
      </c>
      <c r="E13">
        <v>12000</v>
      </c>
      <c r="F13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AF6951-8C38-40FC-BCF1-21F7C9864FA7}">
  <sheetPr codeName="Sheet7"/>
  <dimension ref="A1:M13"/>
  <sheetViews>
    <sheetView workbookViewId="0">
      <selection sqref="A1:A2"/>
    </sheetView>
  </sheetViews>
  <sheetFormatPr defaultColWidth="9" defaultRowHeight="18" x14ac:dyDescent="0.55000000000000004"/>
  <sheetData>
    <row r="1" spans="1:13" x14ac:dyDescent="0.55000000000000004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55000000000000004">
      <c r="A2" s="12" t="s">
        <v>24</v>
      </c>
      <c r="B2">
        <v>0</v>
      </c>
      <c r="C2" t="s">
        <v>10</v>
      </c>
      <c r="D2" t="s">
        <v>10</v>
      </c>
      <c r="E2" t="s">
        <v>10</v>
      </c>
      <c r="F2" t="s">
        <v>10</v>
      </c>
      <c r="G2">
        <v>12000</v>
      </c>
      <c r="H2">
        <v>18000</v>
      </c>
      <c r="I2">
        <v>24000</v>
      </c>
      <c r="J2">
        <v>36000</v>
      </c>
      <c r="K2">
        <v>48000</v>
      </c>
      <c r="L2">
        <v>96000</v>
      </c>
      <c r="M2">
        <v>144000</v>
      </c>
    </row>
    <row r="3" spans="1:13" x14ac:dyDescent="0.55000000000000004">
      <c r="A3" s="12">
        <v>20</v>
      </c>
      <c r="B3" t="s">
        <v>10</v>
      </c>
      <c r="C3" t="s">
        <v>10</v>
      </c>
      <c r="D3">
        <v>2100</v>
      </c>
      <c r="E3">
        <v>3900</v>
      </c>
      <c r="F3">
        <v>7800</v>
      </c>
      <c r="G3" t="s">
        <v>10</v>
      </c>
      <c r="H3" t="s">
        <v>10</v>
      </c>
      <c r="I3" t="s">
        <v>10</v>
      </c>
      <c r="J3" t="s">
        <v>10</v>
      </c>
      <c r="K3" t="s">
        <v>10</v>
      </c>
      <c r="L3" t="s">
        <v>10</v>
      </c>
      <c r="M3" t="s">
        <v>10</v>
      </c>
    </row>
    <row r="4" spans="1:13" x14ac:dyDescent="0.55000000000000004">
      <c r="A4" s="12">
        <v>25</v>
      </c>
      <c r="B4" t="s">
        <v>10</v>
      </c>
      <c r="C4" t="s">
        <v>10</v>
      </c>
      <c r="D4" t="s">
        <v>10</v>
      </c>
      <c r="E4">
        <v>4800</v>
      </c>
      <c r="F4">
        <v>9600</v>
      </c>
      <c r="G4" t="s">
        <v>10</v>
      </c>
      <c r="H4" t="s">
        <v>10</v>
      </c>
      <c r="I4" t="s">
        <v>10</v>
      </c>
      <c r="J4" t="s">
        <v>10</v>
      </c>
      <c r="K4" t="s">
        <v>10</v>
      </c>
      <c r="L4" t="s">
        <v>10</v>
      </c>
      <c r="M4" t="s">
        <v>10</v>
      </c>
    </row>
    <row r="5" spans="1:13" x14ac:dyDescent="0.55000000000000004">
      <c r="A5" s="12">
        <v>30</v>
      </c>
      <c r="B5" t="s">
        <v>10</v>
      </c>
      <c r="C5">
        <v>1500</v>
      </c>
      <c r="D5">
        <v>3000</v>
      </c>
      <c r="E5">
        <v>6000</v>
      </c>
      <c r="F5">
        <v>12000</v>
      </c>
      <c r="G5" t="s">
        <v>10</v>
      </c>
      <c r="H5" t="s">
        <v>10</v>
      </c>
      <c r="I5" t="s">
        <v>10</v>
      </c>
      <c r="J5" t="s">
        <v>10</v>
      </c>
      <c r="K5" t="s">
        <v>10</v>
      </c>
      <c r="L5" t="s">
        <v>10</v>
      </c>
      <c r="M5" t="s">
        <v>10</v>
      </c>
    </row>
    <row r="6" spans="1:13" x14ac:dyDescent="0.55000000000000004">
      <c r="A6" s="12">
        <v>40</v>
      </c>
      <c r="B6" t="s">
        <v>10</v>
      </c>
      <c r="C6">
        <v>2100</v>
      </c>
      <c r="D6">
        <v>3900</v>
      </c>
      <c r="E6">
        <v>7800</v>
      </c>
      <c r="F6">
        <v>12000</v>
      </c>
      <c r="G6" t="s">
        <v>10</v>
      </c>
      <c r="H6" t="s">
        <v>10</v>
      </c>
      <c r="I6" t="s">
        <v>10</v>
      </c>
      <c r="J6" t="s">
        <v>10</v>
      </c>
      <c r="K6" t="s">
        <v>10</v>
      </c>
      <c r="L6" t="s">
        <v>10</v>
      </c>
      <c r="M6" t="s">
        <v>10</v>
      </c>
    </row>
    <row r="7" spans="1:13" x14ac:dyDescent="0.55000000000000004">
      <c r="A7" s="12">
        <v>50</v>
      </c>
      <c r="B7" t="s">
        <v>10</v>
      </c>
      <c r="C7">
        <v>2400</v>
      </c>
      <c r="D7">
        <v>4800</v>
      </c>
      <c r="E7">
        <v>9600</v>
      </c>
      <c r="F7">
        <v>12000</v>
      </c>
      <c r="G7" t="s">
        <v>10</v>
      </c>
      <c r="H7" t="s">
        <v>10</v>
      </c>
      <c r="I7" t="s">
        <v>10</v>
      </c>
      <c r="J7" t="s">
        <v>10</v>
      </c>
      <c r="K7" t="s">
        <v>10</v>
      </c>
      <c r="L7" t="s">
        <v>10</v>
      </c>
      <c r="M7" t="s">
        <v>10</v>
      </c>
    </row>
    <row r="8" spans="1:13" x14ac:dyDescent="0.55000000000000004">
      <c r="A8" s="12">
        <v>60</v>
      </c>
      <c r="B8" t="s">
        <v>10</v>
      </c>
      <c r="C8">
        <v>3000</v>
      </c>
      <c r="D8">
        <v>6000</v>
      </c>
      <c r="E8">
        <v>12000</v>
      </c>
      <c r="F8">
        <v>12000</v>
      </c>
      <c r="G8" t="s">
        <v>10</v>
      </c>
      <c r="H8" t="s">
        <v>10</v>
      </c>
      <c r="I8" t="s">
        <v>10</v>
      </c>
      <c r="J8" t="s">
        <v>10</v>
      </c>
      <c r="K8" t="s">
        <v>10</v>
      </c>
      <c r="L8" t="s">
        <v>10</v>
      </c>
      <c r="M8" t="s">
        <v>10</v>
      </c>
    </row>
    <row r="9" spans="1:13" x14ac:dyDescent="0.55000000000000004">
      <c r="A9" s="12">
        <v>70</v>
      </c>
      <c r="B9" t="s">
        <v>10</v>
      </c>
      <c r="C9">
        <v>3600</v>
      </c>
      <c r="D9">
        <v>6900</v>
      </c>
      <c r="E9">
        <v>12000</v>
      </c>
      <c r="F9">
        <v>12000</v>
      </c>
      <c r="G9" t="s">
        <v>10</v>
      </c>
      <c r="H9" t="s">
        <v>10</v>
      </c>
      <c r="I9" t="s">
        <v>10</v>
      </c>
      <c r="J9" t="s">
        <v>10</v>
      </c>
      <c r="K9" t="s">
        <v>10</v>
      </c>
      <c r="L9" t="s">
        <v>10</v>
      </c>
      <c r="M9" t="s">
        <v>10</v>
      </c>
    </row>
    <row r="10" spans="1:13" x14ac:dyDescent="0.55000000000000004">
      <c r="A10" s="12">
        <v>80</v>
      </c>
      <c r="B10" t="s">
        <v>10</v>
      </c>
      <c r="C10">
        <v>3900</v>
      </c>
      <c r="D10">
        <v>7800</v>
      </c>
      <c r="E10">
        <v>12000</v>
      </c>
      <c r="F10">
        <v>12000</v>
      </c>
      <c r="G10" t="s">
        <v>10</v>
      </c>
      <c r="H10" t="s">
        <v>10</v>
      </c>
      <c r="I10" t="s">
        <v>10</v>
      </c>
      <c r="J10" t="s">
        <v>10</v>
      </c>
      <c r="K10" t="s">
        <v>10</v>
      </c>
      <c r="L10" t="s">
        <v>10</v>
      </c>
      <c r="M10" t="s">
        <v>10</v>
      </c>
    </row>
    <row r="11" spans="1:13" x14ac:dyDescent="0.55000000000000004">
      <c r="A11" s="12">
        <v>90</v>
      </c>
      <c r="B11" t="s">
        <v>10</v>
      </c>
      <c r="C11">
        <v>4500</v>
      </c>
      <c r="D11">
        <v>8700</v>
      </c>
      <c r="E11">
        <v>12000</v>
      </c>
      <c r="F11">
        <v>12000</v>
      </c>
      <c r="G11" t="s">
        <v>10</v>
      </c>
      <c r="H11" t="s">
        <v>10</v>
      </c>
      <c r="I11" t="s">
        <v>10</v>
      </c>
      <c r="J11" t="s">
        <v>10</v>
      </c>
      <c r="K11" t="s">
        <v>10</v>
      </c>
      <c r="L11" t="s">
        <v>10</v>
      </c>
      <c r="M11" t="s">
        <v>10</v>
      </c>
    </row>
    <row r="12" spans="1:13" x14ac:dyDescent="0.55000000000000004">
      <c r="A12" s="12">
        <v>100</v>
      </c>
      <c r="B12" t="s">
        <v>10</v>
      </c>
      <c r="C12">
        <v>4800</v>
      </c>
      <c r="D12">
        <v>9600</v>
      </c>
      <c r="E12">
        <v>12000</v>
      </c>
      <c r="F12">
        <v>12000</v>
      </c>
      <c r="G12" t="s">
        <v>10</v>
      </c>
      <c r="H12" t="s">
        <v>10</v>
      </c>
      <c r="I12" t="s">
        <v>10</v>
      </c>
      <c r="J12" t="s">
        <v>10</v>
      </c>
      <c r="K12" t="s">
        <v>10</v>
      </c>
      <c r="L12" t="s">
        <v>10</v>
      </c>
      <c r="M12" t="s">
        <v>10</v>
      </c>
    </row>
    <row r="13" spans="1:13" x14ac:dyDescent="0.55000000000000004">
      <c r="A13" s="12">
        <v>110</v>
      </c>
      <c r="B13" t="s">
        <v>10</v>
      </c>
      <c r="C13" t="s">
        <v>10</v>
      </c>
      <c r="D13">
        <v>10800</v>
      </c>
      <c r="E13">
        <v>12000</v>
      </c>
      <c r="F13">
        <v>12000</v>
      </c>
      <c r="G13" t="s">
        <v>10</v>
      </c>
      <c r="H13" t="s">
        <v>10</v>
      </c>
      <c r="I13" t="s">
        <v>10</v>
      </c>
      <c r="J13" t="s">
        <v>10</v>
      </c>
      <c r="K13" t="s">
        <v>10</v>
      </c>
      <c r="L13" t="s">
        <v>10</v>
      </c>
      <c r="M13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F21C09-2FC4-4F68-B3F0-0D8764CE8C5A}">
  <sheetPr codeName="Sheet6"/>
  <dimension ref="A1:M13"/>
  <sheetViews>
    <sheetView workbookViewId="0">
      <selection sqref="A1:A2"/>
    </sheetView>
  </sheetViews>
  <sheetFormatPr defaultColWidth="9" defaultRowHeight="18" x14ac:dyDescent="0.55000000000000004"/>
  <sheetData>
    <row r="1" spans="1:13" x14ac:dyDescent="0.55000000000000004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55000000000000004">
      <c r="A2" s="12" t="s">
        <v>24</v>
      </c>
      <c r="B2">
        <v>0</v>
      </c>
      <c r="C2" t="s">
        <v>10</v>
      </c>
      <c r="D2" t="s">
        <v>10</v>
      </c>
      <c r="E2" t="s">
        <v>10</v>
      </c>
      <c r="F2" t="s">
        <v>10</v>
      </c>
      <c r="G2">
        <v>-4000</v>
      </c>
      <c r="H2">
        <v>-6000</v>
      </c>
      <c r="I2">
        <v>-8000</v>
      </c>
      <c r="J2">
        <v>-12000</v>
      </c>
      <c r="K2">
        <v>-16000</v>
      </c>
      <c r="L2">
        <v>-32000</v>
      </c>
      <c r="M2">
        <v>-48000</v>
      </c>
    </row>
    <row r="3" spans="1:13" x14ac:dyDescent="0.55000000000000004">
      <c r="A3" s="12">
        <v>20</v>
      </c>
      <c r="C3" t="s">
        <v>10</v>
      </c>
      <c r="D3">
        <v>-700</v>
      </c>
      <c r="E3">
        <v>-1300</v>
      </c>
      <c r="F3">
        <v>-2600</v>
      </c>
    </row>
    <row r="4" spans="1:13" x14ac:dyDescent="0.55000000000000004">
      <c r="A4" s="12">
        <v>25</v>
      </c>
      <c r="C4" t="s">
        <v>10</v>
      </c>
      <c r="D4" t="s">
        <v>10</v>
      </c>
      <c r="E4">
        <v>-1600</v>
      </c>
      <c r="F4">
        <v>-3200</v>
      </c>
    </row>
    <row r="5" spans="1:13" x14ac:dyDescent="0.55000000000000004">
      <c r="A5" s="12">
        <v>30</v>
      </c>
      <c r="C5">
        <v>-500</v>
      </c>
      <c r="D5">
        <v>-1000</v>
      </c>
      <c r="E5">
        <v>-2000</v>
      </c>
      <c r="F5">
        <v>-4000</v>
      </c>
    </row>
    <row r="6" spans="1:13" x14ac:dyDescent="0.55000000000000004">
      <c r="A6" s="12">
        <v>40</v>
      </c>
      <c r="C6">
        <v>-700</v>
      </c>
      <c r="D6">
        <v>-1300</v>
      </c>
      <c r="E6">
        <v>-2600</v>
      </c>
      <c r="F6">
        <v>-4000</v>
      </c>
    </row>
    <row r="7" spans="1:13" x14ac:dyDescent="0.55000000000000004">
      <c r="A7" s="12">
        <v>50</v>
      </c>
      <c r="C7">
        <v>-800</v>
      </c>
      <c r="D7">
        <v>-1600</v>
      </c>
      <c r="E7">
        <v>-3200</v>
      </c>
      <c r="F7">
        <v>-4000</v>
      </c>
    </row>
    <row r="8" spans="1:13" x14ac:dyDescent="0.55000000000000004">
      <c r="A8" s="12">
        <v>60</v>
      </c>
      <c r="C8">
        <v>-1000</v>
      </c>
      <c r="D8">
        <v>-2000</v>
      </c>
      <c r="E8">
        <v>-4000</v>
      </c>
      <c r="F8">
        <v>-4000</v>
      </c>
    </row>
    <row r="9" spans="1:13" x14ac:dyDescent="0.55000000000000004">
      <c r="A9" s="12">
        <v>70</v>
      </c>
      <c r="C9">
        <v>-1200</v>
      </c>
      <c r="D9">
        <v>-2300</v>
      </c>
      <c r="E9">
        <v>-4000</v>
      </c>
      <c r="F9">
        <v>-4000</v>
      </c>
      <c r="G9" t="s">
        <v>10</v>
      </c>
      <c r="H9" t="s">
        <v>10</v>
      </c>
      <c r="I9" t="s">
        <v>10</v>
      </c>
      <c r="J9" t="s">
        <v>10</v>
      </c>
      <c r="K9" t="s">
        <v>10</v>
      </c>
      <c r="L9" t="s">
        <v>10</v>
      </c>
      <c r="M9" t="s">
        <v>10</v>
      </c>
    </row>
    <row r="10" spans="1:13" x14ac:dyDescent="0.55000000000000004">
      <c r="A10" s="12">
        <v>80</v>
      </c>
      <c r="C10">
        <v>-1300</v>
      </c>
      <c r="D10">
        <v>-2600</v>
      </c>
      <c r="E10">
        <v>-4000</v>
      </c>
      <c r="F10">
        <v>-4000</v>
      </c>
      <c r="G10" t="s">
        <v>10</v>
      </c>
      <c r="H10" t="s">
        <v>10</v>
      </c>
      <c r="I10" t="s">
        <v>10</v>
      </c>
      <c r="J10" t="s">
        <v>10</v>
      </c>
      <c r="K10" t="s">
        <v>10</v>
      </c>
      <c r="L10" t="s">
        <v>10</v>
      </c>
      <c r="M10" t="s">
        <v>10</v>
      </c>
    </row>
    <row r="11" spans="1:13" x14ac:dyDescent="0.55000000000000004">
      <c r="A11" s="12">
        <v>90</v>
      </c>
      <c r="C11">
        <v>-1500</v>
      </c>
      <c r="D11">
        <v>-2900</v>
      </c>
      <c r="E11">
        <v>-4000</v>
      </c>
      <c r="F11">
        <v>-4000</v>
      </c>
      <c r="G11" t="s">
        <v>10</v>
      </c>
      <c r="H11" t="s">
        <v>10</v>
      </c>
      <c r="I11" t="s">
        <v>10</v>
      </c>
      <c r="J11" t="s">
        <v>10</v>
      </c>
      <c r="K11" t="s">
        <v>10</v>
      </c>
      <c r="L11" t="s">
        <v>10</v>
      </c>
      <c r="M11" t="s">
        <v>10</v>
      </c>
    </row>
    <row r="12" spans="1:13" x14ac:dyDescent="0.55000000000000004">
      <c r="A12" s="12">
        <v>100</v>
      </c>
      <c r="C12">
        <v>-1600</v>
      </c>
      <c r="D12">
        <v>-3200</v>
      </c>
      <c r="E12">
        <v>-4000</v>
      </c>
      <c r="F12">
        <v>-4000</v>
      </c>
      <c r="G12" t="s">
        <v>10</v>
      </c>
      <c r="H12" t="s">
        <v>10</v>
      </c>
      <c r="I12" t="s">
        <v>10</v>
      </c>
      <c r="J12" t="s">
        <v>10</v>
      </c>
      <c r="K12" t="s">
        <v>10</v>
      </c>
      <c r="L12" t="s">
        <v>10</v>
      </c>
      <c r="M12" t="s">
        <v>10</v>
      </c>
    </row>
    <row r="13" spans="1:13" x14ac:dyDescent="0.55000000000000004">
      <c r="A13" s="12">
        <v>110</v>
      </c>
      <c r="C13" t="s">
        <v>10</v>
      </c>
      <c r="D13">
        <v>-3600</v>
      </c>
      <c r="E13">
        <v>-4000</v>
      </c>
      <c r="F13">
        <v>-4000</v>
      </c>
      <c r="G13" t="s">
        <v>10</v>
      </c>
      <c r="H13" t="s">
        <v>10</v>
      </c>
      <c r="I13" t="s">
        <v>10</v>
      </c>
      <c r="J13" t="s">
        <v>10</v>
      </c>
      <c r="K13" t="s">
        <v>10</v>
      </c>
      <c r="L13" t="s">
        <v>10</v>
      </c>
      <c r="M13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EE08D0-1143-402B-96AD-86BCE244041A}">
  <sheetPr codeName="Sheet4"/>
  <dimension ref="A1:M13"/>
  <sheetViews>
    <sheetView workbookViewId="0">
      <selection sqref="A1:A2"/>
    </sheetView>
  </sheetViews>
  <sheetFormatPr defaultColWidth="9" defaultRowHeight="18" x14ac:dyDescent="0.55000000000000004"/>
  <sheetData>
    <row r="1" spans="1:13" x14ac:dyDescent="0.55000000000000004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55000000000000004">
      <c r="A2" s="12" t="s">
        <v>24</v>
      </c>
      <c r="B2">
        <v>0</v>
      </c>
      <c r="G2">
        <v>8000</v>
      </c>
      <c r="H2">
        <v>12000</v>
      </c>
      <c r="I2">
        <v>16000</v>
      </c>
      <c r="J2">
        <v>24000</v>
      </c>
      <c r="K2">
        <v>32000</v>
      </c>
      <c r="L2">
        <v>64000</v>
      </c>
      <c r="M2">
        <v>96000</v>
      </c>
    </row>
    <row r="3" spans="1:13" x14ac:dyDescent="0.55000000000000004">
      <c r="A3" s="12">
        <v>20</v>
      </c>
      <c r="C3" t="s">
        <v>10</v>
      </c>
      <c r="D3" t="s">
        <v>10</v>
      </c>
      <c r="E3">
        <v>2600</v>
      </c>
      <c r="F3">
        <v>5200</v>
      </c>
    </row>
    <row r="4" spans="1:13" x14ac:dyDescent="0.55000000000000004">
      <c r="A4" s="12">
        <v>25</v>
      </c>
      <c r="C4" t="s">
        <v>10</v>
      </c>
      <c r="D4">
        <v>1600</v>
      </c>
      <c r="E4">
        <v>3200</v>
      </c>
      <c r="F4">
        <v>6400</v>
      </c>
    </row>
    <row r="5" spans="1:13" x14ac:dyDescent="0.55000000000000004">
      <c r="A5" s="12">
        <v>30</v>
      </c>
      <c r="C5">
        <v>1000</v>
      </c>
      <c r="D5">
        <v>2000</v>
      </c>
      <c r="E5">
        <v>3900</v>
      </c>
      <c r="F5">
        <v>8000</v>
      </c>
    </row>
    <row r="6" spans="1:13" x14ac:dyDescent="0.55000000000000004">
      <c r="A6" s="12">
        <v>40</v>
      </c>
      <c r="C6">
        <v>1300</v>
      </c>
      <c r="D6">
        <v>2600</v>
      </c>
      <c r="E6">
        <v>5200</v>
      </c>
      <c r="F6">
        <v>8000</v>
      </c>
    </row>
    <row r="7" spans="1:13" x14ac:dyDescent="0.55000000000000004">
      <c r="A7" s="12">
        <v>50</v>
      </c>
      <c r="C7">
        <v>1600</v>
      </c>
      <c r="D7">
        <v>3200</v>
      </c>
      <c r="E7">
        <v>6400</v>
      </c>
      <c r="F7">
        <v>8000</v>
      </c>
    </row>
    <row r="8" spans="1:13" x14ac:dyDescent="0.55000000000000004">
      <c r="A8" s="12">
        <v>60</v>
      </c>
      <c r="C8">
        <v>2000</v>
      </c>
      <c r="D8">
        <v>3900</v>
      </c>
      <c r="E8">
        <v>8000</v>
      </c>
      <c r="F8">
        <v>8000</v>
      </c>
    </row>
    <row r="9" spans="1:13" x14ac:dyDescent="0.55000000000000004">
      <c r="A9" s="12">
        <v>70</v>
      </c>
      <c r="C9">
        <v>2300</v>
      </c>
      <c r="D9">
        <v>4500</v>
      </c>
      <c r="E9">
        <v>8000</v>
      </c>
      <c r="F9">
        <v>8000</v>
      </c>
    </row>
    <row r="10" spans="1:13" x14ac:dyDescent="0.55000000000000004">
      <c r="A10" s="12">
        <v>80</v>
      </c>
      <c r="C10">
        <v>2600</v>
      </c>
      <c r="D10">
        <v>5200</v>
      </c>
      <c r="E10">
        <v>8000</v>
      </c>
      <c r="F10">
        <v>8000</v>
      </c>
    </row>
    <row r="11" spans="1:13" x14ac:dyDescent="0.55000000000000004">
      <c r="A11" s="12">
        <v>90</v>
      </c>
      <c r="C11">
        <v>2900</v>
      </c>
      <c r="D11">
        <v>5800</v>
      </c>
      <c r="E11">
        <v>8000</v>
      </c>
      <c r="F11">
        <v>8000</v>
      </c>
    </row>
    <row r="12" spans="1:13" x14ac:dyDescent="0.55000000000000004">
      <c r="A12" s="12">
        <v>100</v>
      </c>
      <c r="C12">
        <v>3200</v>
      </c>
      <c r="D12">
        <v>6400</v>
      </c>
      <c r="E12">
        <v>8000</v>
      </c>
      <c r="F12">
        <v>8000</v>
      </c>
    </row>
    <row r="13" spans="1:13" x14ac:dyDescent="0.55000000000000004">
      <c r="A13" s="12">
        <v>110</v>
      </c>
      <c r="C13" t="s">
        <v>10</v>
      </c>
      <c r="D13">
        <v>7100</v>
      </c>
      <c r="E13">
        <v>8000</v>
      </c>
      <c r="F13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99D10E-0A6F-44BA-B3C3-FCBACA90C836}">
  <sheetPr codeName="Sheet8"/>
  <dimension ref="A1:M13"/>
  <sheetViews>
    <sheetView workbookViewId="0">
      <selection sqref="A1:A2"/>
    </sheetView>
  </sheetViews>
  <sheetFormatPr defaultColWidth="9" defaultRowHeight="18" x14ac:dyDescent="0.55000000000000004"/>
  <sheetData>
    <row r="1" spans="1:13" x14ac:dyDescent="0.55000000000000004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55000000000000004">
      <c r="A2" s="12" t="s">
        <v>24</v>
      </c>
      <c r="B2">
        <v>0</v>
      </c>
      <c r="C2" t="s">
        <v>10</v>
      </c>
      <c r="D2" t="s">
        <v>10</v>
      </c>
      <c r="E2" t="s">
        <v>10</v>
      </c>
      <c r="F2" t="s">
        <v>10</v>
      </c>
      <c r="G2">
        <v>8000</v>
      </c>
      <c r="H2">
        <v>12000</v>
      </c>
      <c r="I2">
        <v>16000</v>
      </c>
      <c r="J2">
        <v>24000</v>
      </c>
      <c r="K2">
        <v>32000</v>
      </c>
      <c r="L2">
        <v>64000</v>
      </c>
      <c r="M2">
        <v>96000</v>
      </c>
    </row>
    <row r="3" spans="1:13" x14ac:dyDescent="0.55000000000000004">
      <c r="A3" s="12">
        <v>20</v>
      </c>
      <c r="B3" t="s">
        <v>10</v>
      </c>
      <c r="C3" t="s">
        <v>10</v>
      </c>
      <c r="D3">
        <v>1500</v>
      </c>
      <c r="E3">
        <v>2700</v>
      </c>
      <c r="F3">
        <v>5200</v>
      </c>
      <c r="G3" t="s">
        <v>10</v>
      </c>
      <c r="H3" t="s">
        <v>10</v>
      </c>
      <c r="I3" t="s">
        <v>10</v>
      </c>
      <c r="J3" t="s">
        <v>10</v>
      </c>
      <c r="K3" t="s">
        <v>10</v>
      </c>
      <c r="L3" t="s">
        <v>10</v>
      </c>
      <c r="M3" t="s">
        <v>10</v>
      </c>
    </row>
    <row r="4" spans="1:13" x14ac:dyDescent="0.55000000000000004">
      <c r="A4" s="12">
        <v>25</v>
      </c>
      <c r="B4" t="s">
        <v>10</v>
      </c>
      <c r="C4" t="s">
        <v>10</v>
      </c>
      <c r="D4" t="s">
        <v>10</v>
      </c>
      <c r="E4">
        <v>3200</v>
      </c>
      <c r="F4">
        <v>6400</v>
      </c>
      <c r="G4" t="s">
        <v>10</v>
      </c>
      <c r="H4" t="s">
        <v>10</v>
      </c>
      <c r="I4" t="s">
        <v>10</v>
      </c>
      <c r="J4" t="s">
        <v>10</v>
      </c>
      <c r="K4" t="s">
        <v>10</v>
      </c>
      <c r="L4" t="s">
        <v>10</v>
      </c>
      <c r="M4" t="s">
        <v>10</v>
      </c>
    </row>
    <row r="5" spans="1:13" x14ac:dyDescent="0.55000000000000004">
      <c r="A5" s="12">
        <v>30</v>
      </c>
      <c r="B5" t="s">
        <v>10</v>
      </c>
      <c r="C5">
        <v>1100</v>
      </c>
      <c r="D5">
        <v>2000</v>
      </c>
      <c r="E5">
        <v>4000</v>
      </c>
      <c r="F5">
        <v>8000</v>
      </c>
      <c r="G5" t="s">
        <v>10</v>
      </c>
      <c r="H5" t="s">
        <v>10</v>
      </c>
      <c r="I5" t="s">
        <v>10</v>
      </c>
      <c r="J5" t="s">
        <v>10</v>
      </c>
      <c r="K5" t="s">
        <v>10</v>
      </c>
      <c r="L5" t="s">
        <v>10</v>
      </c>
      <c r="M5" t="s">
        <v>10</v>
      </c>
    </row>
    <row r="6" spans="1:13" x14ac:dyDescent="0.55000000000000004">
      <c r="A6" s="12">
        <v>40</v>
      </c>
      <c r="B6" t="s">
        <v>10</v>
      </c>
      <c r="C6">
        <v>1500</v>
      </c>
      <c r="D6">
        <v>2700</v>
      </c>
      <c r="E6">
        <v>5200</v>
      </c>
      <c r="F6">
        <v>8000</v>
      </c>
      <c r="G6" t="s">
        <v>10</v>
      </c>
      <c r="H6" t="s">
        <v>10</v>
      </c>
      <c r="I6" t="s">
        <v>10</v>
      </c>
      <c r="J6" t="s">
        <v>10</v>
      </c>
      <c r="K6" t="s">
        <v>10</v>
      </c>
      <c r="L6" t="s">
        <v>10</v>
      </c>
      <c r="M6" t="s">
        <v>10</v>
      </c>
    </row>
    <row r="7" spans="1:13" x14ac:dyDescent="0.55000000000000004">
      <c r="A7" s="12">
        <v>50</v>
      </c>
      <c r="B7" t="s">
        <v>10</v>
      </c>
      <c r="C7">
        <v>1600</v>
      </c>
      <c r="D7">
        <v>3200</v>
      </c>
      <c r="E7">
        <v>6400</v>
      </c>
      <c r="F7">
        <v>8000</v>
      </c>
      <c r="G7" t="s">
        <v>10</v>
      </c>
      <c r="H7" t="s">
        <v>10</v>
      </c>
      <c r="I7" t="s">
        <v>10</v>
      </c>
      <c r="J7" t="s">
        <v>10</v>
      </c>
      <c r="K7" t="s">
        <v>10</v>
      </c>
      <c r="L7" t="s">
        <v>10</v>
      </c>
      <c r="M7" t="s">
        <v>10</v>
      </c>
    </row>
    <row r="8" spans="1:13" x14ac:dyDescent="0.55000000000000004">
      <c r="A8" s="12">
        <v>60</v>
      </c>
      <c r="B8" t="s">
        <v>10</v>
      </c>
      <c r="C8">
        <v>2000</v>
      </c>
      <c r="D8">
        <v>4000</v>
      </c>
      <c r="E8">
        <v>8000</v>
      </c>
      <c r="F8">
        <v>8000</v>
      </c>
      <c r="G8" t="s">
        <v>10</v>
      </c>
      <c r="H8" t="s">
        <v>10</v>
      </c>
      <c r="I8" t="s">
        <v>10</v>
      </c>
      <c r="J8" t="s">
        <v>10</v>
      </c>
      <c r="K8" t="s">
        <v>10</v>
      </c>
      <c r="L8" t="s">
        <v>10</v>
      </c>
      <c r="M8" t="s">
        <v>10</v>
      </c>
    </row>
    <row r="9" spans="1:13" x14ac:dyDescent="0.55000000000000004">
      <c r="A9" s="12">
        <v>70</v>
      </c>
      <c r="B9" t="s">
        <v>10</v>
      </c>
      <c r="C9">
        <v>2400</v>
      </c>
      <c r="D9">
        <v>4700</v>
      </c>
      <c r="E9">
        <v>8000</v>
      </c>
      <c r="F9">
        <v>8000</v>
      </c>
      <c r="G9" t="s">
        <v>10</v>
      </c>
      <c r="H9" t="s">
        <v>10</v>
      </c>
      <c r="I9" t="s">
        <v>10</v>
      </c>
      <c r="J9" t="s">
        <v>10</v>
      </c>
      <c r="K9" t="s">
        <v>10</v>
      </c>
      <c r="L9" t="s">
        <v>10</v>
      </c>
      <c r="M9" t="s">
        <v>10</v>
      </c>
    </row>
    <row r="10" spans="1:13" x14ac:dyDescent="0.55000000000000004">
      <c r="A10" s="12">
        <v>80</v>
      </c>
      <c r="B10" t="s">
        <v>10</v>
      </c>
      <c r="C10">
        <v>2700</v>
      </c>
      <c r="D10">
        <v>5200</v>
      </c>
      <c r="E10">
        <v>8000</v>
      </c>
      <c r="F10">
        <v>8000</v>
      </c>
      <c r="G10" t="s">
        <v>10</v>
      </c>
      <c r="H10" t="s">
        <v>10</v>
      </c>
      <c r="I10" t="s">
        <v>10</v>
      </c>
      <c r="J10" t="s">
        <v>10</v>
      </c>
      <c r="K10" t="s">
        <v>10</v>
      </c>
      <c r="L10" t="s">
        <v>10</v>
      </c>
      <c r="M10" t="s">
        <v>10</v>
      </c>
    </row>
    <row r="11" spans="1:13" x14ac:dyDescent="0.55000000000000004">
      <c r="A11" s="12">
        <v>90</v>
      </c>
      <c r="B11" t="s">
        <v>10</v>
      </c>
      <c r="C11">
        <v>3100</v>
      </c>
      <c r="D11">
        <v>5900</v>
      </c>
      <c r="E11">
        <v>8000</v>
      </c>
      <c r="F11">
        <v>8000</v>
      </c>
      <c r="G11" t="s">
        <v>10</v>
      </c>
      <c r="H11" t="s">
        <v>10</v>
      </c>
      <c r="I11" t="s">
        <v>10</v>
      </c>
      <c r="J11" t="s">
        <v>10</v>
      </c>
      <c r="K11" t="s">
        <v>10</v>
      </c>
      <c r="L11" t="s">
        <v>10</v>
      </c>
      <c r="M11" t="s">
        <v>10</v>
      </c>
    </row>
    <row r="12" spans="1:13" x14ac:dyDescent="0.55000000000000004">
      <c r="A12" s="12">
        <v>100</v>
      </c>
      <c r="B12" t="s">
        <v>10</v>
      </c>
      <c r="C12">
        <v>3200</v>
      </c>
      <c r="D12">
        <v>6400</v>
      </c>
      <c r="E12">
        <v>8000</v>
      </c>
      <c r="F12">
        <v>8000</v>
      </c>
      <c r="G12" t="s">
        <v>10</v>
      </c>
      <c r="H12" t="s">
        <v>10</v>
      </c>
      <c r="I12" t="s">
        <v>10</v>
      </c>
      <c r="J12" t="s">
        <v>10</v>
      </c>
      <c r="K12" t="s">
        <v>10</v>
      </c>
      <c r="L12" t="s">
        <v>10</v>
      </c>
      <c r="M12" t="s">
        <v>10</v>
      </c>
    </row>
    <row r="13" spans="1:13" x14ac:dyDescent="0.55000000000000004">
      <c r="A13" s="12">
        <v>110</v>
      </c>
      <c r="B13" t="s">
        <v>10</v>
      </c>
      <c r="C13" t="s">
        <v>10</v>
      </c>
      <c r="D13">
        <v>7200</v>
      </c>
      <c r="E13">
        <v>8000</v>
      </c>
      <c r="F13">
        <v>8000</v>
      </c>
      <c r="G13" t="s">
        <v>10</v>
      </c>
      <c r="H13" t="s">
        <v>10</v>
      </c>
      <c r="I13" t="s">
        <v>10</v>
      </c>
      <c r="J13" t="s">
        <v>10</v>
      </c>
      <c r="K13" t="s">
        <v>10</v>
      </c>
      <c r="L13" t="s">
        <v>10</v>
      </c>
      <c r="M13" t="s">
        <v>10</v>
      </c>
    </row>
  </sheetData>
  <dataConsolidate/>
  <phoneticPr fontId="1"/>
  <pageMargins left="0.7" right="0.7" top="0.75" bottom="0.75" header="0.3" footer="0.3"/>
  <pageSetup paperSize="9"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C83C45-CB21-44BC-887A-112839652B55}">
  <sheetPr codeName="Sheet5"/>
  <dimension ref="A1:M13"/>
  <sheetViews>
    <sheetView workbookViewId="0">
      <selection sqref="A1:A2"/>
    </sheetView>
  </sheetViews>
  <sheetFormatPr defaultColWidth="9" defaultRowHeight="18" x14ac:dyDescent="0.55000000000000004"/>
  <sheetData>
    <row r="1" spans="1:13" x14ac:dyDescent="0.55000000000000004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55000000000000004">
      <c r="A2" s="12" t="s">
        <v>24</v>
      </c>
      <c r="B2">
        <v>0</v>
      </c>
      <c r="C2" t="s">
        <v>10</v>
      </c>
      <c r="D2" t="s">
        <v>10</v>
      </c>
      <c r="E2" t="s">
        <v>10</v>
      </c>
      <c r="F2" t="s">
        <v>10</v>
      </c>
      <c r="G2">
        <v>-2000</v>
      </c>
      <c r="H2">
        <v>-3000</v>
      </c>
      <c r="I2">
        <v>-4000</v>
      </c>
      <c r="J2">
        <v>-6000</v>
      </c>
      <c r="K2">
        <v>-8000</v>
      </c>
      <c r="L2">
        <v>-16000</v>
      </c>
      <c r="M2">
        <v>-24000</v>
      </c>
    </row>
    <row r="3" spans="1:13" x14ac:dyDescent="0.55000000000000004">
      <c r="A3" s="12">
        <v>20</v>
      </c>
      <c r="C3" t="s">
        <v>10</v>
      </c>
      <c r="D3">
        <v>-400</v>
      </c>
      <c r="E3">
        <v>-700</v>
      </c>
      <c r="F3">
        <v>-1300</v>
      </c>
    </row>
    <row r="4" spans="1:13" x14ac:dyDescent="0.55000000000000004">
      <c r="A4" s="12">
        <v>25</v>
      </c>
      <c r="C4" t="s">
        <v>10</v>
      </c>
      <c r="D4" t="s">
        <v>10</v>
      </c>
      <c r="E4">
        <v>-800</v>
      </c>
      <c r="F4">
        <v>-1600</v>
      </c>
      <c r="M4" t="s">
        <v>10</v>
      </c>
    </row>
    <row r="5" spans="1:13" x14ac:dyDescent="0.55000000000000004">
      <c r="A5" s="12">
        <v>30</v>
      </c>
      <c r="C5">
        <v>-300</v>
      </c>
      <c r="D5">
        <v>-500</v>
      </c>
      <c r="E5">
        <v>-1000</v>
      </c>
      <c r="F5">
        <v>-2000</v>
      </c>
      <c r="M5" t="s">
        <v>10</v>
      </c>
    </row>
    <row r="6" spans="1:13" x14ac:dyDescent="0.55000000000000004">
      <c r="A6" s="12">
        <v>40</v>
      </c>
      <c r="C6">
        <v>-400</v>
      </c>
      <c r="D6">
        <v>-700</v>
      </c>
      <c r="E6">
        <v>-1300</v>
      </c>
      <c r="F6">
        <v>-2000</v>
      </c>
      <c r="M6" t="s">
        <v>10</v>
      </c>
    </row>
    <row r="7" spans="1:13" x14ac:dyDescent="0.55000000000000004">
      <c r="A7" s="12">
        <v>50</v>
      </c>
      <c r="C7">
        <v>-400</v>
      </c>
      <c r="D7">
        <v>-800</v>
      </c>
      <c r="E7">
        <v>-1600</v>
      </c>
      <c r="F7">
        <v>-2000</v>
      </c>
      <c r="M7" t="s">
        <v>10</v>
      </c>
    </row>
    <row r="8" spans="1:13" x14ac:dyDescent="0.55000000000000004">
      <c r="A8" s="12">
        <v>60</v>
      </c>
      <c r="C8">
        <v>-500</v>
      </c>
      <c r="D8">
        <v>-1000</v>
      </c>
      <c r="E8">
        <v>-2000</v>
      </c>
      <c r="F8">
        <v>-2000</v>
      </c>
      <c r="M8" t="s">
        <v>10</v>
      </c>
    </row>
    <row r="9" spans="1:13" x14ac:dyDescent="0.55000000000000004">
      <c r="A9" s="12">
        <v>70</v>
      </c>
      <c r="C9">
        <v>-600</v>
      </c>
      <c r="D9">
        <v>-1200</v>
      </c>
      <c r="E9">
        <v>-2000</v>
      </c>
      <c r="F9">
        <v>-2000</v>
      </c>
      <c r="M9" t="s">
        <v>10</v>
      </c>
    </row>
    <row r="10" spans="1:13" x14ac:dyDescent="0.55000000000000004">
      <c r="A10" s="12">
        <v>80</v>
      </c>
      <c r="C10">
        <v>-700</v>
      </c>
      <c r="D10">
        <v>-1300</v>
      </c>
      <c r="E10">
        <v>-2000</v>
      </c>
      <c r="F10">
        <v>-2000</v>
      </c>
      <c r="M10" t="s">
        <v>10</v>
      </c>
    </row>
    <row r="11" spans="1:13" x14ac:dyDescent="0.55000000000000004">
      <c r="A11" s="12">
        <v>90</v>
      </c>
      <c r="C11">
        <v>-800</v>
      </c>
      <c r="D11">
        <v>-1500</v>
      </c>
      <c r="E11">
        <v>-2000</v>
      </c>
      <c r="F11">
        <v>-2000</v>
      </c>
      <c r="M11" t="s">
        <v>10</v>
      </c>
    </row>
    <row r="12" spans="1:13" x14ac:dyDescent="0.55000000000000004">
      <c r="A12" s="12">
        <v>100</v>
      </c>
      <c r="C12">
        <v>-800</v>
      </c>
      <c r="D12">
        <v>-1600</v>
      </c>
      <c r="E12">
        <v>-2000</v>
      </c>
      <c r="F12">
        <v>-2000</v>
      </c>
      <c r="M12" t="s">
        <v>10</v>
      </c>
    </row>
    <row r="13" spans="1:13" x14ac:dyDescent="0.55000000000000004">
      <c r="A13" s="12">
        <v>110</v>
      </c>
      <c r="C13" t="s">
        <v>10</v>
      </c>
      <c r="D13">
        <v>-1800</v>
      </c>
      <c r="E13">
        <v>-2000</v>
      </c>
      <c r="F13">
        <v>-2000</v>
      </c>
      <c r="M13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6FA9A3-DC97-448B-B548-4D9B2F555E2E}">
  <sheetPr codeName="Sheet9"/>
  <dimension ref="A1:M13"/>
  <sheetViews>
    <sheetView workbookViewId="0">
      <selection sqref="A1:A2"/>
    </sheetView>
  </sheetViews>
  <sheetFormatPr defaultColWidth="9" defaultRowHeight="18" x14ac:dyDescent="0.55000000000000004"/>
  <sheetData>
    <row r="1" spans="1:13" x14ac:dyDescent="0.55000000000000004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55000000000000004">
      <c r="A2" s="12" t="s">
        <v>24</v>
      </c>
      <c r="B2">
        <v>0</v>
      </c>
      <c r="C2" t="s">
        <v>10</v>
      </c>
      <c r="D2" t="s">
        <v>10</v>
      </c>
      <c r="E2" t="s">
        <v>10</v>
      </c>
      <c r="F2" t="s">
        <v>10</v>
      </c>
      <c r="G2">
        <v>-4000</v>
      </c>
      <c r="H2">
        <v>-6000</v>
      </c>
      <c r="I2">
        <v>-8000</v>
      </c>
      <c r="J2">
        <v>-12000</v>
      </c>
      <c r="K2">
        <v>-16000</v>
      </c>
      <c r="L2">
        <v>-32000</v>
      </c>
      <c r="M2">
        <v>-48000</v>
      </c>
    </row>
    <row r="3" spans="1:13" x14ac:dyDescent="0.55000000000000004">
      <c r="A3" s="12">
        <v>20</v>
      </c>
      <c r="C3" t="s">
        <v>10</v>
      </c>
      <c r="D3">
        <v>-700</v>
      </c>
      <c r="E3">
        <v>-1300</v>
      </c>
      <c r="F3">
        <v>-2600</v>
      </c>
    </row>
    <row r="4" spans="1:13" x14ac:dyDescent="0.55000000000000004">
      <c r="A4" s="12">
        <v>25</v>
      </c>
      <c r="C4" t="s">
        <v>10</v>
      </c>
      <c r="D4" t="s">
        <v>10</v>
      </c>
      <c r="E4">
        <v>-1600</v>
      </c>
      <c r="F4">
        <v>-3200</v>
      </c>
    </row>
    <row r="5" spans="1:13" x14ac:dyDescent="0.55000000000000004">
      <c r="A5" s="12">
        <v>30</v>
      </c>
      <c r="C5">
        <v>-500</v>
      </c>
      <c r="D5">
        <v>-1000</v>
      </c>
      <c r="E5">
        <v>-2000</v>
      </c>
      <c r="F5">
        <v>-4000</v>
      </c>
    </row>
    <row r="6" spans="1:13" x14ac:dyDescent="0.55000000000000004">
      <c r="A6" s="12">
        <v>40</v>
      </c>
      <c r="C6">
        <v>-700</v>
      </c>
      <c r="D6">
        <v>-1300</v>
      </c>
      <c r="E6">
        <v>-2600</v>
      </c>
      <c r="F6">
        <v>-4000</v>
      </c>
    </row>
    <row r="7" spans="1:13" x14ac:dyDescent="0.55000000000000004">
      <c r="A7" s="12">
        <v>50</v>
      </c>
      <c r="C7">
        <v>-800</v>
      </c>
      <c r="D7">
        <v>-1600</v>
      </c>
      <c r="E7">
        <v>-3200</v>
      </c>
      <c r="F7">
        <v>-4000</v>
      </c>
    </row>
    <row r="8" spans="1:13" x14ac:dyDescent="0.55000000000000004">
      <c r="A8" s="12">
        <v>60</v>
      </c>
      <c r="C8">
        <v>-1000</v>
      </c>
      <c r="D8">
        <v>-2000</v>
      </c>
      <c r="E8">
        <v>-4000</v>
      </c>
      <c r="F8">
        <v>-4000</v>
      </c>
    </row>
    <row r="9" spans="1:13" x14ac:dyDescent="0.55000000000000004">
      <c r="A9" s="12">
        <v>70</v>
      </c>
      <c r="C9">
        <v>-1200</v>
      </c>
      <c r="D9">
        <v>-2300</v>
      </c>
      <c r="E9">
        <v>-4000</v>
      </c>
      <c r="F9">
        <v>-4000</v>
      </c>
      <c r="M9" t="s">
        <v>10</v>
      </c>
    </row>
    <row r="10" spans="1:13" x14ac:dyDescent="0.55000000000000004">
      <c r="A10" s="12">
        <v>80</v>
      </c>
      <c r="C10">
        <v>-1300</v>
      </c>
      <c r="D10">
        <v>-2600</v>
      </c>
      <c r="E10">
        <v>-4000</v>
      </c>
      <c r="F10">
        <v>-4000</v>
      </c>
      <c r="M10" t="s">
        <v>10</v>
      </c>
    </row>
    <row r="11" spans="1:13" x14ac:dyDescent="0.55000000000000004">
      <c r="A11" s="12">
        <v>90</v>
      </c>
      <c r="C11">
        <v>-1500</v>
      </c>
      <c r="D11">
        <v>-2900</v>
      </c>
      <c r="E11">
        <v>-4000</v>
      </c>
      <c r="F11">
        <v>-4000</v>
      </c>
      <c r="M11" t="s">
        <v>10</v>
      </c>
    </row>
    <row r="12" spans="1:13" x14ac:dyDescent="0.55000000000000004">
      <c r="A12" s="12">
        <v>100</v>
      </c>
      <c r="C12">
        <v>-1600</v>
      </c>
      <c r="D12">
        <v>-3200</v>
      </c>
      <c r="E12">
        <v>-4000</v>
      </c>
      <c r="F12">
        <v>-4000</v>
      </c>
      <c r="M12" t="s">
        <v>10</v>
      </c>
    </row>
    <row r="13" spans="1:13" x14ac:dyDescent="0.55000000000000004">
      <c r="A13" s="12">
        <v>110</v>
      </c>
      <c r="C13" t="s">
        <v>10</v>
      </c>
      <c r="D13">
        <v>-3600</v>
      </c>
      <c r="E13">
        <v>-4000</v>
      </c>
      <c r="F13">
        <v>-4000</v>
      </c>
      <c r="M13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10</vt:i4>
      </vt:variant>
    </vt:vector>
  </HeadingPairs>
  <TitlesOfParts>
    <vt:vector size="10" baseType="lpstr">
      <vt:lpstr>Sheet1</vt:lpstr>
      <vt:lpstr>Sheet2</vt:lpstr>
      <vt:lpstr>役一覧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山本 悠介_長野</cp:lastModifiedBy>
  <cp:lastPrinted>2018-10-03T09:15:05Z</cp:lastPrinted>
  <dcterms:created xsi:type="dcterms:W3CDTF">2018-10-02T11:54:05Z</dcterms:created>
  <dcterms:modified xsi:type="dcterms:W3CDTF">2024-10-10T09:27:39Z</dcterms:modified>
</cp:coreProperties>
</file>