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3486A392-082A-433C-B1CF-398B79D626B4}" xr6:coauthVersionLast="47" xr6:coauthVersionMax="47" xr10:uidLastSave="{00000000-0000-0000-0000-000000000000}"/>
  <bookViews>
    <workbookView xWindow="-110" yWindow="-110" windowWidth="19420" windowHeight="122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28" l="1"/>
  <c r="A14" i="28" s="1"/>
  <c r="E13" i="28"/>
  <c r="E12" i="28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Y13" i="28"/>
  <c r="T13" i="28"/>
  <c r="O13" i="28"/>
  <c r="J13" i="28"/>
  <c r="Z13" i="28" s="1"/>
  <c r="D13" i="28"/>
  <c r="C13" i="28"/>
  <c r="B13" i="28"/>
  <c r="A13" i="28"/>
  <c r="Y12" i="28"/>
  <c r="T12" i="28"/>
  <c r="O12" i="28"/>
  <c r="J12" i="28"/>
  <c r="D12" i="28"/>
  <c r="C12" i="28"/>
  <c r="B12" i="28"/>
  <c r="A12" i="28"/>
  <c r="C9" i="28"/>
  <c r="C10" i="28" s="1"/>
  <c r="D9" i="28"/>
  <c r="D10" i="28" s="1"/>
  <c r="D8" i="28"/>
  <c r="D6" i="28"/>
  <c r="D7" i="28" s="1"/>
  <c r="T5" i="28"/>
  <c r="J5" i="28"/>
  <c r="J6" i="28" s="1"/>
  <c r="D5" i="28"/>
  <c r="C5" i="28"/>
  <c r="B5" i="28"/>
  <c r="A5" i="28"/>
  <c r="Y4" i="28"/>
  <c r="T4" i="28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AC13" i="28" l="1"/>
  <c r="AB13" i="28"/>
  <c r="AA13" i="28"/>
  <c r="AA12" i="28"/>
  <c r="AB12" i="28"/>
  <c r="AC12" i="28"/>
  <c r="Z12" i="28"/>
  <c r="AB4" i="28"/>
  <c r="O6" i="28"/>
  <c r="J7" i="28"/>
  <c r="T6" i="28"/>
  <c r="C11" i="28"/>
  <c r="D11" i="28"/>
  <c r="Z4" i="28"/>
  <c r="Y5" i="28"/>
  <c r="Z5" i="28" s="1"/>
  <c r="AC4" i="28"/>
  <c r="B6" i="28"/>
  <c r="C6" i="28"/>
  <c r="B7" i="28"/>
  <c r="AA4" i="28"/>
  <c r="B8" i="28"/>
  <c r="B9" i="28" s="1"/>
  <c r="C8" i="28"/>
  <c r="E4" i="27"/>
  <c r="AB5" i="28" l="1"/>
  <c r="C7" i="28"/>
  <c r="B10" i="28"/>
  <c r="T7" i="28"/>
  <c r="A7" i="28"/>
  <c r="A8" i="28" s="1"/>
  <c r="A9" i="28" s="1"/>
  <c r="AC5" i="28"/>
  <c r="Y6" i="28"/>
  <c r="AA6" i="28" s="1"/>
  <c r="O7" i="28"/>
  <c r="J8" i="28"/>
  <c r="A6" i="28"/>
  <c r="AA5" i="28"/>
  <c r="O5" i="27"/>
  <c r="AC3" i="27"/>
  <c r="AA3" i="27"/>
  <c r="AB3" i="27"/>
  <c r="Z3" i="27"/>
  <c r="AB6" i="28" l="1"/>
  <c r="J9" i="28"/>
  <c r="AC6" i="28"/>
  <c r="Y7" i="28"/>
  <c r="AB7" i="28"/>
  <c r="T8" i="28"/>
  <c r="AA7" i="28"/>
  <c r="O8" i="28"/>
  <c r="B11" i="28"/>
  <c r="A11" i="28" s="1"/>
  <c r="Z6" i="28"/>
  <c r="A10" i="28"/>
  <c r="CP1" i="27"/>
  <c r="AC2" i="27"/>
  <c r="BU1" i="27"/>
  <c r="AB2" i="27"/>
  <c r="AZ1" i="27"/>
  <c r="AA2" i="27"/>
  <c r="AE1" i="27"/>
  <c r="Z2" i="27"/>
  <c r="O9" i="28" l="1"/>
  <c r="J10" i="28"/>
  <c r="T9" i="28"/>
  <c r="Y8" i="28"/>
  <c r="AC7" i="28"/>
  <c r="Z7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8" i="28" l="1"/>
  <c r="J11" i="28"/>
  <c r="O10" i="28"/>
  <c r="AC8" i="28"/>
  <c r="Y9" i="28"/>
  <c r="AB9" i="28" s="1"/>
  <c r="T10" i="28"/>
  <c r="A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Y10" i="28"/>
  <c r="AA10" i="28" s="1"/>
  <c r="O11" i="28"/>
  <c r="T11" i="28"/>
  <c r="AA9" i="28"/>
  <c r="Z9" i="28"/>
  <c r="Z5" i="27"/>
  <c r="AB5" i="27"/>
  <c r="AA5" i="27"/>
  <c r="AC5" i="27"/>
  <c r="Y7" i="27"/>
  <c r="O8" i="27"/>
  <c r="T6" i="27"/>
  <c r="AB10" i="28" l="1"/>
  <c r="Z10" i="28"/>
  <c r="AC10" i="28"/>
  <c r="Y11" i="28"/>
  <c r="AB11" i="28" s="1"/>
  <c r="AC6" i="27"/>
  <c r="AB6" i="27"/>
  <c r="Z6" i="27"/>
  <c r="AA6" i="27"/>
  <c r="Y8" i="27"/>
  <c r="T7" i="27"/>
  <c r="AC11" i="28" l="1"/>
  <c r="Z11" i="28"/>
  <c r="AA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<sst xmlns="http://schemas.openxmlformats.org/spreadsheetml/2006/main" count="700" uniqueCount="178">
  <si>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</si>
  <si>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</si>
  <si>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</si>
  <si>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</si>
  <si>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</si>
  <si>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</si>
  <si>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</si>
  <si>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</si>
  <si>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</si>
  <si>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</si>
  <si>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</si>
  <si>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</si>
  <si>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</si>
  <si>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</si>
  <si>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</si>
  <si>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</si>
  <si>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</si>
  <si>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</si>
  <si>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</si>
  <si>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</si>
  <si>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</si>
  <si>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</si>
  <si>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</si>
  <si>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</si>
  <si>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</si>
  <si>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</si>
  <si>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</si>
  <si>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</si>
  <si>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</si>
  <si>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</si>
  <si>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</si>
  <si>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</si>
  <si>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</si>
  <si>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</si>
  <si>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</si>
  <si>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</si>
  <si>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</si>
  <si>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</si>
  <si>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</si>
  <si>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</si>
  <si>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</si>
  <si>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</si>
  <si>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</si>
  <si>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</si>
  <si>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</si>
  <si>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</si>
  <si>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</si>
  <si>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</si>
  <si>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</si>
  <si>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</si>
  <si>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</si>
  <si>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</si>
  <si>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</si>
  <si>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</si>
  <si>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</si>
  <si>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</si>
  <si>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</si>
  <si>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</si>
  <si>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</si>
  <si>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</si>
  <si>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</si>
  <si>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</si>
  <si>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</si>
  <si>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</si>
  <si>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</si>
  <si>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</si>
  <si>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</si>
  <si>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</si>
  <si>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</si>
  <si>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</si>
  <si>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</si>
  <si>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</si>
  <si>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</si>
  <si>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</si>
  <si>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</si>
  <si>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</si>
  <si>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</si>
  <si>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</si>
  <si>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</si>
  <si>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</si>
  <si>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</si>
  <si>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</si>
  <si>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</si>
  <si>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</si>
  <si>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</si>
  <si>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</si>
  <si>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</si>
  <si>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</si>
  <si>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</si>
  <si>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</si>
  <si>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</si>
  <si>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</si>
  <si>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</si>
  <si>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</si>
  <si>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</si>
  <si>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</si>
  <si>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</si>
  <si>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</si>
  <si>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</si>
  <si>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</si>
  <si>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</si>
  <si>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</si>
  <si>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</si>
  <si>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</si>
  <si>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</si>
  <si>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</si>
  <si>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</si>
  <si>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</si>
  <si>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</si>
  <si>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</si>
  <si>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</si>
  <si>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</si>
  <si>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</si>
  <si>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</si>
  <si>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</si>
  <si>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</si>
  <si>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</si>
  <si>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</si>
  <si>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</si>
  <si>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</si>
  <si>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</si>
  <si>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</si>
  <si>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</si>
  <si>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</si>
  <si>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</si>
  <si>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</si>
  <si>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</si>
  <si>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</si>
  <si>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</si>
  <si>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</si>
  <si>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</si>
  <si>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</si>
  <si>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</si>
  <si>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</si>
  <si>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</si>
  <si>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</si>
  <si>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</si>
  <si>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</si>
  <si>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</si>
  <si>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</si>
  <si>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</si>
  <si>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</si>
  <si>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</si>
  <si>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</si>
  <si>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</si>
  <si>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</si>
  <si>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</si>
  <si>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</si>
  <si>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</si>
  <si>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</si>
  <si>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</si>
  <si>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</si>
  <si>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</si>
  <si>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</si>
  <si>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</si>
  <si>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</si>
  <si>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</si>
  <si>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</si>
  <si>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</si>
  <si>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</si>
  <si>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</si>
  <si>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</si>
  <si>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前田卓美</t>
    <rPh sb="0" eb="4">
      <t>マエダタクミ</t>
    </rPh>
    <phoneticPr fontId="1"/>
  </si>
  <si>
    <t>小林莉子</t>
    <rPh sb="0" eb="4">
      <t>コバヤシリコ</t>
    </rPh>
    <phoneticPr fontId="1"/>
  </si>
  <si>
    <t>百瀬成空</t>
  </si>
  <si>
    <t>ロン</t>
  </si>
  <si>
    <t>放銃</t>
  </si>
  <si>
    <t>52</t>
  </si>
  <si>
    <t>01</t>
  </si>
  <si>
    <t>N</t>
  </si>
  <si>
    <t>T</t>
  </si>
  <si>
    <t>流局</t>
    <phoneticPr fontId="1"/>
  </si>
  <si>
    <t>ツモ支払</t>
  </si>
  <si>
    <t>ツモ</t>
  </si>
  <si>
    <t>山田夏寿希</t>
  </si>
  <si>
    <t>清水遙斗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</si>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</sst>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前田卓美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小林莉子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百瀬成空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前田卓美</v>
      </c>
      <c r="AB2" s="56" t="str">
        <f>IF($P$1="","",$P$1)</f>
        <v>小林莉子</v>
      </c>
      <c r="AC2" s="13" t="str">
        <f>IF($U$1="","",$U$1)</f>
        <v>百瀬成空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-2900</v>
      </c>
      <c r="R4" s="6"/>
      <c r="S4" s="6">
        <v>0</v>
      </c>
      <c r="T4" s="18">
        <f>IF(COUNTA($F4,$K4,$P4,$U4)&gt;0,T3+SUM(Q4:S4),"")</f>
        <v>22100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-37.9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85</v>
      </c>
      <c r="AL4" s="37" t="s">
        <v>167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165</v>
      </c>
      <c r="G5" s="6">
        <v>7700</v>
      </c>
      <c r="H5" s="6"/>
      <c r="I5" s="6">
        <v>300</v>
      </c>
      <c r="J5" s="18">
        <f t="shared" ref="J5:J30" si="2">IF(COUNTA($F5,$K5,$P5,$U5)&gt;0,J4+SUM(G5:I5),"")</f>
        <v>35900</v>
      </c>
      <c r="K5" s="5" t="s">
        <v>166</v>
      </c>
      <c r="L5" s="6">
        <v>-7700</v>
      </c>
      <c r="M5" s="6"/>
      <c r="N5" s="6">
        <v>-300</v>
      </c>
      <c r="O5" s="18">
        <f>IF(COUNTA($F5,$K5,$P5,$U5)&gt;0,O4+SUM(L5:N5),"")</f>
        <v>17000</v>
      </c>
      <c r="P5" s="5"/>
      <c r="Q5" s="6"/>
      <c r="R5" s="6"/>
      <c r="S5" s="6"/>
      <c r="T5" s="18">
        <f t="shared" ref="T5:T30" si="3">IF(COUNTA($F5,$K5,$P5,$U5)&gt;0,T4+SUM(Q5:S5),"")</f>
        <v>22100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55.9</v>
      </c>
      <c r="AA5" s="46">
        <f>IF($O5="","",ROUND(($O5-30000)/1000,1)+(2.5-_xlfn.RANK.AVG($O5,($J5,$O5,$T5,$Y5)))*20+IF(_xlfn.RANK.EQ($O5,($J5,$O5,$T5,$Y5))=1,20/((_xlfn.RANK.AVG($O5,($J5,$O5,$T5,$Y5))-1)*2+1),0))</f>
        <v>-43</v>
      </c>
      <c r="AB5" s="46">
        <f>IF($T5="","",ROUND(($T5-30000)/1000,1)+(2.5-_xlfn.RANK.AVG($T5,($J5,$O5,$T5,$Y5)))*20+IF(_xlfn.RANK.EQ($T5,($J5,$O5,$T5,$Y5))=1,20/((_xlfn.RANK.AVG($T5,($J5,$O5,$T5,$Y5))-1)*2+1),0))</f>
        <v>-17.899999999999999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>
        <v>1</v>
      </c>
      <c r="AH5" s="23"/>
      <c r="AI5" s="23">
        <v>3</v>
      </c>
      <c r="AJ5" s="27">
        <v>40</v>
      </c>
      <c r="AK5" s="36" t="s">
        <v>168</v>
      </c>
      <c r="AL5" s="37" t="s">
        <v>70</v>
      </c>
      <c r="AM5" s="37" t="s">
        <v>167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宮沢璃空</v>
      </c>
      <c r="F6" s="5" t="s">
        <v>171</v>
      </c>
      <c r="G6" s="6">
        <v>-1000</v>
      </c>
      <c r="H6" s="6"/>
      <c r="I6" s="6"/>
      <c r="J6" s="18">
        <f t="shared" si="2"/>
        <v>34900</v>
      </c>
      <c r="K6" s="5" t="s">
        <v>171</v>
      </c>
      <c r="L6" s="6">
        <v>-1000</v>
      </c>
      <c r="M6" s="6"/>
      <c r="N6" s="6"/>
      <c r="O6" s="18">
        <f t="shared" ref="O6:O30" si="8">IF(COUNTA($F6,$K6,$P6,$U6)&gt;0,O5+SUM(L6:N6),"")</f>
        <v>16000</v>
      </c>
      <c r="P6" s="5" t="s">
        <v>171</v>
      </c>
      <c r="Q6" s="6">
        <v>-1000</v>
      </c>
      <c r="R6" s="6"/>
      <c r="S6" s="6"/>
      <c r="T6" s="18">
        <f t="shared" si="3"/>
        <v>21100</v>
      </c>
      <c r="U6" s="5" t="s">
        <v>171</v>
      </c>
      <c r="V6" s="6">
        <v>3000</v>
      </c>
      <c r="W6" s="6"/>
      <c r="X6" s="6"/>
      <c r="Y6" s="18">
        <f t="shared" si="4"/>
        <v>28000</v>
      </c>
      <c r="Z6" s="45">
        <f>IF($J6="","",ROUND(($J6-30000)/1000,1)+(2.5-_xlfn.RANK.AVG($J6,($J6,$O6,$T6,$Y6)))*20+IF(_xlfn.RANK.EQ($J6,($J6,$O6,$T6,$Y6))=1,20/((_xlfn.RANK.AVG($J6,($J6,$O6,$T6,$Y6))-1)*2+1),0))</f>
        <v>54.9</v>
      </c>
      <c r="AA6" s="46">
        <f>IF($O6="","",ROUND(($O6-30000)/1000,1)+(2.5-_xlfn.RANK.AVG($O6,($J6,$O6,$T6,$Y6)))*20+IF(_xlfn.RANK.EQ($O6,($J6,$O6,$T6,$Y6))=1,20/((_xlfn.RANK.AVG($O6,($J6,$O6,$T6,$Y6))-1)*2+1),0))</f>
        <v>-44</v>
      </c>
      <c r="AB6" s="46">
        <f>IF($T6="","",ROUND(($T6-30000)/1000,1)+(2.5-_xlfn.RANK.AVG($T6,($J6,$O6,$T6,$Y6)))*20+IF(_xlfn.RANK.EQ($T6,($J6,$O6,$T6,$Y6))=1,20/((_xlfn.RANK.AVG($T6,($J6,$O6,$T6,$Y6))-1)*2+1),0))</f>
        <v>-18.899999999999999</v>
      </c>
      <c r="AC6" s="47">
        <f>IF($Y6="","",ROUND(($Y6-30000)/1000,1)+(2.5-_xlfn.RANK.AVG($Y6,($J6,$O6,$T6,$Y6)))*20+IF(_xlfn.RANK.EQ($Y6,($J6,$O6,$T6,$Y6))=1,20/((_xlfn.RANK.AVG($Y6,($J6,$O6,$T6,$Y6))-1)*2+1),0))</f>
        <v>8</v>
      </c>
      <c r="AE6" s="5" t="s">
        <v>169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169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170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前田卓美</v>
      </c>
      <c r="F7" s="5" t="s">
        <v>165</v>
      </c>
      <c r="G7" s="6">
        <v>8000</v>
      </c>
      <c r="H7" s="6">
        <v>2000</v>
      </c>
      <c r="I7" s="6">
        <v>900</v>
      </c>
      <c r="J7" s="18">
        <f t="shared" si="2"/>
        <v>45800</v>
      </c>
      <c r="K7" s="5"/>
      <c r="L7" s="6"/>
      <c r="M7" s="6">
        <v>-1000</v>
      </c>
      <c r="N7" s="6"/>
      <c r="O7" s="18">
        <f t="shared" si="8"/>
        <v>15000</v>
      </c>
      <c r="P7" s="5"/>
      <c r="Q7" s="6"/>
      <c r="R7" s="6"/>
      <c r="S7" s="6"/>
      <c r="T7" s="18">
        <f t="shared" si="3"/>
        <v>21100</v>
      </c>
      <c r="U7" s="5" t="s">
        <v>166</v>
      </c>
      <c r="V7" s="6">
        <v>-8000</v>
      </c>
      <c r="W7" s="6">
        <v>-1000</v>
      </c>
      <c r="X7" s="6">
        <v>-900</v>
      </c>
      <c r="Y7" s="18">
        <f t="shared" si="4"/>
        <v>18100</v>
      </c>
      <c r="Z7" s="45">
        <f>IF($J7="","",ROUND(($J7-30000)/1000,1)+(2.5-_xlfn.RANK.AVG($J7,($J7,$O7,$T7,$Y7)))*20+IF(_xlfn.RANK.EQ($J7,($J7,$O7,$T7,$Y7))=1,20/((_xlfn.RANK.AVG($J7,($J7,$O7,$T7,$Y7))-1)*2+1),0))</f>
        <v>65.8</v>
      </c>
      <c r="AA7" s="46">
        <f>IF($O7="","",ROUND(($O7-30000)/1000,1)+(2.5-_xlfn.RANK.AVG($O7,($J7,$O7,$T7,$Y7)))*20+IF(_xlfn.RANK.EQ($O7,($J7,$O7,$T7,$Y7))=1,20/((_xlfn.RANK.AVG($O7,($J7,$O7,$T7,$Y7))-1)*2+1),0))</f>
        <v>-45</v>
      </c>
      <c r="AB7" s="46">
        <f>IF($T7="","",ROUND(($T7-30000)/1000,1)+(2.5-_xlfn.RANK.AVG($T7,($J7,$O7,$T7,$Y7)))*20+IF(_xlfn.RANK.EQ($T7,($J7,$O7,$T7,$Y7))=1,20/((_xlfn.RANK.AVG($T7,($J7,$O7,$T7,$Y7))-1)*2+1),0))</f>
        <v>1.0999999999999996</v>
      </c>
      <c r="AC7" s="47">
        <f>IF($Y7="","",ROUND(($Y7-30000)/1000,1)+(2.5-_xlfn.RANK.AVG($Y7,($J7,$O7,$T7,$Y7)))*20+IF(_xlfn.RANK.EQ($Y7,($J7,$O7,$T7,$Y7))=1,20/((_xlfn.RANK.AVG($Y7,($J7,$O7,$T7,$Y7))-1)*2+1),0))</f>
        <v>-21.9</v>
      </c>
      <c r="AE7" s="5"/>
      <c r="AF7" s="30"/>
      <c r="AG7" s="23">
        <v>1</v>
      </c>
      <c r="AH7" s="23"/>
      <c r="AI7" s="23">
        <v>4</v>
      </c>
      <c r="AJ7" s="27">
        <v>40</v>
      </c>
      <c r="AK7" s="36" t="s">
        <v>168</v>
      </c>
      <c r="AL7" s="37" t="s">
        <v>70</v>
      </c>
      <c r="AM7" s="37" t="s">
        <v>167</v>
      </c>
      <c r="AN7" s="37" t="s">
        <v>77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小林莉子</v>
      </c>
      <c r="F8" s="5" t="s">
        <v>172</v>
      </c>
      <c r="G8" s="6">
        <v>-1300</v>
      </c>
      <c r="H8" s="6"/>
      <c r="I8" s="6">
        <v>0</v>
      </c>
      <c r="J8" s="18">
        <f t="shared" si="2"/>
        <v>44500</v>
      </c>
      <c r="K8" s="5" t="s">
        <v>172</v>
      </c>
      <c r="L8" s="6">
        <v>-1300</v>
      </c>
      <c r="M8" s="6"/>
      <c r="N8" s="6">
        <v>0</v>
      </c>
      <c r="O8" s="18">
        <f t="shared" si="8"/>
        <v>13700</v>
      </c>
      <c r="P8" s="5" t="s">
        <v>172</v>
      </c>
      <c r="Q8" s="6">
        <v>-2600</v>
      </c>
      <c r="R8" s="6"/>
      <c r="S8" s="6">
        <v>0</v>
      </c>
      <c r="T8" s="18">
        <f t="shared" si="3"/>
        <v>18500</v>
      </c>
      <c r="U8" s="5" t="s">
        <v>173</v>
      </c>
      <c r="V8" s="6">
        <v>5200</v>
      </c>
      <c r="W8" s="6"/>
      <c r="X8" s="6">
        <v>0</v>
      </c>
      <c r="Y8" s="18">
        <f t="shared" si="4"/>
        <v>23300</v>
      </c>
      <c r="Z8" s="45">
        <f>IF($J8="","",ROUND(($J8-30000)/1000,1)+(2.5-_xlfn.RANK.AVG($J8,($J8,$O8,$T8,$Y8)))*20+IF(_xlfn.RANK.EQ($J8,($J8,$O8,$T8,$Y8))=1,20/((_xlfn.RANK.AVG($J8,($J8,$O8,$T8,$Y8))-1)*2+1),0))</f>
        <v>64.5</v>
      </c>
      <c r="AA8" s="46">
        <f>IF($O8="","",ROUND(($O8-30000)/1000,1)+(2.5-_xlfn.RANK.AVG($O8,($J8,$O8,$T8,$Y8)))*20+IF(_xlfn.RANK.EQ($O8,($J8,$O8,$T8,$Y8))=1,20/((_xlfn.RANK.AVG($O8,($J8,$O8,$T8,$Y8))-1)*2+1),0))</f>
        <v>-46.3</v>
      </c>
      <c r="AB8" s="46">
        <f>IF($T8="","",ROUND(($T8-30000)/1000,1)+(2.5-_xlfn.RANK.AVG($T8,($J8,$O8,$T8,$Y8)))*20+IF(_xlfn.RANK.EQ($T8,($J8,$O8,$T8,$Y8))=1,20/((_xlfn.RANK.AVG($T8,($J8,$O8,$T8,$Y8))-1)*2+1),0))</f>
        <v>-21.5</v>
      </c>
      <c r="AC8" s="47">
        <f>IF($Y8="","",ROUND(($Y8-30000)/1000,1)+(2.5-_xlfn.RANK.AVG($Y8,($J8,$O8,$T8,$Y8)))*20+IF(_xlfn.RANK.EQ($Y8,($J8,$O8,$T8,$Y8))=1,20/((_xlfn.RANK.AVG($Y8,($J8,$O8,$T8,$Y8))-1)*2+1),0))</f>
        <v>3.3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3</v>
      </c>
      <c r="CU8" s="27">
        <v>40</v>
      </c>
      <c r="CV8" s="36" t="s">
        <v>89</v>
      </c>
      <c r="CW8" s="37" t="s">
        <v>167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百瀬成空</v>
      </c>
      <c r="F9" s="5" t="s">
        <v>171</v>
      </c>
      <c r="G9" s="6">
        <v>-1000</v>
      </c>
      <c r="H9" s="6"/>
      <c r="I9" s="6"/>
      <c r="J9" s="18">
        <f t="shared" si="2"/>
        <v>43500</v>
      </c>
      <c r="K9" s="5" t="s">
        <v>171</v>
      </c>
      <c r="L9" s="6">
        <v>-1000</v>
      </c>
      <c r="M9" s="6"/>
      <c r="N9" s="6"/>
      <c r="O9" s="18">
        <f t="shared" si="8"/>
        <v>12700</v>
      </c>
      <c r="P9" s="5" t="s">
        <v>171</v>
      </c>
      <c r="Q9" s="6">
        <v>-1000</v>
      </c>
      <c r="R9" s="6"/>
      <c r="S9" s="6"/>
      <c r="T9" s="18">
        <f t="shared" si="3"/>
        <v>17500</v>
      </c>
      <c r="U9" s="5" t="s">
        <v>171</v>
      </c>
      <c r="V9" s="6">
        <v>3000</v>
      </c>
      <c r="W9" s="6"/>
      <c r="X9" s="6"/>
      <c r="Y9" s="18">
        <f t="shared" si="4"/>
        <v>26300</v>
      </c>
      <c r="Z9" s="45">
        <f>IF($J9="","",ROUND(($J9-30000)/1000,1)+(2.5-_xlfn.RANK.AVG($J9,($J9,$O9,$T9,$Y9)))*20+IF(_xlfn.RANK.EQ($J9,($J9,$O9,$T9,$Y9))=1,20/((_xlfn.RANK.AVG($J9,($J9,$O9,$T9,$Y9))-1)*2+1),0))</f>
        <v>63.5</v>
      </c>
      <c r="AA9" s="46">
        <f>IF($O9="","",ROUND(($O9-30000)/1000,1)+(2.5-_xlfn.RANK.AVG($O9,($J9,$O9,$T9,$Y9)))*20+IF(_xlfn.RANK.EQ($O9,($J9,$O9,$T9,$Y9))=1,20/((_xlfn.RANK.AVG($O9,($J9,$O9,$T9,$Y9))-1)*2+1),0))</f>
        <v>-47.3</v>
      </c>
      <c r="AB9" s="46">
        <f>IF($T9="","",ROUND(($T9-30000)/1000,1)+(2.5-_xlfn.RANK.AVG($T9,($J9,$O9,$T9,$Y9)))*20+IF(_xlfn.RANK.EQ($T9,($J9,$O9,$T9,$Y9))=1,20/((_xlfn.RANK.AVG($T9,($J9,$O9,$T9,$Y9))-1)*2+1),0))</f>
        <v>-22.5</v>
      </c>
      <c r="AC9" s="47">
        <f>IF($Y9="","",ROUND(($Y9-30000)/1000,1)+(2.5-_xlfn.RANK.AVG($Y9,($J9,$O9,$T9,$Y9)))*20+IF(_xlfn.RANK.EQ($Y9,($J9,$O9,$T9,$Y9))=1,20/((_xlfn.RANK.AVG($Y9,($J9,$O9,$T9,$Y9))-1)*2+1),0))</f>
        <v>6.3</v>
      </c>
      <c r="AE9" s="5" t="s">
        <v>169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169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169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170</v>
      </c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百瀬成空</v>
      </c>
      <c r="F10" s="5" t="s">
        <v>171</v>
      </c>
      <c r="G10" s="6">
        <v>-1000</v>
      </c>
      <c r="H10" s="6"/>
      <c r="I10" s="6"/>
      <c r="J10" s="18">
        <f t="shared" si="2"/>
        <v>42500</v>
      </c>
      <c r="K10" s="5" t="s">
        <v>171</v>
      </c>
      <c r="L10" s="6">
        <v>-1000</v>
      </c>
      <c r="M10" s="6"/>
      <c r="N10" s="6"/>
      <c r="O10" s="18">
        <f t="shared" si="8"/>
        <v>11700</v>
      </c>
      <c r="P10" s="5" t="s">
        <v>171</v>
      </c>
      <c r="Q10" s="6">
        <v>-1000</v>
      </c>
      <c r="R10" s="6"/>
      <c r="S10" s="6"/>
      <c r="T10" s="18">
        <f t="shared" si="3"/>
        <v>16500</v>
      </c>
      <c r="U10" s="5" t="s">
        <v>171</v>
      </c>
      <c r="V10" s="6">
        <v>3000</v>
      </c>
      <c r="W10" s="6"/>
      <c r="X10" s="6"/>
      <c r="Y10" s="18">
        <f t="shared" si="4"/>
        <v>29300</v>
      </c>
      <c r="Z10" s="45">
        <f>IF($J10="","",ROUND(($J10-30000)/1000,1)+(2.5-_xlfn.RANK.AVG($J10,($J10,$O10,$T10,$Y10)))*20+IF(_xlfn.RANK.EQ($J10,($J10,$O10,$T10,$Y10))=1,20/((_xlfn.RANK.AVG($J10,($J10,$O10,$T10,$Y10))-1)*2+1),0))</f>
        <v>62.5</v>
      </c>
      <c r="AA10" s="46">
        <f>IF($O10="","",ROUND(($O10-30000)/1000,1)+(2.5-_xlfn.RANK.AVG($O10,($J10,$O10,$T10,$Y10)))*20+IF(_xlfn.RANK.EQ($O10,($J10,$O10,$T10,$Y10))=1,20/((_xlfn.RANK.AVG($O10,($J10,$O10,$T10,$Y10))-1)*2+1),0))</f>
        <v>-48.3</v>
      </c>
      <c r="AB10" s="46">
        <f>IF($T10="","",ROUND(($T10-30000)/1000,1)+(2.5-_xlfn.RANK.AVG($T10,($J10,$O10,$T10,$Y10)))*20+IF(_xlfn.RANK.EQ($T10,($J10,$O10,$T10,$Y10))=1,20/((_xlfn.RANK.AVG($T10,($J10,$O10,$T10,$Y10))-1)*2+1),0))</f>
        <v>-23.5</v>
      </c>
      <c r="AC10" s="47">
        <f>IF($Y10="","",ROUND(($Y10-30000)/1000,1)+(2.5-_xlfn.RANK.AVG($Y10,($J10,$O10,$T10,$Y10)))*20+IF(_xlfn.RANK.EQ($Y10,($J10,$O10,$T10,$Y10))=1,20/((_xlfn.RANK.AVG($Y10,($J10,$O10,$T10,$Y10))-1)*2+1),0))</f>
        <v>9.3000000000000007</v>
      </c>
      <c r="AE10" s="5" t="s">
        <v>169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169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169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170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2</v>
      </c>
      <c r="D11" s="15">
        <f t="shared" si="7"/>
        <v>0</v>
      </c>
      <c r="E11" s="58" t="str">
        <f>IF($U$1="","",$U$1)</f>
        <v>百瀬成空</v>
      </c>
      <c r="F11" s="5"/>
      <c r="G11" s="6"/>
      <c r="H11" s="6">
        <v>0</v>
      </c>
      <c r="I11" s="6"/>
      <c r="J11" s="18">
        <f t="shared" si="2"/>
        <v>42500</v>
      </c>
      <c r="K11" s="5" t="s">
        <v>165</v>
      </c>
      <c r="L11" s="6">
        <v>2600</v>
      </c>
      <c r="M11" s="6">
        <v>1000</v>
      </c>
      <c r="N11" s="6">
        <v>600</v>
      </c>
      <c r="O11" s="18">
        <f t="shared" si="8"/>
        <v>15900</v>
      </c>
      <c r="P11" s="5" t="s">
        <v>166</v>
      </c>
      <c r="Q11" s="6">
        <v>-2600</v>
      </c>
      <c r="R11" s="6">
        <v>-1000</v>
      </c>
      <c r="S11" s="6">
        <v>-600</v>
      </c>
      <c r="T11" s="18">
        <f t="shared" si="3"/>
        <v>12300</v>
      </c>
      <c r="U11" s="5"/>
      <c r="V11" s="6"/>
      <c r="W11" s="6"/>
      <c r="X11" s="6"/>
      <c r="Y11" s="18">
        <f t="shared" si="4"/>
        <v>29300</v>
      </c>
      <c r="Z11" s="45">
        <f>IF($J11="","",ROUND(($J11-30000)/1000,1)+(2.5-_xlfn.RANK.AVG($J11,($J11,$O11,$T11,$Y11)))*20+IF(_xlfn.RANK.EQ($J11,($J11,$O11,$T11,$Y11))=1,20/((_xlfn.RANK.AVG($J11,($J11,$O11,$T11,$Y11))-1)*2+1),0))</f>
        <v>62.5</v>
      </c>
      <c r="AA11" s="46">
        <f>IF($O11="","",ROUND(($O11-30000)/1000,1)+(2.5-_xlfn.RANK.AVG($O11,($J11,$O11,$T11,$Y11)))*20+IF(_xlfn.RANK.EQ($O11,($J11,$O11,$T11,$Y11))=1,20/((_xlfn.RANK.AVG($O11,($J11,$O11,$T11,$Y11))-1)*2+1),0))</f>
        <v>-24.1</v>
      </c>
      <c r="AB11" s="46">
        <f>IF($T11="","",ROUND(($T11-30000)/1000,1)+(2.5-_xlfn.RANK.AVG($T11,($J11,$O11,$T11,$Y11)))*20+IF(_xlfn.RANK.EQ($T11,($J11,$O11,$T11,$Y11))=1,20/((_xlfn.RANK.AVG($T11,($J11,$O11,$T11,$Y11))-1)*2+1),0))</f>
        <v>-47.7</v>
      </c>
      <c r="AC11" s="47">
        <f>IF($Y11="","",ROUND(($Y11-30000)/1000,1)+(2.5-_xlfn.RANK.AVG($Y11,($J11,$O11,$T11,$Y11)))*20+IF(_xlfn.RANK.EQ($Y11,($J11,$O11,$T11,$Y11))=1,20/((_xlfn.RANK.AVG($Y11,($J11,$O11,$T11,$Y11))-1)*2+1),0))</f>
        <v>9.3000000000000007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2</v>
      </c>
      <c r="BE11" s="27">
        <v>40</v>
      </c>
      <c r="BF11" s="36" t="s">
        <v>168</v>
      </c>
      <c r="BG11" s="37" t="s">
        <v>77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5D38E66-A531-4351-8E68-E00C0332012A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FE175-DABB-4C3B-AD4A-10C67C7504BD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175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山田夏寿希</v>
      </c>
      <c r="AF1" s="70" t="str">
        <f t="shared" ref="AF1:AY1" si="0">$F$1</f>
        <v>山田夏寿希</v>
      </c>
      <c r="AG1" s="61" t="str">
        <f t="shared" si="0"/>
        <v>山田夏寿希</v>
      </c>
      <c r="AH1" s="61" t="str">
        <f t="shared" si="0"/>
        <v>山田夏寿希</v>
      </c>
      <c r="AI1" s="61" t="str">
        <f t="shared" si="0"/>
        <v>山田夏寿希</v>
      </c>
      <c r="AJ1" s="61" t="str">
        <f t="shared" si="0"/>
        <v>山田夏寿希</v>
      </c>
      <c r="AK1" s="61" t="str">
        <f t="shared" si="0"/>
        <v>山田夏寿希</v>
      </c>
      <c r="AL1" s="61" t="str">
        <f t="shared" si="0"/>
        <v>山田夏寿希</v>
      </c>
      <c r="AM1" s="61" t="str">
        <f t="shared" si="0"/>
        <v>山田夏寿希</v>
      </c>
      <c r="AN1" s="61" t="str">
        <f t="shared" si="0"/>
        <v>山田夏寿希</v>
      </c>
      <c r="AO1" s="61" t="str">
        <f t="shared" si="0"/>
        <v>山田夏寿希</v>
      </c>
      <c r="AP1" s="61" t="str">
        <f t="shared" si="0"/>
        <v>山田夏寿希</v>
      </c>
      <c r="AQ1" s="61" t="str">
        <f t="shared" si="0"/>
        <v>山田夏寿希</v>
      </c>
      <c r="AR1" s="61" t="str">
        <f t="shared" si="0"/>
        <v>山田夏寿希</v>
      </c>
      <c r="AS1" s="61" t="str">
        <f t="shared" si="0"/>
        <v>山田夏寿希</v>
      </c>
      <c r="AT1" s="61" t="str">
        <f t="shared" si="0"/>
        <v>山田夏寿希</v>
      </c>
      <c r="AU1" s="61" t="str">
        <f t="shared" si="0"/>
        <v>山田夏寿希</v>
      </c>
      <c r="AV1" s="61" t="str">
        <f t="shared" si="0"/>
        <v>山田夏寿希</v>
      </c>
      <c r="AW1" s="61" t="str">
        <f t="shared" si="0"/>
        <v>山田夏寿希</v>
      </c>
      <c r="AX1" s="61" t="str">
        <f t="shared" si="0"/>
        <v>山田夏寿希</v>
      </c>
      <c r="AY1" s="63" t="str">
        <f t="shared" si="0"/>
        <v>山田夏寿希</v>
      </c>
      <c r="AZ1" s="60" t="str">
        <f>IF($K$1="","",$K$1)</f>
        <v>百瀬成空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前田卓美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百瀬成空</v>
      </c>
      <c r="AB2" s="56" t="str">
        <f>IF($P$1="","",$P$1)</f>
        <v>清水遙斗</v>
      </c>
      <c r="AC2" s="13" t="str">
        <f>IF($U$1="","",$U$1)</f>
        <v>前田卓美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173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172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172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172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6</v>
      </c>
      <c r="AJ4" s="27" t="s">
        <v>176</v>
      </c>
      <c r="AK4" s="36" t="s">
        <v>168</v>
      </c>
      <c r="AL4" s="37" t="s">
        <v>73</v>
      </c>
      <c r="AM4" s="37" t="s">
        <v>167</v>
      </c>
      <c r="AN4" s="37" t="s">
        <v>167</v>
      </c>
      <c r="AO4" s="37" t="s">
        <v>177</v>
      </c>
      <c r="AP4" s="37" t="s">
        <v>70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山田夏寿希</v>
      </c>
      <c r="F5" s="5" t="s">
        <v>172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38900</v>
      </c>
      <c r="K5" s="5" t="s">
        <v>172</v>
      </c>
      <c r="L5" s="6">
        <v>-2000</v>
      </c>
      <c r="M5" s="6"/>
      <c r="N5" s="6">
        <v>-100</v>
      </c>
      <c r="O5" s="18">
        <f>IF(COUNTA($F5,$K5,$P5,$U5)&gt;0,O4+SUM(L5:N5),"")</f>
        <v>16900</v>
      </c>
      <c r="P5" s="5" t="s">
        <v>172</v>
      </c>
      <c r="Q5" s="6">
        <v>-2000</v>
      </c>
      <c r="R5" s="6"/>
      <c r="S5" s="6">
        <v>-100</v>
      </c>
      <c r="T5" s="18">
        <f t="shared" ref="T5:T30" si="3">IF(COUNTA($F5,$K5,$P5,$U5)&gt;0,T4+SUM(Q5:S5),"")</f>
        <v>16900</v>
      </c>
      <c r="U5" s="5" t="s">
        <v>173</v>
      </c>
      <c r="V5" s="6">
        <v>8000</v>
      </c>
      <c r="W5" s="6"/>
      <c r="X5" s="6">
        <v>300</v>
      </c>
      <c r="Y5" s="18">
        <f t="shared" ref="Y5:Y30" si="4">IF(COUNTA($F5,$K5,$P5,$U5)&gt;0,Y4+SUM(V5:X5),"")</f>
        <v>27300</v>
      </c>
      <c r="Z5" s="45">
        <f>IF($J5="","",ROUND(($J5-30000)/1000,1)+(2.5-_xlfn.RANK.AVG($J5,($J5,$O5,$T5,$Y5)))*20+IF(_xlfn.RANK.EQ($J5,($J5,$O5,$T5,$Y5))=1,20/((_xlfn.RANK.AVG($J5,($J5,$O5,$T5,$Y5))-1)*2+1),0))</f>
        <v>58.9</v>
      </c>
      <c r="AA5" s="46">
        <f>IF($O5="","",ROUND(($O5-30000)/1000,1)+(2.5-_xlfn.RANK.AVG($O5,($J5,$O5,$T5,$Y5)))*20+IF(_xlfn.RANK.EQ($O5,($J5,$O5,$T5,$Y5))=1,20/((_xlfn.RANK.AVG($O5,($J5,$O5,$T5,$Y5))-1)*2+1),0))</f>
        <v>-33.1</v>
      </c>
      <c r="AB5" s="46">
        <f>IF($T5="","",ROUND(($T5-30000)/1000,1)+(2.5-_xlfn.RANK.AVG($T5,($J5,$O5,$T5,$Y5)))*20+IF(_xlfn.RANK.EQ($T5,($J5,$O5,$T5,$Y5))=1,20/((_xlfn.RANK.AVG($T5,($J5,$O5,$T5,$Y5))-1)*2+1),0))</f>
        <v>-33.1</v>
      </c>
      <c r="AC5" s="47">
        <f>IF($Y5="","",ROUND(($Y5-30000)/1000,1)+(2.5-_xlfn.RANK.AVG($Y5,($J5,$O5,$T5,$Y5)))*20+IF(_xlfn.RANK.EQ($Y5,($J5,$O5,$T5,$Y5))=1,20/((_xlfn.RANK.AVG($Y5,($J5,$O5,$T5,$Y5))-1)*2+1),0))</f>
        <v>7.3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4</v>
      </c>
      <c r="CU5" s="27">
        <v>30</v>
      </c>
      <c r="CV5" s="36" t="s">
        <v>168</v>
      </c>
      <c r="CW5" s="37" t="s">
        <v>73</v>
      </c>
      <c r="CX5" s="37" t="s">
        <v>71</v>
      </c>
      <c r="CY5" s="37" t="s">
        <v>167</v>
      </c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百瀬成空</v>
      </c>
      <c r="F6" s="5" t="s">
        <v>173</v>
      </c>
      <c r="G6" s="6">
        <v>8000</v>
      </c>
      <c r="H6" s="6"/>
      <c r="I6" s="6">
        <v>0</v>
      </c>
      <c r="J6" s="18">
        <f t="shared" si="2"/>
        <v>46900</v>
      </c>
      <c r="K6" s="5" t="s">
        <v>172</v>
      </c>
      <c r="L6" s="6">
        <v>-4000</v>
      </c>
      <c r="M6" s="6"/>
      <c r="N6" s="6">
        <v>0</v>
      </c>
      <c r="O6" s="18">
        <f t="shared" ref="O6:O30" si="8">IF(COUNTA($F6,$K6,$P6,$U6)&gt;0,O5+SUM(L6:N6),"")</f>
        <v>12900</v>
      </c>
      <c r="P6" s="5" t="s">
        <v>172</v>
      </c>
      <c r="Q6" s="6">
        <v>-2000</v>
      </c>
      <c r="R6" s="6"/>
      <c r="S6" s="6">
        <v>0</v>
      </c>
      <c r="T6" s="18">
        <f t="shared" si="3"/>
        <v>14900</v>
      </c>
      <c r="U6" s="5" t="s">
        <v>172</v>
      </c>
      <c r="V6" s="6">
        <v>-2000</v>
      </c>
      <c r="W6" s="6"/>
      <c r="X6" s="6">
        <v>0</v>
      </c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66.900000000000006</v>
      </c>
      <c r="AA6" s="46">
        <f>IF($O6="","",ROUND(($O6-30000)/1000,1)+(2.5-_xlfn.RANK.AVG($O6,($J6,$O6,$T6,$Y6)))*20+IF(_xlfn.RANK.EQ($O6,($J6,$O6,$T6,$Y6))=1,20/((_xlfn.RANK.AVG($O6,($J6,$O6,$T6,$Y6))-1)*2+1),0))</f>
        <v>-47.1</v>
      </c>
      <c r="AB6" s="46">
        <f>IF($T6="","",ROUND(($T6-30000)/1000,1)+(2.5-_xlfn.RANK.AVG($T6,($J6,$O6,$T6,$Y6)))*20+IF(_xlfn.RANK.EQ($T6,($J6,$O6,$T6,$Y6))=1,20/((_xlfn.RANK.AVG($T6,($J6,$O6,$T6,$Y6))-1)*2+1),0))</f>
        <v>-25.1</v>
      </c>
      <c r="AC6" s="47">
        <f>IF($Y6="","",ROUND(($Y6-30000)/1000,1)+(2.5-_xlfn.RANK.AVG($Y6,($J6,$O6,$T6,$Y6)))*20+IF(_xlfn.RANK.EQ($Y6,($J6,$O6,$T6,$Y6))=1,20/((_xlfn.RANK.AVG($Y6,($J6,$O6,$T6,$Y6))-1)*2+1),0))</f>
        <v>5.3</v>
      </c>
      <c r="AE6" s="5"/>
      <c r="AF6" s="30"/>
      <c r="AG6" s="23">
        <v>1</v>
      </c>
      <c r="AH6" s="23"/>
      <c r="AI6" s="23">
        <v>5</v>
      </c>
      <c r="AJ6" s="27" t="s">
        <v>176</v>
      </c>
      <c r="AK6" s="36" t="s">
        <v>168</v>
      </c>
      <c r="AL6" s="37" t="s">
        <v>73</v>
      </c>
      <c r="AM6" s="37" t="s">
        <v>167</v>
      </c>
      <c r="AN6" s="37" t="s">
        <v>92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清水遙斗</v>
      </c>
      <c r="F7" s="5" t="s">
        <v>166</v>
      </c>
      <c r="G7" s="6">
        <v>-3900</v>
      </c>
      <c r="H7" s="6"/>
      <c r="I7" s="6">
        <v>0</v>
      </c>
      <c r="J7" s="18">
        <f t="shared" si="2"/>
        <v>43000</v>
      </c>
      <c r="K7" s="5"/>
      <c r="L7" s="6"/>
      <c r="M7" s="6"/>
      <c r="N7" s="6"/>
      <c r="O7" s="18">
        <f t="shared" si="8"/>
        <v>12900</v>
      </c>
      <c r="P7" s="5"/>
      <c r="Q7" s="6"/>
      <c r="R7" s="6"/>
      <c r="S7" s="6"/>
      <c r="T7" s="18">
        <f t="shared" si="3"/>
        <v>14900</v>
      </c>
      <c r="U7" s="5" t="s">
        <v>165</v>
      </c>
      <c r="V7" s="6">
        <v>3900</v>
      </c>
      <c r="W7" s="6"/>
      <c r="X7" s="6">
        <v>0</v>
      </c>
      <c r="Y7" s="18">
        <f t="shared" si="4"/>
        <v>29200</v>
      </c>
      <c r="Z7" s="45">
        <f>IF($J7="","",ROUND(($J7-30000)/1000,1)+(2.5-_xlfn.RANK.AVG($J7,($J7,$O7,$T7,$Y7)))*20+IF(_xlfn.RANK.EQ($J7,($J7,$O7,$T7,$Y7))=1,20/((_xlfn.RANK.AVG($J7,($J7,$O7,$T7,$Y7))-1)*2+1),0))</f>
        <v>63</v>
      </c>
      <c r="AA7" s="46">
        <f>IF($O7="","",ROUND(($O7-30000)/1000,1)+(2.5-_xlfn.RANK.AVG($O7,($J7,$O7,$T7,$Y7)))*20+IF(_xlfn.RANK.EQ($O7,($J7,$O7,$T7,$Y7))=1,20/((_xlfn.RANK.AVG($O7,($J7,$O7,$T7,$Y7))-1)*2+1),0))</f>
        <v>-47.1</v>
      </c>
      <c r="AB7" s="46">
        <f>IF($T7="","",ROUND(($T7-30000)/1000,1)+(2.5-_xlfn.RANK.AVG($T7,($J7,$O7,$T7,$Y7)))*20+IF(_xlfn.RANK.EQ($T7,($J7,$O7,$T7,$Y7))=1,20/((_xlfn.RANK.AVG($T7,($J7,$O7,$T7,$Y7))-1)*2+1),0))</f>
        <v>-25.1</v>
      </c>
      <c r="AC7" s="47">
        <f>IF($Y7="","",ROUND(($Y7-30000)/1000,1)+(2.5-_xlfn.RANK.AVG($Y7,($J7,$O7,$T7,$Y7)))*20+IF(_xlfn.RANK.EQ($Y7,($J7,$O7,$T7,$Y7))=1,20/((_xlfn.RANK.AVG($Y7,($J7,$O7,$T7,$Y7))-1)*2+1),0))</f>
        <v>9.1999999999999993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3</v>
      </c>
      <c r="CU7" s="27">
        <v>30</v>
      </c>
      <c r="CV7" s="36" t="s">
        <v>77</v>
      </c>
      <c r="CW7" s="37" t="s">
        <v>167</v>
      </c>
      <c r="CX7" s="37" t="s">
        <v>70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前田卓美</v>
      </c>
      <c r="F8" s="5" t="s">
        <v>173</v>
      </c>
      <c r="G8" s="6">
        <v>2700</v>
      </c>
      <c r="H8" s="6"/>
      <c r="I8" s="6">
        <v>0</v>
      </c>
      <c r="J8" s="18">
        <f t="shared" si="2"/>
        <v>45700</v>
      </c>
      <c r="K8" s="5" t="s">
        <v>172</v>
      </c>
      <c r="L8" s="6">
        <v>-700</v>
      </c>
      <c r="M8" s="6"/>
      <c r="N8" s="6">
        <v>0</v>
      </c>
      <c r="O8" s="18">
        <f t="shared" si="8"/>
        <v>12200</v>
      </c>
      <c r="P8" s="5" t="s">
        <v>172</v>
      </c>
      <c r="Q8" s="6">
        <v>-700</v>
      </c>
      <c r="R8" s="6"/>
      <c r="S8" s="6">
        <v>0</v>
      </c>
      <c r="T8" s="18">
        <f t="shared" si="3"/>
        <v>14200</v>
      </c>
      <c r="U8" s="5" t="s">
        <v>172</v>
      </c>
      <c r="V8" s="6">
        <v>-1300</v>
      </c>
      <c r="W8" s="6"/>
      <c r="X8" s="6">
        <v>0</v>
      </c>
      <c r="Y8" s="18">
        <f t="shared" si="4"/>
        <v>27900</v>
      </c>
      <c r="Z8" s="45">
        <f>IF($J8="","",ROUND(($J8-30000)/1000,1)+(2.5-_xlfn.RANK.AVG($J8,($J8,$O8,$T8,$Y8)))*20+IF(_xlfn.RANK.EQ($J8,($J8,$O8,$T8,$Y8))=1,20/((_xlfn.RANK.AVG($J8,($J8,$O8,$T8,$Y8))-1)*2+1),0))</f>
        <v>65.7</v>
      </c>
      <c r="AA8" s="46">
        <f>IF($O8="","",ROUND(($O8-30000)/1000,1)+(2.5-_xlfn.RANK.AVG($O8,($J8,$O8,$T8,$Y8)))*20+IF(_xlfn.RANK.EQ($O8,($J8,$O8,$T8,$Y8))=1,20/((_xlfn.RANK.AVG($O8,($J8,$O8,$T8,$Y8))-1)*2+1),0))</f>
        <v>-47.8</v>
      </c>
      <c r="AB8" s="46">
        <f>IF($T8="","",ROUND(($T8-30000)/1000,1)+(2.5-_xlfn.RANK.AVG($T8,($J8,$O8,$T8,$Y8)))*20+IF(_xlfn.RANK.EQ($T8,($J8,$O8,$T8,$Y8))=1,20/((_xlfn.RANK.AVG($T8,($J8,$O8,$T8,$Y8))-1)*2+1),0))</f>
        <v>-25.8</v>
      </c>
      <c r="AC8" s="47">
        <f>IF($Y8="","",ROUND(($Y8-30000)/1000,1)+(2.5-_xlfn.RANK.AVG($Y8,($J8,$O8,$T8,$Y8)))*20+IF(_xlfn.RANK.EQ($Y8,($J8,$O8,$T8,$Y8))=1,20/((_xlfn.RANK.AVG($Y8,($J8,$O8,$T8,$Y8))-1)*2+1),0))</f>
        <v>7.9</v>
      </c>
      <c r="AE8" s="5"/>
      <c r="AF8" s="30"/>
      <c r="AG8" s="23">
        <v>1</v>
      </c>
      <c r="AH8" s="23"/>
      <c r="AI8" s="23">
        <v>3</v>
      </c>
      <c r="AJ8" s="27">
        <v>20</v>
      </c>
      <c r="AK8" s="36" t="s">
        <v>168</v>
      </c>
      <c r="AL8" s="37" t="s">
        <v>73</v>
      </c>
      <c r="AM8" s="37" t="s">
        <v>74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山田夏寿希</v>
      </c>
      <c r="F9" s="5" t="s">
        <v>171</v>
      </c>
      <c r="G9" s="6">
        <v>3000</v>
      </c>
      <c r="H9" s="6"/>
      <c r="I9" s="6"/>
      <c r="J9" s="18">
        <f t="shared" si="2"/>
        <v>48700</v>
      </c>
      <c r="K9" s="5" t="s">
        <v>171</v>
      </c>
      <c r="L9" s="6">
        <v>-1000</v>
      </c>
      <c r="M9" s="6"/>
      <c r="N9" s="6"/>
      <c r="O9" s="18">
        <f t="shared" si="8"/>
        <v>11200</v>
      </c>
      <c r="P9" s="5" t="s">
        <v>171</v>
      </c>
      <c r="Q9" s="6">
        <v>-1000</v>
      </c>
      <c r="R9" s="6"/>
      <c r="S9" s="6"/>
      <c r="T9" s="18">
        <f t="shared" si="3"/>
        <v>13200</v>
      </c>
      <c r="U9" s="5" t="s">
        <v>171</v>
      </c>
      <c r="V9" s="6">
        <v>-1000</v>
      </c>
      <c r="W9" s="6"/>
      <c r="X9" s="6"/>
      <c r="Y9" s="18">
        <f t="shared" si="4"/>
        <v>26900</v>
      </c>
      <c r="Z9" s="45">
        <f>IF($J9="","",ROUND(($J9-30000)/1000,1)+(2.5-_xlfn.RANK.AVG($J9,($J9,$O9,$T9,$Y9)))*20+IF(_xlfn.RANK.EQ($J9,($J9,$O9,$T9,$Y9))=1,20/((_xlfn.RANK.AVG($J9,($J9,$O9,$T9,$Y9))-1)*2+1),0))</f>
        <v>68.7</v>
      </c>
      <c r="AA9" s="46">
        <f>IF($O9="","",ROUND(($O9-30000)/1000,1)+(2.5-_xlfn.RANK.AVG($O9,($J9,$O9,$T9,$Y9)))*20+IF(_xlfn.RANK.EQ($O9,($J9,$O9,$T9,$Y9))=1,20/((_xlfn.RANK.AVG($O9,($J9,$O9,$T9,$Y9))-1)*2+1),0))</f>
        <v>-48.8</v>
      </c>
      <c r="AB9" s="46">
        <f>IF($T9="","",ROUND(($T9-30000)/1000,1)+(2.5-_xlfn.RANK.AVG($T9,($J9,$O9,$T9,$Y9)))*20+IF(_xlfn.RANK.EQ($T9,($J9,$O9,$T9,$Y9))=1,20/((_xlfn.RANK.AVG($T9,($J9,$O9,$T9,$Y9))-1)*2+1),0))</f>
        <v>-26.8</v>
      </c>
      <c r="AC9" s="47">
        <f>IF($Y9="","",ROUND(($Y9-30000)/1000,1)+(2.5-_xlfn.RANK.AVG($Y9,($J9,$O9,$T9,$Y9)))*20+IF(_xlfn.RANK.EQ($Y9,($J9,$O9,$T9,$Y9))=1,20/((_xlfn.RANK.AVG($Y9,($J9,$O9,$T9,$Y9))-1)*2+1),0))</f>
        <v>6.9</v>
      </c>
      <c r="AE9" s="5" t="s">
        <v>170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169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169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169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山田夏寿希</v>
      </c>
      <c r="F10" s="5" t="s">
        <v>172</v>
      </c>
      <c r="G10" s="6">
        <v>-4000</v>
      </c>
      <c r="H10" s="6"/>
      <c r="I10" s="6">
        <v>-100</v>
      </c>
      <c r="J10" s="18">
        <f t="shared" si="2"/>
        <v>44600</v>
      </c>
      <c r="K10" s="5" t="s">
        <v>173</v>
      </c>
      <c r="L10" s="6">
        <v>8000</v>
      </c>
      <c r="M10" s="6"/>
      <c r="N10" s="6">
        <v>300</v>
      </c>
      <c r="O10" s="18">
        <f t="shared" si="8"/>
        <v>19500</v>
      </c>
      <c r="P10" s="5" t="s">
        <v>172</v>
      </c>
      <c r="Q10" s="6">
        <v>-2000</v>
      </c>
      <c r="R10" s="6"/>
      <c r="S10" s="6">
        <v>-100</v>
      </c>
      <c r="T10" s="18">
        <f t="shared" si="3"/>
        <v>11100</v>
      </c>
      <c r="U10" s="5" t="s">
        <v>172</v>
      </c>
      <c r="V10" s="6">
        <v>-2000</v>
      </c>
      <c r="W10" s="6"/>
      <c r="X10" s="6">
        <v>-100</v>
      </c>
      <c r="Y10" s="18">
        <f t="shared" si="4"/>
        <v>24800</v>
      </c>
      <c r="Z10" s="45">
        <f>IF($J10="","",ROUND(($J10-30000)/1000,1)+(2.5-_xlfn.RANK.AVG($J10,($J10,$O10,$T10,$Y10)))*20+IF(_xlfn.RANK.EQ($J10,($J10,$O10,$T10,$Y10))=1,20/((_xlfn.RANK.AVG($J10,($J10,$O10,$T10,$Y10))-1)*2+1),0))</f>
        <v>64.599999999999994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-20.5</v>
      </c>
      <c r="AB10" s="46">
        <f>IF($T10="","",ROUND(($T10-30000)/1000,1)+(2.5-_xlfn.RANK.AVG($T10,($J10,$O10,$T10,$Y10)))*20+IF(_xlfn.RANK.EQ($T10,($J10,$O10,$T10,$Y10))=1,20/((_xlfn.RANK.AVG($T10,($J10,$O10,$T10,$Y10))-1)*2+1),0))</f>
        <v>-48.9</v>
      </c>
      <c r="AC10" s="47">
        <f>IF($Y10="","",ROUND(($Y10-30000)/1000,1)+(2.5-_xlfn.RANK.AVG($Y10,($J10,$O10,$T10,$Y10)))*20+IF(_xlfn.RANK.EQ($Y10,($J10,$O10,$T10,$Y10))=1,20/((_xlfn.RANK.AVG($Y10,($J10,$O10,$T10,$Y10))-1)*2+1),0))</f>
        <v>4.8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4</v>
      </c>
      <c r="BE10" s="27">
        <v>30</v>
      </c>
      <c r="BF10" s="36" t="s">
        <v>167</v>
      </c>
      <c r="BG10" s="37" t="s">
        <v>77</v>
      </c>
      <c r="BH10" s="37" t="s">
        <v>70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百瀬成空</v>
      </c>
      <c r="F11" s="5" t="s">
        <v>171</v>
      </c>
      <c r="G11" s="6">
        <v>-1000</v>
      </c>
      <c r="H11" s="6"/>
      <c r="I11" s="6"/>
      <c r="J11" s="18">
        <f t="shared" si="2"/>
        <v>43600</v>
      </c>
      <c r="K11" s="5" t="s">
        <v>171</v>
      </c>
      <c r="L11" s="6">
        <v>3000</v>
      </c>
      <c r="M11" s="6">
        <v>-1000</v>
      </c>
      <c r="N11" s="6"/>
      <c r="O11" s="18">
        <f t="shared" si="8"/>
        <v>21500</v>
      </c>
      <c r="P11" s="5" t="s">
        <v>171</v>
      </c>
      <c r="Q11" s="6">
        <v>-1000</v>
      </c>
      <c r="R11" s="6"/>
      <c r="S11" s="6"/>
      <c r="T11" s="18">
        <f t="shared" si="3"/>
        <v>10100</v>
      </c>
      <c r="U11" s="5" t="s">
        <v>171</v>
      </c>
      <c r="V11" s="6">
        <v>-1000</v>
      </c>
      <c r="W11" s="6"/>
      <c r="X11" s="6"/>
      <c r="Y11" s="18">
        <f t="shared" si="4"/>
        <v>23800</v>
      </c>
      <c r="Z11" s="45">
        <f>IF($J11="","",ROUND(($J11-30000)/1000,1)+(2.5-_xlfn.RANK.AVG($J11,($J11,$O11,$T11,$Y11)))*20+IF(_xlfn.RANK.EQ($J11,($J11,$O11,$T11,$Y11))=1,20/((_xlfn.RANK.AVG($J11,($J11,$O11,$T11,$Y11))-1)*2+1),0))</f>
        <v>63.6</v>
      </c>
      <c r="AA11" s="46">
        <f>IF($O11="","",ROUND(($O11-30000)/1000,1)+(2.5-_xlfn.RANK.AVG($O11,($J11,$O11,$T11,$Y11)))*20+IF(_xlfn.RANK.EQ($O11,($J11,$O11,$T11,$Y11))=1,20/((_xlfn.RANK.AVG($O11,($J11,$O11,$T11,$Y11))-1)*2+1),0))</f>
        <v>-18.5</v>
      </c>
      <c r="AB11" s="46">
        <f>IF($T11="","",ROUND(($T11-30000)/1000,1)+(2.5-_xlfn.RANK.AVG($T11,($J11,$O11,$T11,$Y11)))*20+IF(_xlfn.RANK.EQ($T11,($J11,$O11,$T11,$Y11))=1,20/((_xlfn.RANK.AVG($T11,($J11,$O11,$T11,$Y11))-1)*2+1),0))</f>
        <v>-49.9</v>
      </c>
      <c r="AC11" s="47">
        <f>IF($Y11="","",ROUND(($Y11-30000)/1000,1)+(2.5-_xlfn.RANK.AVG($Y11,($J11,$O11,$T11,$Y11)))*20+IF(_xlfn.RANK.EQ($Y11,($J11,$O11,$T11,$Y11))=1,20/((_xlfn.RANK.AVG($Y11,($J11,$O11,$T11,$Y11))-1)*2+1),0))</f>
        <v>3.8</v>
      </c>
      <c r="AE11" s="5" t="s">
        <v>169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170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169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169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1</v>
      </c>
      <c r="E12" s="58" t="str">
        <f>IF($K$1="","",$K$1)</f>
        <v>百瀬成空</v>
      </c>
      <c r="F12" s="5"/>
      <c r="G12" s="6"/>
      <c r="H12" s="6"/>
      <c r="I12" s="6"/>
      <c r="J12" s="18">
        <f t="shared" si="2"/>
        <v>43600</v>
      </c>
      <c r="K12" s="5" t="s">
        <v>165</v>
      </c>
      <c r="L12" s="6">
        <v>1500</v>
      </c>
      <c r="M12" s="6">
        <v>2000</v>
      </c>
      <c r="N12" s="6">
        <v>300</v>
      </c>
      <c r="O12" s="18">
        <f t="shared" si="8"/>
        <v>25300</v>
      </c>
      <c r="P12" s="5" t="s">
        <v>166</v>
      </c>
      <c r="Q12" s="6">
        <v>-1500</v>
      </c>
      <c r="R12" s="6"/>
      <c r="S12" s="6">
        <v>-300</v>
      </c>
      <c r="T12" s="18">
        <f t="shared" si="3"/>
        <v>8300</v>
      </c>
      <c r="U12" s="5"/>
      <c r="V12" s="6"/>
      <c r="W12" s="6">
        <v>-1000</v>
      </c>
      <c r="X12" s="6"/>
      <c r="Y12" s="18">
        <f t="shared" si="4"/>
        <v>22800</v>
      </c>
      <c r="Z12" s="45">
        <f>IF($J12="","",ROUND(($J12-30000)/1000,1)+(2.5-_xlfn.RANK.AVG($J12,($J12,$O12,$T12,$Y12)))*20+IF(_xlfn.RANK.EQ($J12,($J12,$O12,$T12,$Y12))=1,20/((_xlfn.RANK.AVG($J12,($J12,$O12,$T12,$Y12))-1)*2+1),0))</f>
        <v>63.6</v>
      </c>
      <c r="AA12" s="46">
        <f>IF($O12="","",ROUND(($O12-30000)/1000,1)+(2.5-_xlfn.RANK.AVG($O12,($J12,$O12,$T12,$Y12)))*20+IF(_xlfn.RANK.EQ($O12,($J12,$O12,$T12,$Y12))=1,20/((_xlfn.RANK.AVG($O12,($J12,$O12,$T12,$Y12))-1)*2+1),0))</f>
        <v>5.3</v>
      </c>
      <c r="AB12" s="46">
        <f>IF($T12="","",ROUND(($T12-30000)/1000,1)+(2.5-_xlfn.RANK.AVG($T12,($J12,$O12,$T12,$Y12)))*20+IF(_xlfn.RANK.EQ($T12,($J12,$O12,$T12,$Y12))=1,20/((_xlfn.RANK.AVG($T12,($J12,$O12,$T12,$Y12))-1)*2+1),0))</f>
        <v>-51.7</v>
      </c>
      <c r="AC12" s="47">
        <f>IF($Y12="","",ROUND(($Y12-30000)/1000,1)+(2.5-_xlfn.RANK.AVG($Y12,($J12,$O12,$T12,$Y12)))*20+IF(_xlfn.RANK.EQ($Y12,($J12,$O12,$T12,$Y12))=1,20/((_xlfn.RANK.AVG($Y12,($J12,$O12,$T12,$Y12))-1)*2+1),0))</f>
        <v>-17.2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>
        <v>1</v>
      </c>
      <c r="BE12" s="27">
        <v>30</v>
      </c>
      <c r="BF12" s="36" t="s">
        <v>77</v>
      </c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0</v>
      </c>
      <c r="E13" s="58" t="str">
        <f>IF($K$1="","",$K$1)</f>
        <v>百瀬成空</v>
      </c>
      <c r="F13" s="5" t="s">
        <v>171</v>
      </c>
      <c r="G13" s="6">
        <v>-3000</v>
      </c>
      <c r="H13" s="6">
        <v>2000</v>
      </c>
      <c r="I13" s="6"/>
      <c r="J13" s="18">
        <f t="shared" si="2"/>
        <v>42600</v>
      </c>
      <c r="K13" s="5" t="s">
        <v>171</v>
      </c>
      <c r="L13" s="6">
        <v>1000</v>
      </c>
      <c r="M13" s="6"/>
      <c r="N13" s="6"/>
      <c r="O13" s="18">
        <f t="shared" si="8"/>
        <v>26300</v>
      </c>
      <c r="P13" s="5" t="s">
        <v>171</v>
      </c>
      <c r="Q13" s="6">
        <v>1000</v>
      </c>
      <c r="R13" s="6">
        <v>-1000</v>
      </c>
      <c r="S13" s="6"/>
      <c r="T13" s="18">
        <f t="shared" si="3"/>
        <v>8300</v>
      </c>
      <c r="U13" s="5" t="s">
        <v>171</v>
      </c>
      <c r="V13" s="6">
        <v>1000</v>
      </c>
      <c r="W13" s="6">
        <v>-1000</v>
      </c>
      <c r="X13" s="6"/>
      <c r="Y13" s="18">
        <f t="shared" si="4"/>
        <v>22800</v>
      </c>
      <c r="Z13" s="45">
        <f>IF($J13="","",ROUND(($J13-30000)/1000,1)+(2.5-_xlfn.RANK.AVG($J13,($J13,$O13,$T13,$Y13)))*20+IF(_xlfn.RANK.EQ($J13,($J13,$O13,$T13,$Y13))=1,20/((_xlfn.RANK.AVG($J13,($J13,$O13,$T13,$Y13))-1)*2+1),0))</f>
        <v>62.6</v>
      </c>
      <c r="AA13" s="46">
        <f>IF($O13="","",ROUND(($O13-30000)/1000,1)+(2.5-_xlfn.RANK.AVG($O13,($J13,$O13,$T13,$Y13)))*20+IF(_xlfn.RANK.EQ($O13,($J13,$O13,$T13,$Y13))=1,20/((_xlfn.RANK.AVG($O13,($J13,$O13,$T13,$Y13))-1)*2+1),0))</f>
        <v>6.3</v>
      </c>
      <c r="AB13" s="46">
        <f>IF($T13="","",ROUND(($T13-30000)/1000,1)+(2.5-_xlfn.RANK.AVG($T13,($J13,$O13,$T13,$Y13)))*20+IF(_xlfn.RANK.EQ($T13,($J13,$O13,$T13,$Y13))=1,20/((_xlfn.RANK.AVG($T13,($J13,$O13,$T13,$Y13))-1)*2+1),0))</f>
        <v>-51.7</v>
      </c>
      <c r="AC13" s="47">
        <f>IF($Y13="","",ROUND(($Y13-30000)/1000,1)+(2.5-_xlfn.RANK.AVG($Y13,($J13,$O13,$T13,$Y13)))*20+IF(_xlfn.RANK.EQ($Y13,($J13,$O13,$T13,$Y13))=1,20/((_xlfn.RANK.AVG($Y13,($J13,$O13,$T13,$Y13))-1)*2+1),0))</f>
        <v>-17.2</v>
      </c>
      <c r="AE13" s="5" t="s">
        <v>169</v>
      </c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 t="s">
        <v>170</v>
      </c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 t="s">
        <v>170</v>
      </c>
      <c r="BV13" s="30"/>
      <c r="BW13" s="23">
        <v>1</v>
      </c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 t="s">
        <v>170</v>
      </c>
      <c r="CQ13" s="30"/>
      <c r="CR13" s="23">
        <v>1</v>
      </c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4F6C2B32-1303-4329-94C5-E8F13BB6AFD9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  <dataValidation type="list" showInputMessage="1" showErrorMessage="1" sqref="K4:K30 P4:P30 F4:F30 U4:U30" xr:uid="{86CFEBF9-D67D-4650-AB12-0013A6421013}">
      <formula1>"ロン,ツモ,放銃,ツモ支払,流局,チョンボ"</formula1>
    </dataValidation>
    <dataValidation type="list" allowBlank="1" showInputMessage="1" showErrorMessage="1" sqref="E4:E30" xr:uid="{F04142C7-24D6-4CC8-BEE8-1E4F9484ABA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2026-08-06T09:35:45Z</dcterms:modified>
</cp:coreProperties>
</file>